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BC0AC9E6-71C2-4CC0-91A0-A3B8763F87A7}" xr6:coauthVersionLast="47" xr6:coauthVersionMax="47" xr10:uidLastSave="{00000000-0000-0000-0000-000000000000}"/>
  <bookViews>
    <workbookView xWindow="-120" yWindow="-120" windowWidth="29040" windowHeight="15720" xr2:uid="{E62ED3AB-165A-4566-AE8D-FA0995BDA05A}"/>
  </bookViews>
  <sheets>
    <sheet name="Raw Data" sheetId="3" r:id="rId1"/>
    <sheet name="Validate_Empty" sheetId="6" r:id="rId2"/>
    <sheet name="Validate_Value" sheetId="8" r:id="rId3"/>
    <sheet name="Validate_Condition" sheetId="10" r:id="rId4"/>
    <sheet name="Condition" sheetId="11" r:id="rId5"/>
    <sheet name="Configuration" sheetId="9" r:id="rId6"/>
    <sheet name="Validate_Type" sheetId="7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8" l="1" a="1"/>
  <c r="F47" i="8" s="1"/>
  <c r="F53" i="8" a="1"/>
  <c r="F53" i="8" s="1"/>
  <c r="F51" i="8" a="1"/>
  <c r="F51" i="8" s="1"/>
  <c r="F50" i="8" a="1"/>
  <c r="F50" i="8" s="1"/>
  <c r="F49" i="8" a="1"/>
  <c r="F49" i="8" s="1"/>
  <c r="F48" i="8" a="1"/>
  <c r="F48" i="8" s="1"/>
  <c r="F66" i="8" a="1"/>
  <c r="F66" i="8" s="1"/>
  <c r="F65" i="8" a="1"/>
  <c r="F65" i="8" s="1"/>
  <c r="F64" i="8" a="1"/>
  <c r="F64" i="8" s="1"/>
  <c r="F63" i="8" a="1"/>
  <c r="F63" i="8" s="1"/>
  <c r="F62" i="8" a="1"/>
  <c r="F62" i="8" s="1"/>
  <c r="F61" i="8" a="1"/>
  <c r="F61" i="8" s="1"/>
  <c r="F60" i="8" a="1"/>
  <c r="F60" i="8" s="1"/>
  <c r="F59" i="8" a="1"/>
  <c r="F59" i="8" s="1"/>
  <c r="F58" i="8" a="1"/>
  <c r="F58" i="8" s="1"/>
  <c r="F57" i="8" a="1"/>
  <c r="F57" i="8" s="1"/>
  <c r="F56" i="8" a="1"/>
  <c r="F56" i="8" s="1"/>
  <c r="F55" i="8" a="1"/>
  <c r="F55" i="8" s="1"/>
  <c r="F54" i="8" a="1"/>
  <c r="F54" i="8" s="1"/>
  <c r="F52" i="8" a="1"/>
  <c r="F52" i="8" s="1"/>
  <c r="F46" i="8" a="1"/>
  <c r="F46" i="8" s="1"/>
  <c r="F45" i="8" a="1"/>
  <c r="F45" i="8" s="1"/>
  <c r="F43" i="8" a="1"/>
  <c r="F43" i="8" s="1"/>
  <c r="F42" i="8" a="1"/>
  <c r="F42" i="8" s="1"/>
  <c r="F41" i="8" a="1"/>
  <c r="F41" i="8" s="1"/>
  <c r="F40" i="8" a="1"/>
  <c r="F40" i="8" s="1"/>
  <c r="F39" i="8" a="1"/>
  <c r="F39" i="8" s="1"/>
  <c r="F38" i="8" a="1"/>
  <c r="F38" i="8" s="1"/>
  <c r="F37" i="8" a="1"/>
  <c r="F37" i="8" s="1"/>
  <c r="F36" i="8" a="1"/>
  <c r="F36" i="8" s="1"/>
  <c r="F35" i="8" a="1"/>
  <c r="F35" i="8" s="1"/>
  <c r="F34" i="8" a="1"/>
  <c r="F34" i="8" s="1"/>
  <c r="F33" i="8" a="1"/>
  <c r="F33" i="8" s="1"/>
  <c r="F32" i="8" a="1"/>
  <c r="F32" i="8" s="1"/>
  <c r="F31" i="8" a="1"/>
  <c r="F31" i="8" s="1"/>
  <c r="F30" i="8" a="1"/>
  <c r="F30" i="8" s="1"/>
  <c r="F29" i="8" a="1"/>
  <c r="F29" i="8" s="1"/>
  <c r="F28" i="8" a="1"/>
  <c r="F28" i="8" s="1"/>
  <c r="F27" i="8" a="1"/>
  <c r="F27" i="8" s="1"/>
  <c r="F26" i="8" a="1"/>
  <c r="F26" i="8" s="1"/>
  <c r="F25" i="8" a="1"/>
  <c r="F25" i="8" s="1"/>
  <c r="F24" i="8" a="1"/>
  <c r="F24" i="8" s="1"/>
  <c r="F23" i="8" a="1"/>
  <c r="F23" i="8" s="1"/>
  <c r="F22" i="8" a="1"/>
  <c r="F22" i="8" s="1"/>
  <c r="F21" i="8" a="1"/>
  <c r="F21" i="8" s="1"/>
  <c r="F19" i="8" a="1"/>
  <c r="F19" i="8" s="1"/>
  <c r="F17" i="8" a="1"/>
  <c r="F17" i="8" s="1"/>
  <c r="F10" i="8" a="1"/>
  <c r="F10" i="8" s="1"/>
  <c r="F11" i="8" a="1"/>
  <c r="F11" i="8" s="1"/>
  <c r="F12" i="8" a="1"/>
  <c r="F12" i="8" s="1"/>
  <c r="F13" i="8" a="1"/>
  <c r="F13" i="8" s="1"/>
  <c r="F14" i="8" a="1"/>
  <c r="F14" i="8" s="1"/>
  <c r="H9" i="3"/>
  <c r="F9" i="8" a="1"/>
  <c r="F9" i="8" s="1"/>
  <c r="F38" i="10" a="1"/>
  <c r="F37" i="10" a="1"/>
  <c r="F40" i="10" a="1"/>
  <c r="F39" i="10" a="1"/>
  <c r="F41" i="10" a="1"/>
  <c r="F39" i="10" l="1"/>
  <c r="F38" i="10"/>
  <c r="F41" i="10"/>
  <c r="F40" i="10"/>
  <c r="F37" i="10"/>
  <c r="F20" i="8" l="1" a="1"/>
  <c r="F20" i="8" s="1"/>
  <c r="F18" i="8" a="1"/>
  <c r="F18" i="8" s="1"/>
  <c r="F16" i="8" a="1"/>
  <c r="F16" i="8" s="1"/>
  <c r="F15" i="8" a="1"/>
  <c r="F15" i="8" l="1"/>
  <c r="F44" i="8" a="1"/>
  <c r="F44" i="8" s="1"/>
  <c r="F9" i="6" a="1"/>
  <c r="F34" i="6" a="1"/>
  <c r="F42" i="6" a="1"/>
  <c r="F18" i="6" a="1"/>
  <c r="F46" i="6" a="1"/>
  <c r="F32" i="6" a="1"/>
  <c r="F10" i="6" a="1"/>
  <c r="F15" i="6" a="1"/>
  <c r="F40" i="6" a="1"/>
  <c r="F53" i="6" a="1"/>
  <c r="F36" i="6" a="1"/>
  <c r="F35" i="6" a="1"/>
  <c r="F45" i="6" a="1"/>
  <c r="F57" i="6" a="1"/>
  <c r="F27" i="6" a="1"/>
  <c r="F37" i="6" a="1"/>
  <c r="F25" i="6" a="1"/>
  <c r="F55" i="6" a="1"/>
  <c r="F38" i="6" a="1"/>
  <c r="F28" i="6" a="1"/>
  <c r="F33" i="6" a="1"/>
  <c r="F31" i="6" a="1"/>
  <c r="F19" i="6" a="1"/>
  <c r="F44" i="6" a="1"/>
  <c r="F22" i="6" a="1"/>
  <c r="F21" i="6" a="1"/>
  <c r="F54" i="6" a="1"/>
  <c r="F16" i="6" a="1"/>
  <c r="F29" i="6" a="1"/>
  <c r="F20" i="6" a="1"/>
  <c r="F26" i="6" a="1"/>
  <c r="F52" i="6" a="1"/>
  <c r="F17" i="6" a="1"/>
  <c r="F39" i="6" a="1"/>
  <c r="F24" i="6" a="1"/>
  <c r="F14" i="6" a="1"/>
  <c r="F56" i="6" a="1"/>
  <c r="F41" i="6" a="1"/>
  <c r="F30" i="6" a="1"/>
  <c r="F12" i="6" a="1"/>
  <c r="F11" i="6" a="1"/>
  <c r="F43" i="6" a="1"/>
  <c r="F23" i="6" a="1"/>
  <c r="F13" i="6" a="1"/>
  <c r="F26" i="6" l="1"/>
  <c r="F15" i="6"/>
  <c r="F46" i="6"/>
  <c r="F38" i="6"/>
  <c r="F30" i="6"/>
  <c r="F22" i="6"/>
  <c r="F14" i="6"/>
  <c r="F55" i="6"/>
  <c r="F42" i="6"/>
  <c r="F31" i="6"/>
  <c r="F45" i="6"/>
  <c r="F56" i="6"/>
  <c r="F18" i="6"/>
  <c r="F23" i="6"/>
  <c r="F37" i="6"/>
  <c r="F21" i="6"/>
  <c r="F36" i="6"/>
  <c r="F12" i="6"/>
  <c r="F34" i="6"/>
  <c r="F39" i="6"/>
  <c r="F54" i="6"/>
  <c r="F29" i="6"/>
  <c r="F13" i="6"/>
  <c r="F44" i="6"/>
  <c r="F28" i="6"/>
  <c r="F20" i="6"/>
  <c r="F57" i="6"/>
  <c r="F43" i="6"/>
  <c r="F35" i="6"/>
  <c r="F27" i="6"/>
  <c r="F19" i="6"/>
  <c r="F11" i="6"/>
  <c r="F41" i="6"/>
  <c r="F25" i="6"/>
  <c r="F52" i="6"/>
  <c r="F10" i="6"/>
  <c r="F33" i="6"/>
  <c r="F17" i="6"/>
  <c r="F40" i="6"/>
  <c r="F32" i="6"/>
  <c r="F24" i="6"/>
  <c r="F16" i="6"/>
  <c r="F53" i="6"/>
  <c r="F9" i="6"/>
  <c r="I47" i="3" l="1" a="1"/>
  <c r="I47" i="3" s="1"/>
  <c r="I51" i="3" a="1"/>
  <c r="I51" i="3" s="1"/>
  <c r="I50" i="3" a="1"/>
  <c r="I50" i="3" s="1"/>
  <c r="I49" i="3" a="1"/>
  <c r="I49" i="3" s="1"/>
  <c r="I48" i="3" a="1"/>
  <c r="I48" i="3" s="1"/>
  <c r="B2" i="8" l="1" a="1"/>
  <c r="B2" i="8" s="1"/>
  <c r="D2" i="8" a="1"/>
  <c r="D2" i="8" s="1"/>
  <c r="B3" i="8" a="1"/>
  <c r="B3" i="8" s="1"/>
  <c r="D3" i="8" a="1"/>
  <c r="D3" i="8" s="1"/>
  <c r="B4" i="8" a="1"/>
  <c r="B4" i="8" s="1"/>
  <c r="D4" i="8" a="1"/>
  <c r="D4" i="8" s="1"/>
  <c r="B5" i="8" a="1"/>
  <c r="B5" i="8" s="1"/>
  <c r="D5" i="8" a="1"/>
  <c r="D5" i="8" s="1"/>
  <c r="B6" i="8" a="1"/>
  <c r="B6" i="8" s="1"/>
  <c r="D6" i="8" a="1"/>
  <c r="D6" i="8" s="1"/>
  <c r="B7" i="8" a="1"/>
  <c r="B7" i="8" s="1"/>
  <c r="D7" i="8" a="1"/>
  <c r="D7" i="8" s="1"/>
  <c r="B8" i="8" a="1"/>
  <c r="B8" i="8" s="1"/>
  <c r="D8" i="8" a="1"/>
  <c r="D8" i="8" s="1"/>
  <c r="B9" i="8" a="1"/>
  <c r="B9" i="8" s="1"/>
  <c r="D9" i="8" a="1"/>
  <c r="D9" i="8" s="1"/>
  <c r="B10" i="8" a="1"/>
  <c r="B10" i="8" s="1"/>
  <c r="D10" i="8" a="1"/>
  <c r="D10" i="8" s="1"/>
  <c r="B11" i="8" a="1"/>
  <c r="B11" i="8" s="1"/>
  <c r="D11" i="8" a="1"/>
  <c r="D11" i="8" s="1"/>
  <c r="B12" i="8" a="1"/>
  <c r="B12" i="8" s="1"/>
  <c r="D12" i="8" a="1"/>
  <c r="D12" i="8" s="1"/>
  <c r="B13" i="8" a="1"/>
  <c r="B13" i="8" s="1"/>
  <c r="D13" i="8" a="1"/>
  <c r="D13" i="8" s="1"/>
  <c r="B14" i="8" a="1"/>
  <c r="B14" i="8" s="1"/>
  <c r="D14" i="8" a="1"/>
  <c r="D14" i="8" s="1"/>
  <c r="B15" i="8" a="1"/>
  <c r="B15" i="8" s="1"/>
  <c r="D15" i="8" a="1"/>
  <c r="D15" i="8" s="1"/>
  <c r="B16" i="8" a="1"/>
  <c r="B16" i="8" s="1"/>
  <c r="D16" i="8" a="1"/>
  <c r="D16" i="8" s="1"/>
  <c r="B17" i="8" a="1"/>
  <c r="B17" i="8" s="1"/>
  <c r="D17" i="8" a="1"/>
  <c r="D17" i="8" s="1"/>
  <c r="B18" i="8" a="1"/>
  <c r="B18" i="8" s="1"/>
  <c r="D18" i="8" a="1"/>
  <c r="D18" i="8" s="1"/>
  <c r="B19" i="8" a="1"/>
  <c r="B19" i="8" s="1"/>
  <c r="D19" i="8" a="1"/>
  <c r="D19" i="8" s="1"/>
  <c r="B20" i="8" a="1"/>
  <c r="B20" i="8" s="1"/>
  <c r="D20" i="8" a="1"/>
  <c r="D20" i="8" s="1"/>
  <c r="B21" i="8" a="1"/>
  <c r="B21" i="8" s="1"/>
  <c r="D21" i="8" a="1"/>
  <c r="D21" i="8" s="1"/>
  <c r="B22" i="8" a="1"/>
  <c r="B22" i="8" s="1"/>
  <c r="D22" i="8" a="1"/>
  <c r="D22" i="8" s="1"/>
  <c r="B23" i="8" a="1"/>
  <c r="B23" i="8" s="1"/>
  <c r="D23" i="8" a="1"/>
  <c r="D23" i="8" s="1"/>
  <c r="B24" i="8" a="1"/>
  <c r="B24" i="8" s="1"/>
  <c r="D24" i="8" a="1"/>
  <c r="D24" i="8" s="1"/>
  <c r="B25" i="8" a="1"/>
  <c r="B25" i="8" s="1"/>
  <c r="D25" i="8" a="1"/>
  <c r="D25" i="8" s="1"/>
  <c r="B26" i="8" a="1"/>
  <c r="B26" i="8" s="1"/>
  <c r="D26" i="8" a="1"/>
  <c r="D26" i="8" s="1"/>
  <c r="B27" i="8" a="1"/>
  <c r="B27" i="8" s="1"/>
  <c r="D27" i="8" a="1"/>
  <c r="D27" i="8" s="1"/>
  <c r="B28" i="8" a="1"/>
  <c r="B28" i="8" s="1"/>
  <c r="D28" i="8" a="1"/>
  <c r="D28" i="8" s="1"/>
  <c r="B29" i="8" a="1"/>
  <c r="B29" i="8" s="1"/>
  <c r="D29" i="8" a="1"/>
  <c r="D29" i="8" s="1"/>
  <c r="B30" i="8" a="1"/>
  <c r="B30" i="8" s="1"/>
  <c r="D30" i="8" a="1"/>
  <c r="D30" i="8" s="1"/>
  <c r="B31" i="8" a="1"/>
  <c r="B31" i="8" s="1"/>
  <c r="D31" i="8" a="1"/>
  <c r="D31" i="8" s="1"/>
  <c r="B32" i="8" a="1"/>
  <c r="B32" i="8" s="1"/>
  <c r="D32" i="8" a="1"/>
  <c r="D32" i="8" s="1"/>
  <c r="B33" i="8" a="1"/>
  <c r="B33" i="8" s="1"/>
  <c r="D33" i="8" a="1"/>
  <c r="D33" i="8" s="1"/>
  <c r="B34" i="8" a="1"/>
  <c r="B34" i="8" s="1"/>
  <c r="D34" i="8" a="1"/>
  <c r="D34" i="8" s="1"/>
  <c r="B35" i="8" a="1"/>
  <c r="B35" i="8" s="1"/>
  <c r="D35" i="8" a="1"/>
  <c r="D35" i="8" s="1"/>
  <c r="B36" i="8" a="1"/>
  <c r="B36" i="8" s="1"/>
  <c r="D36" i="8" a="1"/>
  <c r="D36" i="8" s="1"/>
  <c r="B37" i="8" a="1"/>
  <c r="B37" i="8" s="1"/>
  <c r="D37" i="8" a="1"/>
  <c r="D37" i="8" s="1"/>
  <c r="B38" i="8" a="1"/>
  <c r="B38" i="8" s="1"/>
  <c r="D38" i="8" a="1"/>
  <c r="D38" i="8" s="1"/>
  <c r="B39" i="8" a="1"/>
  <c r="B39" i="8" s="1"/>
  <c r="D39" i="8" a="1"/>
  <c r="D39" i="8" s="1"/>
  <c r="B40" i="8" a="1"/>
  <c r="B40" i="8" s="1"/>
  <c r="D40" i="8" a="1"/>
  <c r="D40" i="8" s="1"/>
  <c r="B41" i="8" a="1"/>
  <c r="B41" i="8" s="1"/>
  <c r="D41" i="8" a="1"/>
  <c r="D41" i="8" s="1"/>
  <c r="B42" i="8" a="1"/>
  <c r="B42" i="8" s="1"/>
  <c r="D42" i="8" a="1"/>
  <c r="D42" i="8" s="1"/>
  <c r="B43" i="8" a="1"/>
  <c r="B43" i="8" s="1"/>
  <c r="D43" i="8" a="1"/>
  <c r="D43" i="8" s="1"/>
  <c r="B44" i="8" a="1"/>
  <c r="B44" i="8" s="1"/>
  <c r="D44" i="8" a="1"/>
  <c r="D44" i="8" s="1"/>
  <c r="B45" i="8" a="1"/>
  <c r="B45" i="8" s="1"/>
  <c r="D45" i="8" a="1"/>
  <c r="D45" i="8" s="1"/>
  <c r="B46" i="8" a="1"/>
  <c r="B46" i="8" s="1"/>
  <c r="D46" i="8" a="1"/>
  <c r="D46" i="8" s="1"/>
  <c r="B47" i="8" a="1"/>
  <c r="B47" i="8" s="1"/>
  <c r="D47" i="8" a="1"/>
  <c r="D47" i="8" s="1"/>
  <c r="B48" i="8" a="1"/>
  <c r="B48" i="8" s="1"/>
  <c r="D48" i="8" a="1"/>
  <c r="D48" i="8" s="1"/>
  <c r="B49" i="8" a="1"/>
  <c r="B49" i="8" s="1"/>
  <c r="D49" i="8" a="1"/>
  <c r="D49" i="8" s="1"/>
  <c r="B50" i="8" a="1"/>
  <c r="B50" i="8" s="1"/>
  <c r="D50" i="8" a="1"/>
  <c r="D50" i="8" s="1"/>
  <c r="B51" i="8" a="1"/>
  <c r="B51" i="8" s="1"/>
  <c r="D51" i="8" a="1"/>
  <c r="D51" i="8" s="1"/>
  <c r="B52" i="8" a="1"/>
  <c r="B52" i="8" s="1"/>
  <c r="D52" i="8" a="1"/>
  <c r="D52" i="8" s="1"/>
  <c r="B53" i="8" a="1"/>
  <c r="B53" i="8" s="1"/>
  <c r="D53" i="8" a="1"/>
  <c r="D53" i="8" s="1"/>
  <c r="B54" i="8" a="1"/>
  <c r="B54" i="8" s="1"/>
  <c r="D54" i="8" a="1"/>
  <c r="D54" i="8" s="1"/>
  <c r="B55" i="8" a="1"/>
  <c r="B55" i="8" s="1"/>
  <c r="D55" i="8" a="1"/>
  <c r="D55" i="8" s="1"/>
  <c r="B56" i="8" a="1"/>
  <c r="B56" i="8" s="1"/>
  <c r="D56" i="8" a="1"/>
  <c r="D56" i="8" s="1"/>
  <c r="B57" i="8" a="1"/>
  <c r="B57" i="8" s="1"/>
  <c r="D57" i="8" a="1"/>
  <c r="D57" i="8" s="1"/>
  <c r="B58" i="8" a="1"/>
  <c r="B58" i="8" s="1"/>
  <c r="D58" i="8" a="1"/>
  <c r="D58" i="8" s="1"/>
  <c r="B59" i="8" a="1"/>
  <c r="B59" i="8" s="1"/>
  <c r="D59" i="8" a="1"/>
  <c r="D59" i="8" s="1"/>
  <c r="B60" i="8" a="1"/>
  <c r="B60" i="8" s="1"/>
  <c r="D60" i="8" a="1"/>
  <c r="D60" i="8" s="1"/>
  <c r="B61" i="8" a="1"/>
  <c r="B61" i="8" s="1"/>
  <c r="D61" i="8" a="1"/>
  <c r="D61" i="8" s="1"/>
  <c r="B62" i="8" a="1"/>
  <c r="B62" i="8" s="1"/>
  <c r="D62" i="8" a="1"/>
  <c r="D62" i="8" s="1"/>
  <c r="B63" i="8" a="1"/>
  <c r="B63" i="8" s="1"/>
  <c r="D63" i="8" a="1"/>
  <c r="D63" i="8" s="1"/>
  <c r="B64" i="8" a="1"/>
  <c r="B64" i="8" s="1"/>
  <c r="D64" i="8" a="1"/>
  <c r="D64" i="8" s="1"/>
  <c r="B65" i="8" a="1"/>
  <c r="B65" i="8" s="1"/>
  <c r="D65" i="8" a="1"/>
  <c r="D65" i="8" s="1"/>
  <c r="B66" i="8" a="1"/>
  <c r="B66" i="8" s="1"/>
  <c r="D66" i="8" a="1"/>
  <c r="D66" i="8" s="1"/>
  <c r="B67" i="8" a="1"/>
  <c r="B67" i="8" s="1"/>
  <c r="D67" i="8" a="1"/>
  <c r="D67" i="8" s="1"/>
  <c r="B68" i="8" a="1"/>
  <c r="B68" i="8" s="1"/>
  <c r="D68" i="8" a="1"/>
  <c r="D68" i="8" s="1"/>
  <c r="B69" i="8" a="1"/>
  <c r="B69" i="8" s="1"/>
  <c r="D69" i="8" a="1"/>
  <c r="D69" i="8" s="1"/>
  <c r="B70" i="8" a="1"/>
  <c r="B70" i="8" s="1"/>
  <c r="D70" i="8" a="1"/>
  <c r="D70" i="8" s="1"/>
  <c r="B71" i="8" a="1"/>
  <c r="B71" i="8" s="1"/>
  <c r="D71" i="8" a="1"/>
  <c r="D71" i="8" s="1"/>
  <c r="B72" i="8" a="1"/>
  <c r="B72" i="8" s="1"/>
  <c r="D72" i="8" a="1"/>
  <c r="D72" i="8" s="1"/>
  <c r="B73" i="8" a="1"/>
  <c r="B73" i="8" s="1"/>
  <c r="D73" i="8" a="1"/>
  <c r="D73" i="8" s="1"/>
  <c r="B74" i="8" a="1"/>
  <c r="B74" i="8" s="1"/>
  <c r="D74" i="8" a="1"/>
  <c r="D74" i="8" s="1"/>
  <c r="B75" i="8" a="1"/>
  <c r="B75" i="8" s="1"/>
  <c r="D75" i="8" a="1"/>
  <c r="D75" i="8" s="1"/>
  <c r="B76" i="8" a="1"/>
  <c r="B76" i="8" s="1"/>
  <c r="D76" i="8" a="1"/>
  <c r="D76" i="8" s="1"/>
  <c r="B77" i="8" a="1"/>
  <c r="B77" i="8" s="1"/>
  <c r="D77" i="8" a="1"/>
  <c r="D77" i="8" s="1"/>
  <c r="B78" i="8" a="1"/>
  <c r="B78" i="8" s="1"/>
  <c r="D78" i="8" a="1"/>
  <c r="D78" i="8" s="1"/>
  <c r="B79" i="8" a="1"/>
  <c r="B79" i="8" s="1"/>
  <c r="D79" i="8" a="1"/>
  <c r="D79" i="8" s="1"/>
  <c r="B80" i="8" a="1"/>
  <c r="B80" i="8" s="1"/>
  <c r="D80" i="8" a="1"/>
  <c r="D80" i="8" s="1"/>
  <c r="B81" i="8" a="1"/>
  <c r="B81" i="8" s="1"/>
  <c r="D81" i="8" a="1"/>
  <c r="D81" i="8" s="1"/>
  <c r="B82" i="8" a="1"/>
  <c r="B82" i="8" s="1"/>
  <c r="D82" i="8" a="1"/>
  <c r="D82" i="8" s="1"/>
  <c r="B83" i="8" a="1"/>
  <c r="B83" i="8" s="1"/>
  <c r="D83" i="8" a="1"/>
  <c r="D83" i="8" s="1"/>
  <c r="B84" i="8" a="1"/>
  <c r="B84" i="8" s="1"/>
  <c r="D84" i="8" a="1"/>
  <c r="D84" i="8" s="1"/>
  <c r="B85" i="8" a="1"/>
  <c r="B85" i="8" s="1"/>
  <c r="D85" i="8" a="1"/>
  <c r="D85" i="8" s="1"/>
  <c r="B86" i="8" a="1"/>
  <c r="B86" i="8" s="1"/>
  <c r="D86" i="8" a="1"/>
  <c r="D86" i="8" s="1"/>
  <c r="B87" i="8" a="1"/>
  <c r="B87" i="8" s="1"/>
  <c r="D87" i="8" a="1"/>
  <c r="D87" i="8" s="1"/>
  <c r="B88" i="8" a="1"/>
  <c r="B88" i="8" s="1"/>
  <c r="D88" i="8" a="1"/>
  <c r="D88" i="8" s="1"/>
  <c r="B89" i="8" a="1"/>
  <c r="B89" i="8" s="1"/>
  <c r="D89" i="8" a="1"/>
  <c r="D89" i="8" s="1"/>
  <c r="B90" i="8" a="1"/>
  <c r="B90" i="8" s="1"/>
  <c r="D90" i="8" a="1"/>
  <c r="D90" i="8" s="1"/>
  <c r="B91" i="8" a="1"/>
  <c r="B91" i="8" s="1"/>
  <c r="D91" i="8" a="1"/>
  <c r="D91" i="8" s="1"/>
  <c r="B92" i="8" a="1"/>
  <c r="B92" i="8" s="1"/>
  <c r="D92" i="8" a="1"/>
  <c r="D92" i="8" s="1"/>
  <c r="B93" i="8" a="1"/>
  <c r="B93" i="8" s="1"/>
  <c r="D93" i="8" a="1"/>
  <c r="D93" i="8" s="1"/>
  <c r="B94" i="8" a="1"/>
  <c r="B94" i="8" s="1"/>
  <c r="D94" i="8" a="1"/>
  <c r="D94" i="8" s="1"/>
  <c r="B95" i="8" a="1"/>
  <c r="B95" i="8" s="1"/>
  <c r="D95" i="8" a="1"/>
  <c r="D95" i="8" s="1"/>
  <c r="B96" i="8" a="1"/>
  <c r="B96" i="8" s="1"/>
  <c r="D96" i="8" a="1"/>
  <c r="D96" i="8" s="1"/>
  <c r="B97" i="8" a="1"/>
  <c r="B97" i="8" s="1"/>
  <c r="D97" i="8" a="1"/>
  <c r="D97" i="8" s="1"/>
  <c r="B98" i="8" a="1"/>
  <c r="B98" i="8" s="1"/>
  <c r="D98" i="8" a="1"/>
  <c r="D98" i="8" s="1"/>
  <c r="B99" i="8" a="1"/>
  <c r="B99" i="8" s="1"/>
  <c r="D99" i="8" a="1"/>
  <c r="D99" i="8" s="1"/>
  <c r="B100" i="8" a="1"/>
  <c r="B100" i="8" s="1"/>
  <c r="D100" i="8" a="1"/>
  <c r="D100" i="8" s="1"/>
  <c r="B101" i="8" a="1"/>
  <c r="B101" i="8" s="1"/>
  <c r="D101" i="8" a="1"/>
  <c r="D101" i="8" s="1"/>
  <c r="B102" i="8" a="1"/>
  <c r="B102" i="8" s="1"/>
  <c r="D102" i="8" a="1"/>
  <c r="D102" i="8" s="1"/>
  <c r="B103" i="8" a="1"/>
  <c r="B103" i="8" s="1"/>
  <c r="D103" i="8" a="1"/>
  <c r="D103" i="8" s="1"/>
  <c r="B104" i="8" a="1"/>
  <c r="B104" i="8" s="1"/>
  <c r="D104" i="8" a="1"/>
  <c r="D104" i="8" s="1"/>
  <c r="B105" i="8" a="1"/>
  <c r="B105" i="8" s="1"/>
  <c r="D105" i="8" a="1"/>
  <c r="D105" i="8" s="1"/>
  <c r="B106" i="8" a="1"/>
  <c r="B106" i="8" s="1"/>
  <c r="D106" i="8" a="1"/>
  <c r="D106" i="8" s="1"/>
  <c r="B107" i="8" a="1"/>
  <c r="B107" i="8" s="1"/>
  <c r="D107" i="8" a="1"/>
  <c r="D107" i="8" s="1"/>
  <c r="B108" i="8" a="1"/>
  <c r="B108" i="8" s="1"/>
  <c r="D108" i="8" a="1"/>
  <c r="D108" i="8" s="1"/>
  <c r="B109" i="8" a="1"/>
  <c r="B109" i="8" s="1"/>
  <c r="D109" i="8" a="1"/>
  <c r="D109" i="8" s="1"/>
  <c r="B110" i="8" a="1"/>
  <c r="B110" i="8" s="1"/>
  <c r="D110" i="8" a="1"/>
  <c r="D110" i="8" s="1"/>
  <c r="B111" i="8" a="1"/>
  <c r="B111" i="8" s="1"/>
  <c r="D111" i="8" a="1"/>
  <c r="D111" i="8" s="1"/>
  <c r="B112" i="8" a="1"/>
  <c r="B112" i="8" s="1"/>
  <c r="D112" i="8" a="1"/>
  <c r="D112" i="8" s="1"/>
  <c r="B113" i="8" a="1"/>
  <c r="B113" i="8" s="1"/>
  <c r="D113" i="8" a="1"/>
  <c r="D113" i="8" s="1"/>
  <c r="B114" i="8" a="1"/>
  <c r="B114" i="8" s="1"/>
  <c r="D114" i="8" a="1"/>
  <c r="D114" i="8" s="1"/>
  <c r="B115" i="8" a="1"/>
  <c r="B115" i="8" s="1"/>
  <c r="D115" i="8" a="1"/>
  <c r="D115" i="8" s="1"/>
  <c r="B116" i="8" a="1"/>
  <c r="B116" i="8" s="1"/>
  <c r="D116" i="8" a="1"/>
  <c r="D116" i="8" s="1"/>
  <c r="B117" i="8" a="1"/>
  <c r="B117" i="8" s="1"/>
  <c r="D117" i="8" a="1"/>
  <c r="D117" i="8" s="1"/>
  <c r="B118" i="8" a="1"/>
  <c r="B118" i="8" s="1"/>
  <c r="D118" i="8" a="1"/>
  <c r="D118" i="8" s="1"/>
  <c r="B119" i="8" a="1"/>
  <c r="B119" i="8" s="1"/>
  <c r="D119" i="8" a="1"/>
  <c r="D119" i="8" s="1"/>
  <c r="B120" i="8" a="1"/>
  <c r="B120" i="8" s="1"/>
  <c r="D120" i="8" a="1"/>
  <c r="D120" i="8" s="1"/>
  <c r="B121" i="8" a="1"/>
  <c r="B121" i="8" s="1"/>
  <c r="D121" i="8" a="1"/>
  <c r="D121" i="8" s="1"/>
  <c r="B122" i="8" a="1"/>
  <c r="B122" i="8" s="1"/>
  <c r="D122" i="8" a="1"/>
  <c r="D122" i="8" s="1"/>
  <c r="B123" i="8" a="1"/>
  <c r="B123" i="8" s="1"/>
  <c r="D123" i="8" a="1"/>
  <c r="D123" i="8" s="1"/>
  <c r="B124" i="8" a="1"/>
  <c r="B124" i="8" s="1"/>
  <c r="D124" i="8" a="1"/>
  <c r="D124" i="8" s="1"/>
  <c r="B125" i="8" a="1"/>
  <c r="B125" i="8" s="1"/>
  <c r="D125" i="8" a="1"/>
  <c r="D125" i="8" s="1"/>
  <c r="B126" i="8" a="1"/>
  <c r="B126" i="8" s="1"/>
  <c r="D126" i="8" a="1"/>
  <c r="D126" i="8" s="1"/>
  <c r="B127" i="8" a="1"/>
  <c r="B127" i="8" s="1"/>
  <c r="D127" i="8" a="1"/>
  <c r="D127" i="8" s="1"/>
  <c r="B128" i="8" a="1"/>
  <c r="B128" i="8" s="1"/>
  <c r="D128" i="8" a="1"/>
  <c r="D128" i="8" s="1"/>
  <c r="B129" i="8" a="1"/>
  <c r="B129" i="8" s="1"/>
  <c r="D129" i="8" a="1"/>
  <c r="D129" i="8" s="1"/>
  <c r="B130" i="8" a="1"/>
  <c r="B130" i="8" s="1"/>
  <c r="D130" i="8" a="1"/>
  <c r="D130" i="8" s="1"/>
  <c r="B131" i="8" a="1"/>
  <c r="B131" i="8" s="1"/>
  <c r="D131" i="8" a="1"/>
  <c r="D131" i="8" s="1"/>
  <c r="B132" i="8" a="1"/>
  <c r="B132" i="8" s="1"/>
  <c r="D132" i="8" a="1"/>
  <c r="D132" i="8" s="1"/>
  <c r="B133" i="8" a="1"/>
  <c r="B133" i="8" s="1"/>
  <c r="D133" i="8" a="1"/>
  <c r="D133" i="8" s="1"/>
  <c r="B134" i="8" a="1"/>
  <c r="B134" i="8" s="1"/>
  <c r="D134" i="8" a="1"/>
  <c r="D134" i="8" s="1"/>
  <c r="B135" i="8" a="1"/>
  <c r="B135" i="8" s="1"/>
  <c r="D135" i="8" a="1"/>
  <c r="D135" i="8" s="1"/>
  <c r="B136" i="8" a="1"/>
  <c r="B136" i="8" s="1"/>
  <c r="D136" i="8" a="1"/>
  <c r="D136" i="8" s="1"/>
  <c r="B137" i="8" a="1"/>
  <c r="B137" i="8" s="1"/>
  <c r="D137" i="8" a="1"/>
  <c r="D137" i="8" s="1"/>
  <c r="B138" i="8" a="1"/>
  <c r="B138" i="8" s="1"/>
  <c r="D138" i="8" a="1"/>
  <c r="D138" i="8" s="1"/>
  <c r="B139" i="8" a="1"/>
  <c r="B139" i="8" s="1"/>
  <c r="D139" i="8" a="1"/>
  <c r="D139" i="8" s="1"/>
  <c r="B140" i="8" a="1"/>
  <c r="B140" i="8" s="1"/>
  <c r="D140" i="8" a="1"/>
  <c r="D140" i="8" s="1"/>
  <c r="B141" i="8" a="1"/>
  <c r="B141" i="8" s="1"/>
  <c r="D141" i="8" a="1"/>
  <c r="D141" i="8" s="1"/>
  <c r="B142" i="8" a="1"/>
  <c r="B142" i="8" s="1"/>
  <c r="D142" i="8" a="1"/>
  <c r="D142" i="8" s="1"/>
  <c r="B143" i="8" a="1"/>
  <c r="B143" i="8" s="1"/>
  <c r="D143" i="8" a="1"/>
  <c r="D143" i="8" s="1"/>
  <c r="B144" i="8" a="1"/>
  <c r="B144" i="8" s="1"/>
  <c r="D144" i="8" a="1"/>
  <c r="D144" i="8" s="1"/>
  <c r="B145" i="8" a="1"/>
  <c r="B145" i="8" s="1"/>
  <c r="D145" i="8" a="1"/>
  <c r="D145" i="8" s="1"/>
  <c r="B146" i="8" a="1"/>
  <c r="B146" i="8" s="1"/>
  <c r="D146" i="8" a="1"/>
  <c r="D146" i="8" s="1"/>
  <c r="B147" i="8" a="1"/>
  <c r="B147" i="8" s="1"/>
  <c r="D147" i="8" a="1"/>
  <c r="D147" i="8" s="1"/>
  <c r="B148" i="8" a="1"/>
  <c r="B148" i="8" s="1"/>
  <c r="D148" i="8" a="1"/>
  <c r="D148" i="8" s="1"/>
  <c r="B149" i="8" a="1"/>
  <c r="B149" i="8" s="1"/>
  <c r="D149" i="8" a="1"/>
  <c r="D149" i="8" s="1"/>
  <c r="B150" i="8" a="1"/>
  <c r="B150" i="8" s="1"/>
  <c r="D150" i="8" a="1"/>
  <c r="D150" i="8" s="1"/>
  <c r="B151" i="8" a="1"/>
  <c r="B151" i="8" s="1"/>
  <c r="D151" i="8" a="1"/>
  <c r="D151" i="8" s="1"/>
  <c r="B152" i="8" a="1"/>
  <c r="B152" i="8" s="1"/>
  <c r="D152" i="8" a="1"/>
  <c r="D152" i="8" s="1"/>
  <c r="B153" i="8" a="1"/>
  <c r="B153" i="8" s="1"/>
  <c r="D153" i="8" a="1"/>
  <c r="D153" i="8" s="1"/>
  <c r="B154" i="8" a="1"/>
  <c r="B154" i="8" s="1"/>
  <c r="D154" i="8" a="1"/>
  <c r="D154" i="8" s="1"/>
  <c r="B155" i="8" a="1"/>
  <c r="B155" i="8" s="1"/>
  <c r="D155" i="8" a="1"/>
  <c r="D155" i="8" s="1"/>
  <c r="B156" i="8" a="1"/>
  <c r="B156" i="8" s="1"/>
  <c r="D156" i="8" a="1"/>
  <c r="D156" i="8" s="1"/>
  <c r="B157" i="8" a="1"/>
  <c r="B157" i="8" s="1"/>
  <c r="D157" i="8" a="1"/>
  <c r="D157" i="8" s="1"/>
  <c r="B158" i="8" a="1"/>
  <c r="B158" i="8" s="1"/>
  <c r="D158" i="8" a="1"/>
  <c r="D158" i="8" s="1"/>
  <c r="B159" i="8" a="1"/>
  <c r="B159" i="8" s="1"/>
  <c r="D159" i="8" a="1"/>
  <c r="D159" i="8" s="1"/>
  <c r="B160" i="8" a="1"/>
  <c r="B160" i="8" s="1"/>
  <c r="D160" i="8" a="1"/>
  <c r="D160" i="8" s="1"/>
  <c r="B161" i="8" a="1"/>
  <c r="B161" i="8" s="1"/>
  <c r="D161" i="8" a="1"/>
  <c r="D161" i="8" s="1"/>
  <c r="B162" i="8" a="1"/>
  <c r="B162" i="8" s="1"/>
  <c r="D162" i="8" a="1"/>
  <c r="D162" i="8" s="1"/>
  <c r="B163" i="8" a="1"/>
  <c r="B163" i="8" s="1"/>
  <c r="D163" i="8" a="1"/>
  <c r="D163" i="8" s="1"/>
  <c r="B164" i="8" a="1"/>
  <c r="B164" i="8" s="1"/>
  <c r="D164" i="8" a="1"/>
  <c r="D164" i="8" s="1"/>
  <c r="B165" i="8" a="1"/>
  <c r="B165" i="8" s="1"/>
  <c r="D165" i="8" a="1"/>
  <c r="D165" i="8" s="1"/>
  <c r="B166" i="8" a="1"/>
  <c r="B166" i="8" s="1"/>
  <c r="D166" i="8" a="1"/>
  <c r="D166" i="8" s="1"/>
  <c r="B167" i="8" a="1"/>
  <c r="B167" i="8" s="1"/>
  <c r="D167" i="8" a="1"/>
  <c r="D167" i="8" s="1"/>
  <c r="B168" i="8" a="1"/>
  <c r="B168" i="8" s="1"/>
  <c r="D168" i="8" a="1"/>
  <c r="D168" i="8" s="1"/>
  <c r="B169" i="8" a="1"/>
  <c r="B169" i="8" s="1"/>
  <c r="D169" i="8" a="1"/>
  <c r="D169" i="8" s="1"/>
  <c r="B170" i="8" a="1"/>
  <c r="B170" i="8" s="1"/>
  <c r="D170" i="8" a="1"/>
  <c r="D170" i="8" s="1"/>
  <c r="B171" i="8" a="1"/>
  <c r="B171" i="8" s="1"/>
  <c r="D171" i="8" a="1"/>
  <c r="D171" i="8" s="1"/>
  <c r="B172" i="8" a="1"/>
  <c r="B172" i="8" s="1"/>
  <c r="D172" i="8" a="1"/>
  <c r="D172" i="8" s="1"/>
  <c r="B173" i="8" a="1"/>
  <c r="B173" i="8" s="1"/>
  <c r="D173" i="8" a="1"/>
  <c r="D173" i="8" s="1"/>
  <c r="B174" i="8" a="1"/>
  <c r="B174" i="8" s="1"/>
  <c r="D174" i="8" a="1"/>
  <c r="D174" i="8" s="1"/>
  <c r="B175" i="8" a="1"/>
  <c r="B175" i="8" s="1"/>
  <c r="D175" i="8" a="1"/>
  <c r="D175" i="8" s="1"/>
  <c r="B176" i="8" a="1"/>
  <c r="B176" i="8" s="1"/>
  <c r="D176" i="8" a="1"/>
  <c r="D176" i="8" s="1"/>
  <c r="B177" i="8" a="1"/>
  <c r="B177" i="8" s="1"/>
  <c r="D177" i="8" a="1"/>
  <c r="D177" i="8" s="1"/>
  <c r="B178" i="8" a="1"/>
  <c r="B178" i="8" s="1"/>
  <c r="D178" i="8" a="1"/>
  <c r="D178" i="8" s="1"/>
  <c r="B179" i="8" a="1"/>
  <c r="B179" i="8" s="1"/>
  <c r="D179" i="8" a="1"/>
  <c r="D179" i="8" s="1"/>
  <c r="B180" i="8" a="1"/>
  <c r="B180" i="8" s="1"/>
  <c r="D180" i="8" a="1"/>
  <c r="D180" i="8" s="1"/>
  <c r="B181" i="8" a="1"/>
  <c r="B181" i="8" s="1"/>
  <c r="D181" i="8" a="1"/>
  <c r="D181" i="8" s="1"/>
  <c r="B182" i="8" a="1"/>
  <c r="B182" i="8" s="1"/>
  <c r="D182" i="8" a="1"/>
  <c r="D182" i="8" s="1"/>
  <c r="B183" i="8" a="1"/>
  <c r="B183" i="8" s="1"/>
  <c r="D183" i="8" a="1"/>
  <c r="D183" i="8" s="1"/>
  <c r="B184" i="8" a="1"/>
  <c r="B184" i="8" s="1"/>
  <c r="D184" i="8" a="1"/>
  <c r="D184" i="8" s="1"/>
  <c r="B185" i="8" a="1"/>
  <c r="B185" i="8" s="1"/>
  <c r="D185" i="8" a="1"/>
  <c r="D185" i="8" s="1"/>
  <c r="B186" i="8" a="1"/>
  <c r="B186" i="8" s="1"/>
  <c r="D186" i="8" a="1"/>
  <c r="D186" i="8" s="1"/>
  <c r="B187" i="8" a="1"/>
  <c r="B187" i="8" s="1"/>
  <c r="D187" i="8" a="1"/>
  <c r="D187" i="8" s="1"/>
  <c r="B188" i="8" a="1"/>
  <c r="B188" i="8" s="1"/>
  <c r="D188" i="8" a="1"/>
  <c r="D188" i="8" s="1"/>
  <c r="B189" i="8" a="1"/>
  <c r="B189" i="8" s="1"/>
  <c r="D189" i="8" a="1"/>
  <c r="D189" i="8" s="1"/>
  <c r="B190" i="8" a="1"/>
  <c r="B190" i="8" s="1"/>
  <c r="D190" i="8" a="1"/>
  <c r="D190" i="8" s="1"/>
  <c r="B191" i="8" a="1"/>
  <c r="B191" i="8" s="1"/>
  <c r="D191" i="8" a="1"/>
  <c r="D191" i="8" s="1"/>
  <c r="B192" i="8" a="1"/>
  <c r="B192" i="8" s="1"/>
  <c r="D192" i="8" a="1"/>
  <c r="D192" i="8" s="1"/>
  <c r="B193" i="8" a="1"/>
  <c r="B193" i="8" s="1"/>
  <c r="D193" i="8" a="1"/>
  <c r="D193" i="8" s="1"/>
  <c r="B194" i="8" a="1"/>
  <c r="B194" i="8" s="1"/>
  <c r="D194" i="8" a="1"/>
  <c r="D194" i="8" s="1"/>
  <c r="B195" i="8" a="1"/>
  <c r="B195" i="8" s="1"/>
  <c r="D195" i="8" a="1"/>
  <c r="D195" i="8" s="1"/>
  <c r="B196" i="8" a="1"/>
  <c r="B196" i="8" s="1"/>
  <c r="D196" i="8" a="1"/>
  <c r="D196" i="8" s="1"/>
  <c r="B197" i="8" a="1"/>
  <c r="B197" i="8" s="1"/>
  <c r="D197" i="8" a="1"/>
  <c r="D197" i="8" s="1"/>
  <c r="B198" i="8" a="1"/>
  <c r="B198" i="8" s="1"/>
  <c r="D198" i="8" a="1"/>
  <c r="D198" i="8" s="1"/>
  <c r="B199" i="8" a="1"/>
  <c r="B199" i="8" s="1"/>
  <c r="D199" i="8" a="1"/>
  <c r="D199" i="8" s="1"/>
  <c r="B200" i="8" a="1"/>
  <c r="B200" i="8" s="1"/>
  <c r="D200" i="8" a="1"/>
  <c r="D200" i="8" s="1"/>
  <c r="B201" i="8" a="1"/>
  <c r="B201" i="8" s="1"/>
  <c r="D201" i="8" a="1"/>
  <c r="D201" i="8" s="1"/>
  <c r="B202" i="8" a="1"/>
  <c r="B202" i="8" s="1"/>
  <c r="D202" i="8" a="1"/>
  <c r="D202" i="8" s="1"/>
  <c r="B203" i="8" a="1"/>
  <c r="B203" i="8" s="1"/>
  <c r="D203" i="8" a="1"/>
  <c r="D203" i="8" s="1"/>
  <c r="B204" i="8" a="1"/>
  <c r="B204" i="8" s="1"/>
  <c r="D204" i="8" a="1"/>
  <c r="D204" i="8" s="1"/>
  <c r="B205" i="8" a="1"/>
  <c r="B205" i="8" s="1"/>
  <c r="D205" i="8" a="1"/>
  <c r="D205" i="8" s="1"/>
  <c r="B206" i="8" a="1"/>
  <c r="B206" i="8" s="1"/>
  <c r="D206" i="8" a="1"/>
  <c r="D206" i="8" s="1"/>
  <c r="B207" i="8" a="1"/>
  <c r="B207" i="8" s="1"/>
  <c r="D207" i="8" a="1"/>
  <c r="D207" i="8" s="1"/>
  <c r="B208" i="8" a="1"/>
  <c r="B208" i="8" s="1"/>
  <c r="D208" i="8" a="1"/>
  <c r="D208" i="8" s="1"/>
  <c r="B209" i="8" a="1"/>
  <c r="B209" i="8" s="1"/>
  <c r="D209" i="8" a="1"/>
  <c r="D209" i="8" s="1"/>
  <c r="B210" i="8" a="1"/>
  <c r="B210" i="8" s="1"/>
  <c r="D210" i="8" a="1"/>
  <c r="D210" i="8" s="1"/>
  <c r="B211" i="8" a="1"/>
  <c r="B211" i="8" s="1"/>
  <c r="D211" i="8" a="1"/>
  <c r="D211" i="8" s="1"/>
  <c r="B212" i="8" a="1"/>
  <c r="B212" i="8" s="1"/>
  <c r="D212" i="8" a="1"/>
  <c r="D212" i="8" s="1"/>
  <c r="B213" i="8" a="1"/>
  <c r="B213" i="8" s="1"/>
  <c r="D213" i="8" a="1"/>
  <c r="D213" i="8" s="1"/>
  <c r="B214" i="8" a="1"/>
  <c r="B214" i="8" s="1"/>
  <c r="D214" i="8" a="1"/>
  <c r="D214" i="8" s="1"/>
  <c r="B215" i="8" a="1"/>
  <c r="B215" i="8" s="1"/>
  <c r="D215" i="8" a="1"/>
  <c r="D215" i="8" s="1"/>
  <c r="B216" i="8" a="1"/>
  <c r="B216" i="8" s="1"/>
  <c r="D216" i="8" a="1"/>
  <c r="D216" i="8" s="1"/>
  <c r="B217" i="8" a="1"/>
  <c r="B217" i="8" s="1"/>
  <c r="D217" i="8" a="1"/>
  <c r="D217" i="8" s="1"/>
  <c r="B218" i="8" a="1"/>
  <c r="B218" i="8" s="1"/>
  <c r="D218" i="8" a="1"/>
  <c r="D218" i="8" s="1"/>
  <c r="B219" i="8" a="1"/>
  <c r="B219" i="8" s="1"/>
  <c r="D219" i="8" a="1"/>
  <c r="D219" i="8" s="1"/>
  <c r="B220" i="8" a="1"/>
  <c r="B220" i="8" s="1"/>
  <c r="D220" i="8" a="1"/>
  <c r="D220" i="8" s="1"/>
  <c r="B221" i="8" a="1"/>
  <c r="B221" i="8" s="1"/>
  <c r="D221" i="8" a="1"/>
  <c r="D221" i="8" s="1"/>
  <c r="B222" i="8" a="1"/>
  <c r="B222" i="8" s="1"/>
  <c r="D222" i="8" a="1"/>
  <c r="D222" i="8" s="1"/>
  <c r="B223" i="8" a="1"/>
  <c r="B223" i="8" s="1"/>
  <c r="D223" i="8" a="1"/>
  <c r="D223" i="8" s="1"/>
  <c r="B224" i="8" a="1"/>
  <c r="B224" i="8" s="1"/>
  <c r="D224" i="8" a="1"/>
  <c r="D224" i="8" s="1"/>
  <c r="B225" i="8" a="1"/>
  <c r="B225" i="8" s="1"/>
  <c r="D225" i="8" a="1"/>
  <c r="D225" i="8" s="1"/>
  <c r="B226" i="8" a="1"/>
  <c r="B226" i="8" s="1"/>
  <c r="D226" i="8" a="1"/>
  <c r="D226" i="8" s="1"/>
  <c r="B227" i="8" a="1"/>
  <c r="B227" i="8" s="1"/>
  <c r="D227" i="8" a="1"/>
  <c r="D227" i="8" s="1"/>
  <c r="B228" i="8" a="1"/>
  <c r="B228" i="8" s="1"/>
  <c r="D228" i="8" a="1"/>
  <c r="D228" i="8" s="1"/>
  <c r="B229" i="8" a="1"/>
  <c r="B229" i="8" s="1"/>
  <c r="D229" i="8" a="1"/>
  <c r="D229" i="8" s="1"/>
  <c r="B230" i="8" a="1"/>
  <c r="B230" i="8" s="1"/>
  <c r="D230" i="8" a="1"/>
  <c r="D230" i="8" s="1"/>
  <c r="B231" i="8" a="1"/>
  <c r="B231" i="8" s="1"/>
  <c r="D231" i="8" a="1"/>
  <c r="D231" i="8" s="1"/>
  <c r="B232" i="8" a="1"/>
  <c r="B232" i="8" s="1"/>
  <c r="D232" i="8" a="1"/>
  <c r="D232" i="8" s="1"/>
  <c r="B233" i="8" a="1"/>
  <c r="B233" i="8" s="1"/>
  <c r="D233" i="8" a="1"/>
  <c r="D233" i="8" s="1"/>
  <c r="B234" i="8" a="1"/>
  <c r="B234" i="8" s="1"/>
  <c r="D234" i="8" a="1"/>
  <c r="D234" i="8" s="1"/>
  <c r="B235" i="8" a="1"/>
  <c r="B235" i="8" s="1"/>
  <c r="D235" i="8" a="1"/>
  <c r="D235" i="8" s="1"/>
  <c r="B236" i="8" a="1"/>
  <c r="B236" i="8" s="1"/>
  <c r="D236" i="8" a="1"/>
  <c r="D236" i="8" s="1"/>
  <c r="B237" i="8" a="1"/>
  <c r="B237" i="8" s="1"/>
  <c r="D237" i="8" a="1"/>
  <c r="D237" i="8" s="1"/>
  <c r="B238" i="8" a="1"/>
  <c r="B238" i="8" s="1"/>
  <c r="D238" i="8" a="1"/>
  <c r="D238" i="8" s="1"/>
  <c r="B239" i="8" a="1"/>
  <c r="B239" i="8" s="1"/>
  <c r="D239" i="8" a="1"/>
  <c r="D239" i="8" s="1"/>
  <c r="B240" i="8" a="1"/>
  <c r="B240" i="8" s="1"/>
  <c r="D240" i="8" a="1"/>
  <c r="D240" i="8" s="1"/>
  <c r="B241" i="8" a="1"/>
  <c r="B241" i="8" s="1"/>
  <c r="D241" i="8" a="1"/>
  <c r="D241" i="8" s="1"/>
  <c r="B242" i="8" a="1"/>
  <c r="B242" i="8" s="1"/>
  <c r="D242" i="8" a="1"/>
  <c r="D242" i="8" s="1"/>
  <c r="B243" i="8" a="1"/>
  <c r="B243" i="8" s="1"/>
  <c r="D243" i="8" a="1"/>
  <c r="D243" i="8" s="1"/>
  <c r="B244" i="8" a="1"/>
  <c r="B244" i="8" s="1"/>
  <c r="D244" i="8" a="1"/>
  <c r="D244" i="8" s="1"/>
  <c r="B245" i="8" a="1"/>
  <c r="B245" i="8" s="1"/>
  <c r="D245" i="8" a="1"/>
  <c r="D245" i="8" s="1"/>
  <c r="B246" i="8" a="1"/>
  <c r="B246" i="8" s="1"/>
  <c r="D246" i="8" a="1"/>
  <c r="D246" i="8" s="1"/>
  <c r="B247" i="8" a="1"/>
  <c r="B247" i="8" s="1"/>
  <c r="D247" i="8" a="1"/>
  <c r="D247" i="8" s="1"/>
  <c r="B248" i="8" a="1"/>
  <c r="B248" i="8" s="1"/>
  <c r="D248" i="8" a="1"/>
  <c r="D248" i="8" s="1"/>
  <c r="B249" i="8" a="1"/>
  <c r="B249" i="8" s="1"/>
  <c r="D249" i="8" a="1"/>
  <c r="D249" i="8" s="1"/>
  <c r="B250" i="8" a="1"/>
  <c r="B250" i="8" s="1"/>
  <c r="D250" i="8" a="1"/>
  <c r="D250" i="8" s="1"/>
  <c r="B251" i="8" a="1"/>
  <c r="B251" i="8" s="1"/>
  <c r="D251" i="8" a="1"/>
  <c r="D251" i="8" s="1"/>
  <c r="B252" i="8" a="1"/>
  <c r="B252" i="8" s="1"/>
  <c r="D252" i="8" a="1"/>
  <c r="D252" i="8" s="1"/>
  <c r="B253" i="8" a="1"/>
  <c r="B253" i="8" s="1"/>
  <c r="D253" i="8" a="1"/>
  <c r="D253" i="8" s="1"/>
  <c r="B254" i="8" a="1"/>
  <c r="B254" i="8" s="1"/>
  <c r="D254" i="8" a="1"/>
  <c r="D254" i="8" s="1"/>
  <c r="B255" i="8" a="1"/>
  <c r="B255" i="8" s="1"/>
  <c r="D255" i="8" a="1"/>
  <c r="D255" i="8" s="1"/>
  <c r="B256" i="8" a="1"/>
  <c r="B256" i="8" s="1"/>
  <c r="D256" i="8" a="1"/>
  <c r="D256" i="8" s="1"/>
  <c r="B257" i="8" a="1"/>
  <c r="B257" i="8" s="1"/>
  <c r="D257" i="8" a="1"/>
  <c r="D257" i="8" s="1"/>
  <c r="B258" i="8" a="1"/>
  <c r="B258" i="8" s="1"/>
  <c r="D258" i="8" a="1"/>
  <c r="D258" i="8" s="1"/>
  <c r="B259" i="8" a="1"/>
  <c r="B259" i="8" s="1"/>
  <c r="D259" i="8" a="1"/>
  <c r="D259" i="8" s="1"/>
  <c r="B260" i="8" a="1"/>
  <c r="B260" i="8" s="1"/>
  <c r="D260" i="8" a="1"/>
  <c r="D260" i="8" s="1"/>
  <c r="B261" i="8" a="1"/>
  <c r="B261" i="8" s="1"/>
  <c r="D261" i="8" a="1"/>
  <c r="D261" i="8" s="1"/>
  <c r="B262" i="8" a="1"/>
  <c r="B262" i="8" s="1"/>
  <c r="D262" i="8" a="1"/>
  <c r="D262" i="8" s="1"/>
  <c r="B263" i="8" a="1"/>
  <c r="B263" i="8" s="1"/>
  <c r="D263" i="8" a="1"/>
  <c r="D263" i="8" s="1"/>
  <c r="B264" i="8" a="1"/>
  <c r="B264" i="8" s="1"/>
  <c r="D264" i="8" a="1"/>
  <c r="D264" i="8" s="1"/>
  <c r="B265" i="8" a="1"/>
  <c r="B265" i="8" s="1"/>
  <c r="D265" i="8" a="1"/>
  <c r="D265" i="8" s="1"/>
  <c r="B266" i="8" a="1"/>
  <c r="B266" i="8" s="1"/>
  <c r="D266" i="8" a="1"/>
  <c r="D266" i="8" s="1"/>
  <c r="B267" i="8" a="1"/>
  <c r="B267" i="8" s="1"/>
  <c r="D267" i="8" a="1"/>
  <c r="D267" i="8" s="1"/>
  <c r="B268" i="8" a="1"/>
  <c r="B268" i="8" s="1"/>
  <c r="D268" i="8" a="1"/>
  <c r="D268" i="8" s="1"/>
  <c r="B269" i="8" a="1"/>
  <c r="B269" i="8" s="1"/>
  <c r="D269" i="8" a="1"/>
  <c r="D269" i="8" s="1"/>
  <c r="B270" i="8" a="1"/>
  <c r="B270" i="8" s="1"/>
  <c r="D270" i="8" a="1"/>
  <c r="D270" i="8" s="1"/>
  <c r="B271" i="8" a="1"/>
  <c r="B271" i="8" s="1"/>
  <c r="D271" i="8" a="1"/>
  <c r="D271" i="8" s="1"/>
  <c r="B272" i="8" a="1"/>
  <c r="B272" i="8" s="1"/>
  <c r="D272" i="8" a="1"/>
  <c r="D272" i="8" s="1"/>
  <c r="B273" i="8" a="1"/>
  <c r="B273" i="8" s="1"/>
  <c r="D273" i="8" a="1"/>
  <c r="D273" i="8" s="1"/>
  <c r="B274" i="8" a="1"/>
  <c r="B274" i="8" s="1"/>
  <c r="D274" i="8" a="1"/>
  <c r="D274" i="8" s="1"/>
  <c r="B275" i="8" a="1"/>
  <c r="B275" i="8" s="1"/>
  <c r="D275" i="8" a="1"/>
  <c r="D275" i="8" s="1"/>
  <c r="B276" i="8" a="1"/>
  <c r="B276" i="8" s="1"/>
  <c r="D276" i="8" a="1"/>
  <c r="D276" i="8" s="1"/>
  <c r="B277" i="8" a="1"/>
  <c r="B277" i="8" s="1"/>
  <c r="D277" i="8" a="1"/>
  <c r="D277" i="8" s="1"/>
  <c r="B278" i="8" a="1"/>
  <c r="B278" i="8" s="1"/>
  <c r="D278" i="8" a="1"/>
  <c r="D278" i="8" s="1"/>
  <c r="B279" i="8" a="1"/>
  <c r="B279" i="8" s="1"/>
  <c r="D279" i="8" a="1"/>
  <c r="D279" i="8" s="1"/>
  <c r="B280" i="8" a="1"/>
  <c r="B280" i="8" s="1"/>
  <c r="D280" i="8" a="1"/>
  <c r="D280" i="8" s="1"/>
  <c r="B281" i="8" a="1"/>
  <c r="B281" i="8" s="1"/>
  <c r="D281" i="8" a="1"/>
  <c r="D281" i="8" s="1"/>
  <c r="B282" i="8" a="1"/>
  <c r="B282" i="8" s="1"/>
  <c r="D282" i="8" a="1"/>
  <c r="D282" i="8" s="1"/>
  <c r="B283" i="8" a="1"/>
  <c r="B283" i="8" s="1"/>
  <c r="D283" i="8" a="1"/>
  <c r="D283" i="8" s="1"/>
  <c r="B284" i="8" a="1"/>
  <c r="B284" i="8" s="1"/>
  <c r="D284" i="8" a="1"/>
  <c r="D284" i="8" s="1"/>
  <c r="B285" i="8" a="1"/>
  <c r="B285" i="8" s="1"/>
  <c r="D285" i="8" a="1"/>
  <c r="D285" i="8" s="1"/>
  <c r="B286" i="8" a="1"/>
  <c r="B286" i="8" s="1"/>
  <c r="D286" i="8" a="1"/>
  <c r="D286" i="8" s="1"/>
  <c r="B287" i="8" a="1"/>
  <c r="B287" i="8" s="1"/>
  <c r="D287" i="8" a="1"/>
  <c r="D287" i="8" s="1"/>
  <c r="B288" i="8" a="1"/>
  <c r="B288" i="8" s="1"/>
  <c r="D288" i="8" a="1"/>
  <c r="D288" i="8" s="1"/>
  <c r="B289" i="8" a="1"/>
  <c r="B289" i="8" s="1"/>
  <c r="D289" i="8" a="1"/>
  <c r="D289" i="8" s="1"/>
  <c r="B290" i="8" a="1"/>
  <c r="B290" i="8" s="1"/>
  <c r="D290" i="8" a="1"/>
  <c r="D290" i="8" s="1"/>
  <c r="B291" i="8" a="1"/>
  <c r="B291" i="8" s="1"/>
  <c r="D291" i="8" a="1"/>
  <c r="D291" i="8" s="1"/>
  <c r="B292" i="8" a="1"/>
  <c r="B292" i="8" s="1"/>
  <c r="D292" i="8" a="1"/>
  <c r="D292" i="8" s="1"/>
  <c r="B293" i="8" a="1"/>
  <c r="B293" i="8" s="1"/>
  <c r="D293" i="8" a="1"/>
  <c r="D293" i="8" s="1"/>
  <c r="B294" i="8" a="1"/>
  <c r="B294" i="8" s="1"/>
  <c r="D294" i="8" a="1"/>
  <c r="D294" i="8" s="1"/>
  <c r="B295" i="8" a="1"/>
  <c r="B295" i="8" s="1"/>
  <c r="D295" i="8" a="1"/>
  <c r="D295" i="8" s="1"/>
  <c r="B296" i="8" a="1"/>
  <c r="B296" i="8" s="1"/>
  <c r="D296" i="8" a="1"/>
  <c r="D296" i="8" s="1"/>
  <c r="B297" i="8" a="1"/>
  <c r="B297" i="8" s="1"/>
  <c r="D297" i="8" a="1"/>
  <c r="D297" i="8" s="1"/>
  <c r="B298" i="8" a="1"/>
  <c r="B298" i="8" s="1"/>
  <c r="D298" i="8" a="1"/>
  <c r="D298" i="8" s="1"/>
  <c r="B299" i="8" a="1"/>
  <c r="B299" i="8" s="1"/>
  <c r="D299" i="8" a="1"/>
  <c r="D299" i="8" s="1"/>
  <c r="B1" i="8" a="1"/>
  <c r="B1" i="8" s="1"/>
  <c r="D1" i="8" a="1"/>
  <c r="D1" i="8" s="1"/>
  <c r="E2" i="8" a="1"/>
  <c r="E2" i="8" s="1"/>
  <c r="E3" i="8" a="1"/>
  <c r="E3" i="8" s="1"/>
  <c r="E4" i="8" a="1"/>
  <c r="E4" i="8" s="1"/>
  <c r="E5" i="8" a="1"/>
  <c r="E5" i="8" s="1"/>
  <c r="E6" i="8" a="1"/>
  <c r="E6" i="8" s="1"/>
  <c r="E7" i="8" a="1"/>
  <c r="E7" i="8" s="1"/>
  <c r="E8" i="8" a="1"/>
  <c r="E8" i="8" s="1"/>
  <c r="E9" i="8" a="1"/>
  <c r="E9" i="8" s="1"/>
  <c r="E11" i="8" a="1"/>
  <c r="E11" i="8" s="1"/>
  <c r="E12" i="8" a="1"/>
  <c r="E12" i="8" s="1"/>
  <c r="E13" i="8" a="1"/>
  <c r="E13" i="8" s="1"/>
  <c r="E14" i="8" a="1"/>
  <c r="E14" i="8" s="1"/>
  <c r="E15" i="8" a="1"/>
  <c r="E15" i="8" s="1"/>
  <c r="E16" i="8" a="1"/>
  <c r="E16" i="8" s="1"/>
  <c r="E17" i="8" a="1"/>
  <c r="E17" i="8" s="1"/>
  <c r="E18" i="8" a="1"/>
  <c r="E18" i="8" s="1"/>
  <c r="E19" i="8" a="1"/>
  <c r="E19" i="8" s="1"/>
  <c r="E20" i="8" a="1"/>
  <c r="E20" i="8" s="1"/>
  <c r="E21" i="8" a="1"/>
  <c r="E21" i="8" s="1"/>
  <c r="E22" i="8" a="1"/>
  <c r="E22" i="8" s="1"/>
  <c r="E23" i="8" a="1"/>
  <c r="E23" i="8" s="1"/>
  <c r="E24" i="8" a="1"/>
  <c r="E24" i="8" s="1"/>
  <c r="E25" i="8" a="1"/>
  <c r="E25" i="8" s="1"/>
  <c r="E26" i="8" a="1"/>
  <c r="E26" i="8" s="1"/>
  <c r="E27" i="8" a="1"/>
  <c r="E27" i="8" s="1"/>
  <c r="E28" i="8" a="1"/>
  <c r="E28" i="8" s="1"/>
  <c r="E29" i="8" a="1"/>
  <c r="E29" i="8" s="1"/>
  <c r="E30" i="8" a="1"/>
  <c r="E30" i="8" s="1"/>
  <c r="E31" i="8" a="1"/>
  <c r="E31" i="8" s="1"/>
  <c r="E32" i="8" a="1"/>
  <c r="E32" i="8" s="1"/>
  <c r="E33" i="8" a="1"/>
  <c r="E33" i="8" s="1"/>
  <c r="E34" i="8" a="1"/>
  <c r="E34" i="8" s="1"/>
  <c r="E35" i="8" a="1"/>
  <c r="E35" i="8" s="1"/>
  <c r="E36" i="8" a="1"/>
  <c r="E36" i="8" s="1"/>
  <c r="E37" i="8" a="1"/>
  <c r="E37" i="8" s="1"/>
  <c r="E38" i="8" a="1"/>
  <c r="E38" i="8" s="1"/>
  <c r="E39" i="8" a="1"/>
  <c r="E39" i="8" s="1"/>
  <c r="E40" i="8" a="1"/>
  <c r="E40" i="8" s="1"/>
  <c r="E41" i="8" a="1"/>
  <c r="E41" i="8" s="1"/>
  <c r="E42" i="8" a="1"/>
  <c r="E42" i="8" s="1"/>
  <c r="E43" i="8" a="1"/>
  <c r="E43" i="8" s="1"/>
  <c r="E44" i="8" a="1"/>
  <c r="E44" i="8" s="1"/>
  <c r="E45" i="8" a="1"/>
  <c r="E45" i="8" s="1"/>
  <c r="E46" i="8" a="1"/>
  <c r="E46" i="8" s="1"/>
  <c r="E47" i="8" a="1"/>
  <c r="E47" i="8" s="1"/>
  <c r="E48" i="8" a="1"/>
  <c r="E48" i="8" s="1"/>
  <c r="E49" i="8" a="1"/>
  <c r="E49" i="8" s="1"/>
  <c r="E50" i="8" a="1"/>
  <c r="E50" i="8" s="1"/>
  <c r="E51" i="8" a="1"/>
  <c r="E51" i="8" s="1"/>
  <c r="E52" i="8" a="1"/>
  <c r="E52" i="8" s="1"/>
  <c r="E53" i="8" a="1"/>
  <c r="E53" i="8" s="1"/>
  <c r="E54" i="8" a="1"/>
  <c r="E54" i="8" s="1"/>
  <c r="E55" i="8" a="1"/>
  <c r="E55" i="8" s="1"/>
  <c r="E56" i="8" a="1"/>
  <c r="E56" i="8" s="1"/>
  <c r="E57" i="8" a="1"/>
  <c r="E57" i="8" s="1"/>
  <c r="E58" i="8" a="1"/>
  <c r="E58" i="8" s="1"/>
  <c r="E59" i="8" a="1"/>
  <c r="E59" i="8" s="1"/>
  <c r="E60" i="8" a="1"/>
  <c r="E60" i="8" s="1"/>
  <c r="E61" i="8" a="1"/>
  <c r="E61" i="8" s="1"/>
  <c r="E62" i="8" a="1"/>
  <c r="E62" i="8" s="1"/>
  <c r="E63" i="8" a="1"/>
  <c r="E63" i="8" s="1"/>
  <c r="E64" i="8" a="1"/>
  <c r="E64" i="8" s="1"/>
  <c r="E65" i="8" a="1"/>
  <c r="E65" i="8" s="1"/>
  <c r="E66" i="8" a="1"/>
  <c r="E66" i="8" s="1"/>
  <c r="E67" i="8" a="1"/>
  <c r="E67" i="8" s="1"/>
  <c r="E68" i="8" a="1"/>
  <c r="E68" i="8" s="1"/>
  <c r="E69" i="8" a="1"/>
  <c r="E69" i="8" s="1"/>
  <c r="E70" i="8" a="1"/>
  <c r="E70" i="8" s="1"/>
  <c r="E71" i="8" a="1"/>
  <c r="E71" i="8" s="1"/>
  <c r="E72" i="8" a="1"/>
  <c r="E72" i="8" s="1"/>
  <c r="E73" i="8" a="1"/>
  <c r="E73" i="8" s="1"/>
  <c r="E74" i="8" a="1"/>
  <c r="E74" i="8" s="1"/>
  <c r="E75" i="8" a="1"/>
  <c r="E75" i="8" s="1"/>
  <c r="E76" i="8" a="1"/>
  <c r="E76" i="8" s="1"/>
  <c r="E77" i="8" a="1"/>
  <c r="E77" i="8" s="1"/>
  <c r="E78" i="8" a="1"/>
  <c r="E78" i="8" s="1"/>
  <c r="E79" i="8" a="1"/>
  <c r="E79" i="8" s="1"/>
  <c r="E80" i="8" a="1"/>
  <c r="E80" i="8" s="1"/>
  <c r="E81" i="8" a="1"/>
  <c r="E81" i="8" s="1"/>
  <c r="E82" i="8" a="1"/>
  <c r="E82" i="8" s="1"/>
  <c r="E83" i="8" a="1"/>
  <c r="E83" i="8" s="1"/>
  <c r="E84" i="8" a="1"/>
  <c r="E84" i="8" s="1"/>
  <c r="E85" i="8" a="1"/>
  <c r="E85" i="8" s="1"/>
  <c r="E86" i="8" a="1"/>
  <c r="E86" i="8" s="1"/>
  <c r="E87" i="8" a="1"/>
  <c r="E87" i="8" s="1"/>
  <c r="E88" i="8" a="1"/>
  <c r="E88" i="8" s="1"/>
  <c r="E89" i="8" a="1"/>
  <c r="E89" i="8" s="1"/>
  <c r="E90" i="8" a="1"/>
  <c r="E90" i="8" s="1"/>
  <c r="E91" i="8" a="1"/>
  <c r="E91" i="8" s="1"/>
  <c r="E92" i="8" a="1"/>
  <c r="E92" i="8" s="1"/>
  <c r="E93" i="8" a="1"/>
  <c r="E93" i="8" s="1"/>
  <c r="E94" i="8" a="1"/>
  <c r="E94" i="8" s="1"/>
  <c r="E95" i="8" a="1"/>
  <c r="E95" i="8" s="1"/>
  <c r="E96" i="8" a="1"/>
  <c r="E96" i="8" s="1"/>
  <c r="E97" i="8" a="1"/>
  <c r="E97" i="8" s="1"/>
  <c r="E98" i="8" a="1"/>
  <c r="E98" i="8" s="1"/>
  <c r="E99" i="8" a="1"/>
  <c r="E99" i="8" s="1"/>
  <c r="E100" i="8" a="1"/>
  <c r="E100" i="8" s="1"/>
  <c r="E101" i="8" a="1"/>
  <c r="E101" i="8" s="1"/>
  <c r="E102" i="8" a="1"/>
  <c r="E102" i="8" s="1"/>
  <c r="E103" i="8" a="1"/>
  <c r="E103" i="8" s="1"/>
  <c r="E104" i="8" a="1"/>
  <c r="E104" i="8" s="1"/>
  <c r="E105" i="8" a="1"/>
  <c r="E105" i="8" s="1"/>
  <c r="E106" i="8" a="1"/>
  <c r="E106" i="8" s="1"/>
  <c r="E107" i="8" a="1"/>
  <c r="E107" i="8" s="1"/>
  <c r="E108" i="8" a="1"/>
  <c r="E108" i="8" s="1"/>
  <c r="E109" i="8" a="1"/>
  <c r="E109" i="8" s="1"/>
  <c r="E110" i="8" a="1"/>
  <c r="E110" i="8" s="1"/>
  <c r="E111" i="8" a="1"/>
  <c r="E111" i="8" s="1"/>
  <c r="E112" i="8" a="1"/>
  <c r="E112" i="8" s="1"/>
  <c r="E113" i="8" a="1"/>
  <c r="E113" i="8" s="1"/>
  <c r="E114" i="8" a="1"/>
  <c r="E114" i="8" s="1"/>
  <c r="E115" i="8" a="1"/>
  <c r="E115" i="8" s="1"/>
  <c r="E116" i="8" a="1"/>
  <c r="E116" i="8" s="1"/>
  <c r="E117" i="8" a="1"/>
  <c r="E117" i="8" s="1"/>
  <c r="E118" i="8" a="1"/>
  <c r="E118" i="8" s="1"/>
  <c r="E119" i="8" a="1"/>
  <c r="E119" i="8" s="1"/>
  <c r="E120" i="8" a="1"/>
  <c r="E120" i="8" s="1"/>
  <c r="E121" i="8" a="1"/>
  <c r="E121" i="8" s="1"/>
  <c r="E122" i="8" a="1"/>
  <c r="E122" i="8" s="1"/>
  <c r="E123" i="8" a="1"/>
  <c r="E123" i="8" s="1"/>
  <c r="E124" i="8" a="1"/>
  <c r="E124" i="8" s="1"/>
  <c r="E125" i="8" a="1"/>
  <c r="E125" i="8" s="1"/>
  <c r="E126" i="8" a="1"/>
  <c r="E126" i="8" s="1"/>
  <c r="E127" i="8" a="1"/>
  <c r="E127" i="8" s="1"/>
  <c r="E128" i="8" a="1"/>
  <c r="E128" i="8" s="1"/>
  <c r="E129" i="8" a="1"/>
  <c r="E129" i="8" s="1"/>
  <c r="E130" i="8" a="1"/>
  <c r="E130" i="8" s="1"/>
  <c r="E131" i="8" a="1"/>
  <c r="E131" i="8" s="1"/>
  <c r="E132" i="8" a="1"/>
  <c r="E132" i="8" s="1"/>
  <c r="E133" i="8" a="1"/>
  <c r="E133" i="8" s="1"/>
  <c r="E134" i="8" a="1"/>
  <c r="E134" i="8" s="1"/>
  <c r="E135" i="8" a="1"/>
  <c r="E135" i="8" s="1"/>
  <c r="E136" i="8" a="1"/>
  <c r="E136" i="8" s="1"/>
  <c r="E137" i="8" a="1"/>
  <c r="E137" i="8" s="1"/>
  <c r="E138" i="8" a="1"/>
  <c r="E138" i="8" s="1"/>
  <c r="E139" i="8" a="1"/>
  <c r="E139" i="8" s="1"/>
  <c r="E140" i="8" a="1"/>
  <c r="E140" i="8" s="1"/>
  <c r="E141" i="8" a="1"/>
  <c r="E141" i="8" s="1"/>
  <c r="E142" i="8" a="1"/>
  <c r="E142" i="8" s="1"/>
  <c r="E143" i="8" a="1"/>
  <c r="E143" i="8" s="1"/>
  <c r="E144" i="8" a="1"/>
  <c r="E144" i="8" s="1"/>
  <c r="E145" i="8" a="1"/>
  <c r="E145" i="8" s="1"/>
  <c r="E146" i="8" a="1"/>
  <c r="E146" i="8" s="1"/>
  <c r="E147" i="8" a="1"/>
  <c r="E147" i="8" s="1"/>
  <c r="E148" i="8" a="1"/>
  <c r="E148" i="8" s="1"/>
  <c r="E149" i="8" a="1"/>
  <c r="E149" i="8" s="1"/>
  <c r="E150" i="8" a="1"/>
  <c r="E150" i="8" s="1"/>
  <c r="E151" i="8" a="1"/>
  <c r="E151" i="8" s="1"/>
  <c r="E152" i="8" a="1"/>
  <c r="E152" i="8" s="1"/>
  <c r="E153" i="8" a="1"/>
  <c r="E153" i="8" s="1"/>
  <c r="E154" i="8" a="1"/>
  <c r="E154" i="8" s="1"/>
  <c r="E155" i="8" a="1"/>
  <c r="E155" i="8" s="1"/>
  <c r="E156" i="8" a="1"/>
  <c r="E156" i="8" s="1"/>
  <c r="E157" i="8" a="1"/>
  <c r="E157" i="8" s="1"/>
  <c r="E158" i="8" a="1"/>
  <c r="E158" i="8" s="1"/>
  <c r="E159" i="8" a="1"/>
  <c r="E159" i="8" s="1"/>
  <c r="E160" i="8" a="1"/>
  <c r="E160" i="8" s="1"/>
  <c r="E161" i="8" a="1"/>
  <c r="E161" i="8" s="1"/>
  <c r="E162" i="8" a="1"/>
  <c r="E162" i="8" s="1"/>
  <c r="E163" i="8" a="1"/>
  <c r="E163" i="8" s="1"/>
  <c r="E164" i="8" a="1"/>
  <c r="E164" i="8" s="1"/>
  <c r="E165" i="8" a="1"/>
  <c r="E165" i="8" s="1"/>
  <c r="E166" i="8" a="1"/>
  <c r="E166" i="8" s="1"/>
  <c r="E167" i="8" a="1"/>
  <c r="E167" i="8" s="1"/>
  <c r="E168" i="8" a="1"/>
  <c r="E168" i="8" s="1"/>
  <c r="E169" i="8" a="1"/>
  <c r="E169" i="8" s="1"/>
  <c r="E170" i="8" a="1"/>
  <c r="E170" i="8" s="1"/>
  <c r="E171" i="8" a="1"/>
  <c r="E171" i="8" s="1"/>
  <c r="E172" i="8" a="1"/>
  <c r="E172" i="8" s="1"/>
  <c r="E173" i="8" a="1"/>
  <c r="E173" i="8" s="1"/>
  <c r="E174" i="8" a="1"/>
  <c r="E174" i="8" s="1"/>
  <c r="E175" i="8" a="1"/>
  <c r="E175" i="8" s="1"/>
  <c r="E176" i="8" a="1"/>
  <c r="E176" i="8" s="1"/>
  <c r="E177" i="8" a="1"/>
  <c r="E177" i="8" s="1"/>
  <c r="E178" i="8" a="1"/>
  <c r="E178" i="8" s="1"/>
  <c r="E179" i="8" a="1"/>
  <c r="E179" i="8" s="1"/>
  <c r="E180" i="8" a="1"/>
  <c r="E180" i="8" s="1"/>
  <c r="E181" i="8" a="1"/>
  <c r="E181" i="8" s="1"/>
  <c r="E182" i="8" a="1"/>
  <c r="E182" i="8" s="1"/>
  <c r="E183" i="8" a="1"/>
  <c r="E183" i="8" s="1"/>
  <c r="E184" i="8" a="1"/>
  <c r="E184" i="8" s="1"/>
  <c r="E185" i="8" a="1"/>
  <c r="E185" i="8" s="1"/>
  <c r="E186" i="8" a="1"/>
  <c r="E186" i="8" s="1"/>
  <c r="E187" i="8" a="1"/>
  <c r="E187" i="8" s="1"/>
  <c r="E188" i="8" a="1"/>
  <c r="E188" i="8" s="1"/>
  <c r="E189" i="8" a="1"/>
  <c r="E189" i="8" s="1"/>
  <c r="E190" i="8" a="1"/>
  <c r="E190" i="8" s="1"/>
  <c r="E191" i="8" a="1"/>
  <c r="E191" i="8" s="1"/>
  <c r="E192" i="8" a="1"/>
  <c r="E192" i="8" s="1"/>
  <c r="E193" i="8" a="1"/>
  <c r="E193" i="8" s="1"/>
  <c r="E194" i="8" a="1"/>
  <c r="E194" i="8" s="1"/>
  <c r="E195" i="8" a="1"/>
  <c r="E195" i="8" s="1"/>
  <c r="E196" i="8" a="1"/>
  <c r="E196" i="8" s="1"/>
  <c r="E197" i="8" a="1"/>
  <c r="E197" i="8" s="1"/>
  <c r="E198" i="8" a="1"/>
  <c r="E198" i="8" s="1"/>
  <c r="E199" i="8" a="1"/>
  <c r="E199" i="8" s="1"/>
  <c r="E200" i="8" a="1"/>
  <c r="E200" i="8" s="1"/>
  <c r="E201" i="8" a="1"/>
  <c r="E201" i="8" s="1"/>
  <c r="E202" i="8" a="1"/>
  <c r="E202" i="8" s="1"/>
  <c r="E203" i="8" a="1"/>
  <c r="E203" i="8" s="1"/>
  <c r="E204" i="8" a="1"/>
  <c r="E204" i="8" s="1"/>
  <c r="E205" i="8" a="1"/>
  <c r="E205" i="8" s="1"/>
  <c r="E206" i="8" a="1"/>
  <c r="E206" i="8" s="1"/>
  <c r="E207" i="8" a="1"/>
  <c r="E207" i="8" s="1"/>
  <c r="E208" i="8" a="1"/>
  <c r="E208" i="8" s="1"/>
  <c r="E209" i="8" a="1"/>
  <c r="E209" i="8" s="1"/>
  <c r="E210" i="8" a="1"/>
  <c r="E210" i="8" s="1"/>
  <c r="E211" i="8" a="1"/>
  <c r="E211" i="8" s="1"/>
  <c r="E212" i="8" a="1"/>
  <c r="E212" i="8" s="1"/>
  <c r="E213" i="8" a="1"/>
  <c r="E213" i="8" s="1"/>
  <c r="E214" i="8" a="1"/>
  <c r="E214" i="8" s="1"/>
  <c r="E215" i="8" a="1"/>
  <c r="E215" i="8" s="1"/>
  <c r="E216" i="8" a="1"/>
  <c r="E216" i="8" s="1"/>
  <c r="E217" i="8" a="1"/>
  <c r="E217" i="8" s="1"/>
  <c r="E218" i="8" a="1"/>
  <c r="E218" i="8" s="1"/>
  <c r="E219" i="8" a="1"/>
  <c r="E219" i="8" s="1"/>
  <c r="E220" i="8" a="1"/>
  <c r="E220" i="8" s="1"/>
  <c r="E221" i="8" a="1"/>
  <c r="E221" i="8" s="1"/>
  <c r="E222" i="8" a="1"/>
  <c r="E222" i="8" s="1"/>
  <c r="E223" i="8" a="1"/>
  <c r="E223" i="8" s="1"/>
  <c r="E224" i="8" a="1"/>
  <c r="E224" i="8" s="1"/>
  <c r="E225" i="8" a="1"/>
  <c r="E225" i="8" s="1"/>
  <c r="E226" i="8" a="1"/>
  <c r="E226" i="8" s="1"/>
  <c r="E227" i="8" a="1"/>
  <c r="E227" i="8" s="1"/>
  <c r="E228" i="8" a="1"/>
  <c r="E228" i="8" s="1"/>
  <c r="E229" i="8" a="1"/>
  <c r="E229" i="8" s="1"/>
  <c r="E230" i="8" a="1"/>
  <c r="E230" i="8" s="1"/>
  <c r="E231" i="8" a="1"/>
  <c r="E231" i="8" s="1"/>
  <c r="E232" i="8" a="1"/>
  <c r="E232" i="8" s="1"/>
  <c r="E233" i="8" a="1"/>
  <c r="E233" i="8" s="1"/>
  <c r="E234" i="8" a="1"/>
  <c r="E234" i="8" s="1"/>
  <c r="E235" i="8" a="1"/>
  <c r="E235" i="8" s="1"/>
  <c r="E236" i="8" a="1"/>
  <c r="E236" i="8" s="1"/>
  <c r="E237" i="8" a="1"/>
  <c r="E237" i="8" s="1"/>
  <c r="E238" i="8" a="1"/>
  <c r="E238" i="8" s="1"/>
  <c r="E239" i="8" a="1"/>
  <c r="E239" i="8" s="1"/>
  <c r="E240" i="8" a="1"/>
  <c r="E240" i="8" s="1"/>
  <c r="E241" i="8" a="1"/>
  <c r="E241" i="8" s="1"/>
  <c r="E242" i="8" a="1"/>
  <c r="E242" i="8" s="1"/>
  <c r="E243" i="8" a="1"/>
  <c r="E243" i="8" s="1"/>
  <c r="E244" i="8" a="1"/>
  <c r="E244" i="8" s="1"/>
  <c r="E245" i="8" a="1"/>
  <c r="E245" i="8" s="1"/>
  <c r="E246" i="8" a="1"/>
  <c r="E246" i="8" s="1"/>
  <c r="E247" i="8" a="1"/>
  <c r="E247" i="8" s="1"/>
  <c r="E248" i="8" a="1"/>
  <c r="E248" i="8" s="1"/>
  <c r="E249" i="8" a="1"/>
  <c r="E249" i="8" s="1"/>
  <c r="E250" i="8" a="1"/>
  <c r="E250" i="8" s="1"/>
  <c r="E251" i="8" a="1"/>
  <c r="E251" i="8" s="1"/>
  <c r="E252" i="8" a="1"/>
  <c r="E252" i="8" s="1"/>
  <c r="E253" i="8" a="1"/>
  <c r="E253" i="8" s="1"/>
  <c r="E254" i="8" a="1"/>
  <c r="E254" i="8" s="1"/>
  <c r="E255" i="8" a="1"/>
  <c r="E255" i="8" s="1"/>
  <c r="E256" i="8" a="1"/>
  <c r="E256" i="8" s="1"/>
  <c r="E257" i="8" a="1"/>
  <c r="E257" i="8" s="1"/>
  <c r="E258" i="8" a="1"/>
  <c r="E258" i="8" s="1"/>
  <c r="E259" i="8" a="1"/>
  <c r="E259" i="8" s="1"/>
  <c r="E260" i="8" a="1"/>
  <c r="E260" i="8" s="1"/>
  <c r="E261" i="8" a="1"/>
  <c r="E261" i="8" s="1"/>
  <c r="E262" i="8" a="1"/>
  <c r="E262" i="8" s="1"/>
  <c r="E263" i="8" a="1"/>
  <c r="E263" i="8" s="1"/>
  <c r="E264" i="8" a="1"/>
  <c r="E264" i="8" s="1"/>
  <c r="E265" i="8" a="1"/>
  <c r="E265" i="8" s="1"/>
  <c r="E266" i="8" a="1"/>
  <c r="E266" i="8" s="1"/>
  <c r="E267" i="8" a="1"/>
  <c r="E267" i="8" s="1"/>
  <c r="E268" i="8" a="1"/>
  <c r="E268" i="8" s="1"/>
  <c r="E269" i="8" a="1"/>
  <c r="E269" i="8" s="1"/>
  <c r="E270" i="8" a="1"/>
  <c r="E270" i="8" s="1"/>
  <c r="E271" i="8" a="1"/>
  <c r="E271" i="8" s="1"/>
  <c r="E272" i="8" a="1"/>
  <c r="E272" i="8" s="1"/>
  <c r="E273" i="8" a="1"/>
  <c r="E273" i="8" s="1"/>
  <c r="E274" i="8" a="1"/>
  <c r="E274" i="8" s="1"/>
  <c r="E275" i="8" a="1"/>
  <c r="E275" i="8" s="1"/>
  <c r="E276" i="8" a="1"/>
  <c r="E276" i="8" s="1"/>
  <c r="E277" i="8" a="1"/>
  <c r="E277" i="8" s="1"/>
  <c r="E278" i="8" a="1"/>
  <c r="E278" i="8" s="1"/>
  <c r="E279" i="8" a="1"/>
  <c r="E279" i="8" s="1"/>
  <c r="E280" i="8" a="1"/>
  <c r="E280" i="8" s="1"/>
  <c r="E281" i="8" a="1"/>
  <c r="E281" i="8" s="1"/>
  <c r="E282" i="8" a="1"/>
  <c r="E282" i="8" s="1"/>
  <c r="E283" i="8" a="1"/>
  <c r="E283" i="8" s="1"/>
  <c r="E284" i="8" a="1"/>
  <c r="E284" i="8" s="1"/>
  <c r="E285" i="8" a="1"/>
  <c r="E285" i="8" s="1"/>
  <c r="E286" i="8" a="1"/>
  <c r="E286" i="8" s="1"/>
  <c r="E287" i="8" a="1"/>
  <c r="E287" i="8" s="1"/>
  <c r="E288" i="8" a="1"/>
  <c r="E288" i="8" s="1"/>
  <c r="E289" i="8" a="1"/>
  <c r="E289" i="8" s="1"/>
  <c r="E290" i="8" a="1"/>
  <c r="E290" i="8" s="1"/>
  <c r="E291" i="8" a="1"/>
  <c r="E291" i="8" s="1"/>
  <c r="E292" i="8" a="1"/>
  <c r="E292" i="8" s="1"/>
  <c r="E293" i="8" a="1"/>
  <c r="E293" i="8" s="1"/>
  <c r="E294" i="8" a="1"/>
  <c r="E294" i="8" s="1"/>
  <c r="E295" i="8" a="1"/>
  <c r="E295" i="8" s="1"/>
  <c r="E296" i="8" a="1"/>
  <c r="E296" i="8" s="1"/>
  <c r="E297" i="8" a="1"/>
  <c r="E297" i="8" s="1"/>
  <c r="E298" i="8" a="1"/>
  <c r="E298" i="8" s="1"/>
  <c r="E299" i="8" a="1"/>
  <c r="E299" i="8" s="1"/>
  <c r="E1" i="8" a="1"/>
  <c r="E1" i="8" s="1"/>
  <c r="E10" i="8" a="1"/>
  <c r="G11" i="7" a="1"/>
  <c r="H15" i="7" a="1"/>
  <c r="G14" i="7" a="1"/>
  <c r="H13" i="7" a="1"/>
  <c r="G13" i="7" a="1"/>
  <c r="G12" i="7" a="1"/>
  <c r="H12" i="7" a="1"/>
  <c r="G10" i="7" a="1"/>
  <c r="G15" i="7" a="1"/>
  <c r="H14" i="7" a="1"/>
  <c r="G16" i="7" a="1"/>
  <c r="H16" i="7" a="1"/>
  <c r="F10" i="7" a="1"/>
  <c r="H10" i="7" a="1"/>
  <c r="F15" i="7" a="1"/>
  <c r="F16" i="7" a="1"/>
  <c r="F12" i="7" a="1"/>
  <c r="F13" i="7" a="1"/>
  <c r="F14" i="7" a="1"/>
  <c r="F11" i="7" a="1"/>
  <c r="C15" i="7" a="1"/>
  <c r="C16" i="7" a="1"/>
  <c r="E10" i="7" a="1"/>
  <c r="B15" i="7" a="1"/>
  <c r="E15" i="7" a="1"/>
  <c r="E14" i="7" a="1"/>
  <c r="B13" i="7" a="1"/>
  <c r="C14" i="7" a="1"/>
  <c r="D15" i="7" a="1"/>
  <c r="E13" i="7" a="1"/>
  <c r="B14" i="7" a="1"/>
  <c r="C13" i="7" a="1"/>
  <c r="E12" i="7" a="1"/>
  <c r="D10" i="7" a="1"/>
  <c r="C10" i="7" a="1"/>
  <c r="B16" i="7" a="1"/>
  <c r="B12" i="7" a="1"/>
  <c r="D11" i="7" a="1"/>
  <c r="E11" i="7" a="1"/>
  <c r="D16" i="7" a="1"/>
  <c r="C12" i="7" a="1"/>
  <c r="I10" i="7" a="1"/>
  <c r="H11" i="7" a="1"/>
  <c r="E16" i="7" a="1"/>
  <c r="B11" i="7" a="1"/>
  <c r="D14" i="7" a="1"/>
  <c r="B10" i="7" a="1"/>
  <c r="E12" i="7" l="1"/>
  <c r="B15" i="7"/>
  <c r="D10" i="7"/>
  <c r="E11" i="7"/>
  <c r="G12" i="7"/>
  <c r="B14" i="7"/>
  <c r="C15" i="7"/>
  <c r="D16" i="7"/>
  <c r="G13" i="7"/>
  <c r="E10" i="7"/>
  <c r="F11" i="7"/>
  <c r="H12" i="7"/>
  <c r="C14" i="7"/>
  <c r="D15" i="7"/>
  <c r="E16" i="7"/>
  <c r="C16" i="7"/>
  <c r="F10" i="7"/>
  <c r="G11" i="7"/>
  <c r="B13" i="7"/>
  <c r="D14" i="7"/>
  <c r="E15" i="7"/>
  <c r="F16" i="7"/>
  <c r="B11" i="7"/>
  <c r="C10" i="7"/>
  <c r="F12" i="7"/>
  <c r="G10" i="7"/>
  <c r="H11" i="7"/>
  <c r="C13" i="7"/>
  <c r="E14" i="7"/>
  <c r="F15" i="7"/>
  <c r="G16" i="7"/>
  <c r="B16" i="7"/>
  <c r="D11" i="7"/>
  <c r="H10" i="7"/>
  <c r="B12" i="7"/>
  <c r="E13" i="7"/>
  <c r="F14" i="7"/>
  <c r="G15" i="7"/>
  <c r="H16" i="7"/>
  <c r="B10" i="7"/>
  <c r="H14" i="7"/>
  <c r="H13" i="7"/>
  <c r="I10" i="7"/>
  <c r="C12" i="7"/>
  <c r="F13" i="7"/>
  <c r="G14" i="7"/>
  <c r="H15" i="7"/>
  <c r="E10" i="8"/>
  <c r="G63" i="7" a="1"/>
  <c r="G65" i="7" a="1"/>
  <c r="G40" i="7" a="1"/>
  <c r="G56" i="7" a="1"/>
  <c r="G23" i="7" a="1"/>
  <c r="G36" i="7" a="1"/>
  <c r="G38" i="7" a="1"/>
  <c r="G31" i="7" a="1"/>
  <c r="G64" i="7" a="1"/>
  <c r="G22" i="7" a="1"/>
  <c r="H18" i="7" a="1"/>
  <c r="G66" i="7" a="1"/>
  <c r="G47" i="7" a="1"/>
  <c r="G53" i="7" a="1"/>
  <c r="G28" i="7" a="1"/>
  <c r="G45" i="7" a="1"/>
  <c r="G39" i="7" a="1"/>
  <c r="G19" i="7" a="1"/>
  <c r="G17" i="7" a="1"/>
  <c r="G43" i="7" a="1"/>
  <c r="G35" i="7" a="1"/>
  <c r="G58" i="7" a="1"/>
  <c r="G48" i="7" a="1"/>
  <c r="G55" i="7" a="1"/>
  <c r="G37" i="7" a="1"/>
  <c r="G44" i="7" a="1"/>
  <c r="G51" i="7" a="1"/>
  <c r="G57" i="7" a="1"/>
  <c r="G18" i="7" a="1"/>
  <c r="G62" i="7" a="1"/>
  <c r="G59" i="7" a="1"/>
  <c r="G21" i="7" a="1"/>
  <c r="G67" i="7" a="1"/>
  <c r="G61" i="7" a="1"/>
  <c r="G30" i="7" a="1"/>
  <c r="G60" i="7" a="1"/>
  <c r="G26" i="7" a="1"/>
  <c r="G32" i="7" a="1"/>
  <c r="H19" i="7" a="1"/>
  <c r="G54" i="7" a="1"/>
  <c r="H17" i="7" a="1"/>
  <c r="G52" i="7" a="1"/>
  <c r="G50" i="7" a="1"/>
  <c r="G34" i="7" a="1"/>
  <c r="G46" i="7" a="1"/>
  <c r="G42" i="7" a="1"/>
  <c r="G29" i="7" a="1"/>
  <c r="G49" i="7" a="1"/>
  <c r="G25" i="7" a="1"/>
  <c r="G20" i="7" a="1"/>
  <c r="G27" i="7" a="1"/>
  <c r="G33" i="7" a="1"/>
  <c r="G41" i="7" a="1"/>
  <c r="H20" i="7" a="1"/>
  <c r="G24" i="7" a="1"/>
  <c r="H21" i="7" a="1"/>
  <c r="F17" i="7" a="1"/>
  <c r="F61" i="7" a="1"/>
  <c r="F34" i="7" a="1"/>
  <c r="F24" i="7" a="1"/>
  <c r="F18" i="7" a="1"/>
  <c r="F44" i="7" a="1"/>
  <c r="F59" i="7" a="1"/>
  <c r="F32" i="7" a="1"/>
  <c r="F56" i="7" a="1"/>
  <c r="F52" i="7" a="1"/>
  <c r="F27" i="7" a="1"/>
  <c r="F63" i="7" a="1"/>
  <c r="F58" i="7" a="1"/>
  <c r="F36" i="7" a="1"/>
  <c r="F40" i="7" a="1"/>
  <c r="F37" i="7" a="1"/>
  <c r="F54" i="7" a="1"/>
  <c r="F43" i="7" a="1"/>
  <c r="F25" i="7" a="1"/>
  <c r="F26" i="7" a="1"/>
  <c r="F55" i="7" a="1"/>
  <c r="F48" i="7" a="1"/>
  <c r="F46" i="7" a="1"/>
  <c r="F41" i="7" a="1"/>
  <c r="F19" i="7" a="1"/>
  <c r="F60" i="7" a="1"/>
  <c r="F65" i="7" a="1"/>
  <c r="F39" i="7" a="1"/>
  <c r="F28" i="7" a="1"/>
  <c r="F21" i="7" a="1"/>
  <c r="F30" i="7" a="1"/>
  <c r="F22" i="7" a="1"/>
  <c r="F42" i="7" a="1"/>
  <c r="F45" i="7" a="1"/>
  <c r="F66" i="7" a="1"/>
  <c r="F31" i="7" a="1"/>
  <c r="F62" i="7" a="1"/>
  <c r="F33" i="7" a="1"/>
  <c r="F35" i="7" a="1"/>
  <c r="F23" i="7" a="1"/>
  <c r="F53" i="7" a="1"/>
  <c r="F64" i="7" a="1"/>
  <c r="F38" i="7" a="1"/>
  <c r="F29" i="7" a="1"/>
  <c r="F47" i="7" a="1"/>
  <c r="F49" i="7" a="1"/>
  <c r="F50" i="7" a="1"/>
  <c r="F57" i="7" a="1"/>
  <c r="F20" i="7" a="1"/>
  <c r="F51" i="7" a="1"/>
  <c r="F67" i="7" a="1"/>
  <c r="H51" i="7" a="1"/>
  <c r="H49" i="7" a="1"/>
  <c r="H52" i="7" a="1"/>
  <c r="H48" i="7" a="1"/>
  <c r="H50" i="7" a="1"/>
  <c r="F27" i="7" l="1"/>
  <c r="H21" i="7"/>
  <c r="F63" i="7"/>
  <c r="G24" i="7"/>
  <c r="F52" i="7"/>
  <c r="H20" i="7"/>
  <c r="G41" i="7"/>
  <c r="F51" i="7"/>
  <c r="F34" i="7"/>
  <c r="G33" i="7"/>
  <c r="G27" i="7"/>
  <c r="F40" i="7"/>
  <c r="F64" i="7"/>
  <c r="F42" i="7"/>
  <c r="H50" i="7"/>
  <c r="G20" i="7"/>
  <c r="G25" i="7"/>
  <c r="G49" i="7"/>
  <c r="G29" i="7"/>
  <c r="F39" i="7"/>
  <c r="F30" i="7"/>
  <c r="F53" i="7"/>
  <c r="G42" i="7"/>
  <c r="G46" i="7"/>
  <c r="G34" i="7"/>
  <c r="G50" i="7"/>
  <c r="G52" i="7"/>
  <c r="F18" i="7"/>
  <c r="F25" i="7"/>
  <c r="H17" i="7"/>
  <c r="F38" i="7"/>
  <c r="F17" i="7"/>
  <c r="F47" i="7"/>
  <c r="F54" i="7"/>
  <c r="F33" i="7"/>
  <c r="G54" i="7"/>
  <c r="H19" i="7"/>
  <c r="F20" i="7"/>
  <c r="F43" i="7"/>
  <c r="F19" i="7"/>
  <c r="G32" i="7"/>
  <c r="F29" i="7"/>
  <c r="G26" i="7"/>
  <c r="G60" i="7"/>
  <c r="G30" i="7"/>
  <c r="F35" i="7"/>
  <c r="G61" i="7"/>
  <c r="F56" i="7"/>
  <c r="G67" i="7"/>
  <c r="G21" i="7"/>
  <c r="G59" i="7"/>
  <c r="G62" i="7"/>
  <c r="F26" i="7"/>
  <c r="F58" i="7"/>
  <c r="G18" i="7"/>
  <c r="G57" i="7"/>
  <c r="G51" i="7"/>
  <c r="G44" i="7"/>
  <c r="F59" i="7"/>
  <c r="F50" i="7"/>
  <c r="F55" i="7"/>
  <c r="G37" i="7"/>
  <c r="F49" i="7"/>
  <c r="F28" i="7"/>
  <c r="G55" i="7"/>
  <c r="G48" i="7"/>
  <c r="G58" i="7"/>
  <c r="F66" i="7"/>
  <c r="F60" i="7"/>
  <c r="F46" i="7"/>
  <c r="G35" i="7"/>
  <c r="G43" i="7"/>
  <c r="G17" i="7"/>
  <c r="F67" i="7"/>
  <c r="G19" i="7"/>
  <c r="F65" i="7"/>
  <c r="H48" i="7"/>
  <c r="G39" i="7"/>
  <c r="F24" i="7"/>
  <c r="F31" i="7"/>
  <c r="H52" i="7"/>
  <c r="H51" i="7"/>
  <c r="F32" i="7"/>
  <c r="F21" i="7"/>
  <c r="G45" i="7"/>
  <c r="G28" i="7"/>
  <c r="F37" i="7"/>
  <c r="G53" i="7"/>
  <c r="H49" i="7"/>
  <c r="G47" i="7"/>
  <c r="G66" i="7"/>
  <c r="H18" i="7"/>
  <c r="G22" i="7"/>
  <c r="F48" i="7"/>
  <c r="F62" i="7"/>
  <c r="G64" i="7"/>
  <c r="F36" i="7"/>
  <c r="G31" i="7"/>
  <c r="G38" i="7"/>
  <c r="G36" i="7"/>
  <c r="F57" i="7"/>
  <c r="F44" i="7"/>
  <c r="G23" i="7"/>
  <c r="G56" i="7"/>
  <c r="F22" i="7"/>
  <c r="F45" i="7"/>
  <c r="F41" i="7"/>
  <c r="G40" i="7"/>
  <c r="F61" i="7"/>
  <c r="F23" i="7"/>
  <c r="G65" i="7"/>
  <c r="G63" i="7"/>
  <c r="I51" i="7" a="1"/>
  <c r="I50" i="7" a="1"/>
  <c r="I49" i="7" a="1"/>
  <c r="I48" i="7" a="1"/>
  <c r="I52" i="7" a="1"/>
  <c r="I52" i="7" l="1"/>
  <c r="I48" i="7"/>
  <c r="I49" i="7"/>
  <c r="I50" i="7"/>
  <c r="I51" i="7"/>
  <c r="D96" i="7" l="1" a="1"/>
  <c r="E260" i="7" a="1"/>
  <c r="B61" i="7" a="1"/>
  <c r="I257" i="7" a="1"/>
  <c r="H209" i="7" a="1"/>
  <c r="C161" i="7" a="1"/>
  <c r="B47" i="7" a="1"/>
  <c r="G285" i="7" a="1"/>
  <c r="I25" i="7" a="1"/>
  <c r="E52" i="7" a="1"/>
  <c r="C234" i="7" a="1"/>
  <c r="D187" i="7" a="1"/>
  <c r="D32" i="7" a="1"/>
  <c r="C53" i="7" a="1"/>
  <c r="E203" i="7" a="1"/>
  <c r="H87" i="7" a="1"/>
  <c r="B4" i="7" a="1"/>
  <c r="F254" i="7" a="1"/>
  <c r="E94" i="7" a="1"/>
  <c r="I38" i="7" a="1"/>
  <c r="E110" i="7" a="1"/>
  <c r="I300" i="7" a="1"/>
  <c r="C36" i="7" a="1"/>
  <c r="G267" i="7" a="1"/>
  <c r="G275" i="7" a="1"/>
  <c r="E34" i="7" a="1"/>
  <c r="F3" i="7" a="1"/>
  <c r="E9" i="7" a="1"/>
  <c r="G131" i="7" a="1"/>
  <c r="H153" i="7" a="1"/>
  <c r="H86" i="7" a="1"/>
  <c r="D231" i="7" a="1"/>
  <c r="D86" i="7" a="1"/>
  <c r="H129" i="7" a="1"/>
  <c r="B286" i="7" a="1"/>
  <c r="G136" i="7" a="1"/>
  <c r="G101" i="7" a="1"/>
  <c r="E293" i="7" a="1"/>
  <c r="D154" i="7" a="1"/>
  <c r="H247" i="7" a="1"/>
  <c r="I36" i="7" a="1"/>
  <c r="G288" i="7" a="1"/>
  <c r="I126" i="7" a="1"/>
  <c r="E72" i="7" a="1"/>
  <c r="D71" i="7" a="1"/>
  <c r="D165" i="7" a="1"/>
  <c r="D253" i="7" a="1"/>
  <c r="B25" i="7" a="1"/>
  <c r="E267" i="7" a="1"/>
  <c r="I19" i="7" a="1"/>
  <c r="H132" i="7" a="1"/>
  <c r="B8" i="7" a="1"/>
  <c r="B143" i="7" a="1"/>
  <c r="F114" i="7" a="1"/>
  <c r="B91" i="7" a="1"/>
  <c r="F116" i="7" a="1"/>
  <c r="F75" i="7" a="1"/>
  <c r="H235" i="7" a="1"/>
  <c r="E192" i="7" a="1"/>
  <c r="B19" i="7" a="1"/>
  <c r="E116" i="7" a="1"/>
  <c r="E208" i="7" a="1"/>
  <c r="B60" i="7" a="1"/>
  <c r="E62" i="7" a="1"/>
  <c r="F132" i="7" a="1"/>
  <c r="I131" i="7" a="1"/>
  <c r="F198" i="7" a="1"/>
  <c r="B75" i="7" a="1"/>
  <c r="B203" i="7" a="1"/>
  <c r="H224" i="7" a="1"/>
  <c r="F106" i="7" a="1"/>
  <c r="E5" i="7" a="1"/>
  <c r="G287" i="7" a="1"/>
  <c r="G261" i="7" a="1"/>
  <c r="B228" i="7" a="1"/>
  <c r="D102" i="7" a="1"/>
  <c r="E177" i="7" a="1"/>
  <c r="B235" i="7" a="1"/>
  <c r="H78" i="7" a="1"/>
  <c r="G113" i="7" a="1"/>
  <c r="B185" i="7" a="1"/>
  <c r="D101" i="7" a="1"/>
  <c r="I28" i="7" a="1"/>
  <c r="E167" i="7" a="1"/>
  <c r="E83" i="7" a="1"/>
  <c r="C192" i="7" a="1"/>
  <c r="C163" i="7" a="1"/>
  <c r="G276" i="7" a="1"/>
  <c r="F292" i="7" a="1"/>
  <c r="I77" i="7" a="1"/>
  <c r="C291" i="7" a="1"/>
  <c r="G133" i="7" a="1"/>
  <c r="H177" i="7" a="1"/>
  <c r="B250" i="7" a="1"/>
  <c r="B97" i="7" a="1"/>
  <c r="H168" i="7" a="1"/>
  <c r="E98" i="7" a="1"/>
  <c r="G2" i="7" a="1"/>
  <c r="D58" i="7" a="1"/>
  <c r="G291" i="7" a="1"/>
  <c r="C275" i="7" a="1"/>
  <c r="I44" i="7" a="1"/>
  <c r="E29" i="7" a="1"/>
  <c r="G127" i="7" a="1"/>
  <c r="I65" i="7" a="1"/>
  <c r="E100" i="7" a="1"/>
  <c r="D119" i="7" a="1"/>
  <c r="I180" i="7" a="1"/>
  <c r="D76" i="7" a="1"/>
  <c r="G102" i="7" a="1"/>
  <c r="D160" i="7" a="1"/>
  <c r="G183" i="7" a="1"/>
  <c r="H70" i="7" a="1"/>
  <c r="E115" i="7" a="1"/>
  <c r="F258" i="7" a="1"/>
  <c r="H263" i="7" a="1"/>
  <c r="I206" i="7" a="1"/>
  <c r="E206" i="7" a="1"/>
  <c r="F191" i="7" a="1"/>
  <c r="D210" i="7" a="1"/>
  <c r="B157" i="7" a="1"/>
  <c r="F268" i="7" a="1"/>
  <c r="C172" i="7" a="1"/>
  <c r="B251" i="7" a="1"/>
  <c r="E126" i="7" a="1"/>
  <c r="G269" i="7" a="1"/>
  <c r="E80" i="7" a="1"/>
  <c r="F213" i="7" a="1"/>
  <c r="F8" i="7" a="1"/>
  <c r="H133" i="7" a="1"/>
  <c r="D121" i="7" a="1"/>
  <c r="H208" i="7" a="1"/>
  <c r="C111" i="7" a="1"/>
  <c r="E20" i="7" a="1"/>
  <c r="F300" i="7" a="1"/>
  <c r="C209" i="7" a="1"/>
  <c r="H264" i="7" a="1"/>
  <c r="H115" i="7" a="1"/>
  <c r="B163" i="7" a="1"/>
  <c r="B188" i="7" a="1"/>
  <c r="E160" i="7" a="1"/>
  <c r="C211" i="7" a="1"/>
  <c r="E220" i="7" a="1"/>
  <c r="I20" i="7" a="1"/>
  <c r="F241" i="7" a="1"/>
  <c r="D251" i="7" a="1"/>
  <c r="I258" i="7" a="1"/>
  <c r="B232" i="7" a="1"/>
  <c r="I79" i="7" a="1"/>
  <c r="I278" i="7" a="1"/>
  <c r="E165" i="7" a="1"/>
  <c r="H237" i="7" a="1"/>
  <c r="D175" i="7" a="1"/>
  <c r="E106" i="7" a="1"/>
  <c r="C3" i="7" a="1"/>
  <c r="E6" i="7" a="1"/>
  <c r="C170" i="7" a="1"/>
  <c r="H164" i="7" a="1"/>
  <c r="F220" i="7" a="1"/>
  <c r="F263" i="7" a="1"/>
  <c r="E173" i="7" a="1"/>
  <c r="I235" i="7" a="1"/>
  <c r="H185" i="7" a="1"/>
  <c r="E64" i="7" a="1"/>
  <c r="B274" i="7" a="1"/>
  <c r="I185" i="7" a="1"/>
  <c r="D100" i="7" a="1"/>
  <c r="C294" i="7" a="1"/>
  <c r="F260" i="7" a="1"/>
  <c r="I156" i="7" a="1"/>
  <c r="I262" i="7" a="1"/>
  <c r="B265" i="7" a="1"/>
  <c r="I46" i="7" a="1"/>
  <c r="D258" i="7" a="1"/>
  <c r="C168" i="7" a="1"/>
  <c r="C249" i="7" a="1"/>
  <c r="I283" i="7" a="1"/>
  <c r="F70" i="7" a="1"/>
  <c r="F121" i="7" a="1"/>
  <c r="G214" i="7" a="1"/>
  <c r="F87" i="7" a="1"/>
  <c r="H67" i="7" a="1"/>
  <c r="I23" i="7" a="1"/>
  <c r="I43" i="7" a="1"/>
  <c r="F72" i="7" a="1"/>
  <c r="H300" i="7" a="1"/>
  <c r="F271" i="7" a="1"/>
  <c r="D205" i="7" a="1"/>
  <c r="E90" i="7" a="1"/>
  <c r="D40" i="7" a="1"/>
  <c r="H288" i="7" a="1"/>
  <c r="C277" i="7" a="1"/>
  <c r="F232" i="7" a="1"/>
  <c r="B295" i="7" a="1"/>
  <c r="G293" i="7" a="1"/>
  <c r="B126" i="7" a="1"/>
  <c r="C202" i="7" a="1"/>
  <c r="D246" i="7" a="1"/>
  <c r="D130" i="7" a="1"/>
  <c r="B186" i="7" a="1"/>
  <c r="C66" i="7" a="1"/>
  <c r="H171" i="7" a="1"/>
  <c r="E280" i="7" a="1"/>
  <c r="I111" i="7" a="1"/>
  <c r="F262" i="7" a="1"/>
  <c r="F142" i="7" a="1"/>
  <c r="B128" i="7" a="1"/>
  <c r="G90" i="7" a="1"/>
  <c r="F222" i="7" a="1"/>
  <c r="H151" i="7" a="1"/>
  <c r="I55" i="7" a="1"/>
  <c r="B36" i="7" a="1"/>
  <c r="B140" i="7" a="1"/>
  <c r="D95" i="7" a="1"/>
  <c r="D217" i="7" a="1"/>
  <c r="B63" i="7" a="1"/>
  <c r="C106" i="7" a="1"/>
  <c r="H84" i="7" a="1"/>
  <c r="I219" i="7" a="1"/>
  <c r="B124" i="7" a="1"/>
  <c r="D181" i="7" a="1"/>
  <c r="D42" i="7" a="1"/>
  <c r="F296" i="7" a="1"/>
  <c r="B273" i="7" a="1"/>
  <c r="C222" i="7" a="1"/>
  <c r="H149" i="7" a="1"/>
  <c r="G235" i="7" a="1"/>
  <c r="H245" i="7" a="1"/>
  <c r="B71" i="7" a="1"/>
  <c r="F217" i="7" a="1"/>
  <c r="I192" i="7" a="1"/>
  <c r="G78" i="7" a="1"/>
  <c r="D228" i="7" a="1"/>
  <c r="C208" i="7" a="1"/>
  <c r="C86" i="7" a="1"/>
  <c r="B189" i="7" a="1"/>
  <c r="H232" i="7" a="1"/>
  <c r="G257" i="7" a="1"/>
  <c r="G84" i="7" a="1"/>
  <c r="H71" i="7" a="1"/>
  <c r="D267" i="7" a="1"/>
  <c r="I231" i="7" a="1"/>
  <c r="C287" i="7" a="1"/>
  <c r="D182" i="7" a="1"/>
  <c r="I106" i="7" a="1"/>
  <c r="I288" i="7" a="1"/>
  <c r="C156" i="7" a="1"/>
  <c r="E137" i="7" a="1"/>
  <c r="E225" i="7" a="1"/>
  <c r="C205" i="7" a="1"/>
  <c r="E117" i="7" a="1"/>
  <c r="I152" i="7" a="1"/>
  <c r="F117" i="7" a="1"/>
  <c r="E46" i="7" a="1"/>
  <c r="G294" i="7" a="1"/>
  <c r="D212" i="7" a="1"/>
  <c r="G296" i="7" a="1"/>
  <c r="F195" i="7" a="1"/>
  <c r="E101" i="7" a="1"/>
  <c r="D291" i="7" a="1"/>
  <c r="F118" i="7" a="1"/>
  <c r="I53" i="7" a="1"/>
  <c r="B289" i="7" a="1"/>
  <c r="H160" i="7" a="1"/>
  <c r="C298" i="7" a="1"/>
  <c r="D139" i="7" a="1"/>
  <c r="B130" i="7" a="1"/>
  <c r="F256" i="7" a="1"/>
  <c r="E300" i="7" a="1"/>
  <c r="H175" i="7" a="1"/>
  <c r="F154" i="7" a="1"/>
  <c r="B58" i="7" a="1"/>
  <c r="I275" i="7" a="1"/>
  <c r="D288" i="7" a="1"/>
  <c r="E92" i="7" a="1"/>
  <c r="I41" i="7" a="1"/>
  <c r="C200" i="7" a="1"/>
  <c r="I133" i="7" a="1"/>
  <c r="C39" i="7" a="1"/>
  <c r="H283" i="7" a="1"/>
  <c r="G191" i="7" a="1"/>
  <c r="E84" i="7" a="1"/>
  <c r="H271" i="7" a="1"/>
  <c r="B142" i="7" a="1"/>
  <c r="G239" i="7" a="1"/>
  <c r="D143" i="7" a="1"/>
  <c r="I70" i="7" a="1"/>
  <c r="D114" i="7" a="1"/>
  <c r="D133" i="7" a="1"/>
  <c r="C49" i="7" a="1"/>
  <c r="C45" i="7" a="1"/>
  <c r="D257" i="7" a="1"/>
  <c r="C70" i="7" a="1"/>
  <c r="I68" i="7" a="1"/>
  <c r="E283" i="7" a="1"/>
  <c r="H270" i="7" a="1"/>
  <c r="D75" i="7" a="1"/>
  <c r="E274" i="7" a="1"/>
  <c r="I228" i="7" a="1"/>
  <c r="G119" i="7" a="1"/>
  <c r="I227" i="7" a="1"/>
  <c r="H22" i="7" a="1"/>
  <c r="C58" i="7" a="1"/>
  <c r="C68" i="7" a="1"/>
  <c r="D292" i="7" a="1"/>
  <c r="C46" i="7" a="1"/>
  <c r="H193" i="7" a="1"/>
  <c r="E243" i="7" a="1"/>
  <c r="H227" i="7" a="1"/>
  <c r="B2" i="7" a="1"/>
  <c r="D7" i="7" a="1"/>
  <c r="H220" i="7" a="1"/>
  <c r="G205" i="7" a="1"/>
  <c r="E272" i="7" a="1"/>
  <c r="E135" i="7" a="1"/>
  <c r="C115" i="7" a="1"/>
  <c r="C98" i="7" a="1"/>
  <c r="C216" i="7" a="1"/>
  <c r="G74" i="7" a="1"/>
  <c r="D148" i="7" a="1"/>
  <c r="G202" i="7" a="1"/>
  <c r="H35" i="7" a="1"/>
  <c r="G140" i="7" a="1"/>
  <c r="C27" i="7" a="1"/>
  <c r="F193" i="7" a="1"/>
  <c r="D248" i="7" a="1"/>
  <c r="D276" i="7" a="1"/>
  <c r="C244" i="7" a="1"/>
  <c r="I7" i="7" a="1"/>
  <c r="G96" i="7" a="1"/>
  <c r="B42" i="7" a="1"/>
  <c r="I168" i="7" a="1"/>
  <c r="I225" i="7" a="1"/>
  <c r="B108" i="7" a="1"/>
  <c r="H183" i="7" a="1"/>
  <c r="G200" i="7" a="1"/>
  <c r="F103" i="7" a="1"/>
  <c r="C69" i="7" a="1"/>
  <c r="H296" i="7" a="1"/>
  <c r="C93" i="7" a="1"/>
  <c r="C116" i="7" a="1"/>
  <c r="D196" i="7" a="1"/>
  <c r="I223" i="7" a="1"/>
  <c r="H145" i="7" a="1"/>
  <c r="C239" i="7" a="1"/>
  <c r="F2" i="7" a="1"/>
  <c r="E178" i="7" a="1"/>
  <c r="H282" i="7" a="1"/>
  <c r="I136" i="7" a="1"/>
  <c r="D290" i="7" a="1"/>
  <c r="H143" i="7" a="1"/>
  <c r="E249" i="7" a="1"/>
  <c r="I182" i="7" a="1"/>
  <c r="C4" i="7" a="1"/>
  <c r="D157" i="7" a="1"/>
  <c r="H4" i="7" a="1"/>
  <c r="B208" i="7" a="1"/>
  <c r="B240" i="7" a="1"/>
  <c r="B254" i="7" a="1"/>
  <c r="B139" i="7" a="1"/>
  <c r="C128" i="7" a="1"/>
  <c r="I174" i="7" a="1"/>
  <c r="H69" i="7" a="1"/>
  <c r="B156" i="7" a="1"/>
  <c r="D37" i="7" a="1"/>
  <c r="F163" i="7" a="1"/>
  <c r="D249" i="7" a="1"/>
  <c r="E276" i="7" a="1"/>
  <c r="G190" i="7" a="1"/>
  <c r="C126" i="7" a="1"/>
  <c r="E242" i="7" a="1"/>
  <c r="E55" i="7" a="1"/>
  <c r="H62" i="7" a="1"/>
  <c r="C124" i="7" a="1"/>
  <c r="G146" i="7" a="1"/>
  <c r="G233" i="7" a="1"/>
  <c r="H187" i="7" a="1"/>
  <c r="C74" i="7" a="1"/>
  <c r="C80" i="7" a="1"/>
  <c r="C22" i="7" a="1"/>
  <c r="G92" i="7" a="1"/>
  <c r="E210" i="7" a="1"/>
  <c r="E244" i="7" a="1"/>
  <c r="F234" i="7" a="1"/>
  <c r="B65" i="7" a="1"/>
  <c r="C263" i="7" a="1"/>
  <c r="H242" i="7" a="1"/>
  <c r="B195" i="7" a="1"/>
  <c r="C112" i="7" a="1"/>
  <c r="H102" i="7" a="1"/>
  <c r="E239" i="7" a="1"/>
  <c r="F81" i="7" a="1"/>
  <c r="C75" i="7" a="1"/>
  <c r="D297" i="7" a="1"/>
  <c r="I207" i="7" a="1"/>
  <c r="E42" i="7" a="1"/>
  <c r="I22" i="7" a="1"/>
  <c r="G130" i="7" a="1"/>
  <c r="F165" i="7" a="1"/>
  <c r="E150" i="7" a="1"/>
  <c r="H142" i="7" a="1"/>
  <c r="I188" i="7" a="1"/>
  <c r="D294" i="7" a="1"/>
  <c r="E8" i="7" a="1"/>
  <c r="B106" i="7" a="1"/>
  <c r="H141" i="7" a="1"/>
  <c r="B68" i="7" a="1"/>
  <c r="D184" i="7" a="1"/>
  <c r="F227" i="7" a="1"/>
  <c r="I186" i="7" a="1"/>
  <c r="E255" i="7" a="1"/>
  <c r="D161" i="7" a="1"/>
  <c r="H99" i="7" a="1"/>
  <c r="B105" i="7" a="1"/>
  <c r="I261" i="7" a="1"/>
  <c r="D54" i="7" a="1"/>
  <c r="G88" i="7" a="1"/>
  <c r="E136" i="7" a="1"/>
  <c r="F82" i="7" a="1"/>
  <c r="H56" i="7" a="1"/>
  <c r="D269" i="7" a="1"/>
  <c r="E73" i="7" a="1"/>
  <c r="H269" i="7" a="1"/>
  <c r="I265" i="7" a="1"/>
  <c r="I11" i="7" a="1"/>
  <c r="H37" i="7" a="1"/>
  <c r="F111" i="7" a="1"/>
  <c r="G118" i="7" a="1"/>
  <c r="G120" i="7" a="1"/>
  <c r="G108" i="7" a="1"/>
  <c r="F288" i="7" a="1"/>
  <c r="E184" i="7" a="1"/>
  <c r="I297" i="7" a="1"/>
  <c r="B236" i="7" a="1"/>
  <c r="G298" i="7" a="1"/>
  <c r="E103" i="7" a="1"/>
  <c r="D260" i="7" a="1"/>
  <c r="D30" i="7" a="1"/>
  <c r="H239" i="7" a="1"/>
  <c r="G193" i="7" a="1"/>
  <c r="D117" i="7" a="1"/>
  <c r="E268" i="7" a="1"/>
  <c r="E275" i="7" a="1"/>
  <c r="I90" i="7" a="1"/>
  <c r="F133" i="7" a="1"/>
  <c r="D162" i="7" a="1"/>
  <c r="F74" i="7" a="1"/>
  <c r="B46" i="7" a="1"/>
  <c r="E196" i="7" a="1"/>
  <c r="I33" i="7" a="1"/>
  <c r="H289" i="7" a="1"/>
  <c r="B100" i="7" a="1"/>
  <c r="E264" i="7" a="1"/>
  <c r="F120" i="7" a="1"/>
  <c r="C232" i="7" a="1"/>
  <c r="C207" i="7" a="1"/>
  <c r="H186" i="7" a="1"/>
  <c r="C174" i="7" a="1"/>
  <c r="I190" i="7" a="1"/>
  <c r="D59" i="7" a="1"/>
  <c r="I213" i="7" a="1"/>
  <c r="F153" i="7" a="1"/>
  <c r="C217" i="7" a="1"/>
  <c r="F186" i="7" a="1"/>
  <c r="C212" i="7" a="1"/>
  <c r="C154" i="7" a="1"/>
  <c r="I254" i="7" a="1"/>
  <c r="F214" i="7" a="1"/>
  <c r="F84" i="7" a="1"/>
  <c r="B18" i="7" a="1"/>
  <c r="G76" i="7" a="1"/>
  <c r="C118" i="7" a="1"/>
  <c r="E194" i="7" a="1"/>
  <c r="C41" i="7" a="1"/>
  <c r="G138" i="7" a="1"/>
  <c r="C79" i="7" a="1"/>
  <c r="I107" i="7" a="1"/>
  <c r="I61" i="7" a="1"/>
  <c r="F180" i="7" a="1"/>
  <c r="E69" i="7" a="1"/>
  <c r="B245" i="7" a="1"/>
  <c r="B138" i="7" a="1"/>
  <c r="C59" i="7" a="1"/>
  <c r="I251" i="7" a="1"/>
  <c r="D69" i="7" a="1"/>
  <c r="E279" i="7" a="1"/>
  <c r="E209" i="7" a="1"/>
  <c r="E246" i="7" a="1"/>
  <c r="D173" i="7" a="1"/>
  <c r="H117" i="7" a="1"/>
  <c r="B253" i="7" a="1"/>
  <c r="D98" i="7" a="1"/>
  <c r="G126" i="7" a="1"/>
  <c r="E146" i="7" a="1"/>
  <c r="G122" i="7" a="1"/>
  <c r="F201" i="7" a="1"/>
  <c r="C17" i="7" a="1"/>
  <c r="I40" i="7" a="1"/>
  <c r="H110" i="7" a="1"/>
  <c r="I214" i="7" a="1"/>
  <c r="I165" i="7" a="1"/>
  <c r="F143" i="7" a="1"/>
  <c r="I200" i="7" a="1"/>
  <c r="D52" i="7" a="1"/>
  <c r="I62" i="7" a="1"/>
  <c r="C40" i="7" a="1"/>
  <c r="E79" i="7" a="1"/>
  <c r="E298" i="7" a="1"/>
  <c r="B233" i="7" a="1"/>
  <c r="G255" i="7" a="1"/>
  <c r="B83" i="7" a="1"/>
  <c r="H196" i="7" a="1"/>
  <c r="H272" i="7" a="1"/>
  <c r="F255" i="7" a="1"/>
  <c r="D145" i="7" a="1"/>
  <c r="H154" i="7" a="1"/>
  <c r="C243" i="7" a="1"/>
  <c r="G211" i="7" a="1"/>
  <c r="B64" i="7" a="1"/>
  <c r="D245" i="7" a="1"/>
  <c r="F99" i="7" a="1"/>
  <c r="D65" i="7" a="1"/>
  <c r="D3" i="7" a="1"/>
  <c r="H34" i="7" a="1"/>
  <c r="B263" i="7" a="1"/>
  <c r="H265" i="7" a="1"/>
  <c r="G254" i="7" a="1"/>
  <c r="I74" i="7" a="1"/>
  <c r="G112" i="7" a="1"/>
  <c r="E128" i="7" a="1"/>
  <c r="I289" i="7" a="1"/>
  <c r="D91" i="7" a="1"/>
  <c r="F89" i="7" a="1"/>
  <c r="B281" i="7" a="1"/>
  <c r="H258" i="7" a="1"/>
  <c r="I110" i="7" a="1"/>
  <c r="E207" i="7" a="1"/>
  <c r="I252" i="7" a="1"/>
  <c r="G154" i="7" a="1"/>
  <c r="H180" i="7" a="1"/>
  <c r="C215" i="7" a="1"/>
  <c r="D254" i="7" a="1"/>
  <c r="B70" i="7" a="1"/>
  <c r="B278" i="7" a="1"/>
  <c r="B201" i="7" a="1"/>
  <c r="I71" i="7" a="1"/>
  <c r="H27" i="7" a="1"/>
  <c r="B54" i="7" a="1"/>
  <c r="E130" i="7" a="1"/>
  <c r="C265" i="7" a="1"/>
  <c r="E214" i="7" a="1"/>
  <c r="B198" i="7" a="1"/>
  <c r="B206" i="7" a="1"/>
  <c r="I285" i="7" a="1"/>
  <c r="I121" i="7" a="1"/>
  <c r="C135" i="7" a="1"/>
  <c r="C240" i="7" a="1"/>
  <c r="B224" i="7" a="1"/>
  <c r="D57" i="7" a="1"/>
  <c r="H33" i="7" a="1"/>
  <c r="C279" i="7" a="1"/>
  <c r="G147" i="7" a="1"/>
  <c r="G153" i="7" a="1"/>
  <c r="E37" i="7" a="1"/>
  <c r="D41" i="7" a="1"/>
  <c r="E2" i="7" a="1"/>
  <c r="E102" i="7" a="1"/>
  <c r="C297" i="7" a="1"/>
  <c r="E236" i="7" a="1"/>
  <c r="F276" i="7" a="1"/>
  <c r="H212" i="7" a="1"/>
  <c r="B118" i="7" a="1"/>
  <c r="G199" i="7" a="1"/>
  <c r="G117" i="7" a="1"/>
  <c r="B243" i="7" a="1"/>
  <c r="F204" i="7" a="1"/>
  <c r="H261" i="7" a="1"/>
  <c r="F167" i="7" a="1"/>
  <c r="B80" i="7" a="1"/>
  <c r="E170" i="7" a="1"/>
  <c r="E258" i="7" a="1"/>
  <c r="G227" i="7" a="1"/>
  <c r="I284" i="7" a="1"/>
  <c r="G217" i="7" a="1"/>
  <c r="I237" i="7" a="1"/>
  <c r="G9" i="7" a="1"/>
  <c r="E251" i="7" a="1"/>
  <c r="H82" i="7" a="1"/>
  <c r="B214" i="7" a="1"/>
  <c r="G70" i="7" a="1"/>
  <c r="F252" i="7" a="1"/>
  <c r="D209" i="7" a="1"/>
  <c r="F289" i="7" a="1"/>
  <c r="B96" i="7" a="1"/>
  <c r="C134" i="7" a="1"/>
  <c r="B202" i="7" a="1"/>
  <c r="G172" i="7" a="1"/>
  <c r="B104" i="7" a="1"/>
  <c r="D201" i="7" a="1"/>
  <c r="H126" i="7" a="1"/>
  <c r="H104" i="7" a="1"/>
  <c r="H66" i="7" a="1"/>
  <c r="D135" i="7" a="1"/>
  <c r="F172" i="7" a="1"/>
  <c r="E159" i="7" a="1"/>
  <c r="H167" i="7" a="1"/>
  <c r="G83" i="7" a="1"/>
  <c r="B28" i="7" a="1"/>
  <c r="B262" i="7" a="1"/>
  <c r="I239" i="7" a="1"/>
  <c r="I6" i="7" a="1"/>
  <c r="F199" i="7" a="1"/>
  <c r="F164" i="7" a="1"/>
  <c r="D156" i="7" a="1"/>
  <c r="B280" i="7" a="1"/>
  <c r="F171" i="7" a="1"/>
  <c r="F148" i="7" a="1"/>
  <c r="G216" i="7" a="1"/>
  <c r="E140" i="7" a="1"/>
  <c r="I157" i="7" a="1"/>
  <c r="F221" i="7" a="1"/>
  <c r="D168" i="7" a="1"/>
  <c r="B290" i="7" a="1"/>
  <c r="D158" i="7" a="1"/>
  <c r="H100" i="7" a="1"/>
  <c r="C233" i="7" a="1"/>
  <c r="C266" i="7" a="1"/>
  <c r="C148" i="7" a="1"/>
  <c r="H199" i="7" a="1"/>
  <c r="E223" i="7" a="1"/>
  <c r="F92" i="7" a="1"/>
  <c r="H206" i="7" a="1"/>
  <c r="D219" i="7" a="1"/>
  <c r="F219" i="7" a="1"/>
  <c r="E256" i="7" a="1"/>
  <c r="B5" i="7" a="1"/>
  <c r="I296" i="7" a="1"/>
  <c r="H121" i="7" a="1"/>
  <c r="H30" i="7" a="1"/>
  <c r="G114" i="7" a="1"/>
  <c r="H159" i="7" a="1"/>
  <c r="I212" i="7" a="1"/>
  <c r="B95" i="7" a="1"/>
  <c r="C114" i="7" a="1"/>
  <c r="E253" i="7" a="1"/>
  <c r="H31" i="7" a="1"/>
  <c r="H293" i="7" a="1"/>
  <c r="F158" i="7" a="1"/>
  <c r="I280" i="7" a="1"/>
  <c r="H221" i="7" a="1"/>
  <c r="D179" i="7" a="1"/>
  <c r="E189" i="7" a="1"/>
  <c r="F192" i="7" a="1"/>
  <c r="I109" i="7" a="1"/>
  <c r="B216" i="7" a="1"/>
  <c r="F122" i="7" a="1"/>
  <c r="F107" i="7" a="1"/>
  <c r="G135" i="7" a="1"/>
  <c r="E172" i="7" a="1"/>
  <c r="I75" i="7" a="1"/>
  <c r="E51" i="7" a="1"/>
  <c r="C269" i="7" a="1"/>
  <c r="D186" i="7" a="1"/>
  <c r="E24" i="7" a="1"/>
  <c r="F9" i="7" a="1"/>
  <c r="C289" i="7" a="1"/>
  <c r="B17" i="7" a="1"/>
  <c r="E232" i="7" a="1"/>
  <c r="H215" i="7" a="1"/>
  <c r="G187" i="7" a="1"/>
  <c r="C83" i="7" a="1"/>
  <c r="B270" i="7" a="1"/>
  <c r="D105" i="7" a="1"/>
  <c r="H122" i="7" a="1"/>
  <c r="I14" i="7" a="1"/>
  <c r="E185" i="7" a="1"/>
  <c r="C262" i="7" a="1"/>
  <c r="D172" i="7" a="1"/>
  <c r="D208" i="7" a="1"/>
  <c r="F282" i="7" a="1"/>
  <c r="E250" i="7" a="1"/>
  <c r="D204" i="7" a="1"/>
  <c r="E273" i="7" a="1"/>
  <c r="B275" i="7" a="1"/>
  <c r="H163" i="7" a="1"/>
  <c r="E211" i="7" a="1"/>
  <c r="I164" i="7" a="1"/>
  <c r="F286" i="7" a="1"/>
  <c r="G188" i="7" a="1"/>
  <c r="I269" i="7" a="1"/>
  <c r="C204" i="7" a="1"/>
  <c r="F105" i="7" a="1"/>
  <c r="H174" i="7" a="1"/>
  <c r="B168" i="7" a="1"/>
  <c r="G86" i="7" a="1"/>
  <c r="H68" i="7" a="1"/>
  <c r="H59" i="7" a="1"/>
  <c r="C236" i="7" a="1"/>
  <c r="B113" i="7" a="1"/>
  <c r="F79" i="7" a="1"/>
  <c r="E240" i="7" a="1"/>
  <c r="E158" i="7" a="1"/>
  <c r="F248" i="7" a="1"/>
  <c r="B300" i="7" a="1"/>
  <c r="B88" i="7" a="1"/>
  <c r="E205" i="7" a="1"/>
  <c r="I85" i="7" a="1"/>
  <c r="D103" i="7" a="1"/>
  <c r="D166" i="7" a="1"/>
  <c r="C226" i="7" a="1"/>
  <c r="F216" i="7" a="1"/>
  <c r="E230" i="7" a="1"/>
  <c r="D43" i="7" a="1"/>
  <c r="B31" i="7" a="1"/>
  <c r="G128" i="7" a="1"/>
  <c r="G75" i="7" a="1"/>
  <c r="C117" i="7" a="1"/>
  <c r="H184" i="7" a="1"/>
  <c r="H195" i="7" a="1"/>
  <c r="I191" i="7" a="1"/>
  <c r="G246" i="7" a="1"/>
  <c r="C259" i="7" a="1"/>
  <c r="D256" i="7" a="1"/>
  <c r="H8" i="7" a="1"/>
  <c r="F203" i="7" a="1"/>
  <c r="F138" i="7" a="1"/>
  <c r="D153" i="7" a="1"/>
  <c r="I59" i="7" a="1"/>
  <c r="I81" i="7" a="1"/>
  <c r="C23" i="7" a="1"/>
  <c r="I194" i="7" a="1"/>
  <c r="B132" i="7" a="1"/>
  <c r="C252" i="7" a="1"/>
  <c r="B116" i="7" a="1"/>
  <c r="B204" i="7" a="1"/>
  <c r="H238" i="7" a="1"/>
  <c r="D232" i="7" a="1"/>
  <c r="H135" i="7" a="1"/>
  <c r="D9" i="7" a="1"/>
  <c r="D282" i="7" a="1"/>
  <c r="I263" i="7" a="1"/>
  <c r="D298" i="7" a="1"/>
  <c r="D56" i="7" a="1"/>
  <c r="C256" i="7" a="1"/>
  <c r="F295" i="7" a="1"/>
  <c r="H107" i="7" a="1"/>
  <c r="I201" i="7" a="1"/>
  <c r="I112" i="7" a="1"/>
  <c r="I145" i="7" a="1"/>
  <c r="G145" i="7" a="1"/>
  <c r="F265" i="7" a="1"/>
  <c r="H192" i="7" a="1"/>
  <c r="D174" i="7" a="1"/>
  <c r="H170" i="7" a="1"/>
  <c r="C246" i="7" a="1"/>
  <c r="H147" i="7" a="1"/>
  <c r="E238" i="7" a="1"/>
  <c r="D211" i="7" a="1"/>
  <c r="B200" i="7" a="1"/>
  <c r="D215" i="7" a="1"/>
  <c r="C166" i="7" a="1"/>
  <c r="H40" i="7" a="1"/>
  <c r="F115" i="7" a="1"/>
  <c r="B109" i="7" a="1"/>
  <c r="B218" i="7" a="1"/>
  <c r="C120" i="7" a="1"/>
  <c r="H287" i="7" a="1"/>
  <c r="F98" i="7" a="1"/>
  <c r="D244" i="7" a="1"/>
  <c r="D171" i="7" a="1"/>
  <c r="F145" i="7" a="1"/>
  <c r="D110" i="7" a="1"/>
  <c r="H253" i="7" a="1"/>
  <c r="I249" i="7" a="1"/>
  <c r="I232" i="7" a="1"/>
  <c r="E39" i="7" a="1"/>
  <c r="I247" i="7" a="1"/>
  <c r="G149" i="7" a="1"/>
  <c r="F226" i="7" a="1"/>
  <c r="G236" i="7" a="1"/>
  <c r="F284" i="7" a="1"/>
  <c r="G121" i="7" a="1"/>
  <c r="F113" i="7" a="1"/>
  <c r="E183" i="7" a="1"/>
  <c r="B59" i="7" a="1"/>
  <c r="E174" i="7" a="1"/>
  <c r="C257" i="7" a="1"/>
  <c r="E70" i="7" a="1"/>
  <c r="G213" i="7" a="1"/>
  <c r="I80" i="7" a="1"/>
  <c r="I4" i="7" a="1"/>
  <c r="B55" i="7" a="1"/>
  <c r="D38" i="7" a="1"/>
  <c r="B279" i="7" a="1"/>
  <c r="G167" i="7" a="1"/>
  <c r="D163" i="7" a="1"/>
  <c r="I78" i="7" a="1"/>
  <c r="D274" i="7" a="1"/>
  <c r="D281" i="7" a="1"/>
  <c r="C260" i="7" a="1"/>
  <c r="G232" i="7" a="1"/>
  <c r="C81" i="7" a="1"/>
  <c r="H169" i="7" a="1"/>
  <c r="F273" i="7" a="1"/>
  <c r="D19" i="7" a="1"/>
  <c r="H281" i="7" a="1"/>
  <c r="E96" i="7" a="1"/>
  <c r="F137" i="7" a="1"/>
  <c r="B255" i="7" a="1"/>
  <c r="I105" i="7" a="1"/>
  <c r="C107" i="7" a="1"/>
  <c r="I217" i="7" a="1"/>
  <c r="D286" i="7" a="1"/>
  <c r="E114" i="7" a="1"/>
  <c r="E17" i="7" a="1"/>
  <c r="F242" i="7" a="1"/>
  <c r="E226" i="7" a="1"/>
  <c r="G3" i="7" a="1"/>
  <c r="C125" i="7" a="1"/>
  <c r="I17" i="7" a="1"/>
  <c r="I241" i="7" a="1"/>
  <c r="D180" i="7" a="1"/>
  <c r="H234" i="7" a="1"/>
  <c r="E176" i="7" a="1"/>
  <c r="B73" i="7" a="1"/>
  <c r="E49" i="7" a="1"/>
  <c r="I193" i="7" a="1"/>
  <c r="E281" i="7" a="1"/>
  <c r="H158" i="7" a="1"/>
  <c r="D77" i="7" a="1"/>
  <c r="D198" i="7" a="1"/>
  <c r="D197" i="7" a="1"/>
  <c r="F185" i="7" a="1"/>
  <c r="G204" i="7" a="1"/>
  <c r="C159" i="7" a="1"/>
  <c r="E32" i="7" a="1"/>
  <c r="B272" i="7" a="1"/>
  <c r="F73" i="7" a="1"/>
  <c r="B52" i="7" a="1"/>
  <c r="H188" i="7" a="1"/>
  <c r="I66" i="7" a="1"/>
  <c r="I240" i="7" a="1"/>
  <c r="B29" i="7" a="1"/>
  <c r="B77" i="7" a="1"/>
  <c r="H243" i="7" a="1"/>
  <c r="B154" i="7" a="1"/>
  <c r="E291" i="7" a="1"/>
  <c r="H194" i="7" a="1"/>
  <c r="B197" i="7" a="1"/>
  <c r="E169" i="7" a="1"/>
  <c r="C219" i="7" a="1"/>
  <c r="D2" i="7" a="1"/>
  <c r="B98" i="7" a="1"/>
  <c r="B292" i="7" a="1"/>
  <c r="D268" i="7" a="1"/>
  <c r="D214" i="7" a="1"/>
  <c r="I128" i="7" a="1"/>
  <c r="C270" i="7" a="1"/>
  <c r="H286" i="7" a="1"/>
  <c r="I169" i="7" a="1"/>
  <c r="C300" i="7" a="1"/>
  <c r="E234" i="7" a="1"/>
  <c r="C82" i="7" a="1"/>
  <c r="D226" i="7" a="1"/>
  <c r="C25" i="7" a="1"/>
  <c r="G141" i="7" a="1"/>
  <c r="F144" i="7" a="1"/>
  <c r="F166" i="7" a="1"/>
  <c r="F231" i="7" a="1"/>
  <c r="I102" i="7" a="1"/>
  <c r="E113" i="7" a="1"/>
  <c r="H156" i="7" a="1"/>
  <c r="D63" i="7" a="1"/>
  <c r="C248" i="7" a="1"/>
  <c r="C213" i="7" a="1"/>
  <c r="C164" i="7" a="1"/>
  <c r="I229" i="7" a="1"/>
  <c r="I86" i="7" a="1"/>
  <c r="D61" i="7" a="1"/>
  <c r="B178" i="7" a="1"/>
  <c r="E284" i="7" a="1"/>
  <c r="B40" i="7" a="1"/>
  <c r="E152" i="7" a="1"/>
  <c r="F290" i="7" a="1"/>
  <c r="D262" i="7" a="1"/>
  <c r="D60" i="7" a="1"/>
  <c r="I264" i="7" a="1"/>
  <c r="D213" i="7" a="1"/>
  <c r="H236" i="7" a="1"/>
  <c r="I208" i="7" a="1"/>
  <c r="G173" i="7" a="1"/>
  <c r="E132" i="7" a="1"/>
  <c r="E19" i="7" a="1"/>
  <c r="B276" i="7" a="1"/>
  <c r="H105" i="7" a="1"/>
  <c r="G87" i="7" a="1"/>
  <c r="B78" i="7" a="1"/>
  <c r="G165" i="7" a="1"/>
  <c r="C155" i="7" a="1"/>
  <c r="D4" i="7" a="1"/>
  <c r="H28" i="7" a="1"/>
  <c r="D20" i="7" a="1"/>
  <c r="E201" i="7" a="1"/>
  <c r="D112" i="7" a="1"/>
  <c r="F4" i="7" a="1"/>
  <c r="E18" i="7" a="1"/>
  <c r="B120" i="7" a="1"/>
  <c r="C151" i="7" a="1"/>
  <c r="G179" i="7" a="1"/>
  <c r="B33" i="7" a="1"/>
  <c r="C283" i="7" a="1"/>
  <c r="F178" i="7" a="1"/>
  <c r="E120" i="7" a="1"/>
  <c r="C85" i="7" a="1"/>
  <c r="B53" i="7" a="1"/>
  <c r="B268" i="7" a="1"/>
  <c r="G268" i="7" a="1"/>
  <c r="H38" i="7" a="1"/>
  <c r="G289" i="7" a="1"/>
  <c r="I161" i="7" a="1"/>
  <c r="B293" i="7" a="1"/>
  <c r="E295" i="7" a="1"/>
  <c r="B145" i="7" a="1"/>
  <c r="I189" i="7" a="1"/>
  <c r="I104" i="7" a="1"/>
  <c r="D126" i="7" a="1"/>
  <c r="C167" i="7" a="1"/>
  <c r="G297" i="7" a="1"/>
  <c r="H292" i="7" a="1"/>
  <c r="C92" i="7" a="1"/>
  <c r="I100" i="7" a="1"/>
  <c r="E59" i="7" a="1"/>
  <c r="C258" i="7" a="1"/>
  <c r="I24" i="7" a="1"/>
  <c r="B3" i="7" a="1"/>
  <c r="C95" i="7" a="1"/>
  <c r="C153" i="7" a="1"/>
  <c r="G218" i="7" a="1"/>
  <c r="G100" i="7" a="1"/>
  <c r="E289" i="7" a="1"/>
  <c r="C63" i="7" a="1"/>
  <c r="B114" i="7" a="1"/>
  <c r="G249" i="7" a="1"/>
  <c r="G176" i="7" a="1"/>
  <c r="H299" i="7" a="1"/>
  <c r="B158" i="7" a="1"/>
  <c r="F184" i="7" a="1"/>
  <c r="C183" i="7" a="1"/>
  <c r="C185" i="7" a="1"/>
  <c r="C29" i="7" a="1"/>
  <c r="D81" i="7" a="1"/>
  <c r="D188" i="7" a="1"/>
  <c r="F257" i="7" a="1"/>
  <c r="I255" i="7" a="1"/>
  <c r="B9" i="7" a="1"/>
  <c r="D90" i="7" a="1"/>
  <c r="F197" i="7" a="1"/>
  <c r="I286" i="7" a="1"/>
  <c r="I117" i="7" a="1"/>
  <c r="D224" i="7" a="1"/>
  <c r="F293" i="7" a="1"/>
  <c r="D202" i="7" a="1"/>
  <c r="F206" i="7" a="1"/>
  <c r="G123" i="7" a="1"/>
  <c r="E217" i="7" a="1"/>
  <c r="I123" i="7" a="1"/>
  <c r="H223" i="7" a="1"/>
  <c r="F156" i="7" a="1"/>
  <c r="D97" i="7" a="1"/>
  <c r="D164" i="7" a="1"/>
  <c r="B223" i="7" a="1"/>
  <c r="D277" i="7" a="1"/>
  <c r="H173" i="7" a="1"/>
  <c r="G180" i="7" a="1"/>
  <c r="D8" i="7" a="1"/>
  <c r="C47" i="7" a="1"/>
  <c r="B134" i="7" a="1"/>
  <c r="F194" i="7" a="1"/>
  <c r="H176" i="7" a="1"/>
  <c r="H138" i="7" a="1"/>
  <c r="C57" i="7" a="1"/>
  <c r="G212" i="7" a="1"/>
  <c r="E247" i="7" a="1"/>
  <c r="I21" i="7" a="1"/>
  <c r="C214" i="7" a="1"/>
  <c r="H179" i="7" a="1"/>
  <c r="E161" i="7" a="1"/>
  <c r="H91" i="7" a="1"/>
  <c r="C288" i="7" a="1"/>
  <c r="I250" i="7" a="1"/>
  <c r="B229" i="7" a="1"/>
  <c r="D221" i="7" a="1"/>
  <c r="D27" i="7" a="1"/>
  <c r="I216" i="7" a="1"/>
  <c r="C158" i="7" a="1"/>
  <c r="C28" i="7" a="1"/>
  <c r="H178" i="7" a="1"/>
  <c r="B49" i="7" a="1"/>
  <c r="B101" i="7" a="1"/>
  <c r="H57" i="7" a="1"/>
  <c r="C8" i="7" a="1"/>
  <c r="D120" i="7" a="1"/>
  <c r="I113" i="7" a="1"/>
  <c r="G242" i="7" a="1"/>
  <c r="G148" i="7" a="1"/>
  <c r="H181" i="7" a="1"/>
  <c r="B56" i="7" a="1"/>
  <c r="I287" i="7" a="1"/>
  <c r="I116" i="7" a="1"/>
  <c r="I205" i="7" a="1"/>
  <c r="F190" i="7" a="1"/>
  <c r="C24" i="7" a="1"/>
  <c r="D167" i="7" a="1"/>
  <c r="I279" i="7" a="1"/>
  <c r="B234" i="7" a="1"/>
  <c r="F6" i="7" a="1"/>
  <c r="D138" i="7" a="1"/>
  <c r="F246" i="7" a="1"/>
  <c r="G115" i="7" a="1"/>
  <c r="C84" i="7" a="1"/>
  <c r="E31" i="7" a="1"/>
  <c r="D85" i="7" a="1"/>
  <c r="B237" i="7" a="1"/>
  <c r="F181" i="7" a="1"/>
  <c r="G105" i="7" a="1"/>
  <c r="C194" i="7" a="1"/>
  <c r="B226" i="7" a="1"/>
  <c r="G143" i="7" a="1"/>
  <c r="H161" i="7" a="1"/>
  <c r="H96" i="7" a="1"/>
  <c r="B147" i="7" a="1"/>
  <c r="F240" i="7" a="1"/>
  <c r="D134" i="7" a="1"/>
  <c r="E30" i="7" a="1"/>
  <c r="D238" i="7" a="1"/>
  <c r="H197" i="7" a="1"/>
  <c r="E107" i="7" a="1"/>
  <c r="I58" i="7" a="1"/>
  <c r="B69" i="7" a="1"/>
  <c r="C132" i="7" a="1"/>
  <c r="C55" i="7" a="1"/>
  <c r="E22" i="7" a="1"/>
  <c r="B38" i="7" a="1"/>
  <c r="H162" i="7" a="1"/>
  <c r="D237" i="7" a="1"/>
  <c r="D289" i="7" a="1"/>
  <c r="E202" i="7" a="1"/>
  <c r="D45" i="7" a="1"/>
  <c r="G229" i="7" a="1"/>
  <c r="C231" i="7" a="1"/>
  <c r="I130" i="7" a="1"/>
  <c r="B179" i="7" a="1"/>
  <c r="H231" i="7" a="1"/>
  <c r="I294" i="7" a="1"/>
  <c r="E81" i="7" a="1"/>
  <c r="F182" i="7" a="1"/>
  <c r="H285" i="7" a="1"/>
  <c r="G206" i="7" a="1"/>
  <c r="B282" i="7" a="1"/>
  <c r="I159" i="7" a="1"/>
  <c r="G159" i="7" a="1"/>
  <c r="F224" i="7" a="1"/>
  <c r="I148" i="7" a="1"/>
  <c r="F298" i="7" a="1"/>
  <c r="E182" i="7" a="1"/>
  <c r="F108" i="7" a="1"/>
  <c r="G91" i="7" a="1"/>
  <c r="I142" i="7" a="1"/>
  <c r="C245" i="7" a="1"/>
  <c r="D275" i="7" a="1"/>
  <c r="I183" i="7" a="1"/>
  <c r="D176" i="7" a="1"/>
  <c r="B285" i="7" a="1"/>
  <c r="G225" i="7" a="1"/>
  <c r="H201" i="7" a="1"/>
  <c r="G215" i="7" a="1"/>
  <c r="C140" i="7" a="1"/>
  <c r="B162" i="7" a="1"/>
  <c r="F187" i="7" a="1"/>
  <c r="C145" i="7" a="1"/>
  <c r="H217" i="7" a="1"/>
  <c r="D229" i="7" a="1"/>
  <c r="C278" i="7" a="1"/>
  <c r="E162" i="7" a="1"/>
  <c r="E200" i="7" a="1"/>
  <c r="F150" i="7" a="1"/>
  <c r="B62" i="7" a="1"/>
  <c r="D142" i="7" a="1"/>
  <c r="E35" i="7" a="1"/>
  <c r="C267" i="7" a="1"/>
  <c r="G129" i="7" a="1"/>
  <c r="E124" i="7" a="1"/>
  <c r="D296" i="7" a="1"/>
  <c r="C7" i="7" a="1"/>
  <c r="F94" i="7" a="1"/>
  <c r="F69" i="7" a="1"/>
  <c r="E248" i="7" a="1"/>
  <c r="E142" i="7" a="1"/>
  <c r="G256" i="7" a="1"/>
  <c r="F136" i="7" a="1"/>
  <c r="I99" i="7" a="1"/>
  <c r="I273" i="7" a="1"/>
  <c r="H2" i="7" a="1"/>
  <c r="G106" i="7" a="1"/>
  <c r="D74" i="7" a="1"/>
  <c r="B123" i="7" a="1"/>
  <c r="E199" i="7" a="1"/>
  <c r="G271" i="7" a="1"/>
  <c r="B6" i="7" a="1"/>
  <c r="C149" i="7" a="1"/>
  <c r="G273" i="7" a="1"/>
  <c r="D247" i="7" a="1"/>
  <c r="I158" i="7" a="1"/>
  <c r="D199" i="7" a="1"/>
  <c r="G253" i="7" a="1"/>
  <c r="H273" i="7" a="1"/>
  <c r="E93" i="7" a="1"/>
  <c r="I138" i="7" a="1"/>
  <c r="H152" i="7" a="1"/>
  <c r="G71" i="7" a="1"/>
  <c r="F131" i="7" a="1"/>
  <c r="C162" i="7" a="1"/>
  <c r="I13" i="7" a="1"/>
  <c r="C121" i="7" a="1"/>
  <c r="B161" i="7" a="1"/>
  <c r="B227" i="7" a="1"/>
  <c r="F93" i="7" a="1"/>
  <c r="E129" i="7" a="1"/>
  <c r="C247" i="7" a="1"/>
  <c r="I230" i="7" a="1"/>
  <c r="G158" i="7" a="1"/>
  <c r="F196" i="7" a="1"/>
  <c r="B41" i="7" a="1"/>
  <c r="B26" i="7" a="1"/>
  <c r="D67" i="7" a="1"/>
  <c r="H77" i="7" a="1"/>
  <c r="B85" i="7" a="1"/>
  <c r="H54" i="7" a="1"/>
  <c r="D240" i="7" a="1"/>
  <c r="D92" i="7" a="1"/>
  <c r="C96" i="7" a="1"/>
  <c r="I274" i="7" a="1"/>
  <c r="D273" i="7" a="1"/>
  <c r="D131" i="7" a="1"/>
  <c r="D293" i="7" a="1"/>
  <c r="H241" i="7" a="1"/>
  <c r="H291" i="7" a="1"/>
  <c r="C171" i="7" a="1"/>
  <c r="E215" i="7" a="1"/>
  <c r="H200" i="7" a="1"/>
  <c r="C293" i="7" a="1"/>
  <c r="G98" i="7" a="1"/>
  <c r="B74" i="7" a="1"/>
  <c r="C136" i="7" a="1"/>
  <c r="G197" i="7" a="1"/>
  <c r="I282" i="7" a="1"/>
  <c r="B160" i="7" a="1"/>
  <c r="E75" i="7" a="1"/>
  <c r="H207" i="7" a="1"/>
  <c r="I37" i="7" a="1"/>
  <c r="I114" i="7" a="1"/>
  <c r="H42" i="7" a="1"/>
  <c r="G220" i="7" a="1"/>
  <c r="D82" i="7" a="1"/>
  <c r="E66" i="7" a="1"/>
  <c r="F86" i="7" a="1"/>
  <c r="I132" i="7" a="1"/>
  <c r="G137" i="7" a="1"/>
  <c r="G170" i="7" a="1"/>
  <c r="C62" i="7" a="1"/>
  <c r="H95" i="7" a="1"/>
  <c r="B152" i="7" a="1"/>
  <c r="C210" i="7" a="1"/>
  <c r="F125" i="7" a="1"/>
  <c r="E89" i="7" a="1"/>
  <c r="I184" i="7" a="1"/>
  <c r="E228" i="7" a="1"/>
  <c r="G8" i="7" a="1"/>
  <c r="E47" i="7" a="1"/>
  <c r="H23" i="7" a="1"/>
  <c r="B48" i="7" a="1"/>
  <c r="C218" i="7" a="1"/>
  <c r="I146" i="7" a="1"/>
  <c r="D170" i="7" a="1"/>
  <c r="G104" i="7" a="1"/>
  <c r="D64" i="7" a="1"/>
  <c r="C90" i="7" a="1"/>
  <c r="D111" i="7" a="1"/>
  <c r="B112" i="7" a="1"/>
  <c r="H103" i="7" a="1"/>
  <c r="C157" i="7" a="1"/>
  <c r="G125" i="7" a="1"/>
  <c r="H182" i="7" a="1"/>
  <c r="E65" i="7" a="1"/>
  <c r="B181" i="7" a="1"/>
  <c r="E3" i="7" a="1"/>
  <c r="E61" i="7" a="1"/>
  <c r="H226" i="7" a="1"/>
  <c r="G185" i="7" a="1"/>
  <c r="I92" i="7" a="1"/>
  <c r="H229" i="7" a="1"/>
  <c r="B261" i="7" a="1"/>
  <c r="F215" i="7" a="1"/>
  <c r="C188" i="7" a="1"/>
  <c r="C131" i="7" a="1"/>
  <c r="E60" i="7" a="1"/>
  <c r="B264" i="7" a="1"/>
  <c r="C73" i="7" a="1"/>
  <c r="C193" i="7" a="1"/>
  <c r="C264" i="7" a="1"/>
  <c r="I236" i="7" a="1"/>
  <c r="D283" i="7" a="1"/>
  <c r="E45" i="7" a="1"/>
  <c r="C143" i="7" a="1"/>
  <c r="G300" i="7" a="1"/>
  <c r="G286" i="7" a="1"/>
  <c r="G99" i="7" a="1"/>
  <c r="C221" i="7" a="1"/>
  <c r="G95" i="7" a="1"/>
  <c r="D68" i="7" a="1"/>
  <c r="D70" i="7" a="1"/>
  <c r="I163" i="7" a="1"/>
  <c r="C206" i="7" a="1"/>
  <c r="B215" i="7" a="1"/>
  <c r="F149" i="7" a="1"/>
  <c r="C130" i="7" a="1"/>
  <c r="G171" i="7" a="1"/>
  <c r="B7" i="7" a="1"/>
  <c r="F77" i="7" a="1"/>
  <c r="I129" i="7" a="1"/>
  <c r="H125" i="7" a="1"/>
  <c r="B267" i="7" a="1"/>
  <c r="C56" i="7" a="1"/>
  <c r="F264" i="7" a="1"/>
  <c r="D287" i="7" a="1"/>
  <c r="D21" i="7" a="1"/>
  <c r="C26" i="7" a="1"/>
  <c r="C21" i="7" a="1"/>
  <c r="B196" i="7" a="1"/>
  <c r="H114" i="7" a="1"/>
  <c r="B183" i="7" a="1"/>
  <c r="B170" i="7" a="1"/>
  <c r="B177" i="7" a="1"/>
  <c r="F253" i="7" a="1"/>
  <c r="I97" i="7" a="1"/>
  <c r="G258" i="7" a="1"/>
  <c r="C127" i="7" a="1"/>
  <c r="G292" i="7" a="1"/>
  <c r="E254" i="7" a="1"/>
  <c r="E44" i="7" a="1"/>
  <c r="F238" i="7" a="1"/>
  <c r="C50" i="7" a="1"/>
  <c r="I54" i="7" a="1"/>
  <c r="I137" i="7" a="1"/>
  <c r="H277" i="7" a="1"/>
  <c r="G230" i="7" a="1"/>
  <c r="H90" i="7" a="1"/>
  <c r="G157" i="7" a="1"/>
  <c r="F78" i="7" a="1"/>
  <c r="E104" i="7" a="1"/>
  <c r="B22" i="7" a="1"/>
  <c r="B141" i="7" a="1"/>
  <c r="G174" i="7" a="1"/>
  <c r="G231" i="7" a="1"/>
  <c r="C5" i="7" a="1"/>
  <c r="I15" i="7" a="1"/>
  <c r="D233" i="7" a="1"/>
  <c r="C230" i="7" a="1"/>
  <c r="C254" i="7" a="1"/>
  <c r="E139" i="7" a="1"/>
  <c r="D44" i="7" a="1"/>
  <c r="H6" i="7" a="1"/>
  <c r="D192" i="7" a="1"/>
  <c r="I67" i="7" a="1"/>
  <c r="F267" i="7" a="1"/>
  <c r="D206" i="7" a="1"/>
  <c r="I199" i="7" a="1"/>
  <c r="C133" i="7" a="1"/>
  <c r="I238" i="7" a="1"/>
  <c r="D151" i="7" a="1"/>
  <c r="B150" i="7" a="1"/>
  <c r="E131" i="7" a="1"/>
  <c r="C43" i="7" a="1"/>
  <c r="I27" i="7" a="1"/>
  <c r="E105" i="7" a="1"/>
  <c r="H190" i="7" a="1"/>
  <c r="D34" i="7" a="1"/>
  <c r="C191" i="7" a="1"/>
  <c r="I57" i="7" a="1"/>
  <c r="H249" i="7" a="1"/>
  <c r="E290" i="7" a="1"/>
  <c r="H101" i="7" a="1"/>
  <c r="I120" i="7" a="1"/>
  <c r="C76" i="7" a="1"/>
  <c r="I202" i="7" a="1"/>
  <c r="G278" i="7" a="1"/>
  <c r="E153" i="7" a="1"/>
  <c r="H252" i="7" a="1"/>
  <c r="D128" i="7" a="1"/>
  <c r="D235" i="7" a="1"/>
  <c r="H25" i="7" a="1"/>
  <c r="H112" i="7" a="1"/>
  <c r="E259" i="7" a="1"/>
  <c r="I12" i="7" a="1"/>
  <c r="B164" i="7" a="1"/>
  <c r="G69" i="7" a="1"/>
  <c r="D271" i="7" a="1"/>
  <c r="H211" i="7" a="1"/>
  <c r="E122" i="7" a="1"/>
  <c r="C268" i="7" a="1"/>
  <c r="E156" i="7" a="1"/>
  <c r="G272" i="7" a="1"/>
  <c r="D295" i="7" a="1"/>
  <c r="H240" i="7" a="1"/>
  <c r="B122" i="7" a="1"/>
  <c r="E261" i="7" a="1"/>
  <c r="F147" i="7" a="1"/>
  <c r="D132" i="7" a="1"/>
  <c r="F128" i="7" a="1"/>
  <c r="F140" i="7" a="1"/>
  <c r="I115" i="7" a="1"/>
  <c r="E145" i="7" a="1"/>
  <c r="I149" i="7" a="1"/>
  <c r="C94" i="7" a="1"/>
  <c r="G209" i="7" a="1"/>
  <c r="H172" i="7" a="1"/>
  <c r="I64" i="7" a="1"/>
  <c r="F109" i="7" a="1"/>
  <c r="C71" i="7" a="1"/>
  <c r="D26" i="7" a="1"/>
  <c r="I253" i="7" a="1"/>
  <c r="G224" i="7" a="1"/>
  <c r="C160" i="7" a="1"/>
  <c r="I204" i="7" a="1"/>
  <c r="E4" i="7" a="1"/>
  <c r="E155" i="7" a="1"/>
  <c r="G243" i="7" a="1"/>
  <c r="I221" i="7" a="1"/>
  <c r="H61" i="7" a="1"/>
  <c r="H73" i="7" a="1"/>
  <c r="B169" i="7" a="1"/>
  <c r="E181" i="7" a="1"/>
  <c r="B115" i="7" a="1"/>
  <c r="C20" i="7" a="1"/>
  <c r="G250" i="7" a="1"/>
  <c r="C290" i="7" a="1"/>
  <c r="C152" i="7" a="1"/>
  <c r="I211" i="7" a="1"/>
  <c r="F275" i="7" a="1"/>
  <c r="D80" i="7" a="1"/>
  <c r="C35" i="7" a="1"/>
  <c r="I101" i="7" a="1"/>
  <c r="H83" i="7" a="1"/>
  <c r="B298" i="7" a="1"/>
  <c r="E123" i="7" a="1"/>
  <c r="F261" i="7" a="1"/>
  <c r="B260" i="7" a="1"/>
  <c r="G251" i="7" a="1"/>
  <c r="C91" i="7" a="1"/>
  <c r="G155" i="7" a="1"/>
  <c r="F244" i="7" a="1"/>
  <c r="B20" i="7" a="1"/>
  <c r="I218" i="7" a="1"/>
  <c r="C33" i="7" a="1"/>
  <c r="B211" i="7" a="1"/>
  <c r="E108" i="7" a="1"/>
  <c r="B296" i="7" a="1"/>
  <c r="H128" i="7" a="1"/>
  <c r="F211" i="7" a="1"/>
  <c r="I108" i="7" a="1"/>
  <c r="I140" i="7" a="1"/>
  <c r="F291" i="7" a="1"/>
  <c r="B248" i="7" a="1"/>
  <c r="B252" i="7" a="1"/>
  <c r="G295" i="7" a="1"/>
  <c r="E224" i="7" a="1"/>
  <c r="I198" i="7" a="1"/>
  <c r="B241" i="7" a="1"/>
  <c r="F135" i="7" a="1"/>
  <c r="B171" i="7" a="1"/>
  <c r="D178" i="7" a="1"/>
  <c r="H290" i="7" a="1"/>
  <c r="E82" i="7" a="1"/>
  <c r="B174" i="7" a="1"/>
  <c r="E231" i="7" a="1"/>
  <c r="B135" i="7" a="1"/>
  <c r="F281" i="7" a="1"/>
  <c r="F272" i="7" a="1"/>
  <c r="H98" i="7" a="1"/>
  <c r="H210" i="7" a="1"/>
  <c r="G265" i="7" a="1"/>
  <c r="G175" i="7" a="1"/>
  <c r="F250" i="7" a="1"/>
  <c r="D150" i="7" a="1"/>
  <c r="C176" i="7" a="1"/>
  <c r="H189" i="7" a="1"/>
  <c r="H93" i="7" a="1"/>
  <c r="E188" i="7" a="1"/>
  <c r="D137" i="7" a="1"/>
  <c r="E278" i="7" a="1"/>
  <c r="E235" i="7" a="1"/>
  <c r="B148" i="7" a="1"/>
  <c r="C89" i="7" a="1"/>
  <c r="C179" i="7" a="1"/>
  <c r="C37" i="7" a="1"/>
  <c r="E233" i="7" a="1"/>
  <c r="C165" i="7" a="1"/>
  <c r="E193" i="7" a="1"/>
  <c r="E299" i="7" a="1"/>
  <c r="E252" i="7" a="1"/>
  <c r="I209" i="7" a="1"/>
  <c r="H53" i="7" a="1"/>
  <c r="E99" i="7" a="1"/>
  <c r="C137" i="7" a="1"/>
  <c r="F68" i="7" a="1"/>
  <c r="D122" i="7" a="1"/>
  <c r="B39" i="7" a="1"/>
  <c r="B127" i="7" a="1"/>
  <c r="B119" i="7" a="1"/>
  <c r="G264" i="7" a="1"/>
  <c r="C110" i="7" a="1"/>
  <c r="B258" i="7" a="1"/>
  <c r="D84" i="7" a="1"/>
  <c r="D239" i="7" a="1"/>
  <c r="F83" i="7" a="1"/>
  <c r="C6" i="7" a="1"/>
  <c r="B129" i="7" a="1"/>
  <c r="F169" i="7" a="1"/>
  <c r="B230" i="7" a="1"/>
  <c r="E144" i="7" a="1"/>
  <c r="C223" i="7" a="1"/>
  <c r="E285" i="7" a="1"/>
  <c r="H298" i="7" a="1"/>
  <c r="I47" i="7" a="1"/>
  <c r="I8" i="7" a="1"/>
  <c r="E134" i="7" a="1"/>
  <c r="E180" i="7" a="1"/>
  <c r="H123" i="7" a="1"/>
  <c r="D259" i="7" a="1"/>
  <c r="D242" i="7" a="1"/>
  <c r="G259" i="7" a="1"/>
  <c r="E76" i="7" a="1"/>
  <c r="C253" i="7" a="1"/>
  <c r="I196" i="7" a="1"/>
  <c r="B110" i="7" a="1"/>
  <c r="G89" i="7" a="1"/>
  <c r="C190" i="7" a="1"/>
  <c r="B225" i="7" a="1"/>
  <c r="I32" i="7" a="1"/>
  <c r="F270" i="7" a="1"/>
  <c r="D278" i="7" a="1"/>
  <c r="B205" i="7" a="1"/>
  <c r="G189" i="7" a="1"/>
  <c r="C195" i="7" a="1"/>
  <c r="C228" i="7" a="1"/>
  <c r="D236" i="7" a="1"/>
  <c r="F208" i="7" a="1"/>
  <c r="B249" i="7" a="1"/>
  <c r="E78" i="7" a="1"/>
  <c r="G219" i="7" a="1"/>
  <c r="I270" i="7" a="1"/>
  <c r="C38" i="7" a="1"/>
  <c r="G203" i="7" a="1"/>
  <c r="D107" i="7" a="1"/>
  <c r="C34" i="7" a="1"/>
  <c r="H140" i="7" a="1"/>
  <c r="E257" i="7" a="1"/>
  <c r="E191" i="7" a="1"/>
  <c r="C78" i="7" a="1"/>
  <c r="I134" i="7" a="1"/>
  <c r="D36" i="7" a="1"/>
  <c r="D108" i="7" a="1"/>
  <c r="G237" i="7" a="1"/>
  <c r="F283" i="7" a="1"/>
  <c r="B213" i="7" a="1"/>
  <c r="I170" i="7" a="1"/>
  <c r="F96" i="7" a="1"/>
  <c r="H204" i="7" a="1"/>
  <c r="G156" i="7" a="1"/>
  <c r="C51" i="7" a="1"/>
  <c r="C2" i="7" a="1"/>
  <c r="E151" i="7" a="1"/>
  <c r="D140" i="7" a="1"/>
  <c r="D72" i="7" a="1"/>
  <c r="E68" i="7" a="1"/>
  <c r="D227" i="7" a="1"/>
  <c r="H275" i="7" a="1"/>
  <c r="H278" i="7" a="1"/>
  <c r="F161" i="7" a="1"/>
  <c r="F225" i="7" a="1"/>
  <c r="I244" i="7" a="1"/>
  <c r="H113" i="7" a="1"/>
  <c r="G221" i="7" a="1"/>
  <c r="D243" i="7" a="1"/>
  <c r="I18" i="7" a="1"/>
  <c r="D113" i="7" a="1"/>
  <c r="G94" i="7" a="1"/>
  <c r="H250" i="7" a="1"/>
  <c r="H262" i="7" a="1"/>
  <c r="E148" i="7" a="1"/>
  <c r="I56" i="7" a="1"/>
  <c r="B167" i="7" a="1"/>
  <c r="I94" i="7" a="1"/>
  <c r="D191" i="7" a="1"/>
  <c r="C61" i="7" a="1"/>
  <c r="B144" i="7" a="1"/>
  <c r="G144" i="7" a="1"/>
  <c r="I215" i="7" a="1"/>
  <c r="H3" i="7" a="1"/>
  <c r="F235" i="7" a="1"/>
  <c r="D93" i="7" a="1"/>
  <c r="I260" i="7" a="1"/>
  <c r="C299" i="7" a="1"/>
  <c r="G274" i="7" a="1"/>
  <c r="I203" i="7" a="1"/>
  <c r="F207" i="7" a="1"/>
  <c r="E245" i="7" a="1"/>
  <c r="F251" i="7" a="1"/>
  <c r="I178" i="7" a="1"/>
  <c r="F157" i="7" a="1"/>
  <c r="I281" i="7" a="1"/>
  <c r="H260" i="7" a="1"/>
  <c r="H165" i="7" a="1"/>
  <c r="D125" i="7" a="1"/>
  <c r="G280" i="7" a="1"/>
  <c r="I224" i="7" a="1"/>
  <c r="I151" i="7" a="1"/>
  <c r="I220" i="7" a="1"/>
  <c r="I195" i="7" a="1"/>
  <c r="E125" i="7" a="1"/>
  <c r="G240" i="7" a="1"/>
  <c r="H72" i="7" a="1"/>
  <c r="G97" i="7" a="1"/>
  <c r="E56" i="7" a="1"/>
  <c r="B247" i="7" a="1"/>
  <c r="H24" i="7" a="1"/>
  <c r="B246" i="7" a="1"/>
  <c r="D124" i="7" a="1"/>
  <c r="B165" i="7" a="1"/>
  <c r="E147" i="7" a="1"/>
  <c r="D152" i="7" a="1"/>
  <c r="I181" i="7" a="1"/>
  <c r="E149" i="7" a="1"/>
  <c r="D116" i="7" a="1"/>
  <c r="E91" i="7" a="1"/>
  <c r="H144" i="7" a="1"/>
  <c r="E74" i="7" a="1"/>
  <c r="D146" i="7" a="1"/>
  <c r="I243" i="7" a="1"/>
  <c r="D272" i="7" a="1"/>
  <c r="H92" i="7" a="1"/>
  <c r="E36" i="7" a="1"/>
  <c r="F71" i="7" a="1"/>
  <c r="B239" i="7" a="1"/>
  <c r="C196" i="7" a="1"/>
  <c r="I144" i="7" a="1"/>
  <c r="B81" i="7" a="1"/>
  <c r="C103" i="7" a="1"/>
  <c r="I268" i="7" a="1"/>
  <c r="H109" i="7" a="1"/>
  <c r="F230" i="7" a="1"/>
  <c r="I292" i="7" a="1"/>
  <c r="H79" i="7" a="1"/>
  <c r="I179" i="7" a="1"/>
  <c r="D53" i="7" a="1"/>
  <c r="I242" i="7" a="1"/>
  <c r="B153" i="7" a="1"/>
  <c r="G77" i="7" a="1"/>
  <c r="I272" i="7" a="1"/>
  <c r="G281" i="7" a="1"/>
  <c r="F277" i="7" a="1"/>
  <c r="C201" i="7" a="1"/>
  <c r="C67" i="7" a="1"/>
  <c r="H155" i="7" a="1"/>
  <c r="B43" i="7" a="1"/>
  <c r="C177" i="7" a="1"/>
  <c r="H225" i="7" a="1"/>
  <c r="H233" i="7" a="1"/>
  <c r="E269" i="7" a="1"/>
  <c r="I84" i="7" a="1"/>
  <c r="G196" i="7" a="1"/>
  <c r="G81" i="7" a="1"/>
  <c r="H137" i="7" a="1"/>
  <c r="E40" i="7" a="1"/>
  <c r="B287" i="7" a="1"/>
  <c r="I176" i="7" a="1"/>
  <c r="E118" i="7" a="1"/>
  <c r="G222" i="7" a="1"/>
  <c r="D280" i="7" a="1"/>
  <c r="I166" i="7" a="1"/>
  <c r="B137" i="7" a="1"/>
  <c r="F76" i="7" a="1"/>
  <c r="C122" i="7" a="1"/>
  <c r="H134" i="7" a="1"/>
  <c r="E7" i="7" a="1"/>
  <c r="G279" i="7" a="1"/>
  <c r="E271" i="7" a="1"/>
  <c r="B79" i="7" a="1"/>
  <c r="G241" i="7" a="1"/>
  <c r="B283" i="7" a="1"/>
  <c r="H127" i="7" a="1"/>
  <c r="E109" i="7" a="1"/>
  <c r="B51" i="7" a="1"/>
  <c r="G252" i="7" a="1"/>
  <c r="E294" i="7" a="1"/>
  <c r="G134" i="7" a="1"/>
  <c r="B45" i="7" a="1"/>
  <c r="F287" i="7" a="1"/>
  <c r="G210" i="7" a="1"/>
  <c r="B44" i="7" a="1"/>
  <c r="G168" i="7" a="1"/>
  <c r="E157" i="7" a="1"/>
  <c r="E27" i="7" a="1"/>
  <c r="B90" i="7" a="1"/>
  <c r="B121" i="7" a="1"/>
  <c r="D216" i="7" a="1"/>
  <c r="B72" i="7" a="1"/>
  <c r="C182" i="7" a="1"/>
  <c r="C72" i="7" a="1"/>
  <c r="F152" i="7" a="1"/>
  <c r="D106" i="7" a="1"/>
  <c r="E198" i="7" a="1"/>
  <c r="G166" i="7" a="1"/>
  <c r="B35" i="7" a="1"/>
  <c r="I63" i="7" a="1"/>
  <c r="B284" i="7" a="1"/>
  <c r="E263" i="7" a="1"/>
  <c r="I266" i="7" a="1"/>
  <c r="H146" i="7" a="1"/>
  <c r="E86" i="7" a="1"/>
  <c r="I5" i="7" a="1"/>
  <c r="F236" i="7" a="1"/>
  <c r="F168" i="7" a="1"/>
  <c r="E133" i="7" a="1"/>
  <c r="D193" i="7" a="1"/>
  <c r="H202" i="7" a="1"/>
  <c r="I76" i="7" a="1"/>
  <c r="F294" i="7" a="1"/>
  <c r="H148" i="7" a="1"/>
  <c r="F162" i="7" a="1"/>
  <c r="B288" i="7" a="1"/>
  <c r="H120" i="7" a="1"/>
  <c r="I233" i="7" a="1"/>
  <c r="D225" i="7" a="1"/>
  <c r="F85" i="7" a="1"/>
  <c r="D250" i="7" a="1"/>
  <c r="G208" i="7" a="1"/>
  <c r="B34" i="7" a="1"/>
  <c r="D155" i="7" a="1"/>
  <c r="H41" i="7" a="1"/>
  <c r="I234" i="7" a="1"/>
  <c r="G207" i="7" a="1"/>
  <c r="H230" i="7" a="1"/>
  <c r="B84" i="7" a="1"/>
  <c r="B210" i="7" a="1"/>
  <c r="C147" i="7" a="1"/>
  <c r="C271" i="7" a="1"/>
  <c r="E288" i="7" a="1"/>
  <c r="C99" i="7" a="1"/>
  <c r="E296" i="7" a="1"/>
  <c r="F266" i="7" a="1"/>
  <c r="I96" i="7" a="1"/>
  <c r="G247" i="7" a="1"/>
  <c r="E270" i="7" a="1"/>
  <c r="D109" i="7" a="1"/>
  <c r="D66" i="7" a="1"/>
  <c r="H97" i="7" a="1"/>
  <c r="F90" i="7" a="1"/>
  <c r="I293" i="7" a="1"/>
  <c r="B221" i="7" a="1"/>
  <c r="C282" i="7" a="1"/>
  <c r="C30" i="7" a="1"/>
  <c r="G79" i="7" a="1"/>
  <c r="B93" i="7" a="1"/>
  <c r="B24" i="7" a="1"/>
  <c r="G4" i="7" a="1"/>
  <c r="H32" i="7" a="1"/>
  <c r="D255" i="7" a="1"/>
  <c r="C88" i="7" a="1"/>
  <c r="F170" i="7" a="1"/>
  <c r="I153" i="7" a="1"/>
  <c r="G277" i="7" a="1"/>
  <c r="B180" i="7" a="1"/>
  <c r="E222" i="7" a="1"/>
  <c r="B173" i="7" a="1"/>
  <c r="H94" i="7" a="1"/>
  <c r="C119" i="7" a="1"/>
  <c r="D147" i="7" a="1"/>
  <c r="C18" i="7" a="1"/>
  <c r="D207" i="7" a="1"/>
  <c r="E287" i="7" a="1"/>
  <c r="F183" i="7" a="1"/>
  <c r="H26" i="7" a="1"/>
  <c r="I245" i="7" a="1"/>
  <c r="C48" i="7" a="1"/>
  <c r="I29" i="7" a="1"/>
  <c r="H216" i="7" a="1"/>
  <c r="G85" i="7" a="1"/>
  <c r="H244" i="7" a="1"/>
  <c r="D223" i="7" a="1"/>
  <c r="I26" i="7" a="1"/>
  <c r="F101" i="7" a="1"/>
  <c r="D79" i="7" a="1"/>
  <c r="B50" i="7" a="1"/>
  <c r="H284" i="7" a="1"/>
  <c r="F124" i="7" a="1"/>
  <c r="I150" i="7" a="1"/>
  <c r="B117" i="7" a="1"/>
  <c r="H213" i="7" a="1"/>
  <c r="C102" i="7" a="1"/>
  <c r="H222" i="7" a="1"/>
  <c r="D234" i="7" a="1"/>
  <c r="F229" i="7" a="1"/>
  <c r="C129" i="7" a="1"/>
  <c r="F134" i="7" a="1"/>
  <c r="E138" i="7" a="1"/>
  <c r="C272" i="7" a="1"/>
  <c r="F141" i="7" a="1"/>
  <c r="F104" i="7" a="1"/>
  <c r="E179" i="7" a="1"/>
  <c r="D195" i="7" a="1"/>
  <c r="I16" i="7" a="1"/>
  <c r="G93" i="7" a="1"/>
  <c r="B86" i="7" a="1"/>
  <c r="C199" i="7" a="1"/>
  <c r="D62" i="7" a="1"/>
  <c r="G192" i="7" a="1"/>
  <c r="H63" i="7" a="1"/>
  <c r="D183" i="7" a="1"/>
  <c r="I118" i="7" a="1"/>
  <c r="C142" i="7" a="1"/>
  <c r="F218" i="7" a="1"/>
  <c r="D39" i="7" a="1"/>
  <c r="I248" i="7" a="1"/>
  <c r="D99" i="7" a="1"/>
  <c r="G111" i="7" a="1"/>
  <c r="F174" i="7" a="1"/>
  <c r="C123" i="7" a="1"/>
  <c r="B256" i="7" a="1"/>
  <c r="H9" i="7" a="1"/>
  <c r="F210" i="7" a="1"/>
  <c r="G6" i="7" a="1"/>
  <c r="C227" i="7" a="1"/>
  <c r="H257" i="7" a="1"/>
  <c r="B194" i="7" a="1"/>
  <c r="G124" i="7" a="1"/>
  <c r="B92" i="7" a="1"/>
  <c r="B220" i="7" a="1"/>
  <c r="D12" i="7" a="1"/>
  <c r="B23" i="7" a="1"/>
  <c r="D190" i="7" a="1"/>
  <c r="D55" i="7" a="1"/>
  <c r="G283" i="7" a="1"/>
  <c r="H295" i="7" a="1"/>
  <c r="D203" i="7" a="1"/>
  <c r="I39" i="7" a="1"/>
  <c r="C65" i="7" a="1"/>
  <c r="E266" i="7" a="1"/>
  <c r="B266" i="7" a="1"/>
  <c r="F200" i="7" a="1"/>
  <c r="E77" i="7" a="1"/>
  <c r="G73" i="7" a="1"/>
  <c r="F280" i="7" a="1"/>
  <c r="H64" i="7" a="1"/>
  <c r="G248" i="7" a="1"/>
  <c r="G82" i="7" a="1"/>
  <c r="H124" i="7" a="1"/>
  <c r="H255" i="7" a="1"/>
  <c r="D33" i="7" a="1"/>
  <c r="G169" i="7" a="1"/>
  <c r="E190" i="7" a="1"/>
  <c r="D23" i="7" a="1"/>
  <c r="I276" i="7" a="1"/>
  <c r="G266" i="7" a="1"/>
  <c r="G244" i="7" a="1"/>
  <c r="E229" i="7" a="1"/>
  <c r="D24" i="7" a="1"/>
  <c r="I141" i="7" a="1"/>
  <c r="C173" i="7" a="1"/>
  <c r="B271" i="7" a="1"/>
  <c r="I98" i="7" a="1"/>
  <c r="H118" i="7" a="1"/>
  <c r="H80" i="7" a="1"/>
  <c r="B136" i="7" a="1"/>
  <c r="F245" i="7" a="1"/>
  <c r="F127" i="7" a="1"/>
  <c r="F189" i="7" a="1"/>
  <c r="D265" i="7" a="1"/>
  <c r="D35" i="7" a="1"/>
  <c r="I95" i="7" a="1"/>
  <c r="E195" i="7" a="1"/>
  <c r="F97" i="7" a="1"/>
  <c r="I267" i="7" a="1"/>
  <c r="B133" i="7" a="1"/>
  <c r="I83" i="7" a="1"/>
  <c r="F223" i="7" a="1"/>
  <c r="G194" i="7" a="1"/>
  <c r="D159" i="7" a="1"/>
  <c r="H297" i="7" a="1"/>
  <c r="H248" i="7" a="1"/>
  <c r="I35" i="7" a="1"/>
  <c r="I187" i="7" a="1"/>
  <c r="E41" i="7" a="1"/>
  <c r="G201" i="7" a="1"/>
  <c r="G177" i="7" a="1"/>
  <c r="B30" i="7" a="1"/>
  <c r="H276" i="7" a="1"/>
  <c r="C144" i="7" a="1"/>
  <c r="I125" i="7" a="1"/>
  <c r="E112" i="7" a="1"/>
  <c r="D118" i="7" a="1"/>
  <c r="G72" i="7" a="1"/>
  <c r="H279" i="7" a="1"/>
  <c r="C44" i="7" a="1"/>
  <c r="C229" i="7" a="1"/>
  <c r="G109" i="7" a="1"/>
  <c r="D230" i="7" a="1"/>
  <c r="F100" i="7" a="1"/>
  <c r="B222" i="7" a="1"/>
  <c r="B176" i="7" a="1"/>
  <c r="E186" i="7" a="1"/>
  <c r="G270" i="7" a="1"/>
  <c r="G110" i="7" a="1"/>
  <c r="H58" i="7" a="1"/>
  <c r="G116" i="7" a="1"/>
  <c r="I167" i="7" a="1"/>
  <c r="B146" i="7" a="1"/>
  <c r="C101" i="7" a="1"/>
  <c r="C198" i="7" a="1"/>
  <c r="B159" i="7" a="1"/>
  <c r="G223" i="7" a="1"/>
  <c r="D88" i="7" a="1"/>
  <c r="B231" i="7" a="1"/>
  <c r="E67" i="7" a="1"/>
  <c r="F212" i="7" a="1"/>
  <c r="F102" i="7" a="1"/>
  <c r="D89" i="7" a="1"/>
  <c r="G195" i="7" a="1"/>
  <c r="H131" i="7" a="1"/>
  <c r="D73" i="7" a="1"/>
  <c r="E197" i="7" a="1"/>
  <c r="E33" i="7" a="1"/>
  <c r="G182" i="7" a="1"/>
  <c r="B67" i="7" a="1"/>
  <c r="B190" i="7" a="1"/>
  <c r="H75" i="7" a="1"/>
  <c r="C197" i="7" a="1"/>
  <c r="D300" i="7" a="1"/>
  <c r="H130" i="7" a="1"/>
  <c r="G103" i="7" a="1"/>
  <c r="I222" i="7" a="1"/>
  <c r="I87" i="7" a="1"/>
  <c r="I259" i="7" a="1"/>
  <c r="D169" i="7" a="1"/>
  <c r="I89" i="7" a="1"/>
  <c r="H214" i="7" a="1"/>
  <c r="C284" i="7" a="1"/>
  <c r="F209" i="7" a="1"/>
  <c r="I226" i="7" a="1"/>
  <c r="C189" i="7" a="1"/>
  <c r="H157" i="7" a="1"/>
  <c r="B107" i="7" a="1"/>
  <c r="D123" i="7" a="1"/>
  <c r="C292" i="7" a="1"/>
  <c r="D83" i="7" a="1"/>
  <c r="C64" i="7" a="1"/>
  <c r="I60" i="7" a="1"/>
  <c r="B166" i="7" a="1"/>
  <c r="C109" i="7" a="1"/>
  <c r="B89" i="7" a="1"/>
  <c r="C273" i="7" a="1"/>
  <c r="H294" i="7" a="1"/>
  <c r="D270" i="7" a="1"/>
  <c r="D47" i="7" a="1"/>
  <c r="E38" i="7" a="1"/>
  <c r="C286" i="7" a="1"/>
  <c r="H29" i="7" a="1"/>
  <c r="D149" i="7" a="1"/>
  <c r="D115" i="7" a="1"/>
  <c r="E171" i="7" a="1"/>
  <c r="G263" i="7" a="1"/>
  <c r="B125" i="7" a="1"/>
  <c r="C11" i="7" a="1"/>
  <c r="G107" i="7" a="1"/>
  <c r="G234" i="7" a="1"/>
  <c r="B151" i="7" a="1"/>
  <c r="E166" i="7" a="1"/>
  <c r="E265" i="7" a="1"/>
  <c r="I93" i="7" a="1"/>
  <c r="C250" i="7" a="1"/>
  <c r="I91" i="7" a="1"/>
  <c r="E204" i="7" a="1"/>
  <c r="G5" i="7" a="1"/>
  <c r="F91" i="7" a="1"/>
  <c r="C225" i="7" a="1"/>
  <c r="D144" i="7" a="1"/>
  <c r="H259" i="7" a="1"/>
  <c r="E71" i="7" a="1"/>
  <c r="E262" i="7" a="1"/>
  <c r="D185" i="7" a="1"/>
  <c r="G164" i="7" a="1"/>
  <c r="B297" i="7" a="1"/>
  <c r="F278" i="7" a="1"/>
  <c r="B244" i="7" a="1"/>
  <c r="F179" i="7" a="1"/>
  <c r="B192" i="7" a="1"/>
  <c r="I143" i="7" a="1"/>
  <c r="I256" i="7" a="1"/>
  <c r="G245" i="7" a="1"/>
  <c r="E154" i="7" a="1"/>
  <c r="F130" i="7" a="1"/>
  <c r="E50" i="7" a="1"/>
  <c r="D263" i="7" a="1"/>
  <c r="H88" i="7" a="1"/>
  <c r="I298" i="7" a="1"/>
  <c r="D189" i="7" a="1"/>
  <c r="D252" i="7" a="1"/>
  <c r="C261" i="7" a="1"/>
  <c r="H228" i="7" a="1"/>
  <c r="D46" i="7" a="1"/>
  <c r="D25" i="7" a="1"/>
  <c r="I88" i="7" a="1"/>
  <c r="E21" i="7" a="1"/>
  <c r="E221" i="7" a="1"/>
  <c r="D222" i="7" a="1"/>
  <c r="F202" i="7" a="1"/>
  <c r="F155" i="7" a="1"/>
  <c r="I124" i="7" a="1"/>
  <c r="H251" i="7" a="1"/>
  <c r="H43" i="7" a="1"/>
  <c r="I73" i="7" a="1"/>
  <c r="H191" i="7" a="1"/>
  <c r="H246" i="7" a="1"/>
  <c r="D285" i="7" a="1"/>
  <c r="B184" i="7" a="1"/>
  <c r="F119" i="7" a="1"/>
  <c r="C285" i="7" a="1"/>
  <c r="B294" i="7" a="1"/>
  <c r="C238" i="7" a="1"/>
  <c r="D177" i="7" a="1"/>
  <c r="I119" i="7" a="1"/>
  <c r="F233" i="7" a="1"/>
  <c r="E175" i="7" a="1"/>
  <c r="D29" i="7" a="1"/>
  <c r="H203" i="7" a="1"/>
  <c r="I162" i="7" a="1"/>
  <c r="E213" i="7" a="1"/>
  <c r="H139" i="7" a="1"/>
  <c r="E127" i="7" a="1"/>
  <c r="B257" i="7" a="1"/>
  <c r="B32" i="7" a="1"/>
  <c r="C100" i="7" a="1"/>
  <c r="D141" i="7" a="1"/>
  <c r="I291" i="7" a="1"/>
  <c r="C280" i="7" a="1"/>
  <c r="G151" i="7" a="1"/>
  <c r="C97" i="7" a="1"/>
  <c r="I197" i="7" a="1"/>
  <c r="B259" i="7" a="1"/>
  <c r="C220" i="7" a="1"/>
  <c r="I177" i="7" a="1"/>
  <c r="B299" i="7" a="1"/>
  <c r="F176" i="7" a="1"/>
  <c r="B87" i="7" a="1"/>
  <c r="E43" i="7" a="1"/>
  <c r="F259" i="7" a="1"/>
  <c r="B175" i="7" a="1"/>
  <c r="G178" i="7" a="1"/>
  <c r="E219" i="7" a="1"/>
  <c r="E111" i="7" a="1"/>
  <c r="E54" i="7" a="1"/>
  <c r="B103" i="7" a="1"/>
  <c r="I246" i="7" a="1"/>
  <c r="G139" i="7" a="1"/>
  <c r="I9" i="7" a="1"/>
  <c r="E28" i="7" a="1"/>
  <c r="F88" i="7" a="1"/>
  <c r="F299" i="7" a="1"/>
  <c r="I290" i="7" a="1"/>
  <c r="F80" i="7" a="1"/>
  <c r="B277" i="7" a="1"/>
  <c r="I155" i="7" a="1"/>
  <c r="E95" i="7" a="1"/>
  <c r="D194" i="7" a="1"/>
  <c r="F279" i="7" a="1"/>
  <c r="D17" i="7" a="1"/>
  <c r="B207" i="7" a="1"/>
  <c r="I175" i="7" a="1"/>
  <c r="F249" i="7" a="1"/>
  <c r="E88" i="7" a="1"/>
  <c r="I122" i="7" a="1"/>
  <c r="I127" i="7" a="1"/>
  <c r="G150" i="7" a="1"/>
  <c r="F243" i="7" a="1"/>
  <c r="B155" i="7" a="1"/>
  <c r="F297" i="7" a="1"/>
  <c r="D218" i="7" a="1"/>
  <c r="F269" i="7" a="1"/>
  <c r="I139" i="7" a="1"/>
  <c r="I42" i="7" a="1"/>
  <c r="F139" i="7" a="1"/>
  <c r="C32" i="7" a="1"/>
  <c r="G282" i="7" a="1"/>
  <c r="D264" i="7" a="1"/>
  <c r="H136" i="7" a="1"/>
  <c r="F177" i="7" a="1"/>
  <c r="E58" i="7" a="1"/>
  <c r="B242" i="7" a="1"/>
  <c r="B37" i="7" a="1"/>
  <c r="D200" i="7" a="1"/>
  <c r="E292" i="7" a="1"/>
  <c r="G132" i="7" a="1"/>
  <c r="H254" i="7" a="1"/>
  <c r="D13" i="7" a="1"/>
  <c r="H85" i="7" a="1"/>
  <c r="G184" i="7" a="1"/>
  <c r="F285" i="7" a="1"/>
  <c r="G260" i="7" a="1"/>
  <c r="C281" i="7" a="1"/>
  <c r="H39" i="7" a="1"/>
  <c r="E237" i="7" a="1"/>
  <c r="G284" i="7" a="1"/>
  <c r="G68" i="7" a="1"/>
  <c r="B66" i="7" a="1"/>
  <c r="C19" i="7" a="1"/>
  <c r="F146" i="7" a="1"/>
  <c r="F5" i="7" a="1"/>
  <c r="C187" i="7" a="1"/>
  <c r="F188" i="7" a="1"/>
  <c r="B94" i="7" a="1"/>
  <c r="C296" i="7" a="1"/>
  <c r="G226" i="7" a="1"/>
  <c r="H45" i="7" a="1"/>
  <c r="I172" i="7" a="1"/>
  <c r="E97" i="7" a="1"/>
  <c r="B199" i="7" a="1"/>
  <c r="C141" i="7" a="1"/>
  <c r="B193" i="7" a="1"/>
  <c r="B111" i="7" a="1"/>
  <c r="G142" i="7" a="1"/>
  <c r="B212" i="7" a="1"/>
  <c r="G181" i="7" a="1"/>
  <c r="E241" i="7" a="1"/>
  <c r="H108" i="7" a="1"/>
  <c r="E163" i="7" a="1"/>
  <c r="D78" i="7" a="1"/>
  <c r="H106" i="7" a="1"/>
  <c r="D5" i="7" a="1"/>
  <c r="B102" i="7" a="1"/>
  <c r="F110" i="7" a="1"/>
  <c r="E218" i="7" a="1"/>
  <c r="B187" i="7" a="1"/>
  <c r="G198" i="7" a="1"/>
  <c r="I271" i="7" a="1"/>
  <c r="G7" i="7" a="1"/>
  <c r="H166" i="7" a="1"/>
  <c r="C31" i="7" a="1"/>
  <c r="H55" i="7" a="1"/>
  <c r="B172" i="7" a="1"/>
  <c r="C77" i="7" a="1"/>
  <c r="E121" i="7" a="1"/>
  <c r="B191" i="7" a="1"/>
  <c r="H111" i="7" a="1"/>
  <c r="C186" i="7" a="1"/>
  <c r="E277" i="7" a="1"/>
  <c r="E119" i="7" a="1"/>
  <c r="G228" i="7" a="1"/>
  <c r="I299" i="7" a="1"/>
  <c r="D136" i="7" a="1"/>
  <c r="E141" i="7" a="1"/>
  <c r="D49" i="7" a="1"/>
  <c r="I173" i="7" a="1"/>
  <c r="B57" i="7" a="1"/>
  <c r="H119" i="7" a="1"/>
  <c r="B27" i="7" a="1"/>
  <c r="E48" i="7" a="1"/>
  <c r="F159" i="7" a="1"/>
  <c r="C108" i="7" a="1"/>
  <c r="C295" i="7" a="1"/>
  <c r="H266" i="7" a="1"/>
  <c r="D28" i="7" a="1"/>
  <c r="H81" i="7" a="1"/>
  <c r="C52" i="7" a="1"/>
  <c r="F239" i="7" a="1"/>
  <c r="B219" i="7" a="1"/>
  <c r="C87" i="7" a="1"/>
  <c r="F126" i="7" a="1"/>
  <c r="F274" i="7" a="1"/>
  <c r="B291" i="7" a="1"/>
  <c r="G262" i="7" a="1"/>
  <c r="C9" i="7" a="1"/>
  <c r="F7" i="7" a="1"/>
  <c r="H198" i="7" a="1"/>
  <c r="H150" i="7" a="1"/>
  <c r="B217" i="7" a="1"/>
  <c r="G160" i="7" a="1"/>
  <c r="B82" i="7" a="1"/>
  <c r="I72" i="7" a="1"/>
  <c r="C42" i="7" a="1"/>
  <c r="D127" i="7" a="1"/>
  <c r="D48" i="7" a="1"/>
  <c r="D50" i="7" a="1"/>
  <c r="I69" i="7" a="1"/>
  <c r="D279" i="7" a="1"/>
  <c r="C178" i="7" a="1"/>
  <c r="E25" i="7" a="1"/>
  <c r="D284" i="7" a="1"/>
  <c r="H65" i="7" a="1"/>
  <c r="D87" i="7" a="1"/>
  <c r="H74" i="7" a="1"/>
  <c r="I135" i="7" a="1"/>
  <c r="F205" i="7" a="1"/>
  <c r="B149" i="7" a="1"/>
  <c r="F228" i="7" a="1"/>
  <c r="D299" i="7" a="1"/>
  <c r="F123" i="7" a="1"/>
  <c r="D104" i="7" a="1"/>
  <c r="C105" i="7" a="1"/>
  <c r="F129" i="7" a="1"/>
  <c r="H219" i="7" a="1"/>
  <c r="E187" i="7" a="1"/>
  <c r="E297" i="7" a="1"/>
  <c r="B99" i="7" a="1"/>
  <c r="G161" i="7" a="1"/>
  <c r="E87" i="7" a="1"/>
  <c r="I2" i="7" a="1"/>
  <c r="D94" i="7" a="1"/>
  <c r="H76" i="7" a="1"/>
  <c r="C274" i="7" a="1"/>
  <c r="H218" i="7" a="1"/>
  <c r="I45" i="7" a="1"/>
  <c r="H60" i="7" a="1"/>
  <c r="I210" i="7" a="1"/>
  <c r="I30" i="7" a="1"/>
  <c r="E57" i="7" a="1"/>
  <c r="H116" i="7" a="1"/>
  <c r="E282" i="7" a="1"/>
  <c r="C139" i="7" a="1"/>
  <c r="E286" i="7" a="1"/>
  <c r="G186" i="7" a="1"/>
  <c r="H205" i="7" a="1"/>
  <c r="H256" i="7" a="1"/>
  <c r="E26" i="7" a="1"/>
  <c r="C54" i="7" a="1"/>
  <c r="E212" i="7" a="1"/>
  <c r="I147" i="7" a="1"/>
  <c r="G290" i="7" a="1"/>
  <c r="C180" i="7" a="1"/>
  <c r="D241" i="7" a="1"/>
  <c r="B269" i="7" a="1"/>
  <c r="I3" i="7" a="1"/>
  <c r="B209" i="7" a="1"/>
  <c r="H268" i="7" a="1"/>
  <c r="I154" i="7" a="1"/>
  <c r="H267" i="7" a="1"/>
  <c r="I31" i="7" a="1"/>
  <c r="E85" i="7" a="1"/>
  <c r="C169" i="7" a="1"/>
  <c r="G238" i="7" a="1"/>
  <c r="D22" i="7" a="1"/>
  <c r="H5" i="7" a="1"/>
  <c r="C104" i="7" a="1"/>
  <c r="C150" i="7" a="1"/>
  <c r="D51" i="7" a="1"/>
  <c r="H280" i="7" a="1"/>
  <c r="E143" i="7" a="1"/>
  <c r="E164" i="7" a="1"/>
  <c r="C203" i="7" a="1"/>
  <c r="G163" i="7" a="1"/>
  <c r="F151" i="7" a="1"/>
  <c r="C241" i="7" a="1"/>
  <c r="C181" i="7" a="1"/>
  <c r="B131" i="7" a="1"/>
  <c r="B21" i="7" a="1"/>
  <c r="C60" i="7" a="1"/>
  <c r="E227" i="7" a="1"/>
  <c r="E168" i="7" a="1"/>
  <c r="I160" i="7" a="1"/>
  <c r="D266" i="7" a="1"/>
  <c r="F95" i="7" a="1"/>
  <c r="F112" i="7" a="1"/>
  <c r="H89" i="7" a="1"/>
  <c r="G299" i="7" a="1"/>
  <c r="C113" i="7" a="1"/>
  <c r="I171" i="7" a="1"/>
  <c r="D261" i="7" a="1"/>
  <c r="G162" i="7" a="1"/>
  <c r="B238" i="7" a="1"/>
  <c r="C251" i="7" a="1"/>
  <c r="F237" i="7" a="1"/>
  <c r="H36" i="7" a="1"/>
  <c r="C138" i="7" a="1"/>
  <c r="D220" i="7" a="1"/>
  <c r="I295" i="7" a="1"/>
  <c r="E63" i="7" a="1"/>
  <c r="G152" i="7" a="1"/>
  <c r="E53" i="7" a="1"/>
  <c r="H274" i="7" a="1"/>
  <c r="C255" i="7" a="1"/>
  <c r="F160" i="7" a="1"/>
  <c r="C276" i="7" a="1"/>
  <c r="D31" i="7" a="1"/>
  <c r="D6" i="7" a="1"/>
  <c r="C237" i="7" a="1"/>
  <c r="I82" i="7" a="1"/>
  <c r="C146" i="7" a="1"/>
  <c r="G80" i="7" a="1"/>
  <c r="C184" i="7" a="1"/>
  <c r="D129" i="7" a="1"/>
  <c r="F173" i="7" a="1"/>
  <c r="B76" i="7" a="1"/>
  <c r="H7" i="7" a="1"/>
  <c r="C235" i="7" a="1"/>
  <c r="F247" i="7" a="1"/>
  <c r="C242" i="7" a="1"/>
  <c r="B182" i="7" a="1"/>
  <c r="F175" i="7" a="1"/>
  <c r="C224" i="7" a="1"/>
  <c r="H44" i="7" a="1"/>
  <c r="E216" i="7" a="1"/>
  <c r="I277" i="7" a="1"/>
  <c r="C175" i="7" a="1"/>
  <c r="D18" i="7" a="1"/>
  <c r="H46" i="7" a="1"/>
  <c r="I103" i="7" a="1"/>
  <c r="E23" i="7" a="1"/>
  <c r="I34" i="7" a="1"/>
  <c r="H47" i="7" a="1"/>
  <c r="H47" i="7" l="1"/>
  <c r="I34" i="7"/>
  <c r="E23" i="7"/>
  <c r="I103" i="7"/>
  <c r="H46" i="7"/>
  <c r="D18" i="7"/>
  <c r="C175" i="7"/>
  <c r="I277" i="7"/>
  <c r="E216" i="7"/>
  <c r="H44" i="7"/>
  <c r="C224" i="7"/>
  <c r="F175" i="7"/>
  <c r="B182" i="7"/>
  <c r="C242" i="7"/>
  <c r="F247" i="7"/>
  <c r="C235" i="7"/>
  <c r="H7" i="7"/>
  <c r="B76" i="7"/>
  <c r="F173" i="7"/>
  <c r="D129" i="7"/>
  <c r="C184" i="7"/>
  <c r="G80" i="7"/>
  <c r="C146" i="7"/>
  <c r="I82" i="7"/>
  <c r="C237" i="7"/>
  <c r="D6" i="7"/>
  <c r="D31" i="7"/>
  <c r="C276" i="7"/>
  <c r="F160" i="7"/>
  <c r="C255" i="7"/>
  <c r="H274" i="7"/>
  <c r="E53" i="7"/>
  <c r="G152" i="7"/>
  <c r="E63" i="7"/>
  <c r="I295" i="7"/>
  <c r="D220" i="7"/>
  <c r="C138" i="7"/>
  <c r="H36" i="7"/>
  <c r="F237" i="7"/>
  <c r="C251" i="7"/>
  <c r="B238" i="7"/>
  <c r="G162" i="7"/>
  <c r="D261" i="7"/>
  <c r="I171" i="7"/>
  <c r="C113" i="7"/>
  <c r="G299" i="7"/>
  <c r="H89" i="7"/>
  <c r="F112" i="7"/>
  <c r="F95" i="7"/>
  <c r="D266" i="7"/>
  <c r="I160" i="7"/>
  <c r="E168" i="7"/>
  <c r="E227" i="7"/>
  <c r="C60" i="7"/>
  <c r="B21" i="7"/>
  <c r="B131" i="7"/>
  <c r="C181" i="7"/>
  <c r="C241" i="7"/>
  <c r="F151" i="7"/>
  <c r="G163" i="7"/>
  <c r="C203" i="7"/>
  <c r="E164" i="7"/>
  <c r="E143" i="7"/>
  <c r="H280" i="7"/>
  <c r="D51" i="7"/>
  <c r="C150" i="7"/>
  <c r="C104" i="7"/>
  <c r="H5" i="7"/>
  <c r="D22" i="7"/>
  <c r="G238" i="7"/>
  <c r="C169" i="7"/>
  <c r="E85" i="7"/>
  <c r="I31" i="7"/>
  <c r="H267" i="7"/>
  <c r="I154" i="7"/>
  <c r="H268" i="7"/>
  <c r="B209" i="7"/>
  <c r="I3" i="7"/>
  <c r="B269" i="7"/>
  <c r="D241" i="7"/>
  <c r="C180" i="7"/>
  <c r="G290" i="7"/>
  <c r="I147" i="7"/>
  <c r="E212" i="7"/>
  <c r="C54" i="7"/>
  <c r="E26" i="7"/>
  <c r="H256" i="7"/>
  <c r="H205" i="7"/>
  <c r="G186" i="7"/>
  <c r="E286" i="7"/>
  <c r="C139" i="7"/>
  <c r="E282" i="7"/>
  <c r="H116" i="7"/>
  <c r="E57" i="7"/>
  <c r="I30" i="7"/>
  <c r="I210" i="7"/>
  <c r="H60" i="7"/>
  <c r="I45" i="7"/>
  <c r="H218" i="7"/>
  <c r="C274" i="7"/>
  <c r="H76" i="7"/>
  <c r="D94" i="7"/>
  <c r="I2" i="7"/>
  <c r="E87" i="7"/>
  <c r="G161" i="7"/>
  <c r="B99" i="7"/>
  <c r="E297" i="7"/>
  <c r="E187" i="7"/>
  <c r="H219" i="7"/>
  <c r="F129" i="7"/>
  <c r="C105" i="7"/>
  <c r="D104" i="7"/>
  <c r="F123" i="7"/>
  <c r="D299" i="7"/>
  <c r="F228" i="7"/>
  <c r="B149" i="7"/>
  <c r="F205" i="7"/>
  <c r="I135" i="7"/>
  <c r="H74" i="7"/>
  <c r="D87" i="7"/>
  <c r="H65" i="7"/>
  <c r="D284" i="7"/>
  <c r="E25" i="7"/>
  <c r="C178" i="7"/>
  <c r="D279" i="7"/>
  <c r="I69" i="7"/>
  <c r="D50" i="7"/>
  <c r="D48" i="7"/>
  <c r="D127" i="7"/>
  <c r="C42" i="7"/>
  <c r="I72" i="7"/>
  <c r="B82" i="7"/>
  <c r="G160" i="7"/>
  <c r="B217" i="7"/>
  <c r="H150" i="7"/>
  <c r="H198" i="7"/>
  <c r="F7" i="7"/>
  <c r="C9" i="7"/>
  <c r="G262" i="7"/>
  <c r="B291" i="7"/>
  <c r="F274" i="7"/>
  <c r="F126" i="7"/>
  <c r="C87" i="7"/>
  <c r="B219" i="7"/>
  <c r="F239" i="7"/>
  <c r="C52" i="7"/>
  <c r="H81" i="7"/>
  <c r="D28" i="7"/>
  <c r="H266" i="7"/>
  <c r="C295" i="7"/>
  <c r="C108" i="7"/>
  <c r="F159" i="7"/>
  <c r="E48" i="7"/>
  <c r="B27" i="7"/>
  <c r="H119" i="7"/>
  <c r="B57" i="7"/>
  <c r="I173" i="7"/>
  <c r="D49" i="7"/>
  <c r="E141" i="7"/>
  <c r="D136" i="7"/>
  <c r="I299" i="7"/>
  <c r="G228" i="7"/>
  <c r="E119" i="7"/>
  <c r="E277" i="7"/>
  <c r="C186" i="7"/>
  <c r="H111" i="7"/>
  <c r="B191" i="7"/>
  <c r="E121" i="7"/>
  <c r="C77" i="7"/>
  <c r="B172" i="7"/>
  <c r="H55" i="7"/>
  <c r="C31" i="7"/>
  <c r="H166" i="7"/>
  <c r="G7" i="7"/>
  <c r="I271" i="7"/>
  <c r="G198" i="7"/>
  <c r="B187" i="7"/>
  <c r="E218" i="7"/>
  <c r="F110" i="7"/>
  <c r="B102" i="7"/>
  <c r="D5" i="7"/>
  <c r="H106" i="7"/>
  <c r="D78" i="7"/>
  <c r="E163" i="7"/>
  <c r="H108" i="7"/>
  <c r="E241" i="7"/>
  <c r="G181" i="7"/>
  <c r="B212" i="7"/>
  <c r="G142" i="7"/>
  <c r="B111" i="7"/>
  <c r="B193" i="7"/>
  <c r="C141" i="7"/>
  <c r="B199" i="7"/>
  <c r="E97" i="7"/>
  <c r="I172" i="7"/>
  <c r="H45" i="7"/>
  <c r="G226" i="7"/>
  <c r="C296" i="7"/>
  <c r="B94" i="7"/>
  <c r="F188" i="7"/>
  <c r="C187" i="7"/>
  <c r="F5" i="7"/>
  <c r="F146" i="7"/>
  <c r="C19" i="7"/>
  <c r="B66" i="7"/>
  <c r="G68" i="7"/>
  <c r="G284" i="7"/>
  <c r="E237" i="7"/>
  <c r="H39" i="7"/>
  <c r="C281" i="7"/>
  <c r="G260" i="7"/>
  <c r="F285" i="7"/>
  <c r="G184" i="7"/>
  <c r="H85" i="7"/>
  <c r="D13" i="7"/>
  <c r="H254" i="7"/>
  <c r="G132" i="7"/>
  <c r="E292" i="7"/>
  <c r="D200" i="7"/>
  <c r="B37" i="7"/>
  <c r="B242" i="7"/>
  <c r="E58" i="7"/>
  <c r="F177" i="7"/>
  <c r="H136" i="7"/>
  <c r="D264" i="7"/>
  <c r="G282" i="7"/>
  <c r="C32" i="7"/>
  <c r="F139" i="7"/>
  <c r="I42" i="7"/>
  <c r="I139" i="7"/>
  <c r="F269" i="7"/>
  <c r="D218" i="7"/>
  <c r="F297" i="7"/>
  <c r="B155" i="7"/>
  <c r="F243" i="7"/>
  <c r="G150" i="7"/>
  <c r="I127" i="7"/>
  <c r="I122" i="7"/>
  <c r="E88" i="7"/>
  <c r="F249" i="7"/>
  <c r="I175" i="7"/>
  <c r="B207" i="7"/>
  <c r="D17" i="7"/>
  <c r="F279" i="7"/>
  <c r="D194" i="7"/>
  <c r="E95" i="7"/>
  <c r="I155" i="7"/>
  <c r="B277" i="7"/>
  <c r="F80" i="7"/>
  <c r="I290" i="7"/>
  <c r="F299" i="7"/>
  <c r="F88" i="7"/>
  <c r="E28" i="7"/>
  <c r="I9" i="7"/>
  <c r="G139" i="7"/>
  <c r="I246" i="7"/>
  <c r="B103" i="7"/>
  <c r="E54" i="7"/>
  <c r="E111" i="7"/>
  <c r="E219" i="7"/>
  <c r="G178" i="7"/>
  <c r="B175" i="7"/>
  <c r="F259" i="7"/>
  <c r="E43" i="7"/>
  <c r="B87" i="7"/>
  <c r="F176" i="7"/>
  <c r="B299" i="7"/>
  <c r="I177" i="7"/>
  <c r="C220" i="7"/>
  <c r="B259" i="7"/>
  <c r="I197" i="7"/>
  <c r="C97" i="7"/>
  <c r="G151" i="7"/>
  <c r="C280" i="7"/>
  <c r="I291" i="7"/>
  <c r="D141" i="7"/>
  <c r="C100" i="7"/>
  <c r="B32" i="7"/>
  <c r="B257" i="7"/>
  <c r="E127" i="7"/>
  <c r="H139" i="7"/>
  <c r="E213" i="7"/>
  <c r="I162" i="7"/>
  <c r="H203" i="7"/>
  <c r="D29" i="7"/>
  <c r="E175" i="7"/>
  <c r="F233" i="7"/>
  <c r="I119" i="7"/>
  <c r="D177" i="7"/>
  <c r="C238" i="7"/>
  <c r="B294" i="7"/>
  <c r="C285" i="7"/>
  <c r="F119" i="7"/>
  <c r="B184" i="7"/>
  <c r="D285" i="7"/>
  <c r="H246" i="7"/>
  <c r="H191" i="7"/>
  <c r="I73" i="7"/>
  <c r="H43" i="7"/>
  <c r="H251" i="7"/>
  <c r="I124" i="7"/>
  <c r="F155" i="7"/>
  <c r="F202" i="7"/>
  <c r="D222" i="7"/>
  <c r="E221" i="7"/>
  <c r="E21" i="7"/>
  <c r="I88" i="7"/>
  <c r="D25" i="7"/>
  <c r="D46" i="7"/>
  <c r="H228" i="7"/>
  <c r="C261" i="7"/>
  <c r="D252" i="7"/>
  <c r="D189" i="7"/>
  <c r="I298" i="7"/>
  <c r="H88" i="7"/>
  <c r="D263" i="7"/>
  <c r="E50" i="7"/>
  <c r="F130" i="7"/>
  <c r="E154" i="7"/>
  <c r="G245" i="7"/>
  <c r="I256" i="7"/>
  <c r="I143" i="7"/>
  <c r="B192" i="7"/>
  <c r="F179" i="7"/>
  <c r="B244" i="7"/>
  <c r="F278" i="7"/>
  <c r="B297" i="7"/>
  <c r="G164" i="7"/>
  <c r="D185" i="7"/>
  <c r="E262" i="7"/>
  <c r="E71" i="7"/>
  <c r="H259" i="7"/>
  <c r="D144" i="7"/>
  <c r="C225" i="7"/>
  <c r="F91" i="7"/>
  <c r="G5" i="7"/>
  <c r="E204" i="7"/>
  <c r="I91" i="7"/>
  <c r="C250" i="7"/>
  <c r="I93" i="7"/>
  <c r="E265" i="7"/>
  <c r="E166" i="7"/>
  <c r="B151" i="7"/>
  <c r="G234" i="7"/>
  <c r="G107" i="7"/>
  <c r="C11" i="7"/>
  <c r="B125" i="7"/>
  <c r="G263" i="7"/>
  <c r="E171" i="7"/>
  <c r="D115" i="7"/>
  <c r="D149" i="7"/>
  <c r="H29" i="7"/>
  <c r="C286" i="7"/>
  <c r="E38" i="7"/>
  <c r="D47" i="7"/>
  <c r="D270" i="7"/>
  <c r="H294" i="7"/>
  <c r="C273" i="7"/>
  <c r="B89" i="7"/>
  <c r="C109" i="7"/>
  <c r="B166" i="7"/>
  <c r="I60" i="7"/>
  <c r="C64" i="7"/>
  <c r="D83" i="7"/>
  <c r="C292" i="7"/>
  <c r="D123" i="7"/>
  <c r="B107" i="7"/>
  <c r="H157" i="7"/>
  <c r="C189" i="7"/>
  <c r="I226" i="7"/>
  <c r="F209" i="7"/>
  <c r="C284" i="7"/>
  <c r="H214" i="7"/>
  <c r="I89" i="7"/>
  <c r="D169" i="7"/>
  <c r="I259" i="7"/>
  <c r="I87" i="7"/>
  <c r="I222" i="7"/>
  <c r="G103" i="7"/>
  <c r="H130" i="7"/>
  <c r="D300" i="7"/>
  <c r="C197" i="7"/>
  <c r="H75" i="7"/>
  <c r="B190" i="7"/>
  <c r="B67" i="7"/>
  <c r="G182" i="7"/>
  <c r="E33" i="7"/>
  <c r="E197" i="7"/>
  <c r="D73" i="7"/>
  <c r="H131" i="7"/>
  <c r="G195" i="7"/>
  <c r="D89" i="7"/>
  <c r="F102" i="7"/>
  <c r="F212" i="7"/>
  <c r="E67" i="7"/>
  <c r="B231" i="7"/>
  <c r="D88" i="7"/>
  <c r="G223" i="7"/>
  <c r="B159" i="7"/>
  <c r="C198" i="7"/>
  <c r="C101" i="7"/>
  <c r="B146" i="7"/>
  <c r="I167" i="7"/>
  <c r="G116" i="7"/>
  <c r="H58" i="7"/>
  <c r="G110" i="7"/>
  <c r="G270" i="7"/>
  <c r="E186" i="7"/>
  <c r="B176" i="7"/>
  <c r="B222" i="7"/>
  <c r="F100" i="7"/>
  <c r="D230" i="7"/>
  <c r="G109" i="7"/>
  <c r="C229" i="7"/>
  <c r="C44" i="7"/>
  <c r="H279" i="7"/>
  <c r="G72" i="7"/>
  <c r="D118" i="7"/>
  <c r="E112" i="7"/>
  <c r="I125" i="7"/>
  <c r="C144" i="7"/>
  <c r="H276" i="7"/>
  <c r="B30" i="7"/>
  <c r="G177" i="7"/>
  <c r="G201" i="7"/>
  <c r="E41" i="7"/>
  <c r="I187" i="7"/>
  <c r="I35" i="7"/>
  <c r="H248" i="7"/>
  <c r="H297" i="7"/>
  <c r="D159" i="7"/>
  <c r="G194" i="7"/>
  <c r="F223" i="7"/>
  <c r="I83" i="7"/>
  <c r="B133" i="7"/>
  <c r="I267" i="7"/>
  <c r="F97" i="7"/>
  <c r="E195" i="7"/>
  <c r="I95" i="7"/>
  <c r="D35" i="7"/>
  <c r="D265" i="7"/>
  <c r="F189" i="7"/>
  <c r="F127" i="7"/>
  <c r="F245" i="7"/>
  <c r="B136" i="7"/>
  <c r="H80" i="7"/>
  <c r="H118" i="7"/>
  <c r="I98" i="7"/>
  <c r="B271" i="7"/>
  <c r="C173" i="7"/>
  <c r="I141" i="7"/>
  <c r="D24" i="7"/>
  <c r="E229" i="7"/>
  <c r="G244" i="7"/>
  <c r="G266" i="7"/>
  <c r="I276" i="7"/>
  <c r="D23" i="7"/>
  <c r="E190" i="7"/>
  <c r="G169" i="7"/>
  <c r="D33" i="7"/>
  <c r="H255" i="7"/>
  <c r="H124" i="7"/>
  <c r="G82" i="7"/>
  <c r="G248" i="7"/>
  <c r="H64" i="7"/>
  <c r="F280" i="7"/>
  <c r="G73" i="7"/>
  <c r="E77" i="7"/>
  <c r="F200" i="7"/>
  <c r="B266" i="7"/>
  <c r="E266" i="7"/>
  <c r="C65" i="7"/>
  <c r="I39" i="7"/>
  <c r="D203" i="7"/>
  <c r="H295" i="7"/>
  <c r="G283" i="7"/>
  <c r="D55" i="7"/>
  <c r="D190" i="7"/>
  <c r="B23" i="7"/>
  <c r="D12" i="7"/>
  <c r="B220" i="7"/>
  <c r="B92" i="7"/>
  <c r="G124" i="7"/>
  <c r="B194" i="7"/>
  <c r="H257" i="7"/>
  <c r="C227" i="7"/>
  <c r="G6" i="7"/>
  <c r="F210" i="7"/>
  <c r="H9" i="7"/>
  <c r="B256" i="7"/>
  <c r="C123" i="7"/>
  <c r="F174" i="7"/>
  <c r="G111" i="7"/>
  <c r="D99" i="7"/>
  <c r="I248" i="7"/>
  <c r="D39" i="7"/>
  <c r="F218" i="7"/>
  <c r="C142" i="7"/>
  <c r="I118" i="7"/>
  <c r="D183" i="7"/>
  <c r="H63" i="7"/>
  <c r="G192" i="7"/>
  <c r="D62" i="7"/>
  <c r="C199" i="7"/>
  <c r="B86" i="7"/>
  <c r="G93" i="7"/>
  <c r="I16" i="7"/>
  <c r="D195" i="7"/>
  <c r="E179" i="7"/>
  <c r="F104" i="7"/>
  <c r="F141" i="7"/>
  <c r="C272" i="7"/>
  <c r="E138" i="7"/>
  <c r="F134" i="7"/>
  <c r="C129" i="7"/>
  <c r="F229" i="7"/>
  <c r="D234" i="7"/>
  <c r="H222" i="7"/>
  <c r="C102" i="7"/>
  <c r="H213" i="7"/>
  <c r="B117" i="7"/>
  <c r="I150" i="7"/>
  <c r="F124" i="7"/>
  <c r="H284" i="7"/>
  <c r="B50" i="7"/>
  <c r="D79" i="7"/>
  <c r="F101" i="7"/>
  <c r="I26" i="7"/>
  <c r="D223" i="7"/>
  <c r="H244" i="7"/>
  <c r="G85" i="7"/>
  <c r="H216" i="7"/>
  <c r="I29" i="7"/>
  <c r="C48" i="7"/>
  <c r="I245" i="7"/>
  <c r="H26" i="7"/>
  <c r="F183" i="7"/>
  <c r="E287" i="7"/>
  <c r="D207" i="7"/>
  <c r="C18" i="7"/>
  <c r="D147" i="7"/>
  <c r="C119" i="7"/>
  <c r="H94" i="7"/>
  <c r="B173" i="7"/>
  <c r="E222" i="7"/>
  <c r="B180" i="7"/>
  <c r="G277" i="7"/>
  <c r="I153" i="7"/>
  <c r="F170" i="7"/>
  <c r="C88" i="7"/>
  <c r="D255" i="7"/>
  <c r="H32" i="7"/>
  <c r="G4" i="7"/>
  <c r="B24" i="7"/>
  <c r="B93" i="7"/>
  <c r="G79" i="7"/>
  <c r="C30" i="7"/>
  <c r="C282" i="7"/>
  <c r="B221" i="7"/>
  <c r="I293" i="7"/>
  <c r="F90" i="7"/>
  <c r="H97" i="7"/>
  <c r="D66" i="7"/>
  <c r="D109" i="7"/>
  <c r="E270" i="7"/>
  <c r="G247" i="7"/>
  <c r="I96" i="7"/>
  <c r="F266" i="7"/>
  <c r="E296" i="7"/>
  <c r="C99" i="7"/>
  <c r="E288" i="7"/>
  <c r="C271" i="7"/>
  <c r="C147" i="7"/>
  <c r="B210" i="7"/>
  <c r="B84" i="7"/>
  <c r="H230" i="7"/>
  <c r="G207" i="7"/>
  <c r="I234" i="7"/>
  <c r="H41" i="7"/>
  <c r="D155" i="7"/>
  <c r="B34" i="7"/>
  <c r="G208" i="7"/>
  <c r="D250" i="7"/>
  <c r="F85" i="7"/>
  <c r="D225" i="7"/>
  <c r="I233" i="7"/>
  <c r="H120" i="7"/>
  <c r="B288" i="7"/>
  <c r="F162" i="7"/>
  <c r="H148" i="7"/>
  <c r="F294" i="7"/>
  <c r="I76" i="7"/>
  <c r="H202" i="7"/>
  <c r="D193" i="7"/>
  <c r="E133" i="7"/>
  <c r="F168" i="7"/>
  <c r="F236" i="7"/>
  <c r="I5" i="7"/>
  <c r="E86" i="7"/>
  <c r="H146" i="7"/>
  <c r="I266" i="7"/>
  <c r="E263" i="7"/>
  <c r="B284" i="7"/>
  <c r="I63" i="7"/>
  <c r="B35" i="7"/>
  <c r="G166" i="7"/>
  <c r="E198" i="7"/>
  <c r="D106" i="7"/>
  <c r="F152" i="7"/>
  <c r="C72" i="7"/>
  <c r="C182" i="7"/>
  <c r="B72" i="7"/>
  <c r="D216" i="7"/>
  <c r="B121" i="7"/>
  <c r="B90" i="7"/>
  <c r="E27" i="7"/>
  <c r="E157" i="7"/>
  <c r="G168" i="7"/>
  <c r="B44" i="7"/>
  <c r="G210" i="7"/>
  <c r="F287" i="7"/>
  <c r="B45" i="7"/>
  <c r="G134" i="7"/>
  <c r="E294" i="7"/>
  <c r="G252" i="7"/>
  <c r="B51" i="7"/>
  <c r="E109" i="7"/>
  <c r="H127" i="7"/>
  <c r="B283" i="7"/>
  <c r="G241" i="7"/>
  <c r="B79" i="7"/>
  <c r="E271" i="7"/>
  <c r="G279" i="7"/>
  <c r="E7" i="7"/>
  <c r="H134" i="7"/>
  <c r="C122" i="7"/>
  <c r="F76" i="7"/>
  <c r="B137" i="7"/>
  <c r="I166" i="7"/>
  <c r="D280" i="7"/>
  <c r="G222" i="7"/>
  <c r="E118" i="7"/>
  <c r="I176" i="7"/>
  <c r="B287" i="7"/>
  <c r="E40" i="7"/>
  <c r="H137" i="7"/>
  <c r="G81" i="7"/>
  <c r="G196" i="7"/>
  <c r="I84" i="7"/>
  <c r="E269" i="7"/>
  <c r="H233" i="7"/>
  <c r="H225" i="7"/>
  <c r="C177" i="7"/>
  <c r="B43" i="7"/>
  <c r="H155" i="7"/>
  <c r="C67" i="7"/>
  <c r="C201" i="7"/>
  <c r="F277" i="7"/>
  <c r="G281" i="7"/>
  <c r="I272" i="7"/>
  <c r="G77" i="7"/>
  <c r="B153" i="7"/>
  <c r="I242" i="7"/>
  <c r="D53" i="7"/>
  <c r="I179" i="7"/>
  <c r="H79" i="7"/>
  <c r="I292" i="7"/>
  <c r="F230" i="7"/>
  <c r="H109" i="7"/>
  <c r="I268" i="7"/>
  <c r="C103" i="7"/>
  <c r="B81" i="7"/>
  <c r="I144" i="7"/>
  <c r="C196" i="7"/>
  <c r="B239" i="7"/>
  <c r="F71" i="7"/>
  <c r="E36" i="7"/>
  <c r="H92" i="7"/>
  <c r="D272" i="7"/>
  <c r="I243" i="7"/>
  <c r="D146" i="7"/>
  <c r="E74" i="7"/>
  <c r="H144" i="7"/>
  <c r="E91" i="7"/>
  <c r="D116" i="7"/>
  <c r="E149" i="7"/>
  <c r="I181" i="7"/>
  <c r="D152" i="7"/>
  <c r="E147" i="7"/>
  <c r="B165" i="7"/>
  <c r="D124" i="7"/>
  <c r="B246" i="7"/>
  <c r="H24" i="7"/>
  <c r="B247" i="7"/>
  <c r="E56" i="7"/>
  <c r="G97" i="7"/>
  <c r="H72" i="7"/>
  <c r="G240" i="7"/>
  <c r="E125" i="7"/>
  <c r="I195" i="7"/>
  <c r="I220" i="7"/>
  <c r="I151" i="7"/>
  <c r="I224" i="7"/>
  <c r="G280" i="7"/>
  <c r="D125" i="7"/>
  <c r="H165" i="7"/>
  <c r="H260" i="7"/>
  <c r="I281" i="7"/>
  <c r="F157" i="7"/>
  <c r="I178" i="7"/>
  <c r="F251" i="7"/>
  <c r="E245" i="7"/>
  <c r="F207" i="7"/>
  <c r="I203" i="7"/>
  <c r="G274" i="7"/>
  <c r="C299" i="7"/>
  <c r="I260" i="7"/>
  <c r="D93" i="7"/>
  <c r="F235" i="7"/>
  <c r="H3" i="7"/>
  <c r="I215" i="7"/>
  <c r="G144" i="7"/>
  <c r="B144" i="7"/>
  <c r="C61" i="7"/>
  <c r="D191" i="7"/>
  <c r="I94" i="7"/>
  <c r="B167" i="7"/>
  <c r="I56" i="7"/>
  <c r="E148" i="7"/>
  <c r="H262" i="7"/>
  <c r="H250" i="7"/>
  <c r="G94" i="7"/>
  <c r="D113" i="7"/>
  <c r="I18" i="7"/>
  <c r="D243" i="7"/>
  <c r="G221" i="7"/>
  <c r="H113" i="7"/>
  <c r="I244" i="7"/>
  <c r="F225" i="7"/>
  <c r="F161" i="7"/>
  <c r="H278" i="7"/>
  <c r="H275" i="7"/>
  <c r="D227" i="7"/>
  <c r="E68" i="7"/>
  <c r="D72" i="7"/>
  <c r="D140" i="7"/>
  <c r="E151" i="7"/>
  <c r="C2" i="7"/>
  <c r="C51" i="7"/>
  <c r="G156" i="7"/>
  <c r="H204" i="7"/>
  <c r="F96" i="7"/>
  <c r="I170" i="7"/>
  <c r="B213" i="7"/>
  <c r="F283" i="7"/>
  <c r="G237" i="7"/>
  <c r="D108" i="7"/>
  <c r="D36" i="7"/>
  <c r="I134" i="7"/>
  <c r="C78" i="7"/>
  <c r="E191" i="7"/>
  <c r="E257" i="7"/>
  <c r="H140" i="7"/>
  <c r="C34" i="7"/>
  <c r="D107" i="7"/>
  <c r="G203" i="7"/>
  <c r="C38" i="7"/>
  <c r="I270" i="7"/>
  <c r="G219" i="7"/>
  <c r="E78" i="7"/>
  <c r="B249" i="7"/>
  <c r="F208" i="7"/>
  <c r="D236" i="7"/>
  <c r="C228" i="7"/>
  <c r="C195" i="7"/>
  <c r="G189" i="7"/>
  <c r="B205" i="7"/>
  <c r="D278" i="7"/>
  <c r="F270" i="7"/>
  <c r="I32" i="7"/>
  <c r="B225" i="7"/>
  <c r="C190" i="7"/>
  <c r="G89" i="7"/>
  <c r="B110" i="7"/>
  <c r="I196" i="7"/>
  <c r="C253" i="7"/>
  <c r="E76" i="7"/>
  <c r="G259" i="7"/>
  <c r="D242" i="7"/>
  <c r="D259" i="7"/>
  <c r="H123" i="7"/>
  <c r="E180" i="7"/>
  <c r="E134" i="7"/>
  <c r="I8" i="7"/>
  <c r="I47" i="7"/>
  <c r="H298" i="7"/>
  <c r="E285" i="7"/>
  <c r="C223" i="7"/>
  <c r="E144" i="7"/>
  <c r="B230" i="7"/>
  <c r="F169" i="7"/>
  <c r="B129" i="7"/>
  <c r="C6" i="7"/>
  <c r="F83" i="7"/>
  <c r="D239" i="7"/>
  <c r="D84" i="7"/>
  <c r="B258" i="7"/>
  <c r="C110" i="7"/>
  <c r="G264" i="7"/>
  <c r="B119" i="7"/>
  <c r="B127" i="7"/>
  <c r="B39" i="7"/>
  <c r="D122" i="7"/>
  <c r="F68" i="7"/>
  <c r="C137" i="7"/>
  <c r="E99" i="7"/>
  <c r="H53" i="7"/>
  <c r="I209" i="7"/>
  <c r="E252" i="7"/>
  <c r="E299" i="7"/>
  <c r="E193" i="7"/>
  <c r="C165" i="7"/>
  <c r="E233" i="7"/>
  <c r="C37" i="7"/>
  <c r="C179" i="7"/>
  <c r="C89" i="7"/>
  <c r="B148" i="7"/>
  <c r="E235" i="7"/>
  <c r="E278" i="7"/>
  <c r="D137" i="7"/>
  <c r="E188" i="7"/>
  <c r="H93" i="7"/>
  <c r="H189" i="7"/>
  <c r="C176" i="7"/>
  <c r="D150" i="7"/>
  <c r="F250" i="7"/>
  <c r="G175" i="7"/>
  <c r="G265" i="7"/>
  <c r="H210" i="7"/>
  <c r="H98" i="7"/>
  <c r="F272" i="7"/>
  <c r="F281" i="7"/>
  <c r="B135" i="7"/>
  <c r="E231" i="7"/>
  <c r="B174" i="7"/>
  <c r="E82" i="7"/>
  <c r="H290" i="7"/>
  <c r="D178" i="7"/>
  <c r="B171" i="7"/>
  <c r="F135" i="7"/>
  <c r="B241" i="7"/>
  <c r="I198" i="7"/>
  <c r="E224" i="7"/>
  <c r="G295" i="7"/>
  <c r="B252" i="7"/>
  <c r="B248" i="7"/>
  <c r="F291" i="7"/>
  <c r="I140" i="7"/>
  <c r="I108" i="7"/>
  <c r="F211" i="7"/>
  <c r="H128" i="7"/>
  <c r="B296" i="7"/>
  <c r="E108" i="7"/>
  <c r="B211" i="7"/>
  <c r="C33" i="7"/>
  <c r="I218" i="7"/>
  <c r="B20" i="7"/>
  <c r="F244" i="7"/>
  <c r="G155" i="7"/>
  <c r="C91" i="7"/>
  <c r="G251" i="7"/>
  <c r="B260" i="7"/>
  <c r="F261" i="7"/>
  <c r="E123" i="7"/>
  <c r="B298" i="7"/>
  <c r="H83" i="7"/>
  <c r="I101" i="7"/>
  <c r="C35" i="7"/>
  <c r="D80" i="7"/>
  <c r="F275" i="7"/>
  <c r="I211" i="7"/>
  <c r="C152" i="7"/>
  <c r="C290" i="7"/>
  <c r="G250" i="7"/>
  <c r="C20" i="7"/>
  <c r="B115" i="7"/>
  <c r="E181" i="7"/>
  <c r="B169" i="7"/>
  <c r="H73" i="7"/>
  <c r="H61" i="7"/>
  <c r="I221" i="7"/>
  <c r="G243" i="7"/>
  <c r="E155" i="7"/>
  <c r="E4" i="7"/>
  <c r="I204" i="7"/>
  <c r="C160" i="7"/>
  <c r="G224" i="7"/>
  <c r="I253" i="7"/>
  <c r="D26" i="7"/>
  <c r="C71" i="7"/>
  <c r="F109" i="7"/>
  <c r="I64" i="7"/>
  <c r="H172" i="7"/>
  <c r="G209" i="7"/>
  <c r="C94" i="7"/>
  <c r="I149" i="7"/>
  <c r="E145" i="7"/>
  <c r="I115" i="7"/>
  <c r="F140" i="7"/>
  <c r="F128" i="7"/>
  <c r="D132" i="7"/>
  <c r="F147" i="7"/>
  <c r="E261" i="7"/>
  <c r="B122" i="7"/>
  <c r="H240" i="7"/>
  <c r="D295" i="7"/>
  <c r="G272" i="7"/>
  <c r="E156" i="7"/>
  <c r="C268" i="7"/>
  <c r="E122" i="7"/>
  <c r="H211" i="7"/>
  <c r="D271" i="7"/>
  <c r="G69" i="7"/>
  <c r="B164" i="7"/>
  <c r="I12" i="7"/>
  <c r="E259" i="7"/>
  <c r="H112" i="7"/>
  <c r="H25" i="7"/>
  <c r="D235" i="7"/>
  <c r="D128" i="7"/>
  <c r="H252" i="7"/>
  <c r="E153" i="7"/>
  <c r="G278" i="7"/>
  <c r="I202" i="7"/>
  <c r="C76" i="7"/>
  <c r="I120" i="7"/>
  <c r="H101" i="7"/>
  <c r="E290" i="7"/>
  <c r="H249" i="7"/>
  <c r="I57" i="7"/>
  <c r="C191" i="7"/>
  <c r="D34" i="7"/>
  <c r="H190" i="7"/>
  <c r="E105" i="7"/>
  <c r="I27" i="7"/>
  <c r="C43" i="7"/>
  <c r="E131" i="7"/>
  <c r="B150" i="7"/>
  <c r="D151" i="7"/>
  <c r="I238" i="7"/>
  <c r="C133" i="7"/>
  <c r="I199" i="7"/>
  <c r="D206" i="7"/>
  <c r="F267" i="7"/>
  <c r="I67" i="7"/>
  <c r="D192" i="7"/>
  <c r="H6" i="7"/>
  <c r="D44" i="7"/>
  <c r="E139" i="7"/>
  <c r="C254" i="7"/>
  <c r="C230" i="7"/>
  <c r="D233" i="7"/>
  <c r="I15" i="7"/>
  <c r="C5" i="7"/>
  <c r="G231" i="7"/>
  <c r="G174" i="7"/>
  <c r="B141" i="7"/>
  <c r="B22" i="7"/>
  <c r="E104" i="7"/>
  <c r="F78" i="7"/>
  <c r="G157" i="7"/>
  <c r="H90" i="7"/>
  <c r="G230" i="7"/>
  <c r="H277" i="7"/>
  <c r="I137" i="7"/>
  <c r="I54" i="7"/>
  <c r="C50" i="7"/>
  <c r="F238" i="7"/>
  <c r="E44" i="7"/>
  <c r="E254" i="7"/>
  <c r="G292" i="7"/>
  <c r="C127" i="7"/>
  <c r="G258" i="7"/>
  <c r="I97" i="7"/>
  <c r="F253" i="7"/>
  <c r="B177" i="7"/>
  <c r="B170" i="7"/>
  <c r="B183" i="7"/>
  <c r="H114" i="7"/>
  <c r="B196" i="7"/>
  <c r="C21" i="7"/>
  <c r="C26" i="7"/>
  <c r="D21" i="7"/>
  <c r="D287" i="7"/>
  <c r="F264" i="7"/>
  <c r="C56" i="7"/>
  <c r="B267" i="7"/>
  <c r="H125" i="7"/>
  <c r="I129" i="7"/>
  <c r="F77" i="7"/>
  <c r="B7" i="7"/>
  <c r="G171" i="7"/>
  <c r="C130" i="7"/>
  <c r="F149" i="7"/>
  <c r="B215" i="7"/>
  <c r="C206" i="7"/>
  <c r="I163" i="7"/>
  <c r="D70" i="7"/>
  <c r="D68" i="7"/>
  <c r="G95" i="7"/>
  <c r="C221" i="7"/>
  <c r="G99" i="7"/>
  <c r="G286" i="7"/>
  <c r="G300" i="7"/>
  <c r="C143" i="7"/>
  <c r="E45" i="7"/>
  <c r="D283" i="7"/>
  <c r="I236" i="7"/>
  <c r="C264" i="7"/>
  <c r="C193" i="7"/>
  <c r="C73" i="7"/>
  <c r="B264" i="7"/>
  <c r="E60" i="7"/>
  <c r="C131" i="7"/>
  <c r="C188" i="7"/>
  <c r="F215" i="7"/>
  <c r="B261" i="7"/>
  <c r="H229" i="7"/>
  <c r="I92" i="7"/>
  <c r="G185" i="7"/>
  <c r="H226" i="7"/>
  <c r="E61" i="7"/>
  <c r="E3" i="7"/>
  <c r="B181" i="7"/>
  <c r="E65" i="7"/>
  <c r="H182" i="7"/>
  <c r="G125" i="7"/>
  <c r="C157" i="7"/>
  <c r="H103" i="7"/>
  <c r="B112" i="7"/>
  <c r="D111" i="7"/>
  <c r="C90" i="7"/>
  <c r="D64" i="7"/>
  <c r="G104" i="7"/>
  <c r="D170" i="7"/>
  <c r="I146" i="7"/>
  <c r="C218" i="7"/>
  <c r="B48" i="7"/>
  <c r="H23" i="7"/>
  <c r="E47" i="7"/>
  <c r="G8" i="7"/>
  <c r="E228" i="7"/>
  <c r="I184" i="7"/>
  <c r="E89" i="7"/>
  <c r="F125" i="7"/>
  <c r="C210" i="7"/>
  <c r="B152" i="7"/>
  <c r="H95" i="7"/>
  <c r="C62" i="7"/>
  <c r="G170" i="7"/>
  <c r="G137" i="7"/>
  <c r="I132" i="7"/>
  <c r="F86" i="7"/>
  <c r="E66" i="7"/>
  <c r="D82" i="7"/>
  <c r="G220" i="7"/>
  <c r="H42" i="7"/>
  <c r="I114" i="7"/>
  <c r="I37" i="7"/>
  <c r="H207" i="7"/>
  <c r="E75" i="7"/>
  <c r="B160" i="7"/>
  <c r="I282" i="7"/>
  <c r="G197" i="7"/>
  <c r="C136" i="7"/>
  <c r="B74" i="7"/>
  <c r="G98" i="7"/>
  <c r="C293" i="7"/>
  <c r="H200" i="7"/>
  <c r="E215" i="7"/>
  <c r="C171" i="7"/>
  <c r="H291" i="7"/>
  <c r="H241" i="7"/>
  <c r="D293" i="7"/>
  <c r="D131" i="7"/>
  <c r="D273" i="7"/>
  <c r="I274" i="7"/>
  <c r="C96" i="7"/>
  <c r="D92" i="7"/>
  <c r="D240" i="7"/>
  <c r="H54" i="7"/>
  <c r="B85" i="7"/>
  <c r="H77" i="7"/>
  <c r="D67" i="7"/>
  <c r="B26" i="7"/>
  <c r="B41" i="7"/>
  <c r="F196" i="7"/>
  <c r="G158" i="7"/>
  <c r="I230" i="7"/>
  <c r="C247" i="7"/>
  <c r="E129" i="7"/>
  <c r="F93" i="7"/>
  <c r="B227" i="7"/>
  <c r="B161" i="7"/>
  <c r="C121" i="7"/>
  <c r="I13" i="7"/>
  <c r="C162" i="7"/>
  <c r="F131" i="7"/>
  <c r="G71" i="7"/>
  <c r="H152" i="7"/>
  <c r="I138" i="7"/>
  <c r="E93" i="7"/>
  <c r="H273" i="7"/>
  <c r="G253" i="7"/>
  <c r="D199" i="7"/>
  <c r="I158" i="7"/>
  <c r="D247" i="7"/>
  <c r="G273" i="7"/>
  <c r="C149" i="7"/>
  <c r="B6" i="7"/>
  <c r="G271" i="7"/>
  <c r="E199" i="7"/>
  <c r="B123" i="7"/>
  <c r="D74" i="7"/>
  <c r="G106" i="7"/>
  <c r="H2" i="7"/>
  <c r="I273" i="7"/>
  <c r="I99" i="7"/>
  <c r="F136" i="7"/>
  <c r="G256" i="7"/>
  <c r="E142" i="7"/>
  <c r="E248" i="7"/>
  <c r="F69" i="7"/>
  <c r="F94" i="7"/>
  <c r="C7" i="7"/>
  <c r="D296" i="7"/>
  <c r="E124" i="7"/>
  <c r="G129" i="7"/>
  <c r="C267" i="7"/>
  <c r="E35" i="7"/>
  <c r="D142" i="7"/>
  <c r="B62" i="7"/>
  <c r="F150" i="7"/>
  <c r="E200" i="7"/>
  <c r="E162" i="7"/>
  <c r="C278" i="7"/>
  <c r="D229" i="7"/>
  <c r="H217" i="7"/>
  <c r="C145" i="7"/>
  <c r="F187" i="7"/>
  <c r="B162" i="7"/>
  <c r="C140" i="7"/>
  <c r="G215" i="7"/>
  <c r="H201" i="7"/>
  <c r="G225" i="7"/>
  <c r="B285" i="7"/>
  <c r="D176" i="7"/>
  <c r="I183" i="7"/>
  <c r="D275" i="7"/>
  <c r="C245" i="7"/>
  <c r="I142" i="7"/>
  <c r="G91" i="7"/>
  <c r="F108" i="7"/>
  <c r="E182" i="7"/>
  <c r="F298" i="7"/>
  <c r="I148" i="7"/>
  <c r="F224" i="7"/>
  <c r="G159" i="7"/>
  <c r="I159" i="7"/>
  <c r="B282" i="7"/>
  <c r="G206" i="7"/>
  <c r="H285" i="7"/>
  <c r="F182" i="7"/>
  <c r="E81" i="7"/>
  <c r="I294" i="7"/>
  <c r="H231" i="7"/>
  <c r="B179" i="7"/>
  <c r="I130" i="7"/>
  <c r="C231" i="7"/>
  <c r="G229" i="7"/>
  <c r="D45" i="7"/>
  <c r="E202" i="7"/>
  <c r="D289" i="7"/>
  <c r="D237" i="7"/>
  <c r="H162" i="7"/>
  <c r="B38" i="7"/>
  <c r="E22" i="7"/>
  <c r="C55" i="7"/>
  <c r="C132" i="7"/>
  <c r="B69" i="7"/>
  <c r="I58" i="7"/>
  <c r="E107" i="7"/>
  <c r="H197" i="7"/>
  <c r="D238" i="7"/>
  <c r="E30" i="7"/>
  <c r="D134" i="7"/>
  <c r="F240" i="7"/>
  <c r="B147" i="7"/>
  <c r="H96" i="7"/>
  <c r="H161" i="7"/>
  <c r="G143" i="7"/>
  <c r="B226" i="7"/>
  <c r="C194" i="7"/>
  <c r="G105" i="7"/>
  <c r="F181" i="7"/>
  <c r="B237" i="7"/>
  <c r="D85" i="7"/>
  <c r="E31" i="7"/>
  <c r="C84" i="7"/>
  <c r="G115" i="7"/>
  <c r="F246" i="7"/>
  <c r="D138" i="7"/>
  <c r="F6" i="7"/>
  <c r="B234" i="7"/>
  <c r="I279" i="7"/>
  <c r="D167" i="7"/>
  <c r="C24" i="7"/>
  <c r="F190" i="7"/>
  <c r="I205" i="7"/>
  <c r="I116" i="7"/>
  <c r="I287" i="7"/>
  <c r="B56" i="7"/>
  <c r="H181" i="7"/>
  <c r="G148" i="7"/>
  <c r="G242" i="7"/>
  <c r="I113" i="7"/>
  <c r="D120" i="7"/>
  <c r="C8" i="7"/>
  <c r="H57" i="7"/>
  <c r="B101" i="7"/>
  <c r="B49" i="7"/>
  <c r="H178" i="7"/>
  <c r="C28" i="7"/>
  <c r="C158" i="7"/>
  <c r="I216" i="7"/>
  <c r="D27" i="7"/>
  <c r="D221" i="7"/>
  <c r="B229" i="7"/>
  <c r="I250" i="7"/>
  <c r="C288" i="7"/>
  <c r="H91" i="7"/>
  <c r="E161" i="7"/>
  <c r="H179" i="7"/>
  <c r="C214" i="7"/>
  <c r="I21" i="7"/>
  <c r="E247" i="7"/>
  <c r="G212" i="7"/>
  <c r="C57" i="7"/>
  <c r="H138" i="7"/>
  <c r="H176" i="7"/>
  <c r="F194" i="7"/>
  <c r="B134" i="7"/>
  <c r="C47" i="7"/>
  <c r="D8" i="7"/>
  <c r="G180" i="7"/>
  <c r="H173" i="7"/>
  <c r="D277" i="7"/>
  <c r="B223" i="7"/>
  <c r="D164" i="7"/>
  <c r="D97" i="7"/>
  <c r="F156" i="7"/>
  <c r="H223" i="7"/>
  <c r="I123" i="7"/>
  <c r="E217" i="7"/>
  <c r="G123" i="7"/>
  <c r="F206" i="7"/>
  <c r="D202" i="7"/>
  <c r="F293" i="7"/>
  <c r="D224" i="7"/>
  <c r="I117" i="7"/>
  <c r="I286" i="7"/>
  <c r="F197" i="7"/>
  <c r="D90" i="7"/>
  <c r="B9" i="7"/>
  <c r="I255" i="7"/>
  <c r="F257" i="7"/>
  <c r="D188" i="7"/>
  <c r="D81" i="7"/>
  <c r="C29" i="7"/>
  <c r="C185" i="7"/>
  <c r="C183" i="7"/>
  <c r="F184" i="7"/>
  <c r="B158" i="7"/>
  <c r="H299" i="7"/>
  <c r="G176" i="7"/>
  <c r="G249" i="7"/>
  <c r="B114" i="7"/>
  <c r="C63" i="7"/>
  <c r="E289" i="7"/>
  <c r="G100" i="7"/>
  <c r="G218" i="7"/>
  <c r="C153" i="7"/>
  <c r="C95" i="7"/>
  <c r="B3" i="7"/>
  <c r="I24" i="7"/>
  <c r="C258" i="7"/>
  <c r="E59" i="7"/>
  <c r="I100" i="7"/>
  <c r="C92" i="7"/>
  <c r="H292" i="7"/>
  <c r="G297" i="7"/>
  <c r="C167" i="7"/>
  <c r="D126" i="7"/>
  <c r="I104" i="7"/>
  <c r="I189" i="7"/>
  <c r="B145" i="7"/>
  <c r="E295" i="7"/>
  <c r="B293" i="7"/>
  <c r="I161" i="7"/>
  <c r="G289" i="7"/>
  <c r="H38" i="7"/>
  <c r="G268" i="7"/>
  <c r="B268" i="7"/>
  <c r="B53" i="7"/>
  <c r="C85" i="7"/>
  <c r="E120" i="7"/>
  <c r="F178" i="7"/>
  <c r="C283" i="7"/>
  <c r="B33" i="7"/>
  <c r="G179" i="7"/>
  <c r="C151" i="7"/>
  <c r="B120" i="7"/>
  <c r="E18" i="7"/>
  <c r="F4" i="7"/>
  <c r="D112" i="7"/>
  <c r="E201" i="7"/>
  <c r="D20" i="7"/>
  <c r="H28" i="7"/>
  <c r="D4" i="7"/>
  <c r="C155" i="7"/>
  <c r="G165" i="7"/>
  <c r="B78" i="7"/>
  <c r="G87" i="7"/>
  <c r="H105" i="7"/>
  <c r="B276" i="7"/>
  <c r="E19" i="7"/>
  <c r="E132" i="7"/>
  <c r="G173" i="7"/>
  <c r="I208" i="7"/>
  <c r="H236" i="7"/>
  <c r="D213" i="7"/>
  <c r="I264" i="7"/>
  <c r="D60" i="7"/>
  <c r="D262" i="7"/>
  <c r="F290" i="7"/>
  <c r="E152" i="7"/>
  <c r="B40" i="7"/>
  <c r="E284" i="7"/>
  <c r="B178" i="7"/>
  <c r="D61" i="7"/>
  <c r="I86" i="7"/>
  <c r="I229" i="7"/>
  <c r="C164" i="7"/>
  <c r="C213" i="7"/>
  <c r="C248" i="7"/>
  <c r="D63" i="7"/>
  <c r="H156" i="7"/>
  <c r="E113" i="7"/>
  <c r="I102" i="7"/>
  <c r="F231" i="7"/>
  <c r="F166" i="7"/>
  <c r="F144" i="7"/>
  <c r="G141" i="7"/>
  <c r="C25" i="7"/>
  <c r="D226" i="7"/>
  <c r="C82" i="7"/>
  <c r="E234" i="7"/>
  <c r="C300" i="7"/>
  <c r="I169" i="7"/>
  <c r="H286" i="7"/>
  <c r="C270" i="7"/>
  <c r="I128" i="7"/>
  <c r="D214" i="7"/>
  <c r="D268" i="7"/>
  <c r="B292" i="7"/>
  <c r="B98" i="7"/>
  <c r="D2" i="7"/>
  <c r="C219" i="7"/>
  <c r="E169" i="7"/>
  <c r="B197" i="7"/>
  <c r="H194" i="7"/>
  <c r="E291" i="7"/>
  <c r="B154" i="7"/>
  <c r="H243" i="7"/>
  <c r="B77" i="7"/>
  <c r="B29" i="7"/>
  <c r="I240" i="7"/>
  <c r="I66" i="7"/>
  <c r="H188" i="7"/>
  <c r="B52" i="7"/>
  <c r="F73" i="7"/>
  <c r="B272" i="7"/>
  <c r="E32" i="7"/>
  <c r="C159" i="7"/>
  <c r="G204" i="7"/>
  <c r="F185" i="7"/>
  <c r="D197" i="7"/>
  <c r="D198" i="7"/>
  <c r="D77" i="7"/>
  <c r="H158" i="7"/>
  <c r="E281" i="7"/>
  <c r="I193" i="7"/>
  <c r="E49" i="7"/>
  <c r="B73" i="7"/>
  <c r="E176" i="7"/>
  <c r="H234" i="7"/>
  <c r="D180" i="7"/>
  <c r="I241" i="7"/>
  <c r="I17" i="7"/>
  <c r="C125" i="7"/>
  <c r="G3" i="7"/>
  <c r="E226" i="7"/>
  <c r="F242" i="7"/>
  <c r="E17" i="7"/>
  <c r="E114" i="7"/>
  <c r="D286" i="7"/>
  <c r="I217" i="7"/>
  <c r="C107" i="7"/>
  <c r="I105" i="7"/>
  <c r="B255" i="7"/>
  <c r="F137" i="7"/>
  <c r="E96" i="7"/>
  <c r="H281" i="7"/>
  <c r="D19" i="7"/>
  <c r="F273" i="7"/>
  <c r="H169" i="7"/>
  <c r="C81" i="7"/>
  <c r="G232" i="7"/>
  <c r="C260" i="7"/>
  <c r="D281" i="7"/>
  <c r="D274" i="7"/>
  <c r="I78" i="7"/>
  <c r="D163" i="7"/>
  <c r="G167" i="7"/>
  <c r="B279" i="7"/>
  <c r="D38" i="7"/>
  <c r="B55" i="7"/>
  <c r="I4" i="7"/>
  <c r="I80" i="7"/>
  <c r="G213" i="7"/>
  <c r="E70" i="7"/>
  <c r="C257" i="7"/>
  <c r="E174" i="7"/>
  <c r="B59" i="7"/>
  <c r="E183" i="7"/>
  <c r="F113" i="7"/>
  <c r="G121" i="7"/>
  <c r="F284" i="7"/>
  <c r="G236" i="7"/>
  <c r="F226" i="7"/>
  <c r="G149" i="7"/>
  <c r="I247" i="7"/>
  <c r="E39" i="7"/>
  <c r="I232" i="7"/>
  <c r="I249" i="7"/>
  <c r="H253" i="7"/>
  <c r="D110" i="7"/>
  <c r="F145" i="7"/>
  <c r="D171" i="7"/>
  <c r="D244" i="7"/>
  <c r="F98" i="7"/>
  <c r="H287" i="7"/>
  <c r="C120" i="7"/>
  <c r="B218" i="7"/>
  <c r="B109" i="7"/>
  <c r="F115" i="7"/>
  <c r="H40" i="7"/>
  <c r="C166" i="7"/>
  <c r="D215" i="7"/>
  <c r="B200" i="7"/>
  <c r="D211" i="7"/>
  <c r="E238" i="7"/>
  <c r="H147" i="7"/>
  <c r="C246" i="7"/>
  <c r="H170" i="7"/>
  <c r="D174" i="7"/>
  <c r="H192" i="7"/>
  <c r="F265" i="7"/>
  <c r="G145" i="7"/>
  <c r="I145" i="7"/>
  <c r="I112" i="7"/>
  <c r="I201" i="7"/>
  <c r="H107" i="7"/>
  <c r="F295" i="7"/>
  <c r="C256" i="7"/>
  <c r="D56" i="7"/>
  <c r="D298" i="7"/>
  <c r="I263" i="7"/>
  <c r="D282" i="7"/>
  <c r="D9" i="7"/>
  <c r="H135" i="7"/>
  <c r="D232" i="7"/>
  <c r="H238" i="7"/>
  <c r="B204" i="7"/>
  <c r="B116" i="7"/>
  <c r="C252" i="7"/>
  <c r="B132" i="7"/>
  <c r="I194" i="7"/>
  <c r="C23" i="7"/>
  <c r="I81" i="7"/>
  <c r="I59" i="7"/>
  <c r="D153" i="7"/>
  <c r="F138" i="7"/>
  <c r="F203" i="7"/>
  <c r="H8" i="7"/>
  <c r="D256" i="7"/>
  <c r="C259" i="7"/>
  <c r="G246" i="7"/>
  <c r="I191" i="7"/>
  <c r="H195" i="7"/>
  <c r="H184" i="7"/>
  <c r="C117" i="7"/>
  <c r="G75" i="7"/>
  <c r="G128" i="7"/>
  <c r="B31" i="7"/>
  <c r="D43" i="7"/>
  <c r="E230" i="7"/>
  <c r="F216" i="7"/>
  <c r="C226" i="7"/>
  <c r="D166" i="7"/>
  <c r="D103" i="7"/>
  <c r="I85" i="7"/>
  <c r="E205" i="7"/>
  <c r="B88" i="7"/>
  <c r="B300" i="7"/>
  <c r="F248" i="7"/>
  <c r="E158" i="7"/>
  <c r="E240" i="7"/>
  <c r="F79" i="7"/>
  <c r="B113" i="7"/>
  <c r="C236" i="7"/>
  <c r="H59" i="7"/>
  <c r="H68" i="7"/>
  <c r="G86" i="7"/>
  <c r="B168" i="7"/>
  <c r="H174" i="7"/>
  <c r="F105" i="7"/>
  <c r="C204" i="7"/>
  <c r="I269" i="7"/>
  <c r="G188" i="7"/>
  <c r="F286" i="7"/>
  <c r="I164" i="7"/>
  <c r="E211" i="7"/>
  <c r="H163" i="7"/>
  <c r="B275" i="7"/>
  <c r="E273" i="7"/>
  <c r="D204" i="7"/>
  <c r="E250" i="7"/>
  <c r="F282" i="7"/>
  <c r="D208" i="7"/>
  <c r="D172" i="7"/>
  <c r="C262" i="7"/>
  <c r="E185" i="7"/>
  <c r="I14" i="7"/>
  <c r="H122" i="7"/>
  <c r="D105" i="7"/>
  <c r="B270" i="7"/>
  <c r="C83" i="7"/>
  <c r="G187" i="7"/>
  <c r="H215" i="7"/>
  <c r="E232" i="7"/>
  <c r="B17" i="7"/>
  <c r="C289" i="7"/>
  <c r="F9" i="7"/>
  <c r="E24" i="7"/>
  <c r="D186" i="7"/>
  <c r="C269" i="7"/>
  <c r="E51" i="7"/>
  <c r="I75" i="7"/>
  <c r="E172" i="7"/>
  <c r="G135" i="7"/>
  <c r="F107" i="7"/>
  <c r="F122" i="7"/>
  <c r="B216" i="7"/>
  <c r="I109" i="7"/>
  <c r="F192" i="7"/>
  <c r="E189" i="7"/>
  <c r="D179" i="7"/>
  <c r="H221" i="7"/>
  <c r="I280" i="7"/>
  <c r="F158" i="7"/>
  <c r="H293" i="7"/>
  <c r="H31" i="7"/>
  <c r="E253" i="7"/>
  <c r="C114" i="7"/>
  <c r="B95" i="7"/>
  <c r="I212" i="7"/>
  <c r="H159" i="7"/>
  <c r="G114" i="7"/>
  <c r="H30" i="7"/>
  <c r="H121" i="7"/>
  <c r="I296" i="7"/>
  <c r="B5" i="7"/>
  <c r="E256" i="7"/>
  <c r="F219" i="7"/>
  <c r="D219" i="7"/>
  <c r="H206" i="7"/>
  <c r="F92" i="7"/>
  <c r="E223" i="7"/>
  <c r="H199" i="7"/>
  <c r="C148" i="7"/>
  <c r="C266" i="7"/>
  <c r="C233" i="7"/>
  <c r="H100" i="7"/>
  <c r="D158" i="7"/>
  <c r="B290" i="7"/>
  <c r="D168" i="7"/>
  <c r="F221" i="7"/>
  <c r="I157" i="7"/>
  <c r="E140" i="7"/>
  <c r="G216" i="7"/>
  <c r="F148" i="7"/>
  <c r="F171" i="7"/>
  <c r="B280" i="7"/>
  <c r="D156" i="7"/>
  <c r="F164" i="7"/>
  <c r="F199" i="7"/>
  <c r="I6" i="7"/>
  <c r="I239" i="7"/>
  <c r="B262" i="7"/>
  <c r="B28" i="7"/>
  <c r="G83" i="7"/>
  <c r="H167" i="7"/>
  <c r="E159" i="7"/>
  <c r="F172" i="7"/>
  <c r="D135" i="7"/>
  <c r="H66" i="7"/>
  <c r="H104" i="7"/>
  <c r="H126" i="7"/>
  <c r="D201" i="7"/>
  <c r="B104" i="7"/>
  <c r="G172" i="7"/>
  <c r="B202" i="7"/>
  <c r="C134" i="7"/>
  <c r="B96" i="7"/>
  <c r="F289" i="7"/>
  <c r="D209" i="7"/>
  <c r="F252" i="7"/>
  <c r="G70" i="7"/>
  <c r="B214" i="7"/>
  <c r="H82" i="7"/>
  <c r="E251" i="7"/>
  <c r="G9" i="7"/>
  <c r="I237" i="7"/>
  <c r="G217" i="7"/>
  <c r="I284" i="7"/>
  <c r="G227" i="7"/>
  <c r="E258" i="7"/>
  <c r="E170" i="7"/>
  <c r="B80" i="7"/>
  <c r="F167" i="7"/>
  <c r="H261" i="7"/>
  <c r="F204" i="7"/>
  <c r="B243" i="7"/>
  <c r="G117" i="7"/>
  <c r="G199" i="7"/>
  <c r="B118" i="7"/>
  <c r="H212" i="7"/>
  <c r="F276" i="7"/>
  <c r="E236" i="7"/>
  <c r="C297" i="7"/>
  <c r="E102" i="7"/>
  <c r="E2" i="7"/>
  <c r="D41" i="7"/>
  <c r="E37" i="7"/>
  <c r="G153" i="7"/>
  <c r="G147" i="7"/>
  <c r="C279" i="7"/>
  <c r="H33" i="7"/>
  <c r="D57" i="7"/>
  <c r="B224" i="7"/>
  <c r="C240" i="7"/>
  <c r="C135" i="7"/>
  <c r="I121" i="7"/>
  <c r="I285" i="7"/>
  <c r="B206" i="7"/>
  <c r="B198" i="7"/>
  <c r="E214" i="7"/>
  <c r="C265" i="7"/>
  <c r="E130" i="7"/>
  <c r="B54" i="7"/>
  <c r="H27" i="7"/>
  <c r="I71" i="7"/>
  <c r="B201" i="7"/>
  <c r="B278" i="7"/>
  <c r="B70" i="7"/>
  <c r="D254" i="7"/>
  <c r="C215" i="7"/>
  <c r="H180" i="7"/>
  <c r="G154" i="7"/>
  <c r="I252" i="7"/>
  <c r="E207" i="7"/>
  <c r="I110" i="7"/>
  <c r="H258" i="7"/>
  <c r="B281" i="7"/>
  <c r="F89" i="7"/>
  <c r="D91" i="7"/>
  <c r="I289" i="7"/>
  <c r="E128" i="7"/>
  <c r="G112" i="7"/>
  <c r="I74" i="7"/>
  <c r="G254" i="7"/>
  <c r="H265" i="7"/>
  <c r="B263" i="7"/>
  <c r="H34" i="7"/>
  <c r="D3" i="7"/>
  <c r="D65" i="7"/>
  <c r="F99" i="7"/>
  <c r="D245" i="7"/>
  <c r="B64" i="7"/>
  <c r="G211" i="7"/>
  <c r="C243" i="7"/>
  <c r="H154" i="7"/>
  <c r="D145" i="7"/>
  <c r="F255" i="7"/>
  <c r="H272" i="7"/>
  <c r="H196" i="7"/>
  <c r="B83" i="7"/>
  <c r="G255" i="7"/>
  <c r="B233" i="7"/>
  <c r="E298" i="7"/>
  <c r="E79" i="7"/>
  <c r="C40" i="7"/>
  <c r="I62" i="7"/>
  <c r="D52" i="7"/>
  <c r="I200" i="7"/>
  <c r="F143" i="7"/>
  <c r="I165" i="7"/>
  <c r="I214" i="7"/>
  <c r="H110" i="7"/>
  <c r="I40" i="7"/>
  <c r="C17" i="7"/>
  <c r="F201" i="7"/>
  <c r="G122" i="7"/>
  <c r="E146" i="7"/>
  <c r="G126" i="7"/>
  <c r="D98" i="7"/>
  <c r="B253" i="7"/>
  <c r="H117" i="7"/>
  <c r="D173" i="7"/>
  <c r="E246" i="7"/>
  <c r="E209" i="7"/>
  <c r="E279" i="7"/>
  <c r="D69" i="7"/>
  <c r="I251" i="7"/>
  <c r="C59" i="7"/>
  <c r="B138" i="7"/>
  <c r="B245" i="7"/>
  <c r="E69" i="7"/>
  <c r="F180" i="7"/>
  <c r="I61" i="7"/>
  <c r="I107" i="7"/>
  <c r="C79" i="7"/>
  <c r="G138" i="7"/>
  <c r="C41" i="7"/>
  <c r="E194" i="7"/>
  <c r="C118" i="7"/>
  <c r="G76" i="7"/>
  <c r="B18" i="7"/>
  <c r="F84" i="7"/>
  <c r="F214" i="7"/>
  <c r="I254" i="7"/>
  <c r="C154" i="7"/>
  <c r="C212" i="7"/>
  <c r="F186" i="7"/>
  <c r="C217" i="7"/>
  <c r="F153" i="7"/>
  <c r="I213" i="7"/>
  <c r="D59" i="7"/>
  <c r="I190" i="7"/>
  <c r="C174" i="7"/>
  <c r="H186" i="7"/>
  <c r="C207" i="7"/>
  <c r="C232" i="7"/>
  <c r="F120" i="7"/>
  <c r="E264" i="7"/>
  <c r="B100" i="7"/>
  <c r="H289" i="7"/>
  <c r="I33" i="7"/>
  <c r="E196" i="7"/>
  <c r="B46" i="7"/>
  <c r="F74" i="7"/>
  <c r="D162" i="7"/>
  <c r="F133" i="7"/>
  <c r="I90" i="7"/>
  <c r="E275" i="7"/>
  <c r="E268" i="7"/>
  <c r="D117" i="7"/>
  <c r="G193" i="7"/>
  <c r="H239" i="7"/>
  <c r="D30" i="7"/>
  <c r="D260" i="7"/>
  <c r="E103" i="7"/>
  <c r="G298" i="7"/>
  <c r="B236" i="7"/>
  <c r="I297" i="7"/>
  <c r="E184" i="7"/>
  <c r="F288" i="7"/>
  <c r="G108" i="7"/>
  <c r="G120" i="7"/>
  <c r="G118" i="7"/>
  <c r="F111" i="7"/>
  <c r="H37" i="7"/>
  <c r="I11" i="7"/>
  <c r="I265" i="7"/>
  <c r="H269" i="7"/>
  <c r="E73" i="7"/>
  <c r="D269" i="7"/>
  <c r="H56" i="7"/>
  <c r="F82" i="7"/>
  <c r="E136" i="7"/>
  <c r="G88" i="7"/>
  <c r="D54" i="7"/>
  <c r="I261" i="7"/>
  <c r="B105" i="7"/>
  <c r="H99" i="7"/>
  <c r="D161" i="7"/>
  <c r="E255" i="7"/>
  <c r="I186" i="7"/>
  <c r="F227" i="7"/>
  <c r="D184" i="7"/>
  <c r="B68" i="7"/>
  <c r="H141" i="7"/>
  <c r="B106" i="7"/>
  <c r="E8" i="7"/>
  <c r="D294" i="7"/>
  <c r="I188" i="7"/>
  <c r="H142" i="7"/>
  <c r="E150" i="7"/>
  <c r="F165" i="7"/>
  <c r="G130" i="7"/>
  <c r="I22" i="7"/>
  <c r="E42" i="7"/>
  <c r="I207" i="7"/>
  <c r="D297" i="7"/>
  <c r="C75" i="7"/>
  <c r="F81" i="7"/>
  <c r="E239" i="7"/>
  <c r="H102" i="7"/>
  <c r="C112" i="7"/>
  <c r="B195" i="7"/>
  <c r="H242" i="7"/>
  <c r="C263" i="7"/>
  <c r="B65" i="7"/>
  <c r="F234" i="7"/>
  <c r="E244" i="7"/>
  <c r="E210" i="7"/>
  <c r="G92" i="7"/>
  <c r="C22" i="7"/>
  <c r="C80" i="7"/>
  <c r="C74" i="7"/>
  <c r="H187" i="7"/>
  <c r="G233" i="7"/>
  <c r="G146" i="7"/>
  <c r="C124" i="7"/>
  <c r="H62" i="7"/>
  <c r="E55" i="7"/>
  <c r="E242" i="7"/>
  <c r="C126" i="7"/>
  <c r="G190" i="7"/>
  <c r="E276" i="7"/>
  <c r="D249" i="7"/>
  <c r="F163" i="7"/>
  <c r="D37" i="7"/>
  <c r="B156" i="7"/>
  <c r="H69" i="7"/>
  <c r="I174" i="7"/>
  <c r="C128" i="7"/>
  <c r="B139" i="7"/>
  <c r="B254" i="7"/>
  <c r="B240" i="7"/>
  <c r="B208" i="7"/>
  <c r="H4" i="7"/>
  <c r="D157" i="7"/>
  <c r="C4" i="7"/>
  <c r="I182" i="7"/>
  <c r="E249" i="7"/>
  <c r="H143" i="7"/>
  <c r="D290" i="7"/>
  <c r="I136" i="7"/>
  <c r="H282" i="7"/>
  <c r="E178" i="7"/>
  <c r="F2" i="7"/>
  <c r="C239" i="7"/>
  <c r="H145" i="7"/>
  <c r="I223" i="7"/>
  <c r="D196" i="7"/>
  <c r="C116" i="7"/>
  <c r="C93" i="7"/>
  <c r="H296" i="7"/>
  <c r="C69" i="7"/>
  <c r="F103" i="7"/>
  <c r="G200" i="7"/>
  <c r="H183" i="7"/>
  <c r="B108" i="7"/>
  <c r="I225" i="7"/>
  <c r="I168" i="7"/>
  <c r="B42" i="7"/>
  <c r="G96" i="7"/>
  <c r="I7" i="7"/>
  <c r="C244" i="7"/>
  <c r="D276" i="7"/>
  <c r="D248" i="7"/>
  <c r="F193" i="7"/>
  <c r="C27" i="7"/>
  <c r="G140" i="7"/>
  <c r="H35" i="7"/>
  <c r="G202" i="7"/>
  <c r="D148" i="7"/>
  <c r="G74" i="7"/>
  <c r="C216" i="7"/>
  <c r="C98" i="7"/>
  <c r="C115" i="7"/>
  <c r="E135" i="7"/>
  <c r="E272" i="7"/>
  <c r="G205" i="7"/>
  <c r="H220" i="7"/>
  <c r="D7" i="7"/>
  <c r="B2" i="7"/>
  <c r="H227" i="7"/>
  <c r="E243" i="7"/>
  <c r="H193" i="7"/>
  <c r="C46" i="7"/>
  <c r="D292" i="7"/>
  <c r="C68" i="7"/>
  <c r="C58" i="7"/>
  <c r="H22" i="7"/>
  <c r="I227" i="7"/>
  <c r="G119" i="7"/>
  <c r="I228" i="7"/>
  <c r="E274" i="7"/>
  <c r="D75" i="7"/>
  <c r="H270" i="7"/>
  <c r="E283" i="7"/>
  <c r="I68" i="7"/>
  <c r="C70" i="7"/>
  <c r="D257" i="7"/>
  <c r="C45" i="7"/>
  <c r="C49" i="7"/>
  <c r="D133" i="7"/>
  <c r="D114" i="7"/>
  <c r="I70" i="7"/>
  <c r="D143" i="7"/>
  <c r="G239" i="7"/>
  <c r="B142" i="7"/>
  <c r="H271" i="7"/>
  <c r="E84" i="7"/>
  <c r="G191" i="7"/>
  <c r="H283" i="7"/>
  <c r="C39" i="7"/>
  <c r="I133" i="7"/>
  <c r="C200" i="7"/>
  <c r="I41" i="7"/>
  <c r="E92" i="7"/>
  <c r="D288" i="7"/>
  <c r="I275" i="7"/>
  <c r="B58" i="7"/>
  <c r="F154" i="7"/>
  <c r="H175" i="7"/>
  <c r="E300" i="7"/>
  <c r="F256" i="7"/>
  <c r="B130" i="7"/>
  <c r="D139" i="7"/>
  <c r="C298" i="7"/>
  <c r="H160" i="7"/>
  <c r="B289" i="7"/>
  <c r="I53" i="7"/>
  <c r="F118" i="7"/>
  <c r="D291" i="7"/>
  <c r="E101" i="7"/>
  <c r="F195" i="7"/>
  <c r="G296" i="7"/>
  <c r="D212" i="7"/>
  <c r="G294" i="7"/>
  <c r="E46" i="7"/>
  <c r="F117" i="7"/>
  <c r="I152" i="7"/>
  <c r="E117" i="7"/>
  <c r="C205" i="7"/>
  <c r="E225" i="7"/>
  <c r="E137" i="7"/>
  <c r="C156" i="7"/>
  <c r="I288" i="7"/>
  <c r="I106" i="7"/>
  <c r="D182" i="7"/>
  <c r="C287" i="7"/>
  <c r="I231" i="7"/>
  <c r="D267" i="7"/>
  <c r="H71" i="7"/>
  <c r="G84" i="7"/>
  <c r="G257" i="7"/>
  <c r="H232" i="7"/>
  <c r="B189" i="7"/>
  <c r="C86" i="7"/>
  <c r="C208" i="7"/>
  <c r="D228" i="7"/>
  <c r="G78" i="7"/>
  <c r="I192" i="7"/>
  <c r="F217" i="7"/>
  <c r="B71" i="7"/>
  <c r="H245" i="7"/>
  <c r="G235" i="7"/>
  <c r="H149" i="7"/>
  <c r="C222" i="7"/>
  <c r="B273" i="7"/>
  <c r="F296" i="7"/>
  <c r="D42" i="7"/>
  <c r="D181" i="7"/>
  <c r="B124" i="7"/>
  <c r="I219" i="7"/>
  <c r="H84" i="7"/>
  <c r="C106" i="7"/>
  <c r="B63" i="7"/>
  <c r="D217" i="7"/>
  <c r="D95" i="7"/>
  <c r="B140" i="7"/>
  <c r="B36" i="7"/>
  <c r="I55" i="7"/>
  <c r="H151" i="7"/>
  <c r="F222" i="7"/>
  <c r="G90" i="7"/>
  <c r="B128" i="7"/>
  <c r="F142" i="7"/>
  <c r="F262" i="7"/>
  <c r="I111" i="7"/>
  <c r="E280" i="7"/>
  <c r="H171" i="7"/>
  <c r="C66" i="7"/>
  <c r="B186" i="7"/>
  <c r="D130" i="7"/>
  <c r="D246" i="7"/>
  <c r="C202" i="7"/>
  <c r="B126" i="7"/>
  <c r="G293" i="7"/>
  <c r="B295" i="7"/>
  <c r="F232" i="7"/>
  <c r="C277" i="7"/>
  <c r="H288" i="7"/>
  <c r="D40" i="7"/>
  <c r="E90" i="7"/>
  <c r="D205" i="7"/>
  <c r="F271" i="7"/>
  <c r="H300" i="7"/>
  <c r="F72" i="7"/>
  <c r="I43" i="7"/>
  <c r="I23" i="7"/>
  <c r="H67" i="7"/>
  <c r="F87" i="7"/>
  <c r="G214" i="7"/>
  <c r="F121" i="7"/>
  <c r="F70" i="7"/>
  <c r="I283" i="7"/>
  <c r="C249" i="7"/>
  <c r="C168" i="7"/>
  <c r="D258" i="7"/>
  <c r="I46" i="7"/>
  <c r="B265" i="7"/>
  <c r="I262" i="7"/>
  <c r="I156" i="7"/>
  <c r="F260" i="7"/>
  <c r="C294" i="7"/>
  <c r="D100" i="7"/>
  <c r="I185" i="7"/>
  <c r="B274" i="7"/>
  <c r="E64" i="7"/>
  <c r="H185" i="7"/>
  <c r="I235" i="7"/>
  <c r="E173" i="7"/>
  <c r="F263" i="7"/>
  <c r="F220" i="7"/>
  <c r="H164" i="7"/>
  <c r="C170" i="7"/>
  <c r="E6" i="7"/>
  <c r="C3" i="7"/>
  <c r="E106" i="7"/>
  <c r="D175" i="7"/>
  <c r="H237" i="7"/>
  <c r="E165" i="7"/>
  <c r="I278" i="7"/>
  <c r="I79" i="7"/>
  <c r="B232" i="7"/>
  <c r="I258" i="7"/>
  <c r="D251" i="7"/>
  <c r="F241" i="7"/>
  <c r="I20" i="7"/>
  <c r="E220" i="7"/>
  <c r="C211" i="7"/>
  <c r="E160" i="7"/>
  <c r="B188" i="7"/>
  <c r="B163" i="7"/>
  <c r="H115" i="7"/>
  <c r="H264" i="7"/>
  <c r="C209" i="7"/>
  <c r="F300" i="7"/>
  <c r="E20" i="7"/>
  <c r="C111" i="7"/>
  <c r="H208" i="7"/>
  <c r="D121" i="7"/>
  <c r="H133" i="7"/>
  <c r="F8" i="7"/>
  <c r="F213" i="7"/>
  <c r="E80" i="7"/>
  <c r="G269" i="7"/>
  <c r="E126" i="7"/>
  <c r="B251" i="7"/>
  <c r="C172" i="7"/>
  <c r="F268" i="7"/>
  <c r="B157" i="7"/>
  <c r="D210" i="7"/>
  <c r="F191" i="7"/>
  <c r="E206" i="7"/>
  <c r="I206" i="7"/>
  <c r="H263" i="7"/>
  <c r="F258" i="7"/>
  <c r="E115" i="7"/>
  <c r="H70" i="7"/>
  <c r="G183" i="7"/>
  <c r="D160" i="7"/>
  <c r="G102" i="7"/>
  <c r="D76" i="7"/>
  <c r="I180" i="7"/>
  <c r="D119" i="7"/>
  <c r="E100" i="7"/>
  <c r="I65" i="7"/>
  <c r="G127" i="7"/>
  <c r="E29" i="7"/>
  <c r="I44" i="7"/>
  <c r="C275" i="7"/>
  <c r="G291" i="7"/>
  <c r="D58" i="7"/>
  <c r="G2" i="7"/>
  <c r="E98" i="7"/>
  <c r="H168" i="7"/>
  <c r="B97" i="7"/>
  <c r="B250" i="7"/>
  <c r="H177" i="7"/>
  <c r="G133" i="7"/>
  <c r="C291" i="7"/>
  <c r="I77" i="7"/>
  <c r="F292" i="7"/>
  <c r="G276" i="7"/>
  <c r="C163" i="7"/>
  <c r="C192" i="7"/>
  <c r="E83" i="7"/>
  <c r="E167" i="7"/>
  <c r="I28" i="7"/>
  <c r="D101" i="7"/>
  <c r="B185" i="7"/>
  <c r="G113" i="7"/>
  <c r="H78" i="7"/>
  <c r="B235" i="7"/>
  <c r="E177" i="7"/>
  <c r="D102" i="7"/>
  <c r="B228" i="7"/>
  <c r="G261" i="7"/>
  <c r="G287" i="7"/>
  <c r="E5" i="7"/>
  <c r="F106" i="7"/>
  <c r="H224" i="7"/>
  <c r="B203" i="7"/>
  <c r="B75" i="7"/>
  <c r="F198" i="7"/>
  <c r="I131" i="7"/>
  <c r="F132" i="7"/>
  <c r="E62" i="7"/>
  <c r="B60" i="7"/>
  <c r="E208" i="7"/>
  <c r="E116" i="7"/>
  <c r="B19" i="7"/>
  <c r="E192" i="7"/>
  <c r="H235" i="7"/>
  <c r="F75" i="7"/>
  <c r="F116" i="7"/>
  <c r="B91" i="7"/>
  <c r="F114" i="7"/>
  <c r="B143" i="7"/>
  <c r="B8" i="7"/>
  <c r="H132" i="7"/>
  <c r="I19" i="7"/>
  <c r="E267" i="7"/>
  <c r="B25" i="7"/>
  <c r="D253" i="7"/>
  <c r="D165" i="7"/>
  <c r="D71" i="7"/>
  <c r="E72" i="7"/>
  <c r="I126" i="7"/>
  <c r="G288" i="7"/>
  <c r="I36" i="7"/>
  <c r="H247" i="7"/>
  <c r="D154" i="7"/>
  <c r="E293" i="7"/>
  <c r="G101" i="7"/>
  <c r="G136" i="7"/>
  <c r="B286" i="7"/>
  <c r="H129" i="7"/>
  <c r="D86" i="7"/>
  <c r="D231" i="7"/>
  <c r="H86" i="7"/>
  <c r="H153" i="7"/>
  <c r="G131" i="7"/>
  <c r="E9" i="7"/>
  <c r="F3" i="7"/>
  <c r="E34" i="7"/>
  <c r="G275" i="7"/>
  <c r="G267" i="7"/>
  <c r="C36" i="7"/>
  <c r="I300" i="7"/>
  <c r="E110" i="7"/>
  <c r="I38" i="7"/>
  <c r="E94" i="7"/>
  <c r="F254" i="7"/>
  <c r="B4" i="7"/>
  <c r="H87" i="7"/>
  <c r="E203" i="7"/>
  <c r="C53" i="7"/>
  <c r="D32" i="7"/>
  <c r="D187" i="7"/>
  <c r="C234" i="7"/>
  <c r="E52" i="7"/>
  <c r="I25" i="7"/>
  <c r="G285" i="7"/>
  <c r="B47" i="7"/>
  <c r="C161" i="7"/>
  <c r="H209" i="7"/>
  <c r="I257" i="7"/>
  <c r="B61" i="7"/>
  <c r="E260" i="7"/>
  <c r="D96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<sst xmlns="http://schemas.openxmlformats.org/spreadsheetml/2006/main" count="590" uniqueCount="111">
  <si>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</si>
  <si>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</si>
  <si>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</si>
  <si>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</si>
  <si>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</si>
  <si>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</si>
  <si>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</si>
  <si>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</si>
  <si>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</si>
  <si>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</si>
  <si>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</si>
  <si>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</si>
  <si>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</si>
  <si>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</si>
  <si>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</si>
  <si>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</si>
  <si>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</si>
  <si>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</si>
  <si>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None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</si>
  <si>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</si>
  <si>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</si>
  <si>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</si>
  <si>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</si>
  <si>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</si>
  <si>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</si>
  <si>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</si>
  <si>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</si>
  <si>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</si>
  <si>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</si>
  <si>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</si>
  <si>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</si>
  <si>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</si>
  <si>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</si>
  <si>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</si>
  <si>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</si>
  <si>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</si>
  <si>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</si>
  <si>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</si>
  <si>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</si>
  <si>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</si>
  <si>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</si>
  <si>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</si>
  <si>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</si>
  <si>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</si>
  <si>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</si>
  <si>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</si>
  <si>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</si>
  <si>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</si>
  <si>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</si>
  <si>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</si>
  <si>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</si>
  <si>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</si>
  <si>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</si>
  <si>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</si>
  <si>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</si>
  <si>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</si>
  <si>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</si>
  <si>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</si>
  <si>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</si>
  <si>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Check Empty</t>
  </si>
  <si>
    <t>NVARCHAR(255)</t>
  </si>
  <si>
    <t>DATE</t>
  </si>
  <si>
    <t>INT</t>
  </si>
  <si>
    <t>DECIMAL(13,4) [Percentage]</t>
  </si>
  <si>
    <t>DECIMAL(13,2)</t>
  </si>
  <si>
    <t>No</t>
  </si>
  <si>
    <t>Just make sure it is clearly specified. If there is no Project Code, enter ‘None’.</t>
  </si>
  <si>
    <t>Yes</t>
  </si>
  <si>
    <t>range_start</t>
  </si>
  <si>
    <t>range_stop</t>
  </si>
  <si>
    <t>project_active_Start</t>
  </si>
  <si>
    <t>project_inactive_end</t>
  </si>
  <si>
    <t>relate_document</t>
  </si>
  <si>
    <t>F9</t>
  </si>
  <si>
    <t>F66</t>
  </si>
  <si>
    <t>col_number</t>
  </si>
  <si>
    <t>Sakura Project</t>
  </si>
  <si>
    <t>Type I - Small Project</t>
  </si>
  <si>
    <t>QA001</t>
  </si>
  <si>
    <t>XXXX</t>
  </si>
  <si>
    <t>Multi Project Code</t>
  </si>
  <si>
    <t>Rayong, Thailand</t>
  </si>
  <si>
    <t>Client 3</t>
  </si>
  <si>
    <t>MGT-1234</t>
  </si>
  <si>
    <t>200 Onshore</t>
  </si>
  <si>
    <t>200-1 Small EPC</t>
  </si>
  <si>
    <t>200-1-4 Plant Maintenance &amp; Modification</t>
  </si>
  <si>
    <t>Factory Plant</t>
  </si>
  <si>
    <t>Mr. Surachai Chobsaard</t>
  </si>
  <si>
    <t>Mr. Ramon P. Alcontin</t>
  </si>
  <si>
    <t>Mr. Jatuporn Luengluesak</t>
  </si>
  <si>
    <t xml:space="preserve">Mr. Chaithut Boonprakong </t>
  </si>
  <si>
    <t>Mr. Chakris Onto</t>
  </si>
  <si>
    <t>Mr. Surasak Sereepong</t>
  </si>
  <si>
    <t>QAM001</t>
  </si>
  <si>
    <t>QAE001</t>
  </si>
  <si>
    <t>QAP001</t>
  </si>
  <si>
    <t>QAC001</t>
  </si>
  <si>
    <t>Milestone Payment</t>
  </si>
  <si>
    <t>Retention Required</t>
  </si>
  <si>
    <t>Standard Rates Rev. 13, 7 June 2024</t>
  </si>
  <si>
    <t>Not consider</t>
  </si>
  <si>
    <t>Contract Effective Date: 15-Aug-2024</t>
  </si>
  <si>
    <t>Mechanical Completion: Mid of May-2025 (ED + 9 Months)</t>
  </si>
  <si>
    <t>Commissioning Completion: Mid of MaSep-2025 (ED + 13 Months)</t>
  </si>
  <si>
    <t>Provisional Acceptance (Final Documentation): Mid of Nov-2025 (ED + 15 Months)</t>
  </si>
  <si>
    <t>Not Require</t>
  </si>
  <si>
    <t>Require 5% Valid up to the Expiry of the Warranty / Period 120 Days</t>
  </si>
  <si>
    <t>Required / Period 12 Months from PAC (Max 36 Months)</t>
  </si>
  <si>
    <t>Require</t>
  </si>
  <si>
    <t>Require / Delay Completion of Work 0.1% per day, the aggregate amount limited to 10% of Total Contract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</si>
</sst>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5" formatCode="[$-409]mmm/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4" fontId="0" fillId="0" borderId="0" xfId="0" applyNumberFormat="1"/>
    <xf numFmtId="14" fontId="0" fillId="0" borderId="0" xfId="0" applyNumberFormat="1"/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49" fontId="0" fillId="0" borderId="0" xfId="0" applyNumberFormat="1"/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0" borderId="0" xfId="0" applyNumberFormat="1" applyAlignment="1">
      <alignment horizontal="center"/>
    </xf>
    <xf numFmtId="0" fontId="0" fillId="6" borderId="0" xfId="0" applyFill="1"/>
    <xf numFmtId="0" fontId="0" fillId="0" borderId="4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E9:L66"/>
  <sheetViews>
    <sheetView tabSelected="1" topLeftCell="E46" zoomScale="85" zoomScaleNormal="85" workbookViewId="0">
      <selection activeCell="F9" sqref="F9:F66"/>
    </sheetView>
  </sheetViews>
  <sheetFormatPr defaultRowHeight="15" x14ac:dyDescent="0.25"/>
  <cols>
    <col min="2" max="2" width="9.85546875" bestFit="1" customWidth="1"/>
    <col min="3" max="3" width="10.140625" bestFit="1" customWidth="1"/>
    <col min="4" max="4" width="8.85546875" bestFit="1" customWidth="1"/>
    <col min="5" max="5" width="25" bestFit="1" customWidth="1"/>
    <col min="6" max="6" width="93.28515625" customWidth="1"/>
    <col min="7" max="7" width="11.5703125" customWidth="1"/>
    <col min="8" max="8" width="11.42578125" bestFit="1" customWidth="1"/>
  </cols>
  <sheetData>
    <row r="9" spans="5:10" x14ac:dyDescent="0.25">
      <c r="E9" s="2"/>
      <c r="F9" t="s">
        <v>76</v>
      </c>
      <c r="G9" s="4" t="s">
        <v>0</v>
      </c>
      <c r="H9">
        <f>LEN(F9)</f>
        <v>14</v>
      </c>
    </row>
    <row r="10" spans="5:10" x14ac:dyDescent="0.25">
      <c r="E10" s="2"/>
      <c r="F10" t="s">
        <v>77</v>
      </c>
      <c r="G10" s="5" t="s">
        <v>1</v>
      </c>
    </row>
    <row r="11" spans="5:10" x14ac:dyDescent="0.25">
      <c r="E11" s="2"/>
      <c r="F11" t="s">
        <v>78</v>
      </c>
      <c r="G11" s="5" t="s">
        <v>2</v>
      </c>
    </row>
    <row r="12" spans="5:10" x14ac:dyDescent="0.25">
      <c r="E12" s="2"/>
      <c r="F12" t="s">
        <v>79</v>
      </c>
      <c r="G12" s="5" t="s">
        <v>3</v>
      </c>
    </row>
    <row r="13" spans="5:10" x14ac:dyDescent="0.25">
      <c r="E13" s="2"/>
      <c r="F13" t="s">
        <v>80</v>
      </c>
      <c r="G13" s="5" t="s">
        <v>4</v>
      </c>
    </row>
    <row r="14" spans="5:10" x14ac:dyDescent="0.25">
      <c r="E14" s="2"/>
      <c r="F14" t="s">
        <v>81</v>
      </c>
      <c r="G14" s="5" t="s">
        <v>5</v>
      </c>
    </row>
    <row r="15" spans="5:10" x14ac:dyDescent="0.25">
      <c r="E15" s="2"/>
      <c r="F15" s="3">
        <v>45536</v>
      </c>
      <c r="G15" s="5" t="s">
        <v>6</v>
      </c>
      <c r="J15" s="7"/>
    </row>
    <row r="16" spans="5:10" x14ac:dyDescent="0.25">
      <c r="F16" s="3">
        <v>46034</v>
      </c>
      <c r="G16" s="5" t="s">
        <v>7</v>
      </c>
    </row>
    <row r="17" spans="6:7" x14ac:dyDescent="0.25">
      <c r="F17" t="s">
        <v>82</v>
      </c>
      <c r="G17" s="5" t="s">
        <v>8</v>
      </c>
    </row>
    <row r="18" spans="6:7" x14ac:dyDescent="0.25">
      <c r="F18" s="3">
        <v>45550</v>
      </c>
      <c r="G18" s="5" t="s">
        <v>9</v>
      </c>
    </row>
    <row r="19" spans="6:7" x14ac:dyDescent="0.25">
      <c r="F19" t="s">
        <v>83</v>
      </c>
      <c r="G19" s="5" t="s">
        <v>10</v>
      </c>
    </row>
    <row r="20" spans="6:7" x14ac:dyDescent="0.25">
      <c r="F20" s="3">
        <v>45530</v>
      </c>
      <c r="G20" s="5" t="s">
        <v>11</v>
      </c>
    </row>
    <row r="21" spans="6:7" x14ac:dyDescent="0.25">
      <c r="F21" t="s">
        <v>84</v>
      </c>
      <c r="G21" s="5" t="s">
        <v>12</v>
      </c>
    </row>
    <row r="22" spans="6:7" x14ac:dyDescent="0.25">
      <c r="F22" t="s">
        <v>85</v>
      </c>
      <c r="G22" s="5" t="s">
        <v>13</v>
      </c>
    </row>
    <row r="23" spans="6:7" x14ac:dyDescent="0.25">
      <c r="F23" t="s">
        <v>86</v>
      </c>
      <c r="G23" s="5" t="s">
        <v>14</v>
      </c>
    </row>
    <row r="24" spans="6:7" x14ac:dyDescent="0.25">
      <c r="F24" t="s">
        <v>87</v>
      </c>
      <c r="G24" s="5" t="s">
        <v>15</v>
      </c>
    </row>
    <row r="25" spans="6:7" x14ac:dyDescent="0.25">
      <c r="F25" t="s">
        <v>88</v>
      </c>
      <c r="G25" s="5" t="s">
        <v>16</v>
      </c>
    </row>
    <row r="26" spans="6:7" x14ac:dyDescent="0.25">
      <c r="F26" t="s">
        <v>89</v>
      </c>
      <c r="G26" s="5" t="s">
        <v>17</v>
      </c>
    </row>
    <row r="27" spans="6:7" x14ac:dyDescent="0.25">
      <c r="F27" t="s">
        <v>18</v>
      </c>
      <c r="G27" s="5" t="s">
        <v>19</v>
      </c>
    </row>
    <row r="28" spans="6:7" x14ac:dyDescent="0.25">
      <c r="F28" t="s">
        <v>90</v>
      </c>
      <c r="G28" s="5" t="s">
        <v>20</v>
      </c>
    </row>
    <row r="29" spans="6:7" x14ac:dyDescent="0.25">
      <c r="F29" t="s">
        <v>91</v>
      </c>
      <c r="G29" s="5" t="s">
        <v>21</v>
      </c>
    </row>
    <row r="30" spans="6:7" x14ac:dyDescent="0.25">
      <c r="F30" t="s">
        <v>92</v>
      </c>
      <c r="G30" s="5" t="s">
        <v>22</v>
      </c>
    </row>
    <row r="31" spans="6:7" x14ac:dyDescent="0.25">
      <c r="F31" t="s">
        <v>93</v>
      </c>
      <c r="G31" s="5" t="s">
        <v>23</v>
      </c>
    </row>
    <row r="32" spans="6:7" x14ac:dyDescent="0.25">
      <c r="F32" t="s">
        <v>18</v>
      </c>
      <c r="G32" s="5" t="s">
        <v>24</v>
      </c>
    </row>
    <row r="33" spans="6:12" x14ac:dyDescent="0.25">
      <c r="F33" t="s">
        <v>94</v>
      </c>
      <c r="G33" s="5" t="s">
        <v>25</v>
      </c>
    </row>
    <row r="34" spans="6:12" x14ac:dyDescent="0.25">
      <c r="F34" t="s">
        <v>95</v>
      </c>
      <c r="G34" s="5" t="s">
        <v>26</v>
      </c>
    </row>
    <row r="35" spans="6:12" x14ac:dyDescent="0.25">
      <c r="F35" t="s">
        <v>96</v>
      </c>
      <c r="G35" s="5" t="s">
        <v>27</v>
      </c>
    </row>
    <row r="36" spans="6:12" x14ac:dyDescent="0.25">
      <c r="F36" t="s">
        <v>97</v>
      </c>
      <c r="G36" s="5" t="s">
        <v>28</v>
      </c>
    </row>
    <row r="37" spans="6:12" x14ac:dyDescent="0.25">
      <c r="F37" t="s">
        <v>18</v>
      </c>
      <c r="G37" s="5" t="s">
        <v>29</v>
      </c>
    </row>
    <row r="38" spans="6:12" x14ac:dyDescent="0.25">
      <c r="F38" t="s">
        <v>18</v>
      </c>
      <c r="G38" s="5" t="s">
        <v>30</v>
      </c>
    </row>
    <row r="39" spans="6:12" x14ac:dyDescent="0.25">
      <c r="F39" t="s">
        <v>18</v>
      </c>
      <c r="G39" s="5" t="s">
        <v>31</v>
      </c>
    </row>
    <row r="40" spans="6:12" x14ac:dyDescent="0.25">
      <c r="F40" t="s">
        <v>18</v>
      </c>
      <c r="G40" s="5" t="s">
        <v>32</v>
      </c>
    </row>
    <row r="41" spans="6:12" x14ac:dyDescent="0.25">
      <c r="F41" t="s">
        <v>18</v>
      </c>
      <c r="G41" s="5" t="s">
        <v>33</v>
      </c>
    </row>
    <row r="42" spans="6:12" x14ac:dyDescent="0.25">
      <c r="F42" t="s">
        <v>98</v>
      </c>
      <c r="G42" s="5" t="s">
        <v>34</v>
      </c>
    </row>
    <row r="43" spans="6:12" x14ac:dyDescent="0.25">
      <c r="F43" t="s">
        <v>99</v>
      </c>
      <c r="G43" s="5" t="s">
        <v>35</v>
      </c>
    </row>
    <row r="44" spans="6:12" x14ac:dyDescent="0.25">
      <c r="F44">
        <v>30</v>
      </c>
      <c r="G44" s="5" t="s">
        <v>36</v>
      </c>
    </row>
    <row r="45" spans="6:12" x14ac:dyDescent="0.25">
      <c r="F45" t="s">
        <v>100</v>
      </c>
      <c r="G45" s="5" t="s">
        <v>37</v>
      </c>
    </row>
    <row r="46" spans="6:12" x14ac:dyDescent="0.25">
      <c r="F46" t="s">
        <v>101</v>
      </c>
      <c r="G46" s="5" t="s">
        <v>38</v>
      </c>
    </row>
    <row r="47" spans="6:12" x14ac:dyDescent="0.25">
      <c r="F47">
        <v>0.03</v>
      </c>
      <c r="G47" s="5" t="s">
        <v>39</v>
      </c>
      <c r="I47" t="str" cm="1">
        <f t="array" aca="1" ref="I47" ca="1">IF(AND(ISNUMBER(H47),IFERROR(ROUND(H47,2)&lt;=99999999999.99,FALSE))=TRUE,"",_xlfn.REGEXEXTRACT(CELL("address",H47), "\$([A-Z]+)\$[0-9]+"))</f>
        <v>$H$47</v>
      </c>
      <c r="K47" s="6"/>
      <c r="L47" s="6"/>
    </row>
    <row r="48" spans="6:12" x14ac:dyDescent="0.25">
      <c r="F48">
        <v>0.02</v>
      </c>
      <c r="G48" s="5" t="s">
        <v>40</v>
      </c>
      <c r="I48" t="str" cm="1">
        <f t="array" aca="1" ref="I48" ca="1">IF(AND(ISNUMBER(H48),IFERROR(ROUND(H48,2)&lt;=99999999999.99,FALSE))=TRUE,"",_xlfn.REGEXEXTRACT(CELL("address",H48), "\$([A-Z]+)\$[0-9]+"))</f>
        <v>$H$48</v>
      </c>
    </row>
    <row r="49" spans="6:9" x14ac:dyDescent="0.25">
      <c r="F49">
        <v>0.01</v>
      </c>
      <c r="G49" s="5" t="s">
        <v>41</v>
      </c>
      <c r="I49" t="str" cm="1">
        <f t="array" aca="1" ref="I49" ca="1">IF(AND(ISNUMBER(H49),IFERROR(ROUND(H49,2)&lt;=99999999999.99,FALSE))=TRUE,"",_xlfn.REGEXEXTRACT(CELL("address",H49), "\$([A-Z]+)\$[0-9]+"))</f>
        <v>$H$49</v>
      </c>
    </row>
    <row r="50" spans="6:9" x14ac:dyDescent="0.25">
      <c r="F50">
        <v>1.1000000000000001E-3</v>
      </c>
      <c r="G50" s="5" t="s">
        <v>42</v>
      </c>
      <c r="I50" t="str" cm="1">
        <f t="array" aca="1" ref="I50" ca="1">IF(AND(ISNUMBER(H50),IFERROR(ROUND(H50,2)&lt;=99999999999.99,FALSE))=TRUE,"",_xlfn.REGEXEXTRACT(CELL("address",H50), "\$([A-Z]+)\$[0-9]+"))</f>
        <v>$H$50</v>
      </c>
    </row>
    <row r="51" spans="6:9" x14ac:dyDescent="0.25">
      <c r="F51">
        <v>1E-3</v>
      </c>
      <c r="G51" s="5" t="s">
        <v>43</v>
      </c>
      <c r="I51" t="str" cm="1">
        <f t="array" aca="1" ref="I51" ca="1">IF(AND(ISNUMBER(H51),IFERROR(ROUND(H51,2)&lt;=99999999999.99,FALSE))=TRUE,"",_xlfn.REGEXEXTRACT(CELL("address",H51), "\$([A-Z]+)\$[0-9]+"))</f>
        <v>$H$51</v>
      </c>
    </row>
    <row r="52" spans="6:9" x14ac:dyDescent="0.25">
      <c r="F52" t="s">
        <v>18</v>
      </c>
      <c r="G52" s="5" t="s">
        <v>44</v>
      </c>
    </row>
    <row r="53" spans="6:9" x14ac:dyDescent="0.25">
      <c r="F53">
        <v>35.700000000000003</v>
      </c>
      <c r="G53" s="5" t="s">
        <v>45</v>
      </c>
    </row>
    <row r="54" spans="6:9" x14ac:dyDescent="0.25">
      <c r="F54" t="s">
        <v>102</v>
      </c>
      <c r="G54" s="5" t="s">
        <v>46</v>
      </c>
    </row>
    <row r="55" spans="6:9" x14ac:dyDescent="0.25">
      <c r="F55" t="s">
        <v>103</v>
      </c>
      <c r="G55" s="5" t="s">
        <v>47</v>
      </c>
    </row>
    <row r="56" spans="6:9" x14ac:dyDescent="0.25">
      <c r="F56" t="s">
        <v>104</v>
      </c>
      <c r="G56" s="5" t="s">
        <v>48</v>
      </c>
    </row>
    <row r="57" spans="6:9" x14ac:dyDescent="0.25">
      <c r="F57" t="s">
        <v>105</v>
      </c>
      <c r="G57" s="5" t="s">
        <v>49</v>
      </c>
    </row>
    <row r="58" spans="6:9" x14ac:dyDescent="0.25">
      <c r="F58" t="s">
        <v>106</v>
      </c>
      <c r="G58" s="5" t="s">
        <v>50</v>
      </c>
    </row>
    <row r="59" spans="6:9" x14ac:dyDescent="0.25">
      <c r="F59" t="s">
        <v>106</v>
      </c>
      <c r="G59" s="5" t="s">
        <v>51</v>
      </c>
    </row>
    <row r="60" spans="6:9" x14ac:dyDescent="0.25">
      <c r="F60" t="s">
        <v>107</v>
      </c>
      <c r="G60" s="5" t="s">
        <v>52</v>
      </c>
    </row>
    <row r="61" spans="6:9" x14ac:dyDescent="0.25">
      <c r="F61" t="s">
        <v>108</v>
      </c>
      <c r="G61" s="5" t="s">
        <v>53</v>
      </c>
    </row>
    <row r="62" spans="6:9" x14ac:dyDescent="0.25">
      <c r="F62" t="s">
        <v>109</v>
      </c>
      <c r="G62" s="5" t="s">
        <v>54</v>
      </c>
    </row>
    <row r="63" spans="6:9" x14ac:dyDescent="0.25">
      <c r="F63" t="s">
        <v>109</v>
      </c>
      <c r="G63" s="5" t="s">
        <v>55</v>
      </c>
    </row>
    <row r="64" spans="6:9" x14ac:dyDescent="0.25">
      <c r="F64" t="s">
        <v>109</v>
      </c>
      <c r="G64" s="5" t="s">
        <v>56</v>
      </c>
    </row>
    <row r="65" spans="6:7" x14ac:dyDescent="0.25">
      <c r="F65" t="s">
        <v>109</v>
      </c>
      <c r="G65" s="5" t="s">
        <v>57</v>
      </c>
    </row>
    <row r="66" spans="6:7" x14ac:dyDescent="0.25">
      <c r="F66" t="s">
        <v>110</v>
      </c>
      <c r="G66" s="5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F9:I66"/>
  <sheetViews>
    <sheetView topLeftCell="A34" zoomScale="70" zoomScaleNormal="70" workbookViewId="0">
      <selection activeCell="F52" sqref="F52"/>
    </sheetView>
  </sheetViews>
  <sheetFormatPr defaultRowHeight="15" x14ac:dyDescent="0.25"/>
  <cols>
    <col min="8" max="8" width="13.85546875" customWidth="1"/>
  </cols>
  <sheetData>
    <row r="9" spans="6:9" x14ac:dyDescent="0.25">
      <c r="F9" t="str" cm="1">
        <f t="array" aca="1" ref="F9" ca="1">IFERROR(IF(OR('Raw Data'!F9="",LEN(TRIM('Raw Data'!F9))=0),_xlfn.REGEXEXTRACT(CELL("address",'Raw Data'!F9),"\$([A-Z]+)\$[0-9]+"),""),"")</f>
        <v/>
      </c>
      <c r="G9" s="4" t="s">
        <v>0</v>
      </c>
      <c r="H9" t="s">
        <v>59</v>
      </c>
      <c r="I9" s="11" t="b">
        <v>1</v>
      </c>
    </row>
    <row r="10" spans="6:9" x14ac:dyDescent="0.25">
      <c r="F10" t="str" cm="1">
        <f t="array" aca="1" ref="F10" ca="1">IFERROR(IF(OR('Raw Data'!F10="",LEN(TRIM('Raw Data'!F10))=0),_xlfn.REGEXEXTRACT(CELL("address",'Raw Data'!F10),"\$([A-Z]+)\$[0-9]+"),""),"")</f>
        <v/>
      </c>
      <c r="G10" s="5" t="s">
        <v>1</v>
      </c>
      <c r="H10" t="s">
        <v>59</v>
      </c>
      <c r="I10" s="11" t="b">
        <v>1</v>
      </c>
    </row>
    <row r="11" spans="6:9" x14ac:dyDescent="0.25">
      <c r="F11" t="str" cm="1">
        <f t="array" aca="1" ref="F11" ca="1">IFERROR(IF(OR('Raw Data'!F11="",LEN(TRIM('Raw Data'!F11))=0),_xlfn.REGEXEXTRACT(CELL("address",'Raw Data'!F11),"\$([A-Z]+)\$[0-9]+"),""),"")</f>
        <v/>
      </c>
      <c r="G11" s="5" t="s">
        <v>2</v>
      </c>
      <c r="H11" t="s">
        <v>59</v>
      </c>
      <c r="I11" s="11" t="b">
        <v>1</v>
      </c>
    </row>
    <row r="12" spans="6:9" x14ac:dyDescent="0.25">
      <c r="F12" t="str" cm="1">
        <f t="array" aca="1" ref="F12" ca="1">IFERROR(IF(OR('Raw Data'!F12="",LEN(TRIM('Raw Data'!F12))=0),_xlfn.REGEXEXTRACT(CELL("address",'Raw Data'!F12),"\$([A-Z]+)\$[0-9]+"),""),"")</f>
        <v/>
      </c>
      <c r="G12" s="5" t="s">
        <v>3</v>
      </c>
      <c r="H12" t="s">
        <v>59</v>
      </c>
      <c r="I12" s="11" t="b">
        <v>1</v>
      </c>
    </row>
    <row r="13" spans="6:9" x14ac:dyDescent="0.25">
      <c r="F13" t="str" cm="1">
        <f t="array" aca="1" ref="F13" ca="1">IFERROR(IF(OR('Raw Data'!F13="",LEN(TRIM('Raw Data'!F13))=0),_xlfn.REGEXEXTRACT(CELL("address",'Raw Data'!F13),"\$([A-Z]+)\$[0-9]+"),""),"")</f>
        <v/>
      </c>
      <c r="G13" s="5" t="s">
        <v>4</v>
      </c>
      <c r="H13" t="s">
        <v>59</v>
      </c>
      <c r="I13" s="11" t="b">
        <v>1</v>
      </c>
    </row>
    <row r="14" spans="6:9" x14ac:dyDescent="0.25">
      <c r="F14" t="str" cm="1">
        <f t="array" aca="1" ref="F14" ca="1">IFERROR(IF(OR('Raw Data'!F14="",LEN(TRIM('Raw Data'!F14))=0),_xlfn.REGEXEXTRACT(CELL("address",'Raw Data'!F14),"\$([A-Z]+)\$[0-9]+"),""),"")</f>
        <v/>
      </c>
      <c r="G14" s="5" t="s">
        <v>5</v>
      </c>
      <c r="H14" t="s">
        <v>59</v>
      </c>
      <c r="I14" s="11" t="b">
        <v>1</v>
      </c>
    </row>
    <row r="15" spans="6:9" x14ac:dyDescent="0.25">
      <c r="F15" t="str" cm="1">
        <f t="array" aca="1" ref="F15" ca="1">IFERROR(IF(OR('Raw Data'!F15="",LEN(TRIM('Raw Data'!F15))=0),_xlfn.REGEXEXTRACT(CELL("address",'Raw Data'!F15),"\$([A-Z]+)\$[0-9]+"),""),"")</f>
        <v/>
      </c>
      <c r="G15" s="5" t="s">
        <v>6</v>
      </c>
      <c r="H15" t="s">
        <v>59</v>
      </c>
      <c r="I15" s="11" t="b">
        <v>1</v>
      </c>
    </row>
    <row r="16" spans="6:9" x14ac:dyDescent="0.25">
      <c r="F16" t="str" cm="1">
        <f t="array" aca="1" ref="F16" ca="1">IFERROR(IF(OR('Raw Data'!F16="",LEN(TRIM('Raw Data'!F16))=0),_xlfn.REGEXEXTRACT(CELL("address",'Raw Data'!F16),"\$([A-Z]+)\$[0-9]+"),""),"")</f>
        <v/>
      </c>
      <c r="G16" s="5" t="s">
        <v>7</v>
      </c>
      <c r="H16" t="s">
        <v>59</v>
      </c>
      <c r="I16" s="11" t="b">
        <v>1</v>
      </c>
    </row>
    <row r="17" spans="6:9" x14ac:dyDescent="0.25">
      <c r="F17" t="str" cm="1">
        <f t="array" aca="1" ref="F17" ca="1">IFERROR(IF(OR('Raw Data'!F17="",LEN(TRIM('Raw Data'!F17))=0),_xlfn.REGEXEXTRACT(CELL("address",'Raw Data'!F17),"\$([A-Z]+)\$[0-9]+"),""),"")</f>
        <v/>
      </c>
      <c r="G17" s="5" t="s">
        <v>8</v>
      </c>
      <c r="H17" t="s">
        <v>59</v>
      </c>
      <c r="I17" s="11" t="b">
        <v>1</v>
      </c>
    </row>
    <row r="18" spans="6:9" x14ac:dyDescent="0.25">
      <c r="F18" t="str" cm="1">
        <f t="array" aca="1" ref="F18" ca="1">IFERROR(IF(OR('Raw Data'!F18="",LEN(TRIM('Raw Data'!F18))=0),_xlfn.REGEXEXTRACT(CELL("address",'Raw Data'!F18),"\$([A-Z]+)\$[0-9]+"),""),"")</f>
        <v/>
      </c>
      <c r="G18" s="5" t="s">
        <v>9</v>
      </c>
      <c r="H18" t="s">
        <v>59</v>
      </c>
      <c r="I18" s="11" t="b">
        <v>1</v>
      </c>
    </row>
    <row r="19" spans="6:9" x14ac:dyDescent="0.25">
      <c r="F19" t="str" cm="1">
        <f t="array" aca="1" ref="F19" ca="1">IFERROR(IF(OR('Raw Data'!F19="",LEN(TRIM('Raw Data'!F19))=0),_xlfn.REGEXEXTRACT(CELL("address",'Raw Data'!F19),"\$([A-Z]+)\$[0-9]+"),""),"")</f>
        <v/>
      </c>
      <c r="G19" s="5" t="s">
        <v>10</v>
      </c>
      <c r="H19" t="s">
        <v>59</v>
      </c>
      <c r="I19" s="11" t="b">
        <v>1</v>
      </c>
    </row>
    <row r="20" spans="6:9" x14ac:dyDescent="0.25">
      <c r="F20" t="str" cm="1">
        <f t="array" aca="1" ref="F20" ca="1">IFERROR(IF(OR('Raw Data'!F20="",LEN(TRIM('Raw Data'!F20))=0),_xlfn.REGEXEXTRACT(CELL("address",'Raw Data'!F20),"\$([A-Z]+)\$[0-9]+"),""),"")</f>
        <v/>
      </c>
      <c r="G20" s="5" t="s">
        <v>11</v>
      </c>
      <c r="H20" t="s">
        <v>59</v>
      </c>
      <c r="I20" s="11" t="b">
        <v>1</v>
      </c>
    </row>
    <row r="21" spans="6:9" x14ac:dyDescent="0.25">
      <c r="F21" t="str" cm="1">
        <f t="array" aca="1" ref="F21" ca="1">IFERROR(IF(OR('Raw Data'!F21="",LEN(TRIM('Raw Data'!F21))=0),_xlfn.REGEXEXTRACT(CELL("address",'Raw Data'!F21),"\$([A-Z]+)\$[0-9]+"),""),"")</f>
        <v/>
      </c>
      <c r="G21" s="5" t="s">
        <v>12</v>
      </c>
      <c r="H21" t="s">
        <v>59</v>
      </c>
      <c r="I21" s="11" t="b">
        <v>1</v>
      </c>
    </row>
    <row r="22" spans="6:9" x14ac:dyDescent="0.25">
      <c r="F22" t="str" cm="1">
        <f t="array" aca="1" ref="F22" ca="1">IFERROR(IF(OR('Raw Data'!F22="",LEN(TRIM('Raw Data'!F22))=0),_xlfn.REGEXEXTRACT(CELL("address",'Raw Data'!F22),"\$([A-Z]+)\$[0-9]+"),""),"")</f>
        <v/>
      </c>
      <c r="G22" s="5" t="s">
        <v>13</v>
      </c>
      <c r="H22" t="s">
        <v>59</v>
      </c>
      <c r="I22" s="11" t="b">
        <v>1</v>
      </c>
    </row>
    <row r="23" spans="6:9" x14ac:dyDescent="0.25">
      <c r="F23" t="str" cm="1">
        <f t="array" aca="1" ref="F23" ca="1">IFERROR(IF(OR('Raw Data'!F23="",LEN(TRIM('Raw Data'!F23))=0),_xlfn.REGEXEXTRACT(CELL("address",'Raw Data'!F23),"\$([A-Z]+)\$[0-9]+"),""),"")</f>
        <v/>
      </c>
      <c r="G23" s="5" t="s">
        <v>14</v>
      </c>
      <c r="H23" t="s">
        <v>59</v>
      </c>
      <c r="I23" s="11" t="b">
        <v>1</v>
      </c>
    </row>
    <row r="24" spans="6:9" x14ac:dyDescent="0.25">
      <c r="F24" t="str" cm="1">
        <f t="array" aca="1" ref="F24" ca="1">IFERROR(IF(OR('Raw Data'!F24="",LEN(TRIM('Raw Data'!F24))=0),_xlfn.REGEXEXTRACT(CELL("address",'Raw Data'!F24),"\$([A-Z]+)\$[0-9]+"),""),"")</f>
        <v/>
      </c>
      <c r="G24" s="5" t="s">
        <v>15</v>
      </c>
      <c r="H24" t="s">
        <v>59</v>
      </c>
      <c r="I24" s="11" t="b">
        <v>1</v>
      </c>
    </row>
    <row r="25" spans="6:9" x14ac:dyDescent="0.25">
      <c r="F25" t="str" cm="1">
        <f t="array" aca="1" ref="F25" ca="1">IFERROR(IF(OR('Raw Data'!F25="",LEN(TRIM('Raw Data'!F25))=0),_xlfn.REGEXEXTRACT(CELL("address",'Raw Data'!F25),"\$([A-Z]+)\$[0-9]+"),""),"")</f>
        <v/>
      </c>
      <c r="G25" s="5" t="s">
        <v>16</v>
      </c>
      <c r="H25" t="s">
        <v>59</v>
      </c>
      <c r="I25" s="11" t="b">
        <v>1</v>
      </c>
    </row>
    <row r="26" spans="6:9" x14ac:dyDescent="0.25">
      <c r="F26" t="str" cm="1">
        <f t="array" aca="1" ref="F26" ca="1">IFERROR(IF(OR('Raw Data'!F26="",LEN(TRIM('Raw Data'!F26))=0),_xlfn.REGEXEXTRACT(CELL("address",'Raw Data'!F26),"\$([A-Z]+)\$[0-9]+"),""),"")</f>
        <v/>
      </c>
      <c r="G26" s="5" t="s">
        <v>17</v>
      </c>
      <c r="H26" t="s">
        <v>59</v>
      </c>
      <c r="I26" s="11" t="b">
        <v>1</v>
      </c>
    </row>
    <row r="27" spans="6:9" x14ac:dyDescent="0.25">
      <c r="F27" t="str" cm="1">
        <f t="array" aca="1" ref="F27" ca="1">IFERROR(IF(OR('Raw Data'!F27="",LEN(TRIM('Raw Data'!F27))=0),_xlfn.REGEXEXTRACT(CELL("address",'Raw Data'!F27),"\$([A-Z]+)\$[0-9]+"),""),"")</f>
        <v/>
      </c>
      <c r="G27" s="5" t="s">
        <v>19</v>
      </c>
      <c r="H27" t="s">
        <v>59</v>
      </c>
      <c r="I27" s="11" t="b">
        <v>1</v>
      </c>
    </row>
    <row r="28" spans="6:9" x14ac:dyDescent="0.25">
      <c r="F28" t="str" cm="1">
        <f t="array" aca="1" ref="F28" ca="1">IFERROR(IF(OR('Raw Data'!F28="",LEN(TRIM('Raw Data'!F28))=0),_xlfn.REGEXEXTRACT(CELL("address",'Raw Data'!F28),"\$([A-Z]+)\$[0-9]+"),""),"")</f>
        <v/>
      </c>
      <c r="G28" s="5" t="s">
        <v>20</v>
      </c>
      <c r="H28" t="s">
        <v>59</v>
      </c>
      <c r="I28" s="11" t="b">
        <v>1</v>
      </c>
    </row>
    <row r="29" spans="6:9" x14ac:dyDescent="0.25">
      <c r="F29" t="str" cm="1">
        <f t="array" aca="1" ref="F29" ca="1">IFERROR(IF(OR('Raw Data'!F29="",LEN(TRIM('Raw Data'!F29))=0),_xlfn.REGEXEXTRACT(CELL("address",'Raw Data'!F29),"\$([A-Z]+)\$[0-9]+"),""),"")</f>
        <v/>
      </c>
      <c r="G29" s="5" t="s">
        <v>21</v>
      </c>
      <c r="H29" t="s">
        <v>59</v>
      </c>
      <c r="I29" s="11" t="b">
        <v>1</v>
      </c>
    </row>
    <row r="30" spans="6:9" x14ac:dyDescent="0.25">
      <c r="F30" t="str" cm="1">
        <f t="array" aca="1" ref="F30" ca="1">IFERROR(IF(OR('Raw Data'!F30="",LEN(TRIM('Raw Data'!F30))=0),_xlfn.REGEXEXTRACT(CELL("address",'Raw Data'!F30),"\$([A-Z]+)\$[0-9]+"),""),"")</f>
        <v/>
      </c>
      <c r="G30" s="5" t="s">
        <v>22</v>
      </c>
      <c r="H30" t="s">
        <v>59</v>
      </c>
      <c r="I30" s="11" t="b">
        <v>1</v>
      </c>
    </row>
    <row r="31" spans="6:9" x14ac:dyDescent="0.25">
      <c r="F31" t="str" cm="1">
        <f t="array" aca="1" ref="F31" ca="1">IFERROR(IF(OR('Raw Data'!F31="",LEN(TRIM('Raw Data'!F31))=0),_xlfn.REGEXEXTRACT(CELL("address",'Raw Data'!F31),"\$([A-Z]+)\$[0-9]+"),""),"")</f>
        <v/>
      </c>
      <c r="G31" s="5" t="s">
        <v>23</v>
      </c>
      <c r="H31" t="s">
        <v>59</v>
      </c>
      <c r="I31" s="11" t="b">
        <v>1</v>
      </c>
    </row>
    <row r="32" spans="6:9" x14ac:dyDescent="0.25">
      <c r="F32" t="str" cm="1">
        <f t="array" aca="1" ref="F32" ca="1">IFERROR(IF(OR('Raw Data'!F32="",LEN(TRIM('Raw Data'!F32))=0),_xlfn.REGEXEXTRACT(CELL("address",'Raw Data'!F32),"\$([A-Z]+)\$[0-9]+"),""),"")</f>
        <v/>
      </c>
      <c r="G32" s="5" t="s">
        <v>24</v>
      </c>
      <c r="H32" t="s">
        <v>59</v>
      </c>
      <c r="I32" s="11" t="b">
        <v>1</v>
      </c>
    </row>
    <row r="33" spans="6:9" x14ac:dyDescent="0.25">
      <c r="F33" t="str" cm="1">
        <f t="array" aca="1" ref="F33" ca="1">IFERROR(IF(OR('Raw Data'!F33="",LEN(TRIM('Raw Data'!F33))=0),_xlfn.REGEXEXTRACT(CELL("address",'Raw Data'!F33),"\$([A-Z]+)\$[0-9]+"),""),"")</f>
        <v/>
      </c>
      <c r="G33" s="5" t="s">
        <v>25</v>
      </c>
      <c r="H33" t="s">
        <v>59</v>
      </c>
      <c r="I33" s="11" t="b">
        <v>1</v>
      </c>
    </row>
    <row r="34" spans="6:9" x14ac:dyDescent="0.25">
      <c r="F34" t="str" cm="1">
        <f t="array" aca="1" ref="F34" ca="1">IFERROR(IF(OR('Raw Data'!F34="",LEN(TRIM('Raw Data'!F34))=0),_xlfn.REGEXEXTRACT(CELL("address",'Raw Data'!F34),"\$([A-Z]+)\$[0-9]+"),""),"")</f>
        <v/>
      </c>
      <c r="G34" s="5" t="s">
        <v>26</v>
      </c>
      <c r="H34" t="s">
        <v>59</v>
      </c>
      <c r="I34" s="11" t="b">
        <v>1</v>
      </c>
    </row>
    <row r="35" spans="6:9" x14ac:dyDescent="0.25">
      <c r="F35" t="str" cm="1">
        <f t="array" aca="1" ref="F35" ca="1">IFERROR(IF(OR('Raw Data'!F35="",LEN(TRIM('Raw Data'!F35))=0),_xlfn.REGEXEXTRACT(CELL("address",'Raw Data'!F35),"\$([A-Z]+)\$[0-9]+"),""),"")</f>
        <v/>
      </c>
      <c r="G35" s="5" t="s">
        <v>27</v>
      </c>
      <c r="H35" t="s">
        <v>59</v>
      </c>
      <c r="I35" s="11" t="b">
        <v>1</v>
      </c>
    </row>
    <row r="36" spans="6:9" x14ac:dyDescent="0.25">
      <c r="F36" t="str" cm="1">
        <f t="array" aca="1" ref="F36" ca="1">IFERROR(IF(OR('Raw Data'!F36="",LEN(TRIM('Raw Data'!F36))=0),_xlfn.REGEXEXTRACT(CELL("address",'Raw Data'!F36),"\$([A-Z]+)\$[0-9]+"),""),"")</f>
        <v/>
      </c>
      <c r="G36" s="5" t="s">
        <v>28</v>
      </c>
      <c r="H36" t="s">
        <v>59</v>
      </c>
      <c r="I36" s="11" t="b">
        <v>1</v>
      </c>
    </row>
    <row r="37" spans="6:9" x14ac:dyDescent="0.25">
      <c r="F37" t="str" cm="1">
        <f t="array" aca="1" ref="F37" ca="1">IFERROR(IF(OR('Raw Data'!F37="",LEN(TRIM('Raw Data'!F37))=0),_xlfn.REGEXEXTRACT(CELL("address",'Raw Data'!F37),"\$([A-Z]+)\$[0-9]+"),""),"")</f>
        <v/>
      </c>
      <c r="G37" s="5" t="s">
        <v>29</v>
      </c>
      <c r="H37" t="s">
        <v>59</v>
      </c>
      <c r="I37" s="11" t="b">
        <v>1</v>
      </c>
    </row>
    <row r="38" spans="6:9" x14ac:dyDescent="0.25">
      <c r="F38" t="str" cm="1">
        <f t="array" aca="1" ref="F38" ca="1">IFERROR(IF(OR('Raw Data'!F38="",LEN(TRIM('Raw Data'!F38))=0),_xlfn.REGEXEXTRACT(CELL("address",'Raw Data'!F38),"\$([A-Z]+)\$[0-9]+"),""),"")</f>
        <v/>
      </c>
      <c r="G38" s="5" t="s">
        <v>30</v>
      </c>
      <c r="H38" t="s">
        <v>59</v>
      </c>
      <c r="I38" s="11" t="b">
        <v>1</v>
      </c>
    </row>
    <row r="39" spans="6:9" x14ac:dyDescent="0.25">
      <c r="F39" t="str" cm="1">
        <f t="array" aca="1" ref="F39" ca="1">IFERROR(IF(OR('Raw Data'!F39="",LEN(TRIM('Raw Data'!F39))=0),_xlfn.REGEXEXTRACT(CELL("address",'Raw Data'!F39),"\$([A-Z]+)\$[0-9]+"),""),"")</f>
        <v/>
      </c>
      <c r="G39" s="5" t="s">
        <v>31</v>
      </c>
      <c r="H39" t="s">
        <v>59</v>
      </c>
      <c r="I39" s="11" t="b">
        <v>1</v>
      </c>
    </row>
    <row r="40" spans="6:9" x14ac:dyDescent="0.25">
      <c r="F40" t="str" cm="1">
        <f t="array" aca="1" ref="F40" ca="1">IFERROR(IF(OR('Raw Data'!F40="",LEN(TRIM('Raw Data'!F40))=0),_xlfn.REGEXEXTRACT(CELL("address",'Raw Data'!F40),"\$([A-Z]+)\$[0-9]+"),""),"")</f>
        <v/>
      </c>
      <c r="G40" s="5" t="s">
        <v>32</v>
      </c>
      <c r="H40" t="s">
        <v>59</v>
      </c>
      <c r="I40" s="11" t="b">
        <v>1</v>
      </c>
    </row>
    <row r="41" spans="6:9" x14ac:dyDescent="0.25">
      <c r="F41" t="str" cm="1">
        <f t="array" aca="1" ref="F41" ca="1">IFERROR(IF(OR('Raw Data'!F41="",LEN(TRIM('Raw Data'!F41))=0),_xlfn.REGEXEXTRACT(CELL("address",'Raw Data'!F41),"\$([A-Z]+)\$[0-9]+"),""),"")</f>
        <v/>
      </c>
      <c r="G41" s="5" t="s">
        <v>33</v>
      </c>
      <c r="H41" t="s">
        <v>59</v>
      </c>
      <c r="I41" s="11" t="b">
        <v>1</v>
      </c>
    </row>
    <row r="42" spans="6:9" x14ac:dyDescent="0.25">
      <c r="F42" t="str" cm="1">
        <f t="array" aca="1" ref="F42" ca="1">IFERROR(IF(OR('Raw Data'!F42="",LEN(TRIM('Raw Data'!F42))=0),_xlfn.REGEXEXTRACT(CELL("address",'Raw Data'!F42),"\$([A-Z]+)\$[0-9]+"),""),"")</f>
        <v/>
      </c>
      <c r="G42" s="5" t="s">
        <v>34</v>
      </c>
      <c r="H42" t="s">
        <v>59</v>
      </c>
      <c r="I42" s="11" t="b">
        <v>1</v>
      </c>
    </row>
    <row r="43" spans="6:9" x14ac:dyDescent="0.25">
      <c r="F43" t="str" cm="1">
        <f t="array" aca="1" ref="F43" ca="1">IFERROR(IF(OR('Raw Data'!F43="",LEN(TRIM('Raw Data'!F43))=0),_xlfn.REGEXEXTRACT(CELL("address",'Raw Data'!F43),"\$([A-Z]+)\$[0-9]+"),""),"")</f>
        <v/>
      </c>
      <c r="G43" s="5" t="s">
        <v>35</v>
      </c>
      <c r="H43" t="s">
        <v>59</v>
      </c>
      <c r="I43" s="11" t="b">
        <v>1</v>
      </c>
    </row>
    <row r="44" spans="6:9" x14ac:dyDescent="0.25">
      <c r="F44" t="str" cm="1">
        <f t="array" aca="1" ref="F44" ca="1">IFERROR(IF(OR('Raw Data'!F44="",LEN(TRIM('Raw Data'!F44))=0),_xlfn.REGEXEXTRACT(CELL("address",'Raw Data'!F44),"\$([A-Z]+)\$[0-9]+"),""),"")</f>
        <v/>
      </c>
      <c r="G44" s="5" t="s">
        <v>36</v>
      </c>
      <c r="H44" t="s">
        <v>59</v>
      </c>
      <c r="I44" s="11" t="b">
        <v>1</v>
      </c>
    </row>
    <row r="45" spans="6:9" x14ac:dyDescent="0.25">
      <c r="F45" t="str" cm="1">
        <f t="array" aca="1" ref="F45" ca="1">IFERROR(IF(OR('Raw Data'!F45="",LEN(TRIM('Raw Data'!F45))=0),_xlfn.REGEXEXTRACT(CELL("address",'Raw Data'!F45),"\$([A-Z]+)\$[0-9]+"),""),"")</f>
        <v/>
      </c>
      <c r="G45" s="5" t="s">
        <v>37</v>
      </c>
      <c r="H45" t="s">
        <v>59</v>
      </c>
      <c r="I45" s="11" t="b">
        <v>1</v>
      </c>
    </row>
    <row r="46" spans="6:9" x14ac:dyDescent="0.25">
      <c r="F46" t="str" cm="1">
        <f t="array" aca="1" ref="F46" ca="1">IFERROR(IF(OR('Raw Data'!F46="",LEN(TRIM('Raw Data'!F46))=0),_xlfn.REGEXEXTRACT(CELL("address",'Raw Data'!F46),"\$([A-Z]+)\$[0-9]+"),""),"")</f>
        <v/>
      </c>
      <c r="G46" s="5" t="s">
        <v>38</v>
      </c>
      <c r="H46" t="s">
        <v>59</v>
      </c>
      <c r="I46" s="11" t="b">
        <v>1</v>
      </c>
    </row>
    <row r="47" spans="6:9" x14ac:dyDescent="0.25">
      <c r="G47" s="5" t="s">
        <v>39</v>
      </c>
      <c r="H47" t="s">
        <v>59</v>
      </c>
      <c r="I47" s="11" t="b">
        <v>0</v>
      </c>
    </row>
    <row r="48" spans="6:9" x14ac:dyDescent="0.25">
      <c r="G48" s="5" t="s">
        <v>40</v>
      </c>
      <c r="H48" t="s">
        <v>59</v>
      </c>
      <c r="I48" s="11" t="b">
        <v>0</v>
      </c>
    </row>
    <row r="49" spans="6:9" x14ac:dyDescent="0.25">
      <c r="G49" s="5" t="s">
        <v>41</v>
      </c>
      <c r="H49" t="s">
        <v>59</v>
      </c>
      <c r="I49" s="11" t="b">
        <v>0</v>
      </c>
    </row>
    <row r="50" spans="6:9" x14ac:dyDescent="0.25">
      <c r="G50" s="5" t="s">
        <v>42</v>
      </c>
      <c r="H50" t="s">
        <v>59</v>
      </c>
      <c r="I50" s="11" t="b">
        <v>0</v>
      </c>
    </row>
    <row r="51" spans="6:9" x14ac:dyDescent="0.25">
      <c r="G51" s="5" t="s">
        <v>43</v>
      </c>
      <c r="H51" t="s">
        <v>59</v>
      </c>
      <c r="I51" s="11" t="b">
        <v>0</v>
      </c>
    </row>
    <row r="52" spans="6:9" x14ac:dyDescent="0.25">
      <c r="F52" t="str" cm="1">
        <f t="array" aca="1" ref="F52" ca="1">IFERROR(IF(OR('Raw Data'!F52="",LEN(TRIM('Raw Data'!F52))=0),_xlfn.REGEXEXTRACT(CELL("address",'Raw Data'!F52),"\$([A-Z]+)\$[0-9]+"),""),"")</f>
        <v/>
      </c>
      <c r="G52" s="5" t="s">
        <v>44</v>
      </c>
      <c r="H52" t="s">
        <v>59</v>
      </c>
      <c r="I52" s="11" t="b">
        <v>1</v>
      </c>
    </row>
    <row r="53" spans="6:9" x14ac:dyDescent="0.25">
      <c r="F53" t="str" cm="1">
        <f t="array" aca="1" ref="F53" ca="1">IFERROR(IF(OR('Raw Data'!F53="",LEN(TRIM('Raw Data'!F53))=0),_xlfn.REGEXEXTRACT(CELL("address",'Raw Data'!F53),"\$([A-Z]+)\$[0-9]+"),""),"")</f>
        <v/>
      </c>
      <c r="G53" s="5" t="s">
        <v>45</v>
      </c>
      <c r="H53" t="s">
        <v>59</v>
      </c>
      <c r="I53" s="11" t="b">
        <v>1</v>
      </c>
    </row>
    <row r="54" spans="6:9" x14ac:dyDescent="0.25">
      <c r="F54" t="str" cm="1">
        <f t="array" aca="1" ref="F54" ca="1">IFERROR(IF(OR('Raw Data'!F54="",LEN(TRIM('Raw Data'!F54))=0),_xlfn.REGEXEXTRACT(CELL("address",'Raw Data'!F54),"\$([A-Z]+)\$[0-9]+"),""),"")</f>
        <v/>
      </c>
      <c r="G54" s="5" t="s">
        <v>46</v>
      </c>
      <c r="H54" t="s">
        <v>59</v>
      </c>
      <c r="I54" s="11" t="b">
        <v>1</v>
      </c>
    </row>
    <row r="55" spans="6:9" x14ac:dyDescent="0.25">
      <c r="F55" t="str" cm="1">
        <f t="array" aca="1" ref="F55" ca="1">IFERROR(IF(OR('Raw Data'!F55="",LEN(TRIM('Raw Data'!F55))=0),_xlfn.REGEXEXTRACT(CELL("address",'Raw Data'!F55),"\$([A-Z]+)\$[0-9]+"),""),"")</f>
        <v/>
      </c>
      <c r="G55" s="5" t="s">
        <v>47</v>
      </c>
      <c r="H55" t="s">
        <v>59</v>
      </c>
      <c r="I55" s="11" t="b">
        <v>1</v>
      </c>
    </row>
    <row r="56" spans="6:9" x14ac:dyDescent="0.25">
      <c r="F56" t="str" cm="1">
        <f t="array" aca="1" ref="F56" ca="1">IFERROR(IF(OR('Raw Data'!F56="",LEN(TRIM('Raw Data'!F56))=0),_xlfn.REGEXEXTRACT(CELL("address",'Raw Data'!F56),"\$([A-Z]+)\$[0-9]+"),""),"")</f>
        <v/>
      </c>
      <c r="G56" s="5" t="s">
        <v>48</v>
      </c>
      <c r="H56" t="s">
        <v>59</v>
      </c>
      <c r="I56" s="11" t="b">
        <v>1</v>
      </c>
    </row>
    <row r="57" spans="6:9" x14ac:dyDescent="0.25">
      <c r="F57" t="str" cm="1">
        <f t="array" aca="1" ref="F57" ca="1">IFERROR(IF(OR('Raw Data'!F57="",LEN(TRIM('Raw Data'!F57))=0),_xlfn.REGEXEXTRACT(CELL("address",'Raw Data'!F57),"\$([A-Z]+)\$[0-9]+"),""),"")</f>
        <v/>
      </c>
      <c r="G57" s="5" t="s">
        <v>49</v>
      </c>
      <c r="H57" t="s">
        <v>59</v>
      </c>
      <c r="I57" s="11" t="b">
        <v>1</v>
      </c>
    </row>
    <row r="58" spans="6:9" x14ac:dyDescent="0.25">
      <c r="G58" s="5" t="s">
        <v>50</v>
      </c>
      <c r="H58" t="s">
        <v>59</v>
      </c>
      <c r="I58" s="11" t="b">
        <v>0</v>
      </c>
    </row>
    <row r="59" spans="6:9" x14ac:dyDescent="0.25">
      <c r="G59" s="5" t="s">
        <v>51</v>
      </c>
      <c r="H59" t="s">
        <v>59</v>
      </c>
      <c r="I59" s="11" t="b">
        <v>0</v>
      </c>
    </row>
    <row r="60" spans="6:9" x14ac:dyDescent="0.25">
      <c r="G60" s="5" t="s">
        <v>52</v>
      </c>
      <c r="H60" t="s">
        <v>59</v>
      </c>
      <c r="I60" s="11" t="b">
        <v>0</v>
      </c>
    </row>
    <row r="61" spans="6:9" x14ac:dyDescent="0.25">
      <c r="G61" s="5" t="s">
        <v>53</v>
      </c>
      <c r="H61" t="s">
        <v>59</v>
      </c>
      <c r="I61" s="11" t="b">
        <v>0</v>
      </c>
    </row>
    <row r="62" spans="6:9" x14ac:dyDescent="0.25">
      <c r="G62" s="5" t="s">
        <v>54</v>
      </c>
      <c r="H62" t="s">
        <v>59</v>
      </c>
      <c r="I62" s="11" t="b">
        <v>0</v>
      </c>
    </row>
    <row r="63" spans="6:9" x14ac:dyDescent="0.25">
      <c r="G63" s="5" t="s">
        <v>55</v>
      </c>
      <c r="H63" t="s">
        <v>59</v>
      </c>
      <c r="I63" s="11" t="b">
        <v>0</v>
      </c>
    </row>
    <row r="64" spans="6:9" x14ac:dyDescent="0.25">
      <c r="G64" s="5" t="s">
        <v>56</v>
      </c>
      <c r="H64" t="s">
        <v>59</v>
      </c>
      <c r="I64" s="11" t="b">
        <v>0</v>
      </c>
    </row>
    <row r="65" spans="7:9" x14ac:dyDescent="0.25">
      <c r="G65" s="5" t="s">
        <v>57</v>
      </c>
      <c r="H65" t="s">
        <v>59</v>
      </c>
      <c r="I65" s="11" t="b">
        <v>0</v>
      </c>
    </row>
    <row r="66" spans="7:9" x14ac:dyDescent="0.25">
      <c r="G66" s="5" t="s">
        <v>58</v>
      </c>
      <c r="H66" t="s">
        <v>59</v>
      </c>
      <c r="I66" s="1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dimension ref="B1:H299"/>
  <sheetViews>
    <sheetView topLeftCell="A40" zoomScale="70" zoomScaleNormal="70" workbookViewId="0">
      <selection activeCell="H11" sqref="H11"/>
    </sheetView>
  </sheetViews>
  <sheetFormatPr defaultRowHeight="15" x14ac:dyDescent="0.25"/>
  <cols>
    <col min="8" max="8" width="27.85546875" bestFit="1" customWidth="1"/>
  </cols>
  <sheetData>
    <row r="1" spans="2:8" x14ac:dyDescent="0.25">
      <c r="B1" t="str" cm="1">
        <f t="array" aca="1" ref="B1" ca="1">IF('Raw Data'!B1 = "","",IF(AND(LEN('Raw Data'!B1) &lt; 255,LEN('Raw Data'!B1)&gt; 0),"",_xlfn.REGEXEXTRACT(CELL("address",'Raw Data'!B1),"\$([A-Z]+)\$[0-9]+")))</f>
        <v/>
      </c>
      <c r="D1" t="str" cm="1">
        <f t="array" aca="1" ref="D1" ca="1">IF('Raw Data'!C1 = "","",IF(AND(LEN('Raw Data'!C1) &lt; 255,LEN('Raw Data'!C1)&gt; 0),"",_xlfn.REGEXEXTRACT(CELL("address",'Raw Data'!C1),"\$([A-Z]+)\$[0-9]+")))</f>
        <v/>
      </c>
      <c r="E1" t="str" cm="1">
        <f t="array" aca="1" ref="E1" ca="1">IF('Raw Data'!D1 = "","",IF(AND(LEN('Raw Data'!D1) &lt; 255,LEN('Raw Data'!D1)&gt; 0),"",_xlfn.REGEXEXTRACT(CELL("address",'Raw Data'!D1),"\$([A-Z]+)\$[0-9]+")))</f>
        <v/>
      </c>
    </row>
    <row r="2" spans="2:8" x14ac:dyDescent="0.25">
      <c r="B2" t="str" cm="1">
        <f t="array" aca="1" ref="B2" ca="1">IF('Raw Data'!B2 = "","",IF(AND(LEN('Raw Data'!B2) &lt; 255,LEN('Raw Data'!B2)&gt; 0),"",_xlfn.REGEXEXTRACT(CELL("address",'Raw Data'!B2),"\$([A-Z]+)\$[0-9]+")))</f>
        <v/>
      </c>
      <c r="D2" t="str" cm="1">
        <f t="array" aca="1" ref="D2" ca="1">IF('Raw Data'!C2 = "","",IF(AND(LEN('Raw Data'!C2) &lt; 255,LEN('Raw Data'!C2)&gt; 0),"",_xlfn.REGEXEXTRACT(CELL("address",'Raw Data'!C2),"\$([A-Z]+)\$[0-9]+")))</f>
        <v/>
      </c>
      <c r="E2" t="str" cm="1">
        <f t="array" aca="1" ref="E2" ca="1">IF('Raw Data'!D2 = "","",IF(AND(LEN('Raw Data'!D2) &lt; 255,LEN('Raw Data'!D2)&gt; 0),"",_xlfn.REGEXEXTRACT(CELL("address",'Raw Data'!D2),"\$([A-Z]+)\$[0-9]+")))</f>
        <v/>
      </c>
    </row>
    <row r="3" spans="2:8" x14ac:dyDescent="0.25">
      <c r="B3" t="str" cm="1">
        <f t="array" aca="1" ref="B3" ca="1">IF('Raw Data'!B3 = "","",IF(AND(LEN('Raw Data'!B3) &lt; 255,LEN('Raw Data'!B3)&gt; 0),"",_xlfn.REGEXEXTRACT(CELL("address",'Raw Data'!B3),"\$([A-Z]+)\$[0-9]+")))</f>
        <v/>
      </c>
      <c r="D3" t="str" cm="1">
        <f t="array" aca="1" ref="D3" ca="1">IF('Raw Data'!C3 = "","",IF(AND(LEN('Raw Data'!C3) &lt; 255,LEN('Raw Data'!C3)&gt; 0),"",_xlfn.REGEXEXTRACT(CELL("address",'Raw Data'!C3),"\$([A-Z]+)\$[0-9]+")))</f>
        <v/>
      </c>
      <c r="E3" t="str" cm="1">
        <f t="array" aca="1" ref="E3" ca="1">IF('Raw Data'!D3 = "","",IF(AND(LEN('Raw Data'!D3) &lt; 255,LEN('Raw Data'!D3)&gt; 0),"",_xlfn.REGEXEXTRACT(CELL("address",'Raw Data'!D3),"\$([A-Z]+)\$[0-9]+")))</f>
        <v/>
      </c>
    </row>
    <row r="4" spans="2:8" x14ac:dyDescent="0.25">
      <c r="B4" t="str" cm="1">
        <f t="array" aca="1" ref="B4" ca="1">IF('Raw Data'!B4 = "","",IF(AND(LEN('Raw Data'!B4) &lt; 255,LEN('Raw Data'!B4)&gt; 0),"",_xlfn.REGEXEXTRACT(CELL("address",'Raw Data'!B4),"\$([A-Z]+)\$[0-9]+")))</f>
        <v/>
      </c>
      <c r="D4" t="str" cm="1">
        <f t="array" aca="1" ref="D4" ca="1">IF('Raw Data'!C4 = "","",IF(AND(LEN('Raw Data'!C4) &lt; 255,LEN('Raw Data'!C4)&gt; 0),"",_xlfn.REGEXEXTRACT(CELL("address",'Raw Data'!C4),"\$([A-Z]+)\$[0-9]+")))</f>
        <v/>
      </c>
      <c r="E4" t="str" cm="1">
        <f t="array" aca="1" ref="E4" ca="1">IF('Raw Data'!D4 = "","",IF(AND(LEN('Raw Data'!D4) &lt; 255,LEN('Raw Data'!D4)&gt; 0),"",_xlfn.REGEXEXTRACT(CELL("address",'Raw Data'!D4),"\$([A-Z]+)\$[0-9]+")))</f>
        <v/>
      </c>
    </row>
    <row r="5" spans="2:8" x14ac:dyDescent="0.25">
      <c r="B5" t="str" cm="1">
        <f t="array" aca="1" ref="B5" ca="1">IF('Raw Data'!B5 = "","",IF(AND(LEN('Raw Data'!B5) &lt; 255,LEN('Raw Data'!B5)&gt; 0),"",_xlfn.REGEXEXTRACT(CELL("address",'Raw Data'!B5),"\$([A-Z]+)\$[0-9]+")))</f>
        <v/>
      </c>
      <c r="D5" t="str" cm="1">
        <f t="array" aca="1" ref="D5" ca="1">IF('Raw Data'!C5 = "","",IF(AND(LEN('Raw Data'!C5) &lt; 255,LEN('Raw Data'!C5)&gt; 0),"",_xlfn.REGEXEXTRACT(CELL("address",'Raw Data'!C5),"\$([A-Z]+)\$[0-9]+")))</f>
        <v/>
      </c>
      <c r="E5" t="str" cm="1">
        <f t="array" aca="1" ref="E5" ca="1">IF('Raw Data'!D5 = "","",IF(AND(LEN('Raw Data'!D5) &lt; 255,LEN('Raw Data'!D5)&gt; 0),"",_xlfn.REGEXEXTRACT(CELL("address",'Raw Data'!D5),"\$([A-Z]+)\$[0-9]+")))</f>
        <v/>
      </c>
    </row>
    <row r="6" spans="2:8" x14ac:dyDescent="0.25">
      <c r="B6" t="str" cm="1">
        <f t="array" aca="1" ref="B6" ca="1">IF('Raw Data'!B6 = "","",IF(AND(LEN('Raw Data'!B6) &lt; 255,LEN('Raw Data'!B6)&gt; 0),"",_xlfn.REGEXEXTRACT(CELL("address",'Raw Data'!B6),"\$([A-Z]+)\$[0-9]+")))</f>
        <v/>
      </c>
      <c r="D6" t="str" cm="1">
        <f t="array" aca="1" ref="D6" ca="1">IF('Raw Data'!C6 = "","",IF(AND(LEN('Raw Data'!C6) &lt; 255,LEN('Raw Data'!C6)&gt; 0),"",_xlfn.REGEXEXTRACT(CELL("address",'Raw Data'!C6),"\$([A-Z]+)\$[0-9]+")))</f>
        <v/>
      </c>
      <c r="E6" t="str" cm="1">
        <f t="array" aca="1" ref="E6" ca="1">IF('Raw Data'!D6 = "","",IF(AND(LEN('Raw Data'!D6) &lt; 255,LEN('Raw Data'!D6)&gt; 0),"",_xlfn.REGEXEXTRACT(CELL("address",'Raw Data'!D6),"\$([A-Z]+)\$[0-9]+")))</f>
        <v/>
      </c>
    </row>
    <row r="7" spans="2:8" x14ac:dyDescent="0.25">
      <c r="B7" t="str" cm="1">
        <f t="array" aca="1" ref="B7" ca="1">IF('Raw Data'!B7 = "","",IF(AND(LEN('Raw Data'!B7) &lt; 255,LEN('Raw Data'!B7)&gt; 0),"",_xlfn.REGEXEXTRACT(CELL("address",'Raw Data'!B7),"\$([A-Z]+)\$[0-9]+")))</f>
        <v/>
      </c>
      <c r="D7" t="str" cm="1">
        <f t="array" aca="1" ref="D7" ca="1">IF('Raw Data'!C7 = "","",IF(AND(LEN('Raw Data'!C7) &lt; 255,LEN('Raw Data'!C7)&gt; 0),"",_xlfn.REGEXEXTRACT(CELL("address",'Raw Data'!C7),"\$([A-Z]+)\$[0-9]+")))</f>
        <v/>
      </c>
      <c r="E7" t="str" cm="1">
        <f t="array" aca="1" ref="E7" ca="1">IF('Raw Data'!D7 = "","",IF(AND(LEN('Raw Data'!D7) &lt; 255,LEN('Raw Data'!D7)&gt; 0),"",_xlfn.REGEXEXTRACT(CELL("address",'Raw Data'!D7),"\$([A-Z]+)\$[0-9]+")))</f>
        <v/>
      </c>
    </row>
    <row r="8" spans="2:8" x14ac:dyDescent="0.25">
      <c r="B8" t="str" cm="1">
        <f t="array" aca="1" ref="B8" ca="1">IF('Raw Data'!B8 = "","",IF(AND(LEN('Raw Data'!B8) &lt; 255,LEN('Raw Data'!B8)&gt; 0),"",_xlfn.REGEXEXTRACT(CELL("address",'Raw Data'!B8),"\$([A-Z]+)\$[0-9]+")))</f>
        <v/>
      </c>
      <c r="D8" t="str" cm="1">
        <f t="array" aca="1" ref="D8" ca="1">IF('Raw Data'!C8 = "","",IF(AND(LEN('Raw Data'!C8) &lt; 255,LEN('Raw Data'!C8)&gt; 0),"",_xlfn.REGEXEXTRACT(CELL("address",'Raw Data'!C8),"\$([A-Z]+)\$[0-9]+")))</f>
        <v/>
      </c>
      <c r="E8" t="str" cm="1">
        <f t="array" aca="1" ref="E8" ca="1">IF('Raw Data'!D8 = "","",IF(AND(LEN('Raw Data'!D8) &lt; 255,LEN('Raw Data'!D8)&gt; 0),"",_xlfn.REGEXEXTRACT(CELL("address",'Raw Data'!D8),"\$([A-Z]+)\$[0-9]+")))</f>
        <v/>
      </c>
    </row>
    <row r="9" spans="2:8" x14ac:dyDescent="0.25">
      <c r="B9" t="str" cm="1">
        <f t="array" aca="1" ref="B9" ca="1">IF('Raw Data'!B9 = "","",IF(AND(LEN('Raw Data'!B9) &lt; 255,LEN('Raw Data'!B9)&gt; 0),"",_xlfn.REGEXEXTRACT(CELL("address",'Raw Data'!B9),"\$([A-Z]+)\$[0-9]+")))</f>
        <v/>
      </c>
      <c r="D9" t="str" cm="1">
        <f t="array" aca="1" ref="D9" ca="1">IF('Raw Data'!C9 = "","",IF(AND(LEN('Raw Data'!C9) &lt; 255,LEN('Raw Data'!C9)&gt; 0),"",_xlfn.REGEXEXTRACT(CELL("address",'Raw Data'!C9),"\$([A-Z]+)\$[0-9]+")))</f>
        <v/>
      </c>
      <c r="E9" t="str" cm="1">
        <f t="array" aca="1" ref="E9" ca="1">IF('Raw Data'!D9 = "","",IF(AND(LEN('Raw Data'!D9) &lt; 255,LEN('Raw Data'!D9)&gt; 0),"",_xlfn.REGEXEXTRACT(CELL("address",'Raw Data'!D9),"\$([A-Z]+)\$[0-9]+")))</f>
        <v/>
      </c>
      <c r="F9" t="str" cm="1">
        <f t="array" aca="1" ref="F9" ca="1">IFERROR(IF(OR('Raw Data'!F9="",LEN(TRIM('Raw Data'!F9))=0),"",IF(AND(LEN('Raw Data'!F9) &lt;= 255,LEN('Raw Data'!F9)&gt; 0),"",_xlfn.REGEXEXTRACT(CELL("address",'Raw Data'!F9),"\$([A-Z]+)\$[0-9]+"))),_xlfn.REGEXEXTRACT(CELL("address",'Raw Data'!F9),"\$([A-Z]+)\$[0-9]+"))</f>
        <v/>
      </c>
      <c r="G9" s="4" t="s">
        <v>0</v>
      </c>
      <c r="H9" s="8" t="s">
        <v>60</v>
      </c>
    </row>
    <row r="10" spans="2:8" x14ac:dyDescent="0.25">
      <c r="B10" t="str" cm="1">
        <f t="array" aca="1" ref="B10" ca="1">IF('Raw Data'!B10 = "","",IF(AND(LEN('Raw Data'!B10) &lt; 255,LEN('Raw Data'!B10)&gt; 0),"",_xlfn.REGEXEXTRACT(CELL("address",'Raw Data'!B10),"\$([A-Z]+)\$[0-9]+")))</f>
        <v/>
      </c>
      <c r="D10" t="str" cm="1">
        <f t="array" aca="1" ref="D10" ca="1">IF('Raw Data'!C10 = "","",IF(AND(LEN('Raw Data'!C10) &lt; 255,LEN('Raw Data'!C10)&gt; 0),"",_xlfn.REGEXEXTRACT(CELL("address",'Raw Data'!C10),"\$([A-Z]+)\$[0-9]+")))</f>
        <v/>
      </c>
      <c r="E10" t="str" cm="1">
        <f t="array" aca="1" ref="E10" ca="1">IF('Raw Data'!D10 = "","",IF(AND(LEN('Raw Data'!D10) &lt; 255,LEN('Raw Data'!D10)&gt; 0),"",_xlfn.REGEXEXTRACT(CELL("address",'Raw Data'!D10),"\$([A-Z]+)\$[0-9]+")))</f>
        <v/>
      </c>
      <c r="F10" t="str" cm="1">
        <f t="array" aca="1" ref="F10" ca="1">IFERROR(IF(OR('Raw Data'!F10="",LEN(TRIM('Raw Data'!F10))=0),"",IF(AND(LEN('Raw Data'!F10) &lt;= 255,LEN('Raw Data'!F10)&gt; 0),"",_xlfn.REGEXEXTRACT(CELL("address",'Raw Data'!F10),"\$([A-Z]+)\$[0-9]+"))),_xlfn.REGEXEXTRACT(CELL("address",'Raw Data'!F10),"\$([A-Z]+)\$[0-9]+"))</f>
        <v/>
      </c>
      <c r="G10" s="5" t="s">
        <v>1</v>
      </c>
      <c r="H10" s="8" t="s">
        <v>60</v>
      </c>
    </row>
    <row r="11" spans="2:8" x14ac:dyDescent="0.25">
      <c r="B11" t="str" cm="1">
        <f t="array" aca="1" ref="B11" ca="1">IF('Raw Data'!B11 = "","",IF(AND(LEN('Raw Data'!B11) &lt; 255,LEN('Raw Data'!B11)&gt; 0),"",_xlfn.REGEXEXTRACT(CELL("address",'Raw Data'!B11),"\$([A-Z]+)\$[0-9]+")))</f>
        <v/>
      </c>
      <c r="D11" t="str" cm="1">
        <f t="array" aca="1" ref="D11" ca="1">IF('Raw Data'!C11 = "","",IF(AND(LEN('Raw Data'!C11) &lt; 255,LEN('Raw Data'!C11)&gt; 0),"",_xlfn.REGEXEXTRACT(CELL("address",'Raw Data'!C11),"\$([A-Z]+)\$[0-9]+")))</f>
        <v/>
      </c>
      <c r="E11" t="str" cm="1">
        <f t="array" aca="1" ref="E11" ca="1">IF('Raw Data'!D11 = "","",IF(AND(LEN('Raw Data'!D11) &lt; 255,LEN('Raw Data'!D11)&gt; 0),"",_xlfn.REGEXEXTRACT(CELL("address",'Raw Data'!D11),"\$([A-Z]+)\$[0-9]+")))</f>
        <v/>
      </c>
      <c r="F11" t="str" cm="1">
        <f t="array" aca="1" ref="F11" ca="1">IFERROR(IF(OR('Raw Data'!F11="",LEN(TRIM('Raw Data'!F11))=0),"",IF(AND(LEN('Raw Data'!F11) &lt;= 255,LEN('Raw Data'!F11)&gt; 0),"",_xlfn.REGEXEXTRACT(CELL("address",'Raw Data'!F11),"\$([A-Z]+)\$[0-9]+"))),_xlfn.REGEXEXTRACT(CELL("address",'Raw Data'!F11),"\$([A-Z]+)\$[0-9]+"))</f>
        <v/>
      </c>
      <c r="G11" s="5" t="s">
        <v>2</v>
      </c>
      <c r="H11" s="8" t="s">
        <v>60</v>
      </c>
    </row>
    <row r="12" spans="2:8" x14ac:dyDescent="0.25">
      <c r="B12" t="str" cm="1">
        <f t="array" aca="1" ref="B12" ca="1">IF('Raw Data'!B12 = "","",IF(AND(LEN('Raw Data'!B12) &lt; 255,LEN('Raw Data'!B12)&gt; 0),"",_xlfn.REGEXEXTRACT(CELL("address",'Raw Data'!B12),"\$([A-Z]+)\$[0-9]+")))</f>
        <v/>
      </c>
      <c r="D12" t="str" cm="1">
        <f t="array" aca="1" ref="D12" ca="1">IF('Raw Data'!C12 = "","",IF(AND(LEN('Raw Data'!C12) &lt; 255,LEN('Raw Data'!C12)&gt; 0),"",_xlfn.REGEXEXTRACT(CELL("address",'Raw Data'!C12),"\$([A-Z]+)\$[0-9]+")))</f>
        <v/>
      </c>
      <c r="E12" t="str" cm="1">
        <f t="array" aca="1" ref="E12" ca="1">IF('Raw Data'!D12 = "","",IF(AND(LEN('Raw Data'!D12) &lt; 255,LEN('Raw Data'!D12)&gt; 0),"",_xlfn.REGEXEXTRACT(CELL("address",'Raw Data'!D12),"\$([A-Z]+)\$[0-9]+")))</f>
        <v/>
      </c>
      <c r="F12" t="str" cm="1">
        <f t="array" aca="1" ref="F12" ca="1">IFERROR(IF(OR('Raw Data'!F12="",LEN(TRIM('Raw Data'!F12))=0),"",IF(AND(LEN('Raw Data'!F12) &lt;= 255,LEN('Raw Data'!F12)&gt; 0),"",_xlfn.REGEXEXTRACT(CELL("address",'Raw Data'!F12),"\$([A-Z]+)\$[0-9]+"))),_xlfn.REGEXEXTRACT(CELL("address",'Raw Data'!F12),"\$([A-Z]+)\$[0-9]+"))</f>
        <v/>
      </c>
      <c r="G12" s="5" t="s">
        <v>3</v>
      </c>
      <c r="H12" s="8" t="s">
        <v>60</v>
      </c>
    </row>
    <row r="13" spans="2:8" x14ac:dyDescent="0.25">
      <c r="B13" t="str" cm="1">
        <f t="array" aca="1" ref="B13" ca="1">IF('Raw Data'!B13 = "","",IF(AND(LEN('Raw Data'!B13) &lt; 255,LEN('Raw Data'!B13)&gt; 0),"",_xlfn.REGEXEXTRACT(CELL("address",'Raw Data'!B13),"\$([A-Z]+)\$[0-9]+")))</f>
        <v/>
      </c>
      <c r="D13" t="str" cm="1">
        <f t="array" aca="1" ref="D13" ca="1">IF('Raw Data'!C13 = "","",IF(AND(LEN('Raw Data'!C13) &lt; 255,LEN('Raw Data'!C13)&gt; 0),"",_xlfn.REGEXEXTRACT(CELL("address",'Raw Data'!C13),"\$([A-Z]+)\$[0-9]+")))</f>
        <v/>
      </c>
      <c r="E13" t="str" cm="1">
        <f t="array" aca="1" ref="E13" ca="1">IF('Raw Data'!D13 = "","",IF(AND(LEN('Raw Data'!D13) &lt; 255,LEN('Raw Data'!D13)&gt; 0),"",_xlfn.REGEXEXTRACT(CELL("address",'Raw Data'!D13),"\$([A-Z]+)\$[0-9]+")))</f>
        <v/>
      </c>
      <c r="F13" t="str" cm="1">
        <f t="array" aca="1" ref="F13" ca="1">IFERROR(IF(OR('Raw Data'!F13="",LEN(TRIM('Raw Data'!F13))=0),"",IF(AND(LEN('Raw Data'!F13) &lt;= 255,LEN('Raw Data'!F13)&gt; 0),"",_xlfn.REGEXEXTRACT(CELL("address",'Raw Data'!F13),"\$([A-Z]+)\$[0-9]+"))),_xlfn.REGEXEXTRACT(CELL("address",'Raw Data'!F13),"\$([A-Z]+)\$[0-9]+"))</f>
        <v/>
      </c>
      <c r="G13" s="5" t="s">
        <v>4</v>
      </c>
      <c r="H13" s="8" t="s">
        <v>60</v>
      </c>
    </row>
    <row r="14" spans="2:8" x14ac:dyDescent="0.25">
      <c r="B14" t="str" cm="1">
        <f t="array" aca="1" ref="B14" ca="1">IF('Raw Data'!B14 = "","",IF(AND(LEN('Raw Data'!B14) &lt; 255,LEN('Raw Data'!B14)&gt; 0),"",_xlfn.REGEXEXTRACT(CELL("address",'Raw Data'!B14),"\$([A-Z]+)\$[0-9]+")))</f>
        <v/>
      </c>
      <c r="D14" t="str" cm="1">
        <f t="array" aca="1" ref="D14" ca="1">IF('Raw Data'!C14 = "","",IF(AND(LEN('Raw Data'!C14) &lt; 255,LEN('Raw Data'!C14)&gt; 0),"",_xlfn.REGEXEXTRACT(CELL("address",'Raw Data'!C14),"\$([A-Z]+)\$[0-9]+")))</f>
        <v/>
      </c>
      <c r="E14" t="str" cm="1">
        <f t="array" aca="1" ref="E14" ca="1">IF('Raw Data'!D14 = "","",IF(AND(LEN('Raw Data'!D14) &lt; 255,LEN('Raw Data'!D14)&gt; 0),"",_xlfn.REGEXEXTRACT(CELL("address",'Raw Data'!D14),"\$([A-Z]+)\$[0-9]+")))</f>
        <v/>
      </c>
      <c r="F14" t="str" cm="1">
        <f t="array" aca="1" ref="F14" ca="1">IFERROR(IF(OR('Raw Data'!F14="",LEN(TRIM('Raw Data'!F14))=0),"",IF(AND(LEN('Raw Data'!F14) &lt;= 255,LEN('Raw Data'!F14)&gt; 0),"",_xlfn.REGEXEXTRACT(CELL("address",'Raw Data'!F14),"\$([A-Z]+)\$[0-9]+"))),_xlfn.REGEXEXTRACT(CELL("address",'Raw Data'!F14),"\$([A-Z]+)\$[0-9]+"))</f>
        <v/>
      </c>
      <c r="G14" s="5" t="s">
        <v>5</v>
      </c>
      <c r="H14" s="8" t="s">
        <v>60</v>
      </c>
    </row>
    <row r="15" spans="2:8" x14ac:dyDescent="0.25">
      <c r="B15" t="str" cm="1">
        <f t="array" aca="1" ref="B15" ca="1">IF('Raw Data'!B15 = "","",IF(AND(LEN('Raw Data'!B15) &lt; 255,LEN('Raw Data'!B15)&gt; 0),"",_xlfn.REGEXEXTRACT(CELL("address",'Raw Data'!B15),"\$([A-Z]+)\$[0-9]+")))</f>
        <v/>
      </c>
      <c r="D15" t="str" cm="1">
        <f t="array" aca="1" ref="D15" ca="1">IF('Raw Data'!C15 = "","",IF(AND(LEN('Raw Data'!C15) &lt; 255,LEN('Raw Data'!C15)&gt; 0),"",_xlfn.REGEXEXTRACT(CELL("address",'Raw Data'!C15),"\$([A-Z]+)\$[0-9]+")))</f>
        <v/>
      </c>
      <c r="E15" t="str" cm="1">
        <f t="array" aca="1" ref="E15" ca="1">IF('Raw Data'!D15 = "","",IF(AND(LEN('Raw Data'!D15) &lt; 255,LEN('Raw Data'!D15)&gt; 0),"",_xlfn.REGEXEXTRACT(CELL("address",'Raw Data'!D15),"\$([A-Z]+)\$[0-9]+")))</f>
        <v/>
      </c>
      <c r="F15" t="str" cm="1">
        <f t="array" aca="1" ref="F15" ca="1">IFERROR(IF(OR('Raw Data'!F15="",LEN(TRIM('Raw Data'!F15))=0),"",IF(AND(ISNUMBER('Raw Data'!F15),'Raw Data'!F15&gt;=Configuration!$D$2),"",_xlfn.REGEXEXTRACT(CELL("address",'Raw Data'!F10),"\$([A-Z]+)\$[0-9]+"))),_xlfn.REGEXEXTRACT(CELL("address",'Raw Data'!F10),"\$([A-Z]+)\$[0-9]+"))</f>
        <v/>
      </c>
      <c r="G15" s="5" t="s">
        <v>6</v>
      </c>
      <c r="H15" s="9" t="s">
        <v>61</v>
      </c>
    </row>
    <row r="16" spans="2:8" x14ac:dyDescent="0.25">
      <c r="B16" t="str" cm="1">
        <f t="array" aca="1" ref="B16" ca="1">IF('Raw Data'!B16 = "","",IF(AND(LEN('Raw Data'!B16) &lt; 255,LEN('Raw Data'!B16)&gt; 0),"",_xlfn.REGEXEXTRACT(CELL("address",'Raw Data'!B16),"\$([A-Z]+)\$[0-9]+")))</f>
        <v/>
      </c>
      <c r="D16" t="str" cm="1">
        <f t="array" aca="1" ref="D16" ca="1">IF('Raw Data'!C16 = "","",IF(AND(LEN('Raw Data'!C16) &lt; 255,LEN('Raw Data'!C16)&gt; 0),"",_xlfn.REGEXEXTRACT(CELL("address",'Raw Data'!C16),"\$([A-Z]+)\$[0-9]+")))</f>
        <v/>
      </c>
      <c r="E16" t="str" cm="1">
        <f t="array" aca="1" ref="E16" ca="1">IF('Raw Data'!D16 = "","",IF(AND(LEN('Raw Data'!D16) &lt; 255,LEN('Raw Data'!D16)&gt; 0),"",_xlfn.REGEXEXTRACT(CELL("address",'Raw Data'!D16),"\$([A-Z]+)\$[0-9]+")))</f>
        <v/>
      </c>
      <c r="F16" t="str" cm="1">
        <f t="array" aca="1" ref="F16" ca="1">IFERROR(IF(OR('Raw Data'!F16="",LEN(TRIM('Raw Data'!F16))=0),"",IF(AND(ISNUMBER('Raw Data'!F16),'Raw Data'!F16&gt;=Configuration!$D$2),"",_xlfn.REGEXEXTRACT(CELL("address",'Raw Data'!F11),"\$([A-Z]+)\$[0-9]+"))),_xlfn.REGEXEXTRACT(CELL("address",'Raw Data'!F11),"\$([A-Z]+)\$[0-9]+"))</f>
        <v/>
      </c>
      <c r="G16" s="5" t="s">
        <v>7</v>
      </c>
      <c r="H16" s="9" t="s">
        <v>61</v>
      </c>
    </row>
    <row r="17" spans="2:8" x14ac:dyDescent="0.25">
      <c r="B17" t="str" cm="1">
        <f t="array" aca="1" ref="B17" ca="1">IF('Raw Data'!B17 = "","",IF(AND(LEN('Raw Data'!B17) &lt; 255,LEN('Raw Data'!B17)&gt; 0),"",_xlfn.REGEXEXTRACT(CELL("address",'Raw Data'!B17),"\$([A-Z]+)\$[0-9]+")))</f>
        <v/>
      </c>
      <c r="D17" t="str" cm="1">
        <f t="array" aca="1" ref="D17" ca="1">IF('Raw Data'!C17 = "","",IF(AND(LEN('Raw Data'!C17) &lt; 255,LEN('Raw Data'!C17)&gt; 0),"",_xlfn.REGEXEXTRACT(CELL("address",'Raw Data'!C17),"\$([A-Z]+)\$[0-9]+")))</f>
        <v/>
      </c>
      <c r="E17" t="str" cm="1">
        <f t="array" aca="1" ref="E17" ca="1">IF('Raw Data'!D17 = "","",IF(AND(LEN('Raw Data'!D17) &lt; 255,LEN('Raw Data'!D17)&gt; 0),"",_xlfn.REGEXEXTRACT(CELL("address",'Raw Data'!D17),"\$([A-Z]+)\$[0-9]+")))</f>
        <v/>
      </c>
      <c r="F17" t="str" cm="1">
        <f t="array" aca="1" ref="F17" ca="1">IFERROR(IF(OR('Raw Data'!F17="",LEN(TRIM('Raw Data'!F17))=0),"",IF(AND(LEN('Raw Data'!F17) &lt;= 255,LEN('Raw Data'!F17)&gt; 0),"",_xlfn.REGEXEXTRACT(CELL("address",'Raw Data'!F17),"\$([A-Z]+)\$[0-9]+"))),_xlfn.REGEXEXTRACT(CELL("address",'Raw Data'!F17),"\$([A-Z]+)\$[0-9]+"))</f>
        <v/>
      </c>
      <c r="G17" s="5" t="s">
        <v>8</v>
      </c>
      <c r="H17" s="8" t="s">
        <v>60</v>
      </c>
    </row>
    <row r="18" spans="2:8" x14ac:dyDescent="0.25">
      <c r="B18" t="str" cm="1">
        <f t="array" aca="1" ref="B18" ca="1">IF('Raw Data'!B18 = "","",IF(AND(LEN('Raw Data'!B18) &lt; 255,LEN('Raw Data'!B18)&gt; 0),"",_xlfn.REGEXEXTRACT(CELL("address",'Raw Data'!B18),"\$([A-Z]+)\$[0-9]+")))</f>
        <v/>
      </c>
      <c r="D18" t="str" cm="1">
        <f t="array" aca="1" ref="D18" ca="1">IF('Raw Data'!C18 = "","",IF(AND(LEN('Raw Data'!C18) &lt; 255,LEN('Raw Data'!C18)&gt; 0),"",_xlfn.REGEXEXTRACT(CELL("address",'Raw Data'!C18),"\$([A-Z]+)\$[0-9]+")))</f>
        <v/>
      </c>
      <c r="E18" t="str" cm="1">
        <f t="array" aca="1" ref="E18" ca="1">IF('Raw Data'!D18 = "","",IF(AND(LEN('Raw Data'!D18) &lt; 255,LEN('Raw Data'!D18)&gt; 0),"",_xlfn.REGEXEXTRACT(CELL("address",'Raw Data'!D18),"\$([A-Z]+)\$[0-9]+")))</f>
        <v/>
      </c>
      <c r="F18" t="str" cm="1">
        <f t="array" aca="1" ref="F18" ca="1">IFERROR(IF(OR('Raw Data'!F18="",LEN(TRIM('Raw Data'!F18))=0),"",IF(AND(ISNUMBER('Raw Data'!F18),'Raw Data'!F18&gt;=Configuration!$D$2),"",_xlfn.REGEXEXTRACT(CELL("address",'Raw Data'!F13),"\$([A-Z]+)\$[0-9]+"))),_xlfn.REGEXEXTRACT(CELL("address",'Raw Data'!F13),"\$([A-Z]+)\$[0-9]+"))</f>
        <v/>
      </c>
      <c r="G18" s="5" t="s">
        <v>9</v>
      </c>
      <c r="H18" s="9" t="s">
        <v>61</v>
      </c>
    </row>
    <row r="19" spans="2:8" x14ac:dyDescent="0.25">
      <c r="B19" t="str" cm="1">
        <f t="array" aca="1" ref="B19" ca="1">IF('Raw Data'!B19 = "","",IF(AND(LEN('Raw Data'!B19) &lt; 255,LEN('Raw Data'!B19)&gt; 0),"",_xlfn.REGEXEXTRACT(CELL("address",'Raw Data'!B19),"\$([A-Z]+)\$[0-9]+")))</f>
        <v/>
      </c>
      <c r="D19" t="str" cm="1">
        <f t="array" aca="1" ref="D19" ca="1">IF('Raw Data'!C19 = "","",IF(AND(LEN('Raw Data'!C19) &lt; 255,LEN('Raw Data'!C19)&gt; 0),"",_xlfn.REGEXEXTRACT(CELL("address",'Raw Data'!C19),"\$([A-Z]+)\$[0-9]+")))</f>
        <v/>
      </c>
      <c r="E19" t="str" cm="1">
        <f t="array" aca="1" ref="E19" ca="1">IF('Raw Data'!D19 = "","",IF(AND(LEN('Raw Data'!D19) &lt; 255,LEN('Raw Data'!D19)&gt; 0),"",_xlfn.REGEXEXTRACT(CELL("address",'Raw Data'!D19),"\$([A-Z]+)\$[0-9]+")))</f>
        <v/>
      </c>
      <c r="F19" t="str" cm="1">
        <f t="array" aca="1" ref="F19" ca="1">IFERROR(IF(OR('Raw Data'!F19="",LEN(TRIM('Raw Data'!F19))=0),"",IF(AND(LEN('Raw Data'!F19) &lt;= 255,LEN('Raw Data'!F19)&gt; 0),"",_xlfn.REGEXEXTRACT(CELL("address",'Raw Data'!F19),"\$([A-Z]+)\$[0-9]+"))),_xlfn.REGEXEXTRACT(CELL("address",'Raw Data'!F19),"\$([A-Z]+)\$[0-9]+"))</f>
        <v/>
      </c>
      <c r="G19" s="5" t="s">
        <v>10</v>
      </c>
      <c r="H19" s="8" t="s">
        <v>60</v>
      </c>
    </row>
    <row r="20" spans="2:8" x14ac:dyDescent="0.25">
      <c r="B20" t="str" cm="1">
        <f t="array" aca="1" ref="B20" ca="1">IF('Raw Data'!B20 = "","",IF(AND(LEN('Raw Data'!B20) &lt; 255,LEN('Raw Data'!B20)&gt; 0),"",_xlfn.REGEXEXTRACT(CELL("address",'Raw Data'!B20),"\$([A-Z]+)\$[0-9]+")))</f>
        <v/>
      </c>
      <c r="D20" t="str" cm="1">
        <f t="array" aca="1" ref="D20" ca="1">IF('Raw Data'!C20 = "","",IF(AND(LEN('Raw Data'!C20) &lt; 255,LEN('Raw Data'!C20)&gt; 0),"",_xlfn.REGEXEXTRACT(CELL("address",'Raw Data'!C20),"\$([A-Z]+)\$[0-9]+")))</f>
        <v/>
      </c>
      <c r="E20" t="str" cm="1">
        <f t="array" aca="1" ref="E20" ca="1">IF('Raw Data'!D20 = "","",IF(AND(LEN('Raw Data'!D20) &lt; 255,LEN('Raw Data'!D20)&gt; 0),"",_xlfn.REGEXEXTRACT(CELL("address",'Raw Data'!D20),"\$([A-Z]+)\$[0-9]+")))</f>
        <v/>
      </c>
      <c r="F20" t="str" cm="1">
        <f t="array" aca="1" ref="F20" ca="1">IFERROR(IF(OR('Raw Data'!F20="",LEN(TRIM('Raw Data'!F20))=0),"",IF(AND(ISNUMBER('Raw Data'!F20),'Raw Data'!F20&gt;=Configuration!$D$2),"",_xlfn.REGEXEXTRACT(CELL("address",'Raw Data'!F15),"\$([A-Z]+)\$[0-9]+"))),_xlfn.REGEXEXTRACT(CELL("address",'Raw Data'!F15),"\$([A-Z]+)\$[0-9]+"))</f>
        <v/>
      </c>
      <c r="G20" s="5" t="s">
        <v>11</v>
      </c>
      <c r="H20" s="9" t="s">
        <v>61</v>
      </c>
    </row>
    <row r="21" spans="2:8" x14ac:dyDescent="0.25">
      <c r="B21" t="str" cm="1">
        <f t="array" aca="1" ref="B21" ca="1">IF('Raw Data'!B21 = "","",IF(AND(LEN('Raw Data'!B21) &lt; 255,LEN('Raw Data'!B21)&gt; 0),"",_xlfn.REGEXEXTRACT(CELL("address",'Raw Data'!B21),"\$([A-Z]+)\$[0-9]+")))</f>
        <v/>
      </c>
      <c r="D21" t="str" cm="1">
        <f t="array" aca="1" ref="D21" ca="1">IF('Raw Data'!C21 = "","",IF(AND(LEN('Raw Data'!C21) &lt; 255,LEN('Raw Data'!C21)&gt; 0),"",_xlfn.REGEXEXTRACT(CELL("address",'Raw Data'!C21),"\$([A-Z]+)\$[0-9]+")))</f>
        <v/>
      </c>
      <c r="E21" t="str" cm="1">
        <f t="array" aca="1" ref="E21" ca="1">IF('Raw Data'!D21 = "","",IF(AND(LEN('Raw Data'!D21) &lt; 255,LEN('Raw Data'!D21)&gt; 0),"",_xlfn.REGEXEXTRACT(CELL("address",'Raw Data'!D21),"\$([A-Z]+)\$[0-9]+")))</f>
        <v/>
      </c>
      <c r="F21" t="str" cm="1">
        <f t="array" aca="1" ref="F21" ca="1">IFERROR(IF(OR('Raw Data'!F21="",LEN(TRIM('Raw Data'!F21))=0),"",IF(AND(LEN('Raw Data'!F21) &lt;= 255,LEN('Raw Data'!F21)&gt; 0),"",_xlfn.REGEXEXTRACT(CELL("address",'Raw Data'!F21),"\$([A-Z]+)\$[0-9]+"))),_xlfn.REGEXEXTRACT(CELL("address",'Raw Data'!F21),"\$([A-Z]+)\$[0-9]+"))</f>
        <v/>
      </c>
      <c r="G21" s="5" t="s">
        <v>12</v>
      </c>
      <c r="H21" s="8" t="s">
        <v>60</v>
      </c>
    </row>
    <row r="22" spans="2:8" x14ac:dyDescent="0.25">
      <c r="B22" t="str" cm="1">
        <f t="array" aca="1" ref="B22" ca="1">IF('Raw Data'!B22 = "","",IF(AND(LEN('Raw Data'!B22) &lt; 255,LEN('Raw Data'!B22)&gt; 0),"",_xlfn.REGEXEXTRACT(CELL("address",'Raw Data'!B22),"\$([A-Z]+)\$[0-9]+")))</f>
        <v/>
      </c>
      <c r="D22" t="str" cm="1">
        <f t="array" aca="1" ref="D22" ca="1">IF('Raw Data'!C22 = "","",IF(AND(LEN('Raw Data'!C22) &lt; 255,LEN('Raw Data'!C22)&gt; 0),"",_xlfn.REGEXEXTRACT(CELL("address",'Raw Data'!C22),"\$([A-Z]+)\$[0-9]+")))</f>
        <v/>
      </c>
      <c r="E22" t="str" cm="1">
        <f t="array" aca="1" ref="E22" ca="1">IF('Raw Data'!D22 = "","",IF(AND(LEN('Raw Data'!D22) &lt; 255,LEN('Raw Data'!D22)&gt; 0),"",_xlfn.REGEXEXTRACT(CELL("address",'Raw Data'!D22),"\$([A-Z]+)\$[0-9]+")))</f>
        <v/>
      </c>
      <c r="F22" t="str" cm="1">
        <f t="array" aca="1" ref="F22" ca="1">IFERROR(IF(OR('Raw Data'!F22="",LEN(TRIM('Raw Data'!F22))=0),"",IF(AND(LEN('Raw Data'!F22) &lt;= 255,LEN('Raw Data'!F22)&gt; 0),"",_xlfn.REGEXEXTRACT(CELL("address",'Raw Data'!F22),"\$([A-Z]+)\$[0-9]+"))),_xlfn.REGEXEXTRACT(CELL("address",'Raw Data'!F22),"\$([A-Z]+)\$[0-9]+"))</f>
        <v/>
      </c>
      <c r="G22" s="5" t="s">
        <v>13</v>
      </c>
      <c r="H22" s="8" t="s">
        <v>60</v>
      </c>
    </row>
    <row r="23" spans="2:8" x14ac:dyDescent="0.25">
      <c r="B23" t="str" cm="1">
        <f t="array" aca="1" ref="B23" ca="1">IF('Raw Data'!B23 = "","",IF(AND(LEN('Raw Data'!B23) &lt; 255,LEN('Raw Data'!B23)&gt; 0),"",_xlfn.REGEXEXTRACT(CELL("address",'Raw Data'!B23),"\$([A-Z]+)\$[0-9]+")))</f>
        <v/>
      </c>
      <c r="D23" t="str" cm="1">
        <f t="array" aca="1" ref="D23" ca="1">IF('Raw Data'!C23 = "","",IF(AND(LEN('Raw Data'!C23) &lt; 255,LEN('Raw Data'!C23)&gt; 0),"",_xlfn.REGEXEXTRACT(CELL("address",'Raw Data'!C23),"\$([A-Z]+)\$[0-9]+")))</f>
        <v/>
      </c>
      <c r="E23" t="str" cm="1">
        <f t="array" aca="1" ref="E23" ca="1">IF('Raw Data'!D23 = "","",IF(AND(LEN('Raw Data'!D23) &lt; 255,LEN('Raw Data'!D23)&gt; 0),"",_xlfn.REGEXEXTRACT(CELL("address",'Raw Data'!D23),"\$([A-Z]+)\$[0-9]+")))</f>
        <v/>
      </c>
      <c r="F23" t="str" cm="1">
        <f t="array" aca="1" ref="F23" ca="1">IFERROR(IF(OR('Raw Data'!F23="",LEN(TRIM('Raw Data'!F23))=0),"",IF(AND(LEN('Raw Data'!F23) &lt;= 255,LEN('Raw Data'!F23)&gt; 0),"",_xlfn.REGEXEXTRACT(CELL("address",'Raw Data'!F23),"\$([A-Z]+)\$[0-9]+"))),_xlfn.REGEXEXTRACT(CELL("address",'Raw Data'!F23),"\$([A-Z]+)\$[0-9]+"))</f>
        <v/>
      </c>
      <c r="G23" s="5" t="s">
        <v>14</v>
      </c>
      <c r="H23" s="8" t="s">
        <v>60</v>
      </c>
    </row>
    <row r="24" spans="2:8" x14ac:dyDescent="0.25">
      <c r="B24" t="str" cm="1">
        <f t="array" aca="1" ref="B24" ca="1">IF('Raw Data'!B24 = "","",IF(AND(LEN('Raw Data'!B24) &lt; 255,LEN('Raw Data'!B24)&gt; 0),"",_xlfn.REGEXEXTRACT(CELL("address",'Raw Data'!B24),"\$([A-Z]+)\$[0-9]+")))</f>
        <v/>
      </c>
      <c r="D24" t="str" cm="1">
        <f t="array" aca="1" ref="D24" ca="1">IF('Raw Data'!C24 = "","",IF(AND(LEN('Raw Data'!C24) &lt; 255,LEN('Raw Data'!C24)&gt; 0),"",_xlfn.REGEXEXTRACT(CELL("address",'Raw Data'!C24),"\$([A-Z]+)\$[0-9]+")))</f>
        <v/>
      </c>
      <c r="E24" t="str" cm="1">
        <f t="array" aca="1" ref="E24" ca="1">IF('Raw Data'!D24 = "","",IF(AND(LEN('Raw Data'!D24) &lt; 255,LEN('Raw Data'!D24)&gt; 0),"",_xlfn.REGEXEXTRACT(CELL("address",'Raw Data'!D24),"\$([A-Z]+)\$[0-9]+")))</f>
        <v/>
      </c>
      <c r="F24" t="str" cm="1">
        <f t="array" aca="1" ref="F24" ca="1">IFERROR(IF(OR('Raw Data'!F24="",LEN(TRIM('Raw Data'!F24))=0),"",IF(AND(LEN('Raw Data'!F24) &lt;= 255,LEN('Raw Data'!F24)&gt; 0),"",_xlfn.REGEXEXTRACT(CELL("address",'Raw Data'!F24),"\$([A-Z]+)\$[0-9]+"))),_xlfn.REGEXEXTRACT(CELL("address",'Raw Data'!F24),"\$([A-Z]+)\$[0-9]+"))</f>
        <v/>
      </c>
      <c r="G24" s="5" t="s">
        <v>15</v>
      </c>
      <c r="H24" s="8" t="s">
        <v>60</v>
      </c>
    </row>
    <row r="25" spans="2:8" x14ac:dyDescent="0.25">
      <c r="B25" t="str" cm="1">
        <f t="array" aca="1" ref="B25" ca="1">IF('Raw Data'!B25 = "","",IF(AND(LEN('Raw Data'!B25) &lt; 255,LEN('Raw Data'!B25)&gt; 0),"",_xlfn.REGEXEXTRACT(CELL("address",'Raw Data'!B25),"\$([A-Z]+)\$[0-9]+")))</f>
        <v/>
      </c>
      <c r="D25" t="str" cm="1">
        <f t="array" aca="1" ref="D25" ca="1">IF('Raw Data'!C25 = "","",IF(AND(LEN('Raw Data'!C25) &lt; 255,LEN('Raw Data'!C25)&gt; 0),"",_xlfn.REGEXEXTRACT(CELL("address",'Raw Data'!C25),"\$([A-Z]+)\$[0-9]+")))</f>
        <v/>
      </c>
      <c r="E25" t="str" cm="1">
        <f t="array" aca="1" ref="E25" ca="1">IF('Raw Data'!D25 = "","",IF(AND(LEN('Raw Data'!D25) &lt; 255,LEN('Raw Data'!D25)&gt; 0),"",_xlfn.REGEXEXTRACT(CELL("address",'Raw Data'!D25),"\$([A-Z]+)\$[0-9]+")))</f>
        <v/>
      </c>
      <c r="F25" t="str" cm="1">
        <f t="array" aca="1" ref="F25" ca="1">IFERROR(IF(OR('Raw Data'!F25="",LEN(TRIM('Raw Data'!F25))=0),"",IF(AND(LEN('Raw Data'!F25) &lt;= 255,LEN('Raw Data'!F25)&gt; 0),"",_xlfn.REGEXEXTRACT(CELL("address",'Raw Data'!F25),"\$([A-Z]+)\$[0-9]+"))),_xlfn.REGEXEXTRACT(CELL("address",'Raw Data'!F25),"\$([A-Z]+)\$[0-9]+"))</f>
        <v/>
      </c>
      <c r="G25" s="5" t="s">
        <v>16</v>
      </c>
      <c r="H25" s="8" t="s">
        <v>60</v>
      </c>
    </row>
    <row r="26" spans="2:8" x14ac:dyDescent="0.25">
      <c r="B26" t="str" cm="1">
        <f t="array" aca="1" ref="B26" ca="1">IF('Raw Data'!B26 = "","",IF(AND(LEN('Raw Data'!B26) &lt; 255,LEN('Raw Data'!B26)&gt; 0),"",_xlfn.REGEXEXTRACT(CELL("address",'Raw Data'!B26),"\$([A-Z]+)\$[0-9]+")))</f>
        <v/>
      </c>
      <c r="D26" t="str" cm="1">
        <f t="array" aca="1" ref="D26" ca="1">IF('Raw Data'!C26 = "","",IF(AND(LEN('Raw Data'!C26) &lt; 255,LEN('Raw Data'!C26)&gt; 0),"",_xlfn.REGEXEXTRACT(CELL("address",'Raw Data'!C26),"\$([A-Z]+)\$[0-9]+")))</f>
        <v/>
      </c>
      <c r="E26" t="str" cm="1">
        <f t="array" aca="1" ref="E26" ca="1">IF('Raw Data'!D26 = "","",IF(AND(LEN('Raw Data'!D26) &lt; 255,LEN('Raw Data'!D26)&gt; 0),"",_xlfn.REGEXEXTRACT(CELL("address",'Raw Data'!D26),"\$([A-Z]+)\$[0-9]+")))</f>
        <v/>
      </c>
      <c r="F26" t="str" cm="1">
        <f t="array" aca="1" ref="F26" ca="1">IFERROR(IF(OR('Raw Data'!F26="",LEN(TRIM('Raw Data'!F26))=0),"",IF(AND(LEN('Raw Data'!F26) &lt;= 255,LEN('Raw Data'!F26)&gt; 0),"",_xlfn.REGEXEXTRACT(CELL("address",'Raw Data'!F26),"\$([A-Z]+)\$[0-9]+"))),_xlfn.REGEXEXTRACT(CELL("address",'Raw Data'!F26),"\$([A-Z]+)\$[0-9]+"))</f>
        <v/>
      </c>
      <c r="G26" s="5" t="s">
        <v>17</v>
      </c>
      <c r="H26" s="8" t="s">
        <v>60</v>
      </c>
    </row>
    <row r="27" spans="2:8" x14ac:dyDescent="0.25">
      <c r="B27" t="str" cm="1">
        <f t="array" aca="1" ref="B27" ca="1">IF('Raw Data'!B27 = "","",IF(AND(LEN('Raw Data'!B27) &lt; 255,LEN('Raw Data'!B27)&gt; 0),"",_xlfn.REGEXEXTRACT(CELL("address",'Raw Data'!B27),"\$([A-Z]+)\$[0-9]+")))</f>
        <v/>
      </c>
      <c r="D27" t="str" cm="1">
        <f t="array" aca="1" ref="D27" ca="1">IF('Raw Data'!C27 = "","",IF(AND(LEN('Raw Data'!C27) &lt; 255,LEN('Raw Data'!C27)&gt; 0),"",_xlfn.REGEXEXTRACT(CELL("address",'Raw Data'!C27),"\$([A-Z]+)\$[0-9]+")))</f>
        <v/>
      </c>
      <c r="E27" t="str" cm="1">
        <f t="array" aca="1" ref="E27" ca="1">IF('Raw Data'!D27 = "","",IF(AND(LEN('Raw Data'!D27) &lt; 255,LEN('Raw Data'!D27)&gt; 0),"",_xlfn.REGEXEXTRACT(CELL("address",'Raw Data'!D27),"\$([A-Z]+)\$[0-9]+")))</f>
        <v/>
      </c>
      <c r="F27" t="str" cm="1">
        <f t="array" aca="1" ref="F27" ca="1">IFERROR(IF(OR('Raw Data'!F27="",LEN(TRIM('Raw Data'!F27))=0),"",IF(AND(LEN('Raw Data'!F27) &lt;= 255,LEN('Raw Data'!F27)&gt; 0),"",_xlfn.REGEXEXTRACT(CELL("address",'Raw Data'!F27),"\$([A-Z]+)\$[0-9]+"))),_xlfn.REGEXEXTRACT(CELL("address",'Raw Data'!F27),"\$([A-Z]+)\$[0-9]+"))</f>
        <v/>
      </c>
      <c r="G27" s="5" t="s">
        <v>19</v>
      </c>
      <c r="H27" s="8" t="s">
        <v>60</v>
      </c>
    </row>
    <row r="28" spans="2:8" x14ac:dyDescent="0.25">
      <c r="B28" t="str" cm="1">
        <f t="array" aca="1" ref="B28" ca="1">IF('Raw Data'!B28 = "","",IF(AND(LEN('Raw Data'!B28) &lt; 255,LEN('Raw Data'!B28)&gt; 0),"",_xlfn.REGEXEXTRACT(CELL("address",'Raw Data'!B28),"\$([A-Z]+)\$[0-9]+")))</f>
        <v/>
      </c>
      <c r="D28" t="str" cm="1">
        <f t="array" aca="1" ref="D28" ca="1">IF('Raw Data'!C28 = "","",IF(AND(LEN('Raw Data'!C28) &lt; 255,LEN('Raw Data'!C28)&gt; 0),"",_xlfn.REGEXEXTRACT(CELL("address",'Raw Data'!C28),"\$([A-Z]+)\$[0-9]+")))</f>
        <v/>
      </c>
      <c r="E28" t="str" cm="1">
        <f t="array" aca="1" ref="E28" ca="1">IF('Raw Data'!D28 = "","",IF(AND(LEN('Raw Data'!D28) &lt; 255,LEN('Raw Data'!D28)&gt; 0),"",_xlfn.REGEXEXTRACT(CELL("address",'Raw Data'!D28),"\$([A-Z]+)\$[0-9]+")))</f>
        <v/>
      </c>
      <c r="F28" t="str" cm="1">
        <f t="array" aca="1" ref="F28" ca="1">IFERROR(IF(OR('Raw Data'!F28="",LEN(TRIM('Raw Data'!F28))=0),"",IF(AND(LEN('Raw Data'!F28) &lt;= 255,LEN('Raw Data'!F28)&gt; 0),"",_xlfn.REGEXEXTRACT(CELL("address",'Raw Data'!F28),"\$([A-Z]+)\$[0-9]+"))),_xlfn.REGEXEXTRACT(CELL("address",'Raw Data'!F28),"\$([A-Z]+)\$[0-9]+"))</f>
        <v/>
      </c>
      <c r="G28" s="5" t="s">
        <v>20</v>
      </c>
      <c r="H28" s="8" t="s">
        <v>60</v>
      </c>
    </row>
    <row r="29" spans="2:8" x14ac:dyDescent="0.25">
      <c r="B29" t="str" cm="1">
        <f t="array" aca="1" ref="B29" ca="1">IF('Raw Data'!B29 = "","",IF(AND(LEN('Raw Data'!B29) &lt; 255,LEN('Raw Data'!B29)&gt; 0),"",_xlfn.REGEXEXTRACT(CELL("address",'Raw Data'!B29),"\$([A-Z]+)\$[0-9]+")))</f>
        <v/>
      </c>
      <c r="D29" t="str" cm="1">
        <f t="array" aca="1" ref="D29" ca="1">IF('Raw Data'!C29 = "","",IF(AND(LEN('Raw Data'!C29) &lt; 255,LEN('Raw Data'!C29)&gt; 0),"",_xlfn.REGEXEXTRACT(CELL("address",'Raw Data'!C29),"\$([A-Z]+)\$[0-9]+")))</f>
        <v/>
      </c>
      <c r="E29" t="str" cm="1">
        <f t="array" aca="1" ref="E29" ca="1">IF('Raw Data'!D29 = "","",IF(AND(LEN('Raw Data'!D29) &lt; 255,LEN('Raw Data'!D29)&gt; 0),"",_xlfn.REGEXEXTRACT(CELL("address",'Raw Data'!D29),"\$([A-Z]+)\$[0-9]+")))</f>
        <v/>
      </c>
      <c r="F29" t="str" cm="1">
        <f t="array" aca="1" ref="F29" ca="1">IFERROR(IF(OR('Raw Data'!F29="",LEN(TRIM('Raw Data'!F29))=0),"",IF(AND(LEN('Raw Data'!F29) &lt;= 255,LEN('Raw Data'!F29)&gt; 0),"",_xlfn.REGEXEXTRACT(CELL("address",'Raw Data'!F29),"\$([A-Z]+)\$[0-9]+"))),_xlfn.REGEXEXTRACT(CELL("address",'Raw Data'!F29),"\$([A-Z]+)\$[0-9]+"))</f>
        <v/>
      </c>
      <c r="G29" s="5" t="s">
        <v>21</v>
      </c>
      <c r="H29" s="8" t="s">
        <v>60</v>
      </c>
    </row>
    <row r="30" spans="2:8" x14ac:dyDescent="0.25">
      <c r="B30" t="str" cm="1">
        <f t="array" aca="1" ref="B30" ca="1">IF('Raw Data'!B30 = "","",IF(AND(LEN('Raw Data'!B30) &lt; 255,LEN('Raw Data'!B30)&gt; 0),"",_xlfn.REGEXEXTRACT(CELL("address",'Raw Data'!B30),"\$([A-Z]+)\$[0-9]+")))</f>
        <v/>
      </c>
      <c r="D30" t="str" cm="1">
        <f t="array" aca="1" ref="D30" ca="1">IF('Raw Data'!C30 = "","",IF(AND(LEN('Raw Data'!C30) &lt; 255,LEN('Raw Data'!C30)&gt; 0),"",_xlfn.REGEXEXTRACT(CELL("address",'Raw Data'!C30),"\$([A-Z]+)\$[0-9]+")))</f>
        <v/>
      </c>
      <c r="E30" t="str" cm="1">
        <f t="array" aca="1" ref="E30" ca="1">IF('Raw Data'!D30 = "","",IF(AND(LEN('Raw Data'!D30) &lt; 255,LEN('Raw Data'!D30)&gt; 0),"",_xlfn.REGEXEXTRACT(CELL("address",'Raw Data'!D30),"\$([A-Z]+)\$[0-9]+")))</f>
        <v/>
      </c>
      <c r="F30" t="str" cm="1">
        <f t="array" aca="1" ref="F30" ca="1">IFERROR(IF(OR('Raw Data'!F30="",LEN(TRIM('Raw Data'!F30))=0),"",IF(AND(LEN('Raw Data'!F30) &lt;= 255,LEN('Raw Data'!F30)&gt; 0),"",_xlfn.REGEXEXTRACT(CELL("address",'Raw Data'!F30),"\$([A-Z]+)\$[0-9]+"))),_xlfn.REGEXEXTRACT(CELL("address",'Raw Data'!F30),"\$([A-Z]+)\$[0-9]+"))</f>
        <v/>
      </c>
      <c r="G30" s="5" t="s">
        <v>22</v>
      </c>
      <c r="H30" s="8" t="s">
        <v>60</v>
      </c>
    </row>
    <row r="31" spans="2:8" x14ac:dyDescent="0.25">
      <c r="B31" t="str" cm="1">
        <f t="array" aca="1" ref="B31" ca="1">IF('Raw Data'!B31 = "","",IF(AND(LEN('Raw Data'!B31) &lt; 255,LEN('Raw Data'!B31)&gt; 0),"",_xlfn.REGEXEXTRACT(CELL("address",'Raw Data'!B31),"\$([A-Z]+)\$[0-9]+")))</f>
        <v/>
      </c>
      <c r="D31" t="str" cm="1">
        <f t="array" aca="1" ref="D31" ca="1">IF('Raw Data'!C31 = "","",IF(AND(LEN('Raw Data'!C31) &lt; 255,LEN('Raw Data'!C31)&gt; 0),"",_xlfn.REGEXEXTRACT(CELL("address",'Raw Data'!C31),"\$([A-Z]+)\$[0-9]+")))</f>
        <v/>
      </c>
      <c r="E31" t="str" cm="1">
        <f t="array" aca="1" ref="E31" ca="1">IF('Raw Data'!D31 = "","",IF(AND(LEN('Raw Data'!D31) &lt; 255,LEN('Raw Data'!D31)&gt; 0),"",_xlfn.REGEXEXTRACT(CELL("address",'Raw Data'!D31),"\$([A-Z]+)\$[0-9]+")))</f>
        <v/>
      </c>
      <c r="F31" t="str" cm="1">
        <f t="array" aca="1" ref="F31" ca="1">IFERROR(IF(OR('Raw Data'!F31="",LEN(TRIM('Raw Data'!F31))=0),"",IF(AND(LEN('Raw Data'!F31) &lt;= 255,LEN('Raw Data'!F31)&gt; 0),"",_xlfn.REGEXEXTRACT(CELL("address",'Raw Data'!F31),"\$([A-Z]+)\$[0-9]+"))),_xlfn.REGEXEXTRACT(CELL("address",'Raw Data'!F31),"\$([A-Z]+)\$[0-9]+"))</f>
        <v/>
      </c>
      <c r="G31" s="5" t="s">
        <v>23</v>
      </c>
      <c r="H31" s="8" t="s">
        <v>60</v>
      </c>
    </row>
    <row r="32" spans="2:8" x14ac:dyDescent="0.25">
      <c r="B32" t="str" cm="1">
        <f t="array" aca="1" ref="B32" ca="1">IF('Raw Data'!B32 = "","",IF(AND(LEN('Raw Data'!B32) &lt; 255,LEN('Raw Data'!B32)&gt; 0),"",_xlfn.REGEXEXTRACT(CELL("address",'Raw Data'!B32),"\$([A-Z]+)\$[0-9]+")))</f>
        <v/>
      </c>
      <c r="D32" t="str" cm="1">
        <f t="array" aca="1" ref="D32" ca="1">IF('Raw Data'!C32 = "","",IF(AND(LEN('Raw Data'!C32) &lt; 255,LEN('Raw Data'!C32)&gt; 0),"",_xlfn.REGEXEXTRACT(CELL("address",'Raw Data'!C32),"\$([A-Z]+)\$[0-9]+")))</f>
        <v/>
      </c>
      <c r="E32" t="str" cm="1">
        <f t="array" aca="1" ref="E32" ca="1">IF('Raw Data'!D32 = "","",IF(AND(LEN('Raw Data'!D32) &lt; 255,LEN('Raw Data'!D32)&gt; 0),"",_xlfn.REGEXEXTRACT(CELL("address",'Raw Data'!D32),"\$([A-Z]+)\$[0-9]+")))</f>
        <v/>
      </c>
      <c r="F32" t="str" cm="1">
        <f t="array" aca="1" ref="F32" ca="1">IFERROR(IF(OR('Raw Data'!F32="",LEN(TRIM('Raw Data'!F32))=0),"",IF(AND(LEN('Raw Data'!F32) &lt;= 255,LEN('Raw Data'!F32)&gt; 0),"",_xlfn.REGEXEXTRACT(CELL("address",'Raw Data'!F32),"\$([A-Z]+)\$[0-9]+"))),_xlfn.REGEXEXTRACT(CELL("address",'Raw Data'!F32),"\$([A-Z]+)\$[0-9]+"))</f>
        <v/>
      </c>
      <c r="G32" s="5" t="s">
        <v>24</v>
      </c>
      <c r="H32" s="8" t="s">
        <v>60</v>
      </c>
    </row>
    <row r="33" spans="2:8" x14ac:dyDescent="0.25">
      <c r="B33" t="str" cm="1">
        <f t="array" aca="1" ref="B33" ca="1">IF('Raw Data'!B33 = "","",IF(AND(LEN('Raw Data'!B33) &lt; 255,LEN('Raw Data'!B33)&gt; 0),"",_xlfn.REGEXEXTRACT(CELL("address",'Raw Data'!B33),"\$([A-Z]+)\$[0-9]+")))</f>
        <v/>
      </c>
      <c r="D33" t="str" cm="1">
        <f t="array" aca="1" ref="D33" ca="1">IF('Raw Data'!C33 = "","",IF(AND(LEN('Raw Data'!C33) &lt; 255,LEN('Raw Data'!C33)&gt; 0),"",_xlfn.REGEXEXTRACT(CELL("address",'Raw Data'!C33),"\$([A-Z]+)\$[0-9]+")))</f>
        <v/>
      </c>
      <c r="E33" t="str" cm="1">
        <f t="array" aca="1" ref="E33" ca="1">IF('Raw Data'!D33 = "","",IF(AND(LEN('Raw Data'!D33) &lt; 255,LEN('Raw Data'!D33)&gt; 0),"",_xlfn.REGEXEXTRACT(CELL("address",'Raw Data'!D33),"\$([A-Z]+)\$[0-9]+")))</f>
        <v/>
      </c>
      <c r="F33" t="str" cm="1">
        <f t="array" aca="1" ref="F33" ca="1">IFERROR(IF(OR('Raw Data'!F33="",LEN(TRIM('Raw Data'!F33))=0),"",IF(AND(LEN('Raw Data'!F33) &lt;= 255,LEN('Raw Data'!F33)&gt; 0),"",_xlfn.REGEXEXTRACT(CELL("address",'Raw Data'!F33),"\$([A-Z]+)\$[0-9]+"))),_xlfn.REGEXEXTRACT(CELL("address",'Raw Data'!F33),"\$([A-Z]+)\$[0-9]+"))</f>
        <v/>
      </c>
      <c r="G33" s="5" t="s">
        <v>25</v>
      </c>
      <c r="H33" s="8" t="s">
        <v>60</v>
      </c>
    </row>
    <row r="34" spans="2:8" x14ac:dyDescent="0.25">
      <c r="B34" t="str" cm="1">
        <f t="array" aca="1" ref="B34" ca="1">IF('Raw Data'!B34 = "","",IF(AND(LEN('Raw Data'!B34) &lt; 255,LEN('Raw Data'!B34)&gt; 0),"",_xlfn.REGEXEXTRACT(CELL("address",'Raw Data'!B34),"\$([A-Z]+)\$[0-9]+")))</f>
        <v/>
      </c>
      <c r="D34" t="str" cm="1">
        <f t="array" aca="1" ref="D34" ca="1">IF('Raw Data'!C34 = "","",IF(AND(LEN('Raw Data'!C34) &lt; 255,LEN('Raw Data'!C34)&gt; 0),"",_xlfn.REGEXEXTRACT(CELL("address",'Raw Data'!C34),"\$([A-Z]+)\$[0-9]+")))</f>
        <v/>
      </c>
      <c r="E34" t="str" cm="1">
        <f t="array" aca="1" ref="E34" ca="1">IF('Raw Data'!D34 = "","",IF(AND(LEN('Raw Data'!D34) &lt; 255,LEN('Raw Data'!D34)&gt; 0),"",_xlfn.REGEXEXTRACT(CELL("address",'Raw Data'!D34),"\$([A-Z]+)\$[0-9]+")))</f>
        <v/>
      </c>
      <c r="F34" t="str" cm="1">
        <f t="array" aca="1" ref="F34" ca="1">IFERROR(IF(OR('Raw Data'!F34="",LEN(TRIM('Raw Data'!F34))=0),"",IF(AND(LEN('Raw Data'!F34) &lt;= 255,LEN('Raw Data'!F34)&gt; 0),"",_xlfn.REGEXEXTRACT(CELL("address",'Raw Data'!F34),"\$([A-Z]+)\$[0-9]+"))),_xlfn.REGEXEXTRACT(CELL("address",'Raw Data'!F34),"\$([A-Z]+)\$[0-9]+"))</f>
        <v/>
      </c>
      <c r="G34" s="5" t="s">
        <v>26</v>
      </c>
      <c r="H34" s="8" t="s">
        <v>60</v>
      </c>
    </row>
    <row r="35" spans="2:8" x14ac:dyDescent="0.25">
      <c r="B35" t="str" cm="1">
        <f t="array" aca="1" ref="B35" ca="1">IF('Raw Data'!B35 = "","",IF(AND(LEN('Raw Data'!B35) &lt; 255,LEN('Raw Data'!B35)&gt; 0),"",_xlfn.REGEXEXTRACT(CELL("address",'Raw Data'!B35),"\$([A-Z]+)\$[0-9]+")))</f>
        <v/>
      </c>
      <c r="D35" t="str" cm="1">
        <f t="array" aca="1" ref="D35" ca="1">IF('Raw Data'!C35 = "","",IF(AND(LEN('Raw Data'!C35) &lt; 255,LEN('Raw Data'!C35)&gt; 0),"",_xlfn.REGEXEXTRACT(CELL("address",'Raw Data'!C35),"\$([A-Z]+)\$[0-9]+")))</f>
        <v/>
      </c>
      <c r="E35" t="str" cm="1">
        <f t="array" aca="1" ref="E35" ca="1">IF('Raw Data'!D35 = "","",IF(AND(LEN('Raw Data'!D35) &lt; 255,LEN('Raw Data'!D35)&gt; 0),"",_xlfn.REGEXEXTRACT(CELL("address",'Raw Data'!D35),"\$([A-Z]+)\$[0-9]+")))</f>
        <v/>
      </c>
      <c r="F35" t="str" cm="1">
        <f t="array" aca="1" ref="F35" ca="1">IFERROR(IF(OR('Raw Data'!F35="",LEN(TRIM('Raw Data'!F35))=0),"",IF(AND(LEN('Raw Data'!F35) &lt;= 255,LEN('Raw Data'!F35)&gt; 0),"",_xlfn.REGEXEXTRACT(CELL("address",'Raw Data'!F35),"\$([A-Z]+)\$[0-9]+"))),_xlfn.REGEXEXTRACT(CELL("address",'Raw Data'!F35),"\$([A-Z]+)\$[0-9]+"))</f>
        <v/>
      </c>
      <c r="G35" s="5" t="s">
        <v>27</v>
      </c>
      <c r="H35" s="8" t="s">
        <v>60</v>
      </c>
    </row>
    <row r="36" spans="2:8" x14ac:dyDescent="0.25">
      <c r="B36" t="str" cm="1">
        <f t="array" aca="1" ref="B36" ca="1">IF('Raw Data'!B36 = "","",IF(AND(LEN('Raw Data'!B36) &lt; 255,LEN('Raw Data'!B36)&gt; 0),"",_xlfn.REGEXEXTRACT(CELL("address",'Raw Data'!B36),"\$([A-Z]+)\$[0-9]+")))</f>
        <v/>
      </c>
      <c r="D36" t="str" cm="1">
        <f t="array" aca="1" ref="D36" ca="1">IF('Raw Data'!C36 = "","",IF(AND(LEN('Raw Data'!C36) &lt; 255,LEN('Raw Data'!C36)&gt; 0),"",_xlfn.REGEXEXTRACT(CELL("address",'Raw Data'!C36),"\$([A-Z]+)\$[0-9]+")))</f>
        <v/>
      </c>
      <c r="E36" t="str" cm="1">
        <f t="array" aca="1" ref="E36" ca="1">IF('Raw Data'!D36 = "","",IF(AND(LEN('Raw Data'!D36) &lt; 255,LEN('Raw Data'!D36)&gt; 0),"",_xlfn.REGEXEXTRACT(CELL("address",'Raw Data'!D36),"\$([A-Z]+)\$[0-9]+")))</f>
        <v/>
      </c>
      <c r="F36" t="str" cm="1">
        <f t="array" aca="1" ref="F36" ca="1">IFERROR(IF(OR('Raw Data'!F36="",LEN(TRIM('Raw Data'!F36))=0),"",IF(AND(LEN('Raw Data'!F36) &lt;= 255,LEN('Raw Data'!F36)&gt; 0),"",_xlfn.REGEXEXTRACT(CELL("address",'Raw Data'!F36),"\$([A-Z]+)\$[0-9]+"))),_xlfn.REGEXEXTRACT(CELL("address",'Raw Data'!F36),"\$([A-Z]+)\$[0-9]+"))</f>
        <v/>
      </c>
      <c r="G36" s="5" t="s">
        <v>28</v>
      </c>
      <c r="H36" s="8" t="s">
        <v>60</v>
      </c>
    </row>
    <row r="37" spans="2:8" x14ac:dyDescent="0.25">
      <c r="B37" t="str" cm="1">
        <f t="array" aca="1" ref="B37" ca="1">IF('Raw Data'!B37 = "","",IF(AND(LEN('Raw Data'!B37) &lt; 255,LEN('Raw Data'!B37)&gt; 0),"",_xlfn.REGEXEXTRACT(CELL("address",'Raw Data'!B37),"\$([A-Z]+)\$[0-9]+")))</f>
        <v/>
      </c>
      <c r="D37" t="str" cm="1">
        <f t="array" aca="1" ref="D37" ca="1">IF('Raw Data'!C37 = "","",IF(AND(LEN('Raw Data'!C37) &lt; 255,LEN('Raw Data'!C37)&gt; 0),"",_xlfn.REGEXEXTRACT(CELL("address",'Raw Data'!C37),"\$([A-Z]+)\$[0-9]+")))</f>
        <v/>
      </c>
      <c r="E37" t="str" cm="1">
        <f t="array" aca="1" ref="E37" ca="1">IF('Raw Data'!D37 = "","",IF(AND(LEN('Raw Data'!D37) &lt; 255,LEN('Raw Data'!D37)&gt; 0),"",_xlfn.REGEXEXTRACT(CELL("address",'Raw Data'!D37),"\$([A-Z]+)\$[0-9]+")))</f>
        <v/>
      </c>
      <c r="F37" t="str" cm="1">
        <f t="array" aca="1" ref="F37" ca="1">IFERROR(IF(OR('Raw Data'!F37="",LEN(TRIM('Raw Data'!F37))=0),"",IF(AND(LEN('Raw Data'!F37) &lt;= 255,LEN('Raw Data'!F37)&gt; 0),"",_xlfn.REGEXEXTRACT(CELL("address",'Raw Data'!F37),"\$([A-Z]+)\$[0-9]+"))),_xlfn.REGEXEXTRACT(CELL("address",'Raw Data'!F37),"\$([A-Z]+)\$[0-9]+"))</f>
        <v/>
      </c>
      <c r="G37" s="5" t="s">
        <v>29</v>
      </c>
      <c r="H37" s="8" t="s">
        <v>60</v>
      </c>
    </row>
    <row r="38" spans="2:8" x14ac:dyDescent="0.25">
      <c r="B38" t="str" cm="1">
        <f t="array" aca="1" ref="B38" ca="1">IF('Raw Data'!B38 = "","",IF(AND(LEN('Raw Data'!B38) &lt; 255,LEN('Raw Data'!B38)&gt; 0),"",_xlfn.REGEXEXTRACT(CELL("address",'Raw Data'!B38),"\$([A-Z]+)\$[0-9]+")))</f>
        <v/>
      </c>
      <c r="D38" t="str" cm="1">
        <f t="array" aca="1" ref="D38" ca="1">IF('Raw Data'!C38 = "","",IF(AND(LEN('Raw Data'!C38) &lt; 255,LEN('Raw Data'!C38)&gt; 0),"",_xlfn.REGEXEXTRACT(CELL("address",'Raw Data'!C38),"\$([A-Z]+)\$[0-9]+")))</f>
        <v/>
      </c>
      <c r="E38" t="str" cm="1">
        <f t="array" aca="1" ref="E38" ca="1">IF('Raw Data'!D38 = "","",IF(AND(LEN('Raw Data'!D38) &lt; 255,LEN('Raw Data'!D38)&gt; 0),"",_xlfn.REGEXEXTRACT(CELL("address",'Raw Data'!D38),"\$([A-Z]+)\$[0-9]+")))</f>
        <v/>
      </c>
      <c r="F38" t="str" cm="1">
        <f t="array" aca="1" ref="F38" ca="1">IFERROR(IF(OR('Raw Data'!F38="",LEN(TRIM('Raw Data'!F38))=0),"",IF(AND(LEN('Raw Data'!F38) &lt;= 255,LEN('Raw Data'!F38)&gt; 0),"",_xlfn.REGEXEXTRACT(CELL("address",'Raw Data'!F38),"\$([A-Z]+)\$[0-9]+"))),_xlfn.REGEXEXTRACT(CELL("address",'Raw Data'!F38),"\$([A-Z]+)\$[0-9]+"))</f>
        <v/>
      </c>
      <c r="G38" s="5" t="s">
        <v>30</v>
      </c>
      <c r="H38" s="8" t="s">
        <v>60</v>
      </c>
    </row>
    <row r="39" spans="2:8" x14ac:dyDescent="0.25">
      <c r="B39" t="str" cm="1">
        <f t="array" aca="1" ref="B39" ca="1">IF('Raw Data'!B39 = "","",IF(AND(LEN('Raw Data'!B39) &lt; 255,LEN('Raw Data'!B39)&gt; 0),"",_xlfn.REGEXEXTRACT(CELL("address",'Raw Data'!B39),"\$([A-Z]+)\$[0-9]+")))</f>
        <v/>
      </c>
      <c r="D39" t="str" cm="1">
        <f t="array" aca="1" ref="D39" ca="1">IF('Raw Data'!C39 = "","",IF(AND(LEN('Raw Data'!C39) &lt; 255,LEN('Raw Data'!C39)&gt; 0),"",_xlfn.REGEXEXTRACT(CELL("address",'Raw Data'!C39),"\$([A-Z]+)\$[0-9]+")))</f>
        <v/>
      </c>
      <c r="E39" t="str" cm="1">
        <f t="array" aca="1" ref="E39" ca="1">IF('Raw Data'!D39 = "","",IF(AND(LEN('Raw Data'!D39) &lt; 255,LEN('Raw Data'!D39)&gt; 0),"",_xlfn.REGEXEXTRACT(CELL("address",'Raw Data'!D39),"\$([A-Z]+)\$[0-9]+")))</f>
        <v/>
      </c>
      <c r="F39" t="str" cm="1">
        <f t="array" aca="1" ref="F39" ca="1">IFERROR(IF(OR('Raw Data'!F39="",LEN(TRIM('Raw Data'!F39))=0),"",IF(AND(LEN('Raw Data'!F39) &lt;= 255,LEN('Raw Data'!F39)&gt; 0),"",_xlfn.REGEXEXTRACT(CELL("address",'Raw Data'!F39),"\$([A-Z]+)\$[0-9]+"))),_xlfn.REGEXEXTRACT(CELL("address",'Raw Data'!F39),"\$([A-Z]+)\$[0-9]+"))</f>
        <v/>
      </c>
      <c r="G39" s="5" t="s">
        <v>31</v>
      </c>
      <c r="H39" s="8" t="s">
        <v>60</v>
      </c>
    </row>
    <row r="40" spans="2:8" x14ac:dyDescent="0.25">
      <c r="B40" t="str" cm="1">
        <f t="array" aca="1" ref="B40" ca="1">IF('Raw Data'!B40 = "","",IF(AND(LEN('Raw Data'!B40) &lt; 255,LEN('Raw Data'!B40)&gt; 0),"",_xlfn.REGEXEXTRACT(CELL("address",'Raw Data'!B40),"\$([A-Z]+)\$[0-9]+")))</f>
        <v/>
      </c>
      <c r="D40" t="str" cm="1">
        <f t="array" aca="1" ref="D40" ca="1">IF('Raw Data'!C40 = "","",IF(AND(LEN('Raw Data'!C40) &lt; 255,LEN('Raw Data'!C40)&gt; 0),"",_xlfn.REGEXEXTRACT(CELL("address",'Raw Data'!C40),"\$([A-Z]+)\$[0-9]+")))</f>
        <v/>
      </c>
      <c r="E40" t="str" cm="1">
        <f t="array" aca="1" ref="E40" ca="1">IF('Raw Data'!D40 = "","",IF(AND(LEN('Raw Data'!D40) &lt; 255,LEN('Raw Data'!D40)&gt; 0),"",_xlfn.REGEXEXTRACT(CELL("address",'Raw Data'!D40),"\$([A-Z]+)\$[0-9]+")))</f>
        <v/>
      </c>
      <c r="F40" t="str" cm="1">
        <f t="array" aca="1" ref="F40" ca="1">IFERROR(IF(OR('Raw Data'!F40="",LEN(TRIM('Raw Data'!F40))=0),"",IF(AND(LEN('Raw Data'!F40) &lt;= 255,LEN('Raw Data'!F40)&gt; 0),"",_xlfn.REGEXEXTRACT(CELL("address",'Raw Data'!F40),"\$([A-Z]+)\$[0-9]+"))),_xlfn.REGEXEXTRACT(CELL("address",'Raw Data'!F40),"\$([A-Z]+)\$[0-9]+"))</f>
        <v/>
      </c>
      <c r="G40" s="5" t="s">
        <v>32</v>
      </c>
      <c r="H40" s="8" t="s">
        <v>60</v>
      </c>
    </row>
    <row r="41" spans="2:8" x14ac:dyDescent="0.25">
      <c r="B41" t="str" cm="1">
        <f t="array" aca="1" ref="B41" ca="1">IF('Raw Data'!B41 = "","",IF(AND(LEN('Raw Data'!B41) &lt; 255,LEN('Raw Data'!B41)&gt; 0),"",_xlfn.REGEXEXTRACT(CELL("address",'Raw Data'!B41),"\$([A-Z]+)\$[0-9]+")))</f>
        <v/>
      </c>
      <c r="D41" t="str" cm="1">
        <f t="array" aca="1" ref="D41" ca="1">IF('Raw Data'!C41 = "","",IF(AND(LEN('Raw Data'!C41) &lt; 255,LEN('Raw Data'!C41)&gt; 0),"",_xlfn.REGEXEXTRACT(CELL("address",'Raw Data'!C41),"\$([A-Z]+)\$[0-9]+")))</f>
        <v/>
      </c>
      <c r="E41" t="str" cm="1">
        <f t="array" aca="1" ref="E41" ca="1">IF('Raw Data'!D41 = "","",IF(AND(LEN('Raw Data'!D41) &lt; 255,LEN('Raw Data'!D41)&gt; 0),"",_xlfn.REGEXEXTRACT(CELL("address",'Raw Data'!D41),"\$([A-Z]+)\$[0-9]+")))</f>
        <v/>
      </c>
      <c r="F41" t="str" cm="1">
        <f t="array" aca="1" ref="F41" ca="1">IFERROR(IF(OR('Raw Data'!F41="",LEN(TRIM('Raw Data'!F41))=0),"",IF(AND(LEN('Raw Data'!F41) &lt;= 255,LEN('Raw Data'!F41)&gt; 0),"",_xlfn.REGEXEXTRACT(CELL("address",'Raw Data'!F41),"\$([A-Z]+)\$[0-9]+"))),_xlfn.REGEXEXTRACT(CELL("address",'Raw Data'!F41),"\$([A-Z]+)\$[0-9]+"))</f>
        <v/>
      </c>
      <c r="G41" s="5" t="s">
        <v>33</v>
      </c>
      <c r="H41" s="8" t="s">
        <v>60</v>
      </c>
    </row>
    <row r="42" spans="2:8" x14ac:dyDescent="0.25">
      <c r="B42" t="str" cm="1">
        <f t="array" aca="1" ref="B42" ca="1">IF('Raw Data'!B42 = "","",IF(AND(LEN('Raw Data'!B42) &lt; 255,LEN('Raw Data'!B42)&gt; 0),"",_xlfn.REGEXEXTRACT(CELL("address",'Raw Data'!B42),"\$([A-Z]+)\$[0-9]+")))</f>
        <v/>
      </c>
      <c r="D42" t="str" cm="1">
        <f t="array" aca="1" ref="D42" ca="1">IF('Raw Data'!C42 = "","",IF(AND(LEN('Raw Data'!C42) &lt; 255,LEN('Raw Data'!C42)&gt; 0),"",_xlfn.REGEXEXTRACT(CELL("address",'Raw Data'!C42),"\$([A-Z]+)\$[0-9]+")))</f>
        <v/>
      </c>
      <c r="E42" t="str" cm="1">
        <f t="array" aca="1" ref="E42" ca="1">IF('Raw Data'!D42 = "","",IF(AND(LEN('Raw Data'!D42) &lt; 255,LEN('Raw Data'!D42)&gt; 0),"",_xlfn.REGEXEXTRACT(CELL("address",'Raw Data'!D42),"\$([A-Z]+)\$[0-9]+")))</f>
        <v/>
      </c>
      <c r="F42" t="str" cm="1">
        <f t="array" aca="1" ref="F42" ca="1">IFERROR(IF(OR('Raw Data'!F42="",LEN(TRIM('Raw Data'!F42))=0),"",IF(AND(LEN('Raw Data'!F42) &lt;= 255,LEN('Raw Data'!F42)&gt; 0),"",_xlfn.REGEXEXTRACT(CELL("address",'Raw Data'!F42),"\$([A-Z]+)\$[0-9]+"))),_xlfn.REGEXEXTRACT(CELL("address",'Raw Data'!F42),"\$([A-Z]+)\$[0-9]+"))</f>
        <v/>
      </c>
      <c r="G42" s="5" t="s">
        <v>34</v>
      </c>
      <c r="H42" s="8" t="s">
        <v>60</v>
      </c>
    </row>
    <row r="43" spans="2:8" x14ac:dyDescent="0.25">
      <c r="B43" t="str" cm="1">
        <f t="array" aca="1" ref="B43" ca="1">IF('Raw Data'!B43 = "","",IF(AND(LEN('Raw Data'!B43) &lt; 255,LEN('Raw Data'!B43)&gt; 0),"",_xlfn.REGEXEXTRACT(CELL("address",'Raw Data'!B43),"\$([A-Z]+)\$[0-9]+")))</f>
        <v/>
      </c>
      <c r="D43" t="str" cm="1">
        <f t="array" aca="1" ref="D43" ca="1">IF('Raw Data'!C43 = "","",IF(AND(LEN('Raw Data'!C43) &lt; 255,LEN('Raw Data'!C43)&gt; 0),"",_xlfn.REGEXEXTRACT(CELL("address",'Raw Data'!C43),"\$([A-Z]+)\$[0-9]+")))</f>
        <v/>
      </c>
      <c r="E43" t="str" cm="1">
        <f t="array" aca="1" ref="E43" ca="1">IF('Raw Data'!D43 = "","",IF(AND(LEN('Raw Data'!D43) &lt; 255,LEN('Raw Data'!D43)&gt; 0),"",_xlfn.REGEXEXTRACT(CELL("address",'Raw Data'!D43),"\$([A-Z]+)\$[0-9]+")))</f>
        <v/>
      </c>
      <c r="F43" t="str" cm="1">
        <f t="array" aca="1" ref="F43" ca="1">IFERROR(IF(OR('Raw Data'!F43="",LEN(TRIM('Raw Data'!F43))=0),"",IF(AND(LEN('Raw Data'!F43) &lt;= 255,LEN('Raw Data'!F43)&gt; 0),"",_xlfn.REGEXEXTRACT(CELL("address",'Raw Data'!F43),"\$([A-Z]+)\$[0-9]+"))),_xlfn.REGEXEXTRACT(CELL("address",'Raw Data'!F43),"\$([A-Z]+)\$[0-9]+"))</f>
        <v/>
      </c>
      <c r="G43" s="5" t="s">
        <v>35</v>
      </c>
      <c r="H43" s="8" t="s">
        <v>60</v>
      </c>
    </row>
    <row r="44" spans="2:8" x14ac:dyDescent="0.25">
      <c r="B44" t="str" cm="1">
        <f t="array" aca="1" ref="B44" ca="1">IF('Raw Data'!B44 = "","",IF(AND(LEN('Raw Data'!B44) &lt; 255,LEN('Raw Data'!B44)&gt; 0),"",_xlfn.REGEXEXTRACT(CELL("address",'Raw Data'!B44),"\$([A-Z]+)\$[0-9]+")))</f>
        <v/>
      </c>
      <c r="D44" t="str" cm="1">
        <f t="array" aca="1" ref="D44" ca="1">IF('Raw Data'!C44 = "","",IF(AND(LEN('Raw Data'!C44) &lt; 255,LEN('Raw Data'!C44)&gt; 0),"",_xlfn.REGEXEXTRACT(CELL("address",'Raw Data'!C44),"\$([A-Z]+)\$[0-9]+")))</f>
        <v/>
      </c>
      <c r="E44" t="str" cm="1">
        <f t="array" aca="1" ref="E44" ca="1">IF('Raw Data'!D44 = "","",IF(AND(LEN('Raw Data'!D44) &lt; 255,LEN('Raw Data'!D44)&gt; 0),"",_xlfn.REGEXEXTRACT(CELL("address",'Raw Data'!D44),"\$([A-Z]+)\$[0-9]+")))</f>
        <v/>
      </c>
      <c r="F44" t="str" cm="1">
        <f t="array" aca="1" ref="F44" ca="1">IFERROR(IF(OR('Raw Data'!F44="",LEN(TRIM('Raw Data'!F44))=0),"",IF(ISNUMBER('Raw Data'!F44),"",_xlfn.REGEXEXTRACT(CELL("address",B10), "\$([A-Z]+)\$[0-9]+"))),_xlfn.REGEXEXTRACT(CELL("address",B10), "\$([A-Z]+)\$[0-9]+"))</f>
        <v/>
      </c>
      <c r="G44" s="5" t="s">
        <v>36</v>
      </c>
      <c r="H44" s="13" t="s">
        <v>62</v>
      </c>
    </row>
    <row r="45" spans="2:8" x14ac:dyDescent="0.25">
      <c r="B45" t="str" cm="1">
        <f t="array" aca="1" ref="B45" ca="1">IF('Raw Data'!B45 = "","",IF(AND(LEN('Raw Data'!B45) &lt; 255,LEN('Raw Data'!B45)&gt; 0),"",_xlfn.REGEXEXTRACT(CELL("address",'Raw Data'!B45),"\$([A-Z]+)\$[0-9]+")))</f>
        <v/>
      </c>
      <c r="D45" t="str" cm="1">
        <f t="array" aca="1" ref="D45" ca="1">IF('Raw Data'!C45 = "","",IF(AND(LEN('Raw Data'!C45) &lt; 255,LEN('Raw Data'!C45)&gt; 0),"",_xlfn.REGEXEXTRACT(CELL("address",'Raw Data'!C45),"\$([A-Z]+)\$[0-9]+")))</f>
        <v/>
      </c>
      <c r="E45" t="str" cm="1">
        <f t="array" aca="1" ref="E45" ca="1">IF('Raw Data'!D45 = "","",IF(AND(LEN('Raw Data'!D45) &lt; 255,LEN('Raw Data'!D45)&gt; 0),"",_xlfn.REGEXEXTRACT(CELL("address",'Raw Data'!D45),"\$([A-Z]+)\$[0-9]+")))</f>
        <v/>
      </c>
      <c r="F45" t="str" cm="1">
        <f t="array" aca="1" ref="F45" ca="1">IFERROR(IF(OR('Raw Data'!F45="",LEN(TRIM('Raw Data'!F45))=0),"",IF(AND(LEN('Raw Data'!F45) &lt;= 255,LEN('Raw Data'!F45)&gt; 0),"",_xlfn.REGEXEXTRACT(CELL("address",'Raw Data'!F45),"\$([A-Z]+)\$[0-9]+"))),_xlfn.REGEXEXTRACT(CELL("address",'Raw Data'!F45),"\$([A-Z]+)\$[0-9]+"))</f>
        <v/>
      </c>
      <c r="G45" s="5" t="s">
        <v>37</v>
      </c>
      <c r="H45" s="8" t="s">
        <v>60</v>
      </c>
    </row>
    <row r="46" spans="2:8" x14ac:dyDescent="0.25">
      <c r="B46" t="str" cm="1">
        <f t="array" aca="1" ref="B46" ca="1">IF('Raw Data'!B46 = "","",IF(AND(LEN('Raw Data'!B46) &lt; 255,LEN('Raw Data'!B46)&gt; 0),"",_xlfn.REGEXEXTRACT(CELL("address",'Raw Data'!B46),"\$([A-Z]+)\$[0-9]+")))</f>
        <v/>
      </c>
      <c r="D46" t="str" cm="1">
        <f t="array" aca="1" ref="D46" ca="1">IF('Raw Data'!C46 = "","",IF(AND(LEN('Raw Data'!C46) &lt; 255,LEN('Raw Data'!C46)&gt; 0),"",_xlfn.REGEXEXTRACT(CELL("address",'Raw Data'!C46),"\$([A-Z]+)\$[0-9]+")))</f>
        <v/>
      </c>
      <c r="E46" t="str" cm="1">
        <f t="array" aca="1" ref="E46" ca="1">IF('Raw Data'!D46 = "","",IF(AND(LEN('Raw Data'!D46) &lt; 255,LEN('Raw Data'!D46)&gt; 0),"",_xlfn.REGEXEXTRACT(CELL("address",'Raw Data'!D46),"\$([A-Z]+)\$[0-9]+")))</f>
        <v/>
      </c>
      <c r="F46" t="str" cm="1">
        <f t="array" aca="1" ref="F46" ca="1">IFERROR(IF(OR('Raw Data'!F46="",LEN(TRIM('Raw Data'!F46))=0),"",IF(AND(LEN('Raw Data'!F46) &lt;= 255,LEN('Raw Data'!F46)&gt; 0),"",_xlfn.REGEXEXTRACT(CELL("address",'Raw Data'!F46),"\$([A-Z]+)\$[0-9]+"))),_xlfn.REGEXEXTRACT(CELL("address",'Raw Data'!F46),"\$([A-Z]+)\$[0-9]+"))</f>
        <v/>
      </c>
      <c r="G46" s="5" t="s">
        <v>38</v>
      </c>
      <c r="H46" s="8" t="s">
        <v>60</v>
      </c>
    </row>
    <row r="47" spans="2:8" x14ac:dyDescent="0.25">
      <c r="B47" t="str" cm="1">
        <f t="array" aca="1" ref="B47" ca="1">IF('Raw Data'!B47 = "","",IF(AND(LEN('Raw Data'!B47) &lt; 255,LEN('Raw Data'!B47)&gt; 0),"",_xlfn.REGEXEXTRACT(CELL("address",'Raw Data'!B47),"\$([A-Z]+)\$[0-9]+")))</f>
        <v/>
      </c>
      <c r="D47" t="str" cm="1">
        <f t="array" aca="1" ref="D47" ca="1">IF('Raw Data'!C47 = "","",IF(AND(LEN('Raw Data'!C47) &lt; 255,LEN('Raw Data'!C47)&gt; 0),"",_xlfn.REGEXEXTRACT(CELL("address",'Raw Data'!C47),"\$([A-Z]+)\$[0-9]+")))</f>
        <v/>
      </c>
      <c r="E47" t="str" cm="1">
        <f t="array" aca="1" ref="E47" ca="1">IF('Raw Data'!D47 = "","",IF(AND(LEN('Raw Data'!D47) &lt; 255,LEN('Raw Data'!D47)&gt; 0),"",_xlfn.REGEXEXTRACT(CELL("address",'Raw Data'!D47),"\$([A-Z]+)\$[0-9]+")))</f>
        <v/>
      </c>
      <c r="F47" t="str" cm="1">
        <f t="array" aca="1" ref="F47" ca="1">IFERROR(IF(OR('Raw Data'!F47="",LEN(TRIM('Raw Data'!F47))=0),"",IF(AND(ISNUMBER('Raw Data'!F47), IFERROR('Raw Data'!F47 = ROUND('Raw Data'!F47, 4),FALSE)),"",_xlfn.REGEXEXTRACT(CELL("address",F47), "\$([A-Z]+)\$[0-9]+"))),_xlfn.REGEXEXTRACT(CELL("address",E10), "\$([A-Z]+)\$[0-9]+"))</f>
        <v/>
      </c>
      <c r="G47" s="5" t="s">
        <v>39</v>
      </c>
      <c r="H47" s="10" t="s">
        <v>63</v>
      </c>
    </row>
    <row r="48" spans="2:8" x14ac:dyDescent="0.25">
      <c r="B48" t="str" cm="1">
        <f t="array" aca="1" ref="B48" ca="1">IF('Raw Data'!B48 = "","",IF(AND(LEN('Raw Data'!B48) &lt; 255,LEN('Raw Data'!B48)&gt; 0),"",_xlfn.REGEXEXTRACT(CELL("address",'Raw Data'!B48),"\$([A-Z]+)\$[0-9]+")))</f>
        <v/>
      </c>
      <c r="D48" t="str" cm="1">
        <f t="array" aca="1" ref="D48" ca="1">IF('Raw Data'!C48 = "","",IF(AND(LEN('Raw Data'!C48) &lt; 255,LEN('Raw Data'!C48)&gt; 0),"",_xlfn.REGEXEXTRACT(CELL("address",'Raw Data'!C48),"\$([A-Z]+)\$[0-9]+")))</f>
        <v/>
      </c>
      <c r="E48" t="str" cm="1">
        <f t="array" aca="1" ref="E48" ca="1">IF('Raw Data'!D48 = "","",IF(AND(LEN('Raw Data'!D48) &lt; 255,LEN('Raw Data'!D48)&gt; 0),"",_xlfn.REGEXEXTRACT(CELL("address",'Raw Data'!D48),"\$([A-Z]+)\$[0-9]+")))</f>
        <v/>
      </c>
      <c r="F48" t="str" cm="1">
        <f t="array" aca="1" ref="F48" ca="1">IFERROR(IF(OR('Raw Data'!F48="",LEN(TRIM('Raw Data'!F48))=0),"",IF(AND(ISNUMBER('Raw Data'!F48), IFERROR('Raw Data'!F48 = ROUND('Raw Data'!F48, 4),FALSE)),"",_xlfn.REGEXEXTRACT(CELL("address",F48), "\$([A-Z]+)\$[0-9]+"))),_xlfn.REGEXEXTRACT(CELL("address",E11), "\$([A-Z]+)\$[0-9]+"))</f>
        <v/>
      </c>
      <c r="G48" s="5" t="s">
        <v>40</v>
      </c>
      <c r="H48" s="10" t="s">
        <v>63</v>
      </c>
    </row>
    <row r="49" spans="2:8" x14ac:dyDescent="0.25">
      <c r="B49" t="str" cm="1">
        <f t="array" aca="1" ref="B49" ca="1">IF('Raw Data'!B49 = "","",IF(AND(LEN('Raw Data'!B49) &lt; 255,LEN('Raw Data'!B49)&gt; 0),"",_xlfn.REGEXEXTRACT(CELL("address",'Raw Data'!B49),"\$([A-Z]+)\$[0-9]+")))</f>
        <v/>
      </c>
      <c r="D49" t="str" cm="1">
        <f t="array" aca="1" ref="D49" ca="1">IF('Raw Data'!C49 = "","",IF(AND(LEN('Raw Data'!C49) &lt; 255,LEN('Raw Data'!C49)&gt; 0),"",_xlfn.REGEXEXTRACT(CELL("address",'Raw Data'!C49),"\$([A-Z]+)\$[0-9]+")))</f>
        <v/>
      </c>
      <c r="E49" t="str" cm="1">
        <f t="array" aca="1" ref="E49" ca="1">IF('Raw Data'!D49 = "","",IF(AND(LEN('Raw Data'!D49) &lt; 255,LEN('Raw Data'!D49)&gt; 0),"",_xlfn.REGEXEXTRACT(CELL("address",'Raw Data'!D49),"\$([A-Z]+)\$[0-9]+")))</f>
        <v/>
      </c>
      <c r="F49" t="str" cm="1">
        <f t="array" aca="1" ref="F49" ca="1">IFERROR(IF(OR('Raw Data'!F49="",LEN(TRIM('Raw Data'!F49))=0),"",IF(AND(ISNUMBER('Raw Data'!F49), IFERROR('Raw Data'!F49 = ROUND('Raw Data'!F49, 4),FALSE)),"",_xlfn.REGEXEXTRACT(CELL("address",F49), "\$([A-Z]+)\$[0-9]+"))),_xlfn.REGEXEXTRACT(CELL("address",E12), "\$([A-Z]+)\$[0-9]+"))</f>
        <v/>
      </c>
      <c r="G49" s="5" t="s">
        <v>41</v>
      </c>
      <c r="H49" s="10" t="s">
        <v>63</v>
      </c>
    </row>
    <row r="50" spans="2:8" x14ac:dyDescent="0.25">
      <c r="B50" t="str" cm="1">
        <f t="array" aca="1" ref="B50" ca="1">IF('Raw Data'!B50 = "","",IF(AND(LEN('Raw Data'!B50) &lt; 255,LEN('Raw Data'!B50)&gt; 0),"",_xlfn.REGEXEXTRACT(CELL("address",'Raw Data'!B50),"\$([A-Z]+)\$[0-9]+")))</f>
        <v/>
      </c>
      <c r="D50" t="str" cm="1">
        <f t="array" aca="1" ref="D50" ca="1">IF('Raw Data'!C50 = "","",IF(AND(LEN('Raw Data'!C50) &lt; 255,LEN('Raw Data'!C50)&gt; 0),"",_xlfn.REGEXEXTRACT(CELL("address",'Raw Data'!C50),"\$([A-Z]+)\$[0-9]+")))</f>
        <v/>
      </c>
      <c r="E50" t="str" cm="1">
        <f t="array" aca="1" ref="E50" ca="1">IF('Raw Data'!D50 = "","",IF(AND(LEN('Raw Data'!D50) &lt; 255,LEN('Raw Data'!D50)&gt; 0),"",_xlfn.REGEXEXTRACT(CELL("address",'Raw Data'!D50),"\$([A-Z]+)\$[0-9]+")))</f>
        <v/>
      </c>
      <c r="F50" t="str" cm="1">
        <f t="array" aca="1" ref="F50" ca="1">IFERROR(IF(OR('Raw Data'!F50="",LEN(TRIM('Raw Data'!F50))=0),"",IF(AND(ISNUMBER('Raw Data'!F50), IFERROR('Raw Data'!F50 = ROUND('Raw Data'!F50, 4),FALSE)),"",_xlfn.REGEXEXTRACT(CELL("address",F50), "\$([A-Z]+)\$[0-9]+"))),_xlfn.REGEXEXTRACT(CELL("address",E13), "\$([A-Z]+)\$[0-9]+"))</f>
        <v/>
      </c>
      <c r="G50" s="5" t="s">
        <v>42</v>
      </c>
      <c r="H50" s="10" t="s">
        <v>63</v>
      </c>
    </row>
    <row r="51" spans="2:8" x14ac:dyDescent="0.25">
      <c r="B51" t="str" cm="1">
        <f t="array" aca="1" ref="B51" ca="1">IF('Raw Data'!B51 = "","",IF(AND(LEN('Raw Data'!B51) &lt; 255,LEN('Raw Data'!B51)&gt; 0),"",_xlfn.REGEXEXTRACT(CELL("address",'Raw Data'!B51),"\$([A-Z]+)\$[0-9]+")))</f>
        <v/>
      </c>
      <c r="D51" t="str" cm="1">
        <f t="array" aca="1" ref="D51" ca="1">IF('Raw Data'!C51 = "","",IF(AND(LEN('Raw Data'!C51) &lt; 255,LEN('Raw Data'!C51)&gt; 0),"",_xlfn.REGEXEXTRACT(CELL("address",'Raw Data'!C51),"\$([A-Z]+)\$[0-9]+")))</f>
        <v/>
      </c>
      <c r="E51" t="str" cm="1">
        <f t="array" aca="1" ref="E51" ca="1">IF('Raw Data'!D51 = "","",IF(AND(LEN('Raw Data'!D51) &lt; 255,LEN('Raw Data'!D51)&gt; 0),"",_xlfn.REGEXEXTRACT(CELL("address",'Raw Data'!D51),"\$([A-Z]+)\$[0-9]+")))</f>
        <v/>
      </c>
      <c r="F51" t="str" cm="1">
        <f t="array" aca="1" ref="F51" ca="1">IFERROR(IF(OR('Raw Data'!F51="",LEN(TRIM('Raw Data'!F51))=0),"",IF(AND(ISNUMBER('Raw Data'!F51), IFERROR('Raw Data'!F51 = ROUND('Raw Data'!F51, 4),FALSE)),"",_xlfn.REGEXEXTRACT(CELL("address",F51), "\$([A-Z]+)\$[0-9]+"))),_xlfn.REGEXEXTRACT(CELL("address",E14), "\$([A-Z]+)\$[0-9]+"))</f>
        <v/>
      </c>
      <c r="G51" s="5" t="s">
        <v>43</v>
      </c>
      <c r="H51" s="10" t="s">
        <v>63</v>
      </c>
    </row>
    <row r="52" spans="2:8" x14ac:dyDescent="0.25">
      <c r="B52" t="str" cm="1">
        <f t="array" aca="1" ref="B52" ca="1">IF('Raw Data'!B52 = "","",IF(AND(LEN('Raw Data'!B52) &lt; 255,LEN('Raw Data'!B52)&gt; 0),"",_xlfn.REGEXEXTRACT(CELL("address",'Raw Data'!B52),"\$([A-Z]+)\$[0-9]+")))</f>
        <v/>
      </c>
      <c r="D52" t="str" cm="1">
        <f t="array" aca="1" ref="D52" ca="1">IF('Raw Data'!C52 = "","",IF(AND(LEN('Raw Data'!C52) &lt; 255,LEN('Raw Data'!C52)&gt; 0),"",_xlfn.REGEXEXTRACT(CELL("address",'Raw Data'!C52),"\$([A-Z]+)\$[0-9]+")))</f>
        <v/>
      </c>
      <c r="E52" t="str" cm="1">
        <f t="array" aca="1" ref="E52" ca="1">IF('Raw Data'!D52 = "","",IF(AND(LEN('Raw Data'!D52) &lt; 255,LEN('Raw Data'!D52)&gt; 0),"",_xlfn.REGEXEXTRACT(CELL("address",'Raw Data'!D52),"\$([A-Z]+)\$[0-9]+")))</f>
        <v/>
      </c>
      <c r="F52" t="str" cm="1">
        <f t="array" aca="1" ref="F52" ca="1">IFERROR(IF(OR('Raw Data'!F52="",LEN(TRIM('Raw Data'!F52))=0),"",IF(AND(LEN('Raw Data'!F52) &lt;= 255,LEN('Raw Data'!F52)&gt; 0),"",_xlfn.REGEXEXTRACT(CELL("address",'Raw Data'!F52),"\$([A-Z]+)\$[0-9]+"))),_xlfn.REGEXEXTRACT(CELL("address",'Raw Data'!F52),"\$([A-Z]+)\$[0-9]+"))</f>
        <v/>
      </c>
      <c r="G52" s="5" t="s">
        <v>44</v>
      </c>
      <c r="H52" s="8" t="s">
        <v>60</v>
      </c>
    </row>
    <row r="53" spans="2:8" x14ac:dyDescent="0.25">
      <c r="B53" t="str" cm="1">
        <f t="array" aca="1" ref="B53" ca="1">IF('Raw Data'!B53 = "","",IF(AND(LEN('Raw Data'!B53) &lt; 255,LEN('Raw Data'!B53)&gt; 0),"",_xlfn.REGEXEXTRACT(CELL("address",'Raw Data'!B53),"\$([A-Z]+)\$[0-9]+")))</f>
        <v/>
      </c>
      <c r="D53" t="str" cm="1">
        <f t="array" aca="1" ref="D53" ca="1">IF('Raw Data'!C53 = "","",IF(AND(LEN('Raw Data'!C53) &lt; 255,LEN('Raw Data'!C53)&gt; 0),"",_xlfn.REGEXEXTRACT(CELL("address",'Raw Data'!C53),"\$([A-Z]+)\$[0-9]+")))</f>
        <v/>
      </c>
      <c r="E53" t="str" cm="1">
        <f t="array" aca="1" ref="E53" ca="1">IF('Raw Data'!D53 = "","",IF(AND(LEN('Raw Data'!D53) &lt; 255,LEN('Raw Data'!D53)&gt; 0),"",_xlfn.REGEXEXTRACT(CELL("address",'Raw Data'!D53),"\$([A-Z]+)\$[0-9]+")))</f>
        <v/>
      </c>
      <c r="F53" t="str" cm="1">
        <f t="array" aca="1" ref="F53" ca="1">IFERROR(IF(OR('Raw Data'!F53="",LEN(TRIM('Raw Data'!F53))=0),"",IF(AND(ISNUMBER('Raw Data'!F53), IFERROR('Raw Data'!F53 = ROUND('Raw Data'!F53, 2),FALSE)),"",_xlfn.REGEXEXTRACT(CELL("address",F53), "\$([A-Z]+)\$[0-9]+"))),_xlfn.REGEXEXTRACT(CELL("address",E16), "\$([A-Z]+)\$[0-9]+"))</f>
        <v/>
      </c>
      <c r="G53" s="5" t="s">
        <v>45</v>
      </c>
      <c r="H53" s="10" t="s">
        <v>64</v>
      </c>
    </row>
    <row r="54" spans="2:8" x14ac:dyDescent="0.25">
      <c r="B54" t="str" cm="1">
        <f t="array" aca="1" ref="B54" ca="1">IF('Raw Data'!B54 = "","",IF(AND(LEN('Raw Data'!B54) &lt; 255,LEN('Raw Data'!B54)&gt; 0),"",_xlfn.REGEXEXTRACT(CELL("address",'Raw Data'!B54),"\$([A-Z]+)\$[0-9]+")))</f>
        <v/>
      </c>
      <c r="D54" t="str" cm="1">
        <f t="array" aca="1" ref="D54" ca="1">IF('Raw Data'!C54 = "","",IF(AND(LEN('Raw Data'!C54) &lt; 255,LEN('Raw Data'!C54)&gt; 0),"",_xlfn.REGEXEXTRACT(CELL("address",'Raw Data'!C54),"\$([A-Z]+)\$[0-9]+")))</f>
        <v/>
      </c>
      <c r="E54" t="str" cm="1">
        <f t="array" aca="1" ref="E54" ca="1">IF('Raw Data'!D54 = "","",IF(AND(LEN('Raw Data'!D54) &lt; 255,LEN('Raw Data'!D54)&gt; 0),"",_xlfn.REGEXEXTRACT(CELL("address",'Raw Data'!D54),"\$([A-Z]+)\$[0-9]+")))</f>
        <v/>
      </c>
      <c r="F54" t="str" cm="1">
        <f t="array" aca="1" ref="F54" ca="1">IFERROR(IF(OR('Raw Data'!F54="",LEN(TRIM('Raw Data'!F54))=0),"",IF(AND(LEN('Raw Data'!F54) &lt;= 255,LEN('Raw Data'!F54)&gt; 0),"",_xlfn.REGEXEXTRACT(CELL("address",'Raw Data'!F54),"\$([A-Z]+)\$[0-9]+"))),_xlfn.REGEXEXTRACT(CELL("address",'Raw Data'!F54),"\$([A-Z]+)\$[0-9]+"))</f>
        <v/>
      </c>
      <c r="G54" s="5" t="s">
        <v>46</v>
      </c>
      <c r="H54" s="8" t="s">
        <v>60</v>
      </c>
    </row>
    <row r="55" spans="2:8" x14ac:dyDescent="0.25">
      <c r="B55" t="str" cm="1">
        <f t="array" aca="1" ref="B55" ca="1">IF('Raw Data'!B55 = "","",IF(AND(LEN('Raw Data'!B55) &lt; 255,LEN('Raw Data'!B55)&gt; 0),"",_xlfn.REGEXEXTRACT(CELL("address",'Raw Data'!B55),"\$([A-Z]+)\$[0-9]+")))</f>
        <v/>
      </c>
      <c r="D55" t="str" cm="1">
        <f t="array" aca="1" ref="D55" ca="1">IF('Raw Data'!C55 = "","",IF(AND(LEN('Raw Data'!C55) &lt; 255,LEN('Raw Data'!C55)&gt; 0),"",_xlfn.REGEXEXTRACT(CELL("address",'Raw Data'!C55),"\$([A-Z]+)\$[0-9]+")))</f>
        <v/>
      </c>
      <c r="E55" t="str" cm="1">
        <f t="array" aca="1" ref="E55" ca="1">IF('Raw Data'!D55 = "","",IF(AND(LEN('Raw Data'!D55) &lt; 255,LEN('Raw Data'!D55)&gt; 0),"",_xlfn.REGEXEXTRACT(CELL("address",'Raw Data'!D55),"\$([A-Z]+)\$[0-9]+")))</f>
        <v/>
      </c>
      <c r="F55" t="str" cm="1">
        <f t="array" aca="1" ref="F55" ca="1">IFERROR(IF(OR('Raw Data'!F55="",LEN(TRIM('Raw Data'!F55))=0),"",IF(AND(LEN('Raw Data'!F55) &lt;= 255,LEN('Raw Data'!F55)&gt; 0),"",_xlfn.REGEXEXTRACT(CELL("address",'Raw Data'!F55),"\$([A-Z]+)\$[0-9]+"))),_xlfn.REGEXEXTRACT(CELL("address",'Raw Data'!F55),"\$([A-Z]+)\$[0-9]+"))</f>
        <v/>
      </c>
      <c r="G55" s="5" t="s">
        <v>47</v>
      </c>
      <c r="H55" s="8" t="s">
        <v>60</v>
      </c>
    </row>
    <row r="56" spans="2:8" x14ac:dyDescent="0.25">
      <c r="B56" t="str" cm="1">
        <f t="array" aca="1" ref="B56" ca="1">IF('Raw Data'!B56 = "","",IF(AND(LEN('Raw Data'!B56) &lt; 255,LEN('Raw Data'!B56)&gt; 0),"",_xlfn.REGEXEXTRACT(CELL("address",'Raw Data'!B56),"\$([A-Z]+)\$[0-9]+")))</f>
        <v/>
      </c>
      <c r="D56" t="str" cm="1">
        <f t="array" aca="1" ref="D56" ca="1">IF('Raw Data'!C56 = "","",IF(AND(LEN('Raw Data'!C56) &lt; 255,LEN('Raw Data'!C56)&gt; 0),"",_xlfn.REGEXEXTRACT(CELL("address",'Raw Data'!C56),"\$([A-Z]+)\$[0-9]+")))</f>
        <v/>
      </c>
      <c r="E56" t="str" cm="1">
        <f t="array" aca="1" ref="E56" ca="1">IF('Raw Data'!D56 = "","",IF(AND(LEN('Raw Data'!D56) &lt; 255,LEN('Raw Data'!D56)&gt; 0),"",_xlfn.REGEXEXTRACT(CELL("address",'Raw Data'!D56),"\$([A-Z]+)\$[0-9]+")))</f>
        <v/>
      </c>
      <c r="F56" t="str" cm="1">
        <f t="array" aca="1" ref="F56" ca="1">IFERROR(IF(OR('Raw Data'!F56="",LEN(TRIM('Raw Data'!F56))=0),"",IF(AND(LEN('Raw Data'!F56) &lt;= 255,LEN('Raw Data'!F56)&gt; 0),"",_xlfn.REGEXEXTRACT(CELL("address",'Raw Data'!F56),"\$([A-Z]+)\$[0-9]+"))),_xlfn.REGEXEXTRACT(CELL("address",'Raw Data'!F56),"\$([A-Z]+)\$[0-9]+"))</f>
        <v/>
      </c>
      <c r="G56" s="5" t="s">
        <v>48</v>
      </c>
      <c r="H56" s="8" t="s">
        <v>60</v>
      </c>
    </row>
    <row r="57" spans="2:8" x14ac:dyDescent="0.25">
      <c r="B57" t="str" cm="1">
        <f t="array" aca="1" ref="B57" ca="1">IF('Raw Data'!B57 = "","",IF(AND(LEN('Raw Data'!B57) &lt; 255,LEN('Raw Data'!B57)&gt; 0),"",_xlfn.REGEXEXTRACT(CELL("address",'Raw Data'!B57),"\$([A-Z]+)\$[0-9]+")))</f>
        <v/>
      </c>
      <c r="D57" t="str" cm="1">
        <f t="array" aca="1" ref="D57" ca="1">IF('Raw Data'!C57 = "","",IF(AND(LEN('Raw Data'!C57) &lt; 255,LEN('Raw Data'!C57)&gt; 0),"",_xlfn.REGEXEXTRACT(CELL("address",'Raw Data'!C57),"\$([A-Z]+)\$[0-9]+")))</f>
        <v/>
      </c>
      <c r="E57" t="str" cm="1">
        <f t="array" aca="1" ref="E57" ca="1">IF('Raw Data'!D57 = "","",IF(AND(LEN('Raw Data'!D57) &lt; 255,LEN('Raw Data'!D57)&gt; 0),"",_xlfn.REGEXEXTRACT(CELL("address",'Raw Data'!D57),"\$([A-Z]+)\$[0-9]+")))</f>
        <v/>
      </c>
      <c r="F57" t="str" cm="1">
        <f t="array" aca="1" ref="F57" ca="1">IFERROR(IF(OR('Raw Data'!F57="",LEN(TRIM('Raw Data'!F57))=0),"",IF(AND(LEN('Raw Data'!F57) &lt;= 255,LEN('Raw Data'!F57)&gt; 0),"",_xlfn.REGEXEXTRACT(CELL("address",'Raw Data'!F57),"\$([A-Z]+)\$[0-9]+"))),_xlfn.REGEXEXTRACT(CELL("address",'Raw Data'!F57),"\$([A-Z]+)\$[0-9]+"))</f>
        <v/>
      </c>
      <c r="G57" s="5" t="s">
        <v>49</v>
      </c>
      <c r="H57" s="8" t="s">
        <v>60</v>
      </c>
    </row>
    <row r="58" spans="2:8" x14ac:dyDescent="0.25">
      <c r="B58" t="str" cm="1">
        <f t="array" aca="1" ref="B58" ca="1">IF('Raw Data'!B58 = "","",IF(AND(LEN('Raw Data'!B58) &lt; 255,LEN('Raw Data'!B58)&gt; 0),"",_xlfn.REGEXEXTRACT(CELL("address",'Raw Data'!B58),"\$([A-Z]+)\$[0-9]+")))</f>
        <v/>
      </c>
      <c r="D58" t="str" cm="1">
        <f t="array" aca="1" ref="D58" ca="1">IF('Raw Data'!C58 = "","",IF(AND(LEN('Raw Data'!C58) &lt; 255,LEN('Raw Data'!C58)&gt; 0),"",_xlfn.REGEXEXTRACT(CELL("address",'Raw Data'!C58),"\$([A-Z]+)\$[0-9]+")))</f>
        <v/>
      </c>
      <c r="E58" t="str" cm="1">
        <f t="array" aca="1" ref="E58" ca="1">IF('Raw Data'!D58 = "","",IF(AND(LEN('Raw Data'!D58) &lt; 255,LEN('Raw Data'!D58)&gt; 0),"",_xlfn.REGEXEXTRACT(CELL("address",'Raw Data'!D58),"\$([A-Z]+)\$[0-9]+")))</f>
        <v/>
      </c>
      <c r="F58" t="str" cm="1">
        <f t="array" aca="1" ref="F58" ca="1">IFERROR(IF(OR('Raw Data'!F58="",LEN(TRIM('Raw Data'!F58))=0),"",IF(AND(LEN('Raw Data'!F58) &lt;= 255,LEN('Raw Data'!F58)&gt; 0),"",_xlfn.REGEXEXTRACT(CELL("address",'Raw Data'!F58),"\$([A-Z]+)\$[0-9]+"))),_xlfn.REGEXEXTRACT(CELL("address",'Raw Data'!F58),"\$([A-Z]+)\$[0-9]+"))</f>
        <v/>
      </c>
      <c r="G58" s="5" t="s">
        <v>50</v>
      </c>
      <c r="H58" s="8" t="s">
        <v>60</v>
      </c>
    </row>
    <row r="59" spans="2:8" x14ac:dyDescent="0.25">
      <c r="B59" t="str" cm="1">
        <f t="array" aca="1" ref="B59" ca="1">IF('Raw Data'!B59 = "","",IF(AND(LEN('Raw Data'!B59) &lt; 255,LEN('Raw Data'!B59)&gt; 0),"",_xlfn.REGEXEXTRACT(CELL("address",'Raw Data'!B59),"\$([A-Z]+)\$[0-9]+")))</f>
        <v/>
      </c>
      <c r="D59" t="str" cm="1">
        <f t="array" aca="1" ref="D59" ca="1">IF('Raw Data'!C59 = "","",IF(AND(LEN('Raw Data'!C59) &lt; 255,LEN('Raw Data'!C59)&gt; 0),"",_xlfn.REGEXEXTRACT(CELL("address",'Raw Data'!C59),"\$([A-Z]+)\$[0-9]+")))</f>
        <v/>
      </c>
      <c r="E59" t="str" cm="1">
        <f t="array" aca="1" ref="E59" ca="1">IF('Raw Data'!D59 = "","",IF(AND(LEN('Raw Data'!D59) &lt; 255,LEN('Raw Data'!D59)&gt; 0),"",_xlfn.REGEXEXTRACT(CELL("address",'Raw Data'!D59),"\$([A-Z]+)\$[0-9]+")))</f>
        <v/>
      </c>
      <c r="F59" t="str" cm="1">
        <f t="array" aca="1" ref="F59" ca="1">IFERROR(IF(OR('Raw Data'!F59="",LEN(TRIM('Raw Data'!F59))=0),"",IF(AND(LEN('Raw Data'!F59) &lt;= 255,LEN('Raw Data'!F59)&gt; 0),"",_xlfn.REGEXEXTRACT(CELL("address",'Raw Data'!F59),"\$([A-Z]+)\$[0-9]+"))),_xlfn.REGEXEXTRACT(CELL("address",'Raw Data'!F59),"\$([A-Z]+)\$[0-9]+"))</f>
        <v/>
      </c>
      <c r="G59" s="5" t="s">
        <v>51</v>
      </c>
      <c r="H59" s="8" t="s">
        <v>60</v>
      </c>
    </row>
    <row r="60" spans="2:8" x14ac:dyDescent="0.25">
      <c r="B60" t="str" cm="1">
        <f t="array" aca="1" ref="B60" ca="1">IF('Raw Data'!B60 = "","",IF(AND(LEN('Raw Data'!B60) &lt; 255,LEN('Raw Data'!B60)&gt; 0),"",_xlfn.REGEXEXTRACT(CELL("address",'Raw Data'!B60),"\$([A-Z]+)\$[0-9]+")))</f>
        <v/>
      </c>
      <c r="D60" t="str" cm="1">
        <f t="array" aca="1" ref="D60" ca="1">IF('Raw Data'!C60 = "","",IF(AND(LEN('Raw Data'!C60) &lt; 255,LEN('Raw Data'!C60)&gt; 0),"",_xlfn.REGEXEXTRACT(CELL("address",'Raw Data'!C60),"\$([A-Z]+)\$[0-9]+")))</f>
        <v/>
      </c>
      <c r="E60" t="str" cm="1">
        <f t="array" aca="1" ref="E60" ca="1">IF('Raw Data'!D60 = "","",IF(AND(LEN('Raw Data'!D60) &lt; 255,LEN('Raw Data'!D60)&gt; 0),"",_xlfn.REGEXEXTRACT(CELL("address",'Raw Data'!D60),"\$([A-Z]+)\$[0-9]+")))</f>
        <v/>
      </c>
      <c r="F60" t="str" cm="1">
        <f t="array" aca="1" ref="F60" ca="1">IFERROR(IF(OR('Raw Data'!F60="",LEN(TRIM('Raw Data'!F60))=0),"",IF(AND(LEN('Raw Data'!F60) &lt;= 255,LEN('Raw Data'!F60)&gt; 0),"",_xlfn.REGEXEXTRACT(CELL("address",'Raw Data'!F60),"\$([A-Z]+)\$[0-9]+"))),_xlfn.REGEXEXTRACT(CELL("address",'Raw Data'!F60),"\$([A-Z]+)\$[0-9]+"))</f>
        <v/>
      </c>
      <c r="G60" s="5" t="s">
        <v>52</v>
      </c>
      <c r="H60" s="8" t="s">
        <v>60</v>
      </c>
    </row>
    <row r="61" spans="2:8" x14ac:dyDescent="0.25">
      <c r="B61" t="str" cm="1">
        <f t="array" aca="1" ref="B61" ca="1">IF('Raw Data'!B61 = "","",IF(AND(LEN('Raw Data'!B61) &lt; 255,LEN('Raw Data'!B61)&gt; 0),"",_xlfn.REGEXEXTRACT(CELL("address",'Raw Data'!B61),"\$([A-Z]+)\$[0-9]+")))</f>
        <v/>
      </c>
      <c r="D61" t="str" cm="1">
        <f t="array" aca="1" ref="D61" ca="1">IF('Raw Data'!C61 = "","",IF(AND(LEN('Raw Data'!C61) &lt; 255,LEN('Raw Data'!C61)&gt; 0),"",_xlfn.REGEXEXTRACT(CELL("address",'Raw Data'!C61),"\$([A-Z]+)\$[0-9]+")))</f>
        <v/>
      </c>
      <c r="E61" t="str" cm="1">
        <f t="array" aca="1" ref="E61" ca="1">IF('Raw Data'!D61 = "","",IF(AND(LEN('Raw Data'!D61) &lt; 255,LEN('Raw Data'!D61)&gt; 0),"",_xlfn.REGEXEXTRACT(CELL("address",'Raw Data'!D61),"\$([A-Z]+)\$[0-9]+")))</f>
        <v/>
      </c>
      <c r="F61" t="str" cm="1">
        <f t="array" aca="1" ref="F61" ca="1">IFERROR(IF(OR('Raw Data'!F61="",LEN(TRIM('Raw Data'!F61))=0),"",IF(AND(LEN('Raw Data'!F61) &lt;= 255,LEN('Raw Data'!F61)&gt; 0),"",_xlfn.REGEXEXTRACT(CELL("address",'Raw Data'!F61),"\$([A-Z]+)\$[0-9]+"))),_xlfn.REGEXEXTRACT(CELL("address",'Raw Data'!F61),"\$([A-Z]+)\$[0-9]+"))</f>
        <v/>
      </c>
      <c r="G61" s="5" t="s">
        <v>53</v>
      </c>
      <c r="H61" s="8" t="s">
        <v>60</v>
      </c>
    </row>
    <row r="62" spans="2:8" x14ac:dyDescent="0.25">
      <c r="B62" t="str" cm="1">
        <f t="array" aca="1" ref="B62" ca="1">IF('Raw Data'!B62 = "","",IF(AND(LEN('Raw Data'!B62) &lt; 255,LEN('Raw Data'!B62)&gt; 0),"",_xlfn.REGEXEXTRACT(CELL("address",'Raw Data'!B62),"\$([A-Z]+)\$[0-9]+")))</f>
        <v/>
      </c>
      <c r="D62" t="str" cm="1">
        <f t="array" aca="1" ref="D62" ca="1">IF('Raw Data'!C62 = "","",IF(AND(LEN('Raw Data'!C62) &lt; 255,LEN('Raw Data'!C62)&gt; 0),"",_xlfn.REGEXEXTRACT(CELL("address",'Raw Data'!C62),"\$([A-Z]+)\$[0-9]+")))</f>
        <v/>
      </c>
      <c r="E62" t="str" cm="1">
        <f t="array" aca="1" ref="E62" ca="1">IF('Raw Data'!D62 = "","",IF(AND(LEN('Raw Data'!D62) &lt; 255,LEN('Raw Data'!D62)&gt; 0),"",_xlfn.REGEXEXTRACT(CELL("address",'Raw Data'!D62),"\$([A-Z]+)\$[0-9]+")))</f>
        <v/>
      </c>
      <c r="F62" t="str" cm="1">
        <f t="array" aca="1" ref="F62" ca="1">IFERROR(IF(OR('Raw Data'!F62="",LEN(TRIM('Raw Data'!F62))=0),"",IF(AND(LEN('Raw Data'!F62) &lt;= 255,LEN('Raw Data'!F62)&gt; 0),"",_xlfn.REGEXEXTRACT(CELL("address",'Raw Data'!F62),"\$([A-Z]+)\$[0-9]+"))),_xlfn.REGEXEXTRACT(CELL("address",'Raw Data'!F62),"\$([A-Z]+)\$[0-9]+"))</f>
        <v/>
      </c>
      <c r="G62" s="5" t="s">
        <v>54</v>
      </c>
      <c r="H62" s="8" t="s">
        <v>60</v>
      </c>
    </row>
    <row r="63" spans="2:8" x14ac:dyDescent="0.25">
      <c r="B63" t="str" cm="1">
        <f t="array" aca="1" ref="B63" ca="1">IF('Raw Data'!B63 = "","",IF(AND(LEN('Raw Data'!B63) &lt; 255,LEN('Raw Data'!B63)&gt; 0),"",_xlfn.REGEXEXTRACT(CELL("address",'Raw Data'!B63),"\$([A-Z]+)\$[0-9]+")))</f>
        <v/>
      </c>
      <c r="D63" t="str" cm="1">
        <f t="array" aca="1" ref="D63" ca="1">IF('Raw Data'!C63 = "","",IF(AND(LEN('Raw Data'!C63) &lt; 255,LEN('Raw Data'!C63)&gt; 0),"",_xlfn.REGEXEXTRACT(CELL("address",'Raw Data'!C63),"\$([A-Z]+)\$[0-9]+")))</f>
        <v/>
      </c>
      <c r="E63" t="str" cm="1">
        <f t="array" aca="1" ref="E63" ca="1">IF('Raw Data'!D63 = "","",IF(AND(LEN('Raw Data'!D63) &lt; 255,LEN('Raw Data'!D63)&gt; 0),"",_xlfn.REGEXEXTRACT(CELL("address",'Raw Data'!D63),"\$([A-Z]+)\$[0-9]+")))</f>
        <v/>
      </c>
      <c r="F63" t="str" cm="1">
        <f t="array" aca="1" ref="F63" ca="1">IFERROR(IF(OR('Raw Data'!F63="",LEN(TRIM('Raw Data'!F63))=0),"",IF(AND(LEN('Raw Data'!F63) &lt;= 255,LEN('Raw Data'!F63)&gt; 0),"",_xlfn.REGEXEXTRACT(CELL("address",'Raw Data'!F63),"\$([A-Z]+)\$[0-9]+"))),_xlfn.REGEXEXTRACT(CELL("address",'Raw Data'!F63),"\$([A-Z]+)\$[0-9]+"))</f>
        <v/>
      </c>
      <c r="G63" s="5" t="s">
        <v>55</v>
      </c>
      <c r="H63" s="8" t="s">
        <v>60</v>
      </c>
    </row>
    <row r="64" spans="2:8" x14ac:dyDescent="0.25">
      <c r="B64" t="str" cm="1">
        <f t="array" aca="1" ref="B64" ca="1">IF('Raw Data'!B64 = "","",IF(AND(LEN('Raw Data'!B64) &lt; 255,LEN('Raw Data'!B64)&gt; 0),"",_xlfn.REGEXEXTRACT(CELL("address",'Raw Data'!B64),"\$([A-Z]+)\$[0-9]+")))</f>
        <v/>
      </c>
      <c r="D64" t="str" cm="1">
        <f t="array" aca="1" ref="D64" ca="1">IF('Raw Data'!C64 = "","",IF(AND(LEN('Raw Data'!C64) &lt; 255,LEN('Raw Data'!C64)&gt; 0),"",_xlfn.REGEXEXTRACT(CELL("address",'Raw Data'!C64),"\$([A-Z]+)\$[0-9]+")))</f>
        <v/>
      </c>
      <c r="E64" t="str" cm="1">
        <f t="array" aca="1" ref="E64" ca="1">IF('Raw Data'!D64 = "","",IF(AND(LEN('Raw Data'!D64) &lt; 255,LEN('Raw Data'!D64)&gt; 0),"",_xlfn.REGEXEXTRACT(CELL("address",'Raw Data'!D64),"\$([A-Z]+)\$[0-9]+")))</f>
        <v/>
      </c>
      <c r="F64" t="str" cm="1">
        <f t="array" aca="1" ref="F64" ca="1">IFERROR(IF(OR('Raw Data'!F64="",LEN(TRIM('Raw Data'!F64))=0),"",IF(AND(LEN('Raw Data'!F64) &lt;= 255,LEN('Raw Data'!F64)&gt; 0),"",_xlfn.REGEXEXTRACT(CELL("address",'Raw Data'!F64),"\$([A-Z]+)\$[0-9]+"))),_xlfn.REGEXEXTRACT(CELL("address",'Raw Data'!F64),"\$([A-Z]+)\$[0-9]+"))</f>
        <v/>
      </c>
      <c r="G64" s="5" t="s">
        <v>56</v>
      </c>
      <c r="H64" s="8" t="s">
        <v>60</v>
      </c>
    </row>
    <row r="65" spans="2:8" x14ac:dyDescent="0.25">
      <c r="B65" t="str" cm="1">
        <f t="array" aca="1" ref="B65" ca="1">IF('Raw Data'!B65 = "","",IF(AND(LEN('Raw Data'!B65) &lt; 255,LEN('Raw Data'!B65)&gt; 0),"",_xlfn.REGEXEXTRACT(CELL("address",'Raw Data'!B65),"\$([A-Z]+)\$[0-9]+")))</f>
        <v/>
      </c>
      <c r="D65" t="str" cm="1">
        <f t="array" aca="1" ref="D65" ca="1">IF('Raw Data'!C65 = "","",IF(AND(LEN('Raw Data'!C65) &lt; 255,LEN('Raw Data'!C65)&gt; 0),"",_xlfn.REGEXEXTRACT(CELL("address",'Raw Data'!C65),"\$([A-Z]+)\$[0-9]+")))</f>
        <v/>
      </c>
      <c r="E65" t="str" cm="1">
        <f t="array" aca="1" ref="E65" ca="1">IF('Raw Data'!D65 = "","",IF(AND(LEN('Raw Data'!D65) &lt; 255,LEN('Raw Data'!D65)&gt; 0),"",_xlfn.REGEXEXTRACT(CELL("address",'Raw Data'!D65),"\$([A-Z]+)\$[0-9]+")))</f>
        <v/>
      </c>
      <c r="F65" t="str" cm="1">
        <f t="array" aca="1" ref="F65" ca="1">IFERROR(IF(OR('Raw Data'!F65="",LEN(TRIM('Raw Data'!F65))=0),"",IF(AND(LEN('Raw Data'!F65) &lt;= 255,LEN('Raw Data'!F65)&gt; 0),"",_xlfn.REGEXEXTRACT(CELL("address",'Raw Data'!F65),"\$([A-Z]+)\$[0-9]+"))),_xlfn.REGEXEXTRACT(CELL("address",'Raw Data'!F65),"\$([A-Z]+)\$[0-9]+"))</f>
        <v/>
      </c>
      <c r="G65" s="5" t="s">
        <v>57</v>
      </c>
      <c r="H65" s="8" t="s">
        <v>60</v>
      </c>
    </row>
    <row r="66" spans="2:8" x14ac:dyDescent="0.25">
      <c r="B66" t="str" cm="1">
        <f t="array" aca="1" ref="B66" ca="1">IF('Raw Data'!B66 = "","",IF(AND(LEN('Raw Data'!B66) &lt; 255,LEN('Raw Data'!B66)&gt; 0),"",_xlfn.REGEXEXTRACT(CELL("address",'Raw Data'!B66),"\$([A-Z]+)\$[0-9]+")))</f>
        <v/>
      </c>
      <c r="D66" t="str" cm="1">
        <f t="array" aca="1" ref="D66" ca="1">IF('Raw Data'!C66 = "","",IF(AND(LEN('Raw Data'!C66) &lt; 255,LEN('Raw Data'!C66)&gt; 0),"",_xlfn.REGEXEXTRACT(CELL("address",'Raw Data'!C66),"\$([A-Z]+)\$[0-9]+")))</f>
        <v/>
      </c>
      <c r="E66" t="str" cm="1">
        <f t="array" aca="1" ref="E66" ca="1">IF('Raw Data'!D66 = "","",IF(AND(LEN('Raw Data'!D66) &lt; 255,LEN('Raw Data'!D66)&gt; 0),"",_xlfn.REGEXEXTRACT(CELL("address",'Raw Data'!D66),"\$([A-Z]+)\$[0-9]+")))</f>
        <v/>
      </c>
      <c r="F66" t="str" cm="1">
        <f t="array" aca="1" ref="F66" ca="1">IFERROR(IF(OR('Raw Data'!F66="",LEN(TRIM('Raw Data'!F66))=0),"",IF(AND(LEN('Raw Data'!F66) &lt;= 255,LEN('Raw Data'!F66)&gt; 0),"",_xlfn.REGEXEXTRACT(CELL("address",'Raw Data'!F66),"\$([A-Z]+)\$[0-9]+"))),_xlfn.REGEXEXTRACT(CELL("address",'Raw Data'!F66),"\$([A-Z]+)\$[0-9]+"))</f>
        <v/>
      </c>
      <c r="G66" s="5" t="s">
        <v>58</v>
      </c>
      <c r="H66" s="8" t="s">
        <v>60</v>
      </c>
    </row>
    <row r="67" spans="2:8" x14ac:dyDescent="0.25">
      <c r="B67" t="str" cm="1">
        <f t="array" aca="1" ref="B67" ca="1">IF('Raw Data'!B67 = "","",IF(AND(LEN('Raw Data'!B67) &lt; 255,LEN('Raw Data'!B67)&gt; 0),"",_xlfn.REGEXEXTRACT(CELL("address",'Raw Data'!B67),"\$([A-Z]+)\$[0-9]+")))</f>
        <v/>
      </c>
      <c r="D67" t="str" cm="1">
        <f t="array" aca="1" ref="D67" ca="1">IF('Raw Data'!C67 = "","",IF(AND(LEN('Raw Data'!C67) &lt; 255,LEN('Raw Data'!C67)&gt; 0),"",_xlfn.REGEXEXTRACT(CELL("address",'Raw Data'!C67),"\$([A-Z]+)\$[0-9]+")))</f>
        <v/>
      </c>
      <c r="E67" t="str" cm="1">
        <f t="array" aca="1" ref="E67" ca="1">IF('Raw Data'!D67 = "","",IF(AND(LEN('Raw Data'!D67) &lt; 255,LEN('Raw Data'!D67)&gt; 0),"",_xlfn.REGEXEXTRACT(CELL("address",'Raw Data'!D67),"\$([A-Z]+)\$[0-9]+")))</f>
        <v/>
      </c>
    </row>
    <row r="68" spans="2:8" x14ac:dyDescent="0.25">
      <c r="B68" t="str" cm="1">
        <f t="array" aca="1" ref="B68" ca="1">IF('Raw Data'!B68 = "","",IF(AND(LEN('Raw Data'!B68) &lt; 255,LEN('Raw Data'!B68)&gt; 0),"",_xlfn.REGEXEXTRACT(CELL("address",'Raw Data'!B68),"\$([A-Z]+)\$[0-9]+")))</f>
        <v/>
      </c>
      <c r="D68" t="str" cm="1">
        <f t="array" aca="1" ref="D68" ca="1">IF('Raw Data'!C68 = "","",IF(AND(LEN('Raw Data'!C68) &lt; 255,LEN('Raw Data'!C68)&gt; 0),"",_xlfn.REGEXEXTRACT(CELL("address",'Raw Data'!C68),"\$([A-Z]+)\$[0-9]+")))</f>
        <v/>
      </c>
      <c r="E68" t="str" cm="1">
        <f t="array" aca="1" ref="E68" ca="1">IF('Raw Data'!D68 = "","",IF(AND(LEN('Raw Data'!D68) &lt; 255,LEN('Raw Data'!D68)&gt; 0),"",_xlfn.REGEXEXTRACT(CELL("address",'Raw Data'!D68),"\$([A-Z]+)\$[0-9]+")))</f>
        <v/>
      </c>
    </row>
    <row r="69" spans="2:8" x14ac:dyDescent="0.25">
      <c r="B69" t="str" cm="1">
        <f t="array" aca="1" ref="B69" ca="1">IF('Raw Data'!B69 = "","",IF(AND(LEN('Raw Data'!B69) &lt; 255,LEN('Raw Data'!B69)&gt; 0),"",_xlfn.REGEXEXTRACT(CELL("address",'Raw Data'!B69),"\$([A-Z]+)\$[0-9]+")))</f>
        <v/>
      </c>
      <c r="D69" t="str" cm="1">
        <f t="array" aca="1" ref="D69" ca="1">IF('Raw Data'!C69 = "","",IF(AND(LEN('Raw Data'!C69) &lt; 255,LEN('Raw Data'!C69)&gt; 0),"",_xlfn.REGEXEXTRACT(CELL("address",'Raw Data'!C69),"\$([A-Z]+)\$[0-9]+")))</f>
        <v/>
      </c>
      <c r="E69" t="str" cm="1">
        <f t="array" aca="1" ref="E69" ca="1">IF('Raw Data'!D69 = "","",IF(AND(LEN('Raw Data'!D69) &lt; 255,LEN('Raw Data'!D69)&gt; 0),"",_xlfn.REGEXEXTRACT(CELL("address",'Raw Data'!D69),"\$([A-Z]+)\$[0-9]+")))</f>
        <v/>
      </c>
    </row>
    <row r="70" spans="2:8" x14ac:dyDescent="0.25">
      <c r="B70" t="str" cm="1">
        <f t="array" aca="1" ref="B70" ca="1">IF('Raw Data'!B70 = "","",IF(AND(LEN('Raw Data'!B70) &lt; 255,LEN('Raw Data'!B70)&gt; 0),"",_xlfn.REGEXEXTRACT(CELL("address",'Raw Data'!B70),"\$([A-Z]+)\$[0-9]+")))</f>
        <v/>
      </c>
      <c r="D70" t="str" cm="1">
        <f t="array" aca="1" ref="D70" ca="1">IF('Raw Data'!C70 = "","",IF(AND(LEN('Raw Data'!C70) &lt; 255,LEN('Raw Data'!C70)&gt; 0),"",_xlfn.REGEXEXTRACT(CELL("address",'Raw Data'!C70),"\$([A-Z]+)\$[0-9]+")))</f>
        <v/>
      </c>
      <c r="E70" t="str" cm="1">
        <f t="array" aca="1" ref="E70" ca="1">IF('Raw Data'!D70 = "","",IF(AND(LEN('Raw Data'!D70) &lt; 255,LEN('Raw Data'!D70)&gt; 0),"",_xlfn.REGEXEXTRACT(CELL("address",'Raw Data'!D70),"\$([A-Z]+)\$[0-9]+")))</f>
        <v/>
      </c>
    </row>
    <row r="71" spans="2:8" x14ac:dyDescent="0.25">
      <c r="B71" t="str" cm="1">
        <f t="array" aca="1" ref="B71" ca="1">IF('Raw Data'!B71 = "","",IF(AND(LEN('Raw Data'!B71) &lt; 255,LEN('Raw Data'!B71)&gt; 0),"",_xlfn.REGEXEXTRACT(CELL("address",'Raw Data'!B71),"\$([A-Z]+)\$[0-9]+")))</f>
        <v/>
      </c>
      <c r="D71" t="str" cm="1">
        <f t="array" aca="1" ref="D71" ca="1">IF('Raw Data'!C71 = "","",IF(AND(LEN('Raw Data'!C71) &lt; 255,LEN('Raw Data'!C71)&gt; 0),"",_xlfn.REGEXEXTRACT(CELL("address",'Raw Data'!C71),"\$([A-Z]+)\$[0-9]+")))</f>
        <v/>
      </c>
      <c r="E71" t="str" cm="1">
        <f t="array" aca="1" ref="E71" ca="1">IF('Raw Data'!D71 = "","",IF(AND(LEN('Raw Data'!D71) &lt; 255,LEN('Raw Data'!D71)&gt; 0),"",_xlfn.REGEXEXTRACT(CELL("address",'Raw Data'!D71),"\$([A-Z]+)\$[0-9]+")))</f>
        <v/>
      </c>
    </row>
    <row r="72" spans="2:8" x14ac:dyDescent="0.25">
      <c r="B72" t="str" cm="1">
        <f t="array" aca="1" ref="B72" ca="1">IF('Raw Data'!B72 = "","",IF(AND(LEN('Raw Data'!B72) &lt; 255,LEN('Raw Data'!B72)&gt; 0),"",_xlfn.REGEXEXTRACT(CELL("address",'Raw Data'!B72),"\$([A-Z]+)\$[0-9]+")))</f>
        <v/>
      </c>
      <c r="D72" t="str" cm="1">
        <f t="array" aca="1" ref="D72" ca="1">IF('Raw Data'!C72 = "","",IF(AND(LEN('Raw Data'!C72) &lt; 255,LEN('Raw Data'!C72)&gt; 0),"",_xlfn.REGEXEXTRACT(CELL("address",'Raw Data'!C72),"\$([A-Z]+)\$[0-9]+")))</f>
        <v/>
      </c>
      <c r="E72" t="str" cm="1">
        <f t="array" aca="1" ref="E72" ca="1">IF('Raw Data'!D72 = "","",IF(AND(LEN('Raw Data'!D72) &lt; 255,LEN('Raw Data'!D72)&gt; 0),"",_xlfn.REGEXEXTRACT(CELL("address",'Raw Data'!D72),"\$([A-Z]+)\$[0-9]+")))</f>
        <v/>
      </c>
    </row>
    <row r="73" spans="2:8" x14ac:dyDescent="0.25">
      <c r="B73" t="str" cm="1">
        <f t="array" aca="1" ref="B73" ca="1">IF('Raw Data'!B73 = "","",IF(AND(LEN('Raw Data'!B73) &lt; 255,LEN('Raw Data'!B73)&gt; 0),"",_xlfn.REGEXEXTRACT(CELL("address",'Raw Data'!B73),"\$([A-Z]+)\$[0-9]+")))</f>
        <v/>
      </c>
      <c r="D73" t="str" cm="1">
        <f t="array" aca="1" ref="D73" ca="1">IF('Raw Data'!C73 = "","",IF(AND(LEN('Raw Data'!C73) &lt; 255,LEN('Raw Data'!C73)&gt; 0),"",_xlfn.REGEXEXTRACT(CELL("address",'Raw Data'!C73),"\$([A-Z]+)\$[0-9]+")))</f>
        <v/>
      </c>
      <c r="E73" t="str" cm="1">
        <f t="array" aca="1" ref="E73" ca="1">IF('Raw Data'!D73 = "","",IF(AND(LEN('Raw Data'!D73) &lt; 255,LEN('Raw Data'!D73)&gt; 0),"",_xlfn.REGEXEXTRACT(CELL("address",'Raw Data'!D73),"\$([A-Z]+)\$[0-9]+")))</f>
        <v/>
      </c>
    </row>
    <row r="74" spans="2:8" x14ac:dyDescent="0.25">
      <c r="B74" t="str" cm="1">
        <f t="array" aca="1" ref="B74" ca="1">IF('Raw Data'!B74 = "","",IF(AND(LEN('Raw Data'!B74) &lt; 255,LEN('Raw Data'!B74)&gt; 0),"",_xlfn.REGEXEXTRACT(CELL("address",'Raw Data'!B74),"\$([A-Z]+)\$[0-9]+")))</f>
        <v/>
      </c>
      <c r="D74" t="str" cm="1">
        <f t="array" aca="1" ref="D74" ca="1">IF('Raw Data'!C74 = "","",IF(AND(LEN('Raw Data'!C74) &lt; 255,LEN('Raw Data'!C74)&gt; 0),"",_xlfn.REGEXEXTRACT(CELL("address",'Raw Data'!C74),"\$([A-Z]+)\$[0-9]+")))</f>
        <v/>
      </c>
      <c r="E74" t="str" cm="1">
        <f t="array" aca="1" ref="E74" ca="1">IF('Raw Data'!D74 = "","",IF(AND(LEN('Raw Data'!D74) &lt; 255,LEN('Raw Data'!D74)&gt; 0),"",_xlfn.REGEXEXTRACT(CELL("address",'Raw Data'!D74),"\$([A-Z]+)\$[0-9]+")))</f>
        <v/>
      </c>
    </row>
    <row r="75" spans="2:8" x14ac:dyDescent="0.25">
      <c r="B75" t="str" cm="1">
        <f t="array" aca="1" ref="B75" ca="1">IF('Raw Data'!B75 = "","",IF(AND(LEN('Raw Data'!B75) &lt; 255,LEN('Raw Data'!B75)&gt; 0),"",_xlfn.REGEXEXTRACT(CELL("address",'Raw Data'!B75),"\$([A-Z]+)\$[0-9]+")))</f>
        <v/>
      </c>
      <c r="D75" t="str" cm="1">
        <f t="array" aca="1" ref="D75" ca="1">IF('Raw Data'!C75 = "","",IF(AND(LEN('Raw Data'!C75) &lt; 255,LEN('Raw Data'!C75)&gt; 0),"",_xlfn.REGEXEXTRACT(CELL("address",'Raw Data'!C75),"\$([A-Z]+)\$[0-9]+")))</f>
        <v/>
      </c>
      <c r="E75" t="str" cm="1">
        <f t="array" aca="1" ref="E75" ca="1">IF('Raw Data'!D75 = "","",IF(AND(LEN('Raw Data'!D75) &lt; 255,LEN('Raw Data'!D75)&gt; 0),"",_xlfn.REGEXEXTRACT(CELL("address",'Raw Data'!D75),"\$([A-Z]+)\$[0-9]+")))</f>
        <v/>
      </c>
    </row>
    <row r="76" spans="2:8" x14ac:dyDescent="0.25">
      <c r="B76" t="str" cm="1">
        <f t="array" aca="1" ref="B76" ca="1">IF('Raw Data'!B76 = "","",IF(AND(LEN('Raw Data'!B76) &lt; 255,LEN('Raw Data'!B76)&gt; 0),"",_xlfn.REGEXEXTRACT(CELL("address",'Raw Data'!B76),"\$([A-Z]+)\$[0-9]+")))</f>
        <v/>
      </c>
      <c r="D76" t="str" cm="1">
        <f t="array" aca="1" ref="D76" ca="1">IF('Raw Data'!C76 = "","",IF(AND(LEN('Raw Data'!C76) &lt; 255,LEN('Raw Data'!C76)&gt; 0),"",_xlfn.REGEXEXTRACT(CELL("address",'Raw Data'!C76),"\$([A-Z]+)\$[0-9]+")))</f>
        <v/>
      </c>
      <c r="E76" t="str" cm="1">
        <f t="array" aca="1" ref="E76" ca="1">IF('Raw Data'!D76 = "","",IF(AND(LEN('Raw Data'!D76) &lt; 255,LEN('Raw Data'!D76)&gt; 0),"",_xlfn.REGEXEXTRACT(CELL("address",'Raw Data'!D76),"\$([A-Z]+)\$[0-9]+")))</f>
        <v/>
      </c>
    </row>
    <row r="77" spans="2:8" x14ac:dyDescent="0.25">
      <c r="B77" t="str" cm="1">
        <f t="array" aca="1" ref="B77" ca="1">IF('Raw Data'!B77 = "","",IF(AND(LEN('Raw Data'!B77) &lt; 255,LEN('Raw Data'!B77)&gt; 0),"",_xlfn.REGEXEXTRACT(CELL("address",'Raw Data'!B77),"\$([A-Z]+)\$[0-9]+")))</f>
        <v/>
      </c>
      <c r="D77" t="str" cm="1">
        <f t="array" aca="1" ref="D77" ca="1">IF('Raw Data'!C77 = "","",IF(AND(LEN('Raw Data'!C77) &lt; 255,LEN('Raw Data'!C77)&gt; 0),"",_xlfn.REGEXEXTRACT(CELL("address",'Raw Data'!C77),"\$([A-Z]+)\$[0-9]+")))</f>
        <v/>
      </c>
      <c r="E77" t="str" cm="1">
        <f t="array" aca="1" ref="E77" ca="1">IF('Raw Data'!D77 = "","",IF(AND(LEN('Raw Data'!D77) &lt; 255,LEN('Raw Data'!D77)&gt; 0),"",_xlfn.REGEXEXTRACT(CELL("address",'Raw Data'!D77),"\$([A-Z]+)\$[0-9]+")))</f>
        <v/>
      </c>
    </row>
    <row r="78" spans="2:8" x14ac:dyDescent="0.25">
      <c r="B78" t="str" cm="1">
        <f t="array" aca="1" ref="B78" ca="1">IF('Raw Data'!B78 = "","",IF(AND(LEN('Raw Data'!B78) &lt; 255,LEN('Raw Data'!B78)&gt; 0),"",_xlfn.REGEXEXTRACT(CELL("address",'Raw Data'!B78),"\$([A-Z]+)\$[0-9]+")))</f>
        <v/>
      </c>
      <c r="D78" t="str" cm="1">
        <f t="array" aca="1" ref="D78" ca="1">IF('Raw Data'!C78 = "","",IF(AND(LEN('Raw Data'!C78) &lt; 255,LEN('Raw Data'!C78)&gt; 0),"",_xlfn.REGEXEXTRACT(CELL("address",'Raw Data'!C78),"\$([A-Z]+)\$[0-9]+")))</f>
        <v/>
      </c>
      <c r="E78" t="str" cm="1">
        <f t="array" aca="1" ref="E78" ca="1">IF('Raw Data'!D78 = "","",IF(AND(LEN('Raw Data'!D78) &lt; 255,LEN('Raw Data'!D78)&gt; 0),"",_xlfn.REGEXEXTRACT(CELL("address",'Raw Data'!D78),"\$([A-Z]+)\$[0-9]+")))</f>
        <v/>
      </c>
    </row>
    <row r="79" spans="2:8" x14ac:dyDescent="0.25">
      <c r="B79" t="str" cm="1">
        <f t="array" aca="1" ref="B79" ca="1">IF('Raw Data'!B79 = "","",IF(AND(LEN('Raw Data'!B79) &lt; 255,LEN('Raw Data'!B79)&gt; 0),"",_xlfn.REGEXEXTRACT(CELL("address",'Raw Data'!B79),"\$([A-Z]+)\$[0-9]+")))</f>
        <v/>
      </c>
      <c r="D79" t="str" cm="1">
        <f t="array" aca="1" ref="D79" ca="1">IF('Raw Data'!C79 = "","",IF(AND(LEN('Raw Data'!C79) &lt; 255,LEN('Raw Data'!C79)&gt; 0),"",_xlfn.REGEXEXTRACT(CELL("address",'Raw Data'!C79),"\$([A-Z]+)\$[0-9]+")))</f>
        <v/>
      </c>
      <c r="E79" t="str" cm="1">
        <f t="array" aca="1" ref="E79" ca="1">IF('Raw Data'!D79 = "","",IF(AND(LEN('Raw Data'!D79) &lt; 255,LEN('Raw Data'!D79)&gt; 0),"",_xlfn.REGEXEXTRACT(CELL("address",'Raw Data'!D79),"\$([A-Z]+)\$[0-9]+")))</f>
        <v/>
      </c>
    </row>
    <row r="80" spans="2:8" x14ac:dyDescent="0.25">
      <c r="B80" t="str" cm="1">
        <f t="array" aca="1" ref="B80" ca="1">IF('Raw Data'!B80 = "","",IF(AND(LEN('Raw Data'!B80) &lt; 255,LEN('Raw Data'!B80)&gt; 0),"",_xlfn.REGEXEXTRACT(CELL("address",'Raw Data'!B80),"\$([A-Z]+)\$[0-9]+")))</f>
        <v/>
      </c>
      <c r="D80" t="str" cm="1">
        <f t="array" aca="1" ref="D80" ca="1">IF('Raw Data'!C80 = "","",IF(AND(LEN('Raw Data'!C80) &lt; 255,LEN('Raw Data'!C80)&gt; 0),"",_xlfn.REGEXEXTRACT(CELL("address",'Raw Data'!C80),"\$([A-Z]+)\$[0-9]+")))</f>
        <v/>
      </c>
      <c r="E80" t="str" cm="1">
        <f t="array" aca="1" ref="E80" ca="1">IF('Raw Data'!D80 = "","",IF(AND(LEN('Raw Data'!D80) &lt; 255,LEN('Raw Data'!D80)&gt; 0),"",_xlfn.REGEXEXTRACT(CELL("address",'Raw Data'!D80),"\$([A-Z]+)\$[0-9]+")))</f>
        <v/>
      </c>
    </row>
    <row r="81" spans="2:5" x14ac:dyDescent="0.25">
      <c r="B81" t="str" cm="1">
        <f t="array" aca="1" ref="B81" ca="1">IF('Raw Data'!B81 = "","",IF(AND(LEN('Raw Data'!B81) &lt; 255,LEN('Raw Data'!B81)&gt; 0),"",_xlfn.REGEXEXTRACT(CELL("address",'Raw Data'!B81),"\$([A-Z]+)\$[0-9]+")))</f>
        <v/>
      </c>
      <c r="D81" t="str" cm="1">
        <f t="array" aca="1" ref="D81" ca="1">IF('Raw Data'!C81 = "","",IF(AND(LEN('Raw Data'!C81) &lt; 255,LEN('Raw Data'!C81)&gt; 0),"",_xlfn.REGEXEXTRACT(CELL("address",'Raw Data'!C81),"\$([A-Z]+)\$[0-9]+")))</f>
        <v/>
      </c>
      <c r="E81" t="str" cm="1">
        <f t="array" aca="1" ref="E81" ca="1">IF('Raw Data'!D81 = "","",IF(AND(LEN('Raw Data'!D81) &lt; 255,LEN('Raw Data'!D81)&gt; 0),"",_xlfn.REGEXEXTRACT(CELL("address",'Raw Data'!D81),"\$([A-Z]+)\$[0-9]+")))</f>
        <v/>
      </c>
    </row>
    <row r="82" spans="2:5" x14ac:dyDescent="0.25">
      <c r="B82" t="str" cm="1">
        <f t="array" aca="1" ref="B82" ca="1">IF('Raw Data'!B82 = "","",IF(AND(LEN('Raw Data'!B82) &lt; 255,LEN('Raw Data'!B82)&gt; 0),"",_xlfn.REGEXEXTRACT(CELL("address",'Raw Data'!B82),"\$([A-Z]+)\$[0-9]+")))</f>
        <v/>
      </c>
      <c r="D82" t="str" cm="1">
        <f t="array" aca="1" ref="D82" ca="1">IF('Raw Data'!C82 = "","",IF(AND(LEN('Raw Data'!C82) &lt; 255,LEN('Raw Data'!C82)&gt; 0),"",_xlfn.REGEXEXTRACT(CELL("address",'Raw Data'!C82),"\$([A-Z]+)\$[0-9]+")))</f>
        <v/>
      </c>
      <c r="E82" t="str" cm="1">
        <f t="array" aca="1" ref="E82" ca="1">IF('Raw Data'!D82 = "","",IF(AND(LEN('Raw Data'!D82) &lt; 255,LEN('Raw Data'!D82)&gt; 0),"",_xlfn.REGEXEXTRACT(CELL("address",'Raw Data'!D82),"\$([A-Z]+)\$[0-9]+")))</f>
        <v/>
      </c>
    </row>
    <row r="83" spans="2:5" x14ac:dyDescent="0.25">
      <c r="B83" t="str" cm="1">
        <f t="array" aca="1" ref="B83" ca="1">IF('Raw Data'!B83 = "","",IF(AND(LEN('Raw Data'!B83) &lt; 255,LEN('Raw Data'!B83)&gt; 0),"",_xlfn.REGEXEXTRACT(CELL("address",'Raw Data'!B83),"\$([A-Z]+)\$[0-9]+")))</f>
        <v/>
      </c>
      <c r="D83" t="str" cm="1">
        <f t="array" aca="1" ref="D83" ca="1">IF('Raw Data'!C83 = "","",IF(AND(LEN('Raw Data'!C83) &lt; 255,LEN('Raw Data'!C83)&gt; 0),"",_xlfn.REGEXEXTRACT(CELL("address",'Raw Data'!C83),"\$([A-Z]+)\$[0-9]+")))</f>
        <v/>
      </c>
      <c r="E83" t="str" cm="1">
        <f t="array" aca="1" ref="E83" ca="1">IF('Raw Data'!D83 = "","",IF(AND(LEN('Raw Data'!D83) &lt; 255,LEN('Raw Data'!D83)&gt; 0),"",_xlfn.REGEXEXTRACT(CELL("address",'Raw Data'!D83),"\$([A-Z]+)\$[0-9]+")))</f>
        <v/>
      </c>
    </row>
    <row r="84" spans="2:5" x14ac:dyDescent="0.25">
      <c r="B84" t="str" cm="1">
        <f t="array" aca="1" ref="B84" ca="1">IF('Raw Data'!B84 = "","",IF(AND(LEN('Raw Data'!B84) &lt; 255,LEN('Raw Data'!B84)&gt; 0),"",_xlfn.REGEXEXTRACT(CELL("address",'Raw Data'!B84),"\$([A-Z]+)\$[0-9]+")))</f>
        <v/>
      </c>
      <c r="D84" t="str" cm="1">
        <f t="array" aca="1" ref="D84" ca="1">IF('Raw Data'!C84 = "","",IF(AND(LEN('Raw Data'!C84) &lt; 255,LEN('Raw Data'!C84)&gt; 0),"",_xlfn.REGEXEXTRACT(CELL("address",'Raw Data'!C84),"\$([A-Z]+)\$[0-9]+")))</f>
        <v/>
      </c>
      <c r="E84" t="str" cm="1">
        <f t="array" aca="1" ref="E84" ca="1">IF('Raw Data'!D84 = "","",IF(AND(LEN('Raw Data'!D84) &lt; 255,LEN('Raw Data'!D84)&gt; 0),"",_xlfn.REGEXEXTRACT(CELL("address",'Raw Data'!D84),"\$([A-Z]+)\$[0-9]+")))</f>
        <v/>
      </c>
    </row>
    <row r="85" spans="2:5" x14ac:dyDescent="0.25">
      <c r="B85" t="str" cm="1">
        <f t="array" aca="1" ref="B85" ca="1">IF('Raw Data'!B85 = "","",IF(AND(LEN('Raw Data'!B85) &lt; 255,LEN('Raw Data'!B85)&gt; 0),"",_xlfn.REGEXEXTRACT(CELL("address",'Raw Data'!B85),"\$([A-Z]+)\$[0-9]+")))</f>
        <v/>
      </c>
      <c r="D85" t="str" cm="1">
        <f t="array" aca="1" ref="D85" ca="1">IF('Raw Data'!C85 = "","",IF(AND(LEN('Raw Data'!C85) &lt; 255,LEN('Raw Data'!C85)&gt; 0),"",_xlfn.REGEXEXTRACT(CELL("address",'Raw Data'!C85),"\$([A-Z]+)\$[0-9]+")))</f>
        <v/>
      </c>
      <c r="E85" t="str" cm="1">
        <f t="array" aca="1" ref="E85" ca="1">IF('Raw Data'!D85 = "","",IF(AND(LEN('Raw Data'!D85) &lt; 255,LEN('Raw Data'!D85)&gt; 0),"",_xlfn.REGEXEXTRACT(CELL("address",'Raw Data'!D85),"\$([A-Z]+)\$[0-9]+")))</f>
        <v/>
      </c>
    </row>
    <row r="86" spans="2:5" x14ac:dyDescent="0.25">
      <c r="B86" t="str" cm="1">
        <f t="array" aca="1" ref="B86" ca="1">IF('Raw Data'!B86 = "","",IF(AND(LEN('Raw Data'!B86) &lt; 255,LEN('Raw Data'!B86)&gt; 0),"",_xlfn.REGEXEXTRACT(CELL("address",'Raw Data'!B86),"\$([A-Z]+)\$[0-9]+")))</f>
        <v/>
      </c>
      <c r="D86" t="str" cm="1">
        <f t="array" aca="1" ref="D86" ca="1">IF('Raw Data'!C86 = "","",IF(AND(LEN('Raw Data'!C86) &lt; 255,LEN('Raw Data'!C86)&gt; 0),"",_xlfn.REGEXEXTRACT(CELL("address",'Raw Data'!C86),"\$([A-Z]+)\$[0-9]+")))</f>
        <v/>
      </c>
      <c r="E86" t="str" cm="1">
        <f t="array" aca="1" ref="E86" ca="1">IF('Raw Data'!D86 = "","",IF(AND(LEN('Raw Data'!D86) &lt; 255,LEN('Raw Data'!D86)&gt; 0),"",_xlfn.REGEXEXTRACT(CELL("address",'Raw Data'!D86),"\$([A-Z]+)\$[0-9]+")))</f>
        <v/>
      </c>
    </row>
    <row r="87" spans="2:5" x14ac:dyDescent="0.25">
      <c r="B87" t="str" cm="1">
        <f t="array" aca="1" ref="B87" ca="1">IF('Raw Data'!B87 = "","",IF(AND(LEN('Raw Data'!B87) &lt; 255,LEN('Raw Data'!B87)&gt; 0),"",_xlfn.REGEXEXTRACT(CELL("address",'Raw Data'!B87),"\$([A-Z]+)\$[0-9]+")))</f>
        <v/>
      </c>
      <c r="D87" t="str" cm="1">
        <f t="array" aca="1" ref="D87" ca="1">IF('Raw Data'!C87 = "","",IF(AND(LEN('Raw Data'!C87) &lt; 255,LEN('Raw Data'!C87)&gt; 0),"",_xlfn.REGEXEXTRACT(CELL("address",'Raw Data'!C87),"\$([A-Z]+)\$[0-9]+")))</f>
        <v/>
      </c>
      <c r="E87" t="str" cm="1">
        <f t="array" aca="1" ref="E87" ca="1">IF('Raw Data'!D87 = "","",IF(AND(LEN('Raw Data'!D87) &lt; 255,LEN('Raw Data'!D87)&gt; 0),"",_xlfn.REGEXEXTRACT(CELL("address",'Raw Data'!D87),"\$([A-Z]+)\$[0-9]+")))</f>
        <v/>
      </c>
    </row>
    <row r="88" spans="2:5" x14ac:dyDescent="0.25">
      <c r="B88" t="str" cm="1">
        <f t="array" aca="1" ref="B88" ca="1">IF('Raw Data'!B88 = "","",IF(AND(LEN('Raw Data'!B88) &lt; 255,LEN('Raw Data'!B88)&gt; 0),"",_xlfn.REGEXEXTRACT(CELL("address",'Raw Data'!B88),"\$([A-Z]+)\$[0-9]+")))</f>
        <v/>
      </c>
      <c r="D88" t="str" cm="1">
        <f t="array" aca="1" ref="D88" ca="1">IF('Raw Data'!C88 = "","",IF(AND(LEN('Raw Data'!C88) &lt; 255,LEN('Raw Data'!C88)&gt; 0),"",_xlfn.REGEXEXTRACT(CELL("address",'Raw Data'!C88),"\$([A-Z]+)\$[0-9]+")))</f>
        <v/>
      </c>
      <c r="E88" t="str" cm="1">
        <f t="array" aca="1" ref="E88" ca="1">IF('Raw Data'!D88 = "","",IF(AND(LEN('Raw Data'!D88) &lt; 255,LEN('Raw Data'!D88)&gt; 0),"",_xlfn.REGEXEXTRACT(CELL("address",'Raw Data'!D88),"\$([A-Z]+)\$[0-9]+")))</f>
        <v/>
      </c>
    </row>
    <row r="89" spans="2:5" x14ac:dyDescent="0.25">
      <c r="B89" t="str" cm="1">
        <f t="array" aca="1" ref="B89" ca="1">IF('Raw Data'!B89 = "","",IF(AND(LEN('Raw Data'!B89) &lt; 255,LEN('Raw Data'!B89)&gt; 0),"",_xlfn.REGEXEXTRACT(CELL("address",'Raw Data'!B89),"\$([A-Z]+)\$[0-9]+")))</f>
        <v/>
      </c>
      <c r="D89" t="str" cm="1">
        <f t="array" aca="1" ref="D89" ca="1">IF('Raw Data'!C89 = "","",IF(AND(LEN('Raw Data'!C89) &lt; 255,LEN('Raw Data'!C89)&gt; 0),"",_xlfn.REGEXEXTRACT(CELL("address",'Raw Data'!C89),"\$([A-Z]+)\$[0-9]+")))</f>
        <v/>
      </c>
      <c r="E89" t="str" cm="1">
        <f t="array" aca="1" ref="E89" ca="1">IF('Raw Data'!D89 = "","",IF(AND(LEN('Raw Data'!D89) &lt; 255,LEN('Raw Data'!D89)&gt; 0),"",_xlfn.REGEXEXTRACT(CELL("address",'Raw Data'!D89),"\$([A-Z]+)\$[0-9]+")))</f>
        <v/>
      </c>
    </row>
    <row r="90" spans="2:5" x14ac:dyDescent="0.25">
      <c r="B90" t="str" cm="1">
        <f t="array" aca="1" ref="B90" ca="1">IF('Raw Data'!B90 = "","",IF(AND(LEN('Raw Data'!B90) &lt; 255,LEN('Raw Data'!B90)&gt; 0),"",_xlfn.REGEXEXTRACT(CELL("address",'Raw Data'!B90),"\$([A-Z]+)\$[0-9]+")))</f>
        <v/>
      </c>
      <c r="D90" t="str" cm="1">
        <f t="array" aca="1" ref="D90" ca="1">IF('Raw Data'!C90 = "","",IF(AND(LEN('Raw Data'!C90) &lt; 255,LEN('Raw Data'!C90)&gt; 0),"",_xlfn.REGEXEXTRACT(CELL("address",'Raw Data'!C90),"\$([A-Z]+)\$[0-9]+")))</f>
        <v/>
      </c>
      <c r="E90" t="str" cm="1">
        <f t="array" aca="1" ref="E90" ca="1">IF('Raw Data'!D90 = "","",IF(AND(LEN('Raw Data'!D90) &lt; 255,LEN('Raw Data'!D90)&gt; 0),"",_xlfn.REGEXEXTRACT(CELL("address",'Raw Data'!D90),"\$([A-Z]+)\$[0-9]+")))</f>
        <v/>
      </c>
    </row>
    <row r="91" spans="2:5" x14ac:dyDescent="0.25">
      <c r="B91" t="str" cm="1">
        <f t="array" aca="1" ref="B91" ca="1">IF('Raw Data'!B91 = "","",IF(AND(LEN('Raw Data'!B91) &lt; 255,LEN('Raw Data'!B91)&gt; 0),"",_xlfn.REGEXEXTRACT(CELL("address",'Raw Data'!B91),"\$([A-Z]+)\$[0-9]+")))</f>
        <v/>
      </c>
      <c r="D91" t="str" cm="1">
        <f t="array" aca="1" ref="D91" ca="1">IF('Raw Data'!C91 = "","",IF(AND(LEN('Raw Data'!C91) &lt; 255,LEN('Raw Data'!C91)&gt; 0),"",_xlfn.REGEXEXTRACT(CELL("address",'Raw Data'!C91),"\$([A-Z]+)\$[0-9]+")))</f>
        <v/>
      </c>
      <c r="E91" t="str" cm="1">
        <f t="array" aca="1" ref="E91" ca="1">IF('Raw Data'!D91 = "","",IF(AND(LEN('Raw Data'!D91) &lt; 255,LEN('Raw Data'!D91)&gt; 0),"",_xlfn.REGEXEXTRACT(CELL("address",'Raw Data'!D91),"\$([A-Z]+)\$[0-9]+")))</f>
        <v/>
      </c>
    </row>
    <row r="92" spans="2:5" x14ac:dyDescent="0.25">
      <c r="B92" t="str" cm="1">
        <f t="array" aca="1" ref="B92" ca="1">IF('Raw Data'!B92 = "","",IF(AND(LEN('Raw Data'!B92) &lt; 255,LEN('Raw Data'!B92)&gt; 0),"",_xlfn.REGEXEXTRACT(CELL("address",'Raw Data'!B92),"\$([A-Z]+)\$[0-9]+")))</f>
        <v/>
      </c>
      <c r="D92" t="str" cm="1">
        <f t="array" aca="1" ref="D92" ca="1">IF('Raw Data'!C92 = "","",IF(AND(LEN('Raw Data'!C92) &lt; 255,LEN('Raw Data'!C92)&gt; 0),"",_xlfn.REGEXEXTRACT(CELL("address",'Raw Data'!C92),"\$([A-Z]+)\$[0-9]+")))</f>
        <v/>
      </c>
      <c r="E92" t="str" cm="1">
        <f t="array" aca="1" ref="E92" ca="1">IF('Raw Data'!D92 = "","",IF(AND(LEN('Raw Data'!D92) &lt; 255,LEN('Raw Data'!D92)&gt; 0),"",_xlfn.REGEXEXTRACT(CELL("address",'Raw Data'!D92),"\$([A-Z]+)\$[0-9]+")))</f>
        <v/>
      </c>
    </row>
    <row r="93" spans="2:5" x14ac:dyDescent="0.25">
      <c r="B93" t="str" cm="1">
        <f t="array" aca="1" ref="B93" ca="1">IF('Raw Data'!B93 = "","",IF(AND(LEN('Raw Data'!B93) &lt; 255,LEN('Raw Data'!B93)&gt; 0),"",_xlfn.REGEXEXTRACT(CELL("address",'Raw Data'!B93),"\$([A-Z]+)\$[0-9]+")))</f>
        <v/>
      </c>
      <c r="D93" t="str" cm="1">
        <f t="array" aca="1" ref="D93" ca="1">IF('Raw Data'!C93 = "","",IF(AND(LEN('Raw Data'!C93) &lt; 255,LEN('Raw Data'!C93)&gt; 0),"",_xlfn.REGEXEXTRACT(CELL("address",'Raw Data'!C93),"\$([A-Z]+)\$[0-9]+")))</f>
        <v/>
      </c>
      <c r="E93" t="str" cm="1">
        <f t="array" aca="1" ref="E93" ca="1">IF('Raw Data'!D93 = "","",IF(AND(LEN('Raw Data'!D93) &lt; 255,LEN('Raw Data'!D93)&gt; 0),"",_xlfn.REGEXEXTRACT(CELL("address",'Raw Data'!D93),"\$([A-Z]+)\$[0-9]+")))</f>
        <v/>
      </c>
    </row>
    <row r="94" spans="2:5" x14ac:dyDescent="0.25">
      <c r="B94" t="str" cm="1">
        <f t="array" aca="1" ref="B94" ca="1">IF('Raw Data'!B94 = "","",IF(AND(LEN('Raw Data'!B94) &lt; 255,LEN('Raw Data'!B94)&gt; 0),"",_xlfn.REGEXEXTRACT(CELL("address",'Raw Data'!B94),"\$([A-Z]+)\$[0-9]+")))</f>
        <v/>
      </c>
      <c r="D94" t="str" cm="1">
        <f t="array" aca="1" ref="D94" ca="1">IF('Raw Data'!C94 = "","",IF(AND(LEN('Raw Data'!C94) &lt; 255,LEN('Raw Data'!C94)&gt; 0),"",_xlfn.REGEXEXTRACT(CELL("address",'Raw Data'!C94),"\$([A-Z]+)\$[0-9]+")))</f>
        <v/>
      </c>
      <c r="E94" t="str" cm="1">
        <f t="array" aca="1" ref="E94" ca="1">IF('Raw Data'!D94 = "","",IF(AND(LEN('Raw Data'!D94) &lt; 255,LEN('Raw Data'!D94)&gt; 0),"",_xlfn.REGEXEXTRACT(CELL("address",'Raw Data'!D94),"\$([A-Z]+)\$[0-9]+")))</f>
        <v/>
      </c>
    </row>
    <row r="95" spans="2:5" x14ac:dyDescent="0.25">
      <c r="B95" t="str" cm="1">
        <f t="array" aca="1" ref="B95" ca="1">IF('Raw Data'!B95 = "","",IF(AND(LEN('Raw Data'!B95) &lt; 255,LEN('Raw Data'!B95)&gt; 0),"",_xlfn.REGEXEXTRACT(CELL("address",'Raw Data'!B95),"\$([A-Z]+)\$[0-9]+")))</f>
        <v/>
      </c>
      <c r="D95" t="str" cm="1">
        <f t="array" aca="1" ref="D95" ca="1">IF('Raw Data'!C95 = "","",IF(AND(LEN('Raw Data'!C95) &lt; 255,LEN('Raw Data'!C95)&gt; 0),"",_xlfn.REGEXEXTRACT(CELL("address",'Raw Data'!C95),"\$([A-Z]+)\$[0-9]+")))</f>
        <v/>
      </c>
      <c r="E95" t="str" cm="1">
        <f t="array" aca="1" ref="E95" ca="1">IF('Raw Data'!D95 = "","",IF(AND(LEN('Raw Data'!D95) &lt; 255,LEN('Raw Data'!D95)&gt; 0),"",_xlfn.REGEXEXTRACT(CELL("address",'Raw Data'!D95),"\$([A-Z]+)\$[0-9]+")))</f>
        <v/>
      </c>
    </row>
    <row r="96" spans="2:5" x14ac:dyDescent="0.25">
      <c r="B96" t="str" cm="1">
        <f t="array" aca="1" ref="B96" ca="1">IF('Raw Data'!B96 = "","",IF(AND(LEN('Raw Data'!B96) &lt; 255,LEN('Raw Data'!B96)&gt; 0),"",_xlfn.REGEXEXTRACT(CELL("address",'Raw Data'!B96),"\$([A-Z]+)\$[0-9]+")))</f>
        <v/>
      </c>
      <c r="D96" t="str" cm="1">
        <f t="array" aca="1" ref="D96" ca="1">IF('Raw Data'!C96 = "","",IF(AND(LEN('Raw Data'!C96) &lt; 255,LEN('Raw Data'!C96)&gt; 0),"",_xlfn.REGEXEXTRACT(CELL("address",'Raw Data'!C96),"\$([A-Z]+)\$[0-9]+")))</f>
        <v/>
      </c>
      <c r="E96" t="str" cm="1">
        <f t="array" aca="1" ref="E96" ca="1">IF('Raw Data'!D96 = "","",IF(AND(LEN('Raw Data'!D96) &lt; 255,LEN('Raw Data'!D96)&gt; 0),"",_xlfn.REGEXEXTRACT(CELL("address",'Raw Data'!D96),"\$([A-Z]+)\$[0-9]+")))</f>
        <v/>
      </c>
    </row>
    <row r="97" spans="2:5" x14ac:dyDescent="0.25">
      <c r="B97" t="str" cm="1">
        <f t="array" aca="1" ref="B97" ca="1">IF('Raw Data'!B97 = "","",IF(AND(LEN('Raw Data'!B97) &lt; 255,LEN('Raw Data'!B97)&gt; 0),"",_xlfn.REGEXEXTRACT(CELL("address",'Raw Data'!B97),"\$([A-Z]+)\$[0-9]+")))</f>
        <v/>
      </c>
      <c r="D97" t="str" cm="1">
        <f t="array" aca="1" ref="D97" ca="1">IF('Raw Data'!C97 = "","",IF(AND(LEN('Raw Data'!C97) &lt; 255,LEN('Raw Data'!C97)&gt; 0),"",_xlfn.REGEXEXTRACT(CELL("address",'Raw Data'!C97),"\$([A-Z]+)\$[0-9]+")))</f>
        <v/>
      </c>
      <c r="E97" t="str" cm="1">
        <f t="array" aca="1" ref="E97" ca="1">IF('Raw Data'!D97 = "","",IF(AND(LEN('Raw Data'!D97) &lt; 255,LEN('Raw Data'!D97)&gt; 0),"",_xlfn.REGEXEXTRACT(CELL("address",'Raw Data'!D97),"\$([A-Z]+)\$[0-9]+")))</f>
        <v/>
      </c>
    </row>
    <row r="98" spans="2:5" x14ac:dyDescent="0.25">
      <c r="B98" t="str" cm="1">
        <f t="array" aca="1" ref="B98" ca="1">IF('Raw Data'!B98 = "","",IF(AND(LEN('Raw Data'!B98) &lt; 255,LEN('Raw Data'!B98)&gt; 0),"",_xlfn.REGEXEXTRACT(CELL("address",'Raw Data'!B98),"\$([A-Z]+)\$[0-9]+")))</f>
        <v/>
      </c>
      <c r="D98" t="str" cm="1">
        <f t="array" aca="1" ref="D98" ca="1">IF('Raw Data'!C98 = "","",IF(AND(LEN('Raw Data'!C98) &lt; 255,LEN('Raw Data'!C98)&gt; 0),"",_xlfn.REGEXEXTRACT(CELL("address",'Raw Data'!C98),"\$([A-Z]+)\$[0-9]+")))</f>
        <v/>
      </c>
      <c r="E98" t="str" cm="1">
        <f t="array" aca="1" ref="E98" ca="1">IF('Raw Data'!D98 = "","",IF(AND(LEN('Raw Data'!D98) &lt; 255,LEN('Raw Data'!D98)&gt; 0),"",_xlfn.REGEXEXTRACT(CELL("address",'Raw Data'!D98),"\$([A-Z]+)\$[0-9]+")))</f>
        <v/>
      </c>
    </row>
    <row r="99" spans="2:5" x14ac:dyDescent="0.25">
      <c r="B99" t="str" cm="1">
        <f t="array" aca="1" ref="B99" ca="1">IF('Raw Data'!B99 = "","",IF(AND(LEN('Raw Data'!B99) &lt; 255,LEN('Raw Data'!B99)&gt; 0),"",_xlfn.REGEXEXTRACT(CELL("address",'Raw Data'!B99),"\$([A-Z]+)\$[0-9]+")))</f>
        <v/>
      </c>
      <c r="D99" t="str" cm="1">
        <f t="array" aca="1" ref="D99" ca="1">IF('Raw Data'!C99 = "","",IF(AND(LEN('Raw Data'!C99) &lt; 255,LEN('Raw Data'!C99)&gt; 0),"",_xlfn.REGEXEXTRACT(CELL("address",'Raw Data'!C99),"\$([A-Z]+)\$[0-9]+")))</f>
        <v/>
      </c>
      <c r="E99" t="str" cm="1">
        <f t="array" aca="1" ref="E99" ca="1">IF('Raw Data'!D99 = "","",IF(AND(LEN('Raw Data'!D99) &lt; 255,LEN('Raw Data'!D99)&gt; 0),"",_xlfn.REGEXEXTRACT(CELL("address",'Raw Data'!D99),"\$([A-Z]+)\$[0-9]+")))</f>
        <v/>
      </c>
    </row>
    <row r="100" spans="2:5" x14ac:dyDescent="0.25">
      <c r="B100" t="str" cm="1">
        <f t="array" aca="1" ref="B100" ca="1">IF('Raw Data'!B100 = "","",IF(AND(LEN('Raw Data'!B100) &lt; 255,LEN('Raw Data'!B100)&gt; 0),"",_xlfn.REGEXEXTRACT(CELL("address",'Raw Data'!B100),"\$([A-Z]+)\$[0-9]+")))</f>
        <v/>
      </c>
      <c r="D100" t="str" cm="1">
        <f t="array" aca="1" ref="D100" ca="1">IF('Raw Data'!C100 = "","",IF(AND(LEN('Raw Data'!C100) &lt; 255,LEN('Raw Data'!C100)&gt; 0),"",_xlfn.REGEXEXTRACT(CELL("address",'Raw Data'!C100),"\$([A-Z]+)\$[0-9]+")))</f>
        <v/>
      </c>
      <c r="E100" t="str" cm="1">
        <f t="array" aca="1" ref="E100" ca="1">IF('Raw Data'!D100 = "","",IF(AND(LEN('Raw Data'!D100) &lt; 255,LEN('Raw Data'!D100)&gt; 0),"",_xlfn.REGEXEXTRACT(CELL("address",'Raw Data'!D100),"\$([A-Z]+)\$[0-9]+")))</f>
        <v/>
      </c>
    </row>
    <row r="101" spans="2:5" x14ac:dyDescent="0.25">
      <c r="B101" t="str" cm="1">
        <f t="array" aca="1" ref="B101" ca="1">IF('Raw Data'!B101 = "","",IF(AND(LEN('Raw Data'!B101) &lt; 255,LEN('Raw Data'!B101)&gt; 0),"",_xlfn.REGEXEXTRACT(CELL("address",'Raw Data'!B101),"\$([A-Z]+)\$[0-9]+")))</f>
        <v/>
      </c>
      <c r="D101" t="str" cm="1">
        <f t="array" aca="1" ref="D101" ca="1">IF('Raw Data'!C101 = "","",IF(AND(LEN('Raw Data'!C101) &lt; 255,LEN('Raw Data'!C101)&gt; 0),"",_xlfn.REGEXEXTRACT(CELL("address",'Raw Data'!C101),"\$([A-Z]+)\$[0-9]+")))</f>
        <v/>
      </c>
      <c r="E101" t="str" cm="1">
        <f t="array" aca="1" ref="E101" ca="1">IF('Raw Data'!D101 = "","",IF(AND(LEN('Raw Data'!D101) &lt; 255,LEN('Raw Data'!D101)&gt; 0),"",_xlfn.REGEXEXTRACT(CELL("address",'Raw Data'!D101),"\$([A-Z]+)\$[0-9]+")))</f>
        <v/>
      </c>
    </row>
    <row r="102" spans="2:5" x14ac:dyDescent="0.25">
      <c r="B102" t="str" cm="1">
        <f t="array" aca="1" ref="B102" ca="1">IF('Raw Data'!B102 = "","",IF(AND(LEN('Raw Data'!B102) &lt; 255,LEN('Raw Data'!B102)&gt; 0),"",_xlfn.REGEXEXTRACT(CELL("address",'Raw Data'!B102),"\$([A-Z]+)\$[0-9]+")))</f>
        <v/>
      </c>
      <c r="D102" t="str" cm="1">
        <f t="array" aca="1" ref="D102" ca="1">IF('Raw Data'!C102 = "","",IF(AND(LEN('Raw Data'!C102) &lt; 255,LEN('Raw Data'!C102)&gt; 0),"",_xlfn.REGEXEXTRACT(CELL("address",'Raw Data'!C102),"\$([A-Z]+)\$[0-9]+")))</f>
        <v/>
      </c>
      <c r="E102" t="str" cm="1">
        <f t="array" aca="1" ref="E102" ca="1">IF('Raw Data'!D102 = "","",IF(AND(LEN('Raw Data'!D102) &lt; 255,LEN('Raw Data'!D102)&gt; 0),"",_xlfn.REGEXEXTRACT(CELL("address",'Raw Data'!D102),"\$([A-Z]+)\$[0-9]+")))</f>
        <v/>
      </c>
    </row>
    <row r="103" spans="2:5" x14ac:dyDescent="0.25">
      <c r="B103" t="str" cm="1">
        <f t="array" aca="1" ref="B103" ca="1">IF('Raw Data'!B103 = "","",IF(AND(LEN('Raw Data'!B103) &lt; 255,LEN('Raw Data'!B103)&gt; 0),"",_xlfn.REGEXEXTRACT(CELL("address",'Raw Data'!B103),"\$([A-Z]+)\$[0-9]+")))</f>
        <v/>
      </c>
      <c r="D103" t="str" cm="1">
        <f t="array" aca="1" ref="D103" ca="1">IF('Raw Data'!C103 = "","",IF(AND(LEN('Raw Data'!C103) &lt; 255,LEN('Raw Data'!C103)&gt; 0),"",_xlfn.REGEXEXTRACT(CELL("address",'Raw Data'!C103),"\$([A-Z]+)\$[0-9]+")))</f>
        <v/>
      </c>
      <c r="E103" t="str" cm="1">
        <f t="array" aca="1" ref="E103" ca="1">IF('Raw Data'!D103 = "","",IF(AND(LEN('Raw Data'!D103) &lt; 255,LEN('Raw Data'!D103)&gt; 0),"",_xlfn.REGEXEXTRACT(CELL("address",'Raw Data'!D103),"\$([A-Z]+)\$[0-9]+")))</f>
        <v/>
      </c>
    </row>
    <row r="104" spans="2:5" x14ac:dyDescent="0.25">
      <c r="B104" t="str" cm="1">
        <f t="array" aca="1" ref="B104" ca="1">IF('Raw Data'!B104 = "","",IF(AND(LEN('Raw Data'!B104) &lt; 255,LEN('Raw Data'!B104)&gt; 0),"",_xlfn.REGEXEXTRACT(CELL("address",'Raw Data'!B104),"\$([A-Z]+)\$[0-9]+")))</f>
        <v/>
      </c>
      <c r="D104" t="str" cm="1">
        <f t="array" aca="1" ref="D104" ca="1">IF('Raw Data'!C104 = "","",IF(AND(LEN('Raw Data'!C104) &lt; 255,LEN('Raw Data'!C104)&gt; 0),"",_xlfn.REGEXEXTRACT(CELL("address",'Raw Data'!C104),"\$([A-Z]+)\$[0-9]+")))</f>
        <v/>
      </c>
      <c r="E104" t="str" cm="1">
        <f t="array" aca="1" ref="E104" ca="1">IF('Raw Data'!D104 = "","",IF(AND(LEN('Raw Data'!D104) &lt; 255,LEN('Raw Data'!D104)&gt; 0),"",_xlfn.REGEXEXTRACT(CELL("address",'Raw Data'!D104),"\$([A-Z]+)\$[0-9]+")))</f>
        <v/>
      </c>
    </row>
    <row r="105" spans="2:5" x14ac:dyDescent="0.25">
      <c r="B105" t="str" cm="1">
        <f t="array" aca="1" ref="B105" ca="1">IF('Raw Data'!B105 = "","",IF(AND(LEN('Raw Data'!B105) &lt; 255,LEN('Raw Data'!B105)&gt; 0),"",_xlfn.REGEXEXTRACT(CELL("address",'Raw Data'!B105),"\$([A-Z]+)\$[0-9]+")))</f>
        <v/>
      </c>
      <c r="D105" t="str" cm="1">
        <f t="array" aca="1" ref="D105" ca="1">IF('Raw Data'!C105 = "","",IF(AND(LEN('Raw Data'!C105) &lt; 255,LEN('Raw Data'!C105)&gt; 0),"",_xlfn.REGEXEXTRACT(CELL("address",'Raw Data'!C105),"\$([A-Z]+)\$[0-9]+")))</f>
        <v/>
      </c>
      <c r="E105" t="str" cm="1">
        <f t="array" aca="1" ref="E105" ca="1">IF('Raw Data'!D105 = "","",IF(AND(LEN('Raw Data'!D105) &lt; 255,LEN('Raw Data'!D105)&gt; 0),"",_xlfn.REGEXEXTRACT(CELL("address",'Raw Data'!D105),"\$([A-Z]+)\$[0-9]+")))</f>
        <v/>
      </c>
    </row>
    <row r="106" spans="2:5" x14ac:dyDescent="0.25">
      <c r="B106" t="str" cm="1">
        <f t="array" aca="1" ref="B106" ca="1">IF('Raw Data'!B106 = "","",IF(AND(LEN('Raw Data'!B106) &lt; 255,LEN('Raw Data'!B106)&gt; 0),"",_xlfn.REGEXEXTRACT(CELL("address",'Raw Data'!B106),"\$([A-Z]+)\$[0-9]+")))</f>
        <v/>
      </c>
      <c r="D106" t="str" cm="1">
        <f t="array" aca="1" ref="D106" ca="1">IF('Raw Data'!C106 = "","",IF(AND(LEN('Raw Data'!C106) &lt; 255,LEN('Raw Data'!C106)&gt; 0),"",_xlfn.REGEXEXTRACT(CELL("address",'Raw Data'!C106),"\$([A-Z]+)\$[0-9]+")))</f>
        <v/>
      </c>
      <c r="E106" t="str" cm="1">
        <f t="array" aca="1" ref="E106" ca="1">IF('Raw Data'!D106 = "","",IF(AND(LEN('Raw Data'!D106) &lt; 255,LEN('Raw Data'!D106)&gt; 0),"",_xlfn.REGEXEXTRACT(CELL("address",'Raw Data'!D106),"\$([A-Z]+)\$[0-9]+")))</f>
        <v/>
      </c>
    </row>
    <row r="107" spans="2:5" x14ac:dyDescent="0.25">
      <c r="B107" t="str" cm="1">
        <f t="array" aca="1" ref="B107" ca="1">IF('Raw Data'!B107 = "","",IF(AND(LEN('Raw Data'!B107) &lt; 255,LEN('Raw Data'!B107)&gt; 0),"",_xlfn.REGEXEXTRACT(CELL("address",'Raw Data'!B107),"\$([A-Z]+)\$[0-9]+")))</f>
        <v/>
      </c>
      <c r="D107" t="str" cm="1">
        <f t="array" aca="1" ref="D107" ca="1">IF('Raw Data'!C107 = "","",IF(AND(LEN('Raw Data'!C107) &lt; 255,LEN('Raw Data'!C107)&gt; 0),"",_xlfn.REGEXEXTRACT(CELL("address",'Raw Data'!C107),"\$([A-Z]+)\$[0-9]+")))</f>
        <v/>
      </c>
      <c r="E107" t="str" cm="1">
        <f t="array" aca="1" ref="E107" ca="1">IF('Raw Data'!D107 = "","",IF(AND(LEN('Raw Data'!D107) &lt; 255,LEN('Raw Data'!D107)&gt; 0),"",_xlfn.REGEXEXTRACT(CELL("address",'Raw Data'!D107),"\$([A-Z]+)\$[0-9]+")))</f>
        <v/>
      </c>
    </row>
    <row r="108" spans="2:5" x14ac:dyDescent="0.25">
      <c r="B108" t="str" cm="1">
        <f t="array" aca="1" ref="B108" ca="1">IF('Raw Data'!B108 = "","",IF(AND(LEN('Raw Data'!B108) &lt; 255,LEN('Raw Data'!B108)&gt; 0),"",_xlfn.REGEXEXTRACT(CELL("address",'Raw Data'!B108),"\$([A-Z]+)\$[0-9]+")))</f>
        <v/>
      </c>
      <c r="D108" t="str" cm="1">
        <f t="array" aca="1" ref="D108" ca="1">IF('Raw Data'!C108 = "","",IF(AND(LEN('Raw Data'!C108) &lt; 255,LEN('Raw Data'!C108)&gt; 0),"",_xlfn.REGEXEXTRACT(CELL("address",'Raw Data'!C108),"\$([A-Z]+)\$[0-9]+")))</f>
        <v/>
      </c>
      <c r="E108" t="str" cm="1">
        <f t="array" aca="1" ref="E108" ca="1">IF('Raw Data'!D108 = "","",IF(AND(LEN('Raw Data'!D108) &lt; 255,LEN('Raw Data'!D108)&gt; 0),"",_xlfn.REGEXEXTRACT(CELL("address",'Raw Data'!D108),"\$([A-Z]+)\$[0-9]+")))</f>
        <v/>
      </c>
    </row>
    <row r="109" spans="2:5" x14ac:dyDescent="0.25">
      <c r="B109" t="str" cm="1">
        <f t="array" aca="1" ref="B109" ca="1">IF('Raw Data'!B109 = "","",IF(AND(LEN('Raw Data'!B109) &lt; 255,LEN('Raw Data'!B109)&gt; 0),"",_xlfn.REGEXEXTRACT(CELL("address",'Raw Data'!B109),"\$([A-Z]+)\$[0-9]+")))</f>
        <v/>
      </c>
      <c r="D109" t="str" cm="1">
        <f t="array" aca="1" ref="D109" ca="1">IF('Raw Data'!C109 = "","",IF(AND(LEN('Raw Data'!C109) &lt; 255,LEN('Raw Data'!C109)&gt; 0),"",_xlfn.REGEXEXTRACT(CELL("address",'Raw Data'!C109),"\$([A-Z]+)\$[0-9]+")))</f>
        <v/>
      </c>
      <c r="E109" t="str" cm="1">
        <f t="array" aca="1" ref="E109" ca="1">IF('Raw Data'!D109 = "","",IF(AND(LEN('Raw Data'!D109) &lt; 255,LEN('Raw Data'!D109)&gt; 0),"",_xlfn.REGEXEXTRACT(CELL("address",'Raw Data'!D109),"\$([A-Z]+)\$[0-9]+")))</f>
        <v/>
      </c>
    </row>
    <row r="110" spans="2:5" x14ac:dyDescent="0.25">
      <c r="B110" t="str" cm="1">
        <f t="array" aca="1" ref="B110" ca="1">IF('Raw Data'!B110 = "","",IF(AND(LEN('Raw Data'!B110) &lt; 255,LEN('Raw Data'!B110)&gt; 0),"",_xlfn.REGEXEXTRACT(CELL("address",'Raw Data'!B110),"\$([A-Z]+)\$[0-9]+")))</f>
        <v/>
      </c>
      <c r="D110" t="str" cm="1">
        <f t="array" aca="1" ref="D110" ca="1">IF('Raw Data'!C110 = "","",IF(AND(LEN('Raw Data'!C110) &lt; 255,LEN('Raw Data'!C110)&gt; 0),"",_xlfn.REGEXEXTRACT(CELL("address",'Raw Data'!C110),"\$([A-Z]+)\$[0-9]+")))</f>
        <v/>
      </c>
      <c r="E110" t="str" cm="1">
        <f t="array" aca="1" ref="E110" ca="1">IF('Raw Data'!D110 = "","",IF(AND(LEN('Raw Data'!D110) &lt; 255,LEN('Raw Data'!D110)&gt; 0),"",_xlfn.REGEXEXTRACT(CELL("address",'Raw Data'!D110),"\$([A-Z]+)\$[0-9]+")))</f>
        <v/>
      </c>
    </row>
    <row r="111" spans="2:5" x14ac:dyDescent="0.25">
      <c r="B111" t="str" cm="1">
        <f t="array" aca="1" ref="B111" ca="1">IF('Raw Data'!B111 = "","",IF(AND(LEN('Raw Data'!B111) &lt; 255,LEN('Raw Data'!B111)&gt; 0),"",_xlfn.REGEXEXTRACT(CELL("address",'Raw Data'!B111),"\$([A-Z]+)\$[0-9]+")))</f>
        <v/>
      </c>
      <c r="D111" t="str" cm="1">
        <f t="array" aca="1" ref="D111" ca="1">IF('Raw Data'!C111 = "","",IF(AND(LEN('Raw Data'!C111) &lt; 255,LEN('Raw Data'!C111)&gt; 0),"",_xlfn.REGEXEXTRACT(CELL("address",'Raw Data'!C111),"\$([A-Z]+)\$[0-9]+")))</f>
        <v/>
      </c>
      <c r="E111" t="str" cm="1">
        <f t="array" aca="1" ref="E111" ca="1">IF('Raw Data'!D111 = "","",IF(AND(LEN('Raw Data'!D111) &lt; 255,LEN('Raw Data'!D111)&gt; 0),"",_xlfn.REGEXEXTRACT(CELL("address",'Raw Data'!D111),"\$([A-Z]+)\$[0-9]+")))</f>
        <v/>
      </c>
    </row>
    <row r="112" spans="2:5" x14ac:dyDescent="0.25">
      <c r="B112" t="str" cm="1">
        <f t="array" aca="1" ref="B112" ca="1">IF('Raw Data'!B112 = "","",IF(AND(LEN('Raw Data'!B112) &lt; 255,LEN('Raw Data'!B112)&gt; 0),"",_xlfn.REGEXEXTRACT(CELL("address",'Raw Data'!B112),"\$([A-Z]+)\$[0-9]+")))</f>
        <v/>
      </c>
      <c r="D112" t="str" cm="1">
        <f t="array" aca="1" ref="D112" ca="1">IF('Raw Data'!C112 = "","",IF(AND(LEN('Raw Data'!C112) &lt; 255,LEN('Raw Data'!C112)&gt; 0),"",_xlfn.REGEXEXTRACT(CELL("address",'Raw Data'!C112),"\$([A-Z]+)\$[0-9]+")))</f>
        <v/>
      </c>
      <c r="E112" t="str" cm="1">
        <f t="array" aca="1" ref="E112" ca="1">IF('Raw Data'!D112 = "","",IF(AND(LEN('Raw Data'!D112) &lt; 255,LEN('Raw Data'!D112)&gt; 0),"",_xlfn.REGEXEXTRACT(CELL("address",'Raw Data'!D112),"\$([A-Z]+)\$[0-9]+")))</f>
        <v/>
      </c>
    </row>
    <row r="113" spans="2:5" x14ac:dyDescent="0.25">
      <c r="B113" t="str" cm="1">
        <f t="array" aca="1" ref="B113" ca="1">IF('Raw Data'!B113 = "","",IF(AND(LEN('Raw Data'!B113) &lt; 255,LEN('Raw Data'!B113)&gt; 0),"",_xlfn.REGEXEXTRACT(CELL("address",'Raw Data'!B113),"\$([A-Z]+)\$[0-9]+")))</f>
        <v/>
      </c>
      <c r="D113" t="str" cm="1">
        <f t="array" aca="1" ref="D113" ca="1">IF('Raw Data'!C113 = "","",IF(AND(LEN('Raw Data'!C113) &lt; 255,LEN('Raw Data'!C113)&gt; 0),"",_xlfn.REGEXEXTRACT(CELL("address",'Raw Data'!C113),"\$([A-Z]+)\$[0-9]+")))</f>
        <v/>
      </c>
      <c r="E113" t="str" cm="1">
        <f t="array" aca="1" ref="E113" ca="1">IF('Raw Data'!D113 = "","",IF(AND(LEN('Raw Data'!D113) &lt; 255,LEN('Raw Data'!D113)&gt; 0),"",_xlfn.REGEXEXTRACT(CELL("address",'Raw Data'!D113),"\$([A-Z]+)\$[0-9]+")))</f>
        <v/>
      </c>
    </row>
    <row r="114" spans="2:5" x14ac:dyDescent="0.25">
      <c r="B114" t="str" cm="1">
        <f t="array" aca="1" ref="B114" ca="1">IF('Raw Data'!B114 = "","",IF(AND(LEN('Raw Data'!B114) &lt; 255,LEN('Raw Data'!B114)&gt; 0),"",_xlfn.REGEXEXTRACT(CELL("address",'Raw Data'!B114),"\$([A-Z]+)\$[0-9]+")))</f>
        <v/>
      </c>
      <c r="D114" t="str" cm="1">
        <f t="array" aca="1" ref="D114" ca="1">IF('Raw Data'!C114 = "","",IF(AND(LEN('Raw Data'!C114) &lt; 255,LEN('Raw Data'!C114)&gt; 0),"",_xlfn.REGEXEXTRACT(CELL("address",'Raw Data'!C114),"\$([A-Z]+)\$[0-9]+")))</f>
        <v/>
      </c>
      <c r="E114" t="str" cm="1">
        <f t="array" aca="1" ref="E114" ca="1">IF('Raw Data'!D114 = "","",IF(AND(LEN('Raw Data'!D114) &lt; 255,LEN('Raw Data'!D114)&gt; 0),"",_xlfn.REGEXEXTRACT(CELL("address",'Raw Data'!D114),"\$([A-Z]+)\$[0-9]+")))</f>
        <v/>
      </c>
    </row>
    <row r="115" spans="2:5" x14ac:dyDescent="0.25">
      <c r="B115" t="str" cm="1">
        <f t="array" aca="1" ref="B115" ca="1">IF('Raw Data'!B115 = "","",IF(AND(LEN('Raw Data'!B115) &lt; 255,LEN('Raw Data'!B115)&gt; 0),"",_xlfn.REGEXEXTRACT(CELL("address",'Raw Data'!B115),"\$([A-Z]+)\$[0-9]+")))</f>
        <v/>
      </c>
      <c r="D115" t="str" cm="1">
        <f t="array" aca="1" ref="D115" ca="1">IF('Raw Data'!C115 = "","",IF(AND(LEN('Raw Data'!C115) &lt; 255,LEN('Raw Data'!C115)&gt; 0),"",_xlfn.REGEXEXTRACT(CELL("address",'Raw Data'!C115),"\$([A-Z]+)\$[0-9]+")))</f>
        <v/>
      </c>
      <c r="E115" t="str" cm="1">
        <f t="array" aca="1" ref="E115" ca="1">IF('Raw Data'!D115 = "","",IF(AND(LEN('Raw Data'!D115) &lt; 255,LEN('Raw Data'!D115)&gt; 0),"",_xlfn.REGEXEXTRACT(CELL("address",'Raw Data'!D115),"\$([A-Z]+)\$[0-9]+")))</f>
        <v/>
      </c>
    </row>
    <row r="116" spans="2:5" x14ac:dyDescent="0.25">
      <c r="B116" t="str" cm="1">
        <f t="array" aca="1" ref="B116" ca="1">IF('Raw Data'!B116 = "","",IF(AND(LEN('Raw Data'!B116) &lt; 255,LEN('Raw Data'!B116)&gt; 0),"",_xlfn.REGEXEXTRACT(CELL("address",'Raw Data'!B116),"\$([A-Z]+)\$[0-9]+")))</f>
        <v/>
      </c>
      <c r="D116" t="str" cm="1">
        <f t="array" aca="1" ref="D116" ca="1">IF('Raw Data'!C116 = "","",IF(AND(LEN('Raw Data'!C116) &lt; 255,LEN('Raw Data'!C116)&gt; 0),"",_xlfn.REGEXEXTRACT(CELL("address",'Raw Data'!C116),"\$([A-Z]+)\$[0-9]+")))</f>
        <v/>
      </c>
      <c r="E116" t="str" cm="1">
        <f t="array" aca="1" ref="E116" ca="1">IF('Raw Data'!D116 = "","",IF(AND(LEN('Raw Data'!D116) &lt; 255,LEN('Raw Data'!D116)&gt; 0),"",_xlfn.REGEXEXTRACT(CELL("address",'Raw Data'!D116),"\$([A-Z]+)\$[0-9]+")))</f>
        <v/>
      </c>
    </row>
    <row r="117" spans="2:5" x14ac:dyDescent="0.25">
      <c r="B117" t="str" cm="1">
        <f t="array" aca="1" ref="B117" ca="1">IF('Raw Data'!B117 = "","",IF(AND(LEN('Raw Data'!B117) &lt; 255,LEN('Raw Data'!B117)&gt; 0),"",_xlfn.REGEXEXTRACT(CELL("address",'Raw Data'!B117),"\$([A-Z]+)\$[0-9]+")))</f>
        <v/>
      </c>
      <c r="D117" t="str" cm="1">
        <f t="array" aca="1" ref="D117" ca="1">IF('Raw Data'!C117 = "","",IF(AND(LEN('Raw Data'!C117) &lt; 255,LEN('Raw Data'!C117)&gt; 0),"",_xlfn.REGEXEXTRACT(CELL("address",'Raw Data'!C117),"\$([A-Z]+)\$[0-9]+")))</f>
        <v/>
      </c>
      <c r="E117" t="str" cm="1">
        <f t="array" aca="1" ref="E117" ca="1">IF('Raw Data'!D117 = "","",IF(AND(LEN('Raw Data'!D117) &lt; 255,LEN('Raw Data'!D117)&gt; 0),"",_xlfn.REGEXEXTRACT(CELL("address",'Raw Data'!D117),"\$([A-Z]+)\$[0-9]+")))</f>
        <v/>
      </c>
    </row>
    <row r="118" spans="2:5" x14ac:dyDescent="0.25">
      <c r="B118" t="str" cm="1">
        <f t="array" aca="1" ref="B118" ca="1">IF('Raw Data'!B118 = "","",IF(AND(LEN('Raw Data'!B118) &lt; 255,LEN('Raw Data'!B118)&gt; 0),"",_xlfn.REGEXEXTRACT(CELL("address",'Raw Data'!B118),"\$([A-Z]+)\$[0-9]+")))</f>
        <v/>
      </c>
      <c r="D118" t="str" cm="1">
        <f t="array" aca="1" ref="D118" ca="1">IF('Raw Data'!C118 = "","",IF(AND(LEN('Raw Data'!C118) &lt; 255,LEN('Raw Data'!C118)&gt; 0),"",_xlfn.REGEXEXTRACT(CELL("address",'Raw Data'!C118),"\$([A-Z]+)\$[0-9]+")))</f>
        <v/>
      </c>
      <c r="E118" t="str" cm="1">
        <f t="array" aca="1" ref="E118" ca="1">IF('Raw Data'!D118 = "","",IF(AND(LEN('Raw Data'!D118) &lt; 255,LEN('Raw Data'!D118)&gt; 0),"",_xlfn.REGEXEXTRACT(CELL("address",'Raw Data'!D118),"\$([A-Z]+)\$[0-9]+")))</f>
        <v/>
      </c>
    </row>
    <row r="119" spans="2:5" x14ac:dyDescent="0.25">
      <c r="B119" t="str" cm="1">
        <f t="array" aca="1" ref="B119" ca="1">IF('Raw Data'!B119 = "","",IF(AND(LEN('Raw Data'!B119) &lt; 255,LEN('Raw Data'!B119)&gt; 0),"",_xlfn.REGEXEXTRACT(CELL("address",'Raw Data'!B119),"\$([A-Z]+)\$[0-9]+")))</f>
        <v/>
      </c>
      <c r="D119" t="str" cm="1">
        <f t="array" aca="1" ref="D119" ca="1">IF('Raw Data'!C119 = "","",IF(AND(LEN('Raw Data'!C119) &lt; 255,LEN('Raw Data'!C119)&gt; 0),"",_xlfn.REGEXEXTRACT(CELL("address",'Raw Data'!C119),"\$([A-Z]+)\$[0-9]+")))</f>
        <v/>
      </c>
      <c r="E119" t="str" cm="1">
        <f t="array" aca="1" ref="E119" ca="1">IF('Raw Data'!D119 = "","",IF(AND(LEN('Raw Data'!D119) &lt; 255,LEN('Raw Data'!D119)&gt; 0),"",_xlfn.REGEXEXTRACT(CELL("address",'Raw Data'!D119),"\$([A-Z]+)\$[0-9]+")))</f>
        <v/>
      </c>
    </row>
    <row r="120" spans="2:5" x14ac:dyDescent="0.25">
      <c r="B120" t="str" cm="1">
        <f t="array" aca="1" ref="B120" ca="1">IF('Raw Data'!B120 = "","",IF(AND(LEN('Raw Data'!B120) &lt; 255,LEN('Raw Data'!B120)&gt; 0),"",_xlfn.REGEXEXTRACT(CELL("address",'Raw Data'!B120),"\$([A-Z]+)\$[0-9]+")))</f>
        <v/>
      </c>
      <c r="D120" t="str" cm="1">
        <f t="array" aca="1" ref="D120" ca="1">IF('Raw Data'!C120 = "","",IF(AND(LEN('Raw Data'!C120) &lt; 255,LEN('Raw Data'!C120)&gt; 0),"",_xlfn.REGEXEXTRACT(CELL("address",'Raw Data'!C120),"\$([A-Z]+)\$[0-9]+")))</f>
        <v/>
      </c>
      <c r="E120" t="str" cm="1">
        <f t="array" aca="1" ref="E120" ca="1">IF('Raw Data'!D120 = "","",IF(AND(LEN('Raw Data'!D120) &lt; 255,LEN('Raw Data'!D120)&gt; 0),"",_xlfn.REGEXEXTRACT(CELL("address",'Raw Data'!D120),"\$([A-Z]+)\$[0-9]+")))</f>
        <v/>
      </c>
    </row>
    <row r="121" spans="2:5" x14ac:dyDescent="0.25">
      <c r="B121" t="str" cm="1">
        <f t="array" aca="1" ref="B121" ca="1">IF('Raw Data'!B121 = "","",IF(AND(LEN('Raw Data'!B121) &lt; 255,LEN('Raw Data'!B121)&gt; 0),"",_xlfn.REGEXEXTRACT(CELL("address",'Raw Data'!B121),"\$([A-Z]+)\$[0-9]+")))</f>
        <v/>
      </c>
      <c r="D121" t="str" cm="1">
        <f t="array" aca="1" ref="D121" ca="1">IF('Raw Data'!C121 = "","",IF(AND(LEN('Raw Data'!C121) &lt; 255,LEN('Raw Data'!C121)&gt; 0),"",_xlfn.REGEXEXTRACT(CELL("address",'Raw Data'!C121),"\$([A-Z]+)\$[0-9]+")))</f>
        <v/>
      </c>
      <c r="E121" t="str" cm="1">
        <f t="array" aca="1" ref="E121" ca="1">IF('Raw Data'!D121 = "","",IF(AND(LEN('Raw Data'!D121) &lt; 255,LEN('Raw Data'!D121)&gt; 0),"",_xlfn.REGEXEXTRACT(CELL("address",'Raw Data'!D121),"\$([A-Z]+)\$[0-9]+")))</f>
        <v/>
      </c>
    </row>
    <row r="122" spans="2:5" x14ac:dyDescent="0.25">
      <c r="B122" t="str" cm="1">
        <f t="array" aca="1" ref="B122" ca="1">IF('Raw Data'!B122 = "","",IF(AND(LEN('Raw Data'!B122) &lt; 255,LEN('Raw Data'!B122)&gt; 0),"",_xlfn.REGEXEXTRACT(CELL("address",'Raw Data'!B122),"\$([A-Z]+)\$[0-9]+")))</f>
        <v/>
      </c>
      <c r="D122" t="str" cm="1">
        <f t="array" aca="1" ref="D122" ca="1">IF('Raw Data'!C122 = "","",IF(AND(LEN('Raw Data'!C122) &lt; 255,LEN('Raw Data'!C122)&gt; 0),"",_xlfn.REGEXEXTRACT(CELL("address",'Raw Data'!C122),"\$([A-Z]+)\$[0-9]+")))</f>
        <v/>
      </c>
      <c r="E122" t="str" cm="1">
        <f t="array" aca="1" ref="E122" ca="1">IF('Raw Data'!D122 = "","",IF(AND(LEN('Raw Data'!D122) &lt; 255,LEN('Raw Data'!D122)&gt; 0),"",_xlfn.REGEXEXTRACT(CELL("address",'Raw Data'!D122),"\$([A-Z]+)\$[0-9]+")))</f>
        <v/>
      </c>
    </row>
    <row r="123" spans="2:5" x14ac:dyDescent="0.25">
      <c r="B123" t="str" cm="1">
        <f t="array" aca="1" ref="B123" ca="1">IF('Raw Data'!B123 = "","",IF(AND(LEN('Raw Data'!B123) &lt; 255,LEN('Raw Data'!B123)&gt; 0),"",_xlfn.REGEXEXTRACT(CELL("address",'Raw Data'!B123),"\$([A-Z]+)\$[0-9]+")))</f>
        <v/>
      </c>
      <c r="D123" t="str" cm="1">
        <f t="array" aca="1" ref="D123" ca="1">IF('Raw Data'!C123 = "","",IF(AND(LEN('Raw Data'!C123) &lt; 255,LEN('Raw Data'!C123)&gt; 0),"",_xlfn.REGEXEXTRACT(CELL("address",'Raw Data'!C123),"\$([A-Z]+)\$[0-9]+")))</f>
        <v/>
      </c>
      <c r="E123" t="str" cm="1">
        <f t="array" aca="1" ref="E123" ca="1">IF('Raw Data'!D123 = "","",IF(AND(LEN('Raw Data'!D123) &lt; 255,LEN('Raw Data'!D123)&gt; 0),"",_xlfn.REGEXEXTRACT(CELL("address",'Raw Data'!D123),"\$([A-Z]+)\$[0-9]+")))</f>
        <v/>
      </c>
    </row>
    <row r="124" spans="2:5" x14ac:dyDescent="0.25">
      <c r="B124" t="str" cm="1">
        <f t="array" aca="1" ref="B124" ca="1">IF('Raw Data'!B124 = "","",IF(AND(LEN('Raw Data'!B124) &lt; 255,LEN('Raw Data'!B124)&gt; 0),"",_xlfn.REGEXEXTRACT(CELL("address",'Raw Data'!B124),"\$([A-Z]+)\$[0-9]+")))</f>
        <v/>
      </c>
      <c r="D124" t="str" cm="1">
        <f t="array" aca="1" ref="D124" ca="1">IF('Raw Data'!C124 = "","",IF(AND(LEN('Raw Data'!C124) &lt; 255,LEN('Raw Data'!C124)&gt; 0),"",_xlfn.REGEXEXTRACT(CELL("address",'Raw Data'!C124),"\$([A-Z]+)\$[0-9]+")))</f>
        <v/>
      </c>
      <c r="E124" t="str" cm="1">
        <f t="array" aca="1" ref="E124" ca="1">IF('Raw Data'!D124 = "","",IF(AND(LEN('Raw Data'!D124) &lt; 255,LEN('Raw Data'!D124)&gt; 0),"",_xlfn.REGEXEXTRACT(CELL("address",'Raw Data'!D124),"\$([A-Z]+)\$[0-9]+")))</f>
        <v/>
      </c>
    </row>
    <row r="125" spans="2:5" x14ac:dyDescent="0.25">
      <c r="B125" t="str" cm="1">
        <f t="array" aca="1" ref="B125" ca="1">IF('Raw Data'!B125 = "","",IF(AND(LEN('Raw Data'!B125) &lt; 255,LEN('Raw Data'!B125)&gt; 0),"",_xlfn.REGEXEXTRACT(CELL("address",'Raw Data'!B125),"\$([A-Z]+)\$[0-9]+")))</f>
        <v/>
      </c>
      <c r="D125" t="str" cm="1">
        <f t="array" aca="1" ref="D125" ca="1">IF('Raw Data'!C125 = "","",IF(AND(LEN('Raw Data'!C125) &lt; 255,LEN('Raw Data'!C125)&gt; 0),"",_xlfn.REGEXEXTRACT(CELL("address",'Raw Data'!C125),"\$([A-Z]+)\$[0-9]+")))</f>
        <v/>
      </c>
      <c r="E125" t="str" cm="1">
        <f t="array" aca="1" ref="E125" ca="1">IF('Raw Data'!D125 = "","",IF(AND(LEN('Raw Data'!D125) &lt; 255,LEN('Raw Data'!D125)&gt; 0),"",_xlfn.REGEXEXTRACT(CELL("address",'Raw Data'!D125),"\$([A-Z]+)\$[0-9]+")))</f>
        <v/>
      </c>
    </row>
    <row r="126" spans="2:5" x14ac:dyDescent="0.25">
      <c r="B126" t="str" cm="1">
        <f t="array" aca="1" ref="B126" ca="1">IF('Raw Data'!B126 = "","",IF(AND(LEN('Raw Data'!B126) &lt; 255,LEN('Raw Data'!B126)&gt; 0),"",_xlfn.REGEXEXTRACT(CELL("address",'Raw Data'!B126),"\$([A-Z]+)\$[0-9]+")))</f>
        <v/>
      </c>
      <c r="D126" t="str" cm="1">
        <f t="array" aca="1" ref="D126" ca="1">IF('Raw Data'!C126 = "","",IF(AND(LEN('Raw Data'!C126) &lt; 255,LEN('Raw Data'!C126)&gt; 0),"",_xlfn.REGEXEXTRACT(CELL("address",'Raw Data'!C126),"\$([A-Z]+)\$[0-9]+")))</f>
        <v/>
      </c>
      <c r="E126" t="str" cm="1">
        <f t="array" aca="1" ref="E126" ca="1">IF('Raw Data'!D126 = "","",IF(AND(LEN('Raw Data'!D126) &lt; 255,LEN('Raw Data'!D126)&gt; 0),"",_xlfn.REGEXEXTRACT(CELL("address",'Raw Data'!D126),"\$([A-Z]+)\$[0-9]+")))</f>
        <v/>
      </c>
    </row>
    <row r="127" spans="2:5" x14ac:dyDescent="0.25">
      <c r="B127" t="str" cm="1">
        <f t="array" aca="1" ref="B127" ca="1">IF('Raw Data'!B127 = "","",IF(AND(LEN('Raw Data'!B127) &lt; 255,LEN('Raw Data'!B127)&gt; 0),"",_xlfn.REGEXEXTRACT(CELL("address",'Raw Data'!B127),"\$([A-Z]+)\$[0-9]+")))</f>
        <v/>
      </c>
      <c r="D127" t="str" cm="1">
        <f t="array" aca="1" ref="D127" ca="1">IF('Raw Data'!C127 = "","",IF(AND(LEN('Raw Data'!C127) &lt; 255,LEN('Raw Data'!C127)&gt; 0),"",_xlfn.REGEXEXTRACT(CELL("address",'Raw Data'!C127),"\$([A-Z]+)\$[0-9]+")))</f>
        <v/>
      </c>
      <c r="E127" t="str" cm="1">
        <f t="array" aca="1" ref="E127" ca="1">IF('Raw Data'!D127 = "","",IF(AND(LEN('Raw Data'!D127) &lt; 255,LEN('Raw Data'!D127)&gt; 0),"",_xlfn.REGEXEXTRACT(CELL("address",'Raw Data'!D127),"\$([A-Z]+)\$[0-9]+")))</f>
        <v/>
      </c>
    </row>
    <row r="128" spans="2:5" x14ac:dyDescent="0.25">
      <c r="B128" t="str" cm="1">
        <f t="array" aca="1" ref="B128" ca="1">IF('Raw Data'!B128 = "","",IF(AND(LEN('Raw Data'!B128) &lt; 255,LEN('Raw Data'!B128)&gt; 0),"",_xlfn.REGEXEXTRACT(CELL("address",'Raw Data'!B128),"\$([A-Z]+)\$[0-9]+")))</f>
        <v/>
      </c>
      <c r="D128" t="str" cm="1">
        <f t="array" aca="1" ref="D128" ca="1">IF('Raw Data'!C128 = "","",IF(AND(LEN('Raw Data'!C128) &lt; 255,LEN('Raw Data'!C128)&gt; 0),"",_xlfn.REGEXEXTRACT(CELL("address",'Raw Data'!C128),"\$([A-Z]+)\$[0-9]+")))</f>
        <v/>
      </c>
      <c r="E128" t="str" cm="1">
        <f t="array" aca="1" ref="E128" ca="1">IF('Raw Data'!D128 = "","",IF(AND(LEN('Raw Data'!D128) &lt; 255,LEN('Raw Data'!D128)&gt; 0),"",_xlfn.REGEXEXTRACT(CELL("address",'Raw Data'!D128),"\$([A-Z]+)\$[0-9]+")))</f>
        <v/>
      </c>
    </row>
    <row r="129" spans="2:5" x14ac:dyDescent="0.25">
      <c r="B129" t="str" cm="1">
        <f t="array" aca="1" ref="B129" ca="1">IF('Raw Data'!B129 = "","",IF(AND(LEN('Raw Data'!B129) &lt; 255,LEN('Raw Data'!B129)&gt; 0),"",_xlfn.REGEXEXTRACT(CELL("address",'Raw Data'!B129),"\$([A-Z]+)\$[0-9]+")))</f>
        <v/>
      </c>
      <c r="D129" t="str" cm="1">
        <f t="array" aca="1" ref="D129" ca="1">IF('Raw Data'!C129 = "","",IF(AND(LEN('Raw Data'!C129) &lt; 255,LEN('Raw Data'!C129)&gt; 0),"",_xlfn.REGEXEXTRACT(CELL("address",'Raw Data'!C129),"\$([A-Z]+)\$[0-9]+")))</f>
        <v/>
      </c>
      <c r="E129" t="str" cm="1">
        <f t="array" aca="1" ref="E129" ca="1">IF('Raw Data'!D129 = "","",IF(AND(LEN('Raw Data'!D129) &lt; 255,LEN('Raw Data'!D129)&gt; 0),"",_xlfn.REGEXEXTRACT(CELL("address",'Raw Data'!D129),"\$([A-Z]+)\$[0-9]+")))</f>
        <v/>
      </c>
    </row>
    <row r="130" spans="2:5" x14ac:dyDescent="0.25">
      <c r="B130" t="str" cm="1">
        <f t="array" aca="1" ref="B130" ca="1">IF('Raw Data'!B130 = "","",IF(AND(LEN('Raw Data'!B130) &lt; 255,LEN('Raw Data'!B130)&gt; 0),"",_xlfn.REGEXEXTRACT(CELL("address",'Raw Data'!B130),"\$([A-Z]+)\$[0-9]+")))</f>
        <v/>
      </c>
      <c r="D130" t="str" cm="1">
        <f t="array" aca="1" ref="D130" ca="1">IF('Raw Data'!C130 = "","",IF(AND(LEN('Raw Data'!C130) &lt; 255,LEN('Raw Data'!C130)&gt; 0),"",_xlfn.REGEXEXTRACT(CELL("address",'Raw Data'!C130),"\$([A-Z]+)\$[0-9]+")))</f>
        <v/>
      </c>
      <c r="E130" t="str" cm="1">
        <f t="array" aca="1" ref="E130" ca="1">IF('Raw Data'!D130 = "","",IF(AND(LEN('Raw Data'!D130) &lt; 255,LEN('Raw Data'!D130)&gt; 0),"",_xlfn.REGEXEXTRACT(CELL("address",'Raw Data'!D130),"\$([A-Z]+)\$[0-9]+")))</f>
        <v/>
      </c>
    </row>
    <row r="131" spans="2:5" x14ac:dyDescent="0.25">
      <c r="B131" t="str" cm="1">
        <f t="array" aca="1" ref="B131" ca="1">IF('Raw Data'!B131 = "","",IF(AND(LEN('Raw Data'!B131) &lt; 255,LEN('Raw Data'!B131)&gt; 0),"",_xlfn.REGEXEXTRACT(CELL("address",'Raw Data'!B131),"\$([A-Z]+)\$[0-9]+")))</f>
        <v/>
      </c>
      <c r="D131" t="str" cm="1">
        <f t="array" aca="1" ref="D131" ca="1">IF('Raw Data'!C131 = "","",IF(AND(LEN('Raw Data'!C131) &lt; 255,LEN('Raw Data'!C131)&gt; 0),"",_xlfn.REGEXEXTRACT(CELL("address",'Raw Data'!C131),"\$([A-Z]+)\$[0-9]+")))</f>
        <v/>
      </c>
      <c r="E131" t="str" cm="1">
        <f t="array" aca="1" ref="E131" ca="1">IF('Raw Data'!D131 = "","",IF(AND(LEN('Raw Data'!D131) &lt; 255,LEN('Raw Data'!D131)&gt; 0),"",_xlfn.REGEXEXTRACT(CELL("address",'Raw Data'!D131),"\$([A-Z]+)\$[0-9]+")))</f>
        <v/>
      </c>
    </row>
    <row r="132" spans="2:5" x14ac:dyDescent="0.25">
      <c r="B132" t="str" cm="1">
        <f t="array" aca="1" ref="B132" ca="1">IF('Raw Data'!B132 = "","",IF(AND(LEN('Raw Data'!B132) &lt; 255,LEN('Raw Data'!B132)&gt; 0),"",_xlfn.REGEXEXTRACT(CELL("address",'Raw Data'!B132),"\$([A-Z]+)\$[0-9]+")))</f>
        <v/>
      </c>
      <c r="D132" t="str" cm="1">
        <f t="array" aca="1" ref="D132" ca="1">IF('Raw Data'!C132 = "","",IF(AND(LEN('Raw Data'!C132) &lt; 255,LEN('Raw Data'!C132)&gt; 0),"",_xlfn.REGEXEXTRACT(CELL("address",'Raw Data'!C132),"\$([A-Z]+)\$[0-9]+")))</f>
        <v/>
      </c>
      <c r="E132" t="str" cm="1">
        <f t="array" aca="1" ref="E132" ca="1">IF('Raw Data'!D132 = "","",IF(AND(LEN('Raw Data'!D132) &lt; 255,LEN('Raw Data'!D132)&gt; 0),"",_xlfn.REGEXEXTRACT(CELL("address",'Raw Data'!D132),"\$([A-Z]+)\$[0-9]+")))</f>
        <v/>
      </c>
    </row>
    <row r="133" spans="2:5" x14ac:dyDescent="0.25">
      <c r="B133" t="str" cm="1">
        <f t="array" aca="1" ref="B133" ca="1">IF('Raw Data'!B133 = "","",IF(AND(LEN('Raw Data'!B133) &lt; 255,LEN('Raw Data'!B133)&gt; 0),"",_xlfn.REGEXEXTRACT(CELL("address",'Raw Data'!B133),"\$([A-Z]+)\$[0-9]+")))</f>
        <v/>
      </c>
      <c r="D133" t="str" cm="1">
        <f t="array" aca="1" ref="D133" ca="1">IF('Raw Data'!C133 = "","",IF(AND(LEN('Raw Data'!C133) &lt; 255,LEN('Raw Data'!C133)&gt; 0),"",_xlfn.REGEXEXTRACT(CELL("address",'Raw Data'!C133),"\$([A-Z]+)\$[0-9]+")))</f>
        <v/>
      </c>
      <c r="E133" t="str" cm="1">
        <f t="array" aca="1" ref="E133" ca="1">IF('Raw Data'!D133 = "","",IF(AND(LEN('Raw Data'!D133) &lt; 255,LEN('Raw Data'!D133)&gt; 0),"",_xlfn.REGEXEXTRACT(CELL("address",'Raw Data'!D133),"\$([A-Z]+)\$[0-9]+")))</f>
        <v/>
      </c>
    </row>
    <row r="134" spans="2:5" x14ac:dyDescent="0.25">
      <c r="B134" t="str" cm="1">
        <f t="array" aca="1" ref="B134" ca="1">IF('Raw Data'!B134 = "","",IF(AND(LEN('Raw Data'!B134) &lt; 255,LEN('Raw Data'!B134)&gt; 0),"",_xlfn.REGEXEXTRACT(CELL("address",'Raw Data'!B134),"\$([A-Z]+)\$[0-9]+")))</f>
        <v/>
      </c>
      <c r="D134" t="str" cm="1">
        <f t="array" aca="1" ref="D134" ca="1">IF('Raw Data'!C134 = "","",IF(AND(LEN('Raw Data'!C134) &lt; 255,LEN('Raw Data'!C134)&gt; 0),"",_xlfn.REGEXEXTRACT(CELL("address",'Raw Data'!C134),"\$([A-Z]+)\$[0-9]+")))</f>
        <v/>
      </c>
      <c r="E134" t="str" cm="1">
        <f t="array" aca="1" ref="E134" ca="1">IF('Raw Data'!D134 = "","",IF(AND(LEN('Raw Data'!D134) &lt; 255,LEN('Raw Data'!D134)&gt; 0),"",_xlfn.REGEXEXTRACT(CELL("address",'Raw Data'!D134),"\$([A-Z]+)\$[0-9]+")))</f>
        <v/>
      </c>
    </row>
    <row r="135" spans="2:5" x14ac:dyDescent="0.25">
      <c r="B135" t="str" cm="1">
        <f t="array" aca="1" ref="B135" ca="1">IF('Raw Data'!B135 = "","",IF(AND(LEN('Raw Data'!B135) &lt; 255,LEN('Raw Data'!B135)&gt; 0),"",_xlfn.REGEXEXTRACT(CELL("address",'Raw Data'!B135),"\$([A-Z]+)\$[0-9]+")))</f>
        <v/>
      </c>
      <c r="D135" t="str" cm="1">
        <f t="array" aca="1" ref="D135" ca="1">IF('Raw Data'!C135 = "","",IF(AND(LEN('Raw Data'!C135) &lt; 255,LEN('Raw Data'!C135)&gt; 0),"",_xlfn.REGEXEXTRACT(CELL("address",'Raw Data'!C135),"\$([A-Z]+)\$[0-9]+")))</f>
        <v/>
      </c>
      <c r="E135" t="str" cm="1">
        <f t="array" aca="1" ref="E135" ca="1">IF('Raw Data'!D135 = "","",IF(AND(LEN('Raw Data'!D135) &lt; 255,LEN('Raw Data'!D135)&gt; 0),"",_xlfn.REGEXEXTRACT(CELL("address",'Raw Data'!D135),"\$([A-Z]+)\$[0-9]+")))</f>
        <v/>
      </c>
    </row>
    <row r="136" spans="2:5" x14ac:dyDescent="0.25">
      <c r="B136" t="str" cm="1">
        <f t="array" aca="1" ref="B136" ca="1">IF('Raw Data'!B136 = "","",IF(AND(LEN('Raw Data'!B136) &lt; 255,LEN('Raw Data'!B136)&gt; 0),"",_xlfn.REGEXEXTRACT(CELL("address",'Raw Data'!B136),"\$([A-Z]+)\$[0-9]+")))</f>
        <v/>
      </c>
      <c r="D136" t="str" cm="1">
        <f t="array" aca="1" ref="D136" ca="1">IF('Raw Data'!C136 = "","",IF(AND(LEN('Raw Data'!C136) &lt; 255,LEN('Raw Data'!C136)&gt; 0),"",_xlfn.REGEXEXTRACT(CELL("address",'Raw Data'!C136),"\$([A-Z]+)\$[0-9]+")))</f>
        <v/>
      </c>
      <c r="E136" t="str" cm="1">
        <f t="array" aca="1" ref="E136" ca="1">IF('Raw Data'!D136 = "","",IF(AND(LEN('Raw Data'!D136) &lt; 255,LEN('Raw Data'!D136)&gt; 0),"",_xlfn.REGEXEXTRACT(CELL("address",'Raw Data'!D136),"\$([A-Z]+)\$[0-9]+")))</f>
        <v/>
      </c>
    </row>
    <row r="137" spans="2:5" x14ac:dyDescent="0.25">
      <c r="B137" t="str" cm="1">
        <f t="array" aca="1" ref="B137" ca="1">IF('Raw Data'!B137 = "","",IF(AND(LEN('Raw Data'!B137) &lt; 255,LEN('Raw Data'!B137)&gt; 0),"",_xlfn.REGEXEXTRACT(CELL("address",'Raw Data'!B137),"\$([A-Z]+)\$[0-9]+")))</f>
        <v/>
      </c>
      <c r="D137" t="str" cm="1">
        <f t="array" aca="1" ref="D137" ca="1">IF('Raw Data'!C137 = "","",IF(AND(LEN('Raw Data'!C137) &lt; 255,LEN('Raw Data'!C137)&gt; 0),"",_xlfn.REGEXEXTRACT(CELL("address",'Raw Data'!C137),"\$([A-Z]+)\$[0-9]+")))</f>
        <v/>
      </c>
      <c r="E137" t="str" cm="1">
        <f t="array" aca="1" ref="E137" ca="1">IF('Raw Data'!D137 = "","",IF(AND(LEN('Raw Data'!D137) &lt; 255,LEN('Raw Data'!D137)&gt; 0),"",_xlfn.REGEXEXTRACT(CELL("address",'Raw Data'!D137),"\$([A-Z]+)\$[0-9]+")))</f>
        <v/>
      </c>
    </row>
    <row r="138" spans="2:5" x14ac:dyDescent="0.25">
      <c r="B138" t="str" cm="1">
        <f t="array" aca="1" ref="B138" ca="1">IF('Raw Data'!B138 = "","",IF(AND(LEN('Raw Data'!B138) &lt; 255,LEN('Raw Data'!B138)&gt; 0),"",_xlfn.REGEXEXTRACT(CELL("address",'Raw Data'!B138),"\$([A-Z]+)\$[0-9]+")))</f>
        <v/>
      </c>
      <c r="D138" t="str" cm="1">
        <f t="array" aca="1" ref="D138" ca="1">IF('Raw Data'!C138 = "","",IF(AND(LEN('Raw Data'!C138) &lt; 255,LEN('Raw Data'!C138)&gt; 0),"",_xlfn.REGEXEXTRACT(CELL("address",'Raw Data'!C138),"\$([A-Z]+)\$[0-9]+")))</f>
        <v/>
      </c>
      <c r="E138" t="str" cm="1">
        <f t="array" aca="1" ref="E138" ca="1">IF('Raw Data'!D138 = "","",IF(AND(LEN('Raw Data'!D138) &lt; 255,LEN('Raw Data'!D138)&gt; 0),"",_xlfn.REGEXEXTRACT(CELL("address",'Raw Data'!D138),"\$([A-Z]+)\$[0-9]+")))</f>
        <v/>
      </c>
    </row>
    <row r="139" spans="2:5" x14ac:dyDescent="0.25">
      <c r="B139" t="str" cm="1">
        <f t="array" aca="1" ref="B139" ca="1">IF('Raw Data'!B139 = "","",IF(AND(LEN('Raw Data'!B139) &lt; 255,LEN('Raw Data'!B139)&gt; 0),"",_xlfn.REGEXEXTRACT(CELL("address",'Raw Data'!B139),"\$([A-Z]+)\$[0-9]+")))</f>
        <v/>
      </c>
      <c r="D139" t="str" cm="1">
        <f t="array" aca="1" ref="D139" ca="1">IF('Raw Data'!C139 = "","",IF(AND(LEN('Raw Data'!C139) &lt; 255,LEN('Raw Data'!C139)&gt; 0),"",_xlfn.REGEXEXTRACT(CELL("address",'Raw Data'!C139),"\$([A-Z]+)\$[0-9]+")))</f>
        <v/>
      </c>
      <c r="E139" t="str" cm="1">
        <f t="array" aca="1" ref="E139" ca="1">IF('Raw Data'!D139 = "","",IF(AND(LEN('Raw Data'!D139) &lt; 255,LEN('Raw Data'!D139)&gt; 0),"",_xlfn.REGEXEXTRACT(CELL("address",'Raw Data'!D139),"\$([A-Z]+)\$[0-9]+")))</f>
        <v/>
      </c>
    </row>
    <row r="140" spans="2:5" x14ac:dyDescent="0.25">
      <c r="B140" t="str" cm="1">
        <f t="array" aca="1" ref="B140" ca="1">IF('Raw Data'!B140 = "","",IF(AND(LEN('Raw Data'!B140) &lt; 255,LEN('Raw Data'!B140)&gt; 0),"",_xlfn.REGEXEXTRACT(CELL("address",'Raw Data'!B140),"\$([A-Z]+)\$[0-9]+")))</f>
        <v/>
      </c>
      <c r="D140" t="str" cm="1">
        <f t="array" aca="1" ref="D140" ca="1">IF('Raw Data'!C140 = "","",IF(AND(LEN('Raw Data'!C140) &lt; 255,LEN('Raw Data'!C140)&gt; 0),"",_xlfn.REGEXEXTRACT(CELL("address",'Raw Data'!C140),"\$([A-Z]+)\$[0-9]+")))</f>
        <v/>
      </c>
      <c r="E140" t="str" cm="1">
        <f t="array" aca="1" ref="E140" ca="1">IF('Raw Data'!D140 = "","",IF(AND(LEN('Raw Data'!D140) &lt; 255,LEN('Raw Data'!D140)&gt; 0),"",_xlfn.REGEXEXTRACT(CELL("address",'Raw Data'!D140),"\$([A-Z]+)\$[0-9]+")))</f>
        <v/>
      </c>
    </row>
    <row r="141" spans="2:5" x14ac:dyDescent="0.25">
      <c r="B141" t="str" cm="1">
        <f t="array" aca="1" ref="B141" ca="1">IF('Raw Data'!B141 = "","",IF(AND(LEN('Raw Data'!B141) &lt; 255,LEN('Raw Data'!B141)&gt; 0),"",_xlfn.REGEXEXTRACT(CELL("address",'Raw Data'!B141),"\$([A-Z]+)\$[0-9]+")))</f>
        <v/>
      </c>
      <c r="D141" t="str" cm="1">
        <f t="array" aca="1" ref="D141" ca="1">IF('Raw Data'!C141 = "","",IF(AND(LEN('Raw Data'!C141) &lt; 255,LEN('Raw Data'!C141)&gt; 0),"",_xlfn.REGEXEXTRACT(CELL("address",'Raw Data'!C141),"\$([A-Z]+)\$[0-9]+")))</f>
        <v/>
      </c>
      <c r="E141" t="str" cm="1">
        <f t="array" aca="1" ref="E141" ca="1">IF('Raw Data'!D141 = "","",IF(AND(LEN('Raw Data'!D141) &lt; 255,LEN('Raw Data'!D141)&gt; 0),"",_xlfn.REGEXEXTRACT(CELL("address",'Raw Data'!D141),"\$([A-Z]+)\$[0-9]+")))</f>
        <v/>
      </c>
    </row>
    <row r="142" spans="2:5" x14ac:dyDescent="0.25">
      <c r="B142" t="str" cm="1">
        <f t="array" aca="1" ref="B142" ca="1">IF('Raw Data'!B142 = "","",IF(AND(LEN('Raw Data'!B142) &lt; 255,LEN('Raw Data'!B142)&gt; 0),"",_xlfn.REGEXEXTRACT(CELL("address",'Raw Data'!B142),"\$([A-Z]+)\$[0-9]+")))</f>
        <v/>
      </c>
      <c r="D142" t="str" cm="1">
        <f t="array" aca="1" ref="D142" ca="1">IF('Raw Data'!C142 = "","",IF(AND(LEN('Raw Data'!C142) &lt; 255,LEN('Raw Data'!C142)&gt; 0),"",_xlfn.REGEXEXTRACT(CELL("address",'Raw Data'!C142),"\$([A-Z]+)\$[0-9]+")))</f>
        <v/>
      </c>
      <c r="E142" t="str" cm="1">
        <f t="array" aca="1" ref="E142" ca="1">IF('Raw Data'!D142 = "","",IF(AND(LEN('Raw Data'!D142) &lt; 255,LEN('Raw Data'!D142)&gt; 0),"",_xlfn.REGEXEXTRACT(CELL("address",'Raw Data'!D142),"\$([A-Z]+)\$[0-9]+")))</f>
        <v/>
      </c>
    </row>
    <row r="143" spans="2:5" x14ac:dyDescent="0.25">
      <c r="B143" t="str" cm="1">
        <f t="array" aca="1" ref="B143" ca="1">IF('Raw Data'!B143 = "","",IF(AND(LEN('Raw Data'!B143) &lt; 255,LEN('Raw Data'!B143)&gt; 0),"",_xlfn.REGEXEXTRACT(CELL("address",'Raw Data'!B143),"\$([A-Z]+)\$[0-9]+")))</f>
        <v/>
      </c>
      <c r="D143" t="str" cm="1">
        <f t="array" aca="1" ref="D143" ca="1">IF('Raw Data'!C143 = "","",IF(AND(LEN('Raw Data'!C143) &lt; 255,LEN('Raw Data'!C143)&gt; 0),"",_xlfn.REGEXEXTRACT(CELL("address",'Raw Data'!C143),"\$([A-Z]+)\$[0-9]+")))</f>
        <v/>
      </c>
      <c r="E143" t="str" cm="1">
        <f t="array" aca="1" ref="E143" ca="1">IF('Raw Data'!D143 = "","",IF(AND(LEN('Raw Data'!D143) &lt; 255,LEN('Raw Data'!D143)&gt; 0),"",_xlfn.REGEXEXTRACT(CELL("address",'Raw Data'!D143),"\$([A-Z]+)\$[0-9]+")))</f>
        <v/>
      </c>
    </row>
    <row r="144" spans="2:5" x14ac:dyDescent="0.25">
      <c r="B144" t="str" cm="1">
        <f t="array" aca="1" ref="B144" ca="1">IF('Raw Data'!B144 = "","",IF(AND(LEN('Raw Data'!B144) &lt; 255,LEN('Raw Data'!B144)&gt; 0),"",_xlfn.REGEXEXTRACT(CELL("address",'Raw Data'!B144),"\$([A-Z]+)\$[0-9]+")))</f>
        <v/>
      </c>
      <c r="D144" t="str" cm="1">
        <f t="array" aca="1" ref="D144" ca="1">IF('Raw Data'!C144 = "","",IF(AND(LEN('Raw Data'!C144) &lt; 255,LEN('Raw Data'!C144)&gt; 0),"",_xlfn.REGEXEXTRACT(CELL("address",'Raw Data'!C144),"\$([A-Z]+)\$[0-9]+")))</f>
        <v/>
      </c>
      <c r="E144" t="str" cm="1">
        <f t="array" aca="1" ref="E144" ca="1">IF('Raw Data'!D144 = "","",IF(AND(LEN('Raw Data'!D144) &lt; 255,LEN('Raw Data'!D144)&gt; 0),"",_xlfn.REGEXEXTRACT(CELL("address",'Raw Data'!D144),"\$([A-Z]+)\$[0-9]+")))</f>
        <v/>
      </c>
    </row>
    <row r="145" spans="2:5" x14ac:dyDescent="0.25">
      <c r="B145" t="str" cm="1">
        <f t="array" aca="1" ref="B145" ca="1">IF('Raw Data'!B145 = "","",IF(AND(LEN('Raw Data'!B145) &lt; 255,LEN('Raw Data'!B145)&gt; 0),"",_xlfn.REGEXEXTRACT(CELL("address",'Raw Data'!B145),"\$([A-Z]+)\$[0-9]+")))</f>
        <v/>
      </c>
      <c r="D145" t="str" cm="1">
        <f t="array" aca="1" ref="D145" ca="1">IF('Raw Data'!C145 = "","",IF(AND(LEN('Raw Data'!C145) &lt; 255,LEN('Raw Data'!C145)&gt; 0),"",_xlfn.REGEXEXTRACT(CELL("address",'Raw Data'!C145),"\$([A-Z]+)\$[0-9]+")))</f>
        <v/>
      </c>
      <c r="E145" t="str" cm="1">
        <f t="array" aca="1" ref="E145" ca="1">IF('Raw Data'!D145 = "","",IF(AND(LEN('Raw Data'!D145) &lt; 255,LEN('Raw Data'!D145)&gt; 0),"",_xlfn.REGEXEXTRACT(CELL("address",'Raw Data'!D145),"\$([A-Z]+)\$[0-9]+")))</f>
        <v/>
      </c>
    </row>
    <row r="146" spans="2:5" x14ac:dyDescent="0.25">
      <c r="B146" t="str" cm="1">
        <f t="array" aca="1" ref="B146" ca="1">IF('Raw Data'!B146 = "","",IF(AND(LEN('Raw Data'!B146) &lt; 255,LEN('Raw Data'!B146)&gt; 0),"",_xlfn.REGEXEXTRACT(CELL("address",'Raw Data'!B146),"\$([A-Z]+)\$[0-9]+")))</f>
        <v/>
      </c>
      <c r="D146" t="str" cm="1">
        <f t="array" aca="1" ref="D146" ca="1">IF('Raw Data'!C146 = "","",IF(AND(LEN('Raw Data'!C146) &lt; 255,LEN('Raw Data'!C146)&gt; 0),"",_xlfn.REGEXEXTRACT(CELL("address",'Raw Data'!C146),"\$([A-Z]+)\$[0-9]+")))</f>
        <v/>
      </c>
      <c r="E146" t="str" cm="1">
        <f t="array" aca="1" ref="E146" ca="1">IF('Raw Data'!D146 = "","",IF(AND(LEN('Raw Data'!D146) &lt; 255,LEN('Raw Data'!D146)&gt; 0),"",_xlfn.REGEXEXTRACT(CELL("address",'Raw Data'!D146),"\$([A-Z]+)\$[0-9]+")))</f>
        <v/>
      </c>
    </row>
    <row r="147" spans="2:5" x14ac:dyDescent="0.25">
      <c r="B147" t="str" cm="1">
        <f t="array" aca="1" ref="B147" ca="1">IF('Raw Data'!B147 = "","",IF(AND(LEN('Raw Data'!B147) &lt; 255,LEN('Raw Data'!B147)&gt; 0),"",_xlfn.REGEXEXTRACT(CELL("address",'Raw Data'!B147),"\$([A-Z]+)\$[0-9]+")))</f>
        <v/>
      </c>
      <c r="D147" t="str" cm="1">
        <f t="array" aca="1" ref="D147" ca="1">IF('Raw Data'!C147 = "","",IF(AND(LEN('Raw Data'!C147) &lt; 255,LEN('Raw Data'!C147)&gt; 0),"",_xlfn.REGEXEXTRACT(CELL("address",'Raw Data'!C147),"\$([A-Z]+)\$[0-9]+")))</f>
        <v/>
      </c>
      <c r="E147" t="str" cm="1">
        <f t="array" aca="1" ref="E147" ca="1">IF('Raw Data'!D147 = "","",IF(AND(LEN('Raw Data'!D147) &lt; 255,LEN('Raw Data'!D147)&gt; 0),"",_xlfn.REGEXEXTRACT(CELL("address",'Raw Data'!D147),"\$([A-Z]+)\$[0-9]+")))</f>
        <v/>
      </c>
    </row>
    <row r="148" spans="2:5" x14ac:dyDescent="0.25">
      <c r="B148" t="str" cm="1">
        <f t="array" aca="1" ref="B148" ca="1">IF('Raw Data'!B148 = "","",IF(AND(LEN('Raw Data'!B148) &lt; 255,LEN('Raw Data'!B148)&gt; 0),"",_xlfn.REGEXEXTRACT(CELL("address",'Raw Data'!B148),"\$([A-Z]+)\$[0-9]+")))</f>
        <v/>
      </c>
      <c r="D148" t="str" cm="1">
        <f t="array" aca="1" ref="D148" ca="1">IF('Raw Data'!C148 = "","",IF(AND(LEN('Raw Data'!C148) &lt; 255,LEN('Raw Data'!C148)&gt; 0),"",_xlfn.REGEXEXTRACT(CELL("address",'Raw Data'!C148),"\$([A-Z]+)\$[0-9]+")))</f>
        <v/>
      </c>
      <c r="E148" t="str" cm="1">
        <f t="array" aca="1" ref="E148" ca="1">IF('Raw Data'!D148 = "","",IF(AND(LEN('Raw Data'!D148) &lt; 255,LEN('Raw Data'!D148)&gt; 0),"",_xlfn.REGEXEXTRACT(CELL("address",'Raw Data'!D148),"\$([A-Z]+)\$[0-9]+")))</f>
        <v/>
      </c>
    </row>
    <row r="149" spans="2:5" x14ac:dyDescent="0.25">
      <c r="B149" t="str" cm="1">
        <f t="array" aca="1" ref="B149" ca="1">IF('Raw Data'!B149 = "","",IF(AND(LEN('Raw Data'!B149) &lt; 255,LEN('Raw Data'!B149)&gt; 0),"",_xlfn.REGEXEXTRACT(CELL("address",'Raw Data'!B149),"\$([A-Z]+)\$[0-9]+")))</f>
        <v/>
      </c>
      <c r="D149" t="str" cm="1">
        <f t="array" aca="1" ref="D149" ca="1">IF('Raw Data'!C149 = "","",IF(AND(LEN('Raw Data'!C149) &lt; 255,LEN('Raw Data'!C149)&gt; 0),"",_xlfn.REGEXEXTRACT(CELL("address",'Raw Data'!C149),"\$([A-Z]+)\$[0-9]+")))</f>
        <v/>
      </c>
      <c r="E149" t="str" cm="1">
        <f t="array" aca="1" ref="E149" ca="1">IF('Raw Data'!D149 = "","",IF(AND(LEN('Raw Data'!D149) &lt; 255,LEN('Raw Data'!D149)&gt; 0),"",_xlfn.REGEXEXTRACT(CELL("address",'Raw Data'!D149),"\$([A-Z]+)\$[0-9]+")))</f>
        <v/>
      </c>
    </row>
    <row r="150" spans="2:5" x14ac:dyDescent="0.25">
      <c r="B150" t="str" cm="1">
        <f t="array" aca="1" ref="B150" ca="1">IF('Raw Data'!B150 = "","",IF(AND(LEN('Raw Data'!B150) &lt; 255,LEN('Raw Data'!B150)&gt; 0),"",_xlfn.REGEXEXTRACT(CELL("address",'Raw Data'!B150),"\$([A-Z]+)\$[0-9]+")))</f>
        <v/>
      </c>
      <c r="D150" t="str" cm="1">
        <f t="array" aca="1" ref="D150" ca="1">IF('Raw Data'!C150 = "","",IF(AND(LEN('Raw Data'!C150) &lt; 255,LEN('Raw Data'!C150)&gt; 0),"",_xlfn.REGEXEXTRACT(CELL("address",'Raw Data'!C150),"\$([A-Z]+)\$[0-9]+")))</f>
        <v/>
      </c>
      <c r="E150" t="str" cm="1">
        <f t="array" aca="1" ref="E150" ca="1">IF('Raw Data'!D150 = "","",IF(AND(LEN('Raw Data'!D150) &lt; 255,LEN('Raw Data'!D150)&gt; 0),"",_xlfn.REGEXEXTRACT(CELL("address",'Raw Data'!D150),"\$([A-Z]+)\$[0-9]+")))</f>
        <v/>
      </c>
    </row>
    <row r="151" spans="2:5" x14ac:dyDescent="0.25">
      <c r="B151" t="str" cm="1">
        <f t="array" aca="1" ref="B151" ca="1">IF('Raw Data'!B151 = "","",IF(AND(LEN('Raw Data'!B151) &lt; 255,LEN('Raw Data'!B151)&gt; 0),"",_xlfn.REGEXEXTRACT(CELL("address",'Raw Data'!B151),"\$([A-Z]+)\$[0-9]+")))</f>
        <v/>
      </c>
      <c r="D151" t="str" cm="1">
        <f t="array" aca="1" ref="D151" ca="1">IF('Raw Data'!C151 = "","",IF(AND(LEN('Raw Data'!C151) &lt; 255,LEN('Raw Data'!C151)&gt; 0),"",_xlfn.REGEXEXTRACT(CELL("address",'Raw Data'!C151),"\$([A-Z]+)\$[0-9]+")))</f>
        <v/>
      </c>
      <c r="E151" t="str" cm="1">
        <f t="array" aca="1" ref="E151" ca="1">IF('Raw Data'!D151 = "","",IF(AND(LEN('Raw Data'!D151) &lt; 255,LEN('Raw Data'!D151)&gt; 0),"",_xlfn.REGEXEXTRACT(CELL("address",'Raw Data'!D151),"\$([A-Z]+)\$[0-9]+")))</f>
        <v/>
      </c>
    </row>
    <row r="152" spans="2:5" x14ac:dyDescent="0.25">
      <c r="B152" t="str" cm="1">
        <f t="array" aca="1" ref="B152" ca="1">IF('Raw Data'!B152 = "","",IF(AND(LEN('Raw Data'!B152) &lt; 255,LEN('Raw Data'!B152)&gt; 0),"",_xlfn.REGEXEXTRACT(CELL("address",'Raw Data'!B152),"\$([A-Z]+)\$[0-9]+")))</f>
        <v/>
      </c>
      <c r="D152" t="str" cm="1">
        <f t="array" aca="1" ref="D152" ca="1">IF('Raw Data'!C152 = "","",IF(AND(LEN('Raw Data'!C152) &lt; 255,LEN('Raw Data'!C152)&gt; 0),"",_xlfn.REGEXEXTRACT(CELL("address",'Raw Data'!C152),"\$([A-Z]+)\$[0-9]+")))</f>
        <v/>
      </c>
      <c r="E152" t="str" cm="1">
        <f t="array" aca="1" ref="E152" ca="1">IF('Raw Data'!D152 = "","",IF(AND(LEN('Raw Data'!D152) &lt; 255,LEN('Raw Data'!D152)&gt; 0),"",_xlfn.REGEXEXTRACT(CELL("address",'Raw Data'!D152),"\$([A-Z]+)\$[0-9]+")))</f>
        <v/>
      </c>
    </row>
    <row r="153" spans="2:5" x14ac:dyDescent="0.25">
      <c r="B153" t="str" cm="1">
        <f t="array" aca="1" ref="B153" ca="1">IF('Raw Data'!B153 = "","",IF(AND(LEN('Raw Data'!B153) &lt; 255,LEN('Raw Data'!B153)&gt; 0),"",_xlfn.REGEXEXTRACT(CELL("address",'Raw Data'!B153),"\$([A-Z]+)\$[0-9]+")))</f>
        <v/>
      </c>
      <c r="D153" t="str" cm="1">
        <f t="array" aca="1" ref="D153" ca="1">IF('Raw Data'!C153 = "","",IF(AND(LEN('Raw Data'!C153) &lt; 255,LEN('Raw Data'!C153)&gt; 0),"",_xlfn.REGEXEXTRACT(CELL("address",'Raw Data'!C153),"\$([A-Z]+)\$[0-9]+")))</f>
        <v/>
      </c>
      <c r="E153" t="str" cm="1">
        <f t="array" aca="1" ref="E153" ca="1">IF('Raw Data'!D153 = "","",IF(AND(LEN('Raw Data'!D153) &lt; 255,LEN('Raw Data'!D153)&gt; 0),"",_xlfn.REGEXEXTRACT(CELL("address",'Raw Data'!D153),"\$([A-Z]+)\$[0-9]+")))</f>
        <v/>
      </c>
    </row>
    <row r="154" spans="2:5" x14ac:dyDescent="0.25">
      <c r="B154" t="str" cm="1">
        <f t="array" aca="1" ref="B154" ca="1">IF('Raw Data'!B154 = "","",IF(AND(LEN('Raw Data'!B154) &lt; 255,LEN('Raw Data'!B154)&gt; 0),"",_xlfn.REGEXEXTRACT(CELL("address",'Raw Data'!B154),"\$([A-Z]+)\$[0-9]+")))</f>
        <v/>
      </c>
      <c r="D154" t="str" cm="1">
        <f t="array" aca="1" ref="D154" ca="1">IF('Raw Data'!C154 = "","",IF(AND(LEN('Raw Data'!C154) &lt; 255,LEN('Raw Data'!C154)&gt; 0),"",_xlfn.REGEXEXTRACT(CELL("address",'Raw Data'!C154),"\$([A-Z]+)\$[0-9]+")))</f>
        <v/>
      </c>
      <c r="E154" t="str" cm="1">
        <f t="array" aca="1" ref="E154" ca="1">IF('Raw Data'!D154 = "","",IF(AND(LEN('Raw Data'!D154) &lt; 255,LEN('Raw Data'!D154)&gt; 0),"",_xlfn.REGEXEXTRACT(CELL("address",'Raw Data'!D154),"\$([A-Z]+)\$[0-9]+")))</f>
        <v/>
      </c>
    </row>
    <row r="155" spans="2:5" x14ac:dyDescent="0.25">
      <c r="B155" t="str" cm="1">
        <f t="array" aca="1" ref="B155" ca="1">IF('Raw Data'!B155 = "","",IF(AND(LEN('Raw Data'!B155) &lt; 255,LEN('Raw Data'!B155)&gt; 0),"",_xlfn.REGEXEXTRACT(CELL("address",'Raw Data'!B155),"\$([A-Z]+)\$[0-9]+")))</f>
        <v/>
      </c>
      <c r="D155" t="str" cm="1">
        <f t="array" aca="1" ref="D155" ca="1">IF('Raw Data'!C155 = "","",IF(AND(LEN('Raw Data'!C155) &lt; 255,LEN('Raw Data'!C155)&gt; 0),"",_xlfn.REGEXEXTRACT(CELL("address",'Raw Data'!C155),"\$([A-Z]+)\$[0-9]+")))</f>
        <v/>
      </c>
      <c r="E155" t="str" cm="1">
        <f t="array" aca="1" ref="E155" ca="1">IF('Raw Data'!D155 = "","",IF(AND(LEN('Raw Data'!D155) &lt; 255,LEN('Raw Data'!D155)&gt; 0),"",_xlfn.REGEXEXTRACT(CELL("address",'Raw Data'!D155),"\$([A-Z]+)\$[0-9]+")))</f>
        <v/>
      </c>
    </row>
    <row r="156" spans="2:5" x14ac:dyDescent="0.25">
      <c r="B156" t="str" cm="1">
        <f t="array" aca="1" ref="B156" ca="1">IF('Raw Data'!B156 = "","",IF(AND(LEN('Raw Data'!B156) &lt; 255,LEN('Raw Data'!B156)&gt; 0),"",_xlfn.REGEXEXTRACT(CELL("address",'Raw Data'!B156),"\$([A-Z]+)\$[0-9]+")))</f>
        <v/>
      </c>
      <c r="D156" t="str" cm="1">
        <f t="array" aca="1" ref="D156" ca="1">IF('Raw Data'!C156 = "","",IF(AND(LEN('Raw Data'!C156) &lt; 255,LEN('Raw Data'!C156)&gt; 0),"",_xlfn.REGEXEXTRACT(CELL("address",'Raw Data'!C156),"\$([A-Z]+)\$[0-9]+")))</f>
        <v/>
      </c>
      <c r="E156" t="str" cm="1">
        <f t="array" aca="1" ref="E156" ca="1">IF('Raw Data'!D156 = "","",IF(AND(LEN('Raw Data'!D156) &lt; 255,LEN('Raw Data'!D156)&gt; 0),"",_xlfn.REGEXEXTRACT(CELL("address",'Raw Data'!D156),"\$([A-Z]+)\$[0-9]+")))</f>
        <v/>
      </c>
    </row>
    <row r="157" spans="2:5" x14ac:dyDescent="0.25">
      <c r="B157" t="str" cm="1">
        <f t="array" aca="1" ref="B157" ca="1">IF('Raw Data'!B157 = "","",IF(AND(LEN('Raw Data'!B157) &lt; 255,LEN('Raw Data'!B157)&gt; 0),"",_xlfn.REGEXEXTRACT(CELL("address",'Raw Data'!B157),"\$([A-Z]+)\$[0-9]+")))</f>
        <v/>
      </c>
      <c r="D157" t="str" cm="1">
        <f t="array" aca="1" ref="D157" ca="1">IF('Raw Data'!C157 = "","",IF(AND(LEN('Raw Data'!C157) &lt; 255,LEN('Raw Data'!C157)&gt; 0),"",_xlfn.REGEXEXTRACT(CELL("address",'Raw Data'!C157),"\$([A-Z]+)\$[0-9]+")))</f>
        <v/>
      </c>
      <c r="E157" t="str" cm="1">
        <f t="array" aca="1" ref="E157" ca="1">IF('Raw Data'!D157 = "","",IF(AND(LEN('Raw Data'!D157) &lt; 255,LEN('Raw Data'!D157)&gt; 0),"",_xlfn.REGEXEXTRACT(CELL("address",'Raw Data'!D157),"\$([A-Z]+)\$[0-9]+")))</f>
        <v/>
      </c>
    </row>
    <row r="158" spans="2:5" x14ac:dyDescent="0.25">
      <c r="B158" t="str" cm="1">
        <f t="array" aca="1" ref="B158" ca="1">IF('Raw Data'!B158 = "","",IF(AND(LEN('Raw Data'!B158) &lt; 255,LEN('Raw Data'!B158)&gt; 0),"",_xlfn.REGEXEXTRACT(CELL("address",'Raw Data'!B158),"\$([A-Z]+)\$[0-9]+")))</f>
        <v/>
      </c>
      <c r="D158" t="str" cm="1">
        <f t="array" aca="1" ref="D158" ca="1">IF('Raw Data'!C158 = "","",IF(AND(LEN('Raw Data'!C158) &lt; 255,LEN('Raw Data'!C158)&gt; 0),"",_xlfn.REGEXEXTRACT(CELL("address",'Raw Data'!C158),"\$([A-Z]+)\$[0-9]+")))</f>
        <v/>
      </c>
      <c r="E158" t="str" cm="1">
        <f t="array" aca="1" ref="E158" ca="1">IF('Raw Data'!D158 = "","",IF(AND(LEN('Raw Data'!D158) &lt; 255,LEN('Raw Data'!D158)&gt; 0),"",_xlfn.REGEXEXTRACT(CELL("address",'Raw Data'!D158),"\$([A-Z]+)\$[0-9]+")))</f>
        <v/>
      </c>
    </row>
    <row r="159" spans="2:5" x14ac:dyDescent="0.25">
      <c r="B159" t="str" cm="1">
        <f t="array" aca="1" ref="B159" ca="1">IF('Raw Data'!B159 = "","",IF(AND(LEN('Raw Data'!B159) &lt; 255,LEN('Raw Data'!B159)&gt; 0),"",_xlfn.REGEXEXTRACT(CELL("address",'Raw Data'!B159),"\$([A-Z]+)\$[0-9]+")))</f>
        <v/>
      </c>
      <c r="D159" t="str" cm="1">
        <f t="array" aca="1" ref="D159" ca="1">IF('Raw Data'!C159 = "","",IF(AND(LEN('Raw Data'!C159) &lt; 255,LEN('Raw Data'!C159)&gt; 0),"",_xlfn.REGEXEXTRACT(CELL("address",'Raw Data'!C159),"\$([A-Z]+)\$[0-9]+")))</f>
        <v/>
      </c>
      <c r="E159" t="str" cm="1">
        <f t="array" aca="1" ref="E159" ca="1">IF('Raw Data'!D159 = "","",IF(AND(LEN('Raw Data'!D159) &lt; 255,LEN('Raw Data'!D159)&gt; 0),"",_xlfn.REGEXEXTRACT(CELL("address",'Raw Data'!D159),"\$([A-Z]+)\$[0-9]+")))</f>
        <v/>
      </c>
    </row>
    <row r="160" spans="2:5" x14ac:dyDescent="0.25">
      <c r="B160" t="str" cm="1">
        <f t="array" aca="1" ref="B160" ca="1">IF('Raw Data'!B160 = "","",IF(AND(LEN('Raw Data'!B160) &lt; 255,LEN('Raw Data'!B160)&gt; 0),"",_xlfn.REGEXEXTRACT(CELL("address",'Raw Data'!B160),"\$([A-Z]+)\$[0-9]+")))</f>
        <v/>
      </c>
      <c r="D160" t="str" cm="1">
        <f t="array" aca="1" ref="D160" ca="1">IF('Raw Data'!C160 = "","",IF(AND(LEN('Raw Data'!C160) &lt; 255,LEN('Raw Data'!C160)&gt; 0),"",_xlfn.REGEXEXTRACT(CELL("address",'Raw Data'!C160),"\$([A-Z]+)\$[0-9]+")))</f>
        <v/>
      </c>
      <c r="E160" t="str" cm="1">
        <f t="array" aca="1" ref="E160" ca="1">IF('Raw Data'!D160 = "","",IF(AND(LEN('Raw Data'!D160) &lt; 255,LEN('Raw Data'!D160)&gt; 0),"",_xlfn.REGEXEXTRACT(CELL("address",'Raw Data'!D160),"\$([A-Z]+)\$[0-9]+")))</f>
        <v/>
      </c>
    </row>
    <row r="161" spans="2:5" x14ac:dyDescent="0.25">
      <c r="B161" t="str" cm="1">
        <f t="array" aca="1" ref="B161" ca="1">IF('Raw Data'!B161 = "","",IF(AND(LEN('Raw Data'!B161) &lt; 255,LEN('Raw Data'!B161)&gt; 0),"",_xlfn.REGEXEXTRACT(CELL("address",'Raw Data'!B161),"\$([A-Z]+)\$[0-9]+")))</f>
        <v/>
      </c>
      <c r="D161" t="str" cm="1">
        <f t="array" aca="1" ref="D161" ca="1">IF('Raw Data'!C161 = "","",IF(AND(LEN('Raw Data'!C161) &lt; 255,LEN('Raw Data'!C161)&gt; 0),"",_xlfn.REGEXEXTRACT(CELL("address",'Raw Data'!C161),"\$([A-Z]+)\$[0-9]+")))</f>
        <v/>
      </c>
      <c r="E161" t="str" cm="1">
        <f t="array" aca="1" ref="E161" ca="1">IF('Raw Data'!D161 = "","",IF(AND(LEN('Raw Data'!D161) &lt; 255,LEN('Raw Data'!D161)&gt; 0),"",_xlfn.REGEXEXTRACT(CELL("address",'Raw Data'!D161),"\$([A-Z]+)\$[0-9]+")))</f>
        <v/>
      </c>
    </row>
    <row r="162" spans="2:5" x14ac:dyDescent="0.25">
      <c r="B162" t="str" cm="1">
        <f t="array" aca="1" ref="B162" ca="1">IF('Raw Data'!B162 = "","",IF(AND(LEN('Raw Data'!B162) &lt; 255,LEN('Raw Data'!B162)&gt; 0),"",_xlfn.REGEXEXTRACT(CELL("address",'Raw Data'!B162),"\$([A-Z]+)\$[0-9]+")))</f>
        <v/>
      </c>
      <c r="D162" t="str" cm="1">
        <f t="array" aca="1" ref="D162" ca="1">IF('Raw Data'!C162 = "","",IF(AND(LEN('Raw Data'!C162) &lt; 255,LEN('Raw Data'!C162)&gt; 0),"",_xlfn.REGEXEXTRACT(CELL("address",'Raw Data'!C162),"\$([A-Z]+)\$[0-9]+")))</f>
        <v/>
      </c>
      <c r="E162" t="str" cm="1">
        <f t="array" aca="1" ref="E162" ca="1">IF('Raw Data'!D162 = "","",IF(AND(LEN('Raw Data'!D162) &lt; 255,LEN('Raw Data'!D162)&gt; 0),"",_xlfn.REGEXEXTRACT(CELL("address",'Raw Data'!D162),"\$([A-Z]+)\$[0-9]+")))</f>
        <v/>
      </c>
    </row>
    <row r="163" spans="2:5" x14ac:dyDescent="0.25">
      <c r="B163" t="str" cm="1">
        <f t="array" aca="1" ref="B163" ca="1">IF('Raw Data'!B163 = "","",IF(AND(LEN('Raw Data'!B163) &lt; 255,LEN('Raw Data'!B163)&gt; 0),"",_xlfn.REGEXEXTRACT(CELL("address",'Raw Data'!B163),"\$([A-Z]+)\$[0-9]+")))</f>
        <v/>
      </c>
      <c r="D163" t="str" cm="1">
        <f t="array" aca="1" ref="D163" ca="1">IF('Raw Data'!C163 = "","",IF(AND(LEN('Raw Data'!C163) &lt; 255,LEN('Raw Data'!C163)&gt; 0),"",_xlfn.REGEXEXTRACT(CELL("address",'Raw Data'!C163),"\$([A-Z]+)\$[0-9]+")))</f>
        <v/>
      </c>
      <c r="E163" t="str" cm="1">
        <f t="array" aca="1" ref="E163" ca="1">IF('Raw Data'!D163 = "","",IF(AND(LEN('Raw Data'!D163) &lt; 255,LEN('Raw Data'!D163)&gt; 0),"",_xlfn.REGEXEXTRACT(CELL("address",'Raw Data'!D163),"\$([A-Z]+)\$[0-9]+")))</f>
        <v/>
      </c>
    </row>
    <row r="164" spans="2:5" x14ac:dyDescent="0.25">
      <c r="B164" t="str" cm="1">
        <f t="array" aca="1" ref="B164" ca="1">IF('Raw Data'!B164 = "","",IF(AND(LEN('Raw Data'!B164) &lt; 255,LEN('Raw Data'!B164)&gt; 0),"",_xlfn.REGEXEXTRACT(CELL("address",'Raw Data'!B164),"\$([A-Z]+)\$[0-9]+")))</f>
        <v/>
      </c>
      <c r="D164" t="str" cm="1">
        <f t="array" aca="1" ref="D164" ca="1">IF('Raw Data'!C164 = "","",IF(AND(LEN('Raw Data'!C164) &lt; 255,LEN('Raw Data'!C164)&gt; 0),"",_xlfn.REGEXEXTRACT(CELL("address",'Raw Data'!C164),"\$([A-Z]+)\$[0-9]+")))</f>
        <v/>
      </c>
      <c r="E164" t="str" cm="1">
        <f t="array" aca="1" ref="E164" ca="1">IF('Raw Data'!D164 = "","",IF(AND(LEN('Raw Data'!D164) &lt; 255,LEN('Raw Data'!D164)&gt; 0),"",_xlfn.REGEXEXTRACT(CELL("address",'Raw Data'!D164),"\$([A-Z]+)\$[0-9]+")))</f>
        <v/>
      </c>
    </row>
    <row r="165" spans="2:5" x14ac:dyDescent="0.25">
      <c r="B165" t="str" cm="1">
        <f t="array" aca="1" ref="B165" ca="1">IF('Raw Data'!B165 = "","",IF(AND(LEN('Raw Data'!B165) &lt; 255,LEN('Raw Data'!B165)&gt; 0),"",_xlfn.REGEXEXTRACT(CELL("address",'Raw Data'!B165),"\$([A-Z]+)\$[0-9]+")))</f>
        <v/>
      </c>
      <c r="D165" t="str" cm="1">
        <f t="array" aca="1" ref="D165" ca="1">IF('Raw Data'!C165 = "","",IF(AND(LEN('Raw Data'!C165) &lt; 255,LEN('Raw Data'!C165)&gt; 0),"",_xlfn.REGEXEXTRACT(CELL("address",'Raw Data'!C165),"\$([A-Z]+)\$[0-9]+")))</f>
        <v/>
      </c>
      <c r="E165" t="str" cm="1">
        <f t="array" aca="1" ref="E165" ca="1">IF('Raw Data'!D165 = "","",IF(AND(LEN('Raw Data'!D165) &lt; 255,LEN('Raw Data'!D165)&gt; 0),"",_xlfn.REGEXEXTRACT(CELL("address",'Raw Data'!D165),"\$([A-Z]+)\$[0-9]+")))</f>
        <v/>
      </c>
    </row>
    <row r="166" spans="2:5" x14ac:dyDescent="0.25">
      <c r="B166" t="str" cm="1">
        <f t="array" aca="1" ref="B166" ca="1">IF('Raw Data'!B166 = "","",IF(AND(LEN('Raw Data'!B166) &lt; 255,LEN('Raw Data'!B166)&gt; 0),"",_xlfn.REGEXEXTRACT(CELL("address",'Raw Data'!B166),"\$([A-Z]+)\$[0-9]+")))</f>
        <v/>
      </c>
      <c r="D166" t="str" cm="1">
        <f t="array" aca="1" ref="D166" ca="1">IF('Raw Data'!C166 = "","",IF(AND(LEN('Raw Data'!C166) &lt; 255,LEN('Raw Data'!C166)&gt; 0),"",_xlfn.REGEXEXTRACT(CELL("address",'Raw Data'!C166),"\$([A-Z]+)\$[0-9]+")))</f>
        <v/>
      </c>
      <c r="E166" t="str" cm="1">
        <f t="array" aca="1" ref="E166" ca="1">IF('Raw Data'!D166 = "","",IF(AND(LEN('Raw Data'!D166) &lt; 255,LEN('Raw Data'!D166)&gt; 0),"",_xlfn.REGEXEXTRACT(CELL("address",'Raw Data'!D166),"\$([A-Z]+)\$[0-9]+")))</f>
        <v/>
      </c>
    </row>
    <row r="167" spans="2:5" x14ac:dyDescent="0.25">
      <c r="B167" t="str" cm="1">
        <f t="array" aca="1" ref="B167" ca="1">IF('Raw Data'!B167 = "","",IF(AND(LEN('Raw Data'!B167) &lt; 255,LEN('Raw Data'!B167)&gt; 0),"",_xlfn.REGEXEXTRACT(CELL("address",'Raw Data'!B167),"\$([A-Z]+)\$[0-9]+")))</f>
        <v/>
      </c>
      <c r="D167" t="str" cm="1">
        <f t="array" aca="1" ref="D167" ca="1">IF('Raw Data'!C167 = "","",IF(AND(LEN('Raw Data'!C167) &lt; 255,LEN('Raw Data'!C167)&gt; 0),"",_xlfn.REGEXEXTRACT(CELL("address",'Raw Data'!C167),"\$([A-Z]+)\$[0-9]+")))</f>
        <v/>
      </c>
      <c r="E167" t="str" cm="1">
        <f t="array" aca="1" ref="E167" ca="1">IF('Raw Data'!D167 = "","",IF(AND(LEN('Raw Data'!D167) &lt; 255,LEN('Raw Data'!D167)&gt; 0),"",_xlfn.REGEXEXTRACT(CELL("address",'Raw Data'!D167),"\$([A-Z]+)\$[0-9]+")))</f>
        <v/>
      </c>
    </row>
    <row r="168" spans="2:5" x14ac:dyDescent="0.25">
      <c r="B168" t="str" cm="1">
        <f t="array" aca="1" ref="B168" ca="1">IF('Raw Data'!B168 = "","",IF(AND(LEN('Raw Data'!B168) &lt; 255,LEN('Raw Data'!B168)&gt; 0),"",_xlfn.REGEXEXTRACT(CELL("address",'Raw Data'!B168),"\$([A-Z]+)\$[0-9]+")))</f>
        <v/>
      </c>
      <c r="D168" t="str" cm="1">
        <f t="array" aca="1" ref="D168" ca="1">IF('Raw Data'!C168 = "","",IF(AND(LEN('Raw Data'!C168) &lt; 255,LEN('Raw Data'!C168)&gt; 0),"",_xlfn.REGEXEXTRACT(CELL("address",'Raw Data'!C168),"\$([A-Z]+)\$[0-9]+")))</f>
        <v/>
      </c>
      <c r="E168" t="str" cm="1">
        <f t="array" aca="1" ref="E168" ca="1">IF('Raw Data'!D168 = "","",IF(AND(LEN('Raw Data'!D168) &lt; 255,LEN('Raw Data'!D168)&gt; 0),"",_xlfn.REGEXEXTRACT(CELL("address",'Raw Data'!D168),"\$([A-Z]+)\$[0-9]+")))</f>
        <v/>
      </c>
    </row>
    <row r="169" spans="2:5" x14ac:dyDescent="0.25">
      <c r="B169" t="str" cm="1">
        <f t="array" aca="1" ref="B169" ca="1">IF('Raw Data'!B169 = "","",IF(AND(LEN('Raw Data'!B169) &lt; 255,LEN('Raw Data'!B169)&gt; 0),"",_xlfn.REGEXEXTRACT(CELL("address",'Raw Data'!B169),"\$([A-Z]+)\$[0-9]+")))</f>
        <v/>
      </c>
      <c r="D169" t="str" cm="1">
        <f t="array" aca="1" ref="D169" ca="1">IF('Raw Data'!C169 = "","",IF(AND(LEN('Raw Data'!C169) &lt; 255,LEN('Raw Data'!C169)&gt; 0),"",_xlfn.REGEXEXTRACT(CELL("address",'Raw Data'!C169),"\$([A-Z]+)\$[0-9]+")))</f>
        <v/>
      </c>
      <c r="E169" t="str" cm="1">
        <f t="array" aca="1" ref="E169" ca="1">IF('Raw Data'!D169 = "","",IF(AND(LEN('Raw Data'!D169) &lt; 255,LEN('Raw Data'!D169)&gt; 0),"",_xlfn.REGEXEXTRACT(CELL("address",'Raw Data'!D169),"\$([A-Z]+)\$[0-9]+")))</f>
        <v/>
      </c>
    </row>
    <row r="170" spans="2:5" x14ac:dyDescent="0.25">
      <c r="B170" t="str" cm="1">
        <f t="array" aca="1" ref="B170" ca="1">IF('Raw Data'!B170 = "","",IF(AND(LEN('Raw Data'!B170) &lt; 255,LEN('Raw Data'!B170)&gt; 0),"",_xlfn.REGEXEXTRACT(CELL("address",'Raw Data'!B170),"\$([A-Z]+)\$[0-9]+")))</f>
        <v/>
      </c>
      <c r="D170" t="str" cm="1">
        <f t="array" aca="1" ref="D170" ca="1">IF('Raw Data'!C170 = "","",IF(AND(LEN('Raw Data'!C170) &lt; 255,LEN('Raw Data'!C170)&gt; 0),"",_xlfn.REGEXEXTRACT(CELL("address",'Raw Data'!C170),"\$([A-Z]+)\$[0-9]+")))</f>
        <v/>
      </c>
      <c r="E170" t="str" cm="1">
        <f t="array" aca="1" ref="E170" ca="1">IF('Raw Data'!D170 = "","",IF(AND(LEN('Raw Data'!D170) &lt; 255,LEN('Raw Data'!D170)&gt; 0),"",_xlfn.REGEXEXTRACT(CELL("address",'Raw Data'!D170),"\$([A-Z]+)\$[0-9]+")))</f>
        <v/>
      </c>
    </row>
    <row r="171" spans="2:5" x14ac:dyDescent="0.25">
      <c r="B171" t="str" cm="1">
        <f t="array" aca="1" ref="B171" ca="1">IF('Raw Data'!B171 = "","",IF(AND(LEN('Raw Data'!B171) &lt; 255,LEN('Raw Data'!B171)&gt; 0),"",_xlfn.REGEXEXTRACT(CELL("address",'Raw Data'!B171),"\$([A-Z]+)\$[0-9]+")))</f>
        <v/>
      </c>
      <c r="D171" t="str" cm="1">
        <f t="array" aca="1" ref="D171" ca="1">IF('Raw Data'!C171 = "","",IF(AND(LEN('Raw Data'!C171) &lt; 255,LEN('Raw Data'!C171)&gt; 0),"",_xlfn.REGEXEXTRACT(CELL("address",'Raw Data'!C171),"\$([A-Z]+)\$[0-9]+")))</f>
        <v/>
      </c>
      <c r="E171" t="str" cm="1">
        <f t="array" aca="1" ref="E171" ca="1">IF('Raw Data'!D171 = "","",IF(AND(LEN('Raw Data'!D171) &lt; 255,LEN('Raw Data'!D171)&gt; 0),"",_xlfn.REGEXEXTRACT(CELL("address",'Raw Data'!D171),"\$([A-Z]+)\$[0-9]+")))</f>
        <v/>
      </c>
    </row>
    <row r="172" spans="2:5" x14ac:dyDescent="0.25">
      <c r="B172" t="str" cm="1">
        <f t="array" aca="1" ref="B172" ca="1">IF('Raw Data'!B172 = "","",IF(AND(LEN('Raw Data'!B172) &lt; 255,LEN('Raw Data'!B172)&gt; 0),"",_xlfn.REGEXEXTRACT(CELL("address",'Raw Data'!B172),"\$([A-Z]+)\$[0-9]+")))</f>
        <v/>
      </c>
      <c r="D172" t="str" cm="1">
        <f t="array" aca="1" ref="D172" ca="1">IF('Raw Data'!C172 = "","",IF(AND(LEN('Raw Data'!C172) &lt; 255,LEN('Raw Data'!C172)&gt; 0),"",_xlfn.REGEXEXTRACT(CELL("address",'Raw Data'!C172),"\$([A-Z]+)\$[0-9]+")))</f>
        <v/>
      </c>
      <c r="E172" t="str" cm="1">
        <f t="array" aca="1" ref="E172" ca="1">IF('Raw Data'!D172 = "","",IF(AND(LEN('Raw Data'!D172) &lt; 255,LEN('Raw Data'!D172)&gt; 0),"",_xlfn.REGEXEXTRACT(CELL("address",'Raw Data'!D172),"\$([A-Z]+)\$[0-9]+")))</f>
        <v/>
      </c>
    </row>
    <row r="173" spans="2:5" x14ac:dyDescent="0.25">
      <c r="B173" t="str" cm="1">
        <f t="array" aca="1" ref="B173" ca="1">IF('Raw Data'!B173 = "","",IF(AND(LEN('Raw Data'!B173) &lt; 255,LEN('Raw Data'!B173)&gt; 0),"",_xlfn.REGEXEXTRACT(CELL("address",'Raw Data'!B173),"\$([A-Z]+)\$[0-9]+")))</f>
        <v/>
      </c>
      <c r="D173" t="str" cm="1">
        <f t="array" aca="1" ref="D173" ca="1">IF('Raw Data'!C173 = "","",IF(AND(LEN('Raw Data'!C173) &lt; 255,LEN('Raw Data'!C173)&gt; 0),"",_xlfn.REGEXEXTRACT(CELL("address",'Raw Data'!C173),"\$([A-Z]+)\$[0-9]+")))</f>
        <v/>
      </c>
      <c r="E173" t="str" cm="1">
        <f t="array" aca="1" ref="E173" ca="1">IF('Raw Data'!D173 = "","",IF(AND(LEN('Raw Data'!D173) &lt; 255,LEN('Raw Data'!D173)&gt; 0),"",_xlfn.REGEXEXTRACT(CELL("address",'Raw Data'!D173),"\$([A-Z]+)\$[0-9]+")))</f>
        <v/>
      </c>
    </row>
    <row r="174" spans="2:5" x14ac:dyDescent="0.25">
      <c r="B174" t="str" cm="1">
        <f t="array" aca="1" ref="B174" ca="1">IF('Raw Data'!B174 = "","",IF(AND(LEN('Raw Data'!B174) &lt; 255,LEN('Raw Data'!B174)&gt; 0),"",_xlfn.REGEXEXTRACT(CELL("address",'Raw Data'!B174),"\$([A-Z]+)\$[0-9]+")))</f>
        <v/>
      </c>
      <c r="D174" t="str" cm="1">
        <f t="array" aca="1" ref="D174" ca="1">IF('Raw Data'!C174 = "","",IF(AND(LEN('Raw Data'!C174) &lt; 255,LEN('Raw Data'!C174)&gt; 0),"",_xlfn.REGEXEXTRACT(CELL("address",'Raw Data'!C174),"\$([A-Z]+)\$[0-9]+")))</f>
        <v/>
      </c>
      <c r="E174" t="str" cm="1">
        <f t="array" aca="1" ref="E174" ca="1">IF('Raw Data'!D174 = "","",IF(AND(LEN('Raw Data'!D174) &lt; 255,LEN('Raw Data'!D174)&gt; 0),"",_xlfn.REGEXEXTRACT(CELL("address",'Raw Data'!D174),"\$([A-Z]+)\$[0-9]+")))</f>
        <v/>
      </c>
    </row>
    <row r="175" spans="2:5" x14ac:dyDescent="0.25">
      <c r="B175" t="str" cm="1">
        <f t="array" aca="1" ref="B175" ca="1">IF('Raw Data'!B175 = "","",IF(AND(LEN('Raw Data'!B175) &lt; 255,LEN('Raw Data'!B175)&gt; 0),"",_xlfn.REGEXEXTRACT(CELL("address",'Raw Data'!B175),"\$([A-Z]+)\$[0-9]+")))</f>
        <v/>
      </c>
      <c r="D175" t="str" cm="1">
        <f t="array" aca="1" ref="D175" ca="1">IF('Raw Data'!C175 = "","",IF(AND(LEN('Raw Data'!C175) &lt; 255,LEN('Raw Data'!C175)&gt; 0),"",_xlfn.REGEXEXTRACT(CELL("address",'Raw Data'!C175),"\$([A-Z]+)\$[0-9]+")))</f>
        <v/>
      </c>
      <c r="E175" t="str" cm="1">
        <f t="array" aca="1" ref="E175" ca="1">IF('Raw Data'!D175 = "","",IF(AND(LEN('Raw Data'!D175) &lt; 255,LEN('Raw Data'!D175)&gt; 0),"",_xlfn.REGEXEXTRACT(CELL("address",'Raw Data'!D175),"\$([A-Z]+)\$[0-9]+")))</f>
        <v/>
      </c>
    </row>
    <row r="176" spans="2:5" x14ac:dyDescent="0.25">
      <c r="B176" t="str" cm="1">
        <f t="array" aca="1" ref="B176" ca="1">IF('Raw Data'!B176 = "","",IF(AND(LEN('Raw Data'!B176) &lt; 255,LEN('Raw Data'!B176)&gt; 0),"",_xlfn.REGEXEXTRACT(CELL("address",'Raw Data'!B176),"\$([A-Z]+)\$[0-9]+")))</f>
        <v/>
      </c>
      <c r="D176" t="str" cm="1">
        <f t="array" aca="1" ref="D176" ca="1">IF('Raw Data'!C176 = "","",IF(AND(LEN('Raw Data'!C176) &lt; 255,LEN('Raw Data'!C176)&gt; 0),"",_xlfn.REGEXEXTRACT(CELL("address",'Raw Data'!C176),"\$([A-Z]+)\$[0-9]+")))</f>
        <v/>
      </c>
      <c r="E176" t="str" cm="1">
        <f t="array" aca="1" ref="E176" ca="1">IF('Raw Data'!D176 = "","",IF(AND(LEN('Raw Data'!D176) &lt; 255,LEN('Raw Data'!D176)&gt; 0),"",_xlfn.REGEXEXTRACT(CELL("address",'Raw Data'!D176),"\$([A-Z]+)\$[0-9]+")))</f>
        <v/>
      </c>
    </row>
    <row r="177" spans="2:5" x14ac:dyDescent="0.25">
      <c r="B177" t="str" cm="1">
        <f t="array" aca="1" ref="B177" ca="1">IF('Raw Data'!B177 = "","",IF(AND(LEN('Raw Data'!B177) &lt; 255,LEN('Raw Data'!B177)&gt; 0),"",_xlfn.REGEXEXTRACT(CELL("address",'Raw Data'!B177),"\$([A-Z]+)\$[0-9]+")))</f>
        <v/>
      </c>
      <c r="D177" t="str" cm="1">
        <f t="array" aca="1" ref="D177" ca="1">IF('Raw Data'!C177 = "","",IF(AND(LEN('Raw Data'!C177) &lt; 255,LEN('Raw Data'!C177)&gt; 0),"",_xlfn.REGEXEXTRACT(CELL("address",'Raw Data'!C177),"\$([A-Z]+)\$[0-9]+")))</f>
        <v/>
      </c>
      <c r="E177" t="str" cm="1">
        <f t="array" aca="1" ref="E177" ca="1">IF('Raw Data'!D177 = "","",IF(AND(LEN('Raw Data'!D177) &lt; 255,LEN('Raw Data'!D177)&gt; 0),"",_xlfn.REGEXEXTRACT(CELL("address",'Raw Data'!D177),"\$([A-Z]+)\$[0-9]+")))</f>
        <v/>
      </c>
    </row>
    <row r="178" spans="2:5" x14ac:dyDescent="0.25">
      <c r="B178" t="str" cm="1">
        <f t="array" aca="1" ref="B178" ca="1">IF('Raw Data'!B178 = "","",IF(AND(LEN('Raw Data'!B178) &lt; 255,LEN('Raw Data'!B178)&gt; 0),"",_xlfn.REGEXEXTRACT(CELL("address",'Raw Data'!B178),"\$([A-Z]+)\$[0-9]+")))</f>
        <v/>
      </c>
      <c r="D178" t="str" cm="1">
        <f t="array" aca="1" ref="D178" ca="1">IF('Raw Data'!C178 = "","",IF(AND(LEN('Raw Data'!C178) &lt; 255,LEN('Raw Data'!C178)&gt; 0),"",_xlfn.REGEXEXTRACT(CELL("address",'Raw Data'!C178),"\$([A-Z]+)\$[0-9]+")))</f>
        <v/>
      </c>
      <c r="E178" t="str" cm="1">
        <f t="array" aca="1" ref="E178" ca="1">IF('Raw Data'!D178 = "","",IF(AND(LEN('Raw Data'!D178) &lt; 255,LEN('Raw Data'!D178)&gt; 0),"",_xlfn.REGEXEXTRACT(CELL("address",'Raw Data'!D178),"\$([A-Z]+)\$[0-9]+")))</f>
        <v/>
      </c>
    </row>
    <row r="179" spans="2:5" x14ac:dyDescent="0.25">
      <c r="B179" t="str" cm="1">
        <f t="array" aca="1" ref="B179" ca="1">IF('Raw Data'!B179 = "","",IF(AND(LEN('Raw Data'!B179) &lt; 255,LEN('Raw Data'!B179)&gt; 0),"",_xlfn.REGEXEXTRACT(CELL("address",'Raw Data'!B179),"\$([A-Z]+)\$[0-9]+")))</f>
        <v/>
      </c>
      <c r="D179" t="str" cm="1">
        <f t="array" aca="1" ref="D179" ca="1">IF('Raw Data'!C179 = "","",IF(AND(LEN('Raw Data'!C179) &lt; 255,LEN('Raw Data'!C179)&gt; 0),"",_xlfn.REGEXEXTRACT(CELL("address",'Raw Data'!C179),"\$([A-Z]+)\$[0-9]+")))</f>
        <v/>
      </c>
      <c r="E179" t="str" cm="1">
        <f t="array" aca="1" ref="E179" ca="1">IF('Raw Data'!D179 = "","",IF(AND(LEN('Raw Data'!D179) &lt; 255,LEN('Raw Data'!D179)&gt; 0),"",_xlfn.REGEXEXTRACT(CELL("address",'Raw Data'!D179),"\$([A-Z]+)\$[0-9]+")))</f>
        <v/>
      </c>
    </row>
    <row r="180" spans="2:5" x14ac:dyDescent="0.25">
      <c r="B180" t="str" cm="1">
        <f t="array" aca="1" ref="B180" ca="1">IF('Raw Data'!B180 = "","",IF(AND(LEN('Raw Data'!B180) &lt; 255,LEN('Raw Data'!B180)&gt; 0),"",_xlfn.REGEXEXTRACT(CELL("address",'Raw Data'!B180),"\$([A-Z]+)\$[0-9]+")))</f>
        <v/>
      </c>
      <c r="D180" t="str" cm="1">
        <f t="array" aca="1" ref="D180" ca="1">IF('Raw Data'!C180 = "","",IF(AND(LEN('Raw Data'!C180) &lt; 255,LEN('Raw Data'!C180)&gt; 0),"",_xlfn.REGEXEXTRACT(CELL("address",'Raw Data'!C180),"\$([A-Z]+)\$[0-9]+")))</f>
        <v/>
      </c>
      <c r="E180" t="str" cm="1">
        <f t="array" aca="1" ref="E180" ca="1">IF('Raw Data'!D180 = "","",IF(AND(LEN('Raw Data'!D180) &lt; 255,LEN('Raw Data'!D180)&gt; 0),"",_xlfn.REGEXEXTRACT(CELL("address",'Raw Data'!D180),"\$([A-Z]+)\$[0-9]+")))</f>
        <v/>
      </c>
    </row>
    <row r="181" spans="2:5" x14ac:dyDescent="0.25">
      <c r="B181" t="str" cm="1">
        <f t="array" aca="1" ref="B181" ca="1">IF('Raw Data'!B181 = "","",IF(AND(LEN('Raw Data'!B181) &lt; 255,LEN('Raw Data'!B181)&gt; 0),"",_xlfn.REGEXEXTRACT(CELL("address",'Raw Data'!B181),"\$([A-Z]+)\$[0-9]+")))</f>
        <v/>
      </c>
      <c r="D181" t="str" cm="1">
        <f t="array" aca="1" ref="D181" ca="1">IF('Raw Data'!C181 = "","",IF(AND(LEN('Raw Data'!C181) &lt; 255,LEN('Raw Data'!C181)&gt; 0),"",_xlfn.REGEXEXTRACT(CELL("address",'Raw Data'!C181),"\$([A-Z]+)\$[0-9]+")))</f>
        <v/>
      </c>
      <c r="E181" t="str" cm="1">
        <f t="array" aca="1" ref="E181" ca="1">IF('Raw Data'!D181 = "","",IF(AND(LEN('Raw Data'!D181) &lt; 255,LEN('Raw Data'!D181)&gt; 0),"",_xlfn.REGEXEXTRACT(CELL("address",'Raw Data'!D181),"\$([A-Z]+)\$[0-9]+")))</f>
        <v/>
      </c>
    </row>
    <row r="182" spans="2:5" x14ac:dyDescent="0.25">
      <c r="B182" t="str" cm="1">
        <f t="array" aca="1" ref="B182" ca="1">IF('Raw Data'!B182 = "","",IF(AND(LEN('Raw Data'!B182) &lt; 255,LEN('Raw Data'!B182)&gt; 0),"",_xlfn.REGEXEXTRACT(CELL("address",'Raw Data'!B182),"\$([A-Z]+)\$[0-9]+")))</f>
        <v/>
      </c>
      <c r="D182" t="str" cm="1">
        <f t="array" aca="1" ref="D182" ca="1">IF('Raw Data'!C182 = "","",IF(AND(LEN('Raw Data'!C182) &lt; 255,LEN('Raw Data'!C182)&gt; 0),"",_xlfn.REGEXEXTRACT(CELL("address",'Raw Data'!C182),"\$([A-Z]+)\$[0-9]+")))</f>
        <v/>
      </c>
      <c r="E182" t="str" cm="1">
        <f t="array" aca="1" ref="E182" ca="1">IF('Raw Data'!D182 = "","",IF(AND(LEN('Raw Data'!D182) &lt; 255,LEN('Raw Data'!D182)&gt; 0),"",_xlfn.REGEXEXTRACT(CELL("address",'Raw Data'!D182),"\$([A-Z]+)\$[0-9]+")))</f>
        <v/>
      </c>
    </row>
    <row r="183" spans="2:5" x14ac:dyDescent="0.25">
      <c r="B183" t="str" cm="1">
        <f t="array" aca="1" ref="B183" ca="1">IF('Raw Data'!B183 = "","",IF(AND(LEN('Raw Data'!B183) &lt; 255,LEN('Raw Data'!B183)&gt; 0),"",_xlfn.REGEXEXTRACT(CELL("address",'Raw Data'!B183),"\$([A-Z]+)\$[0-9]+")))</f>
        <v/>
      </c>
      <c r="D183" t="str" cm="1">
        <f t="array" aca="1" ref="D183" ca="1">IF('Raw Data'!C183 = "","",IF(AND(LEN('Raw Data'!C183) &lt; 255,LEN('Raw Data'!C183)&gt; 0),"",_xlfn.REGEXEXTRACT(CELL("address",'Raw Data'!C183),"\$([A-Z]+)\$[0-9]+")))</f>
        <v/>
      </c>
      <c r="E183" t="str" cm="1">
        <f t="array" aca="1" ref="E183" ca="1">IF('Raw Data'!D183 = "","",IF(AND(LEN('Raw Data'!D183) &lt; 255,LEN('Raw Data'!D183)&gt; 0),"",_xlfn.REGEXEXTRACT(CELL("address",'Raw Data'!D183),"\$([A-Z]+)\$[0-9]+")))</f>
        <v/>
      </c>
    </row>
    <row r="184" spans="2:5" x14ac:dyDescent="0.25">
      <c r="B184" t="str" cm="1">
        <f t="array" aca="1" ref="B184" ca="1">IF('Raw Data'!B184 = "","",IF(AND(LEN('Raw Data'!B184) &lt; 255,LEN('Raw Data'!B184)&gt; 0),"",_xlfn.REGEXEXTRACT(CELL("address",'Raw Data'!B184),"\$([A-Z]+)\$[0-9]+")))</f>
        <v/>
      </c>
      <c r="D184" t="str" cm="1">
        <f t="array" aca="1" ref="D184" ca="1">IF('Raw Data'!C184 = "","",IF(AND(LEN('Raw Data'!C184) &lt; 255,LEN('Raw Data'!C184)&gt; 0),"",_xlfn.REGEXEXTRACT(CELL("address",'Raw Data'!C184),"\$([A-Z]+)\$[0-9]+")))</f>
        <v/>
      </c>
      <c r="E184" t="str" cm="1">
        <f t="array" aca="1" ref="E184" ca="1">IF('Raw Data'!D184 = "","",IF(AND(LEN('Raw Data'!D184) &lt; 255,LEN('Raw Data'!D184)&gt; 0),"",_xlfn.REGEXEXTRACT(CELL("address",'Raw Data'!D184),"\$([A-Z]+)\$[0-9]+")))</f>
        <v/>
      </c>
    </row>
    <row r="185" spans="2:5" x14ac:dyDescent="0.25">
      <c r="B185" t="str" cm="1">
        <f t="array" aca="1" ref="B185" ca="1">IF('Raw Data'!B185 = "","",IF(AND(LEN('Raw Data'!B185) &lt; 255,LEN('Raw Data'!B185)&gt; 0),"",_xlfn.REGEXEXTRACT(CELL("address",'Raw Data'!B185),"\$([A-Z]+)\$[0-9]+")))</f>
        <v/>
      </c>
      <c r="D185" t="str" cm="1">
        <f t="array" aca="1" ref="D185" ca="1">IF('Raw Data'!C185 = "","",IF(AND(LEN('Raw Data'!C185) &lt; 255,LEN('Raw Data'!C185)&gt; 0),"",_xlfn.REGEXEXTRACT(CELL("address",'Raw Data'!C185),"\$([A-Z]+)\$[0-9]+")))</f>
        <v/>
      </c>
      <c r="E185" t="str" cm="1">
        <f t="array" aca="1" ref="E185" ca="1">IF('Raw Data'!D185 = "","",IF(AND(LEN('Raw Data'!D185) &lt; 255,LEN('Raw Data'!D185)&gt; 0),"",_xlfn.REGEXEXTRACT(CELL("address",'Raw Data'!D185),"\$([A-Z]+)\$[0-9]+")))</f>
        <v/>
      </c>
    </row>
    <row r="186" spans="2:5" x14ac:dyDescent="0.25">
      <c r="B186" t="str" cm="1">
        <f t="array" aca="1" ref="B186" ca="1">IF('Raw Data'!B186 = "","",IF(AND(LEN('Raw Data'!B186) &lt; 255,LEN('Raw Data'!B186)&gt; 0),"",_xlfn.REGEXEXTRACT(CELL("address",'Raw Data'!B186),"\$([A-Z]+)\$[0-9]+")))</f>
        <v/>
      </c>
      <c r="D186" t="str" cm="1">
        <f t="array" aca="1" ref="D186" ca="1">IF('Raw Data'!C186 = "","",IF(AND(LEN('Raw Data'!C186) &lt; 255,LEN('Raw Data'!C186)&gt; 0),"",_xlfn.REGEXEXTRACT(CELL("address",'Raw Data'!C186),"\$([A-Z]+)\$[0-9]+")))</f>
        <v/>
      </c>
      <c r="E186" t="str" cm="1">
        <f t="array" aca="1" ref="E186" ca="1">IF('Raw Data'!D186 = "","",IF(AND(LEN('Raw Data'!D186) &lt; 255,LEN('Raw Data'!D186)&gt; 0),"",_xlfn.REGEXEXTRACT(CELL("address",'Raw Data'!D186),"\$([A-Z]+)\$[0-9]+")))</f>
        <v/>
      </c>
    </row>
    <row r="187" spans="2:5" x14ac:dyDescent="0.25">
      <c r="B187" t="str" cm="1">
        <f t="array" aca="1" ref="B187" ca="1">IF('Raw Data'!B187 = "","",IF(AND(LEN('Raw Data'!B187) &lt; 255,LEN('Raw Data'!B187)&gt; 0),"",_xlfn.REGEXEXTRACT(CELL("address",'Raw Data'!B187),"\$([A-Z]+)\$[0-9]+")))</f>
        <v/>
      </c>
      <c r="D187" t="str" cm="1">
        <f t="array" aca="1" ref="D187" ca="1">IF('Raw Data'!C187 = "","",IF(AND(LEN('Raw Data'!C187) &lt; 255,LEN('Raw Data'!C187)&gt; 0),"",_xlfn.REGEXEXTRACT(CELL("address",'Raw Data'!C187),"\$([A-Z]+)\$[0-9]+")))</f>
        <v/>
      </c>
      <c r="E187" t="str" cm="1">
        <f t="array" aca="1" ref="E187" ca="1">IF('Raw Data'!D187 = "","",IF(AND(LEN('Raw Data'!D187) &lt; 255,LEN('Raw Data'!D187)&gt; 0),"",_xlfn.REGEXEXTRACT(CELL("address",'Raw Data'!D187),"\$([A-Z]+)\$[0-9]+")))</f>
        <v/>
      </c>
    </row>
    <row r="188" spans="2:5" x14ac:dyDescent="0.25">
      <c r="B188" t="str" cm="1">
        <f t="array" aca="1" ref="B188" ca="1">IF('Raw Data'!B188 = "","",IF(AND(LEN('Raw Data'!B188) &lt; 255,LEN('Raw Data'!B188)&gt; 0),"",_xlfn.REGEXEXTRACT(CELL("address",'Raw Data'!B188),"\$([A-Z]+)\$[0-9]+")))</f>
        <v/>
      </c>
      <c r="D188" t="str" cm="1">
        <f t="array" aca="1" ref="D188" ca="1">IF('Raw Data'!C188 = "","",IF(AND(LEN('Raw Data'!C188) &lt; 255,LEN('Raw Data'!C188)&gt; 0),"",_xlfn.REGEXEXTRACT(CELL("address",'Raw Data'!C188),"\$([A-Z]+)\$[0-9]+")))</f>
        <v/>
      </c>
      <c r="E188" t="str" cm="1">
        <f t="array" aca="1" ref="E188" ca="1">IF('Raw Data'!D188 = "","",IF(AND(LEN('Raw Data'!D188) &lt; 255,LEN('Raw Data'!D188)&gt; 0),"",_xlfn.REGEXEXTRACT(CELL("address",'Raw Data'!D188),"\$([A-Z]+)\$[0-9]+")))</f>
        <v/>
      </c>
    </row>
    <row r="189" spans="2:5" x14ac:dyDescent="0.25">
      <c r="B189" t="str" cm="1">
        <f t="array" aca="1" ref="B189" ca="1">IF('Raw Data'!B189 = "","",IF(AND(LEN('Raw Data'!B189) &lt; 255,LEN('Raw Data'!B189)&gt; 0),"",_xlfn.REGEXEXTRACT(CELL("address",'Raw Data'!B189),"\$([A-Z]+)\$[0-9]+")))</f>
        <v/>
      </c>
      <c r="D189" t="str" cm="1">
        <f t="array" aca="1" ref="D189" ca="1">IF('Raw Data'!C189 = "","",IF(AND(LEN('Raw Data'!C189) &lt; 255,LEN('Raw Data'!C189)&gt; 0),"",_xlfn.REGEXEXTRACT(CELL("address",'Raw Data'!C189),"\$([A-Z]+)\$[0-9]+")))</f>
        <v/>
      </c>
      <c r="E189" t="str" cm="1">
        <f t="array" aca="1" ref="E189" ca="1">IF('Raw Data'!D189 = "","",IF(AND(LEN('Raw Data'!D189) &lt; 255,LEN('Raw Data'!D189)&gt; 0),"",_xlfn.REGEXEXTRACT(CELL("address",'Raw Data'!D189),"\$([A-Z]+)\$[0-9]+")))</f>
        <v/>
      </c>
    </row>
    <row r="190" spans="2:5" x14ac:dyDescent="0.25">
      <c r="B190" t="str" cm="1">
        <f t="array" aca="1" ref="B190" ca="1">IF('Raw Data'!B190 = "","",IF(AND(LEN('Raw Data'!B190) &lt; 255,LEN('Raw Data'!B190)&gt; 0),"",_xlfn.REGEXEXTRACT(CELL("address",'Raw Data'!B190),"\$([A-Z]+)\$[0-9]+")))</f>
        <v/>
      </c>
      <c r="D190" t="str" cm="1">
        <f t="array" aca="1" ref="D190" ca="1">IF('Raw Data'!C190 = "","",IF(AND(LEN('Raw Data'!C190) &lt; 255,LEN('Raw Data'!C190)&gt; 0),"",_xlfn.REGEXEXTRACT(CELL("address",'Raw Data'!C190),"\$([A-Z]+)\$[0-9]+")))</f>
        <v/>
      </c>
      <c r="E190" t="str" cm="1">
        <f t="array" aca="1" ref="E190" ca="1">IF('Raw Data'!D190 = "","",IF(AND(LEN('Raw Data'!D190) &lt; 255,LEN('Raw Data'!D190)&gt; 0),"",_xlfn.REGEXEXTRACT(CELL("address",'Raw Data'!D190),"\$([A-Z]+)\$[0-9]+")))</f>
        <v/>
      </c>
    </row>
    <row r="191" spans="2:5" x14ac:dyDescent="0.25">
      <c r="B191" t="str" cm="1">
        <f t="array" aca="1" ref="B191" ca="1">IF('Raw Data'!B191 = "","",IF(AND(LEN('Raw Data'!B191) &lt; 255,LEN('Raw Data'!B191)&gt; 0),"",_xlfn.REGEXEXTRACT(CELL("address",'Raw Data'!B191),"\$([A-Z]+)\$[0-9]+")))</f>
        <v/>
      </c>
      <c r="D191" t="str" cm="1">
        <f t="array" aca="1" ref="D191" ca="1">IF('Raw Data'!C191 = "","",IF(AND(LEN('Raw Data'!C191) &lt; 255,LEN('Raw Data'!C191)&gt; 0),"",_xlfn.REGEXEXTRACT(CELL("address",'Raw Data'!C191),"\$([A-Z]+)\$[0-9]+")))</f>
        <v/>
      </c>
      <c r="E191" t="str" cm="1">
        <f t="array" aca="1" ref="E191" ca="1">IF('Raw Data'!D191 = "","",IF(AND(LEN('Raw Data'!D191) &lt; 255,LEN('Raw Data'!D191)&gt; 0),"",_xlfn.REGEXEXTRACT(CELL("address",'Raw Data'!D191),"\$([A-Z]+)\$[0-9]+")))</f>
        <v/>
      </c>
    </row>
    <row r="192" spans="2:5" x14ac:dyDescent="0.25">
      <c r="B192" t="str" cm="1">
        <f t="array" aca="1" ref="B192" ca="1">IF('Raw Data'!B192 = "","",IF(AND(LEN('Raw Data'!B192) &lt; 255,LEN('Raw Data'!B192)&gt; 0),"",_xlfn.REGEXEXTRACT(CELL("address",'Raw Data'!B192),"\$([A-Z]+)\$[0-9]+")))</f>
        <v/>
      </c>
      <c r="D192" t="str" cm="1">
        <f t="array" aca="1" ref="D192" ca="1">IF('Raw Data'!C192 = "","",IF(AND(LEN('Raw Data'!C192) &lt; 255,LEN('Raw Data'!C192)&gt; 0),"",_xlfn.REGEXEXTRACT(CELL("address",'Raw Data'!C192),"\$([A-Z]+)\$[0-9]+")))</f>
        <v/>
      </c>
      <c r="E192" t="str" cm="1">
        <f t="array" aca="1" ref="E192" ca="1">IF('Raw Data'!D192 = "","",IF(AND(LEN('Raw Data'!D192) &lt; 255,LEN('Raw Data'!D192)&gt; 0),"",_xlfn.REGEXEXTRACT(CELL("address",'Raw Data'!D192),"\$([A-Z]+)\$[0-9]+")))</f>
        <v/>
      </c>
    </row>
    <row r="193" spans="2:5" x14ac:dyDescent="0.25">
      <c r="B193" t="str" cm="1">
        <f t="array" aca="1" ref="B193" ca="1">IF('Raw Data'!B193 = "","",IF(AND(LEN('Raw Data'!B193) &lt; 255,LEN('Raw Data'!B193)&gt; 0),"",_xlfn.REGEXEXTRACT(CELL("address",'Raw Data'!B193),"\$([A-Z]+)\$[0-9]+")))</f>
        <v/>
      </c>
      <c r="D193" t="str" cm="1">
        <f t="array" aca="1" ref="D193" ca="1">IF('Raw Data'!C193 = "","",IF(AND(LEN('Raw Data'!C193) &lt; 255,LEN('Raw Data'!C193)&gt; 0),"",_xlfn.REGEXEXTRACT(CELL("address",'Raw Data'!C193),"\$([A-Z]+)\$[0-9]+")))</f>
        <v/>
      </c>
      <c r="E193" t="str" cm="1">
        <f t="array" aca="1" ref="E193" ca="1">IF('Raw Data'!D193 = "","",IF(AND(LEN('Raw Data'!D193) &lt; 255,LEN('Raw Data'!D193)&gt; 0),"",_xlfn.REGEXEXTRACT(CELL("address",'Raw Data'!D193),"\$([A-Z]+)\$[0-9]+")))</f>
        <v/>
      </c>
    </row>
    <row r="194" spans="2:5" x14ac:dyDescent="0.25">
      <c r="B194" t="str" cm="1">
        <f t="array" aca="1" ref="B194" ca="1">IF('Raw Data'!B194 = "","",IF(AND(LEN('Raw Data'!B194) &lt; 255,LEN('Raw Data'!B194)&gt; 0),"",_xlfn.REGEXEXTRACT(CELL("address",'Raw Data'!B194),"\$([A-Z]+)\$[0-9]+")))</f>
        <v/>
      </c>
      <c r="D194" t="str" cm="1">
        <f t="array" aca="1" ref="D194" ca="1">IF('Raw Data'!C194 = "","",IF(AND(LEN('Raw Data'!C194) &lt; 255,LEN('Raw Data'!C194)&gt; 0),"",_xlfn.REGEXEXTRACT(CELL("address",'Raw Data'!C194),"\$([A-Z]+)\$[0-9]+")))</f>
        <v/>
      </c>
      <c r="E194" t="str" cm="1">
        <f t="array" aca="1" ref="E194" ca="1">IF('Raw Data'!D194 = "","",IF(AND(LEN('Raw Data'!D194) &lt; 255,LEN('Raw Data'!D194)&gt; 0),"",_xlfn.REGEXEXTRACT(CELL("address",'Raw Data'!D194),"\$([A-Z]+)\$[0-9]+")))</f>
        <v/>
      </c>
    </row>
    <row r="195" spans="2:5" x14ac:dyDescent="0.25">
      <c r="B195" t="str" cm="1">
        <f t="array" aca="1" ref="B195" ca="1">IF('Raw Data'!B195 = "","",IF(AND(LEN('Raw Data'!B195) &lt; 255,LEN('Raw Data'!B195)&gt; 0),"",_xlfn.REGEXEXTRACT(CELL("address",'Raw Data'!B195),"\$([A-Z]+)\$[0-9]+")))</f>
        <v/>
      </c>
      <c r="D195" t="str" cm="1">
        <f t="array" aca="1" ref="D195" ca="1">IF('Raw Data'!C195 = "","",IF(AND(LEN('Raw Data'!C195) &lt; 255,LEN('Raw Data'!C195)&gt; 0),"",_xlfn.REGEXEXTRACT(CELL("address",'Raw Data'!C195),"\$([A-Z]+)\$[0-9]+")))</f>
        <v/>
      </c>
      <c r="E195" t="str" cm="1">
        <f t="array" aca="1" ref="E195" ca="1">IF('Raw Data'!D195 = "","",IF(AND(LEN('Raw Data'!D195) &lt; 255,LEN('Raw Data'!D195)&gt; 0),"",_xlfn.REGEXEXTRACT(CELL("address",'Raw Data'!D195),"\$([A-Z]+)\$[0-9]+")))</f>
        <v/>
      </c>
    </row>
    <row r="196" spans="2:5" x14ac:dyDescent="0.25">
      <c r="B196" t="str" cm="1">
        <f t="array" aca="1" ref="B196" ca="1">IF('Raw Data'!B196 = "","",IF(AND(LEN('Raw Data'!B196) &lt; 255,LEN('Raw Data'!B196)&gt; 0),"",_xlfn.REGEXEXTRACT(CELL("address",'Raw Data'!B196),"\$([A-Z]+)\$[0-9]+")))</f>
        <v/>
      </c>
      <c r="D196" t="str" cm="1">
        <f t="array" aca="1" ref="D196" ca="1">IF('Raw Data'!C196 = "","",IF(AND(LEN('Raw Data'!C196) &lt; 255,LEN('Raw Data'!C196)&gt; 0),"",_xlfn.REGEXEXTRACT(CELL("address",'Raw Data'!C196),"\$([A-Z]+)\$[0-9]+")))</f>
        <v/>
      </c>
      <c r="E196" t="str" cm="1">
        <f t="array" aca="1" ref="E196" ca="1">IF('Raw Data'!D196 = "","",IF(AND(LEN('Raw Data'!D196) &lt; 255,LEN('Raw Data'!D196)&gt; 0),"",_xlfn.REGEXEXTRACT(CELL("address",'Raw Data'!D196),"\$([A-Z]+)\$[0-9]+")))</f>
        <v/>
      </c>
    </row>
    <row r="197" spans="2:5" x14ac:dyDescent="0.25">
      <c r="B197" t="str" cm="1">
        <f t="array" aca="1" ref="B197" ca="1">IF('Raw Data'!B197 = "","",IF(AND(LEN('Raw Data'!B197) &lt; 255,LEN('Raw Data'!B197)&gt; 0),"",_xlfn.REGEXEXTRACT(CELL("address",'Raw Data'!B197),"\$([A-Z]+)\$[0-9]+")))</f>
        <v/>
      </c>
      <c r="D197" t="str" cm="1">
        <f t="array" aca="1" ref="D197" ca="1">IF('Raw Data'!C197 = "","",IF(AND(LEN('Raw Data'!C197) &lt; 255,LEN('Raw Data'!C197)&gt; 0),"",_xlfn.REGEXEXTRACT(CELL("address",'Raw Data'!C197),"\$([A-Z]+)\$[0-9]+")))</f>
        <v/>
      </c>
      <c r="E197" t="str" cm="1">
        <f t="array" aca="1" ref="E197" ca="1">IF('Raw Data'!D197 = "","",IF(AND(LEN('Raw Data'!D197) &lt; 255,LEN('Raw Data'!D197)&gt; 0),"",_xlfn.REGEXEXTRACT(CELL("address",'Raw Data'!D197),"\$([A-Z]+)\$[0-9]+")))</f>
        <v/>
      </c>
    </row>
    <row r="198" spans="2:5" x14ac:dyDescent="0.25">
      <c r="B198" t="str" cm="1">
        <f t="array" aca="1" ref="B198" ca="1">IF('Raw Data'!B198 = "","",IF(AND(LEN('Raw Data'!B198) &lt; 255,LEN('Raw Data'!B198)&gt; 0),"",_xlfn.REGEXEXTRACT(CELL("address",'Raw Data'!B198),"\$([A-Z]+)\$[0-9]+")))</f>
        <v/>
      </c>
      <c r="D198" t="str" cm="1">
        <f t="array" aca="1" ref="D198" ca="1">IF('Raw Data'!C198 = "","",IF(AND(LEN('Raw Data'!C198) &lt; 255,LEN('Raw Data'!C198)&gt; 0),"",_xlfn.REGEXEXTRACT(CELL("address",'Raw Data'!C198),"\$([A-Z]+)\$[0-9]+")))</f>
        <v/>
      </c>
      <c r="E198" t="str" cm="1">
        <f t="array" aca="1" ref="E198" ca="1">IF('Raw Data'!D198 = "","",IF(AND(LEN('Raw Data'!D198) &lt; 255,LEN('Raw Data'!D198)&gt; 0),"",_xlfn.REGEXEXTRACT(CELL("address",'Raw Data'!D198),"\$([A-Z]+)\$[0-9]+")))</f>
        <v/>
      </c>
    </row>
    <row r="199" spans="2:5" x14ac:dyDescent="0.25">
      <c r="B199" t="str" cm="1">
        <f t="array" aca="1" ref="B199" ca="1">IF('Raw Data'!B199 = "","",IF(AND(LEN('Raw Data'!B199) &lt; 255,LEN('Raw Data'!B199)&gt; 0),"",_xlfn.REGEXEXTRACT(CELL("address",'Raw Data'!B199),"\$([A-Z]+)\$[0-9]+")))</f>
        <v/>
      </c>
      <c r="D199" t="str" cm="1">
        <f t="array" aca="1" ref="D199" ca="1">IF('Raw Data'!C199 = "","",IF(AND(LEN('Raw Data'!C199) &lt; 255,LEN('Raw Data'!C199)&gt; 0),"",_xlfn.REGEXEXTRACT(CELL("address",'Raw Data'!C199),"\$([A-Z]+)\$[0-9]+")))</f>
        <v/>
      </c>
      <c r="E199" t="str" cm="1">
        <f t="array" aca="1" ref="E199" ca="1">IF('Raw Data'!D199 = "","",IF(AND(LEN('Raw Data'!D199) &lt; 255,LEN('Raw Data'!D199)&gt; 0),"",_xlfn.REGEXEXTRACT(CELL("address",'Raw Data'!D199),"\$([A-Z]+)\$[0-9]+")))</f>
        <v/>
      </c>
    </row>
    <row r="200" spans="2:5" x14ac:dyDescent="0.25">
      <c r="B200" t="str" cm="1">
        <f t="array" aca="1" ref="B200" ca="1">IF('Raw Data'!B200 = "","",IF(AND(LEN('Raw Data'!B200) &lt; 255,LEN('Raw Data'!B200)&gt; 0),"",_xlfn.REGEXEXTRACT(CELL("address",'Raw Data'!B200),"\$([A-Z]+)\$[0-9]+")))</f>
        <v/>
      </c>
      <c r="D200" t="str" cm="1">
        <f t="array" aca="1" ref="D200" ca="1">IF('Raw Data'!C200 = "","",IF(AND(LEN('Raw Data'!C200) &lt; 255,LEN('Raw Data'!C200)&gt; 0),"",_xlfn.REGEXEXTRACT(CELL("address",'Raw Data'!C200),"\$([A-Z]+)\$[0-9]+")))</f>
        <v/>
      </c>
      <c r="E200" t="str" cm="1">
        <f t="array" aca="1" ref="E200" ca="1">IF('Raw Data'!D200 = "","",IF(AND(LEN('Raw Data'!D200) &lt; 255,LEN('Raw Data'!D200)&gt; 0),"",_xlfn.REGEXEXTRACT(CELL("address",'Raw Data'!D200),"\$([A-Z]+)\$[0-9]+")))</f>
        <v/>
      </c>
    </row>
    <row r="201" spans="2:5" x14ac:dyDescent="0.25">
      <c r="B201" t="str" cm="1">
        <f t="array" aca="1" ref="B201" ca="1">IF('Raw Data'!B201 = "","",IF(AND(LEN('Raw Data'!B201) &lt; 255,LEN('Raw Data'!B201)&gt; 0),"",_xlfn.REGEXEXTRACT(CELL("address",'Raw Data'!B201),"\$([A-Z]+)\$[0-9]+")))</f>
        <v/>
      </c>
      <c r="D201" t="str" cm="1">
        <f t="array" aca="1" ref="D201" ca="1">IF('Raw Data'!C201 = "","",IF(AND(LEN('Raw Data'!C201) &lt; 255,LEN('Raw Data'!C201)&gt; 0),"",_xlfn.REGEXEXTRACT(CELL("address",'Raw Data'!C201),"\$([A-Z]+)\$[0-9]+")))</f>
        <v/>
      </c>
      <c r="E201" t="str" cm="1">
        <f t="array" aca="1" ref="E201" ca="1">IF('Raw Data'!D201 = "","",IF(AND(LEN('Raw Data'!D201) &lt; 255,LEN('Raw Data'!D201)&gt; 0),"",_xlfn.REGEXEXTRACT(CELL("address",'Raw Data'!D201),"\$([A-Z]+)\$[0-9]+")))</f>
        <v/>
      </c>
    </row>
    <row r="202" spans="2:5" x14ac:dyDescent="0.25">
      <c r="B202" t="str" cm="1">
        <f t="array" aca="1" ref="B202" ca="1">IF('Raw Data'!B202 = "","",IF(AND(LEN('Raw Data'!B202) &lt; 255,LEN('Raw Data'!B202)&gt; 0),"",_xlfn.REGEXEXTRACT(CELL("address",'Raw Data'!B202),"\$([A-Z]+)\$[0-9]+")))</f>
        <v/>
      </c>
      <c r="D202" t="str" cm="1">
        <f t="array" aca="1" ref="D202" ca="1">IF('Raw Data'!C202 = "","",IF(AND(LEN('Raw Data'!C202) &lt; 255,LEN('Raw Data'!C202)&gt; 0),"",_xlfn.REGEXEXTRACT(CELL("address",'Raw Data'!C202),"\$([A-Z]+)\$[0-9]+")))</f>
        <v/>
      </c>
      <c r="E202" t="str" cm="1">
        <f t="array" aca="1" ref="E202" ca="1">IF('Raw Data'!D202 = "","",IF(AND(LEN('Raw Data'!D202) &lt; 255,LEN('Raw Data'!D202)&gt; 0),"",_xlfn.REGEXEXTRACT(CELL("address",'Raw Data'!D202),"\$([A-Z]+)\$[0-9]+")))</f>
        <v/>
      </c>
    </row>
    <row r="203" spans="2:5" x14ac:dyDescent="0.25">
      <c r="B203" t="str" cm="1">
        <f t="array" aca="1" ref="B203" ca="1">IF('Raw Data'!B203 = "","",IF(AND(LEN('Raw Data'!B203) &lt; 255,LEN('Raw Data'!B203)&gt; 0),"",_xlfn.REGEXEXTRACT(CELL("address",'Raw Data'!B203),"\$([A-Z]+)\$[0-9]+")))</f>
        <v/>
      </c>
      <c r="D203" t="str" cm="1">
        <f t="array" aca="1" ref="D203" ca="1">IF('Raw Data'!C203 = "","",IF(AND(LEN('Raw Data'!C203) &lt; 255,LEN('Raw Data'!C203)&gt; 0),"",_xlfn.REGEXEXTRACT(CELL("address",'Raw Data'!C203),"\$([A-Z]+)\$[0-9]+")))</f>
        <v/>
      </c>
      <c r="E203" t="str" cm="1">
        <f t="array" aca="1" ref="E203" ca="1">IF('Raw Data'!D203 = "","",IF(AND(LEN('Raw Data'!D203) &lt; 255,LEN('Raw Data'!D203)&gt; 0),"",_xlfn.REGEXEXTRACT(CELL("address",'Raw Data'!D203),"\$([A-Z]+)\$[0-9]+")))</f>
        <v/>
      </c>
    </row>
    <row r="204" spans="2:5" x14ac:dyDescent="0.25">
      <c r="B204" t="str" cm="1">
        <f t="array" aca="1" ref="B204" ca="1">IF('Raw Data'!B204 = "","",IF(AND(LEN('Raw Data'!B204) &lt; 255,LEN('Raw Data'!B204)&gt; 0),"",_xlfn.REGEXEXTRACT(CELL("address",'Raw Data'!B204),"\$([A-Z]+)\$[0-9]+")))</f>
        <v/>
      </c>
      <c r="D204" t="str" cm="1">
        <f t="array" aca="1" ref="D204" ca="1">IF('Raw Data'!C204 = "","",IF(AND(LEN('Raw Data'!C204) &lt; 255,LEN('Raw Data'!C204)&gt; 0),"",_xlfn.REGEXEXTRACT(CELL("address",'Raw Data'!C204),"\$([A-Z]+)\$[0-9]+")))</f>
        <v/>
      </c>
      <c r="E204" t="str" cm="1">
        <f t="array" aca="1" ref="E204" ca="1">IF('Raw Data'!D204 = "","",IF(AND(LEN('Raw Data'!D204) &lt; 255,LEN('Raw Data'!D204)&gt; 0),"",_xlfn.REGEXEXTRACT(CELL("address",'Raw Data'!D204),"\$([A-Z]+)\$[0-9]+")))</f>
        <v/>
      </c>
    </row>
    <row r="205" spans="2:5" x14ac:dyDescent="0.25">
      <c r="B205" t="str" cm="1">
        <f t="array" aca="1" ref="B205" ca="1">IF('Raw Data'!B205 = "","",IF(AND(LEN('Raw Data'!B205) &lt; 255,LEN('Raw Data'!B205)&gt; 0),"",_xlfn.REGEXEXTRACT(CELL("address",'Raw Data'!B205),"\$([A-Z]+)\$[0-9]+")))</f>
        <v/>
      </c>
      <c r="D205" t="str" cm="1">
        <f t="array" aca="1" ref="D205" ca="1">IF('Raw Data'!C205 = "","",IF(AND(LEN('Raw Data'!C205) &lt; 255,LEN('Raw Data'!C205)&gt; 0),"",_xlfn.REGEXEXTRACT(CELL("address",'Raw Data'!C205),"\$([A-Z]+)\$[0-9]+")))</f>
        <v/>
      </c>
      <c r="E205" t="str" cm="1">
        <f t="array" aca="1" ref="E205" ca="1">IF('Raw Data'!D205 = "","",IF(AND(LEN('Raw Data'!D205) &lt; 255,LEN('Raw Data'!D205)&gt; 0),"",_xlfn.REGEXEXTRACT(CELL("address",'Raw Data'!D205),"\$([A-Z]+)\$[0-9]+")))</f>
        <v/>
      </c>
    </row>
    <row r="206" spans="2:5" x14ac:dyDescent="0.25">
      <c r="B206" t="str" cm="1">
        <f t="array" aca="1" ref="B206" ca="1">IF('Raw Data'!B206 = "","",IF(AND(LEN('Raw Data'!B206) &lt; 255,LEN('Raw Data'!B206)&gt; 0),"",_xlfn.REGEXEXTRACT(CELL("address",'Raw Data'!B206),"\$([A-Z]+)\$[0-9]+")))</f>
        <v/>
      </c>
      <c r="D206" t="str" cm="1">
        <f t="array" aca="1" ref="D206" ca="1">IF('Raw Data'!C206 = "","",IF(AND(LEN('Raw Data'!C206) &lt; 255,LEN('Raw Data'!C206)&gt; 0),"",_xlfn.REGEXEXTRACT(CELL("address",'Raw Data'!C206),"\$([A-Z]+)\$[0-9]+")))</f>
        <v/>
      </c>
      <c r="E206" t="str" cm="1">
        <f t="array" aca="1" ref="E206" ca="1">IF('Raw Data'!D206 = "","",IF(AND(LEN('Raw Data'!D206) &lt; 255,LEN('Raw Data'!D206)&gt; 0),"",_xlfn.REGEXEXTRACT(CELL("address",'Raw Data'!D206),"\$([A-Z]+)\$[0-9]+")))</f>
        <v/>
      </c>
    </row>
    <row r="207" spans="2:5" x14ac:dyDescent="0.25">
      <c r="B207" t="str" cm="1">
        <f t="array" aca="1" ref="B207" ca="1">IF('Raw Data'!B207 = "","",IF(AND(LEN('Raw Data'!B207) &lt; 255,LEN('Raw Data'!B207)&gt; 0),"",_xlfn.REGEXEXTRACT(CELL("address",'Raw Data'!B207),"\$([A-Z]+)\$[0-9]+")))</f>
        <v/>
      </c>
      <c r="D207" t="str" cm="1">
        <f t="array" aca="1" ref="D207" ca="1">IF('Raw Data'!C207 = "","",IF(AND(LEN('Raw Data'!C207) &lt; 255,LEN('Raw Data'!C207)&gt; 0),"",_xlfn.REGEXEXTRACT(CELL("address",'Raw Data'!C207),"\$([A-Z]+)\$[0-9]+")))</f>
        <v/>
      </c>
      <c r="E207" t="str" cm="1">
        <f t="array" aca="1" ref="E207" ca="1">IF('Raw Data'!D207 = "","",IF(AND(LEN('Raw Data'!D207) &lt; 255,LEN('Raw Data'!D207)&gt; 0),"",_xlfn.REGEXEXTRACT(CELL("address",'Raw Data'!D207),"\$([A-Z]+)\$[0-9]+")))</f>
        <v/>
      </c>
    </row>
    <row r="208" spans="2:5" x14ac:dyDescent="0.25">
      <c r="B208" t="str" cm="1">
        <f t="array" aca="1" ref="B208" ca="1">IF('Raw Data'!B208 = "","",IF(AND(LEN('Raw Data'!B208) &lt; 255,LEN('Raw Data'!B208)&gt; 0),"",_xlfn.REGEXEXTRACT(CELL("address",'Raw Data'!B208),"\$([A-Z]+)\$[0-9]+")))</f>
        <v/>
      </c>
      <c r="D208" t="str" cm="1">
        <f t="array" aca="1" ref="D208" ca="1">IF('Raw Data'!C208 = "","",IF(AND(LEN('Raw Data'!C208) &lt; 255,LEN('Raw Data'!C208)&gt; 0),"",_xlfn.REGEXEXTRACT(CELL("address",'Raw Data'!C208),"\$([A-Z]+)\$[0-9]+")))</f>
        <v/>
      </c>
      <c r="E208" t="str" cm="1">
        <f t="array" aca="1" ref="E208" ca="1">IF('Raw Data'!D208 = "","",IF(AND(LEN('Raw Data'!D208) &lt; 255,LEN('Raw Data'!D208)&gt; 0),"",_xlfn.REGEXEXTRACT(CELL("address",'Raw Data'!D208),"\$([A-Z]+)\$[0-9]+")))</f>
        <v/>
      </c>
    </row>
    <row r="209" spans="2:5" x14ac:dyDescent="0.25">
      <c r="B209" t="str" cm="1">
        <f t="array" aca="1" ref="B209" ca="1">IF('Raw Data'!B209 = "","",IF(AND(LEN('Raw Data'!B209) &lt; 255,LEN('Raw Data'!B209)&gt; 0),"",_xlfn.REGEXEXTRACT(CELL("address",'Raw Data'!B209),"\$([A-Z]+)\$[0-9]+")))</f>
        <v/>
      </c>
      <c r="D209" t="str" cm="1">
        <f t="array" aca="1" ref="D209" ca="1">IF('Raw Data'!C209 = "","",IF(AND(LEN('Raw Data'!C209) &lt; 255,LEN('Raw Data'!C209)&gt; 0),"",_xlfn.REGEXEXTRACT(CELL("address",'Raw Data'!C209),"\$([A-Z]+)\$[0-9]+")))</f>
        <v/>
      </c>
      <c r="E209" t="str" cm="1">
        <f t="array" aca="1" ref="E209" ca="1">IF('Raw Data'!D209 = "","",IF(AND(LEN('Raw Data'!D209) &lt; 255,LEN('Raw Data'!D209)&gt; 0),"",_xlfn.REGEXEXTRACT(CELL("address",'Raw Data'!D209),"\$([A-Z]+)\$[0-9]+")))</f>
        <v/>
      </c>
    </row>
    <row r="210" spans="2:5" x14ac:dyDescent="0.25">
      <c r="B210" t="str" cm="1">
        <f t="array" aca="1" ref="B210" ca="1">IF('Raw Data'!B210 = "","",IF(AND(LEN('Raw Data'!B210) &lt; 255,LEN('Raw Data'!B210)&gt; 0),"",_xlfn.REGEXEXTRACT(CELL("address",'Raw Data'!B210),"\$([A-Z]+)\$[0-9]+")))</f>
        <v/>
      </c>
      <c r="D210" t="str" cm="1">
        <f t="array" aca="1" ref="D210" ca="1">IF('Raw Data'!C210 = "","",IF(AND(LEN('Raw Data'!C210) &lt; 255,LEN('Raw Data'!C210)&gt; 0),"",_xlfn.REGEXEXTRACT(CELL("address",'Raw Data'!C210),"\$([A-Z]+)\$[0-9]+")))</f>
        <v/>
      </c>
      <c r="E210" t="str" cm="1">
        <f t="array" aca="1" ref="E210" ca="1">IF('Raw Data'!D210 = "","",IF(AND(LEN('Raw Data'!D210) &lt; 255,LEN('Raw Data'!D210)&gt; 0),"",_xlfn.REGEXEXTRACT(CELL("address",'Raw Data'!D210),"\$([A-Z]+)\$[0-9]+")))</f>
        <v/>
      </c>
    </row>
    <row r="211" spans="2:5" x14ac:dyDescent="0.25">
      <c r="B211" t="str" cm="1">
        <f t="array" aca="1" ref="B211" ca="1">IF('Raw Data'!B211 = "","",IF(AND(LEN('Raw Data'!B211) &lt; 255,LEN('Raw Data'!B211)&gt; 0),"",_xlfn.REGEXEXTRACT(CELL("address",'Raw Data'!B211),"\$([A-Z]+)\$[0-9]+")))</f>
        <v/>
      </c>
      <c r="D211" t="str" cm="1">
        <f t="array" aca="1" ref="D211" ca="1">IF('Raw Data'!C211 = "","",IF(AND(LEN('Raw Data'!C211) &lt; 255,LEN('Raw Data'!C211)&gt; 0),"",_xlfn.REGEXEXTRACT(CELL("address",'Raw Data'!C211),"\$([A-Z]+)\$[0-9]+")))</f>
        <v/>
      </c>
      <c r="E211" t="str" cm="1">
        <f t="array" aca="1" ref="E211" ca="1">IF('Raw Data'!D211 = "","",IF(AND(LEN('Raw Data'!D211) &lt; 255,LEN('Raw Data'!D211)&gt; 0),"",_xlfn.REGEXEXTRACT(CELL("address",'Raw Data'!D211),"\$([A-Z]+)\$[0-9]+")))</f>
        <v/>
      </c>
    </row>
    <row r="212" spans="2:5" x14ac:dyDescent="0.25">
      <c r="B212" t="str" cm="1">
        <f t="array" aca="1" ref="B212" ca="1">IF('Raw Data'!B212 = "","",IF(AND(LEN('Raw Data'!B212) &lt; 255,LEN('Raw Data'!B212)&gt; 0),"",_xlfn.REGEXEXTRACT(CELL("address",'Raw Data'!B212),"\$([A-Z]+)\$[0-9]+")))</f>
        <v/>
      </c>
      <c r="D212" t="str" cm="1">
        <f t="array" aca="1" ref="D212" ca="1">IF('Raw Data'!C212 = "","",IF(AND(LEN('Raw Data'!C212) &lt; 255,LEN('Raw Data'!C212)&gt; 0),"",_xlfn.REGEXEXTRACT(CELL("address",'Raw Data'!C212),"\$([A-Z]+)\$[0-9]+")))</f>
        <v/>
      </c>
      <c r="E212" t="str" cm="1">
        <f t="array" aca="1" ref="E212" ca="1">IF('Raw Data'!D212 = "","",IF(AND(LEN('Raw Data'!D212) &lt; 255,LEN('Raw Data'!D212)&gt; 0),"",_xlfn.REGEXEXTRACT(CELL("address",'Raw Data'!D212),"\$([A-Z]+)\$[0-9]+")))</f>
        <v/>
      </c>
    </row>
    <row r="213" spans="2:5" x14ac:dyDescent="0.25">
      <c r="B213" t="str" cm="1">
        <f t="array" aca="1" ref="B213" ca="1">IF('Raw Data'!B213 = "","",IF(AND(LEN('Raw Data'!B213) &lt; 255,LEN('Raw Data'!B213)&gt; 0),"",_xlfn.REGEXEXTRACT(CELL("address",'Raw Data'!B213),"\$([A-Z]+)\$[0-9]+")))</f>
        <v/>
      </c>
      <c r="D213" t="str" cm="1">
        <f t="array" aca="1" ref="D213" ca="1">IF('Raw Data'!C213 = "","",IF(AND(LEN('Raw Data'!C213) &lt; 255,LEN('Raw Data'!C213)&gt; 0),"",_xlfn.REGEXEXTRACT(CELL("address",'Raw Data'!C213),"\$([A-Z]+)\$[0-9]+")))</f>
        <v/>
      </c>
      <c r="E213" t="str" cm="1">
        <f t="array" aca="1" ref="E213" ca="1">IF('Raw Data'!D213 = "","",IF(AND(LEN('Raw Data'!D213) &lt; 255,LEN('Raw Data'!D213)&gt; 0),"",_xlfn.REGEXEXTRACT(CELL("address",'Raw Data'!D213),"\$([A-Z]+)\$[0-9]+")))</f>
        <v/>
      </c>
    </row>
    <row r="214" spans="2:5" x14ac:dyDescent="0.25">
      <c r="B214" t="str" cm="1">
        <f t="array" aca="1" ref="B214" ca="1">IF('Raw Data'!B214 = "","",IF(AND(LEN('Raw Data'!B214) &lt; 255,LEN('Raw Data'!B214)&gt; 0),"",_xlfn.REGEXEXTRACT(CELL("address",'Raw Data'!B214),"\$([A-Z]+)\$[0-9]+")))</f>
        <v/>
      </c>
      <c r="D214" t="str" cm="1">
        <f t="array" aca="1" ref="D214" ca="1">IF('Raw Data'!C214 = "","",IF(AND(LEN('Raw Data'!C214) &lt; 255,LEN('Raw Data'!C214)&gt; 0),"",_xlfn.REGEXEXTRACT(CELL("address",'Raw Data'!C214),"\$([A-Z]+)\$[0-9]+")))</f>
        <v/>
      </c>
      <c r="E214" t="str" cm="1">
        <f t="array" aca="1" ref="E214" ca="1">IF('Raw Data'!D214 = "","",IF(AND(LEN('Raw Data'!D214) &lt; 255,LEN('Raw Data'!D214)&gt; 0),"",_xlfn.REGEXEXTRACT(CELL("address",'Raw Data'!D214),"\$([A-Z]+)\$[0-9]+")))</f>
        <v/>
      </c>
    </row>
    <row r="215" spans="2:5" x14ac:dyDescent="0.25">
      <c r="B215" t="str" cm="1">
        <f t="array" aca="1" ref="B215" ca="1">IF('Raw Data'!B215 = "","",IF(AND(LEN('Raw Data'!B215) &lt; 255,LEN('Raw Data'!B215)&gt; 0),"",_xlfn.REGEXEXTRACT(CELL("address",'Raw Data'!B215),"\$([A-Z]+)\$[0-9]+")))</f>
        <v/>
      </c>
      <c r="D215" t="str" cm="1">
        <f t="array" aca="1" ref="D215" ca="1">IF('Raw Data'!C215 = "","",IF(AND(LEN('Raw Data'!C215) &lt; 255,LEN('Raw Data'!C215)&gt; 0),"",_xlfn.REGEXEXTRACT(CELL("address",'Raw Data'!C215),"\$([A-Z]+)\$[0-9]+")))</f>
        <v/>
      </c>
      <c r="E215" t="str" cm="1">
        <f t="array" aca="1" ref="E215" ca="1">IF('Raw Data'!D215 = "","",IF(AND(LEN('Raw Data'!D215) &lt; 255,LEN('Raw Data'!D215)&gt; 0),"",_xlfn.REGEXEXTRACT(CELL("address",'Raw Data'!D215),"\$([A-Z]+)\$[0-9]+")))</f>
        <v/>
      </c>
    </row>
    <row r="216" spans="2:5" x14ac:dyDescent="0.25">
      <c r="B216" t="str" cm="1">
        <f t="array" aca="1" ref="B216" ca="1">IF('Raw Data'!B216 = "","",IF(AND(LEN('Raw Data'!B216) &lt; 255,LEN('Raw Data'!B216)&gt; 0),"",_xlfn.REGEXEXTRACT(CELL("address",'Raw Data'!B216),"\$([A-Z]+)\$[0-9]+")))</f>
        <v/>
      </c>
      <c r="D216" t="str" cm="1">
        <f t="array" aca="1" ref="D216" ca="1">IF('Raw Data'!C216 = "","",IF(AND(LEN('Raw Data'!C216) &lt; 255,LEN('Raw Data'!C216)&gt; 0),"",_xlfn.REGEXEXTRACT(CELL("address",'Raw Data'!C216),"\$([A-Z]+)\$[0-9]+")))</f>
        <v/>
      </c>
      <c r="E216" t="str" cm="1">
        <f t="array" aca="1" ref="E216" ca="1">IF('Raw Data'!D216 = "","",IF(AND(LEN('Raw Data'!D216) &lt; 255,LEN('Raw Data'!D216)&gt; 0),"",_xlfn.REGEXEXTRACT(CELL("address",'Raw Data'!D216),"\$([A-Z]+)\$[0-9]+")))</f>
        <v/>
      </c>
    </row>
    <row r="217" spans="2:5" x14ac:dyDescent="0.25">
      <c r="B217" t="str" cm="1">
        <f t="array" aca="1" ref="B217" ca="1">IF('Raw Data'!B217 = "","",IF(AND(LEN('Raw Data'!B217) &lt; 255,LEN('Raw Data'!B217)&gt; 0),"",_xlfn.REGEXEXTRACT(CELL("address",'Raw Data'!B217),"\$([A-Z]+)\$[0-9]+")))</f>
        <v/>
      </c>
      <c r="D217" t="str" cm="1">
        <f t="array" aca="1" ref="D217" ca="1">IF('Raw Data'!C217 = "","",IF(AND(LEN('Raw Data'!C217) &lt; 255,LEN('Raw Data'!C217)&gt; 0),"",_xlfn.REGEXEXTRACT(CELL("address",'Raw Data'!C217),"\$([A-Z]+)\$[0-9]+")))</f>
        <v/>
      </c>
      <c r="E217" t="str" cm="1">
        <f t="array" aca="1" ref="E217" ca="1">IF('Raw Data'!D217 = "","",IF(AND(LEN('Raw Data'!D217) &lt; 255,LEN('Raw Data'!D217)&gt; 0),"",_xlfn.REGEXEXTRACT(CELL("address",'Raw Data'!D217),"\$([A-Z]+)\$[0-9]+")))</f>
        <v/>
      </c>
    </row>
    <row r="218" spans="2:5" x14ac:dyDescent="0.25">
      <c r="B218" t="str" cm="1">
        <f t="array" aca="1" ref="B218" ca="1">IF('Raw Data'!B218 = "","",IF(AND(LEN('Raw Data'!B218) &lt; 255,LEN('Raw Data'!B218)&gt; 0),"",_xlfn.REGEXEXTRACT(CELL("address",'Raw Data'!B218),"\$([A-Z]+)\$[0-9]+")))</f>
        <v/>
      </c>
      <c r="D218" t="str" cm="1">
        <f t="array" aca="1" ref="D218" ca="1">IF('Raw Data'!C218 = "","",IF(AND(LEN('Raw Data'!C218) &lt; 255,LEN('Raw Data'!C218)&gt; 0),"",_xlfn.REGEXEXTRACT(CELL("address",'Raw Data'!C218),"\$([A-Z]+)\$[0-9]+")))</f>
        <v/>
      </c>
      <c r="E218" t="str" cm="1">
        <f t="array" aca="1" ref="E218" ca="1">IF('Raw Data'!D218 = "","",IF(AND(LEN('Raw Data'!D218) &lt; 255,LEN('Raw Data'!D218)&gt; 0),"",_xlfn.REGEXEXTRACT(CELL("address",'Raw Data'!D218),"\$([A-Z]+)\$[0-9]+")))</f>
        <v/>
      </c>
    </row>
    <row r="219" spans="2:5" x14ac:dyDescent="0.25">
      <c r="B219" t="str" cm="1">
        <f t="array" aca="1" ref="B219" ca="1">IF('Raw Data'!B219 = "","",IF(AND(LEN('Raw Data'!B219) &lt; 255,LEN('Raw Data'!B219)&gt; 0),"",_xlfn.REGEXEXTRACT(CELL("address",'Raw Data'!B219),"\$([A-Z]+)\$[0-9]+")))</f>
        <v/>
      </c>
      <c r="D219" t="str" cm="1">
        <f t="array" aca="1" ref="D219" ca="1">IF('Raw Data'!C219 = "","",IF(AND(LEN('Raw Data'!C219) &lt; 255,LEN('Raw Data'!C219)&gt; 0),"",_xlfn.REGEXEXTRACT(CELL("address",'Raw Data'!C219),"\$([A-Z]+)\$[0-9]+")))</f>
        <v/>
      </c>
      <c r="E219" t="str" cm="1">
        <f t="array" aca="1" ref="E219" ca="1">IF('Raw Data'!D219 = "","",IF(AND(LEN('Raw Data'!D219) &lt; 255,LEN('Raw Data'!D219)&gt; 0),"",_xlfn.REGEXEXTRACT(CELL("address",'Raw Data'!D219),"\$([A-Z]+)\$[0-9]+")))</f>
        <v/>
      </c>
    </row>
    <row r="220" spans="2:5" x14ac:dyDescent="0.25">
      <c r="B220" t="str" cm="1">
        <f t="array" aca="1" ref="B220" ca="1">IF('Raw Data'!B220 = "","",IF(AND(LEN('Raw Data'!B220) &lt; 255,LEN('Raw Data'!B220)&gt; 0),"",_xlfn.REGEXEXTRACT(CELL("address",'Raw Data'!B220),"\$([A-Z]+)\$[0-9]+")))</f>
        <v/>
      </c>
      <c r="D220" t="str" cm="1">
        <f t="array" aca="1" ref="D220" ca="1">IF('Raw Data'!C220 = "","",IF(AND(LEN('Raw Data'!C220) &lt; 255,LEN('Raw Data'!C220)&gt; 0),"",_xlfn.REGEXEXTRACT(CELL("address",'Raw Data'!C220),"\$([A-Z]+)\$[0-9]+")))</f>
        <v/>
      </c>
      <c r="E220" t="str" cm="1">
        <f t="array" aca="1" ref="E220" ca="1">IF('Raw Data'!D220 = "","",IF(AND(LEN('Raw Data'!D220) &lt; 255,LEN('Raw Data'!D220)&gt; 0),"",_xlfn.REGEXEXTRACT(CELL("address",'Raw Data'!D220),"\$([A-Z]+)\$[0-9]+")))</f>
        <v/>
      </c>
    </row>
    <row r="221" spans="2:5" x14ac:dyDescent="0.25">
      <c r="B221" t="str" cm="1">
        <f t="array" aca="1" ref="B221" ca="1">IF('Raw Data'!B221 = "","",IF(AND(LEN('Raw Data'!B221) &lt; 255,LEN('Raw Data'!B221)&gt; 0),"",_xlfn.REGEXEXTRACT(CELL("address",'Raw Data'!B221),"\$([A-Z]+)\$[0-9]+")))</f>
        <v/>
      </c>
      <c r="D221" t="str" cm="1">
        <f t="array" aca="1" ref="D221" ca="1">IF('Raw Data'!C221 = "","",IF(AND(LEN('Raw Data'!C221) &lt; 255,LEN('Raw Data'!C221)&gt; 0),"",_xlfn.REGEXEXTRACT(CELL("address",'Raw Data'!C221),"\$([A-Z]+)\$[0-9]+")))</f>
        <v/>
      </c>
      <c r="E221" t="str" cm="1">
        <f t="array" aca="1" ref="E221" ca="1">IF('Raw Data'!D221 = "","",IF(AND(LEN('Raw Data'!D221) &lt; 255,LEN('Raw Data'!D221)&gt; 0),"",_xlfn.REGEXEXTRACT(CELL("address",'Raw Data'!D221),"\$([A-Z]+)\$[0-9]+")))</f>
        <v/>
      </c>
    </row>
    <row r="222" spans="2:5" x14ac:dyDescent="0.25">
      <c r="B222" t="str" cm="1">
        <f t="array" aca="1" ref="B222" ca="1">IF('Raw Data'!B222 = "","",IF(AND(LEN('Raw Data'!B222) &lt; 255,LEN('Raw Data'!B222)&gt; 0),"",_xlfn.REGEXEXTRACT(CELL("address",'Raw Data'!B222),"\$([A-Z]+)\$[0-9]+")))</f>
        <v/>
      </c>
      <c r="D222" t="str" cm="1">
        <f t="array" aca="1" ref="D222" ca="1">IF('Raw Data'!C222 = "","",IF(AND(LEN('Raw Data'!C222) &lt; 255,LEN('Raw Data'!C222)&gt; 0),"",_xlfn.REGEXEXTRACT(CELL("address",'Raw Data'!C222),"\$([A-Z]+)\$[0-9]+")))</f>
        <v/>
      </c>
      <c r="E222" t="str" cm="1">
        <f t="array" aca="1" ref="E222" ca="1">IF('Raw Data'!D222 = "","",IF(AND(LEN('Raw Data'!D222) &lt; 255,LEN('Raw Data'!D222)&gt; 0),"",_xlfn.REGEXEXTRACT(CELL("address",'Raw Data'!D222),"\$([A-Z]+)\$[0-9]+")))</f>
        <v/>
      </c>
    </row>
    <row r="223" spans="2:5" x14ac:dyDescent="0.25">
      <c r="B223" t="str" cm="1">
        <f t="array" aca="1" ref="B223" ca="1">IF('Raw Data'!B223 = "","",IF(AND(LEN('Raw Data'!B223) &lt; 255,LEN('Raw Data'!B223)&gt; 0),"",_xlfn.REGEXEXTRACT(CELL("address",'Raw Data'!B223),"\$([A-Z]+)\$[0-9]+")))</f>
        <v/>
      </c>
      <c r="D223" t="str" cm="1">
        <f t="array" aca="1" ref="D223" ca="1">IF('Raw Data'!C223 = "","",IF(AND(LEN('Raw Data'!C223) &lt; 255,LEN('Raw Data'!C223)&gt; 0),"",_xlfn.REGEXEXTRACT(CELL("address",'Raw Data'!C223),"\$([A-Z]+)\$[0-9]+")))</f>
        <v/>
      </c>
      <c r="E223" t="str" cm="1">
        <f t="array" aca="1" ref="E223" ca="1">IF('Raw Data'!D223 = "","",IF(AND(LEN('Raw Data'!D223) &lt; 255,LEN('Raw Data'!D223)&gt; 0),"",_xlfn.REGEXEXTRACT(CELL("address",'Raw Data'!D223),"\$([A-Z]+)\$[0-9]+")))</f>
        <v/>
      </c>
    </row>
    <row r="224" spans="2:5" x14ac:dyDescent="0.25">
      <c r="B224" t="str" cm="1">
        <f t="array" aca="1" ref="B224" ca="1">IF('Raw Data'!B224 = "","",IF(AND(LEN('Raw Data'!B224) &lt; 255,LEN('Raw Data'!B224)&gt; 0),"",_xlfn.REGEXEXTRACT(CELL("address",'Raw Data'!B224),"\$([A-Z]+)\$[0-9]+")))</f>
        <v/>
      </c>
      <c r="D224" t="str" cm="1">
        <f t="array" aca="1" ref="D224" ca="1">IF('Raw Data'!C224 = "","",IF(AND(LEN('Raw Data'!C224) &lt; 255,LEN('Raw Data'!C224)&gt; 0),"",_xlfn.REGEXEXTRACT(CELL("address",'Raw Data'!C224),"\$([A-Z]+)\$[0-9]+")))</f>
        <v/>
      </c>
      <c r="E224" t="str" cm="1">
        <f t="array" aca="1" ref="E224" ca="1">IF('Raw Data'!D224 = "","",IF(AND(LEN('Raw Data'!D224) &lt; 255,LEN('Raw Data'!D224)&gt; 0),"",_xlfn.REGEXEXTRACT(CELL("address",'Raw Data'!D224),"\$([A-Z]+)\$[0-9]+")))</f>
        <v/>
      </c>
    </row>
    <row r="225" spans="2:5" x14ac:dyDescent="0.25">
      <c r="B225" t="str" cm="1">
        <f t="array" aca="1" ref="B225" ca="1">IF('Raw Data'!B225 = "","",IF(AND(LEN('Raw Data'!B225) &lt; 255,LEN('Raw Data'!B225)&gt; 0),"",_xlfn.REGEXEXTRACT(CELL("address",'Raw Data'!B225),"\$([A-Z]+)\$[0-9]+")))</f>
        <v/>
      </c>
      <c r="D225" t="str" cm="1">
        <f t="array" aca="1" ref="D225" ca="1">IF('Raw Data'!C225 = "","",IF(AND(LEN('Raw Data'!C225) &lt; 255,LEN('Raw Data'!C225)&gt; 0),"",_xlfn.REGEXEXTRACT(CELL("address",'Raw Data'!C225),"\$([A-Z]+)\$[0-9]+")))</f>
        <v/>
      </c>
      <c r="E225" t="str" cm="1">
        <f t="array" aca="1" ref="E225" ca="1">IF('Raw Data'!D225 = "","",IF(AND(LEN('Raw Data'!D225) &lt; 255,LEN('Raw Data'!D225)&gt; 0),"",_xlfn.REGEXEXTRACT(CELL("address",'Raw Data'!D225),"\$([A-Z]+)\$[0-9]+")))</f>
        <v/>
      </c>
    </row>
    <row r="226" spans="2:5" x14ac:dyDescent="0.25">
      <c r="B226" t="str" cm="1">
        <f t="array" aca="1" ref="B226" ca="1">IF('Raw Data'!B226 = "","",IF(AND(LEN('Raw Data'!B226) &lt; 255,LEN('Raw Data'!B226)&gt; 0),"",_xlfn.REGEXEXTRACT(CELL("address",'Raw Data'!B226),"\$([A-Z]+)\$[0-9]+")))</f>
        <v/>
      </c>
      <c r="D226" t="str" cm="1">
        <f t="array" aca="1" ref="D226" ca="1">IF('Raw Data'!C226 = "","",IF(AND(LEN('Raw Data'!C226) &lt; 255,LEN('Raw Data'!C226)&gt; 0),"",_xlfn.REGEXEXTRACT(CELL("address",'Raw Data'!C226),"\$([A-Z]+)\$[0-9]+")))</f>
        <v/>
      </c>
      <c r="E226" t="str" cm="1">
        <f t="array" aca="1" ref="E226" ca="1">IF('Raw Data'!D226 = "","",IF(AND(LEN('Raw Data'!D226) &lt; 255,LEN('Raw Data'!D226)&gt; 0),"",_xlfn.REGEXEXTRACT(CELL("address",'Raw Data'!D226),"\$([A-Z]+)\$[0-9]+")))</f>
        <v/>
      </c>
    </row>
    <row r="227" spans="2:5" x14ac:dyDescent="0.25">
      <c r="B227" t="str" cm="1">
        <f t="array" aca="1" ref="B227" ca="1">IF('Raw Data'!B227 = "","",IF(AND(LEN('Raw Data'!B227) &lt; 255,LEN('Raw Data'!B227)&gt; 0),"",_xlfn.REGEXEXTRACT(CELL("address",'Raw Data'!B227),"\$([A-Z]+)\$[0-9]+")))</f>
        <v/>
      </c>
      <c r="D227" t="str" cm="1">
        <f t="array" aca="1" ref="D227" ca="1">IF('Raw Data'!C227 = "","",IF(AND(LEN('Raw Data'!C227) &lt; 255,LEN('Raw Data'!C227)&gt; 0),"",_xlfn.REGEXEXTRACT(CELL("address",'Raw Data'!C227),"\$([A-Z]+)\$[0-9]+")))</f>
        <v/>
      </c>
      <c r="E227" t="str" cm="1">
        <f t="array" aca="1" ref="E227" ca="1">IF('Raw Data'!D227 = "","",IF(AND(LEN('Raw Data'!D227) &lt; 255,LEN('Raw Data'!D227)&gt; 0),"",_xlfn.REGEXEXTRACT(CELL("address",'Raw Data'!D227),"\$([A-Z]+)\$[0-9]+")))</f>
        <v/>
      </c>
    </row>
    <row r="228" spans="2:5" x14ac:dyDescent="0.25">
      <c r="B228" t="str" cm="1">
        <f t="array" aca="1" ref="B228" ca="1">IF('Raw Data'!B228 = "","",IF(AND(LEN('Raw Data'!B228) &lt; 255,LEN('Raw Data'!B228)&gt; 0),"",_xlfn.REGEXEXTRACT(CELL("address",'Raw Data'!B228),"\$([A-Z]+)\$[0-9]+")))</f>
        <v/>
      </c>
      <c r="D228" t="str" cm="1">
        <f t="array" aca="1" ref="D228" ca="1">IF('Raw Data'!C228 = "","",IF(AND(LEN('Raw Data'!C228) &lt; 255,LEN('Raw Data'!C228)&gt; 0),"",_xlfn.REGEXEXTRACT(CELL("address",'Raw Data'!C228),"\$([A-Z]+)\$[0-9]+")))</f>
        <v/>
      </c>
      <c r="E228" t="str" cm="1">
        <f t="array" aca="1" ref="E228" ca="1">IF('Raw Data'!D228 = "","",IF(AND(LEN('Raw Data'!D228) &lt; 255,LEN('Raw Data'!D228)&gt; 0),"",_xlfn.REGEXEXTRACT(CELL("address",'Raw Data'!D228),"\$([A-Z]+)\$[0-9]+")))</f>
        <v/>
      </c>
    </row>
    <row r="229" spans="2:5" x14ac:dyDescent="0.25">
      <c r="B229" t="str" cm="1">
        <f t="array" aca="1" ref="B229" ca="1">IF('Raw Data'!B229 = "","",IF(AND(LEN('Raw Data'!B229) &lt; 255,LEN('Raw Data'!B229)&gt; 0),"",_xlfn.REGEXEXTRACT(CELL("address",'Raw Data'!B229),"\$([A-Z]+)\$[0-9]+")))</f>
        <v/>
      </c>
      <c r="D229" t="str" cm="1">
        <f t="array" aca="1" ref="D229" ca="1">IF('Raw Data'!C229 = "","",IF(AND(LEN('Raw Data'!C229) &lt; 255,LEN('Raw Data'!C229)&gt; 0),"",_xlfn.REGEXEXTRACT(CELL("address",'Raw Data'!C229),"\$([A-Z]+)\$[0-9]+")))</f>
        <v/>
      </c>
      <c r="E229" t="str" cm="1">
        <f t="array" aca="1" ref="E229" ca="1">IF('Raw Data'!D229 = "","",IF(AND(LEN('Raw Data'!D229) &lt; 255,LEN('Raw Data'!D229)&gt; 0),"",_xlfn.REGEXEXTRACT(CELL("address",'Raw Data'!D229),"\$([A-Z]+)\$[0-9]+")))</f>
        <v/>
      </c>
    </row>
    <row r="230" spans="2:5" x14ac:dyDescent="0.25">
      <c r="B230" t="str" cm="1">
        <f t="array" aca="1" ref="B230" ca="1">IF('Raw Data'!B230 = "","",IF(AND(LEN('Raw Data'!B230) &lt; 255,LEN('Raw Data'!B230)&gt; 0),"",_xlfn.REGEXEXTRACT(CELL("address",'Raw Data'!B230),"\$([A-Z]+)\$[0-9]+")))</f>
        <v/>
      </c>
      <c r="D230" t="str" cm="1">
        <f t="array" aca="1" ref="D230" ca="1">IF('Raw Data'!C230 = "","",IF(AND(LEN('Raw Data'!C230) &lt; 255,LEN('Raw Data'!C230)&gt; 0),"",_xlfn.REGEXEXTRACT(CELL("address",'Raw Data'!C230),"\$([A-Z]+)\$[0-9]+")))</f>
        <v/>
      </c>
      <c r="E230" t="str" cm="1">
        <f t="array" aca="1" ref="E230" ca="1">IF('Raw Data'!D230 = "","",IF(AND(LEN('Raw Data'!D230) &lt; 255,LEN('Raw Data'!D230)&gt; 0),"",_xlfn.REGEXEXTRACT(CELL("address",'Raw Data'!D230),"\$([A-Z]+)\$[0-9]+")))</f>
        <v/>
      </c>
    </row>
    <row r="231" spans="2:5" x14ac:dyDescent="0.25">
      <c r="B231" t="str" cm="1">
        <f t="array" aca="1" ref="B231" ca="1">IF('Raw Data'!B231 = "","",IF(AND(LEN('Raw Data'!B231) &lt; 255,LEN('Raw Data'!B231)&gt; 0),"",_xlfn.REGEXEXTRACT(CELL("address",'Raw Data'!B231),"\$([A-Z]+)\$[0-9]+")))</f>
        <v/>
      </c>
      <c r="D231" t="str" cm="1">
        <f t="array" aca="1" ref="D231" ca="1">IF('Raw Data'!C231 = "","",IF(AND(LEN('Raw Data'!C231) &lt; 255,LEN('Raw Data'!C231)&gt; 0),"",_xlfn.REGEXEXTRACT(CELL("address",'Raw Data'!C231),"\$([A-Z]+)\$[0-9]+")))</f>
        <v/>
      </c>
      <c r="E231" t="str" cm="1">
        <f t="array" aca="1" ref="E231" ca="1">IF('Raw Data'!D231 = "","",IF(AND(LEN('Raw Data'!D231) &lt; 255,LEN('Raw Data'!D231)&gt; 0),"",_xlfn.REGEXEXTRACT(CELL("address",'Raw Data'!D231),"\$([A-Z]+)\$[0-9]+")))</f>
        <v/>
      </c>
    </row>
    <row r="232" spans="2:5" x14ac:dyDescent="0.25">
      <c r="B232" t="str" cm="1">
        <f t="array" aca="1" ref="B232" ca="1">IF('Raw Data'!B232 = "","",IF(AND(LEN('Raw Data'!B232) &lt; 255,LEN('Raw Data'!B232)&gt; 0),"",_xlfn.REGEXEXTRACT(CELL("address",'Raw Data'!B232),"\$([A-Z]+)\$[0-9]+")))</f>
        <v/>
      </c>
      <c r="D232" t="str" cm="1">
        <f t="array" aca="1" ref="D232" ca="1">IF('Raw Data'!C232 = "","",IF(AND(LEN('Raw Data'!C232) &lt; 255,LEN('Raw Data'!C232)&gt; 0),"",_xlfn.REGEXEXTRACT(CELL("address",'Raw Data'!C232),"\$([A-Z]+)\$[0-9]+")))</f>
        <v/>
      </c>
      <c r="E232" t="str" cm="1">
        <f t="array" aca="1" ref="E232" ca="1">IF('Raw Data'!D232 = "","",IF(AND(LEN('Raw Data'!D232) &lt; 255,LEN('Raw Data'!D232)&gt; 0),"",_xlfn.REGEXEXTRACT(CELL("address",'Raw Data'!D232),"\$([A-Z]+)\$[0-9]+")))</f>
        <v/>
      </c>
    </row>
    <row r="233" spans="2:5" x14ac:dyDescent="0.25">
      <c r="B233" t="str" cm="1">
        <f t="array" aca="1" ref="B233" ca="1">IF('Raw Data'!B233 = "","",IF(AND(LEN('Raw Data'!B233) &lt; 255,LEN('Raw Data'!B233)&gt; 0),"",_xlfn.REGEXEXTRACT(CELL("address",'Raw Data'!B233),"\$([A-Z]+)\$[0-9]+")))</f>
        <v/>
      </c>
      <c r="D233" t="str" cm="1">
        <f t="array" aca="1" ref="D233" ca="1">IF('Raw Data'!C233 = "","",IF(AND(LEN('Raw Data'!C233) &lt; 255,LEN('Raw Data'!C233)&gt; 0),"",_xlfn.REGEXEXTRACT(CELL("address",'Raw Data'!C233),"\$([A-Z]+)\$[0-9]+")))</f>
        <v/>
      </c>
      <c r="E233" t="str" cm="1">
        <f t="array" aca="1" ref="E233" ca="1">IF('Raw Data'!D233 = "","",IF(AND(LEN('Raw Data'!D233) &lt; 255,LEN('Raw Data'!D233)&gt; 0),"",_xlfn.REGEXEXTRACT(CELL("address",'Raw Data'!D233),"\$([A-Z]+)\$[0-9]+")))</f>
        <v/>
      </c>
    </row>
    <row r="234" spans="2:5" x14ac:dyDescent="0.25">
      <c r="B234" t="str" cm="1">
        <f t="array" aca="1" ref="B234" ca="1">IF('Raw Data'!B234 = "","",IF(AND(LEN('Raw Data'!B234) &lt; 255,LEN('Raw Data'!B234)&gt; 0),"",_xlfn.REGEXEXTRACT(CELL("address",'Raw Data'!B234),"\$([A-Z]+)\$[0-9]+")))</f>
        <v/>
      </c>
      <c r="D234" t="str" cm="1">
        <f t="array" aca="1" ref="D234" ca="1">IF('Raw Data'!C234 = "","",IF(AND(LEN('Raw Data'!C234) &lt; 255,LEN('Raw Data'!C234)&gt; 0),"",_xlfn.REGEXEXTRACT(CELL("address",'Raw Data'!C234),"\$([A-Z]+)\$[0-9]+")))</f>
        <v/>
      </c>
      <c r="E234" t="str" cm="1">
        <f t="array" aca="1" ref="E234" ca="1">IF('Raw Data'!D234 = "","",IF(AND(LEN('Raw Data'!D234) &lt; 255,LEN('Raw Data'!D234)&gt; 0),"",_xlfn.REGEXEXTRACT(CELL("address",'Raw Data'!D234),"\$([A-Z]+)\$[0-9]+")))</f>
        <v/>
      </c>
    </row>
    <row r="235" spans="2:5" x14ac:dyDescent="0.25">
      <c r="B235" t="str" cm="1">
        <f t="array" aca="1" ref="B235" ca="1">IF('Raw Data'!B235 = "","",IF(AND(LEN('Raw Data'!B235) &lt; 255,LEN('Raw Data'!B235)&gt; 0),"",_xlfn.REGEXEXTRACT(CELL("address",'Raw Data'!B235),"\$([A-Z]+)\$[0-9]+")))</f>
        <v/>
      </c>
      <c r="D235" t="str" cm="1">
        <f t="array" aca="1" ref="D235" ca="1">IF('Raw Data'!C235 = "","",IF(AND(LEN('Raw Data'!C235) &lt; 255,LEN('Raw Data'!C235)&gt; 0),"",_xlfn.REGEXEXTRACT(CELL("address",'Raw Data'!C235),"\$([A-Z]+)\$[0-9]+")))</f>
        <v/>
      </c>
      <c r="E235" t="str" cm="1">
        <f t="array" aca="1" ref="E235" ca="1">IF('Raw Data'!D235 = "","",IF(AND(LEN('Raw Data'!D235) &lt; 255,LEN('Raw Data'!D235)&gt; 0),"",_xlfn.REGEXEXTRACT(CELL("address",'Raw Data'!D235),"\$([A-Z]+)\$[0-9]+")))</f>
        <v/>
      </c>
    </row>
    <row r="236" spans="2:5" x14ac:dyDescent="0.25">
      <c r="B236" t="str" cm="1">
        <f t="array" aca="1" ref="B236" ca="1">IF('Raw Data'!B236 = "","",IF(AND(LEN('Raw Data'!B236) &lt; 255,LEN('Raw Data'!B236)&gt; 0),"",_xlfn.REGEXEXTRACT(CELL("address",'Raw Data'!B236),"\$([A-Z]+)\$[0-9]+")))</f>
        <v/>
      </c>
      <c r="D236" t="str" cm="1">
        <f t="array" aca="1" ref="D236" ca="1">IF('Raw Data'!C236 = "","",IF(AND(LEN('Raw Data'!C236) &lt; 255,LEN('Raw Data'!C236)&gt; 0),"",_xlfn.REGEXEXTRACT(CELL("address",'Raw Data'!C236),"\$([A-Z]+)\$[0-9]+")))</f>
        <v/>
      </c>
      <c r="E236" t="str" cm="1">
        <f t="array" aca="1" ref="E236" ca="1">IF('Raw Data'!D236 = "","",IF(AND(LEN('Raw Data'!D236) &lt; 255,LEN('Raw Data'!D236)&gt; 0),"",_xlfn.REGEXEXTRACT(CELL("address",'Raw Data'!D236),"\$([A-Z]+)\$[0-9]+")))</f>
        <v/>
      </c>
    </row>
    <row r="237" spans="2:5" x14ac:dyDescent="0.25">
      <c r="B237" t="str" cm="1">
        <f t="array" aca="1" ref="B237" ca="1">IF('Raw Data'!B237 = "","",IF(AND(LEN('Raw Data'!B237) &lt; 255,LEN('Raw Data'!B237)&gt; 0),"",_xlfn.REGEXEXTRACT(CELL("address",'Raw Data'!B237),"\$([A-Z]+)\$[0-9]+")))</f>
        <v/>
      </c>
      <c r="D237" t="str" cm="1">
        <f t="array" aca="1" ref="D237" ca="1">IF('Raw Data'!C237 = "","",IF(AND(LEN('Raw Data'!C237) &lt; 255,LEN('Raw Data'!C237)&gt; 0),"",_xlfn.REGEXEXTRACT(CELL("address",'Raw Data'!C237),"\$([A-Z]+)\$[0-9]+")))</f>
        <v/>
      </c>
      <c r="E237" t="str" cm="1">
        <f t="array" aca="1" ref="E237" ca="1">IF('Raw Data'!D237 = "","",IF(AND(LEN('Raw Data'!D237) &lt; 255,LEN('Raw Data'!D237)&gt; 0),"",_xlfn.REGEXEXTRACT(CELL("address",'Raw Data'!D237),"\$([A-Z]+)\$[0-9]+")))</f>
        <v/>
      </c>
    </row>
    <row r="238" spans="2:5" x14ac:dyDescent="0.25">
      <c r="B238" t="str" cm="1">
        <f t="array" aca="1" ref="B238" ca="1">IF('Raw Data'!B238 = "","",IF(AND(LEN('Raw Data'!B238) &lt; 255,LEN('Raw Data'!B238)&gt; 0),"",_xlfn.REGEXEXTRACT(CELL("address",'Raw Data'!B238),"\$([A-Z]+)\$[0-9]+")))</f>
        <v/>
      </c>
      <c r="D238" t="str" cm="1">
        <f t="array" aca="1" ref="D238" ca="1">IF('Raw Data'!C238 = "","",IF(AND(LEN('Raw Data'!C238) &lt; 255,LEN('Raw Data'!C238)&gt; 0),"",_xlfn.REGEXEXTRACT(CELL("address",'Raw Data'!C238),"\$([A-Z]+)\$[0-9]+")))</f>
        <v/>
      </c>
      <c r="E238" t="str" cm="1">
        <f t="array" aca="1" ref="E238" ca="1">IF('Raw Data'!D238 = "","",IF(AND(LEN('Raw Data'!D238) &lt; 255,LEN('Raw Data'!D238)&gt; 0),"",_xlfn.REGEXEXTRACT(CELL("address",'Raw Data'!D238),"\$([A-Z]+)\$[0-9]+")))</f>
        <v/>
      </c>
    </row>
    <row r="239" spans="2:5" x14ac:dyDescent="0.25">
      <c r="B239" t="str" cm="1">
        <f t="array" aca="1" ref="B239" ca="1">IF('Raw Data'!B239 = "","",IF(AND(LEN('Raw Data'!B239) &lt; 255,LEN('Raw Data'!B239)&gt; 0),"",_xlfn.REGEXEXTRACT(CELL("address",'Raw Data'!B239),"\$([A-Z]+)\$[0-9]+")))</f>
        <v/>
      </c>
      <c r="D239" t="str" cm="1">
        <f t="array" aca="1" ref="D239" ca="1">IF('Raw Data'!C239 = "","",IF(AND(LEN('Raw Data'!C239) &lt; 255,LEN('Raw Data'!C239)&gt; 0),"",_xlfn.REGEXEXTRACT(CELL("address",'Raw Data'!C239),"\$([A-Z]+)\$[0-9]+")))</f>
        <v/>
      </c>
      <c r="E239" t="str" cm="1">
        <f t="array" aca="1" ref="E239" ca="1">IF('Raw Data'!D239 = "","",IF(AND(LEN('Raw Data'!D239) &lt; 255,LEN('Raw Data'!D239)&gt; 0),"",_xlfn.REGEXEXTRACT(CELL("address",'Raw Data'!D239),"\$([A-Z]+)\$[0-9]+")))</f>
        <v/>
      </c>
    </row>
    <row r="240" spans="2:5" x14ac:dyDescent="0.25">
      <c r="B240" t="str" cm="1">
        <f t="array" aca="1" ref="B240" ca="1">IF('Raw Data'!B240 = "","",IF(AND(LEN('Raw Data'!B240) &lt; 255,LEN('Raw Data'!B240)&gt; 0),"",_xlfn.REGEXEXTRACT(CELL("address",'Raw Data'!B240),"\$([A-Z]+)\$[0-9]+")))</f>
        <v/>
      </c>
      <c r="D240" t="str" cm="1">
        <f t="array" aca="1" ref="D240" ca="1">IF('Raw Data'!C240 = "","",IF(AND(LEN('Raw Data'!C240) &lt; 255,LEN('Raw Data'!C240)&gt; 0),"",_xlfn.REGEXEXTRACT(CELL("address",'Raw Data'!C240),"\$([A-Z]+)\$[0-9]+")))</f>
        <v/>
      </c>
      <c r="E240" t="str" cm="1">
        <f t="array" aca="1" ref="E240" ca="1">IF('Raw Data'!D240 = "","",IF(AND(LEN('Raw Data'!D240) &lt; 255,LEN('Raw Data'!D240)&gt; 0),"",_xlfn.REGEXEXTRACT(CELL("address",'Raw Data'!D240),"\$([A-Z]+)\$[0-9]+")))</f>
        <v/>
      </c>
    </row>
    <row r="241" spans="2:5" x14ac:dyDescent="0.25">
      <c r="B241" t="str" cm="1">
        <f t="array" aca="1" ref="B241" ca="1">IF('Raw Data'!B241 = "","",IF(AND(LEN('Raw Data'!B241) &lt; 255,LEN('Raw Data'!B241)&gt; 0),"",_xlfn.REGEXEXTRACT(CELL("address",'Raw Data'!B241),"\$([A-Z]+)\$[0-9]+")))</f>
        <v/>
      </c>
      <c r="D241" t="str" cm="1">
        <f t="array" aca="1" ref="D241" ca="1">IF('Raw Data'!C241 = "","",IF(AND(LEN('Raw Data'!C241) &lt; 255,LEN('Raw Data'!C241)&gt; 0),"",_xlfn.REGEXEXTRACT(CELL("address",'Raw Data'!C241),"\$([A-Z]+)\$[0-9]+")))</f>
        <v/>
      </c>
      <c r="E241" t="str" cm="1">
        <f t="array" aca="1" ref="E241" ca="1">IF('Raw Data'!D241 = "","",IF(AND(LEN('Raw Data'!D241) &lt; 255,LEN('Raw Data'!D241)&gt; 0),"",_xlfn.REGEXEXTRACT(CELL("address",'Raw Data'!D241),"\$([A-Z]+)\$[0-9]+")))</f>
        <v/>
      </c>
    </row>
    <row r="242" spans="2:5" x14ac:dyDescent="0.25">
      <c r="B242" t="str" cm="1">
        <f t="array" aca="1" ref="B242" ca="1">IF('Raw Data'!B242 = "","",IF(AND(LEN('Raw Data'!B242) &lt; 255,LEN('Raw Data'!B242)&gt; 0),"",_xlfn.REGEXEXTRACT(CELL("address",'Raw Data'!B242),"\$([A-Z]+)\$[0-9]+")))</f>
        <v/>
      </c>
      <c r="D242" t="str" cm="1">
        <f t="array" aca="1" ref="D242" ca="1">IF('Raw Data'!C242 = "","",IF(AND(LEN('Raw Data'!C242) &lt; 255,LEN('Raw Data'!C242)&gt; 0),"",_xlfn.REGEXEXTRACT(CELL("address",'Raw Data'!C242),"\$([A-Z]+)\$[0-9]+")))</f>
        <v/>
      </c>
      <c r="E242" t="str" cm="1">
        <f t="array" aca="1" ref="E242" ca="1">IF('Raw Data'!D242 = "","",IF(AND(LEN('Raw Data'!D242) &lt; 255,LEN('Raw Data'!D242)&gt; 0),"",_xlfn.REGEXEXTRACT(CELL("address",'Raw Data'!D242),"\$([A-Z]+)\$[0-9]+")))</f>
        <v/>
      </c>
    </row>
    <row r="243" spans="2:5" x14ac:dyDescent="0.25">
      <c r="B243" t="str" cm="1">
        <f t="array" aca="1" ref="B243" ca="1">IF('Raw Data'!B243 = "","",IF(AND(LEN('Raw Data'!B243) &lt; 255,LEN('Raw Data'!B243)&gt; 0),"",_xlfn.REGEXEXTRACT(CELL("address",'Raw Data'!B243),"\$([A-Z]+)\$[0-9]+")))</f>
        <v/>
      </c>
      <c r="D243" t="str" cm="1">
        <f t="array" aca="1" ref="D243" ca="1">IF('Raw Data'!C243 = "","",IF(AND(LEN('Raw Data'!C243) &lt; 255,LEN('Raw Data'!C243)&gt; 0),"",_xlfn.REGEXEXTRACT(CELL("address",'Raw Data'!C243),"\$([A-Z]+)\$[0-9]+")))</f>
        <v/>
      </c>
      <c r="E243" t="str" cm="1">
        <f t="array" aca="1" ref="E243" ca="1">IF('Raw Data'!D243 = "","",IF(AND(LEN('Raw Data'!D243) &lt; 255,LEN('Raw Data'!D243)&gt; 0),"",_xlfn.REGEXEXTRACT(CELL("address",'Raw Data'!D243),"\$([A-Z]+)\$[0-9]+")))</f>
        <v/>
      </c>
    </row>
    <row r="244" spans="2:5" x14ac:dyDescent="0.25">
      <c r="B244" t="str" cm="1">
        <f t="array" aca="1" ref="B244" ca="1">IF('Raw Data'!B244 = "","",IF(AND(LEN('Raw Data'!B244) &lt; 255,LEN('Raw Data'!B244)&gt; 0),"",_xlfn.REGEXEXTRACT(CELL("address",'Raw Data'!B244),"\$([A-Z]+)\$[0-9]+")))</f>
        <v/>
      </c>
      <c r="D244" t="str" cm="1">
        <f t="array" aca="1" ref="D244" ca="1">IF('Raw Data'!C244 = "","",IF(AND(LEN('Raw Data'!C244) &lt; 255,LEN('Raw Data'!C244)&gt; 0),"",_xlfn.REGEXEXTRACT(CELL("address",'Raw Data'!C244),"\$([A-Z]+)\$[0-9]+")))</f>
        <v/>
      </c>
      <c r="E244" t="str" cm="1">
        <f t="array" aca="1" ref="E244" ca="1">IF('Raw Data'!D244 = "","",IF(AND(LEN('Raw Data'!D244) &lt; 255,LEN('Raw Data'!D244)&gt; 0),"",_xlfn.REGEXEXTRACT(CELL("address",'Raw Data'!D244),"\$([A-Z]+)\$[0-9]+")))</f>
        <v/>
      </c>
    </row>
    <row r="245" spans="2:5" x14ac:dyDescent="0.25">
      <c r="B245" t="str" cm="1">
        <f t="array" aca="1" ref="B245" ca="1">IF('Raw Data'!B245 = "","",IF(AND(LEN('Raw Data'!B245) &lt; 255,LEN('Raw Data'!B245)&gt; 0),"",_xlfn.REGEXEXTRACT(CELL("address",'Raw Data'!B245),"\$([A-Z]+)\$[0-9]+")))</f>
        <v/>
      </c>
      <c r="D245" t="str" cm="1">
        <f t="array" aca="1" ref="D245" ca="1">IF('Raw Data'!C245 = "","",IF(AND(LEN('Raw Data'!C245) &lt; 255,LEN('Raw Data'!C245)&gt; 0),"",_xlfn.REGEXEXTRACT(CELL("address",'Raw Data'!C245),"\$([A-Z]+)\$[0-9]+")))</f>
        <v/>
      </c>
      <c r="E245" t="str" cm="1">
        <f t="array" aca="1" ref="E245" ca="1">IF('Raw Data'!D245 = "","",IF(AND(LEN('Raw Data'!D245) &lt; 255,LEN('Raw Data'!D245)&gt; 0),"",_xlfn.REGEXEXTRACT(CELL("address",'Raw Data'!D245),"\$([A-Z]+)\$[0-9]+")))</f>
        <v/>
      </c>
    </row>
    <row r="246" spans="2:5" x14ac:dyDescent="0.25">
      <c r="B246" t="str" cm="1">
        <f t="array" aca="1" ref="B246" ca="1">IF('Raw Data'!B246 = "","",IF(AND(LEN('Raw Data'!B246) &lt; 255,LEN('Raw Data'!B246)&gt; 0),"",_xlfn.REGEXEXTRACT(CELL("address",'Raw Data'!B246),"\$([A-Z]+)\$[0-9]+")))</f>
        <v/>
      </c>
      <c r="D246" t="str" cm="1">
        <f t="array" aca="1" ref="D246" ca="1">IF('Raw Data'!C246 = "","",IF(AND(LEN('Raw Data'!C246) &lt; 255,LEN('Raw Data'!C246)&gt; 0),"",_xlfn.REGEXEXTRACT(CELL("address",'Raw Data'!C246),"\$([A-Z]+)\$[0-9]+")))</f>
        <v/>
      </c>
      <c r="E246" t="str" cm="1">
        <f t="array" aca="1" ref="E246" ca="1">IF('Raw Data'!D246 = "","",IF(AND(LEN('Raw Data'!D246) &lt; 255,LEN('Raw Data'!D246)&gt; 0),"",_xlfn.REGEXEXTRACT(CELL("address",'Raw Data'!D246),"\$([A-Z]+)\$[0-9]+")))</f>
        <v/>
      </c>
    </row>
    <row r="247" spans="2:5" x14ac:dyDescent="0.25">
      <c r="B247" t="str" cm="1">
        <f t="array" aca="1" ref="B247" ca="1">IF('Raw Data'!B247 = "","",IF(AND(LEN('Raw Data'!B247) &lt; 255,LEN('Raw Data'!B247)&gt; 0),"",_xlfn.REGEXEXTRACT(CELL("address",'Raw Data'!B247),"\$([A-Z]+)\$[0-9]+")))</f>
        <v/>
      </c>
      <c r="D247" t="str" cm="1">
        <f t="array" aca="1" ref="D247" ca="1">IF('Raw Data'!C247 = "","",IF(AND(LEN('Raw Data'!C247) &lt; 255,LEN('Raw Data'!C247)&gt; 0),"",_xlfn.REGEXEXTRACT(CELL("address",'Raw Data'!C247),"\$([A-Z]+)\$[0-9]+")))</f>
        <v/>
      </c>
      <c r="E247" t="str" cm="1">
        <f t="array" aca="1" ref="E247" ca="1">IF('Raw Data'!D247 = "","",IF(AND(LEN('Raw Data'!D247) &lt; 255,LEN('Raw Data'!D247)&gt; 0),"",_xlfn.REGEXEXTRACT(CELL("address",'Raw Data'!D247),"\$([A-Z]+)\$[0-9]+")))</f>
        <v/>
      </c>
    </row>
    <row r="248" spans="2:5" x14ac:dyDescent="0.25">
      <c r="B248" t="str" cm="1">
        <f t="array" aca="1" ref="B248" ca="1">IF('Raw Data'!B248 = "","",IF(AND(LEN('Raw Data'!B248) &lt; 255,LEN('Raw Data'!B248)&gt; 0),"",_xlfn.REGEXEXTRACT(CELL("address",'Raw Data'!B248),"\$([A-Z]+)\$[0-9]+")))</f>
        <v/>
      </c>
      <c r="D248" t="str" cm="1">
        <f t="array" aca="1" ref="D248" ca="1">IF('Raw Data'!C248 = "","",IF(AND(LEN('Raw Data'!C248) &lt; 255,LEN('Raw Data'!C248)&gt; 0),"",_xlfn.REGEXEXTRACT(CELL("address",'Raw Data'!C248),"\$([A-Z]+)\$[0-9]+")))</f>
        <v/>
      </c>
      <c r="E248" t="str" cm="1">
        <f t="array" aca="1" ref="E248" ca="1">IF('Raw Data'!D248 = "","",IF(AND(LEN('Raw Data'!D248) &lt; 255,LEN('Raw Data'!D248)&gt; 0),"",_xlfn.REGEXEXTRACT(CELL("address",'Raw Data'!D248),"\$([A-Z]+)\$[0-9]+")))</f>
        <v/>
      </c>
    </row>
    <row r="249" spans="2:5" x14ac:dyDescent="0.25">
      <c r="B249" t="str" cm="1">
        <f t="array" aca="1" ref="B249" ca="1">IF('Raw Data'!B249 = "","",IF(AND(LEN('Raw Data'!B249) &lt; 255,LEN('Raw Data'!B249)&gt; 0),"",_xlfn.REGEXEXTRACT(CELL("address",'Raw Data'!B249),"\$([A-Z]+)\$[0-9]+")))</f>
        <v/>
      </c>
      <c r="D249" t="str" cm="1">
        <f t="array" aca="1" ref="D249" ca="1">IF('Raw Data'!C249 = "","",IF(AND(LEN('Raw Data'!C249) &lt; 255,LEN('Raw Data'!C249)&gt; 0),"",_xlfn.REGEXEXTRACT(CELL("address",'Raw Data'!C249),"\$([A-Z]+)\$[0-9]+")))</f>
        <v/>
      </c>
      <c r="E249" t="str" cm="1">
        <f t="array" aca="1" ref="E249" ca="1">IF('Raw Data'!D249 = "","",IF(AND(LEN('Raw Data'!D249) &lt; 255,LEN('Raw Data'!D249)&gt; 0),"",_xlfn.REGEXEXTRACT(CELL("address",'Raw Data'!D249),"\$([A-Z]+)\$[0-9]+")))</f>
        <v/>
      </c>
    </row>
    <row r="250" spans="2:5" x14ac:dyDescent="0.25">
      <c r="B250" t="str" cm="1">
        <f t="array" aca="1" ref="B250" ca="1">IF('Raw Data'!B250 = "","",IF(AND(LEN('Raw Data'!B250) &lt; 255,LEN('Raw Data'!B250)&gt; 0),"",_xlfn.REGEXEXTRACT(CELL("address",'Raw Data'!B250),"\$([A-Z]+)\$[0-9]+")))</f>
        <v/>
      </c>
      <c r="D250" t="str" cm="1">
        <f t="array" aca="1" ref="D250" ca="1">IF('Raw Data'!C250 = "","",IF(AND(LEN('Raw Data'!C250) &lt; 255,LEN('Raw Data'!C250)&gt; 0),"",_xlfn.REGEXEXTRACT(CELL("address",'Raw Data'!C250),"\$([A-Z]+)\$[0-9]+")))</f>
        <v/>
      </c>
      <c r="E250" t="str" cm="1">
        <f t="array" aca="1" ref="E250" ca="1">IF('Raw Data'!D250 = "","",IF(AND(LEN('Raw Data'!D250) &lt; 255,LEN('Raw Data'!D250)&gt; 0),"",_xlfn.REGEXEXTRACT(CELL("address",'Raw Data'!D250),"\$([A-Z]+)\$[0-9]+")))</f>
        <v/>
      </c>
    </row>
    <row r="251" spans="2:5" x14ac:dyDescent="0.25">
      <c r="B251" t="str" cm="1">
        <f t="array" aca="1" ref="B251" ca="1">IF('Raw Data'!B251 = "","",IF(AND(LEN('Raw Data'!B251) &lt; 255,LEN('Raw Data'!B251)&gt; 0),"",_xlfn.REGEXEXTRACT(CELL("address",'Raw Data'!B251),"\$([A-Z]+)\$[0-9]+")))</f>
        <v/>
      </c>
      <c r="D251" t="str" cm="1">
        <f t="array" aca="1" ref="D251" ca="1">IF('Raw Data'!C251 = "","",IF(AND(LEN('Raw Data'!C251) &lt; 255,LEN('Raw Data'!C251)&gt; 0),"",_xlfn.REGEXEXTRACT(CELL("address",'Raw Data'!C251),"\$([A-Z]+)\$[0-9]+")))</f>
        <v/>
      </c>
      <c r="E251" t="str" cm="1">
        <f t="array" aca="1" ref="E251" ca="1">IF('Raw Data'!D251 = "","",IF(AND(LEN('Raw Data'!D251) &lt; 255,LEN('Raw Data'!D251)&gt; 0),"",_xlfn.REGEXEXTRACT(CELL("address",'Raw Data'!D251),"\$([A-Z]+)\$[0-9]+")))</f>
        <v/>
      </c>
    </row>
    <row r="252" spans="2:5" x14ac:dyDescent="0.25">
      <c r="B252" t="str" cm="1">
        <f t="array" aca="1" ref="B252" ca="1">IF('Raw Data'!B252 = "","",IF(AND(LEN('Raw Data'!B252) &lt; 255,LEN('Raw Data'!B252)&gt; 0),"",_xlfn.REGEXEXTRACT(CELL("address",'Raw Data'!B252),"\$([A-Z]+)\$[0-9]+")))</f>
        <v/>
      </c>
      <c r="D252" t="str" cm="1">
        <f t="array" aca="1" ref="D252" ca="1">IF('Raw Data'!C252 = "","",IF(AND(LEN('Raw Data'!C252) &lt; 255,LEN('Raw Data'!C252)&gt; 0),"",_xlfn.REGEXEXTRACT(CELL("address",'Raw Data'!C252),"\$([A-Z]+)\$[0-9]+")))</f>
        <v/>
      </c>
      <c r="E252" t="str" cm="1">
        <f t="array" aca="1" ref="E252" ca="1">IF('Raw Data'!D252 = "","",IF(AND(LEN('Raw Data'!D252) &lt; 255,LEN('Raw Data'!D252)&gt; 0),"",_xlfn.REGEXEXTRACT(CELL("address",'Raw Data'!D252),"\$([A-Z]+)\$[0-9]+")))</f>
        <v/>
      </c>
    </row>
    <row r="253" spans="2:5" x14ac:dyDescent="0.25">
      <c r="B253" t="str" cm="1">
        <f t="array" aca="1" ref="B253" ca="1">IF('Raw Data'!B253 = "","",IF(AND(LEN('Raw Data'!B253) &lt; 255,LEN('Raw Data'!B253)&gt; 0),"",_xlfn.REGEXEXTRACT(CELL("address",'Raw Data'!B253),"\$([A-Z]+)\$[0-9]+")))</f>
        <v/>
      </c>
      <c r="D253" t="str" cm="1">
        <f t="array" aca="1" ref="D253" ca="1">IF('Raw Data'!C253 = "","",IF(AND(LEN('Raw Data'!C253) &lt; 255,LEN('Raw Data'!C253)&gt; 0),"",_xlfn.REGEXEXTRACT(CELL("address",'Raw Data'!C253),"\$([A-Z]+)\$[0-9]+")))</f>
        <v/>
      </c>
      <c r="E253" t="str" cm="1">
        <f t="array" aca="1" ref="E253" ca="1">IF('Raw Data'!D253 = "","",IF(AND(LEN('Raw Data'!D253) &lt; 255,LEN('Raw Data'!D253)&gt; 0),"",_xlfn.REGEXEXTRACT(CELL("address",'Raw Data'!D253),"\$([A-Z]+)\$[0-9]+")))</f>
        <v/>
      </c>
    </row>
    <row r="254" spans="2:5" x14ac:dyDescent="0.25">
      <c r="B254" t="str" cm="1">
        <f t="array" aca="1" ref="B254" ca="1">IF('Raw Data'!B254 = "","",IF(AND(LEN('Raw Data'!B254) &lt; 255,LEN('Raw Data'!B254)&gt; 0),"",_xlfn.REGEXEXTRACT(CELL("address",'Raw Data'!B254),"\$([A-Z]+)\$[0-9]+")))</f>
        <v/>
      </c>
      <c r="D254" t="str" cm="1">
        <f t="array" aca="1" ref="D254" ca="1">IF('Raw Data'!C254 = "","",IF(AND(LEN('Raw Data'!C254) &lt; 255,LEN('Raw Data'!C254)&gt; 0),"",_xlfn.REGEXEXTRACT(CELL("address",'Raw Data'!C254),"\$([A-Z]+)\$[0-9]+")))</f>
        <v/>
      </c>
      <c r="E254" t="str" cm="1">
        <f t="array" aca="1" ref="E254" ca="1">IF('Raw Data'!D254 = "","",IF(AND(LEN('Raw Data'!D254) &lt; 255,LEN('Raw Data'!D254)&gt; 0),"",_xlfn.REGEXEXTRACT(CELL("address",'Raw Data'!D254),"\$([A-Z]+)\$[0-9]+")))</f>
        <v/>
      </c>
    </row>
    <row r="255" spans="2:5" x14ac:dyDescent="0.25">
      <c r="B255" t="str" cm="1">
        <f t="array" aca="1" ref="B255" ca="1">IF('Raw Data'!B255 = "","",IF(AND(LEN('Raw Data'!B255) &lt; 255,LEN('Raw Data'!B255)&gt; 0),"",_xlfn.REGEXEXTRACT(CELL("address",'Raw Data'!B255),"\$([A-Z]+)\$[0-9]+")))</f>
        <v/>
      </c>
      <c r="D255" t="str" cm="1">
        <f t="array" aca="1" ref="D255" ca="1">IF('Raw Data'!C255 = "","",IF(AND(LEN('Raw Data'!C255) &lt; 255,LEN('Raw Data'!C255)&gt; 0),"",_xlfn.REGEXEXTRACT(CELL("address",'Raw Data'!C255),"\$([A-Z]+)\$[0-9]+")))</f>
        <v/>
      </c>
      <c r="E255" t="str" cm="1">
        <f t="array" aca="1" ref="E255" ca="1">IF('Raw Data'!D255 = "","",IF(AND(LEN('Raw Data'!D255) &lt; 255,LEN('Raw Data'!D255)&gt; 0),"",_xlfn.REGEXEXTRACT(CELL("address",'Raw Data'!D255),"\$([A-Z]+)\$[0-9]+")))</f>
        <v/>
      </c>
    </row>
    <row r="256" spans="2:5" x14ac:dyDescent="0.25">
      <c r="B256" t="str" cm="1">
        <f t="array" aca="1" ref="B256" ca="1">IF('Raw Data'!B256 = "","",IF(AND(LEN('Raw Data'!B256) &lt; 255,LEN('Raw Data'!B256)&gt; 0),"",_xlfn.REGEXEXTRACT(CELL("address",'Raw Data'!B256),"\$([A-Z]+)\$[0-9]+")))</f>
        <v/>
      </c>
      <c r="D256" t="str" cm="1">
        <f t="array" aca="1" ref="D256" ca="1">IF('Raw Data'!C256 = "","",IF(AND(LEN('Raw Data'!C256) &lt; 255,LEN('Raw Data'!C256)&gt; 0),"",_xlfn.REGEXEXTRACT(CELL("address",'Raw Data'!C256),"\$([A-Z]+)\$[0-9]+")))</f>
        <v/>
      </c>
      <c r="E256" t="str" cm="1">
        <f t="array" aca="1" ref="E256" ca="1">IF('Raw Data'!D256 = "","",IF(AND(LEN('Raw Data'!D256) &lt; 255,LEN('Raw Data'!D256)&gt; 0),"",_xlfn.REGEXEXTRACT(CELL("address",'Raw Data'!D256),"\$([A-Z]+)\$[0-9]+")))</f>
        <v/>
      </c>
    </row>
    <row r="257" spans="2:5" x14ac:dyDescent="0.25">
      <c r="B257" t="str" cm="1">
        <f t="array" aca="1" ref="B257" ca="1">IF('Raw Data'!B257 = "","",IF(AND(LEN('Raw Data'!B257) &lt; 255,LEN('Raw Data'!B257)&gt; 0),"",_xlfn.REGEXEXTRACT(CELL("address",'Raw Data'!B257),"\$([A-Z]+)\$[0-9]+")))</f>
        <v/>
      </c>
      <c r="D257" t="str" cm="1">
        <f t="array" aca="1" ref="D257" ca="1">IF('Raw Data'!C257 = "","",IF(AND(LEN('Raw Data'!C257) &lt; 255,LEN('Raw Data'!C257)&gt; 0),"",_xlfn.REGEXEXTRACT(CELL("address",'Raw Data'!C257),"\$([A-Z]+)\$[0-9]+")))</f>
        <v/>
      </c>
      <c r="E257" t="str" cm="1">
        <f t="array" aca="1" ref="E257" ca="1">IF('Raw Data'!D257 = "","",IF(AND(LEN('Raw Data'!D257) &lt; 255,LEN('Raw Data'!D257)&gt; 0),"",_xlfn.REGEXEXTRACT(CELL("address",'Raw Data'!D257),"\$([A-Z]+)\$[0-9]+")))</f>
        <v/>
      </c>
    </row>
    <row r="258" spans="2:5" x14ac:dyDescent="0.25">
      <c r="B258" t="str" cm="1">
        <f t="array" aca="1" ref="B258" ca="1">IF('Raw Data'!B258 = "","",IF(AND(LEN('Raw Data'!B258) &lt; 255,LEN('Raw Data'!B258)&gt; 0),"",_xlfn.REGEXEXTRACT(CELL("address",'Raw Data'!B258),"\$([A-Z]+)\$[0-9]+")))</f>
        <v/>
      </c>
      <c r="D258" t="str" cm="1">
        <f t="array" aca="1" ref="D258" ca="1">IF('Raw Data'!C258 = "","",IF(AND(LEN('Raw Data'!C258) &lt; 255,LEN('Raw Data'!C258)&gt; 0),"",_xlfn.REGEXEXTRACT(CELL("address",'Raw Data'!C258),"\$([A-Z]+)\$[0-9]+")))</f>
        <v/>
      </c>
      <c r="E258" t="str" cm="1">
        <f t="array" aca="1" ref="E258" ca="1">IF('Raw Data'!D258 = "","",IF(AND(LEN('Raw Data'!D258) &lt; 255,LEN('Raw Data'!D258)&gt; 0),"",_xlfn.REGEXEXTRACT(CELL("address",'Raw Data'!D258),"\$([A-Z]+)\$[0-9]+")))</f>
        <v/>
      </c>
    </row>
    <row r="259" spans="2:5" x14ac:dyDescent="0.25">
      <c r="B259" t="str" cm="1">
        <f t="array" aca="1" ref="B259" ca="1">IF('Raw Data'!B259 = "","",IF(AND(LEN('Raw Data'!B259) &lt; 255,LEN('Raw Data'!B259)&gt; 0),"",_xlfn.REGEXEXTRACT(CELL("address",'Raw Data'!B259),"\$([A-Z]+)\$[0-9]+")))</f>
        <v/>
      </c>
      <c r="D259" t="str" cm="1">
        <f t="array" aca="1" ref="D259" ca="1">IF('Raw Data'!C259 = "","",IF(AND(LEN('Raw Data'!C259) &lt; 255,LEN('Raw Data'!C259)&gt; 0),"",_xlfn.REGEXEXTRACT(CELL("address",'Raw Data'!C259),"\$([A-Z]+)\$[0-9]+")))</f>
        <v/>
      </c>
      <c r="E259" t="str" cm="1">
        <f t="array" aca="1" ref="E259" ca="1">IF('Raw Data'!D259 = "","",IF(AND(LEN('Raw Data'!D259) &lt; 255,LEN('Raw Data'!D259)&gt; 0),"",_xlfn.REGEXEXTRACT(CELL("address",'Raw Data'!D259),"\$([A-Z]+)\$[0-9]+")))</f>
        <v/>
      </c>
    </row>
    <row r="260" spans="2:5" x14ac:dyDescent="0.25">
      <c r="B260" t="str" cm="1">
        <f t="array" aca="1" ref="B260" ca="1">IF('Raw Data'!B260 = "","",IF(AND(LEN('Raw Data'!B260) &lt; 255,LEN('Raw Data'!B260)&gt; 0),"",_xlfn.REGEXEXTRACT(CELL("address",'Raw Data'!B260),"\$([A-Z]+)\$[0-9]+")))</f>
        <v/>
      </c>
      <c r="D260" t="str" cm="1">
        <f t="array" aca="1" ref="D260" ca="1">IF('Raw Data'!C260 = "","",IF(AND(LEN('Raw Data'!C260) &lt; 255,LEN('Raw Data'!C260)&gt; 0),"",_xlfn.REGEXEXTRACT(CELL("address",'Raw Data'!C260),"\$([A-Z]+)\$[0-9]+")))</f>
        <v/>
      </c>
      <c r="E260" t="str" cm="1">
        <f t="array" aca="1" ref="E260" ca="1">IF('Raw Data'!D260 = "","",IF(AND(LEN('Raw Data'!D260) &lt; 255,LEN('Raw Data'!D260)&gt; 0),"",_xlfn.REGEXEXTRACT(CELL("address",'Raw Data'!D260),"\$([A-Z]+)\$[0-9]+")))</f>
        <v/>
      </c>
    </row>
    <row r="261" spans="2:5" x14ac:dyDescent="0.25">
      <c r="B261" t="str" cm="1">
        <f t="array" aca="1" ref="B261" ca="1">IF('Raw Data'!B261 = "","",IF(AND(LEN('Raw Data'!B261) &lt; 255,LEN('Raw Data'!B261)&gt; 0),"",_xlfn.REGEXEXTRACT(CELL("address",'Raw Data'!B261),"\$([A-Z]+)\$[0-9]+")))</f>
        <v/>
      </c>
      <c r="D261" t="str" cm="1">
        <f t="array" aca="1" ref="D261" ca="1">IF('Raw Data'!C261 = "","",IF(AND(LEN('Raw Data'!C261) &lt; 255,LEN('Raw Data'!C261)&gt; 0),"",_xlfn.REGEXEXTRACT(CELL("address",'Raw Data'!C261),"\$([A-Z]+)\$[0-9]+")))</f>
        <v/>
      </c>
      <c r="E261" t="str" cm="1">
        <f t="array" aca="1" ref="E261" ca="1">IF('Raw Data'!D261 = "","",IF(AND(LEN('Raw Data'!D261) &lt; 255,LEN('Raw Data'!D261)&gt; 0),"",_xlfn.REGEXEXTRACT(CELL("address",'Raw Data'!D261),"\$([A-Z]+)\$[0-9]+")))</f>
        <v/>
      </c>
    </row>
    <row r="262" spans="2:5" x14ac:dyDescent="0.25">
      <c r="B262" t="str" cm="1">
        <f t="array" aca="1" ref="B262" ca="1">IF('Raw Data'!B262 = "","",IF(AND(LEN('Raw Data'!B262) &lt; 255,LEN('Raw Data'!B262)&gt; 0),"",_xlfn.REGEXEXTRACT(CELL("address",'Raw Data'!B262),"\$([A-Z]+)\$[0-9]+")))</f>
        <v/>
      </c>
      <c r="D262" t="str" cm="1">
        <f t="array" aca="1" ref="D262" ca="1">IF('Raw Data'!C262 = "","",IF(AND(LEN('Raw Data'!C262) &lt; 255,LEN('Raw Data'!C262)&gt; 0),"",_xlfn.REGEXEXTRACT(CELL("address",'Raw Data'!C262),"\$([A-Z]+)\$[0-9]+")))</f>
        <v/>
      </c>
      <c r="E262" t="str" cm="1">
        <f t="array" aca="1" ref="E262" ca="1">IF('Raw Data'!D262 = "","",IF(AND(LEN('Raw Data'!D262) &lt; 255,LEN('Raw Data'!D262)&gt; 0),"",_xlfn.REGEXEXTRACT(CELL("address",'Raw Data'!D262),"\$([A-Z]+)\$[0-9]+")))</f>
        <v/>
      </c>
    </row>
    <row r="263" spans="2:5" x14ac:dyDescent="0.25">
      <c r="B263" t="str" cm="1">
        <f t="array" aca="1" ref="B263" ca="1">IF('Raw Data'!B263 = "","",IF(AND(LEN('Raw Data'!B263) &lt; 255,LEN('Raw Data'!B263)&gt; 0),"",_xlfn.REGEXEXTRACT(CELL("address",'Raw Data'!B263),"\$([A-Z]+)\$[0-9]+")))</f>
        <v/>
      </c>
      <c r="D263" t="str" cm="1">
        <f t="array" aca="1" ref="D263" ca="1">IF('Raw Data'!C263 = "","",IF(AND(LEN('Raw Data'!C263) &lt; 255,LEN('Raw Data'!C263)&gt; 0),"",_xlfn.REGEXEXTRACT(CELL("address",'Raw Data'!C263),"\$([A-Z]+)\$[0-9]+")))</f>
        <v/>
      </c>
      <c r="E263" t="str" cm="1">
        <f t="array" aca="1" ref="E263" ca="1">IF('Raw Data'!D263 = "","",IF(AND(LEN('Raw Data'!D263) &lt; 255,LEN('Raw Data'!D263)&gt; 0),"",_xlfn.REGEXEXTRACT(CELL("address",'Raw Data'!D263),"\$([A-Z]+)\$[0-9]+")))</f>
        <v/>
      </c>
    </row>
    <row r="264" spans="2:5" x14ac:dyDescent="0.25">
      <c r="B264" t="str" cm="1">
        <f t="array" aca="1" ref="B264" ca="1">IF('Raw Data'!B264 = "","",IF(AND(LEN('Raw Data'!B264) &lt; 255,LEN('Raw Data'!B264)&gt; 0),"",_xlfn.REGEXEXTRACT(CELL("address",'Raw Data'!B264),"\$([A-Z]+)\$[0-9]+")))</f>
        <v/>
      </c>
      <c r="D264" t="str" cm="1">
        <f t="array" aca="1" ref="D264" ca="1">IF('Raw Data'!C264 = "","",IF(AND(LEN('Raw Data'!C264) &lt; 255,LEN('Raw Data'!C264)&gt; 0),"",_xlfn.REGEXEXTRACT(CELL("address",'Raw Data'!C264),"\$([A-Z]+)\$[0-9]+")))</f>
        <v/>
      </c>
      <c r="E264" t="str" cm="1">
        <f t="array" aca="1" ref="E264" ca="1">IF('Raw Data'!D264 = "","",IF(AND(LEN('Raw Data'!D264) &lt; 255,LEN('Raw Data'!D264)&gt; 0),"",_xlfn.REGEXEXTRACT(CELL("address",'Raw Data'!D264),"\$([A-Z]+)\$[0-9]+")))</f>
        <v/>
      </c>
    </row>
    <row r="265" spans="2:5" x14ac:dyDescent="0.25">
      <c r="B265" t="str" cm="1">
        <f t="array" aca="1" ref="B265" ca="1">IF('Raw Data'!B265 = "","",IF(AND(LEN('Raw Data'!B265) &lt; 255,LEN('Raw Data'!B265)&gt; 0),"",_xlfn.REGEXEXTRACT(CELL("address",'Raw Data'!B265),"\$([A-Z]+)\$[0-9]+")))</f>
        <v/>
      </c>
      <c r="D265" t="str" cm="1">
        <f t="array" aca="1" ref="D265" ca="1">IF('Raw Data'!C265 = "","",IF(AND(LEN('Raw Data'!C265) &lt; 255,LEN('Raw Data'!C265)&gt; 0),"",_xlfn.REGEXEXTRACT(CELL("address",'Raw Data'!C265),"\$([A-Z]+)\$[0-9]+")))</f>
        <v/>
      </c>
      <c r="E265" t="str" cm="1">
        <f t="array" aca="1" ref="E265" ca="1">IF('Raw Data'!D265 = "","",IF(AND(LEN('Raw Data'!D265) &lt; 255,LEN('Raw Data'!D265)&gt; 0),"",_xlfn.REGEXEXTRACT(CELL("address",'Raw Data'!D265),"\$([A-Z]+)\$[0-9]+")))</f>
        <v/>
      </c>
    </row>
    <row r="266" spans="2:5" x14ac:dyDescent="0.25">
      <c r="B266" t="str" cm="1">
        <f t="array" aca="1" ref="B266" ca="1">IF('Raw Data'!B266 = "","",IF(AND(LEN('Raw Data'!B266) &lt; 255,LEN('Raw Data'!B266)&gt; 0),"",_xlfn.REGEXEXTRACT(CELL("address",'Raw Data'!B266),"\$([A-Z]+)\$[0-9]+")))</f>
        <v/>
      </c>
      <c r="D266" t="str" cm="1">
        <f t="array" aca="1" ref="D266" ca="1">IF('Raw Data'!C266 = "","",IF(AND(LEN('Raw Data'!C266) &lt; 255,LEN('Raw Data'!C266)&gt; 0),"",_xlfn.REGEXEXTRACT(CELL("address",'Raw Data'!C266),"\$([A-Z]+)\$[0-9]+")))</f>
        <v/>
      </c>
      <c r="E266" t="str" cm="1">
        <f t="array" aca="1" ref="E266" ca="1">IF('Raw Data'!D266 = "","",IF(AND(LEN('Raw Data'!D266) &lt; 255,LEN('Raw Data'!D266)&gt; 0),"",_xlfn.REGEXEXTRACT(CELL("address",'Raw Data'!D266),"\$([A-Z]+)\$[0-9]+")))</f>
        <v/>
      </c>
    </row>
    <row r="267" spans="2:5" x14ac:dyDescent="0.25">
      <c r="B267" t="str" cm="1">
        <f t="array" aca="1" ref="B267" ca="1">IF('Raw Data'!B267 = "","",IF(AND(LEN('Raw Data'!B267) &lt; 255,LEN('Raw Data'!B267)&gt; 0),"",_xlfn.REGEXEXTRACT(CELL("address",'Raw Data'!B267),"\$([A-Z]+)\$[0-9]+")))</f>
        <v/>
      </c>
      <c r="D267" t="str" cm="1">
        <f t="array" aca="1" ref="D267" ca="1">IF('Raw Data'!C267 = "","",IF(AND(LEN('Raw Data'!C267) &lt; 255,LEN('Raw Data'!C267)&gt; 0),"",_xlfn.REGEXEXTRACT(CELL("address",'Raw Data'!C267),"\$([A-Z]+)\$[0-9]+")))</f>
        <v/>
      </c>
      <c r="E267" t="str" cm="1">
        <f t="array" aca="1" ref="E267" ca="1">IF('Raw Data'!D267 = "","",IF(AND(LEN('Raw Data'!D267) &lt; 255,LEN('Raw Data'!D267)&gt; 0),"",_xlfn.REGEXEXTRACT(CELL("address",'Raw Data'!D267),"\$([A-Z]+)\$[0-9]+")))</f>
        <v/>
      </c>
    </row>
    <row r="268" spans="2:5" x14ac:dyDescent="0.25">
      <c r="B268" t="str" cm="1">
        <f t="array" aca="1" ref="B268" ca="1">IF('Raw Data'!B268 = "","",IF(AND(LEN('Raw Data'!B268) &lt; 255,LEN('Raw Data'!B268)&gt; 0),"",_xlfn.REGEXEXTRACT(CELL("address",'Raw Data'!B268),"\$([A-Z]+)\$[0-9]+")))</f>
        <v/>
      </c>
      <c r="D268" t="str" cm="1">
        <f t="array" aca="1" ref="D268" ca="1">IF('Raw Data'!C268 = "","",IF(AND(LEN('Raw Data'!C268) &lt; 255,LEN('Raw Data'!C268)&gt; 0),"",_xlfn.REGEXEXTRACT(CELL("address",'Raw Data'!C268),"\$([A-Z]+)\$[0-9]+")))</f>
        <v/>
      </c>
      <c r="E268" t="str" cm="1">
        <f t="array" aca="1" ref="E268" ca="1">IF('Raw Data'!D268 = "","",IF(AND(LEN('Raw Data'!D268) &lt; 255,LEN('Raw Data'!D268)&gt; 0),"",_xlfn.REGEXEXTRACT(CELL("address",'Raw Data'!D268),"\$([A-Z]+)\$[0-9]+")))</f>
        <v/>
      </c>
    </row>
    <row r="269" spans="2:5" x14ac:dyDescent="0.25">
      <c r="B269" t="str" cm="1">
        <f t="array" aca="1" ref="B269" ca="1">IF('Raw Data'!B269 = "","",IF(AND(LEN('Raw Data'!B269) &lt; 255,LEN('Raw Data'!B269)&gt; 0),"",_xlfn.REGEXEXTRACT(CELL("address",'Raw Data'!B269),"\$([A-Z]+)\$[0-9]+")))</f>
        <v/>
      </c>
      <c r="D269" t="str" cm="1">
        <f t="array" aca="1" ref="D269" ca="1">IF('Raw Data'!C269 = "","",IF(AND(LEN('Raw Data'!C269) &lt; 255,LEN('Raw Data'!C269)&gt; 0),"",_xlfn.REGEXEXTRACT(CELL("address",'Raw Data'!C269),"\$([A-Z]+)\$[0-9]+")))</f>
        <v/>
      </c>
      <c r="E269" t="str" cm="1">
        <f t="array" aca="1" ref="E269" ca="1">IF('Raw Data'!D269 = "","",IF(AND(LEN('Raw Data'!D269) &lt; 255,LEN('Raw Data'!D269)&gt; 0),"",_xlfn.REGEXEXTRACT(CELL("address",'Raw Data'!D269),"\$([A-Z]+)\$[0-9]+")))</f>
        <v/>
      </c>
    </row>
    <row r="270" spans="2:5" x14ac:dyDescent="0.25">
      <c r="B270" t="str" cm="1">
        <f t="array" aca="1" ref="B270" ca="1">IF('Raw Data'!B270 = "","",IF(AND(LEN('Raw Data'!B270) &lt; 255,LEN('Raw Data'!B270)&gt; 0),"",_xlfn.REGEXEXTRACT(CELL("address",'Raw Data'!B270),"\$([A-Z]+)\$[0-9]+")))</f>
        <v/>
      </c>
      <c r="D270" t="str" cm="1">
        <f t="array" aca="1" ref="D270" ca="1">IF('Raw Data'!C270 = "","",IF(AND(LEN('Raw Data'!C270) &lt; 255,LEN('Raw Data'!C270)&gt; 0),"",_xlfn.REGEXEXTRACT(CELL("address",'Raw Data'!C270),"\$([A-Z]+)\$[0-9]+")))</f>
        <v/>
      </c>
      <c r="E270" t="str" cm="1">
        <f t="array" aca="1" ref="E270" ca="1">IF('Raw Data'!D270 = "","",IF(AND(LEN('Raw Data'!D270) &lt; 255,LEN('Raw Data'!D270)&gt; 0),"",_xlfn.REGEXEXTRACT(CELL("address",'Raw Data'!D270),"\$([A-Z]+)\$[0-9]+")))</f>
        <v/>
      </c>
    </row>
    <row r="271" spans="2:5" x14ac:dyDescent="0.25">
      <c r="B271" t="str" cm="1">
        <f t="array" aca="1" ref="B271" ca="1">IF('Raw Data'!B271 = "","",IF(AND(LEN('Raw Data'!B271) &lt; 255,LEN('Raw Data'!B271)&gt; 0),"",_xlfn.REGEXEXTRACT(CELL("address",'Raw Data'!B271),"\$([A-Z]+)\$[0-9]+")))</f>
        <v/>
      </c>
      <c r="D271" t="str" cm="1">
        <f t="array" aca="1" ref="D271" ca="1">IF('Raw Data'!C271 = "","",IF(AND(LEN('Raw Data'!C271) &lt; 255,LEN('Raw Data'!C271)&gt; 0),"",_xlfn.REGEXEXTRACT(CELL("address",'Raw Data'!C271),"\$([A-Z]+)\$[0-9]+")))</f>
        <v/>
      </c>
      <c r="E271" t="str" cm="1">
        <f t="array" aca="1" ref="E271" ca="1">IF('Raw Data'!D271 = "","",IF(AND(LEN('Raw Data'!D271) &lt; 255,LEN('Raw Data'!D271)&gt; 0),"",_xlfn.REGEXEXTRACT(CELL("address",'Raw Data'!D271),"\$([A-Z]+)\$[0-9]+")))</f>
        <v/>
      </c>
    </row>
    <row r="272" spans="2:5" x14ac:dyDescent="0.25">
      <c r="B272" t="str" cm="1">
        <f t="array" aca="1" ref="B272" ca="1">IF('Raw Data'!B272 = "","",IF(AND(LEN('Raw Data'!B272) &lt; 255,LEN('Raw Data'!B272)&gt; 0),"",_xlfn.REGEXEXTRACT(CELL("address",'Raw Data'!B272),"\$([A-Z]+)\$[0-9]+")))</f>
        <v/>
      </c>
      <c r="D272" t="str" cm="1">
        <f t="array" aca="1" ref="D272" ca="1">IF('Raw Data'!C272 = "","",IF(AND(LEN('Raw Data'!C272) &lt; 255,LEN('Raw Data'!C272)&gt; 0),"",_xlfn.REGEXEXTRACT(CELL("address",'Raw Data'!C272),"\$([A-Z]+)\$[0-9]+")))</f>
        <v/>
      </c>
      <c r="E272" t="str" cm="1">
        <f t="array" aca="1" ref="E272" ca="1">IF('Raw Data'!D272 = "","",IF(AND(LEN('Raw Data'!D272) &lt; 255,LEN('Raw Data'!D272)&gt; 0),"",_xlfn.REGEXEXTRACT(CELL("address",'Raw Data'!D272),"\$([A-Z]+)\$[0-9]+")))</f>
        <v/>
      </c>
    </row>
    <row r="273" spans="2:5" x14ac:dyDescent="0.25">
      <c r="B273" t="str" cm="1">
        <f t="array" aca="1" ref="B273" ca="1">IF('Raw Data'!B273 = "","",IF(AND(LEN('Raw Data'!B273) &lt; 255,LEN('Raw Data'!B273)&gt; 0),"",_xlfn.REGEXEXTRACT(CELL("address",'Raw Data'!B273),"\$([A-Z]+)\$[0-9]+")))</f>
        <v/>
      </c>
      <c r="D273" t="str" cm="1">
        <f t="array" aca="1" ref="D273" ca="1">IF('Raw Data'!C273 = "","",IF(AND(LEN('Raw Data'!C273) &lt; 255,LEN('Raw Data'!C273)&gt; 0),"",_xlfn.REGEXEXTRACT(CELL("address",'Raw Data'!C273),"\$([A-Z]+)\$[0-9]+")))</f>
        <v/>
      </c>
      <c r="E273" t="str" cm="1">
        <f t="array" aca="1" ref="E273" ca="1">IF('Raw Data'!D273 = "","",IF(AND(LEN('Raw Data'!D273) &lt; 255,LEN('Raw Data'!D273)&gt; 0),"",_xlfn.REGEXEXTRACT(CELL("address",'Raw Data'!D273),"\$([A-Z]+)\$[0-9]+")))</f>
        <v/>
      </c>
    </row>
    <row r="274" spans="2:5" x14ac:dyDescent="0.25">
      <c r="B274" t="str" cm="1">
        <f t="array" aca="1" ref="B274" ca="1">IF('Raw Data'!B274 = "","",IF(AND(LEN('Raw Data'!B274) &lt; 255,LEN('Raw Data'!B274)&gt; 0),"",_xlfn.REGEXEXTRACT(CELL("address",'Raw Data'!B274),"\$([A-Z]+)\$[0-9]+")))</f>
        <v/>
      </c>
      <c r="D274" t="str" cm="1">
        <f t="array" aca="1" ref="D274" ca="1">IF('Raw Data'!C274 = "","",IF(AND(LEN('Raw Data'!C274) &lt; 255,LEN('Raw Data'!C274)&gt; 0),"",_xlfn.REGEXEXTRACT(CELL("address",'Raw Data'!C274),"\$([A-Z]+)\$[0-9]+")))</f>
        <v/>
      </c>
      <c r="E274" t="str" cm="1">
        <f t="array" aca="1" ref="E274" ca="1">IF('Raw Data'!D274 = "","",IF(AND(LEN('Raw Data'!D274) &lt; 255,LEN('Raw Data'!D274)&gt; 0),"",_xlfn.REGEXEXTRACT(CELL("address",'Raw Data'!D274),"\$([A-Z]+)\$[0-9]+")))</f>
        <v/>
      </c>
    </row>
    <row r="275" spans="2:5" x14ac:dyDescent="0.25">
      <c r="B275" t="str" cm="1">
        <f t="array" aca="1" ref="B275" ca="1">IF('Raw Data'!B275 = "","",IF(AND(LEN('Raw Data'!B275) &lt; 255,LEN('Raw Data'!B275)&gt; 0),"",_xlfn.REGEXEXTRACT(CELL("address",'Raw Data'!B275),"\$([A-Z]+)\$[0-9]+")))</f>
        <v/>
      </c>
      <c r="D275" t="str" cm="1">
        <f t="array" aca="1" ref="D275" ca="1">IF('Raw Data'!C275 = "","",IF(AND(LEN('Raw Data'!C275) &lt; 255,LEN('Raw Data'!C275)&gt; 0),"",_xlfn.REGEXEXTRACT(CELL("address",'Raw Data'!C275),"\$([A-Z]+)\$[0-9]+")))</f>
        <v/>
      </c>
      <c r="E275" t="str" cm="1">
        <f t="array" aca="1" ref="E275" ca="1">IF('Raw Data'!D275 = "","",IF(AND(LEN('Raw Data'!D275) &lt; 255,LEN('Raw Data'!D275)&gt; 0),"",_xlfn.REGEXEXTRACT(CELL("address",'Raw Data'!D275),"\$([A-Z]+)\$[0-9]+")))</f>
        <v/>
      </c>
    </row>
    <row r="276" spans="2:5" x14ac:dyDescent="0.25">
      <c r="B276" t="str" cm="1">
        <f t="array" aca="1" ref="B276" ca="1">IF('Raw Data'!B276 = "","",IF(AND(LEN('Raw Data'!B276) &lt; 255,LEN('Raw Data'!B276)&gt; 0),"",_xlfn.REGEXEXTRACT(CELL("address",'Raw Data'!B276),"\$([A-Z]+)\$[0-9]+")))</f>
        <v/>
      </c>
      <c r="D276" t="str" cm="1">
        <f t="array" aca="1" ref="D276" ca="1">IF('Raw Data'!C276 = "","",IF(AND(LEN('Raw Data'!C276) &lt; 255,LEN('Raw Data'!C276)&gt; 0),"",_xlfn.REGEXEXTRACT(CELL("address",'Raw Data'!C276),"\$([A-Z]+)\$[0-9]+")))</f>
        <v/>
      </c>
      <c r="E276" t="str" cm="1">
        <f t="array" aca="1" ref="E276" ca="1">IF('Raw Data'!D276 = "","",IF(AND(LEN('Raw Data'!D276) &lt; 255,LEN('Raw Data'!D276)&gt; 0),"",_xlfn.REGEXEXTRACT(CELL("address",'Raw Data'!D276),"\$([A-Z]+)\$[0-9]+")))</f>
        <v/>
      </c>
    </row>
    <row r="277" spans="2:5" x14ac:dyDescent="0.25">
      <c r="B277" t="str" cm="1">
        <f t="array" aca="1" ref="B277" ca="1">IF('Raw Data'!B277 = "","",IF(AND(LEN('Raw Data'!B277) &lt; 255,LEN('Raw Data'!B277)&gt; 0),"",_xlfn.REGEXEXTRACT(CELL("address",'Raw Data'!B277),"\$([A-Z]+)\$[0-9]+")))</f>
        <v/>
      </c>
      <c r="D277" t="str" cm="1">
        <f t="array" aca="1" ref="D277" ca="1">IF('Raw Data'!C277 = "","",IF(AND(LEN('Raw Data'!C277) &lt; 255,LEN('Raw Data'!C277)&gt; 0),"",_xlfn.REGEXEXTRACT(CELL("address",'Raw Data'!C277),"\$([A-Z]+)\$[0-9]+")))</f>
        <v/>
      </c>
      <c r="E277" t="str" cm="1">
        <f t="array" aca="1" ref="E277" ca="1">IF('Raw Data'!D277 = "","",IF(AND(LEN('Raw Data'!D277) &lt; 255,LEN('Raw Data'!D277)&gt; 0),"",_xlfn.REGEXEXTRACT(CELL("address",'Raw Data'!D277),"\$([A-Z]+)\$[0-9]+")))</f>
        <v/>
      </c>
    </row>
    <row r="278" spans="2:5" x14ac:dyDescent="0.25">
      <c r="B278" t="str" cm="1">
        <f t="array" aca="1" ref="B278" ca="1">IF('Raw Data'!B278 = "","",IF(AND(LEN('Raw Data'!B278) &lt; 255,LEN('Raw Data'!B278)&gt; 0),"",_xlfn.REGEXEXTRACT(CELL("address",'Raw Data'!B278),"\$([A-Z]+)\$[0-9]+")))</f>
        <v/>
      </c>
      <c r="D278" t="str" cm="1">
        <f t="array" aca="1" ref="D278" ca="1">IF('Raw Data'!C278 = "","",IF(AND(LEN('Raw Data'!C278) &lt; 255,LEN('Raw Data'!C278)&gt; 0),"",_xlfn.REGEXEXTRACT(CELL("address",'Raw Data'!C278),"\$([A-Z]+)\$[0-9]+")))</f>
        <v/>
      </c>
      <c r="E278" t="str" cm="1">
        <f t="array" aca="1" ref="E278" ca="1">IF('Raw Data'!D278 = "","",IF(AND(LEN('Raw Data'!D278) &lt; 255,LEN('Raw Data'!D278)&gt; 0),"",_xlfn.REGEXEXTRACT(CELL("address",'Raw Data'!D278),"\$([A-Z]+)\$[0-9]+")))</f>
        <v/>
      </c>
    </row>
    <row r="279" spans="2:5" x14ac:dyDescent="0.25">
      <c r="B279" t="str" cm="1">
        <f t="array" aca="1" ref="B279" ca="1">IF('Raw Data'!B279 = "","",IF(AND(LEN('Raw Data'!B279) &lt; 255,LEN('Raw Data'!B279)&gt; 0),"",_xlfn.REGEXEXTRACT(CELL("address",'Raw Data'!B279),"\$([A-Z]+)\$[0-9]+")))</f>
        <v/>
      </c>
      <c r="D279" t="str" cm="1">
        <f t="array" aca="1" ref="D279" ca="1">IF('Raw Data'!C279 = "","",IF(AND(LEN('Raw Data'!C279) &lt; 255,LEN('Raw Data'!C279)&gt; 0),"",_xlfn.REGEXEXTRACT(CELL("address",'Raw Data'!C279),"\$([A-Z]+)\$[0-9]+")))</f>
        <v/>
      </c>
      <c r="E279" t="str" cm="1">
        <f t="array" aca="1" ref="E279" ca="1">IF('Raw Data'!D279 = "","",IF(AND(LEN('Raw Data'!D279) &lt; 255,LEN('Raw Data'!D279)&gt; 0),"",_xlfn.REGEXEXTRACT(CELL("address",'Raw Data'!D279),"\$([A-Z]+)\$[0-9]+")))</f>
        <v/>
      </c>
    </row>
    <row r="280" spans="2:5" x14ac:dyDescent="0.25">
      <c r="B280" t="str" cm="1">
        <f t="array" aca="1" ref="B280" ca="1">IF('Raw Data'!B280 = "","",IF(AND(LEN('Raw Data'!B280) &lt; 255,LEN('Raw Data'!B280)&gt; 0),"",_xlfn.REGEXEXTRACT(CELL("address",'Raw Data'!B280),"\$([A-Z]+)\$[0-9]+")))</f>
        <v/>
      </c>
      <c r="D280" t="str" cm="1">
        <f t="array" aca="1" ref="D280" ca="1">IF('Raw Data'!C280 = "","",IF(AND(LEN('Raw Data'!C280) &lt; 255,LEN('Raw Data'!C280)&gt; 0),"",_xlfn.REGEXEXTRACT(CELL("address",'Raw Data'!C280),"\$([A-Z]+)\$[0-9]+")))</f>
        <v/>
      </c>
      <c r="E280" t="str" cm="1">
        <f t="array" aca="1" ref="E280" ca="1">IF('Raw Data'!D280 = "","",IF(AND(LEN('Raw Data'!D280) &lt; 255,LEN('Raw Data'!D280)&gt; 0),"",_xlfn.REGEXEXTRACT(CELL("address",'Raw Data'!D280),"\$([A-Z]+)\$[0-9]+")))</f>
        <v/>
      </c>
    </row>
    <row r="281" spans="2:5" x14ac:dyDescent="0.25">
      <c r="B281" t="str" cm="1">
        <f t="array" aca="1" ref="B281" ca="1">IF('Raw Data'!B281 = "","",IF(AND(LEN('Raw Data'!B281) &lt; 255,LEN('Raw Data'!B281)&gt; 0),"",_xlfn.REGEXEXTRACT(CELL("address",'Raw Data'!B281),"\$([A-Z]+)\$[0-9]+")))</f>
        <v/>
      </c>
      <c r="D281" t="str" cm="1">
        <f t="array" aca="1" ref="D281" ca="1">IF('Raw Data'!C281 = "","",IF(AND(LEN('Raw Data'!C281) &lt; 255,LEN('Raw Data'!C281)&gt; 0),"",_xlfn.REGEXEXTRACT(CELL("address",'Raw Data'!C281),"\$([A-Z]+)\$[0-9]+")))</f>
        <v/>
      </c>
      <c r="E281" t="str" cm="1">
        <f t="array" aca="1" ref="E281" ca="1">IF('Raw Data'!D281 = "","",IF(AND(LEN('Raw Data'!D281) &lt; 255,LEN('Raw Data'!D281)&gt; 0),"",_xlfn.REGEXEXTRACT(CELL("address",'Raw Data'!D281),"\$([A-Z]+)\$[0-9]+")))</f>
        <v/>
      </c>
    </row>
    <row r="282" spans="2:5" x14ac:dyDescent="0.25">
      <c r="B282" t="str" cm="1">
        <f t="array" aca="1" ref="B282" ca="1">IF('Raw Data'!B282 = "","",IF(AND(LEN('Raw Data'!B282) &lt; 255,LEN('Raw Data'!B282)&gt; 0),"",_xlfn.REGEXEXTRACT(CELL("address",'Raw Data'!B282),"\$([A-Z]+)\$[0-9]+")))</f>
        <v/>
      </c>
      <c r="D282" t="str" cm="1">
        <f t="array" aca="1" ref="D282" ca="1">IF('Raw Data'!C282 = "","",IF(AND(LEN('Raw Data'!C282) &lt; 255,LEN('Raw Data'!C282)&gt; 0),"",_xlfn.REGEXEXTRACT(CELL("address",'Raw Data'!C282),"\$([A-Z]+)\$[0-9]+")))</f>
        <v/>
      </c>
      <c r="E282" t="str" cm="1">
        <f t="array" aca="1" ref="E282" ca="1">IF('Raw Data'!D282 = "","",IF(AND(LEN('Raw Data'!D282) &lt; 255,LEN('Raw Data'!D282)&gt; 0),"",_xlfn.REGEXEXTRACT(CELL("address",'Raw Data'!D282),"\$([A-Z]+)\$[0-9]+")))</f>
        <v/>
      </c>
    </row>
    <row r="283" spans="2:5" x14ac:dyDescent="0.25">
      <c r="B283" t="str" cm="1">
        <f t="array" aca="1" ref="B283" ca="1">IF('Raw Data'!B283 = "","",IF(AND(LEN('Raw Data'!B283) &lt; 255,LEN('Raw Data'!B283)&gt; 0),"",_xlfn.REGEXEXTRACT(CELL("address",'Raw Data'!B283),"\$([A-Z]+)\$[0-9]+")))</f>
        <v/>
      </c>
      <c r="D283" t="str" cm="1">
        <f t="array" aca="1" ref="D283" ca="1">IF('Raw Data'!C283 = "","",IF(AND(LEN('Raw Data'!C283) &lt; 255,LEN('Raw Data'!C283)&gt; 0),"",_xlfn.REGEXEXTRACT(CELL("address",'Raw Data'!C283),"\$([A-Z]+)\$[0-9]+")))</f>
        <v/>
      </c>
      <c r="E283" t="str" cm="1">
        <f t="array" aca="1" ref="E283" ca="1">IF('Raw Data'!D283 = "","",IF(AND(LEN('Raw Data'!D283) &lt; 255,LEN('Raw Data'!D283)&gt; 0),"",_xlfn.REGEXEXTRACT(CELL("address",'Raw Data'!D283),"\$([A-Z]+)\$[0-9]+")))</f>
        <v/>
      </c>
    </row>
    <row r="284" spans="2:5" x14ac:dyDescent="0.25">
      <c r="B284" t="str" cm="1">
        <f t="array" aca="1" ref="B284" ca="1">IF('Raw Data'!B284 = "","",IF(AND(LEN('Raw Data'!B284) &lt; 255,LEN('Raw Data'!B284)&gt; 0),"",_xlfn.REGEXEXTRACT(CELL("address",'Raw Data'!B284),"\$([A-Z]+)\$[0-9]+")))</f>
        <v/>
      </c>
      <c r="D284" t="str" cm="1">
        <f t="array" aca="1" ref="D284" ca="1">IF('Raw Data'!C284 = "","",IF(AND(LEN('Raw Data'!C284) &lt; 255,LEN('Raw Data'!C284)&gt; 0),"",_xlfn.REGEXEXTRACT(CELL("address",'Raw Data'!C284),"\$([A-Z]+)\$[0-9]+")))</f>
        <v/>
      </c>
      <c r="E284" t="str" cm="1">
        <f t="array" aca="1" ref="E284" ca="1">IF('Raw Data'!D284 = "","",IF(AND(LEN('Raw Data'!D284) &lt; 255,LEN('Raw Data'!D284)&gt; 0),"",_xlfn.REGEXEXTRACT(CELL("address",'Raw Data'!D284),"\$([A-Z]+)\$[0-9]+")))</f>
        <v/>
      </c>
    </row>
    <row r="285" spans="2:5" x14ac:dyDescent="0.25">
      <c r="B285" t="str" cm="1">
        <f t="array" aca="1" ref="B285" ca="1">IF('Raw Data'!B285 = "","",IF(AND(LEN('Raw Data'!B285) &lt; 255,LEN('Raw Data'!B285)&gt; 0),"",_xlfn.REGEXEXTRACT(CELL("address",'Raw Data'!B285),"\$([A-Z]+)\$[0-9]+")))</f>
        <v/>
      </c>
      <c r="D285" t="str" cm="1">
        <f t="array" aca="1" ref="D285" ca="1">IF('Raw Data'!C285 = "","",IF(AND(LEN('Raw Data'!C285) &lt; 255,LEN('Raw Data'!C285)&gt; 0),"",_xlfn.REGEXEXTRACT(CELL("address",'Raw Data'!C285),"\$([A-Z]+)\$[0-9]+")))</f>
        <v/>
      </c>
      <c r="E285" t="str" cm="1">
        <f t="array" aca="1" ref="E285" ca="1">IF('Raw Data'!D285 = "","",IF(AND(LEN('Raw Data'!D285) &lt; 255,LEN('Raw Data'!D285)&gt; 0),"",_xlfn.REGEXEXTRACT(CELL("address",'Raw Data'!D285),"\$([A-Z]+)\$[0-9]+")))</f>
        <v/>
      </c>
    </row>
    <row r="286" spans="2:5" x14ac:dyDescent="0.25">
      <c r="B286" t="str" cm="1">
        <f t="array" aca="1" ref="B286" ca="1">IF('Raw Data'!B286 = "","",IF(AND(LEN('Raw Data'!B286) &lt; 255,LEN('Raw Data'!B286)&gt; 0),"",_xlfn.REGEXEXTRACT(CELL("address",'Raw Data'!B286),"\$([A-Z]+)\$[0-9]+")))</f>
        <v/>
      </c>
      <c r="D286" t="str" cm="1">
        <f t="array" aca="1" ref="D286" ca="1">IF('Raw Data'!C286 = "","",IF(AND(LEN('Raw Data'!C286) &lt; 255,LEN('Raw Data'!C286)&gt; 0),"",_xlfn.REGEXEXTRACT(CELL("address",'Raw Data'!C286),"\$([A-Z]+)\$[0-9]+")))</f>
        <v/>
      </c>
      <c r="E286" t="str" cm="1">
        <f t="array" aca="1" ref="E286" ca="1">IF('Raw Data'!D286 = "","",IF(AND(LEN('Raw Data'!D286) &lt; 255,LEN('Raw Data'!D286)&gt; 0),"",_xlfn.REGEXEXTRACT(CELL("address",'Raw Data'!D286),"\$([A-Z]+)\$[0-9]+")))</f>
        <v/>
      </c>
    </row>
    <row r="287" spans="2:5" x14ac:dyDescent="0.25">
      <c r="B287" t="str" cm="1">
        <f t="array" aca="1" ref="B287" ca="1">IF('Raw Data'!B287 = "","",IF(AND(LEN('Raw Data'!B287) &lt; 255,LEN('Raw Data'!B287)&gt; 0),"",_xlfn.REGEXEXTRACT(CELL("address",'Raw Data'!B287),"\$([A-Z]+)\$[0-9]+")))</f>
        <v/>
      </c>
      <c r="D287" t="str" cm="1">
        <f t="array" aca="1" ref="D287" ca="1">IF('Raw Data'!C287 = "","",IF(AND(LEN('Raw Data'!C287) &lt; 255,LEN('Raw Data'!C287)&gt; 0),"",_xlfn.REGEXEXTRACT(CELL("address",'Raw Data'!C287),"\$([A-Z]+)\$[0-9]+")))</f>
        <v/>
      </c>
      <c r="E287" t="str" cm="1">
        <f t="array" aca="1" ref="E287" ca="1">IF('Raw Data'!D287 = "","",IF(AND(LEN('Raw Data'!D287) &lt; 255,LEN('Raw Data'!D287)&gt; 0),"",_xlfn.REGEXEXTRACT(CELL("address",'Raw Data'!D287),"\$([A-Z]+)\$[0-9]+")))</f>
        <v/>
      </c>
    </row>
    <row r="288" spans="2:5" x14ac:dyDescent="0.25">
      <c r="B288" t="str" cm="1">
        <f t="array" aca="1" ref="B288" ca="1">IF('Raw Data'!B288 = "","",IF(AND(LEN('Raw Data'!B288) &lt; 255,LEN('Raw Data'!B288)&gt; 0),"",_xlfn.REGEXEXTRACT(CELL("address",'Raw Data'!B288),"\$([A-Z]+)\$[0-9]+")))</f>
        <v/>
      </c>
      <c r="D288" t="str" cm="1">
        <f t="array" aca="1" ref="D288" ca="1">IF('Raw Data'!C288 = "","",IF(AND(LEN('Raw Data'!C288) &lt; 255,LEN('Raw Data'!C288)&gt; 0),"",_xlfn.REGEXEXTRACT(CELL("address",'Raw Data'!C288),"\$([A-Z]+)\$[0-9]+")))</f>
        <v/>
      </c>
      <c r="E288" t="str" cm="1">
        <f t="array" aca="1" ref="E288" ca="1">IF('Raw Data'!D288 = "","",IF(AND(LEN('Raw Data'!D288) &lt; 255,LEN('Raw Data'!D288)&gt; 0),"",_xlfn.REGEXEXTRACT(CELL("address",'Raw Data'!D288),"\$([A-Z]+)\$[0-9]+")))</f>
        <v/>
      </c>
    </row>
    <row r="289" spans="2:5" x14ac:dyDescent="0.25">
      <c r="B289" t="str" cm="1">
        <f t="array" aca="1" ref="B289" ca="1">IF('Raw Data'!B289 = "","",IF(AND(LEN('Raw Data'!B289) &lt; 255,LEN('Raw Data'!B289)&gt; 0),"",_xlfn.REGEXEXTRACT(CELL("address",'Raw Data'!B289),"\$([A-Z]+)\$[0-9]+")))</f>
        <v/>
      </c>
      <c r="D289" t="str" cm="1">
        <f t="array" aca="1" ref="D289" ca="1">IF('Raw Data'!C289 = "","",IF(AND(LEN('Raw Data'!C289) &lt; 255,LEN('Raw Data'!C289)&gt; 0),"",_xlfn.REGEXEXTRACT(CELL("address",'Raw Data'!C289),"\$([A-Z]+)\$[0-9]+")))</f>
        <v/>
      </c>
      <c r="E289" t="str" cm="1">
        <f t="array" aca="1" ref="E289" ca="1">IF('Raw Data'!D289 = "","",IF(AND(LEN('Raw Data'!D289) &lt; 255,LEN('Raw Data'!D289)&gt; 0),"",_xlfn.REGEXEXTRACT(CELL("address",'Raw Data'!D289),"\$([A-Z]+)\$[0-9]+")))</f>
        <v/>
      </c>
    </row>
    <row r="290" spans="2:5" x14ac:dyDescent="0.25">
      <c r="B290" t="str" cm="1">
        <f t="array" aca="1" ref="B290" ca="1">IF('Raw Data'!B290 = "","",IF(AND(LEN('Raw Data'!B290) &lt; 255,LEN('Raw Data'!B290)&gt; 0),"",_xlfn.REGEXEXTRACT(CELL("address",'Raw Data'!B290),"\$([A-Z]+)\$[0-9]+")))</f>
        <v/>
      </c>
      <c r="D290" t="str" cm="1">
        <f t="array" aca="1" ref="D290" ca="1">IF('Raw Data'!C290 = "","",IF(AND(LEN('Raw Data'!C290) &lt; 255,LEN('Raw Data'!C290)&gt; 0),"",_xlfn.REGEXEXTRACT(CELL("address",'Raw Data'!C290),"\$([A-Z]+)\$[0-9]+")))</f>
        <v/>
      </c>
      <c r="E290" t="str" cm="1">
        <f t="array" aca="1" ref="E290" ca="1">IF('Raw Data'!D290 = "","",IF(AND(LEN('Raw Data'!D290) &lt; 255,LEN('Raw Data'!D290)&gt; 0),"",_xlfn.REGEXEXTRACT(CELL("address",'Raw Data'!D290),"\$([A-Z]+)\$[0-9]+")))</f>
        <v/>
      </c>
    </row>
    <row r="291" spans="2:5" x14ac:dyDescent="0.25">
      <c r="B291" t="str" cm="1">
        <f t="array" aca="1" ref="B291" ca="1">IF('Raw Data'!B291 = "","",IF(AND(LEN('Raw Data'!B291) &lt; 255,LEN('Raw Data'!B291)&gt; 0),"",_xlfn.REGEXEXTRACT(CELL("address",'Raw Data'!B291),"\$([A-Z]+)\$[0-9]+")))</f>
        <v/>
      </c>
      <c r="D291" t="str" cm="1">
        <f t="array" aca="1" ref="D291" ca="1">IF('Raw Data'!C291 = "","",IF(AND(LEN('Raw Data'!C291) &lt; 255,LEN('Raw Data'!C291)&gt; 0),"",_xlfn.REGEXEXTRACT(CELL("address",'Raw Data'!C291),"\$([A-Z]+)\$[0-9]+")))</f>
        <v/>
      </c>
      <c r="E291" t="str" cm="1">
        <f t="array" aca="1" ref="E291" ca="1">IF('Raw Data'!D291 = "","",IF(AND(LEN('Raw Data'!D291) &lt; 255,LEN('Raw Data'!D291)&gt; 0),"",_xlfn.REGEXEXTRACT(CELL("address",'Raw Data'!D291),"\$([A-Z]+)\$[0-9]+")))</f>
        <v/>
      </c>
    </row>
    <row r="292" spans="2:5" x14ac:dyDescent="0.25">
      <c r="B292" t="str" cm="1">
        <f t="array" aca="1" ref="B292" ca="1">IF('Raw Data'!B292 = "","",IF(AND(LEN('Raw Data'!B292) &lt; 255,LEN('Raw Data'!B292)&gt; 0),"",_xlfn.REGEXEXTRACT(CELL("address",'Raw Data'!B292),"\$([A-Z]+)\$[0-9]+")))</f>
        <v/>
      </c>
      <c r="D292" t="str" cm="1">
        <f t="array" aca="1" ref="D292" ca="1">IF('Raw Data'!C292 = "","",IF(AND(LEN('Raw Data'!C292) &lt; 255,LEN('Raw Data'!C292)&gt; 0),"",_xlfn.REGEXEXTRACT(CELL("address",'Raw Data'!C292),"\$([A-Z]+)\$[0-9]+")))</f>
        <v/>
      </c>
      <c r="E292" t="str" cm="1">
        <f t="array" aca="1" ref="E292" ca="1">IF('Raw Data'!D292 = "","",IF(AND(LEN('Raw Data'!D292) &lt; 255,LEN('Raw Data'!D292)&gt; 0),"",_xlfn.REGEXEXTRACT(CELL("address",'Raw Data'!D292),"\$([A-Z]+)\$[0-9]+")))</f>
        <v/>
      </c>
    </row>
    <row r="293" spans="2:5" x14ac:dyDescent="0.25">
      <c r="B293" t="str" cm="1">
        <f t="array" aca="1" ref="B293" ca="1">IF('Raw Data'!B293 = "","",IF(AND(LEN('Raw Data'!B293) &lt; 255,LEN('Raw Data'!B293)&gt; 0),"",_xlfn.REGEXEXTRACT(CELL("address",'Raw Data'!B293),"\$([A-Z]+)\$[0-9]+")))</f>
        <v/>
      </c>
      <c r="D293" t="str" cm="1">
        <f t="array" aca="1" ref="D293" ca="1">IF('Raw Data'!C293 = "","",IF(AND(LEN('Raw Data'!C293) &lt; 255,LEN('Raw Data'!C293)&gt; 0),"",_xlfn.REGEXEXTRACT(CELL("address",'Raw Data'!C293),"\$([A-Z]+)\$[0-9]+")))</f>
        <v/>
      </c>
      <c r="E293" t="str" cm="1">
        <f t="array" aca="1" ref="E293" ca="1">IF('Raw Data'!D293 = "","",IF(AND(LEN('Raw Data'!D293) &lt; 255,LEN('Raw Data'!D293)&gt; 0),"",_xlfn.REGEXEXTRACT(CELL("address",'Raw Data'!D293),"\$([A-Z]+)\$[0-9]+")))</f>
        <v/>
      </c>
    </row>
    <row r="294" spans="2:5" x14ac:dyDescent="0.25">
      <c r="B294" t="str" cm="1">
        <f t="array" aca="1" ref="B294" ca="1">IF('Raw Data'!B294 = "","",IF(AND(LEN('Raw Data'!B294) &lt; 255,LEN('Raw Data'!B294)&gt; 0),"",_xlfn.REGEXEXTRACT(CELL("address",'Raw Data'!B294),"\$([A-Z]+)\$[0-9]+")))</f>
        <v/>
      </c>
      <c r="D294" t="str" cm="1">
        <f t="array" aca="1" ref="D294" ca="1">IF('Raw Data'!C294 = "","",IF(AND(LEN('Raw Data'!C294) &lt; 255,LEN('Raw Data'!C294)&gt; 0),"",_xlfn.REGEXEXTRACT(CELL("address",'Raw Data'!C294),"\$([A-Z]+)\$[0-9]+")))</f>
        <v/>
      </c>
      <c r="E294" t="str" cm="1">
        <f t="array" aca="1" ref="E294" ca="1">IF('Raw Data'!D294 = "","",IF(AND(LEN('Raw Data'!D294) &lt; 255,LEN('Raw Data'!D294)&gt; 0),"",_xlfn.REGEXEXTRACT(CELL("address",'Raw Data'!D294),"\$([A-Z]+)\$[0-9]+")))</f>
        <v/>
      </c>
    </row>
    <row r="295" spans="2:5" x14ac:dyDescent="0.25">
      <c r="B295" t="str" cm="1">
        <f t="array" aca="1" ref="B295" ca="1">IF('Raw Data'!B295 = "","",IF(AND(LEN('Raw Data'!B295) &lt; 255,LEN('Raw Data'!B295)&gt; 0),"",_xlfn.REGEXEXTRACT(CELL("address",'Raw Data'!B295),"\$([A-Z]+)\$[0-9]+")))</f>
        <v/>
      </c>
      <c r="D295" t="str" cm="1">
        <f t="array" aca="1" ref="D295" ca="1">IF('Raw Data'!C295 = "","",IF(AND(LEN('Raw Data'!C295) &lt; 255,LEN('Raw Data'!C295)&gt; 0),"",_xlfn.REGEXEXTRACT(CELL("address",'Raw Data'!C295),"\$([A-Z]+)\$[0-9]+")))</f>
        <v/>
      </c>
      <c r="E295" t="str" cm="1">
        <f t="array" aca="1" ref="E295" ca="1">IF('Raw Data'!D295 = "","",IF(AND(LEN('Raw Data'!D295) &lt; 255,LEN('Raw Data'!D295)&gt; 0),"",_xlfn.REGEXEXTRACT(CELL("address",'Raw Data'!D295),"\$([A-Z]+)\$[0-9]+")))</f>
        <v/>
      </c>
    </row>
    <row r="296" spans="2:5" x14ac:dyDescent="0.25">
      <c r="B296" t="str" cm="1">
        <f t="array" aca="1" ref="B296" ca="1">IF('Raw Data'!B296 = "","",IF(AND(LEN('Raw Data'!B296) &lt; 255,LEN('Raw Data'!B296)&gt; 0),"",_xlfn.REGEXEXTRACT(CELL("address",'Raw Data'!B296),"\$([A-Z]+)\$[0-9]+")))</f>
        <v/>
      </c>
      <c r="D296" t="str" cm="1">
        <f t="array" aca="1" ref="D296" ca="1">IF('Raw Data'!C296 = "","",IF(AND(LEN('Raw Data'!C296) &lt; 255,LEN('Raw Data'!C296)&gt; 0),"",_xlfn.REGEXEXTRACT(CELL("address",'Raw Data'!C296),"\$([A-Z]+)\$[0-9]+")))</f>
        <v/>
      </c>
      <c r="E296" t="str" cm="1">
        <f t="array" aca="1" ref="E296" ca="1">IF('Raw Data'!D296 = "","",IF(AND(LEN('Raw Data'!D296) &lt; 255,LEN('Raw Data'!D296)&gt; 0),"",_xlfn.REGEXEXTRACT(CELL("address",'Raw Data'!D296),"\$([A-Z]+)\$[0-9]+")))</f>
        <v/>
      </c>
    </row>
    <row r="297" spans="2:5" x14ac:dyDescent="0.25">
      <c r="B297" t="str" cm="1">
        <f t="array" aca="1" ref="B297" ca="1">IF('Raw Data'!B297 = "","",IF(AND(LEN('Raw Data'!B297) &lt; 255,LEN('Raw Data'!B297)&gt; 0),"",_xlfn.REGEXEXTRACT(CELL("address",'Raw Data'!B297),"\$([A-Z]+)\$[0-9]+")))</f>
        <v/>
      </c>
      <c r="D297" t="str" cm="1">
        <f t="array" aca="1" ref="D297" ca="1">IF('Raw Data'!C297 = "","",IF(AND(LEN('Raw Data'!C297) &lt; 255,LEN('Raw Data'!C297)&gt; 0),"",_xlfn.REGEXEXTRACT(CELL("address",'Raw Data'!C297),"\$([A-Z]+)\$[0-9]+")))</f>
        <v/>
      </c>
      <c r="E297" t="str" cm="1">
        <f t="array" aca="1" ref="E297" ca="1">IF('Raw Data'!D297 = "","",IF(AND(LEN('Raw Data'!D297) &lt; 255,LEN('Raw Data'!D297)&gt; 0),"",_xlfn.REGEXEXTRACT(CELL("address",'Raw Data'!D297),"\$([A-Z]+)\$[0-9]+")))</f>
        <v/>
      </c>
    </row>
    <row r="298" spans="2:5" x14ac:dyDescent="0.25">
      <c r="B298" t="str" cm="1">
        <f t="array" aca="1" ref="B298" ca="1">IF('Raw Data'!B298 = "","",IF(AND(LEN('Raw Data'!B298) &lt; 255,LEN('Raw Data'!B298)&gt; 0),"",_xlfn.REGEXEXTRACT(CELL("address",'Raw Data'!B298),"\$([A-Z]+)\$[0-9]+")))</f>
        <v/>
      </c>
      <c r="D298" t="str" cm="1">
        <f t="array" aca="1" ref="D298" ca="1">IF('Raw Data'!C298 = "","",IF(AND(LEN('Raw Data'!C298) &lt; 255,LEN('Raw Data'!C298)&gt; 0),"",_xlfn.REGEXEXTRACT(CELL("address",'Raw Data'!C298),"\$([A-Z]+)\$[0-9]+")))</f>
        <v/>
      </c>
      <c r="E298" t="str" cm="1">
        <f t="array" aca="1" ref="E298" ca="1">IF('Raw Data'!D298 = "","",IF(AND(LEN('Raw Data'!D298) &lt; 255,LEN('Raw Data'!D298)&gt; 0),"",_xlfn.REGEXEXTRACT(CELL("address",'Raw Data'!D298),"\$([A-Z]+)\$[0-9]+")))</f>
        <v/>
      </c>
    </row>
    <row r="299" spans="2:5" x14ac:dyDescent="0.25">
      <c r="B299" t="str" cm="1">
        <f t="array" aca="1" ref="B299" ca="1">IF('Raw Data'!B299 = "","",IF(AND(LEN('Raw Data'!B299) &lt; 255,LEN('Raw Data'!B299)&gt; 0),"",_xlfn.REGEXEXTRACT(CELL("address",'Raw Data'!B299),"\$([A-Z]+)\$[0-9]+")))</f>
        <v/>
      </c>
      <c r="D299" t="str" cm="1">
        <f t="array" aca="1" ref="D299" ca="1">IF('Raw Data'!C299 = "","",IF(AND(LEN('Raw Data'!C299) &lt; 255,LEN('Raw Data'!C299)&gt; 0),"",_xlfn.REGEXEXTRACT(CELL("address",'Raw Data'!C299),"\$([A-Z]+)\$[0-9]+")))</f>
        <v/>
      </c>
      <c r="E299" t="str" cm="1">
        <f t="array" aca="1" ref="E299" ca="1">IF('Raw Data'!D299 = "","",IF(AND(LEN('Raw Data'!D299) &lt; 255,LEN('Raw Data'!D299)&gt; 0),"",_xlfn.REGEXEXTRACT(CELL("address",'Raw Data'!D299),"\$([A-Z]+)\$[0-9]+")))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84C8-4E89-47B8-93D6-D19F9440146F}">
  <dimension ref="F9:H66"/>
  <sheetViews>
    <sheetView topLeftCell="A28" zoomScale="85" zoomScaleNormal="85" workbookViewId="0">
      <selection activeCell="O58" sqref="O58"/>
    </sheetView>
  </sheetViews>
  <sheetFormatPr defaultRowHeight="15" x14ac:dyDescent="0.25"/>
  <sheetData>
    <row r="9" spans="7:8" x14ac:dyDescent="0.25">
      <c r="G9" s="4" t="s">
        <v>0</v>
      </c>
      <c r="H9" t="s">
        <v>65</v>
      </c>
    </row>
    <row r="10" spans="7:8" x14ac:dyDescent="0.25">
      <c r="G10" s="5" t="s">
        <v>1</v>
      </c>
      <c r="H10" t="s">
        <v>65</v>
      </c>
    </row>
    <row r="11" spans="7:8" x14ac:dyDescent="0.25">
      <c r="G11" s="5" t="s">
        <v>2</v>
      </c>
      <c r="H11" t="s">
        <v>65</v>
      </c>
    </row>
    <row r="12" spans="7:8" x14ac:dyDescent="0.25">
      <c r="G12" s="5" t="s">
        <v>3</v>
      </c>
      <c r="H12" t="s">
        <v>65</v>
      </c>
    </row>
    <row r="13" spans="7:8" x14ac:dyDescent="0.25">
      <c r="G13" s="5" t="s">
        <v>4</v>
      </c>
      <c r="H13" t="s">
        <v>65</v>
      </c>
    </row>
    <row r="14" spans="7:8" x14ac:dyDescent="0.25">
      <c r="G14" s="5" t="s">
        <v>5</v>
      </c>
      <c r="H14" t="s">
        <v>65</v>
      </c>
    </row>
    <row r="15" spans="7:8" x14ac:dyDescent="0.25">
      <c r="G15" s="5" t="s">
        <v>6</v>
      </c>
      <c r="H15" t="s">
        <v>65</v>
      </c>
    </row>
    <row r="16" spans="7:8" x14ac:dyDescent="0.25">
      <c r="G16" s="5" t="s">
        <v>7</v>
      </c>
      <c r="H16" t="s">
        <v>65</v>
      </c>
    </row>
    <row r="17" spans="7:8" x14ac:dyDescent="0.25">
      <c r="G17" s="5" t="s">
        <v>8</v>
      </c>
      <c r="H17" t="s">
        <v>65</v>
      </c>
    </row>
    <row r="18" spans="7:8" x14ac:dyDescent="0.25">
      <c r="G18" s="5" t="s">
        <v>9</v>
      </c>
      <c r="H18" t="s">
        <v>65</v>
      </c>
    </row>
    <row r="19" spans="7:8" x14ac:dyDescent="0.25">
      <c r="G19" s="5" t="s">
        <v>10</v>
      </c>
      <c r="H19" t="s">
        <v>65</v>
      </c>
    </row>
    <row r="20" spans="7:8" x14ac:dyDescent="0.25">
      <c r="G20" s="5" t="s">
        <v>11</v>
      </c>
      <c r="H20" t="s">
        <v>65</v>
      </c>
    </row>
    <row r="21" spans="7:8" x14ac:dyDescent="0.25">
      <c r="G21" s="5" t="s">
        <v>12</v>
      </c>
      <c r="H21" t="s">
        <v>65</v>
      </c>
    </row>
    <row r="22" spans="7:8" x14ac:dyDescent="0.25">
      <c r="G22" s="5" t="s">
        <v>13</v>
      </c>
      <c r="H22" t="s">
        <v>65</v>
      </c>
    </row>
    <row r="23" spans="7:8" x14ac:dyDescent="0.25">
      <c r="G23" s="5" t="s">
        <v>14</v>
      </c>
      <c r="H23" t="s">
        <v>65</v>
      </c>
    </row>
    <row r="24" spans="7:8" x14ac:dyDescent="0.25">
      <c r="G24" s="5" t="s">
        <v>15</v>
      </c>
      <c r="H24" t="s">
        <v>65</v>
      </c>
    </row>
    <row r="25" spans="7:8" x14ac:dyDescent="0.25">
      <c r="G25" s="5" t="s">
        <v>16</v>
      </c>
      <c r="H25" t="s">
        <v>65</v>
      </c>
    </row>
    <row r="26" spans="7:8" x14ac:dyDescent="0.25">
      <c r="G26" s="5" t="s">
        <v>17</v>
      </c>
      <c r="H26" t="s">
        <v>65</v>
      </c>
    </row>
    <row r="27" spans="7:8" x14ac:dyDescent="0.25">
      <c r="G27" s="5" t="s">
        <v>19</v>
      </c>
      <c r="H27" t="s">
        <v>65</v>
      </c>
    </row>
    <row r="28" spans="7:8" x14ac:dyDescent="0.25">
      <c r="G28" s="5" t="s">
        <v>20</v>
      </c>
      <c r="H28" t="s">
        <v>65</v>
      </c>
    </row>
    <row r="29" spans="7:8" x14ac:dyDescent="0.25">
      <c r="G29" s="5" t="s">
        <v>21</v>
      </c>
      <c r="H29" t="s">
        <v>65</v>
      </c>
    </row>
    <row r="30" spans="7:8" x14ac:dyDescent="0.25">
      <c r="G30" s="5" t="s">
        <v>22</v>
      </c>
      <c r="H30" t="s">
        <v>65</v>
      </c>
    </row>
    <row r="31" spans="7:8" x14ac:dyDescent="0.25">
      <c r="G31" s="5" t="s">
        <v>23</v>
      </c>
      <c r="H31" t="s">
        <v>65</v>
      </c>
    </row>
    <row r="32" spans="7:8" x14ac:dyDescent="0.25">
      <c r="G32" s="5" t="s">
        <v>24</v>
      </c>
      <c r="H32" t="s">
        <v>65</v>
      </c>
    </row>
    <row r="33" spans="6:8" x14ac:dyDescent="0.25">
      <c r="G33" s="5" t="s">
        <v>25</v>
      </c>
      <c r="H33" t="s">
        <v>65</v>
      </c>
    </row>
    <row r="34" spans="6:8" x14ac:dyDescent="0.25">
      <c r="G34" s="5" t="s">
        <v>26</v>
      </c>
      <c r="H34" t="s">
        <v>65</v>
      </c>
    </row>
    <row r="35" spans="6:8" x14ac:dyDescent="0.25">
      <c r="G35" s="5" t="s">
        <v>27</v>
      </c>
      <c r="H35" t="s">
        <v>65</v>
      </c>
    </row>
    <row r="36" spans="6:8" x14ac:dyDescent="0.25">
      <c r="G36" s="5" t="s">
        <v>28</v>
      </c>
      <c r="H36" t="s">
        <v>65</v>
      </c>
    </row>
    <row r="37" spans="6:8" x14ac:dyDescent="0.25">
      <c r="F37" t="str" cm="1">
        <f t="array" aca="1" ref="F37" ca="1">IFERROR(IF(OR('Raw Data'!F37="",LEN(TRIM('Raw Data'!F37))=0),_xlfn.REGEXEXTRACT(CELL("address",'Raw Data'!F37),"\$([A-Z]+)\$[0-9]+"),""),"")</f>
        <v/>
      </c>
      <c r="G37" s="5" t="s">
        <v>29</v>
      </c>
      <c r="H37" s="14" t="s">
        <v>66</v>
      </c>
    </row>
    <row r="38" spans="6:8" x14ac:dyDescent="0.25">
      <c r="F38" t="str" cm="1">
        <f t="array" aca="1" ref="F38" ca="1">IFERROR(IF(OR('Raw Data'!F38="",LEN(TRIM('Raw Data'!F38))=0),_xlfn.REGEXEXTRACT(CELL("address",'Raw Data'!F38),"\$([A-Z]+)\$[0-9]+"),""),"")</f>
        <v/>
      </c>
      <c r="G38" s="5" t="s">
        <v>30</v>
      </c>
      <c r="H38" s="14" t="s">
        <v>66</v>
      </c>
    </row>
    <row r="39" spans="6:8" x14ac:dyDescent="0.25">
      <c r="F39" t="str" cm="1">
        <f t="array" aca="1" ref="F39" ca="1">IFERROR(IF(OR('Raw Data'!F39="",LEN(TRIM('Raw Data'!F39))=0),_xlfn.REGEXEXTRACT(CELL("address",'Raw Data'!F39),"\$([A-Z]+)\$[0-9]+"),""),"")</f>
        <v/>
      </c>
      <c r="G39" s="5" t="s">
        <v>31</v>
      </c>
      <c r="H39" s="14" t="s">
        <v>66</v>
      </c>
    </row>
    <row r="40" spans="6:8" x14ac:dyDescent="0.25">
      <c r="F40" t="str" cm="1">
        <f t="array" aca="1" ref="F40" ca="1">IFERROR(IF(OR('Raw Data'!F40="",LEN(TRIM('Raw Data'!F40))=0),_xlfn.REGEXEXTRACT(CELL("address",'Raw Data'!F40),"\$([A-Z]+)\$[0-9]+"),""),"")</f>
        <v/>
      </c>
      <c r="G40" s="5" t="s">
        <v>32</v>
      </c>
      <c r="H40" s="14" t="s">
        <v>66</v>
      </c>
    </row>
    <row r="41" spans="6:8" x14ac:dyDescent="0.25">
      <c r="F41" t="str" cm="1">
        <f t="array" aca="1" ref="F41" ca="1">IFERROR(IF(OR('Raw Data'!F41="",LEN(TRIM('Raw Data'!F41))=0),_xlfn.REGEXEXTRACT(CELL("address",'Raw Data'!F41),"\$([A-Z]+)\$[0-9]+"),""),"")</f>
        <v/>
      </c>
      <c r="G41" s="5" t="s">
        <v>33</v>
      </c>
      <c r="H41" s="14" t="s">
        <v>66</v>
      </c>
    </row>
    <row r="42" spans="6:8" x14ac:dyDescent="0.25">
      <c r="G42" s="5" t="s">
        <v>34</v>
      </c>
      <c r="H42" t="s">
        <v>65</v>
      </c>
    </row>
    <row r="43" spans="6:8" x14ac:dyDescent="0.25">
      <c r="G43" s="5" t="s">
        <v>35</v>
      </c>
      <c r="H43" t="s">
        <v>65</v>
      </c>
    </row>
    <row r="44" spans="6:8" x14ac:dyDescent="0.25">
      <c r="G44" s="5" t="s">
        <v>36</v>
      </c>
      <c r="H44" t="s">
        <v>65</v>
      </c>
    </row>
    <row r="45" spans="6:8" x14ac:dyDescent="0.25">
      <c r="G45" s="5" t="s">
        <v>37</v>
      </c>
      <c r="H45" t="s">
        <v>65</v>
      </c>
    </row>
    <row r="46" spans="6:8" x14ac:dyDescent="0.25">
      <c r="G46" s="5" t="s">
        <v>38</v>
      </c>
      <c r="H46" t="s">
        <v>65</v>
      </c>
    </row>
    <row r="47" spans="6:8" x14ac:dyDescent="0.25">
      <c r="G47" s="5" t="s">
        <v>39</v>
      </c>
      <c r="H47" t="s">
        <v>65</v>
      </c>
    </row>
    <row r="48" spans="6:8" x14ac:dyDescent="0.25">
      <c r="G48" s="5" t="s">
        <v>40</v>
      </c>
      <c r="H48" t="s">
        <v>65</v>
      </c>
    </row>
    <row r="49" spans="7:8" x14ac:dyDescent="0.25">
      <c r="G49" s="5" t="s">
        <v>41</v>
      </c>
      <c r="H49" t="s">
        <v>65</v>
      </c>
    </row>
    <row r="50" spans="7:8" x14ac:dyDescent="0.25">
      <c r="G50" s="5" t="s">
        <v>42</v>
      </c>
      <c r="H50" t="s">
        <v>65</v>
      </c>
    </row>
    <row r="51" spans="7:8" x14ac:dyDescent="0.25">
      <c r="G51" s="5" t="s">
        <v>43</v>
      </c>
      <c r="H51" t="s">
        <v>65</v>
      </c>
    </row>
    <row r="52" spans="7:8" x14ac:dyDescent="0.25">
      <c r="G52" s="5" t="s">
        <v>44</v>
      </c>
      <c r="H52" t="s">
        <v>65</v>
      </c>
    </row>
    <row r="53" spans="7:8" x14ac:dyDescent="0.25">
      <c r="G53" s="5" t="s">
        <v>45</v>
      </c>
      <c r="H53" t="s">
        <v>65</v>
      </c>
    </row>
    <row r="54" spans="7:8" x14ac:dyDescent="0.25">
      <c r="G54" s="5" t="s">
        <v>46</v>
      </c>
      <c r="H54" t="s">
        <v>65</v>
      </c>
    </row>
    <row r="55" spans="7:8" x14ac:dyDescent="0.25">
      <c r="G55" s="5" t="s">
        <v>47</v>
      </c>
      <c r="H55" t="s">
        <v>65</v>
      </c>
    </row>
    <row r="56" spans="7:8" x14ac:dyDescent="0.25">
      <c r="G56" s="5" t="s">
        <v>48</v>
      </c>
      <c r="H56" t="s">
        <v>65</v>
      </c>
    </row>
    <row r="57" spans="7:8" x14ac:dyDescent="0.25">
      <c r="G57" s="5" t="s">
        <v>49</v>
      </c>
      <c r="H57" t="s">
        <v>65</v>
      </c>
    </row>
    <row r="58" spans="7:8" x14ac:dyDescent="0.25">
      <c r="G58" s="5" t="s">
        <v>50</v>
      </c>
      <c r="H58" t="s">
        <v>65</v>
      </c>
    </row>
    <row r="59" spans="7:8" x14ac:dyDescent="0.25">
      <c r="G59" s="5" t="s">
        <v>51</v>
      </c>
      <c r="H59" t="s">
        <v>65</v>
      </c>
    </row>
    <row r="60" spans="7:8" x14ac:dyDescent="0.25">
      <c r="G60" s="5" t="s">
        <v>52</v>
      </c>
      <c r="H60" t="s">
        <v>65</v>
      </c>
    </row>
    <row r="61" spans="7:8" x14ac:dyDescent="0.25">
      <c r="G61" s="5" t="s">
        <v>53</v>
      </c>
      <c r="H61" t="s">
        <v>65</v>
      </c>
    </row>
    <row r="62" spans="7:8" x14ac:dyDescent="0.25">
      <c r="G62" s="5" t="s">
        <v>54</v>
      </c>
      <c r="H62" t="s">
        <v>65</v>
      </c>
    </row>
    <row r="63" spans="7:8" x14ac:dyDescent="0.25">
      <c r="G63" s="5" t="s">
        <v>55</v>
      </c>
      <c r="H63" t="s">
        <v>65</v>
      </c>
    </row>
    <row r="64" spans="7:8" x14ac:dyDescent="0.25">
      <c r="G64" s="5" t="s">
        <v>56</v>
      </c>
      <c r="H64" t="s">
        <v>65</v>
      </c>
    </row>
    <row r="65" spans="7:8" x14ac:dyDescent="0.25">
      <c r="G65" s="5" t="s">
        <v>57</v>
      </c>
      <c r="H65" t="s">
        <v>65</v>
      </c>
    </row>
    <row r="66" spans="7:8" x14ac:dyDescent="0.25">
      <c r="G66" s="5" t="s">
        <v>58</v>
      </c>
      <c r="H66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65737-A39B-4B09-A36A-DC9DFA47081E}">
  <dimension ref="F9:H66"/>
  <sheetViews>
    <sheetView topLeftCell="A22" workbookViewId="0">
      <selection activeCell="F37" sqref="F37"/>
    </sheetView>
  </sheetViews>
  <sheetFormatPr defaultRowHeight="15" x14ac:dyDescent="0.25"/>
  <sheetData>
    <row r="9" spans="7:8" x14ac:dyDescent="0.25">
      <c r="G9" s="4" t="s">
        <v>0</v>
      </c>
      <c r="H9" t="s">
        <v>65</v>
      </c>
    </row>
    <row r="10" spans="7:8" x14ac:dyDescent="0.25">
      <c r="G10" s="5" t="s">
        <v>1</v>
      </c>
      <c r="H10" t="s">
        <v>65</v>
      </c>
    </row>
    <row r="11" spans="7:8" x14ac:dyDescent="0.25">
      <c r="G11" s="5" t="s">
        <v>2</v>
      </c>
      <c r="H11" t="s">
        <v>65</v>
      </c>
    </row>
    <row r="12" spans="7:8" x14ac:dyDescent="0.25">
      <c r="G12" s="5" t="s">
        <v>3</v>
      </c>
      <c r="H12" t="s">
        <v>65</v>
      </c>
    </row>
    <row r="13" spans="7:8" x14ac:dyDescent="0.25">
      <c r="G13" s="5" t="s">
        <v>4</v>
      </c>
      <c r="H13" t="s">
        <v>65</v>
      </c>
    </row>
    <row r="14" spans="7:8" x14ac:dyDescent="0.25">
      <c r="G14" s="5" t="s">
        <v>5</v>
      </c>
      <c r="H14" t="s">
        <v>65</v>
      </c>
    </row>
    <row r="15" spans="7:8" x14ac:dyDescent="0.25">
      <c r="G15" s="5" t="s">
        <v>6</v>
      </c>
      <c r="H15" t="s">
        <v>65</v>
      </c>
    </row>
    <row r="16" spans="7:8" x14ac:dyDescent="0.25">
      <c r="G16" s="5" t="s">
        <v>7</v>
      </c>
      <c r="H16" t="s">
        <v>65</v>
      </c>
    </row>
    <row r="17" spans="7:8" x14ac:dyDescent="0.25">
      <c r="G17" s="5" t="s">
        <v>8</v>
      </c>
      <c r="H17" t="s">
        <v>65</v>
      </c>
    </row>
    <row r="18" spans="7:8" x14ac:dyDescent="0.25">
      <c r="G18" s="5" t="s">
        <v>9</v>
      </c>
      <c r="H18" t="s">
        <v>65</v>
      </c>
    </row>
    <row r="19" spans="7:8" x14ac:dyDescent="0.25">
      <c r="G19" s="5" t="s">
        <v>10</v>
      </c>
      <c r="H19" t="s">
        <v>65</v>
      </c>
    </row>
    <row r="20" spans="7:8" x14ac:dyDescent="0.25">
      <c r="G20" s="5" t="s">
        <v>11</v>
      </c>
      <c r="H20" t="s">
        <v>65</v>
      </c>
    </row>
    <row r="21" spans="7:8" x14ac:dyDescent="0.25">
      <c r="G21" s="5" t="s">
        <v>12</v>
      </c>
      <c r="H21" t="s">
        <v>65</v>
      </c>
    </row>
    <row r="22" spans="7:8" x14ac:dyDescent="0.25">
      <c r="G22" s="5" t="s">
        <v>13</v>
      </c>
      <c r="H22" t="s">
        <v>65</v>
      </c>
    </row>
    <row r="23" spans="7:8" x14ac:dyDescent="0.25">
      <c r="G23" s="5" t="s">
        <v>14</v>
      </c>
      <c r="H23" t="s">
        <v>65</v>
      </c>
    </row>
    <row r="24" spans="7:8" x14ac:dyDescent="0.25">
      <c r="G24" s="5" t="s">
        <v>15</v>
      </c>
      <c r="H24" t="s">
        <v>65</v>
      </c>
    </row>
    <row r="25" spans="7:8" x14ac:dyDescent="0.25">
      <c r="G25" s="5" t="s">
        <v>16</v>
      </c>
      <c r="H25" t="s">
        <v>65</v>
      </c>
    </row>
    <row r="26" spans="7:8" x14ac:dyDescent="0.25">
      <c r="G26" s="5" t="s">
        <v>17</v>
      </c>
      <c r="H26" t="s">
        <v>65</v>
      </c>
    </row>
    <row r="27" spans="7:8" x14ac:dyDescent="0.25">
      <c r="G27" s="5" t="s">
        <v>19</v>
      </c>
      <c r="H27" t="s">
        <v>65</v>
      </c>
    </row>
    <row r="28" spans="7:8" x14ac:dyDescent="0.25">
      <c r="G28" s="5" t="s">
        <v>20</v>
      </c>
      <c r="H28" t="s">
        <v>65</v>
      </c>
    </row>
    <row r="29" spans="7:8" x14ac:dyDescent="0.25">
      <c r="G29" s="5" t="s">
        <v>21</v>
      </c>
      <c r="H29" t="s">
        <v>65</v>
      </c>
    </row>
    <row r="30" spans="7:8" x14ac:dyDescent="0.25">
      <c r="G30" s="5" t="s">
        <v>22</v>
      </c>
      <c r="H30" t="s">
        <v>65</v>
      </c>
    </row>
    <row r="31" spans="7:8" x14ac:dyDescent="0.25">
      <c r="G31" s="5" t="s">
        <v>23</v>
      </c>
      <c r="H31" t="s">
        <v>65</v>
      </c>
    </row>
    <row r="32" spans="7:8" x14ac:dyDescent="0.25">
      <c r="G32" s="5" t="s">
        <v>24</v>
      </c>
      <c r="H32" t="s">
        <v>65</v>
      </c>
    </row>
    <row r="33" spans="6:8" x14ac:dyDescent="0.25">
      <c r="G33" s="5" t="s">
        <v>25</v>
      </c>
      <c r="H33" t="s">
        <v>65</v>
      </c>
    </row>
    <row r="34" spans="6:8" x14ac:dyDescent="0.25">
      <c r="G34" s="5" t="s">
        <v>26</v>
      </c>
      <c r="H34" t="s">
        <v>65</v>
      </c>
    </row>
    <row r="35" spans="6:8" x14ac:dyDescent="0.25">
      <c r="G35" s="5" t="s">
        <v>27</v>
      </c>
      <c r="H35" t="s">
        <v>65</v>
      </c>
    </row>
    <row r="36" spans="6:8" x14ac:dyDescent="0.25">
      <c r="G36" s="5" t="s">
        <v>28</v>
      </c>
      <c r="H36" t="s">
        <v>65</v>
      </c>
    </row>
    <row r="37" spans="6:8" x14ac:dyDescent="0.25">
      <c r="F37" t="s">
        <v>18</v>
      </c>
      <c r="G37" s="5" t="s">
        <v>29</v>
      </c>
      <c r="H37" t="s">
        <v>67</v>
      </c>
    </row>
    <row r="38" spans="6:8" x14ac:dyDescent="0.25">
      <c r="F38" t="s">
        <v>18</v>
      </c>
      <c r="G38" s="5" t="s">
        <v>30</v>
      </c>
      <c r="H38" t="s">
        <v>67</v>
      </c>
    </row>
    <row r="39" spans="6:8" x14ac:dyDescent="0.25">
      <c r="F39" t="s">
        <v>18</v>
      </c>
      <c r="G39" s="5" t="s">
        <v>31</v>
      </c>
      <c r="H39" t="s">
        <v>67</v>
      </c>
    </row>
    <row r="40" spans="6:8" x14ac:dyDescent="0.25">
      <c r="F40" t="s">
        <v>18</v>
      </c>
      <c r="G40" s="5" t="s">
        <v>32</v>
      </c>
      <c r="H40" t="s">
        <v>67</v>
      </c>
    </row>
    <row r="41" spans="6:8" x14ac:dyDescent="0.25">
      <c r="F41" t="s">
        <v>18</v>
      </c>
      <c r="G41" s="5" t="s">
        <v>33</v>
      </c>
      <c r="H41" t="s">
        <v>67</v>
      </c>
    </row>
    <row r="42" spans="6:8" x14ac:dyDescent="0.25">
      <c r="G42" s="5" t="s">
        <v>34</v>
      </c>
      <c r="H42" t="s">
        <v>65</v>
      </c>
    </row>
    <row r="43" spans="6:8" x14ac:dyDescent="0.25">
      <c r="G43" s="5" t="s">
        <v>35</v>
      </c>
      <c r="H43" t="s">
        <v>65</v>
      </c>
    </row>
    <row r="44" spans="6:8" x14ac:dyDescent="0.25">
      <c r="G44" s="5" t="s">
        <v>36</v>
      </c>
      <c r="H44" t="s">
        <v>65</v>
      </c>
    </row>
    <row r="45" spans="6:8" x14ac:dyDescent="0.25">
      <c r="G45" s="5" t="s">
        <v>37</v>
      </c>
      <c r="H45" t="s">
        <v>65</v>
      </c>
    </row>
    <row r="46" spans="6:8" x14ac:dyDescent="0.25">
      <c r="G46" s="5" t="s">
        <v>38</v>
      </c>
      <c r="H46" t="s">
        <v>65</v>
      </c>
    </row>
    <row r="47" spans="6:8" x14ac:dyDescent="0.25">
      <c r="G47" s="5" t="s">
        <v>39</v>
      </c>
      <c r="H47" t="s">
        <v>65</v>
      </c>
    </row>
    <row r="48" spans="6:8" x14ac:dyDescent="0.25">
      <c r="G48" s="5" t="s">
        <v>40</v>
      </c>
      <c r="H48" t="s">
        <v>65</v>
      </c>
    </row>
    <row r="49" spans="7:8" x14ac:dyDescent="0.25">
      <c r="G49" s="5" t="s">
        <v>41</v>
      </c>
      <c r="H49" t="s">
        <v>65</v>
      </c>
    </row>
    <row r="50" spans="7:8" x14ac:dyDescent="0.25">
      <c r="G50" s="5" t="s">
        <v>42</v>
      </c>
      <c r="H50" t="s">
        <v>65</v>
      </c>
    </row>
    <row r="51" spans="7:8" x14ac:dyDescent="0.25">
      <c r="G51" s="5" t="s">
        <v>43</v>
      </c>
      <c r="H51" t="s">
        <v>65</v>
      </c>
    </row>
    <row r="52" spans="7:8" x14ac:dyDescent="0.25">
      <c r="G52" s="5" t="s">
        <v>44</v>
      </c>
      <c r="H52" t="s">
        <v>65</v>
      </c>
    </row>
    <row r="53" spans="7:8" x14ac:dyDescent="0.25">
      <c r="G53" s="5" t="s">
        <v>45</v>
      </c>
      <c r="H53" t="s">
        <v>65</v>
      </c>
    </row>
    <row r="54" spans="7:8" x14ac:dyDescent="0.25">
      <c r="G54" s="5" t="s">
        <v>46</v>
      </c>
      <c r="H54" t="s">
        <v>65</v>
      </c>
    </row>
    <row r="55" spans="7:8" x14ac:dyDescent="0.25">
      <c r="G55" s="5" t="s">
        <v>47</v>
      </c>
      <c r="H55" t="s">
        <v>65</v>
      </c>
    </row>
    <row r="56" spans="7:8" x14ac:dyDescent="0.25">
      <c r="G56" s="5" t="s">
        <v>48</v>
      </c>
      <c r="H56" t="s">
        <v>65</v>
      </c>
    </row>
    <row r="57" spans="7:8" x14ac:dyDescent="0.25">
      <c r="G57" s="5" t="s">
        <v>49</v>
      </c>
      <c r="H57" t="s">
        <v>65</v>
      </c>
    </row>
    <row r="58" spans="7:8" x14ac:dyDescent="0.25">
      <c r="G58" s="5" t="s">
        <v>50</v>
      </c>
      <c r="H58" t="s">
        <v>65</v>
      </c>
    </row>
    <row r="59" spans="7:8" x14ac:dyDescent="0.25">
      <c r="G59" s="5" t="s">
        <v>51</v>
      </c>
      <c r="H59" t="s">
        <v>65</v>
      </c>
    </row>
    <row r="60" spans="7:8" x14ac:dyDescent="0.25">
      <c r="G60" s="5" t="s">
        <v>52</v>
      </c>
      <c r="H60" t="s">
        <v>65</v>
      </c>
    </row>
    <row r="61" spans="7:8" x14ac:dyDescent="0.25">
      <c r="G61" s="5" t="s">
        <v>53</v>
      </c>
      <c r="H61" t="s">
        <v>65</v>
      </c>
    </row>
    <row r="62" spans="7:8" x14ac:dyDescent="0.25">
      <c r="G62" s="5" t="s">
        <v>54</v>
      </c>
      <c r="H62" t="s">
        <v>65</v>
      </c>
    </row>
    <row r="63" spans="7:8" x14ac:dyDescent="0.25">
      <c r="G63" s="5" t="s">
        <v>55</v>
      </c>
      <c r="H63" t="s">
        <v>65</v>
      </c>
    </row>
    <row r="64" spans="7:8" x14ac:dyDescent="0.25">
      <c r="G64" s="5" t="s">
        <v>56</v>
      </c>
      <c r="H64" t="s">
        <v>65</v>
      </c>
    </row>
    <row r="65" spans="7:8" x14ac:dyDescent="0.25">
      <c r="G65" s="5" t="s">
        <v>57</v>
      </c>
      <c r="H65" t="s">
        <v>65</v>
      </c>
    </row>
    <row r="66" spans="7:8" x14ac:dyDescent="0.25">
      <c r="G66" s="5" t="s">
        <v>58</v>
      </c>
      <c r="H66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dimension ref="A1:F2"/>
  <sheetViews>
    <sheetView workbookViewId="0">
      <selection activeCell="C6" sqref="C6"/>
    </sheetView>
  </sheetViews>
  <sheetFormatPr defaultRowHeight="15" x14ac:dyDescent="0.25"/>
  <cols>
    <col min="1" max="1" width="17.28515625" customWidth="1"/>
    <col min="2" max="2" width="14.85546875" customWidth="1"/>
    <col min="3" max="3" width="13.5703125" customWidth="1"/>
    <col min="4" max="4" width="17.140625" bestFit="1" customWidth="1"/>
    <col min="5" max="5" width="17.7109375" bestFit="1" customWidth="1"/>
    <col min="6" max="6" width="14.5703125" bestFit="1" customWidth="1"/>
  </cols>
  <sheetData>
    <row r="1" spans="1:6" x14ac:dyDescent="0.25">
      <c r="A1" t="s">
        <v>75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 x14ac:dyDescent="0.25">
      <c r="A2">
        <v>6</v>
      </c>
      <c r="B2" t="s">
        <v>73</v>
      </c>
      <c r="C2" t="s">
        <v>74</v>
      </c>
      <c r="D2" s="12">
        <v>45292</v>
      </c>
      <c r="E2" s="12">
        <v>46388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25">
      <c r="B2" t="str" cm="1">
        <f t="array" aca="1" ref="B2" ca="1">IF('Raw Data'!B1="",_xlfn.REGEXEXTRACT(CELL("address",'Raw Data'!B1),"\$([A-Z]+)\$[0-9]+"),"")</f>
        <v>$B$1</v>
      </c>
      <c r="C2" t="str" cm="1">
        <f t="array" aca="1" ref="C2" ca="1">IF('Raw Data'!C1="",_xlfn.REGEXEXTRACT(CELL("address",'Raw Data'!C1),"\$([A-Z]+)\$[0-9]+"),"")</f>
        <v>$C$1</v>
      </c>
      <c r="D2" t="str" cm="1">
        <f t="array" aca="1" ref="D2" ca="1">IF('Raw Data'!D1="",_xlfn.REGEXEXTRACT(CELL("address",'Raw Data'!D1),"\$([A-Z]+)\$[0-9]+"),"")</f>
        <v>$D$1</v>
      </c>
      <c r="E2" t="str" cm="1">
        <f t="array" aca="1" ref="E2" ca="1">IF('Raw Data'!E1="",_xlfn.REGEXEXTRACT(CELL("address",'Raw Data'!E1),"\$([A-Z]+)\$[0-9]+"),"")</f>
        <v>$E$1</v>
      </c>
      <c r="F2" t="str" cm="1">
        <f t="array" aca="1" ref="F2" ca="1">IF('Raw Data'!F1="",_xlfn.REGEXEXTRACT(CELL("address",'Raw Data'!F1),"\$([A-Z]+)\$[0-9]+"),"")</f>
        <v>$F$1</v>
      </c>
      <c r="G2" t="str" cm="1">
        <f t="array" aca="1" ref="G2" ca="1">IF('Raw Data'!G1="",_xlfn.REGEXEXTRACT(CELL("address",'Raw Data'!G1),"\$([A-Z]+)\$[0-9]+"),"")</f>
        <v>$G$1</v>
      </c>
      <c r="H2" t="str" cm="1">
        <f t="array" aca="1" ref="H2" ca="1">IF('Raw Data'!H1="",_xlfn.REGEXEXTRACT(CELL("address",'Raw Data'!H1),"\$([A-Z]+)\$[0-9]+"),"")</f>
        <v>$H$1</v>
      </c>
      <c r="I2" t="str" cm="1">
        <f t="array" aca="1" ref="I2" ca="1">IF('Raw Data'!I1="",_xlfn.REGEXEXTRACT(CELL("address",'Raw Data'!I1),"\$([A-Z]+)\$[0-9]+"),"")</f>
        <v>$I$1</v>
      </c>
    </row>
    <row r="3" spans="2:9" x14ac:dyDescent="0.25">
      <c r="B3" t="str" cm="1">
        <f t="array" aca="1" ref="B3" ca="1">IF('Raw Data'!B2="",_xlfn.REGEXEXTRACT(CELL("address",'Raw Data'!B2),"\$([A-Z]+)\$[0-9]+"),"")</f>
        <v>$B$2</v>
      </c>
      <c r="C3" t="str" cm="1">
        <f t="array" aca="1" ref="C3" ca="1">IF('Raw Data'!C2="",_xlfn.REGEXEXTRACT(CELL("address",'Raw Data'!C2),"\$([A-Z]+)\$[0-9]+"),"")</f>
        <v>$C$2</v>
      </c>
      <c r="D3" t="str" cm="1">
        <f t="array" aca="1" ref="D3" ca="1">IF('Raw Data'!D2="",_xlfn.REGEXEXTRACT(CELL("address",'Raw Data'!D2),"\$([A-Z]+)\$[0-9]+"),"")</f>
        <v>$D$2</v>
      </c>
      <c r="E3" t="str" cm="1">
        <f t="array" aca="1" ref="E3" ca="1">IF('Raw Data'!E2="",_xlfn.REGEXEXTRACT(CELL("address",'Raw Data'!E2),"\$([A-Z]+)\$[0-9]+"),"")</f>
        <v>$E$2</v>
      </c>
      <c r="F3" t="str" cm="1">
        <f t="array" aca="1" ref="F3" ca="1">IF('Raw Data'!F2="",_xlfn.REGEXEXTRACT(CELL("address",'Raw Data'!F2),"\$([A-Z]+)\$[0-9]+"),"")</f>
        <v>$F$2</v>
      </c>
      <c r="G3" t="str" cm="1">
        <f t="array" aca="1" ref="G3" ca="1">IF('Raw Data'!G2="",_xlfn.REGEXEXTRACT(CELL("address",'Raw Data'!G2),"\$([A-Z]+)\$[0-9]+"),"")</f>
        <v>$G$2</v>
      </c>
      <c r="H3" t="str" cm="1">
        <f t="array" aca="1" ref="H3" ca="1">IF('Raw Data'!H2="",_xlfn.REGEXEXTRACT(CELL("address",'Raw Data'!H2),"\$([A-Z]+)\$[0-9]+"),"")</f>
        <v>$H$2</v>
      </c>
      <c r="I3" t="str" cm="1">
        <f t="array" aca="1" ref="I3" ca="1">IF('Raw Data'!I2="",_xlfn.REGEXEXTRACT(CELL("address",'Raw Data'!I2),"\$([A-Z]+)\$[0-9]+"),"")</f>
        <v>$I$2</v>
      </c>
    </row>
    <row r="4" spans="2:9" x14ac:dyDescent="0.25">
      <c r="B4" t="str" cm="1">
        <f t="array" aca="1" ref="B4" ca="1">IF('Raw Data'!B3="",_xlfn.REGEXEXTRACT(CELL("address",'Raw Data'!B3),"\$([A-Z]+)\$[0-9]+"),"")</f>
        <v>$B$3</v>
      </c>
      <c r="C4" t="str" cm="1">
        <f t="array" aca="1" ref="C4" ca="1">IF('Raw Data'!C3="",_xlfn.REGEXEXTRACT(CELL("address",'Raw Data'!C3),"\$([A-Z]+)\$[0-9]+"),"")</f>
        <v>$C$3</v>
      </c>
      <c r="D4" t="str" cm="1">
        <f t="array" aca="1" ref="D4" ca="1">IF('Raw Data'!D3="",_xlfn.REGEXEXTRACT(CELL("address",'Raw Data'!D3),"\$([A-Z]+)\$[0-9]+"),"")</f>
        <v>$D$3</v>
      </c>
      <c r="E4" t="str" cm="1">
        <f t="array" aca="1" ref="E4" ca="1">IF('Raw Data'!E3="",_xlfn.REGEXEXTRACT(CELL("address",'Raw Data'!E3),"\$([A-Z]+)\$[0-9]+"),"")</f>
        <v>$E$3</v>
      </c>
      <c r="F4" t="str" cm="1">
        <f t="array" aca="1" ref="F4" ca="1">IF('Raw Data'!F3="",_xlfn.REGEXEXTRACT(CELL("address",'Raw Data'!F3),"\$([A-Z]+)\$[0-9]+"),"")</f>
        <v>$F$3</v>
      </c>
      <c r="G4" t="str" cm="1">
        <f t="array" aca="1" ref="G4" ca="1">IF('Raw Data'!G3="",_xlfn.REGEXEXTRACT(CELL("address",'Raw Data'!G3),"\$([A-Z]+)\$[0-9]+"),"")</f>
        <v>$G$3</v>
      </c>
      <c r="H4" t="str" cm="1">
        <f t="array" aca="1" ref="H4" ca="1">IF('Raw Data'!H3="",_xlfn.REGEXEXTRACT(CELL("address",'Raw Data'!H3),"\$([A-Z]+)\$[0-9]+"),"")</f>
        <v>$H$3</v>
      </c>
      <c r="I4" t="str" cm="1">
        <f t="array" aca="1" ref="I4" ca="1">IF('Raw Data'!I3="",_xlfn.REGEXEXTRACT(CELL("address",'Raw Data'!I3),"\$([A-Z]+)\$[0-9]+"),"")</f>
        <v>$I$3</v>
      </c>
    </row>
    <row r="5" spans="2:9" x14ac:dyDescent="0.25">
      <c r="B5" t="str" cm="1">
        <f t="array" aca="1" ref="B5" ca="1">IF('Raw Data'!B4="",_xlfn.REGEXEXTRACT(CELL("address",'Raw Data'!B4),"\$([A-Z]+)\$[0-9]+"),"")</f>
        <v>$B$4</v>
      </c>
      <c r="C5" t="str" cm="1">
        <f t="array" aca="1" ref="C5" ca="1">IF('Raw Data'!C4="",_xlfn.REGEXEXTRACT(CELL("address",'Raw Data'!C4),"\$([A-Z]+)\$[0-9]+"),"")</f>
        <v>$C$4</v>
      </c>
      <c r="D5" t="str" cm="1">
        <f t="array" aca="1" ref="D5" ca="1">IF('Raw Data'!D4="",_xlfn.REGEXEXTRACT(CELL("address",'Raw Data'!D4),"\$([A-Z]+)\$[0-9]+"),"")</f>
        <v>$D$4</v>
      </c>
      <c r="E5" t="str" cm="1">
        <f t="array" aca="1" ref="E5" ca="1">IF('Raw Data'!E4="",_xlfn.REGEXEXTRACT(CELL("address",'Raw Data'!E4),"\$([A-Z]+)\$[0-9]+"),"")</f>
        <v>$E$4</v>
      </c>
      <c r="F5" t="str" cm="1">
        <f t="array" aca="1" ref="F5" ca="1">IF('Raw Data'!F4="",_xlfn.REGEXEXTRACT(CELL("address",'Raw Data'!F4),"\$([A-Z]+)\$[0-9]+"),"")</f>
        <v>$F$4</v>
      </c>
      <c r="G5" t="str" cm="1">
        <f t="array" aca="1" ref="G5" ca="1">IF('Raw Data'!G4="",_xlfn.REGEXEXTRACT(CELL("address",'Raw Data'!G4),"\$([A-Z]+)\$[0-9]+"),"")</f>
        <v>$G$4</v>
      </c>
      <c r="H5" t="str" cm="1">
        <f t="array" aca="1" ref="H5" ca="1">IF('Raw Data'!H4="",_xlfn.REGEXEXTRACT(CELL("address",'Raw Data'!H4),"\$([A-Z]+)\$[0-9]+"),"")</f>
        <v>$H$4</v>
      </c>
      <c r="I5" t="str" cm="1">
        <f t="array" aca="1" ref="I5" ca="1">IF('Raw Data'!I4="",_xlfn.REGEXEXTRACT(CELL("address",'Raw Data'!I4),"\$([A-Z]+)\$[0-9]+"),"")</f>
        <v>$I$4</v>
      </c>
    </row>
    <row r="6" spans="2:9" x14ac:dyDescent="0.25">
      <c r="B6" t="str" cm="1">
        <f t="array" aca="1" ref="B6" ca="1">IF('Raw Data'!B5="",_xlfn.REGEXEXTRACT(CELL("address",'Raw Data'!B5),"\$([A-Z]+)\$[0-9]+"),"")</f>
        <v>$B$5</v>
      </c>
      <c r="C6" t="str" cm="1">
        <f t="array" aca="1" ref="C6" ca="1">IF('Raw Data'!C5="",_xlfn.REGEXEXTRACT(CELL("address",'Raw Data'!C5),"\$([A-Z]+)\$[0-9]+"),"")</f>
        <v>$C$5</v>
      </c>
      <c r="D6" t="str" cm="1">
        <f t="array" aca="1" ref="D6" ca="1">IF('Raw Data'!D5="",_xlfn.REGEXEXTRACT(CELL("address",'Raw Data'!D5),"\$([A-Z]+)\$[0-9]+"),"")</f>
        <v>$D$5</v>
      </c>
      <c r="E6" t="str" cm="1">
        <f t="array" aca="1" ref="E6" ca="1">IF('Raw Data'!E5="",_xlfn.REGEXEXTRACT(CELL("address",'Raw Data'!E5),"\$([A-Z]+)\$[0-9]+"),"")</f>
        <v>$E$5</v>
      </c>
      <c r="F6" t="str" cm="1">
        <f t="array" aca="1" ref="F6" ca="1">IF('Raw Data'!F5="",_xlfn.REGEXEXTRACT(CELL("address",'Raw Data'!F5),"\$([A-Z]+)\$[0-9]+"),"")</f>
        <v>$F$5</v>
      </c>
      <c r="G6" t="str" cm="1">
        <f t="array" aca="1" ref="G6" ca="1">IF('Raw Data'!G5="",_xlfn.REGEXEXTRACT(CELL("address",'Raw Data'!G5),"\$([A-Z]+)\$[0-9]+"),"")</f>
        <v>$G$5</v>
      </c>
      <c r="H6" t="str" cm="1">
        <f t="array" aca="1" ref="H6" ca="1">IF('Raw Data'!H5="",_xlfn.REGEXEXTRACT(CELL("address",'Raw Data'!H5),"\$([A-Z]+)\$[0-9]+"),"")</f>
        <v>$H$5</v>
      </c>
      <c r="I6" t="str" cm="1">
        <f t="array" aca="1" ref="I6" ca="1">IF('Raw Data'!I5="",_xlfn.REGEXEXTRACT(CELL("address",'Raw Data'!I5),"\$([A-Z]+)\$[0-9]+"),"")</f>
        <v>$I$5</v>
      </c>
    </row>
    <row r="7" spans="2:9" x14ac:dyDescent="0.25">
      <c r="B7" t="str" cm="1">
        <f t="array" aca="1" ref="B7" ca="1">IF('Raw Data'!B6="",_xlfn.REGEXEXTRACT(CELL("address",'Raw Data'!B6),"\$([A-Z]+)\$[0-9]+"),"")</f>
        <v>$B$6</v>
      </c>
      <c r="C7" t="str" cm="1">
        <f t="array" aca="1" ref="C7" ca="1">IF('Raw Data'!C6="",_xlfn.REGEXEXTRACT(CELL("address",'Raw Data'!C6),"\$([A-Z]+)\$[0-9]+"),"")</f>
        <v>$C$6</v>
      </c>
      <c r="D7" t="str" cm="1">
        <f t="array" aca="1" ref="D7" ca="1">IF('Raw Data'!D6="",_xlfn.REGEXEXTRACT(CELL("address",'Raw Data'!D6),"\$([A-Z]+)\$[0-9]+"),"")</f>
        <v>$D$6</v>
      </c>
      <c r="E7" t="str" cm="1">
        <f t="array" aca="1" ref="E7" ca="1">IF('Raw Data'!E6="",_xlfn.REGEXEXTRACT(CELL("address",'Raw Data'!E6),"\$([A-Z]+)\$[0-9]+"),"")</f>
        <v>$E$6</v>
      </c>
      <c r="F7" t="str" cm="1">
        <f t="array" aca="1" ref="F7" ca="1">IF('Raw Data'!F6="",_xlfn.REGEXEXTRACT(CELL("address",'Raw Data'!F6),"\$([A-Z]+)\$[0-9]+"),"")</f>
        <v>$F$6</v>
      </c>
      <c r="G7" t="str" cm="1">
        <f t="array" aca="1" ref="G7" ca="1">IF('Raw Data'!G6="",_xlfn.REGEXEXTRACT(CELL("address",'Raw Data'!G6),"\$([A-Z]+)\$[0-9]+"),"")</f>
        <v>$G$6</v>
      </c>
      <c r="H7" t="str" cm="1">
        <f t="array" aca="1" ref="H7" ca="1">IF('Raw Data'!H6="",_xlfn.REGEXEXTRACT(CELL("address",'Raw Data'!H6),"\$([A-Z]+)\$[0-9]+"),"")</f>
        <v>$H$6</v>
      </c>
      <c r="I7" t="str" cm="1">
        <f t="array" aca="1" ref="I7" ca="1">IF('Raw Data'!I6="",_xlfn.REGEXEXTRACT(CELL("address",'Raw Data'!I6),"\$([A-Z]+)\$[0-9]+"),"")</f>
        <v>$I$6</v>
      </c>
    </row>
    <row r="8" spans="2:9" x14ac:dyDescent="0.25">
      <c r="B8" t="str" cm="1">
        <f t="array" aca="1" ref="B8" ca="1">IF('Raw Data'!B7="",_xlfn.REGEXEXTRACT(CELL("address",'Raw Data'!B7),"\$([A-Z]+)\$[0-9]+"),"")</f>
        <v>$B$7</v>
      </c>
      <c r="C8" t="str" cm="1">
        <f t="array" aca="1" ref="C8" ca="1">IF('Raw Data'!C7="",_xlfn.REGEXEXTRACT(CELL("address",'Raw Data'!C7),"\$([A-Z]+)\$[0-9]+"),"")</f>
        <v>$C$7</v>
      </c>
      <c r="D8" t="str" cm="1">
        <f t="array" aca="1" ref="D8" ca="1">IF('Raw Data'!D7="",_xlfn.REGEXEXTRACT(CELL("address",'Raw Data'!D7),"\$([A-Z]+)\$[0-9]+"),"")</f>
        <v>$D$7</v>
      </c>
      <c r="E8" t="str" cm="1">
        <f t="array" aca="1" ref="E8" ca="1">IF('Raw Data'!E7="",_xlfn.REGEXEXTRACT(CELL("address",'Raw Data'!E7),"\$([A-Z]+)\$[0-9]+"),"")</f>
        <v>$E$7</v>
      </c>
      <c r="F8" t="str" cm="1">
        <f t="array" aca="1" ref="F8" ca="1">IF('Raw Data'!F7="",_xlfn.REGEXEXTRACT(CELL("address",'Raw Data'!F7),"\$([A-Z]+)\$[0-9]+"),"")</f>
        <v>$F$7</v>
      </c>
      <c r="G8" t="str" cm="1">
        <f t="array" aca="1" ref="G8" ca="1">IF('Raw Data'!G7="",_xlfn.REGEXEXTRACT(CELL("address",'Raw Data'!G7),"\$([A-Z]+)\$[0-9]+"),"")</f>
        <v>$G$7</v>
      </c>
      <c r="H8" t="str" cm="1">
        <f t="array" aca="1" ref="H8" ca="1">IF('Raw Data'!H7="",_xlfn.REGEXEXTRACT(CELL("address",'Raw Data'!H7),"\$([A-Z]+)\$[0-9]+"),"")</f>
        <v>$H$7</v>
      </c>
      <c r="I8" t="str" cm="1">
        <f t="array" aca="1" ref="I8" ca="1">IF('Raw Data'!I7="",_xlfn.REGEXEXTRACT(CELL("address",'Raw Data'!I7),"\$([A-Z]+)\$[0-9]+"),"")</f>
        <v>$I$7</v>
      </c>
    </row>
    <row r="9" spans="2:9" x14ac:dyDescent="0.25">
      <c r="B9" t="str" cm="1">
        <f t="array" aca="1" ref="B9" ca="1">IF('Raw Data'!B8="",_xlfn.REGEXEXTRACT(CELL("address",'Raw Data'!B8),"\$([A-Z]+)\$[0-9]+"),"")</f>
        <v>$B$8</v>
      </c>
      <c r="C9" t="str" cm="1">
        <f t="array" aca="1" ref="C9" ca="1">IF('Raw Data'!C8="",_xlfn.REGEXEXTRACT(CELL("address",'Raw Data'!C8),"\$([A-Z]+)\$[0-9]+"),"")</f>
        <v>$C$8</v>
      </c>
      <c r="D9" t="str" cm="1">
        <f t="array" aca="1" ref="D9" ca="1">IF('Raw Data'!D8="",_xlfn.REGEXEXTRACT(CELL("address",'Raw Data'!D8),"\$([A-Z]+)\$[0-9]+"),"")</f>
        <v>$D$8</v>
      </c>
      <c r="E9" t="str" cm="1">
        <f t="array" aca="1" ref="E9" ca="1">IF('Raw Data'!E8="",_xlfn.REGEXEXTRACT(CELL("address",'Raw Data'!E8),"\$([A-Z]+)\$[0-9]+"),"")</f>
        <v>$E$8</v>
      </c>
      <c r="F9" t="str" cm="1">
        <f t="array" aca="1" ref="F9" ca="1">IF('Raw Data'!F8="",_xlfn.REGEXEXTRACT(CELL("address",'Raw Data'!F8),"\$([A-Z]+)\$[0-9]+"),"")</f>
        <v>$F$8</v>
      </c>
      <c r="G9" t="str" cm="1">
        <f t="array" aca="1" ref="G9" ca="1">IF('Raw Data'!G8="",_xlfn.REGEXEXTRACT(CELL("address",'Raw Data'!G8),"\$([A-Z]+)\$[0-9]+"),"")</f>
        <v>$G$8</v>
      </c>
      <c r="H9" t="str" cm="1">
        <f t="array" aca="1" ref="H9" ca="1">IF('Raw Data'!H8="",_xlfn.REGEXEXTRACT(CELL("address",'Raw Data'!H8),"\$([A-Z]+)\$[0-9]+"),"")</f>
        <v>$H$8</v>
      </c>
      <c r="I9" t="str" cm="1">
        <f t="array" aca="1" ref="I9" ca="1">IF('Raw Data'!I8="",_xlfn.REGEXEXTRACT(CELL("address",'Raw Data'!I8),"\$([A-Z]+)\$[0-9]+"),"")</f>
        <v>$I$8</v>
      </c>
    </row>
    <row r="10" spans="2:9" x14ac:dyDescent="0.25">
      <c r="B10" t="str" cm="1">
        <f t="array" aca="1" ref="B10" ca="1">IF('Raw Data'!B9="",_xlfn.REGEXEXTRACT(CELL("address",'Raw Data'!B9),"\$([A-Z]+)\$[0-9]+"),"")</f>
        <v>$B$9</v>
      </c>
      <c r="C10" t="str" cm="1">
        <f t="array" aca="1" ref="C10" ca="1">IF('Raw Data'!C9="",_xlfn.REGEXEXTRACT(CELL("address",'Raw Data'!C9),"\$([A-Z]+)\$[0-9]+"),"")</f>
        <v>$C$9</v>
      </c>
      <c r="D10" t="str" cm="1">
        <f t="array" aca="1" ref="D10" ca="1">IF('Raw Data'!D9="",_xlfn.REGEXEXTRACT(CELL("address",'Raw Data'!D9),"\$([A-Z]+)\$[0-9]+"),"")</f>
        <v>$D$9</v>
      </c>
      <c r="E10" t="str" cm="1">
        <f t="array" aca="1" ref="E10" ca="1">IF('Raw Data'!E9="",_xlfn.REGEXEXTRACT(CELL("address",'Raw Data'!E9),"\$([A-Z]+)\$[0-9]+"),"")</f>
        <v>$E$9</v>
      </c>
      <c r="F10" t="str" cm="1">
        <f t="array" aca="1" ref="F10" ca="1">IF('Raw Data'!F9="",_xlfn.REGEXEXTRACT(CELL("address",'Raw Data'!F9),"\$([A-Z]+)\$[0-9]+"),"")</f>
        <v/>
      </c>
      <c r="G10" t="str" cm="1">
        <f t="array" aca="1" ref="G10" ca="1">IF('Raw Data'!G9="",_xlfn.REGEXEXTRACT(CELL("address",'Raw Data'!G9),"\$([A-Z]+)\$[0-9]+"),"")</f>
        <v/>
      </c>
      <c r="H10" t="str" cm="1">
        <f t="array" aca="1" ref="H10" ca="1">IF('Raw Data'!H9="",_xlfn.REGEXEXTRACT(CELL("address",'Raw Data'!H9),"\$([A-Z]+)\$[0-9]+"),"")</f>
        <v/>
      </c>
      <c r="I10" t="str" cm="1">
        <f t="array" aca="1" ref="I10" ca="1">IF('Raw Data'!I9="",_xlfn.REGEXEXTRACT(CELL("address",'Raw Data'!I9),"\$([A-Z]+)\$[0-9]+"),"")</f>
        <v>$I$9</v>
      </c>
    </row>
    <row r="11" spans="2:9" x14ac:dyDescent="0.25">
      <c r="B11" t="str" cm="1">
        <f t="array" aca="1" ref="B11" ca="1">IF('Raw Data'!B10="",_xlfn.REGEXEXTRACT(CELL("address",'Raw Data'!B10),"\$([A-Z]+)\$[0-9]+"),"")</f>
        <v>$B$10</v>
      </c>
      <c r="C11" t="str" cm="1">
        <f t="array" aca="1" ref="C11" ca="1">IF('Raw Data'!C10="",_xlfn.REGEXEXTRACT(CELL("address",'Raw Data'!C10),"\$([A-Z]+)\$[0-9]+"),"")</f>
        <v>$C$10</v>
      </c>
      <c r="D11" t="str" cm="1">
        <f t="array" aca="1" ref="D11" ca="1">IF('Raw Data'!D10="",_xlfn.REGEXEXTRACT(CELL("address",'Raw Data'!D10),"\$([A-Z]+)\$[0-9]+"),"")</f>
        <v>$D$10</v>
      </c>
      <c r="E11" t="str" cm="1">
        <f t="array" aca="1" ref="E11" ca="1">IF('Raw Data'!E10="",_xlfn.REGEXEXTRACT(CELL("address",'Raw Data'!E10),"\$([A-Z]+)\$[0-9]+"),"")</f>
        <v>$E$10</v>
      </c>
      <c r="F11" t="str" cm="1">
        <f t="array" aca="1" ref="F11" ca="1">IF('Raw Data'!F10="",_xlfn.REGEXEXTRACT(CELL("address",'Raw Data'!F10),"\$([A-Z]+)\$[0-9]+"),"")</f>
        <v/>
      </c>
      <c r="G11" t="str" cm="1">
        <f t="array" aca="1" ref="G11" ca="1">IF('Raw Data'!G10="",_xlfn.REGEXEXTRACT(CELL("address",'Raw Data'!G10),"\$([A-Z]+)\$[0-9]+"),"")</f>
        <v/>
      </c>
      <c r="H11" t="str" cm="1">
        <f t="array" aca="1" ref="H11" ca="1">IF('Raw Data'!H10="",_xlfn.REGEXEXTRACT(CELL("address",'Raw Data'!H10),"\$([A-Z]+)\$[0-9]+"),"")</f>
        <v>$H$10</v>
      </c>
      <c r="I11" t="str" cm="1">
        <f t="array" aca="1" ref="I11" ca="1">IF('Raw Data'!I10="",_xlfn.REGEXEXTRACT(CELL("address",'Raw Data'!I10),"\$([A-Z]+)\$[0-9]+"),"")</f>
        <v>$I$10</v>
      </c>
    </row>
    <row r="12" spans="2:9" x14ac:dyDescent="0.25">
      <c r="B12" t="str" cm="1">
        <f t="array" aca="1" ref="B12" ca="1">IF('Raw Data'!B11="",_xlfn.REGEXEXTRACT(CELL("address",'Raw Data'!B11),"\$([A-Z]+)\$[0-9]+"),"")</f>
        <v>$B$11</v>
      </c>
      <c r="C12" t="str" cm="1">
        <f t="array" aca="1" ref="C12" ca="1">IF('Raw Data'!C11="",_xlfn.REGEXEXTRACT(CELL("address",'Raw Data'!C11),"\$([A-Z]+)\$[0-9]+"),"")</f>
        <v>$C$11</v>
      </c>
      <c r="D12" t="str" cm="1">
        <f t="array" aca="1" ref="D12" ca="1">IF('Raw Data'!D11="",_xlfn.REGEXEXTRACT(CELL("address",'Raw Data'!D11),"\$([A-Z]+)\$[0-9]+"),"")</f>
        <v>$D$11</v>
      </c>
      <c r="E12" t="str" cm="1">
        <f t="array" aca="1" ref="E12" ca="1">IF('Raw Data'!E11="",_xlfn.REGEXEXTRACT(CELL("address",'Raw Data'!E11),"\$([A-Z]+)\$[0-9]+"),"")</f>
        <v>$E$11</v>
      </c>
      <c r="F12" t="str" cm="1">
        <f t="array" aca="1" ref="F12" ca="1">IF('Raw Data'!F11="",_xlfn.REGEXEXTRACT(CELL("address",'Raw Data'!F11),"\$([A-Z]+)\$[0-9]+"),"")</f>
        <v/>
      </c>
      <c r="G12" t="str" cm="1">
        <f t="array" aca="1" ref="G12" ca="1">IF('Raw Data'!G11="",_xlfn.REGEXEXTRACT(CELL("address",'Raw Data'!G11),"\$([A-Z]+)\$[0-9]+"),"")</f>
        <v/>
      </c>
      <c r="H12" t="e" cm="1">
        <f t="array" aca="1" ref="H12" ca="1">IF('Raw Data'!#REF!="",_xlfn.REGEXEXTRACT(CELL("address",'Raw Data'!#REF!),"\$([A-Z]+)\$[0-9]+"),"")</f>
        <v>#REF!</v>
      </c>
      <c r="I12" t="str" cm="1">
        <f t="array" aca="1" ref="I12" ca="1">IF('Raw Data'!H11="",_xlfn.REGEXEXTRACT(CELL("address",'Raw Data'!H11),"\$([A-Z]+)\$[0-9]+"),"")</f>
        <v>$H$11</v>
      </c>
    </row>
    <row r="13" spans="2:9" x14ac:dyDescent="0.25">
      <c r="B13" t="str" cm="1">
        <f t="array" aca="1" ref="B13" ca="1">IF('Raw Data'!B12="",_xlfn.REGEXEXTRACT(CELL("address",'Raw Data'!B12),"\$([A-Z]+)\$[0-9]+"),"")</f>
        <v>$B$12</v>
      </c>
      <c r="C13" t="str" cm="1">
        <f t="array" aca="1" ref="C13" ca="1">IF('Raw Data'!C12="",_xlfn.REGEXEXTRACT(CELL("address",'Raw Data'!C12),"\$([A-Z]+)\$[0-9]+"),"")</f>
        <v>$C$12</v>
      </c>
      <c r="D13" t="str" cm="1">
        <f t="array" aca="1" ref="D13" ca="1">IF('Raw Data'!D12="",_xlfn.REGEXEXTRACT(CELL("address",'Raw Data'!D12),"\$([A-Z]+)\$[0-9]+"),"")</f>
        <v>$D$12</v>
      </c>
      <c r="E13" t="str" cm="1">
        <f t="array" aca="1" ref="E13" ca="1">IF('Raw Data'!E12="",_xlfn.REGEXEXTRACT(CELL("address",'Raw Data'!E12),"\$([A-Z]+)\$[0-9]+"),"")</f>
        <v>$E$12</v>
      </c>
      <c r="F13" t="str" cm="1">
        <f t="array" aca="1" ref="F13" ca="1">IF('Raw Data'!F12="",_xlfn.REGEXEXTRACT(CELL("address",'Raw Data'!F12),"\$([A-Z]+)\$[0-9]+"),"")</f>
        <v/>
      </c>
      <c r="G13" t="str" cm="1">
        <f t="array" aca="1" ref="G13" ca="1">IF('Raw Data'!G12="",_xlfn.REGEXEXTRACT(CELL("address",'Raw Data'!G12),"\$([A-Z]+)\$[0-9]+"),"")</f>
        <v/>
      </c>
      <c r="H13" t="e" cm="1">
        <f t="array" aca="1" ref="H13" ca="1">IF('Raw Data'!#REF!="",_xlfn.REGEXEXTRACT(CELL("address",'Raw Data'!#REF!),"\$([A-Z]+)\$[0-9]+"),"")</f>
        <v>#REF!</v>
      </c>
      <c r="I13" t="str" cm="1">
        <f t="array" aca="1" ref="I13" ca="1">IF('Raw Data'!H12="",_xlfn.REGEXEXTRACT(CELL("address",'Raw Data'!H12),"\$([A-Z]+)\$[0-9]+"),"")</f>
        <v>$H$12</v>
      </c>
    </row>
    <row r="14" spans="2:9" x14ac:dyDescent="0.25">
      <c r="B14" t="str" cm="1">
        <f t="array" aca="1" ref="B14" ca="1">IF('Raw Data'!B13="",_xlfn.REGEXEXTRACT(CELL("address",'Raw Data'!B13),"\$([A-Z]+)\$[0-9]+"),"")</f>
        <v>$B$13</v>
      </c>
      <c r="C14" t="str" cm="1">
        <f t="array" aca="1" ref="C14" ca="1">IF('Raw Data'!C13="",_xlfn.REGEXEXTRACT(CELL("address",'Raw Data'!C13),"\$([A-Z]+)\$[0-9]+"),"")</f>
        <v>$C$13</v>
      </c>
      <c r="D14" t="str" cm="1">
        <f t="array" aca="1" ref="D14" ca="1">IF('Raw Data'!D13="",_xlfn.REGEXEXTRACT(CELL("address",'Raw Data'!D13),"\$([A-Z]+)\$[0-9]+"),"")</f>
        <v>$D$13</v>
      </c>
      <c r="E14" t="str" cm="1">
        <f t="array" aca="1" ref="E14" ca="1">IF('Raw Data'!E13="",_xlfn.REGEXEXTRACT(CELL("address",'Raw Data'!E13),"\$([A-Z]+)\$[0-9]+"),"")</f>
        <v>$E$13</v>
      </c>
      <c r="F14" t="str" cm="1">
        <f t="array" aca="1" ref="F14" ca="1">IF('Raw Data'!F13="",_xlfn.REGEXEXTRACT(CELL("address",'Raw Data'!F13),"\$([A-Z]+)\$[0-9]+"),"")</f>
        <v/>
      </c>
      <c r="G14" t="str" cm="1">
        <f t="array" aca="1" ref="G14" ca="1">IF('Raw Data'!G13="",_xlfn.REGEXEXTRACT(CELL("address",'Raw Data'!G13),"\$([A-Z]+)\$[0-9]+"),"")</f>
        <v/>
      </c>
      <c r="H14" t="e" cm="1">
        <f t="array" aca="1" ref="H14" ca="1">IF('Raw Data'!#REF!="",_xlfn.REGEXEXTRACT(CELL("address",'Raw Data'!#REF!),"\$([A-Z]+)\$[0-9]+"),"")</f>
        <v>#REF!</v>
      </c>
      <c r="I14" t="str" cm="1">
        <f t="array" aca="1" ref="I14" ca="1">IF('Raw Data'!H13="",_xlfn.REGEXEXTRACT(CELL("address",'Raw Data'!H13),"\$([A-Z]+)\$[0-9]+"),"")</f>
        <v>$H$13</v>
      </c>
    </row>
    <row r="15" spans="2:9" x14ac:dyDescent="0.25">
      <c r="B15" t="str" cm="1">
        <f t="array" aca="1" ref="B15" ca="1">IF('Raw Data'!B14="",_xlfn.REGEXEXTRACT(CELL("address",'Raw Data'!B14),"\$([A-Z]+)\$[0-9]+"),"")</f>
        <v>$B$14</v>
      </c>
      <c r="C15" t="str" cm="1">
        <f t="array" aca="1" ref="C15" ca="1">IF('Raw Data'!C14="",_xlfn.REGEXEXTRACT(CELL("address",'Raw Data'!C14),"\$([A-Z]+)\$[0-9]+"),"")</f>
        <v>$C$14</v>
      </c>
      <c r="D15" t="str" cm="1">
        <f t="array" aca="1" ref="D15" ca="1">IF('Raw Data'!D14="",_xlfn.REGEXEXTRACT(CELL("address",'Raw Data'!D14),"\$([A-Z]+)\$[0-9]+"),"")</f>
        <v>$D$14</v>
      </c>
      <c r="E15" t="str" cm="1">
        <f t="array" aca="1" ref="E15" ca="1">IF('Raw Data'!E14="",_xlfn.REGEXEXTRACT(CELL("address",'Raw Data'!E14),"\$([A-Z]+)\$[0-9]+"),"")</f>
        <v>$E$14</v>
      </c>
      <c r="F15" t="str" cm="1">
        <f t="array" aca="1" ref="F15" ca="1">IF('Raw Data'!F14="",_xlfn.REGEXEXTRACT(CELL("address",'Raw Data'!F14),"\$([A-Z]+)\$[0-9]+"),"")</f>
        <v/>
      </c>
      <c r="G15" t="str" cm="1">
        <f t="array" aca="1" ref="G15" ca="1">IF('Raw Data'!G14="",_xlfn.REGEXEXTRACT(CELL("address",'Raw Data'!G14),"\$([A-Z]+)\$[0-9]+"),"")</f>
        <v/>
      </c>
      <c r="H15" t="e" cm="1">
        <f t="array" aca="1" ref="H15" ca="1">IF('Raw Data'!#REF!="",_xlfn.REGEXEXTRACT(CELL("address",'Raw Data'!#REF!),"\$([A-Z]+)\$[0-9]+"),"")</f>
        <v>#REF!</v>
      </c>
      <c r="I15" t="str" cm="1">
        <f t="array" aca="1" ref="I15" ca="1">IF('Raw Data'!H14="",_xlfn.REGEXEXTRACT(CELL("address",'Raw Data'!H14),"\$([A-Z]+)\$[0-9]+"),"")</f>
        <v>$H$14</v>
      </c>
    </row>
    <row r="16" spans="2:9" x14ac:dyDescent="0.25">
      <c r="B16" t="str" cm="1">
        <f t="array" aca="1" ref="B16" ca="1">IF('Raw Data'!B15="",_xlfn.REGEXEXTRACT(CELL("address",'Raw Data'!B15),"\$([A-Z]+)\$[0-9]+"),"")</f>
        <v>$B$15</v>
      </c>
      <c r="C16" t="str" cm="1">
        <f t="array" aca="1" ref="C16" ca="1">IF('Raw Data'!C15="",_xlfn.REGEXEXTRACT(CELL("address",'Raw Data'!C15),"\$([A-Z]+)\$[0-9]+"),"")</f>
        <v>$C$15</v>
      </c>
      <c r="D16" t="str" cm="1">
        <f t="array" aca="1" ref="D16" ca="1">IF('Raw Data'!D15="",_xlfn.REGEXEXTRACT(CELL("address",'Raw Data'!D15),"\$([A-Z]+)\$[0-9]+"),"")</f>
        <v>$D$15</v>
      </c>
      <c r="E16" t="str" cm="1">
        <f t="array" aca="1" ref="E16" ca="1">IF('Raw Data'!E15="",_xlfn.REGEXEXTRACT(CELL("address",'Raw Data'!E15),"\$([A-Z]+)\$[0-9]+"),"")</f>
        <v>$E$15</v>
      </c>
      <c r="F16" t="str" cm="1">
        <f t="array" aca="1" ref="F16" ca="1">IF('Raw Data'!F15="",_xlfn.REGEXEXTRACT(CELL("address",'Raw Data'!F15),"\$([A-Z]+)\$[0-9]+"),"")</f>
        <v/>
      </c>
      <c r="G16" t="str" cm="1">
        <f t="array" aca="1" ref="G16" ca="1">IF('Raw Data'!G15="",_xlfn.REGEXEXTRACT(CELL("address",'Raw Data'!G15),"\$([A-Z]+)\$[0-9]+"),"")</f>
        <v/>
      </c>
      <c r="H16" t="e" cm="1">
        <f t="array" aca="1" ref="H16" ca="1">IF('Raw Data'!#REF!="",_xlfn.REGEXEXTRACT(CELL("address",'Raw Data'!#REF!),"\$([A-Z]+)\$[0-9]+"),"")</f>
        <v>#REF!</v>
      </c>
      <c r="I16" t="str" cm="1">
        <f t="array" aca="1" ref="I16" ca="1">IF('Raw Data'!H15="",_xlfn.REGEXEXTRACT(CELL("address",'Raw Data'!H15),"\$([A-Z]+)\$[0-9]+"),"")</f>
        <v>$H$15</v>
      </c>
    </row>
    <row r="17" spans="2:9" x14ac:dyDescent="0.25">
      <c r="B17" t="str" cm="1">
        <f t="array" aca="1" ref="B17" ca="1">IF('Raw Data'!B16="",_xlfn.REGEXEXTRACT(CELL("address",'Raw Data'!B16),"\$([A-Z]+)\$[0-9]+"),"")</f>
        <v>$B$16</v>
      </c>
      <c r="C17" t="str" cm="1">
        <f t="array" aca="1" ref="C17" ca="1">IF('Raw Data'!C16="",_xlfn.REGEXEXTRACT(CELL("address",'Raw Data'!C16),"\$([A-Z]+)\$[0-9]+"),"")</f>
        <v>$C$16</v>
      </c>
      <c r="D17" t="str" cm="1">
        <f t="array" aca="1" ref="D17" ca="1">IF('Raw Data'!D16="",_xlfn.REGEXEXTRACT(CELL("address",'Raw Data'!D16),"\$([A-Z]+)\$[0-9]+"),"")</f>
        <v>$D$16</v>
      </c>
      <c r="E17" t="str" cm="1">
        <f t="array" aca="1" ref="E17" ca="1">IF('Raw Data'!E16="",_xlfn.REGEXEXTRACT(CELL("address",'Raw Data'!E16),"\$([A-Z]+)\$[0-9]+"),"")</f>
        <v>$E$16</v>
      </c>
      <c r="F17" t="str" cm="1">
        <f t="array" aca="1" ref="F17" ca="1">IF('Raw Data'!F16="",_xlfn.REGEXEXTRACT(CELL("address",'Raw Data'!F16),"\$([A-Z]+)\$[0-9]+"),"")</f>
        <v/>
      </c>
      <c r="G17" t="str" cm="1">
        <f t="array" aca="1" ref="G17" ca="1">IF('Raw Data'!G16="",_xlfn.REGEXEXTRACT(CELL("address",'Raw Data'!G16),"\$([A-Z]+)\$[0-9]+"),"")</f>
        <v/>
      </c>
      <c r="H17" t="e" cm="1">
        <f t="array" aca="1" ref="H17" ca="1">IF('Raw Data'!#REF!="",_xlfn.REGEXEXTRACT(CELL("address",'Raw Data'!#REF!),"\$([A-Z]+)\$[0-9]+"),"")</f>
        <v>#REF!</v>
      </c>
      <c r="I17" t="str" cm="1">
        <f t="array" aca="1" ref="I17" ca="1">IF('Raw Data'!H16="",_xlfn.REGEXEXTRACT(CELL("address",'Raw Data'!H16),"\$([A-Z]+)\$[0-9]+"),"")</f>
        <v>$H$16</v>
      </c>
    </row>
    <row r="18" spans="2:9" x14ac:dyDescent="0.25">
      <c r="B18" t="str" cm="1">
        <f t="array" aca="1" ref="B18" ca="1">IF('Raw Data'!B17="",_xlfn.REGEXEXTRACT(CELL("address",'Raw Data'!B17),"\$([A-Z]+)\$[0-9]+"),"")</f>
        <v>$B$17</v>
      </c>
      <c r="C18" t="str" cm="1">
        <f t="array" aca="1" ref="C18" ca="1">IF('Raw Data'!C17="",_xlfn.REGEXEXTRACT(CELL("address",'Raw Data'!C17),"\$([A-Z]+)\$[0-9]+"),"")</f>
        <v>$C$17</v>
      </c>
      <c r="D18" t="str" cm="1">
        <f t="array" aca="1" ref="D18" ca="1">IF('Raw Data'!D17="",_xlfn.REGEXEXTRACT(CELL("address",'Raw Data'!D17),"\$([A-Z]+)\$[0-9]+"),"")</f>
        <v>$D$17</v>
      </c>
      <c r="E18" t="str" cm="1">
        <f t="array" aca="1" ref="E18" ca="1">IF('Raw Data'!E17="",_xlfn.REGEXEXTRACT(CELL("address",'Raw Data'!E17),"\$([A-Z]+)\$[0-9]+"),"")</f>
        <v>$E$17</v>
      </c>
      <c r="F18" t="str" cm="1">
        <f t="array" aca="1" ref="F18" ca="1">IF('Raw Data'!F17="",_xlfn.REGEXEXTRACT(CELL("address",'Raw Data'!F17),"\$([A-Z]+)\$[0-9]+"),"")</f>
        <v/>
      </c>
      <c r="G18" t="str" cm="1">
        <f t="array" aca="1" ref="G18" ca="1">IF('Raw Data'!G17="",_xlfn.REGEXEXTRACT(CELL("address",'Raw Data'!G17),"\$([A-Z]+)\$[0-9]+"),"")</f>
        <v/>
      </c>
      <c r="H18" t="e" cm="1">
        <f t="array" aca="1" ref="H18" ca="1">IF('Raw Data'!#REF!="",_xlfn.REGEXEXTRACT(CELL("address",'Raw Data'!#REF!),"\$([A-Z]+)\$[0-9]+"),"")</f>
        <v>#REF!</v>
      </c>
      <c r="I18" t="str" cm="1">
        <f t="array" aca="1" ref="I18" ca="1">IF('Raw Data'!H17="",_xlfn.REGEXEXTRACT(CELL("address",'Raw Data'!H17),"\$([A-Z]+)\$[0-9]+"),"")</f>
        <v>$H$17</v>
      </c>
    </row>
    <row r="19" spans="2:9" x14ac:dyDescent="0.25">
      <c r="B19" t="str" cm="1">
        <f t="array" aca="1" ref="B19" ca="1">IF('Raw Data'!B18="",_xlfn.REGEXEXTRACT(CELL("address",'Raw Data'!B18),"\$([A-Z]+)\$[0-9]+"),"")</f>
        <v>$B$18</v>
      </c>
      <c r="C19" t="str" cm="1">
        <f t="array" aca="1" ref="C19" ca="1">IF('Raw Data'!C18="",_xlfn.REGEXEXTRACT(CELL("address",'Raw Data'!C18),"\$([A-Z]+)\$[0-9]+"),"")</f>
        <v>$C$18</v>
      </c>
      <c r="D19" t="str" cm="1">
        <f t="array" aca="1" ref="D19" ca="1">IF('Raw Data'!D18="",_xlfn.REGEXEXTRACT(CELL("address",'Raw Data'!D18),"\$([A-Z]+)\$[0-9]+"),"")</f>
        <v>$D$18</v>
      </c>
      <c r="E19" t="str" cm="1">
        <f t="array" aca="1" ref="E19" ca="1">IF('Raw Data'!E18="",_xlfn.REGEXEXTRACT(CELL("address",'Raw Data'!E18),"\$([A-Z]+)\$[0-9]+"),"")</f>
        <v>$E$18</v>
      </c>
      <c r="F19" t="str" cm="1">
        <f t="array" aca="1" ref="F19" ca="1">IF('Raw Data'!F18="",_xlfn.REGEXEXTRACT(CELL("address",'Raw Data'!F18),"\$([A-Z]+)\$[0-9]+"),"")</f>
        <v/>
      </c>
      <c r="G19" t="str" cm="1">
        <f t="array" aca="1" ref="G19" ca="1">IF('Raw Data'!G18="",_xlfn.REGEXEXTRACT(CELL("address",'Raw Data'!G18),"\$([A-Z]+)\$[0-9]+"),"")</f>
        <v/>
      </c>
      <c r="H19" t="e" cm="1">
        <f t="array" aca="1" ref="H19" ca="1">IF('Raw Data'!#REF!="",_xlfn.REGEXEXTRACT(CELL("address",'Raw Data'!#REF!),"\$([A-Z]+)\$[0-9]+"),"")</f>
        <v>#REF!</v>
      </c>
      <c r="I19" t="str" cm="1">
        <f t="array" aca="1" ref="I19" ca="1">IF('Raw Data'!H18="",_xlfn.REGEXEXTRACT(CELL("address",'Raw Data'!H18),"\$([A-Z]+)\$[0-9]+"),"")</f>
        <v>$H$18</v>
      </c>
    </row>
    <row r="20" spans="2:9" x14ac:dyDescent="0.25">
      <c r="B20" t="str" cm="1">
        <f t="array" aca="1" ref="B20" ca="1">IF('Raw Data'!B19="",_xlfn.REGEXEXTRACT(CELL("address",'Raw Data'!B19),"\$([A-Z]+)\$[0-9]+"),"")</f>
        <v>$B$19</v>
      </c>
      <c r="C20" t="str" cm="1">
        <f t="array" aca="1" ref="C20" ca="1">IF('Raw Data'!C19="",_xlfn.REGEXEXTRACT(CELL("address",'Raw Data'!C19),"\$([A-Z]+)\$[0-9]+"),"")</f>
        <v>$C$19</v>
      </c>
      <c r="D20" t="str" cm="1">
        <f t="array" aca="1" ref="D20" ca="1">IF('Raw Data'!D19="",_xlfn.REGEXEXTRACT(CELL("address",'Raw Data'!D19),"\$([A-Z]+)\$[0-9]+"),"")</f>
        <v>$D$19</v>
      </c>
      <c r="E20" t="str" cm="1">
        <f t="array" aca="1" ref="E20" ca="1">IF('Raw Data'!E19="",_xlfn.REGEXEXTRACT(CELL("address",'Raw Data'!E19),"\$([A-Z]+)\$[0-9]+"),"")</f>
        <v>$E$19</v>
      </c>
      <c r="F20" t="str" cm="1">
        <f t="array" aca="1" ref="F20" ca="1">IF('Raw Data'!F19="",_xlfn.REGEXEXTRACT(CELL("address",'Raw Data'!F19),"\$([A-Z]+)\$[0-9]+"),"")</f>
        <v/>
      </c>
      <c r="G20" t="str" cm="1">
        <f t="array" aca="1" ref="G20" ca="1">IF('Raw Data'!G19="",_xlfn.REGEXEXTRACT(CELL("address",'Raw Data'!G19),"\$([A-Z]+)\$[0-9]+"),"")</f>
        <v/>
      </c>
      <c r="H20" t="e" cm="1">
        <f t="array" aca="1" ref="H20" ca="1">IF('Raw Data'!#REF!="",_xlfn.REGEXEXTRACT(CELL("address",'Raw Data'!#REF!),"\$([A-Z]+)\$[0-9]+"),"")</f>
        <v>#REF!</v>
      </c>
      <c r="I20" t="str" cm="1">
        <f t="array" aca="1" ref="I20" ca="1">IF('Raw Data'!H19="",_xlfn.REGEXEXTRACT(CELL("address",'Raw Data'!H19),"\$([A-Z]+)\$[0-9]+"),"")</f>
        <v>$H$19</v>
      </c>
    </row>
    <row r="21" spans="2:9" x14ac:dyDescent="0.25">
      <c r="B21" t="str" cm="1">
        <f t="array" aca="1" ref="B21" ca="1">IF('Raw Data'!B20="",_xlfn.REGEXEXTRACT(CELL("address",'Raw Data'!B20),"\$([A-Z]+)\$[0-9]+"),"")</f>
        <v>$B$20</v>
      </c>
      <c r="C21" t="str" cm="1">
        <f t="array" aca="1" ref="C21" ca="1">IF('Raw Data'!C20="",_xlfn.REGEXEXTRACT(CELL("address",'Raw Data'!C20),"\$([A-Z]+)\$[0-9]+"),"")</f>
        <v>$C$20</v>
      </c>
      <c r="D21" t="str" cm="1">
        <f t="array" aca="1" ref="D21" ca="1">IF('Raw Data'!D20="",_xlfn.REGEXEXTRACT(CELL("address",'Raw Data'!D20),"\$([A-Z]+)\$[0-9]+"),"")</f>
        <v>$D$20</v>
      </c>
      <c r="E21" t="str" cm="1">
        <f t="array" aca="1" ref="E21" ca="1">IF('Raw Data'!E20="",_xlfn.REGEXEXTRACT(CELL("address",'Raw Data'!E20),"\$([A-Z]+)\$[0-9]+"),"")</f>
        <v>$E$20</v>
      </c>
      <c r="F21" t="str" cm="1">
        <f t="array" aca="1" ref="F21" ca="1">IF('Raw Data'!F20="",_xlfn.REGEXEXTRACT(CELL("address",'Raw Data'!F20),"\$([A-Z]+)\$[0-9]+"),"")</f>
        <v/>
      </c>
      <c r="G21" t="str" cm="1">
        <f t="array" aca="1" ref="G21" ca="1">IF('Raw Data'!G20="",_xlfn.REGEXEXTRACT(CELL("address",'Raw Data'!G20),"\$([A-Z]+)\$[0-9]+"),"")</f>
        <v/>
      </c>
      <c r="H21" t="e" cm="1">
        <f t="array" aca="1" ref="H21" ca="1">IF('Raw Data'!#REF!="",_xlfn.REGEXEXTRACT(CELL("address",'Raw Data'!#REF!),"\$([A-Z]+)\$[0-9]+"),"")</f>
        <v>#REF!</v>
      </c>
      <c r="I21" t="str" cm="1">
        <f t="array" aca="1" ref="I21" ca="1">IF('Raw Data'!H20="",_xlfn.REGEXEXTRACT(CELL("address",'Raw Data'!H20),"\$([A-Z]+)\$[0-9]+"),"")</f>
        <v>$H$20</v>
      </c>
    </row>
    <row r="22" spans="2:9" x14ac:dyDescent="0.25">
      <c r="B22" t="str" cm="1">
        <f t="array" aca="1" ref="B22" ca="1">IF('Raw Data'!B21="",_xlfn.REGEXEXTRACT(CELL("address",'Raw Data'!B21),"\$([A-Z]+)\$[0-9]+"),"")</f>
        <v>$B$21</v>
      </c>
      <c r="C22" t="str" cm="1">
        <f t="array" aca="1" ref="C22" ca="1">IF('Raw Data'!C21="",_xlfn.REGEXEXTRACT(CELL("address",'Raw Data'!C21),"\$([A-Z]+)\$[0-9]+"),"")</f>
        <v>$C$21</v>
      </c>
      <c r="D22" t="str" cm="1">
        <f t="array" aca="1" ref="D22" ca="1">IF('Raw Data'!D21="",_xlfn.REGEXEXTRACT(CELL("address",'Raw Data'!D21),"\$([A-Z]+)\$[0-9]+"),"")</f>
        <v>$D$21</v>
      </c>
      <c r="E22" t="str" cm="1">
        <f t="array" aca="1" ref="E22" ca="1">IF('Raw Data'!E21="",_xlfn.REGEXEXTRACT(CELL("address",'Raw Data'!E21),"\$([A-Z]+)\$[0-9]+"),"")</f>
        <v>$E$21</v>
      </c>
      <c r="F22" t="str" cm="1">
        <f t="array" aca="1" ref="F22" ca="1">IF('Raw Data'!F21="",_xlfn.REGEXEXTRACT(CELL("address",'Raw Data'!F21),"\$([A-Z]+)\$[0-9]+"),"")</f>
        <v/>
      </c>
      <c r="G22" t="str" cm="1">
        <f t="array" aca="1" ref="G22" ca="1">IF('Raw Data'!G21="",_xlfn.REGEXEXTRACT(CELL("address",'Raw Data'!G21),"\$([A-Z]+)\$[0-9]+"),"")</f>
        <v/>
      </c>
      <c r="H22" t="str" cm="1">
        <f t="array" aca="1" ref="H22" ca="1">IF('Raw Data'!H21="",_xlfn.REGEXEXTRACT(CELL("address",'Raw Data'!H21),"\$([A-Z]+)\$[0-9]+"),"")</f>
        <v>$H$21</v>
      </c>
      <c r="I22" t="str" cm="1">
        <f t="array" aca="1" ref="I22" ca="1">IF('Raw Data'!I21="",_xlfn.REGEXEXTRACT(CELL("address",'Raw Data'!I21),"\$([A-Z]+)\$[0-9]+"),"")</f>
        <v>$I$21</v>
      </c>
    </row>
    <row r="23" spans="2:9" x14ac:dyDescent="0.25">
      <c r="B23" t="str" cm="1">
        <f t="array" aca="1" ref="B23" ca="1">IF('Raw Data'!B22="",_xlfn.REGEXEXTRACT(CELL("address",'Raw Data'!B22),"\$([A-Z]+)\$[0-9]+"),"")</f>
        <v>$B$22</v>
      </c>
      <c r="C23" t="str" cm="1">
        <f t="array" aca="1" ref="C23" ca="1">IF('Raw Data'!C22="",_xlfn.REGEXEXTRACT(CELL("address",'Raw Data'!C22),"\$([A-Z]+)\$[0-9]+"),"")</f>
        <v>$C$22</v>
      </c>
      <c r="D23" t="str" cm="1">
        <f t="array" aca="1" ref="D23" ca="1">IF('Raw Data'!D22="",_xlfn.REGEXEXTRACT(CELL("address",'Raw Data'!D22),"\$([A-Z]+)\$[0-9]+"),"")</f>
        <v>$D$22</v>
      </c>
      <c r="E23" t="str" cm="1">
        <f t="array" aca="1" ref="E23" ca="1">IF('Raw Data'!E22="",_xlfn.REGEXEXTRACT(CELL("address",'Raw Data'!E22),"\$([A-Z]+)\$[0-9]+"),"")</f>
        <v>$E$22</v>
      </c>
      <c r="F23" t="str" cm="1">
        <f t="array" aca="1" ref="F23" ca="1">IF('Raw Data'!F22="",_xlfn.REGEXEXTRACT(CELL("address",'Raw Data'!F22),"\$([A-Z]+)\$[0-9]+"),"")</f>
        <v/>
      </c>
      <c r="G23" t="str" cm="1">
        <f t="array" aca="1" ref="G23" ca="1">IF('Raw Data'!G22="",_xlfn.REGEXEXTRACT(CELL("address",'Raw Data'!G22),"\$([A-Z]+)\$[0-9]+"),"")</f>
        <v/>
      </c>
      <c r="H23" t="str" cm="1">
        <f t="array" aca="1" ref="H23" ca="1">IF('Raw Data'!H22="",_xlfn.REGEXEXTRACT(CELL("address",'Raw Data'!H22),"\$([A-Z]+)\$[0-9]+"),"")</f>
        <v>$H$22</v>
      </c>
      <c r="I23" t="str" cm="1">
        <f t="array" aca="1" ref="I23" ca="1">IF('Raw Data'!I22="",_xlfn.REGEXEXTRACT(CELL("address",'Raw Data'!I22),"\$([A-Z]+)\$[0-9]+"),"")</f>
        <v>$I$22</v>
      </c>
    </row>
    <row r="24" spans="2:9" x14ac:dyDescent="0.25">
      <c r="B24" t="str" cm="1">
        <f t="array" aca="1" ref="B24" ca="1">IF('Raw Data'!B23="",_xlfn.REGEXEXTRACT(CELL("address",'Raw Data'!B23),"\$([A-Z]+)\$[0-9]+"),"")</f>
        <v>$B$23</v>
      </c>
      <c r="C24" t="str" cm="1">
        <f t="array" aca="1" ref="C24" ca="1">IF('Raw Data'!C23="",_xlfn.REGEXEXTRACT(CELL("address",'Raw Data'!C23),"\$([A-Z]+)\$[0-9]+"),"")</f>
        <v>$C$23</v>
      </c>
      <c r="D24" t="str" cm="1">
        <f t="array" aca="1" ref="D24" ca="1">IF('Raw Data'!D23="",_xlfn.REGEXEXTRACT(CELL("address",'Raw Data'!D23),"\$([A-Z]+)\$[0-9]+"),"")</f>
        <v>$D$23</v>
      </c>
      <c r="E24" t="str" cm="1">
        <f t="array" aca="1" ref="E24" ca="1">IF('Raw Data'!E23="",_xlfn.REGEXEXTRACT(CELL("address",'Raw Data'!E23),"\$([A-Z]+)\$[0-9]+"),"")</f>
        <v>$E$23</v>
      </c>
      <c r="F24" t="str" cm="1">
        <f t="array" aca="1" ref="F24" ca="1">IF('Raw Data'!F23="",_xlfn.REGEXEXTRACT(CELL("address",'Raw Data'!F23),"\$([A-Z]+)\$[0-9]+"),"")</f>
        <v/>
      </c>
      <c r="G24" t="str" cm="1">
        <f t="array" aca="1" ref="G24" ca="1">IF('Raw Data'!G23="",_xlfn.REGEXEXTRACT(CELL("address",'Raw Data'!G23),"\$([A-Z]+)\$[0-9]+"),"")</f>
        <v/>
      </c>
      <c r="H24" t="str" cm="1">
        <f t="array" aca="1" ref="H24" ca="1">IF('Raw Data'!H23="",_xlfn.REGEXEXTRACT(CELL("address",'Raw Data'!H23),"\$([A-Z]+)\$[0-9]+"),"")</f>
        <v>$H$23</v>
      </c>
      <c r="I24" t="str" cm="1">
        <f t="array" aca="1" ref="I24" ca="1">IF('Raw Data'!I23="",_xlfn.REGEXEXTRACT(CELL("address",'Raw Data'!I23),"\$([A-Z]+)\$[0-9]+"),"")</f>
        <v>$I$23</v>
      </c>
    </row>
    <row r="25" spans="2:9" x14ac:dyDescent="0.25">
      <c r="B25" t="str" cm="1">
        <f t="array" aca="1" ref="B25" ca="1">IF('Raw Data'!B24="",_xlfn.REGEXEXTRACT(CELL("address",'Raw Data'!B24),"\$([A-Z]+)\$[0-9]+"),"")</f>
        <v>$B$24</v>
      </c>
      <c r="C25" t="str" cm="1">
        <f t="array" aca="1" ref="C25" ca="1">IF('Raw Data'!C24="",_xlfn.REGEXEXTRACT(CELL("address",'Raw Data'!C24),"\$([A-Z]+)\$[0-9]+"),"")</f>
        <v>$C$24</v>
      </c>
      <c r="D25" t="str" cm="1">
        <f t="array" aca="1" ref="D25" ca="1">IF('Raw Data'!D24="",_xlfn.REGEXEXTRACT(CELL("address",'Raw Data'!D24),"\$([A-Z]+)\$[0-9]+"),"")</f>
        <v>$D$24</v>
      </c>
      <c r="E25" t="str" cm="1">
        <f t="array" aca="1" ref="E25" ca="1">IF('Raw Data'!E24="",_xlfn.REGEXEXTRACT(CELL("address",'Raw Data'!E24),"\$([A-Z]+)\$[0-9]+"),"")</f>
        <v>$E$24</v>
      </c>
      <c r="F25" t="str" cm="1">
        <f t="array" aca="1" ref="F25" ca="1">IF('Raw Data'!F24="",_xlfn.REGEXEXTRACT(CELL("address",'Raw Data'!F24),"\$([A-Z]+)\$[0-9]+"),"")</f>
        <v/>
      </c>
      <c r="G25" t="str" cm="1">
        <f t="array" aca="1" ref="G25" ca="1">IF('Raw Data'!G24="",_xlfn.REGEXEXTRACT(CELL("address",'Raw Data'!G24),"\$([A-Z]+)\$[0-9]+"),"")</f>
        <v/>
      </c>
      <c r="H25" t="str" cm="1">
        <f t="array" aca="1" ref="H25" ca="1">IF('Raw Data'!H24="",_xlfn.REGEXEXTRACT(CELL("address",'Raw Data'!H24),"\$([A-Z]+)\$[0-9]+"),"")</f>
        <v>$H$24</v>
      </c>
      <c r="I25" t="str" cm="1">
        <f t="array" aca="1" ref="I25" ca="1">IF('Raw Data'!I24="",_xlfn.REGEXEXTRACT(CELL("address",'Raw Data'!I24),"\$([A-Z]+)\$[0-9]+"),"")</f>
        <v>$I$24</v>
      </c>
    </row>
    <row r="26" spans="2:9" x14ac:dyDescent="0.25">
      <c r="B26" t="str" cm="1">
        <f t="array" aca="1" ref="B26" ca="1">IF('Raw Data'!B25="",_xlfn.REGEXEXTRACT(CELL("address",'Raw Data'!B25),"\$([A-Z]+)\$[0-9]+"),"")</f>
        <v>$B$25</v>
      </c>
      <c r="C26" t="str" cm="1">
        <f t="array" aca="1" ref="C26" ca="1">IF('Raw Data'!C25="",_xlfn.REGEXEXTRACT(CELL("address",'Raw Data'!C25),"\$([A-Z]+)\$[0-9]+"),"")</f>
        <v>$C$25</v>
      </c>
      <c r="D26" t="str" cm="1">
        <f t="array" aca="1" ref="D26" ca="1">IF('Raw Data'!D25="",_xlfn.REGEXEXTRACT(CELL("address",'Raw Data'!D25),"\$([A-Z]+)\$[0-9]+"),"")</f>
        <v>$D$25</v>
      </c>
      <c r="E26" t="str" cm="1">
        <f t="array" aca="1" ref="E26" ca="1">IF('Raw Data'!E25="",_xlfn.REGEXEXTRACT(CELL("address",'Raw Data'!E25),"\$([A-Z]+)\$[0-9]+"),"")</f>
        <v>$E$25</v>
      </c>
      <c r="F26" t="str" cm="1">
        <f t="array" aca="1" ref="F26" ca="1">IF('Raw Data'!F25="",_xlfn.REGEXEXTRACT(CELL("address",'Raw Data'!F25),"\$([A-Z]+)\$[0-9]+"),"")</f>
        <v/>
      </c>
      <c r="G26" t="str" cm="1">
        <f t="array" aca="1" ref="G26" ca="1">IF('Raw Data'!G25="",_xlfn.REGEXEXTRACT(CELL("address",'Raw Data'!G25),"\$([A-Z]+)\$[0-9]+"),"")</f>
        <v/>
      </c>
      <c r="H26" t="str" cm="1">
        <f t="array" aca="1" ref="H26" ca="1">IF('Raw Data'!H25="",_xlfn.REGEXEXTRACT(CELL("address",'Raw Data'!H25),"\$([A-Z]+)\$[0-9]+"),"")</f>
        <v>$H$25</v>
      </c>
      <c r="I26" t="str" cm="1">
        <f t="array" aca="1" ref="I26" ca="1">IF('Raw Data'!I25="",_xlfn.REGEXEXTRACT(CELL("address",'Raw Data'!I25),"\$([A-Z]+)\$[0-9]+"),"")</f>
        <v>$I$25</v>
      </c>
    </row>
    <row r="27" spans="2:9" x14ac:dyDescent="0.25">
      <c r="B27" t="str" cm="1">
        <f t="array" aca="1" ref="B27" ca="1">IF('Raw Data'!B26="",_xlfn.REGEXEXTRACT(CELL("address",'Raw Data'!B26),"\$([A-Z]+)\$[0-9]+"),"")</f>
        <v>$B$26</v>
      </c>
      <c r="C27" t="str" cm="1">
        <f t="array" aca="1" ref="C27" ca="1">IF('Raw Data'!C26="",_xlfn.REGEXEXTRACT(CELL("address",'Raw Data'!C26),"\$([A-Z]+)\$[0-9]+"),"")</f>
        <v>$C$26</v>
      </c>
      <c r="D27" t="str" cm="1">
        <f t="array" aca="1" ref="D27" ca="1">IF('Raw Data'!D26="",_xlfn.REGEXEXTRACT(CELL("address",'Raw Data'!D26),"\$([A-Z]+)\$[0-9]+"),"")</f>
        <v>$D$26</v>
      </c>
      <c r="E27" t="str" cm="1">
        <f t="array" aca="1" ref="E27" ca="1">IF('Raw Data'!E26="",_xlfn.REGEXEXTRACT(CELL("address",'Raw Data'!E26),"\$([A-Z]+)\$[0-9]+"),"")</f>
        <v>$E$26</v>
      </c>
      <c r="F27" t="str" cm="1">
        <f t="array" aca="1" ref="F27" ca="1">IF('Raw Data'!F26="",_xlfn.REGEXEXTRACT(CELL("address",'Raw Data'!F26),"\$([A-Z]+)\$[0-9]+"),"")</f>
        <v/>
      </c>
      <c r="G27" t="str" cm="1">
        <f t="array" aca="1" ref="G27" ca="1">IF('Raw Data'!G26="",_xlfn.REGEXEXTRACT(CELL("address",'Raw Data'!G26),"\$([A-Z]+)\$[0-9]+"),"")</f>
        <v/>
      </c>
      <c r="H27" t="str" cm="1">
        <f t="array" aca="1" ref="H27" ca="1">IF('Raw Data'!H26="",_xlfn.REGEXEXTRACT(CELL("address",'Raw Data'!H26),"\$([A-Z]+)\$[0-9]+"),"")</f>
        <v>$H$26</v>
      </c>
      <c r="I27" t="str" cm="1">
        <f t="array" aca="1" ref="I27" ca="1">IF('Raw Data'!I26="",_xlfn.REGEXEXTRACT(CELL("address",'Raw Data'!I26),"\$([A-Z]+)\$[0-9]+"),"")</f>
        <v>$I$26</v>
      </c>
    </row>
    <row r="28" spans="2:9" x14ac:dyDescent="0.25">
      <c r="B28" t="str" cm="1">
        <f t="array" aca="1" ref="B28" ca="1">IF('Raw Data'!B27="",_xlfn.REGEXEXTRACT(CELL("address",'Raw Data'!B27),"\$([A-Z]+)\$[0-9]+"),"")</f>
        <v>$B$27</v>
      </c>
      <c r="C28" t="str" cm="1">
        <f t="array" aca="1" ref="C28" ca="1">IF('Raw Data'!C27="",_xlfn.REGEXEXTRACT(CELL("address",'Raw Data'!C27),"\$([A-Z]+)\$[0-9]+"),"")</f>
        <v>$C$27</v>
      </c>
      <c r="D28" t="str" cm="1">
        <f t="array" aca="1" ref="D28" ca="1">IF('Raw Data'!D27="",_xlfn.REGEXEXTRACT(CELL("address",'Raw Data'!D27),"\$([A-Z]+)\$[0-9]+"),"")</f>
        <v>$D$27</v>
      </c>
      <c r="E28" t="str" cm="1">
        <f t="array" aca="1" ref="E28" ca="1">IF('Raw Data'!E27="",_xlfn.REGEXEXTRACT(CELL("address",'Raw Data'!E27),"\$([A-Z]+)\$[0-9]+"),"")</f>
        <v>$E$27</v>
      </c>
      <c r="F28" t="str" cm="1">
        <f t="array" aca="1" ref="F28" ca="1">IF('Raw Data'!F27="",_xlfn.REGEXEXTRACT(CELL("address",'Raw Data'!F27),"\$([A-Z]+)\$[0-9]+"),"")</f>
        <v/>
      </c>
      <c r="G28" t="str" cm="1">
        <f t="array" aca="1" ref="G28" ca="1">IF('Raw Data'!G27="",_xlfn.REGEXEXTRACT(CELL("address",'Raw Data'!G27),"\$([A-Z]+)\$[0-9]+"),"")</f>
        <v/>
      </c>
      <c r="H28" t="str" cm="1">
        <f t="array" aca="1" ref="H28" ca="1">IF('Raw Data'!H27="",_xlfn.REGEXEXTRACT(CELL("address",'Raw Data'!H27),"\$([A-Z]+)\$[0-9]+"),"")</f>
        <v>$H$27</v>
      </c>
      <c r="I28" t="str" cm="1">
        <f t="array" aca="1" ref="I28" ca="1">IF('Raw Data'!I27="",_xlfn.REGEXEXTRACT(CELL("address",'Raw Data'!I27),"\$([A-Z]+)\$[0-9]+"),"")</f>
        <v>$I$27</v>
      </c>
    </row>
    <row r="29" spans="2:9" x14ac:dyDescent="0.25">
      <c r="B29" t="str" cm="1">
        <f t="array" aca="1" ref="B29" ca="1">IF('Raw Data'!B28="",_xlfn.REGEXEXTRACT(CELL("address",'Raw Data'!B28),"\$([A-Z]+)\$[0-9]+"),"")</f>
        <v>$B$28</v>
      </c>
      <c r="C29" t="str" cm="1">
        <f t="array" aca="1" ref="C29" ca="1">IF('Raw Data'!C28="",_xlfn.REGEXEXTRACT(CELL("address",'Raw Data'!C28),"\$([A-Z]+)\$[0-9]+"),"")</f>
        <v>$C$28</v>
      </c>
      <c r="D29" t="str" cm="1">
        <f t="array" aca="1" ref="D29" ca="1">IF('Raw Data'!D28="",_xlfn.REGEXEXTRACT(CELL("address",'Raw Data'!D28),"\$([A-Z]+)\$[0-9]+"),"")</f>
        <v>$D$28</v>
      </c>
      <c r="E29" t="str" cm="1">
        <f t="array" aca="1" ref="E29" ca="1">IF('Raw Data'!E28="",_xlfn.REGEXEXTRACT(CELL("address",'Raw Data'!E28),"\$([A-Z]+)\$[0-9]+"),"")</f>
        <v>$E$28</v>
      </c>
      <c r="F29" t="str" cm="1">
        <f t="array" aca="1" ref="F29" ca="1">IF('Raw Data'!F28="",_xlfn.REGEXEXTRACT(CELL("address",'Raw Data'!F28),"\$([A-Z]+)\$[0-9]+"),"")</f>
        <v/>
      </c>
      <c r="G29" t="str" cm="1">
        <f t="array" aca="1" ref="G29" ca="1">IF('Raw Data'!G28="",_xlfn.REGEXEXTRACT(CELL("address",'Raw Data'!G28),"\$([A-Z]+)\$[0-9]+"),"")</f>
        <v/>
      </c>
      <c r="H29" t="str" cm="1">
        <f t="array" aca="1" ref="H29" ca="1">IF('Raw Data'!H28="",_xlfn.REGEXEXTRACT(CELL("address",'Raw Data'!H28),"\$([A-Z]+)\$[0-9]+"),"")</f>
        <v>$H$28</v>
      </c>
      <c r="I29" t="str" cm="1">
        <f t="array" aca="1" ref="I29" ca="1">IF('Raw Data'!I28="",_xlfn.REGEXEXTRACT(CELL("address",'Raw Data'!I28),"\$([A-Z]+)\$[0-9]+"),"")</f>
        <v>$I$28</v>
      </c>
    </row>
    <row r="30" spans="2:9" x14ac:dyDescent="0.25">
      <c r="B30" t="str" cm="1">
        <f t="array" aca="1" ref="B30" ca="1">IF('Raw Data'!B29="",_xlfn.REGEXEXTRACT(CELL("address",'Raw Data'!B29),"\$([A-Z]+)\$[0-9]+"),"")</f>
        <v>$B$29</v>
      </c>
      <c r="C30" t="str" cm="1">
        <f t="array" aca="1" ref="C30" ca="1">IF('Raw Data'!C29="",_xlfn.REGEXEXTRACT(CELL("address",'Raw Data'!C29),"\$([A-Z]+)\$[0-9]+"),"")</f>
        <v>$C$29</v>
      </c>
      <c r="D30" t="str" cm="1">
        <f t="array" aca="1" ref="D30" ca="1">IF('Raw Data'!D29="",_xlfn.REGEXEXTRACT(CELL("address",'Raw Data'!D29),"\$([A-Z]+)\$[0-9]+"),"")</f>
        <v>$D$29</v>
      </c>
      <c r="E30" t="str" cm="1">
        <f t="array" aca="1" ref="E30" ca="1">IF('Raw Data'!E29="",_xlfn.REGEXEXTRACT(CELL("address",'Raw Data'!E29),"\$([A-Z]+)\$[0-9]+"),"")</f>
        <v>$E$29</v>
      </c>
      <c r="F30" t="str" cm="1">
        <f t="array" aca="1" ref="F30" ca="1">IF('Raw Data'!F29="",_xlfn.REGEXEXTRACT(CELL("address",'Raw Data'!F29),"\$([A-Z]+)\$[0-9]+"),"")</f>
        <v/>
      </c>
      <c r="G30" t="str" cm="1">
        <f t="array" aca="1" ref="G30" ca="1">IF('Raw Data'!G29="",_xlfn.REGEXEXTRACT(CELL("address",'Raw Data'!G29),"\$([A-Z]+)\$[0-9]+"),"")</f>
        <v/>
      </c>
      <c r="H30" t="str" cm="1">
        <f t="array" aca="1" ref="H30" ca="1">IF('Raw Data'!H29="",_xlfn.REGEXEXTRACT(CELL("address",'Raw Data'!H29),"\$([A-Z]+)\$[0-9]+"),"")</f>
        <v>$H$29</v>
      </c>
      <c r="I30" t="str" cm="1">
        <f t="array" aca="1" ref="I30" ca="1">IF('Raw Data'!I29="",_xlfn.REGEXEXTRACT(CELL("address",'Raw Data'!I29),"\$([A-Z]+)\$[0-9]+"),"")</f>
        <v>$I$29</v>
      </c>
    </row>
    <row r="31" spans="2:9" x14ac:dyDescent="0.25">
      <c r="B31" t="str" cm="1">
        <f t="array" aca="1" ref="B31" ca="1">IF('Raw Data'!B30="",_xlfn.REGEXEXTRACT(CELL("address",'Raw Data'!B30),"\$([A-Z]+)\$[0-9]+"),"")</f>
        <v>$B$30</v>
      </c>
      <c r="C31" t="str" cm="1">
        <f t="array" aca="1" ref="C31" ca="1">IF('Raw Data'!C30="",_xlfn.REGEXEXTRACT(CELL("address",'Raw Data'!C30),"\$([A-Z]+)\$[0-9]+"),"")</f>
        <v>$C$30</v>
      </c>
      <c r="D31" t="str" cm="1">
        <f t="array" aca="1" ref="D31" ca="1">IF('Raw Data'!D30="",_xlfn.REGEXEXTRACT(CELL("address",'Raw Data'!D30),"\$([A-Z]+)\$[0-9]+"),"")</f>
        <v>$D$30</v>
      </c>
      <c r="E31" t="str" cm="1">
        <f t="array" aca="1" ref="E31" ca="1">IF('Raw Data'!E30="",_xlfn.REGEXEXTRACT(CELL("address",'Raw Data'!E30),"\$([A-Z]+)\$[0-9]+"),"")</f>
        <v>$E$30</v>
      </c>
      <c r="F31" t="str" cm="1">
        <f t="array" aca="1" ref="F31" ca="1">IF('Raw Data'!F30="",_xlfn.REGEXEXTRACT(CELL("address",'Raw Data'!F30),"\$([A-Z]+)\$[0-9]+"),"")</f>
        <v/>
      </c>
      <c r="G31" t="str" cm="1">
        <f t="array" aca="1" ref="G31" ca="1">IF('Raw Data'!G30="",_xlfn.REGEXEXTRACT(CELL("address",'Raw Data'!G30),"\$([A-Z]+)\$[0-9]+"),"")</f>
        <v/>
      </c>
      <c r="H31" t="str" cm="1">
        <f t="array" aca="1" ref="H31" ca="1">IF('Raw Data'!H30="",_xlfn.REGEXEXTRACT(CELL("address",'Raw Data'!H30),"\$([A-Z]+)\$[0-9]+"),"")</f>
        <v>$H$30</v>
      </c>
      <c r="I31" t="str" cm="1">
        <f t="array" aca="1" ref="I31" ca="1">IF('Raw Data'!I30="",_xlfn.REGEXEXTRACT(CELL("address",'Raw Data'!I30),"\$([A-Z]+)\$[0-9]+"),"")</f>
        <v>$I$30</v>
      </c>
    </row>
    <row r="32" spans="2:9" x14ac:dyDescent="0.25">
      <c r="B32" t="str" cm="1">
        <f t="array" aca="1" ref="B32" ca="1">IF('Raw Data'!B31="",_xlfn.REGEXEXTRACT(CELL("address",'Raw Data'!B31),"\$([A-Z]+)\$[0-9]+"),"")</f>
        <v>$B$31</v>
      </c>
      <c r="C32" t="str" cm="1">
        <f t="array" aca="1" ref="C32" ca="1">IF('Raw Data'!C31="",_xlfn.REGEXEXTRACT(CELL("address",'Raw Data'!C31),"\$([A-Z]+)\$[0-9]+"),"")</f>
        <v>$C$31</v>
      </c>
      <c r="D32" t="str" cm="1">
        <f t="array" aca="1" ref="D32" ca="1">IF('Raw Data'!D31="",_xlfn.REGEXEXTRACT(CELL("address",'Raw Data'!D31),"\$([A-Z]+)\$[0-9]+"),"")</f>
        <v>$D$31</v>
      </c>
      <c r="E32" t="str" cm="1">
        <f t="array" aca="1" ref="E32" ca="1">IF('Raw Data'!E31="",_xlfn.REGEXEXTRACT(CELL("address",'Raw Data'!E31),"\$([A-Z]+)\$[0-9]+"),"")</f>
        <v>$E$31</v>
      </c>
      <c r="F32" t="str" cm="1">
        <f t="array" aca="1" ref="F32" ca="1">IF('Raw Data'!F31="",_xlfn.REGEXEXTRACT(CELL("address",'Raw Data'!F31),"\$([A-Z]+)\$[0-9]+"),"")</f>
        <v/>
      </c>
      <c r="G32" t="str" cm="1">
        <f t="array" aca="1" ref="G32" ca="1">IF('Raw Data'!G31="",_xlfn.REGEXEXTRACT(CELL("address",'Raw Data'!G31),"\$([A-Z]+)\$[0-9]+"),"")</f>
        <v/>
      </c>
      <c r="H32" t="str" cm="1">
        <f t="array" aca="1" ref="H32" ca="1">IF('Raw Data'!H31="",_xlfn.REGEXEXTRACT(CELL("address",'Raw Data'!H31),"\$([A-Z]+)\$[0-9]+"),"")</f>
        <v>$H$31</v>
      </c>
      <c r="I32" t="str" cm="1">
        <f t="array" aca="1" ref="I32" ca="1">IF('Raw Data'!I31="",_xlfn.REGEXEXTRACT(CELL("address",'Raw Data'!I31),"\$([A-Z]+)\$[0-9]+"),"")</f>
        <v>$I$31</v>
      </c>
    </row>
    <row r="33" spans="2:9" x14ac:dyDescent="0.25">
      <c r="B33" t="str" cm="1">
        <f t="array" aca="1" ref="B33" ca="1">IF('Raw Data'!B32="",_xlfn.REGEXEXTRACT(CELL("address",'Raw Data'!B32),"\$([A-Z]+)\$[0-9]+"),"")</f>
        <v>$B$32</v>
      </c>
      <c r="C33" t="str" cm="1">
        <f t="array" aca="1" ref="C33" ca="1">IF('Raw Data'!C32="",_xlfn.REGEXEXTRACT(CELL("address",'Raw Data'!C32),"\$([A-Z]+)\$[0-9]+"),"")</f>
        <v>$C$32</v>
      </c>
      <c r="D33" t="str" cm="1">
        <f t="array" aca="1" ref="D33" ca="1">IF('Raw Data'!D32="",_xlfn.REGEXEXTRACT(CELL("address",'Raw Data'!D32),"\$([A-Z]+)\$[0-9]+"),"")</f>
        <v>$D$32</v>
      </c>
      <c r="E33" t="str" cm="1">
        <f t="array" aca="1" ref="E33" ca="1">IF('Raw Data'!E32="",_xlfn.REGEXEXTRACT(CELL("address",'Raw Data'!E32),"\$([A-Z]+)\$[0-9]+"),"")</f>
        <v>$E$32</v>
      </c>
      <c r="F33" t="str" cm="1">
        <f t="array" aca="1" ref="F33" ca="1">IF('Raw Data'!F32="",_xlfn.REGEXEXTRACT(CELL("address",'Raw Data'!F32),"\$([A-Z]+)\$[0-9]+"),"")</f>
        <v/>
      </c>
      <c r="G33" t="str" cm="1">
        <f t="array" aca="1" ref="G33" ca="1">IF('Raw Data'!G32="",_xlfn.REGEXEXTRACT(CELL("address",'Raw Data'!G32),"\$([A-Z]+)\$[0-9]+"),"")</f>
        <v/>
      </c>
      <c r="H33" t="str" cm="1">
        <f t="array" aca="1" ref="H33" ca="1">IF('Raw Data'!H32="",_xlfn.REGEXEXTRACT(CELL("address",'Raw Data'!H32),"\$([A-Z]+)\$[0-9]+"),"")</f>
        <v>$H$32</v>
      </c>
      <c r="I33" t="str" cm="1">
        <f t="array" aca="1" ref="I33" ca="1">IF('Raw Data'!I32="",_xlfn.REGEXEXTRACT(CELL("address",'Raw Data'!I32),"\$([A-Z]+)\$[0-9]+"),"")</f>
        <v>$I$32</v>
      </c>
    </row>
    <row r="34" spans="2:9" x14ac:dyDescent="0.25">
      <c r="B34" t="str" cm="1">
        <f t="array" aca="1" ref="B34" ca="1">IF('Raw Data'!B33="",_xlfn.REGEXEXTRACT(CELL("address",'Raw Data'!B33),"\$([A-Z]+)\$[0-9]+"),"")</f>
        <v>$B$33</v>
      </c>
      <c r="C34" t="str" cm="1">
        <f t="array" aca="1" ref="C34" ca="1">IF('Raw Data'!C33="",_xlfn.REGEXEXTRACT(CELL("address",'Raw Data'!C33),"\$([A-Z]+)\$[0-9]+"),"")</f>
        <v>$C$33</v>
      </c>
      <c r="D34" t="str" cm="1">
        <f t="array" aca="1" ref="D34" ca="1">IF('Raw Data'!D33="",_xlfn.REGEXEXTRACT(CELL("address",'Raw Data'!D33),"\$([A-Z]+)\$[0-9]+"),"")</f>
        <v>$D$33</v>
      </c>
      <c r="E34" t="str" cm="1">
        <f t="array" aca="1" ref="E34" ca="1">IF('Raw Data'!E33="",_xlfn.REGEXEXTRACT(CELL("address",'Raw Data'!E33),"\$([A-Z]+)\$[0-9]+"),"")</f>
        <v>$E$33</v>
      </c>
      <c r="F34" t="str" cm="1">
        <f t="array" aca="1" ref="F34" ca="1">IF('Raw Data'!F33="",_xlfn.REGEXEXTRACT(CELL("address",'Raw Data'!F33),"\$([A-Z]+)\$[0-9]+"),"")</f>
        <v/>
      </c>
      <c r="G34" t="str" cm="1">
        <f t="array" aca="1" ref="G34" ca="1">IF('Raw Data'!G33="",_xlfn.REGEXEXTRACT(CELL("address",'Raw Data'!G33),"\$([A-Z]+)\$[0-9]+"),"")</f>
        <v/>
      </c>
      <c r="H34" t="str" cm="1">
        <f t="array" aca="1" ref="H34" ca="1">IF('Raw Data'!H33="",_xlfn.REGEXEXTRACT(CELL("address",'Raw Data'!H33),"\$([A-Z]+)\$[0-9]+"),"")</f>
        <v>$H$33</v>
      </c>
      <c r="I34" t="str" cm="1">
        <f t="array" aca="1" ref="I34" ca="1">IF('Raw Data'!I33="",_xlfn.REGEXEXTRACT(CELL("address",'Raw Data'!I33),"\$([A-Z]+)\$[0-9]+"),"")</f>
        <v>$I$33</v>
      </c>
    </row>
    <row r="35" spans="2:9" x14ac:dyDescent="0.25">
      <c r="B35" t="str" cm="1">
        <f t="array" aca="1" ref="B35" ca="1">IF('Raw Data'!B34="",_xlfn.REGEXEXTRACT(CELL("address",'Raw Data'!B34),"\$([A-Z]+)\$[0-9]+"),"")</f>
        <v>$B$34</v>
      </c>
      <c r="C35" t="str" cm="1">
        <f t="array" aca="1" ref="C35" ca="1">IF('Raw Data'!C34="",_xlfn.REGEXEXTRACT(CELL("address",'Raw Data'!C34),"\$([A-Z]+)\$[0-9]+"),"")</f>
        <v>$C$34</v>
      </c>
      <c r="D35" t="str" cm="1">
        <f t="array" aca="1" ref="D35" ca="1">IF('Raw Data'!D34="",_xlfn.REGEXEXTRACT(CELL("address",'Raw Data'!D34),"\$([A-Z]+)\$[0-9]+"),"")</f>
        <v>$D$34</v>
      </c>
      <c r="E35" t="str" cm="1">
        <f t="array" aca="1" ref="E35" ca="1">IF('Raw Data'!E34="",_xlfn.REGEXEXTRACT(CELL("address",'Raw Data'!E34),"\$([A-Z]+)\$[0-9]+"),"")</f>
        <v>$E$34</v>
      </c>
      <c r="F35" t="str" cm="1">
        <f t="array" aca="1" ref="F35" ca="1">IF('Raw Data'!F34="",_xlfn.REGEXEXTRACT(CELL("address",'Raw Data'!F34),"\$([A-Z]+)\$[0-9]+"),"")</f>
        <v/>
      </c>
      <c r="G35" t="str" cm="1">
        <f t="array" aca="1" ref="G35" ca="1">IF('Raw Data'!G34="",_xlfn.REGEXEXTRACT(CELL("address",'Raw Data'!G34),"\$([A-Z]+)\$[0-9]+"),"")</f>
        <v/>
      </c>
      <c r="H35" t="str" cm="1">
        <f t="array" aca="1" ref="H35" ca="1">IF('Raw Data'!H34="",_xlfn.REGEXEXTRACT(CELL("address",'Raw Data'!H34),"\$([A-Z]+)\$[0-9]+"),"")</f>
        <v>$H$34</v>
      </c>
      <c r="I35" t="str" cm="1">
        <f t="array" aca="1" ref="I35" ca="1">IF('Raw Data'!I34="",_xlfn.REGEXEXTRACT(CELL("address",'Raw Data'!I34),"\$([A-Z]+)\$[0-9]+"),"")</f>
        <v>$I$34</v>
      </c>
    </row>
    <row r="36" spans="2:9" x14ac:dyDescent="0.25">
      <c r="B36" t="str" cm="1">
        <f t="array" aca="1" ref="B36" ca="1">IF('Raw Data'!B35="",_xlfn.REGEXEXTRACT(CELL("address",'Raw Data'!B35),"\$([A-Z]+)\$[0-9]+"),"")</f>
        <v>$B$35</v>
      </c>
      <c r="C36" t="str" cm="1">
        <f t="array" aca="1" ref="C36" ca="1">IF('Raw Data'!C35="",_xlfn.REGEXEXTRACT(CELL("address",'Raw Data'!C35),"\$([A-Z]+)\$[0-9]+"),"")</f>
        <v>$C$35</v>
      </c>
      <c r="D36" t="str" cm="1">
        <f t="array" aca="1" ref="D36" ca="1">IF('Raw Data'!D35="",_xlfn.REGEXEXTRACT(CELL("address",'Raw Data'!D35),"\$([A-Z]+)\$[0-9]+"),"")</f>
        <v>$D$35</v>
      </c>
      <c r="E36" t="str" cm="1">
        <f t="array" aca="1" ref="E36" ca="1">IF('Raw Data'!E35="",_xlfn.REGEXEXTRACT(CELL("address",'Raw Data'!E35),"\$([A-Z]+)\$[0-9]+"),"")</f>
        <v>$E$35</v>
      </c>
      <c r="F36" t="str" cm="1">
        <f t="array" aca="1" ref="F36" ca="1">IF('Raw Data'!F35="",_xlfn.REGEXEXTRACT(CELL("address",'Raw Data'!F35),"\$([A-Z]+)\$[0-9]+"),"")</f>
        <v/>
      </c>
      <c r="G36" t="str" cm="1">
        <f t="array" aca="1" ref="G36" ca="1">IF('Raw Data'!G35="",_xlfn.REGEXEXTRACT(CELL("address",'Raw Data'!G35),"\$([A-Z]+)\$[0-9]+"),"")</f>
        <v/>
      </c>
      <c r="H36" t="str" cm="1">
        <f t="array" aca="1" ref="H36" ca="1">IF('Raw Data'!H35="",_xlfn.REGEXEXTRACT(CELL("address",'Raw Data'!H35),"\$([A-Z]+)\$[0-9]+"),"")</f>
        <v>$H$35</v>
      </c>
      <c r="I36" t="str" cm="1">
        <f t="array" aca="1" ref="I36" ca="1">IF('Raw Data'!I35="",_xlfn.REGEXEXTRACT(CELL("address",'Raw Data'!I35),"\$([A-Z]+)\$[0-9]+"),"")</f>
        <v>$I$35</v>
      </c>
    </row>
    <row r="37" spans="2:9" x14ac:dyDescent="0.25">
      <c r="B37" t="str" cm="1">
        <f t="array" aca="1" ref="B37" ca="1">IF('Raw Data'!B36="",_xlfn.REGEXEXTRACT(CELL("address",'Raw Data'!B36),"\$([A-Z]+)\$[0-9]+"),"")</f>
        <v>$B$36</v>
      </c>
      <c r="C37" t="str" cm="1">
        <f t="array" aca="1" ref="C37" ca="1">IF('Raw Data'!C36="",_xlfn.REGEXEXTRACT(CELL("address",'Raw Data'!C36),"\$([A-Z]+)\$[0-9]+"),"")</f>
        <v>$C$36</v>
      </c>
      <c r="D37" t="str" cm="1">
        <f t="array" aca="1" ref="D37" ca="1">IF('Raw Data'!D36="",_xlfn.REGEXEXTRACT(CELL("address",'Raw Data'!D36),"\$([A-Z]+)\$[0-9]+"),"")</f>
        <v>$D$36</v>
      </c>
      <c r="E37" t="str" cm="1">
        <f t="array" aca="1" ref="E37" ca="1">IF('Raw Data'!E36="",_xlfn.REGEXEXTRACT(CELL("address",'Raw Data'!E36),"\$([A-Z]+)\$[0-9]+"),"")</f>
        <v>$E$36</v>
      </c>
      <c r="F37" t="str" cm="1">
        <f t="array" aca="1" ref="F37" ca="1">IF('Raw Data'!F36="",_xlfn.REGEXEXTRACT(CELL("address",'Raw Data'!F36),"\$([A-Z]+)\$[0-9]+"),"")</f>
        <v/>
      </c>
      <c r="G37" t="str" cm="1">
        <f t="array" aca="1" ref="G37" ca="1">IF('Raw Data'!G36="",_xlfn.REGEXEXTRACT(CELL("address",'Raw Data'!G36),"\$([A-Z]+)\$[0-9]+"),"")</f>
        <v/>
      </c>
      <c r="H37" t="str" cm="1">
        <f t="array" aca="1" ref="H37" ca="1">IF('Raw Data'!H36="",_xlfn.REGEXEXTRACT(CELL("address",'Raw Data'!H36),"\$([A-Z]+)\$[0-9]+"),"")</f>
        <v>$H$36</v>
      </c>
      <c r="I37" t="str" cm="1">
        <f t="array" aca="1" ref="I37" ca="1">IF('Raw Data'!I36="",_xlfn.REGEXEXTRACT(CELL("address",'Raw Data'!I36),"\$([A-Z]+)\$[0-9]+"),"")</f>
        <v>$I$36</v>
      </c>
    </row>
    <row r="38" spans="2:9" x14ac:dyDescent="0.25">
      <c r="B38" t="str" cm="1">
        <f t="array" aca="1" ref="B38" ca="1">IF('Raw Data'!B37="",_xlfn.REGEXEXTRACT(CELL("address",'Raw Data'!B37),"\$([A-Z]+)\$[0-9]+"),"")</f>
        <v>$B$37</v>
      </c>
      <c r="C38" t="str" cm="1">
        <f t="array" aca="1" ref="C38" ca="1">IF('Raw Data'!C37="",_xlfn.REGEXEXTRACT(CELL("address",'Raw Data'!C37),"\$([A-Z]+)\$[0-9]+"),"")</f>
        <v>$C$37</v>
      </c>
      <c r="D38" t="str" cm="1">
        <f t="array" aca="1" ref="D38" ca="1">IF('Raw Data'!D37="",_xlfn.REGEXEXTRACT(CELL("address",'Raw Data'!D37),"\$([A-Z]+)\$[0-9]+"),"")</f>
        <v>$D$37</v>
      </c>
      <c r="E38" t="str" cm="1">
        <f t="array" aca="1" ref="E38" ca="1">IF('Raw Data'!E37="",_xlfn.REGEXEXTRACT(CELL("address",'Raw Data'!E37),"\$([A-Z]+)\$[0-9]+"),"")</f>
        <v>$E$37</v>
      </c>
      <c r="F38" t="str" cm="1">
        <f t="array" aca="1" ref="F38" ca="1">IF('Raw Data'!F37="",_xlfn.REGEXEXTRACT(CELL("address",'Raw Data'!F37),"\$([A-Z]+)\$[0-9]+"),"")</f>
        <v/>
      </c>
      <c r="G38" t="str" cm="1">
        <f t="array" aca="1" ref="G38" ca="1">IF('Raw Data'!G37="",_xlfn.REGEXEXTRACT(CELL("address",'Raw Data'!G37),"\$([A-Z]+)\$[0-9]+"),"")</f>
        <v/>
      </c>
      <c r="H38" t="str" cm="1">
        <f t="array" aca="1" ref="H38" ca="1">IF('Raw Data'!H37="",_xlfn.REGEXEXTRACT(CELL("address",'Raw Data'!H37),"\$([A-Z]+)\$[0-9]+"),"")</f>
        <v>$H$37</v>
      </c>
      <c r="I38" t="str" cm="1">
        <f t="array" aca="1" ref="I38" ca="1">IF('Raw Data'!I37="",_xlfn.REGEXEXTRACT(CELL("address",'Raw Data'!I37),"\$([A-Z]+)\$[0-9]+"),"")</f>
        <v>$I$37</v>
      </c>
    </row>
    <row r="39" spans="2:9" x14ac:dyDescent="0.25">
      <c r="B39" t="str" cm="1">
        <f t="array" aca="1" ref="B39" ca="1">IF('Raw Data'!B38="",_xlfn.REGEXEXTRACT(CELL("address",'Raw Data'!B38),"\$([A-Z]+)\$[0-9]+"),"")</f>
        <v>$B$38</v>
      </c>
      <c r="C39" t="str" cm="1">
        <f t="array" aca="1" ref="C39" ca="1">IF('Raw Data'!C38="",_xlfn.REGEXEXTRACT(CELL("address",'Raw Data'!C38),"\$([A-Z]+)\$[0-9]+"),"")</f>
        <v>$C$38</v>
      </c>
      <c r="D39" t="str" cm="1">
        <f t="array" aca="1" ref="D39" ca="1">IF('Raw Data'!D38="",_xlfn.REGEXEXTRACT(CELL("address",'Raw Data'!D38),"\$([A-Z]+)\$[0-9]+"),"")</f>
        <v>$D$38</v>
      </c>
      <c r="E39" t="str" cm="1">
        <f t="array" aca="1" ref="E39" ca="1">IF('Raw Data'!E38="",_xlfn.REGEXEXTRACT(CELL("address",'Raw Data'!E38),"\$([A-Z]+)\$[0-9]+"),"")</f>
        <v>$E$38</v>
      </c>
      <c r="F39" t="str" cm="1">
        <f t="array" aca="1" ref="F39" ca="1">IF('Raw Data'!F38="",_xlfn.REGEXEXTRACT(CELL("address",'Raw Data'!F38),"\$([A-Z]+)\$[0-9]+"),"")</f>
        <v/>
      </c>
      <c r="G39" t="str" cm="1">
        <f t="array" aca="1" ref="G39" ca="1">IF('Raw Data'!G38="",_xlfn.REGEXEXTRACT(CELL("address",'Raw Data'!G38),"\$([A-Z]+)\$[0-9]+"),"")</f>
        <v/>
      </c>
      <c r="H39" t="str" cm="1">
        <f t="array" aca="1" ref="H39" ca="1">IF('Raw Data'!H38="",_xlfn.REGEXEXTRACT(CELL("address",'Raw Data'!H38),"\$([A-Z]+)\$[0-9]+"),"")</f>
        <v>$H$38</v>
      </c>
      <c r="I39" t="str" cm="1">
        <f t="array" aca="1" ref="I39" ca="1">IF('Raw Data'!I38="",_xlfn.REGEXEXTRACT(CELL("address",'Raw Data'!I38),"\$([A-Z]+)\$[0-9]+"),"")</f>
        <v>$I$38</v>
      </c>
    </row>
    <row r="40" spans="2:9" x14ac:dyDescent="0.25">
      <c r="B40" t="str" cm="1">
        <f t="array" aca="1" ref="B40" ca="1">IF('Raw Data'!B39="",_xlfn.REGEXEXTRACT(CELL("address",'Raw Data'!B39),"\$([A-Z]+)\$[0-9]+"),"")</f>
        <v>$B$39</v>
      </c>
      <c r="C40" t="str" cm="1">
        <f t="array" aca="1" ref="C40" ca="1">IF('Raw Data'!C39="",_xlfn.REGEXEXTRACT(CELL("address",'Raw Data'!C39),"\$([A-Z]+)\$[0-9]+"),"")</f>
        <v>$C$39</v>
      </c>
      <c r="D40" t="str" cm="1">
        <f t="array" aca="1" ref="D40" ca="1">IF('Raw Data'!D39="",_xlfn.REGEXEXTRACT(CELL("address",'Raw Data'!D39),"\$([A-Z]+)\$[0-9]+"),"")</f>
        <v>$D$39</v>
      </c>
      <c r="E40" t="str" cm="1">
        <f t="array" aca="1" ref="E40" ca="1">IF('Raw Data'!E39="",_xlfn.REGEXEXTRACT(CELL("address",'Raw Data'!E39),"\$([A-Z]+)\$[0-9]+"),"")</f>
        <v>$E$39</v>
      </c>
      <c r="F40" t="str" cm="1">
        <f t="array" aca="1" ref="F40" ca="1">IF('Raw Data'!F39="",_xlfn.REGEXEXTRACT(CELL("address",'Raw Data'!F39),"\$([A-Z]+)\$[0-9]+"),"")</f>
        <v/>
      </c>
      <c r="G40" t="str" cm="1">
        <f t="array" aca="1" ref="G40" ca="1">IF('Raw Data'!G39="",_xlfn.REGEXEXTRACT(CELL("address",'Raw Data'!G39),"\$([A-Z]+)\$[0-9]+"),"")</f>
        <v/>
      </c>
      <c r="H40" t="str" cm="1">
        <f t="array" aca="1" ref="H40" ca="1">IF('Raw Data'!H39="",_xlfn.REGEXEXTRACT(CELL("address",'Raw Data'!H39),"\$([A-Z]+)\$[0-9]+"),"")</f>
        <v>$H$39</v>
      </c>
      <c r="I40" t="str" cm="1">
        <f t="array" aca="1" ref="I40" ca="1">IF('Raw Data'!I39="",_xlfn.REGEXEXTRACT(CELL("address",'Raw Data'!I39),"\$([A-Z]+)\$[0-9]+"),"")</f>
        <v>$I$39</v>
      </c>
    </row>
    <row r="41" spans="2:9" x14ac:dyDescent="0.25">
      <c r="B41" t="str" cm="1">
        <f t="array" aca="1" ref="B41" ca="1">IF('Raw Data'!B40="",_xlfn.REGEXEXTRACT(CELL("address",'Raw Data'!B40),"\$([A-Z]+)\$[0-9]+"),"")</f>
        <v>$B$40</v>
      </c>
      <c r="C41" t="str" cm="1">
        <f t="array" aca="1" ref="C41" ca="1">IF('Raw Data'!C40="",_xlfn.REGEXEXTRACT(CELL("address",'Raw Data'!C40),"\$([A-Z]+)\$[0-9]+"),"")</f>
        <v>$C$40</v>
      </c>
      <c r="D41" t="str" cm="1">
        <f t="array" aca="1" ref="D41" ca="1">IF('Raw Data'!D40="",_xlfn.REGEXEXTRACT(CELL("address",'Raw Data'!D40),"\$([A-Z]+)\$[0-9]+"),"")</f>
        <v>$D$40</v>
      </c>
      <c r="E41" t="str" cm="1">
        <f t="array" aca="1" ref="E41" ca="1">IF('Raw Data'!E40="",_xlfn.REGEXEXTRACT(CELL("address",'Raw Data'!E40),"\$([A-Z]+)\$[0-9]+"),"")</f>
        <v>$E$40</v>
      </c>
      <c r="F41" t="str" cm="1">
        <f t="array" aca="1" ref="F41" ca="1">IF('Raw Data'!F40="",_xlfn.REGEXEXTRACT(CELL("address",'Raw Data'!F40),"\$([A-Z]+)\$[0-9]+"),"")</f>
        <v/>
      </c>
      <c r="G41" t="str" cm="1">
        <f t="array" aca="1" ref="G41" ca="1">IF('Raw Data'!G40="",_xlfn.REGEXEXTRACT(CELL("address",'Raw Data'!G40),"\$([A-Z]+)\$[0-9]+"),"")</f>
        <v/>
      </c>
      <c r="H41" t="str" cm="1">
        <f t="array" aca="1" ref="H41" ca="1">IF('Raw Data'!H40="",_xlfn.REGEXEXTRACT(CELL("address",'Raw Data'!H40),"\$([A-Z]+)\$[0-9]+"),"")</f>
        <v>$H$40</v>
      </c>
      <c r="I41" t="str" cm="1">
        <f t="array" aca="1" ref="I41" ca="1">IF('Raw Data'!I40="",_xlfn.REGEXEXTRACT(CELL("address",'Raw Data'!I40),"\$([A-Z]+)\$[0-9]+"),"")</f>
        <v>$I$40</v>
      </c>
    </row>
    <row r="42" spans="2:9" x14ac:dyDescent="0.25">
      <c r="B42" t="str" cm="1">
        <f t="array" aca="1" ref="B42" ca="1">IF('Raw Data'!B41="",_xlfn.REGEXEXTRACT(CELL("address",'Raw Data'!B41),"\$([A-Z]+)\$[0-9]+"),"")</f>
        <v>$B$41</v>
      </c>
      <c r="C42" t="str" cm="1">
        <f t="array" aca="1" ref="C42" ca="1">IF('Raw Data'!C41="",_xlfn.REGEXEXTRACT(CELL("address",'Raw Data'!C41),"\$([A-Z]+)\$[0-9]+"),"")</f>
        <v>$C$41</v>
      </c>
      <c r="D42" t="str" cm="1">
        <f t="array" aca="1" ref="D42" ca="1">IF('Raw Data'!D41="",_xlfn.REGEXEXTRACT(CELL("address",'Raw Data'!D41),"\$([A-Z]+)\$[0-9]+"),"")</f>
        <v>$D$41</v>
      </c>
      <c r="E42" t="str" cm="1">
        <f t="array" aca="1" ref="E42" ca="1">IF('Raw Data'!E41="",_xlfn.REGEXEXTRACT(CELL("address",'Raw Data'!E41),"\$([A-Z]+)\$[0-9]+"),"")</f>
        <v>$E$41</v>
      </c>
      <c r="F42" t="str" cm="1">
        <f t="array" aca="1" ref="F42" ca="1">IF('Raw Data'!F41="",_xlfn.REGEXEXTRACT(CELL("address",'Raw Data'!F41),"\$([A-Z]+)\$[0-9]+"),"")</f>
        <v/>
      </c>
      <c r="G42" t="str" cm="1">
        <f t="array" aca="1" ref="G42" ca="1">IF('Raw Data'!G41="",_xlfn.REGEXEXTRACT(CELL("address",'Raw Data'!G41),"\$([A-Z]+)\$[0-9]+"),"")</f>
        <v/>
      </c>
      <c r="H42" t="str" cm="1">
        <f t="array" aca="1" ref="H42" ca="1">IF('Raw Data'!H41="",_xlfn.REGEXEXTRACT(CELL("address",'Raw Data'!H41),"\$([A-Z]+)\$[0-9]+"),"")</f>
        <v>$H$41</v>
      </c>
      <c r="I42" t="str" cm="1">
        <f t="array" aca="1" ref="I42" ca="1">IF('Raw Data'!I41="",_xlfn.REGEXEXTRACT(CELL("address",'Raw Data'!I41),"\$([A-Z]+)\$[0-9]+"),"")</f>
        <v>$I$41</v>
      </c>
    </row>
    <row r="43" spans="2:9" x14ac:dyDescent="0.25">
      <c r="B43" t="str" cm="1">
        <f t="array" aca="1" ref="B43" ca="1">IF('Raw Data'!B42="",_xlfn.REGEXEXTRACT(CELL("address",'Raw Data'!B42),"\$([A-Z]+)\$[0-9]+"),"")</f>
        <v>$B$42</v>
      </c>
      <c r="C43" t="str" cm="1">
        <f t="array" aca="1" ref="C43" ca="1">IF('Raw Data'!C42="",_xlfn.REGEXEXTRACT(CELL("address",'Raw Data'!C42),"\$([A-Z]+)\$[0-9]+"),"")</f>
        <v>$C$42</v>
      </c>
      <c r="D43" t="str" cm="1">
        <f t="array" aca="1" ref="D43" ca="1">IF('Raw Data'!D42="",_xlfn.REGEXEXTRACT(CELL("address",'Raw Data'!D42),"\$([A-Z]+)\$[0-9]+"),"")</f>
        <v>$D$42</v>
      </c>
      <c r="E43" t="str" cm="1">
        <f t="array" aca="1" ref="E43" ca="1">IF('Raw Data'!E42="",_xlfn.REGEXEXTRACT(CELL("address",'Raw Data'!E42),"\$([A-Z]+)\$[0-9]+"),"")</f>
        <v>$E$42</v>
      </c>
      <c r="F43" t="str" cm="1">
        <f t="array" aca="1" ref="F43" ca="1">IF('Raw Data'!F42="",_xlfn.REGEXEXTRACT(CELL("address",'Raw Data'!F42),"\$([A-Z]+)\$[0-9]+"),"")</f>
        <v/>
      </c>
      <c r="G43" t="str" cm="1">
        <f t="array" aca="1" ref="G43" ca="1">IF('Raw Data'!G42="",_xlfn.REGEXEXTRACT(CELL("address",'Raw Data'!G42),"\$([A-Z]+)\$[0-9]+"),"")</f>
        <v/>
      </c>
      <c r="H43" t="str" cm="1">
        <f t="array" aca="1" ref="H43" ca="1">IF('Raw Data'!H42="",_xlfn.REGEXEXTRACT(CELL("address",'Raw Data'!H42),"\$([A-Z]+)\$[0-9]+"),"")</f>
        <v>$H$42</v>
      </c>
      <c r="I43" t="str" cm="1">
        <f t="array" aca="1" ref="I43" ca="1">IF('Raw Data'!I42="",_xlfn.REGEXEXTRACT(CELL("address",'Raw Data'!I42),"\$([A-Z]+)\$[0-9]+"),"")</f>
        <v>$I$42</v>
      </c>
    </row>
    <row r="44" spans="2:9" x14ac:dyDescent="0.25">
      <c r="B44" t="str" cm="1">
        <f t="array" aca="1" ref="B44" ca="1">IF('Raw Data'!B43="",_xlfn.REGEXEXTRACT(CELL("address",'Raw Data'!B43),"\$([A-Z]+)\$[0-9]+"),"")</f>
        <v>$B$43</v>
      </c>
      <c r="C44" t="str" cm="1">
        <f t="array" aca="1" ref="C44" ca="1">IF('Raw Data'!C43="",_xlfn.REGEXEXTRACT(CELL("address",'Raw Data'!C43),"\$([A-Z]+)\$[0-9]+"),"")</f>
        <v>$C$43</v>
      </c>
      <c r="D44" t="str" cm="1">
        <f t="array" aca="1" ref="D44" ca="1">IF('Raw Data'!D43="",_xlfn.REGEXEXTRACT(CELL("address",'Raw Data'!D43),"\$([A-Z]+)\$[0-9]+"),"")</f>
        <v>$D$43</v>
      </c>
      <c r="E44" t="str" cm="1">
        <f t="array" aca="1" ref="E44" ca="1">IF('Raw Data'!E43="",_xlfn.REGEXEXTRACT(CELL("address",'Raw Data'!E43),"\$([A-Z]+)\$[0-9]+"),"")</f>
        <v>$E$43</v>
      </c>
      <c r="F44" t="str" cm="1">
        <f t="array" aca="1" ref="F44" ca="1">IF('Raw Data'!F43="",_xlfn.REGEXEXTRACT(CELL("address",'Raw Data'!F43),"\$([A-Z]+)\$[0-9]+"),"")</f>
        <v/>
      </c>
      <c r="G44" t="str" cm="1">
        <f t="array" aca="1" ref="G44" ca="1">IF('Raw Data'!G43="",_xlfn.REGEXEXTRACT(CELL("address",'Raw Data'!G43),"\$([A-Z]+)\$[0-9]+"),"")</f>
        <v/>
      </c>
      <c r="H44" t="str" cm="1">
        <f t="array" aca="1" ref="H44" ca="1">IF('Raw Data'!H43="",_xlfn.REGEXEXTRACT(CELL("address",'Raw Data'!H43),"\$([A-Z]+)\$[0-9]+"),"")</f>
        <v>$H$43</v>
      </c>
      <c r="I44" t="str" cm="1">
        <f t="array" aca="1" ref="I44" ca="1">IF('Raw Data'!I43="",_xlfn.REGEXEXTRACT(CELL("address",'Raw Data'!I43),"\$([A-Z]+)\$[0-9]+"),"")</f>
        <v>$I$43</v>
      </c>
    </row>
    <row r="45" spans="2:9" x14ac:dyDescent="0.25">
      <c r="B45" t="str" cm="1">
        <f t="array" aca="1" ref="B45" ca="1">IF('Raw Data'!B44="",_xlfn.REGEXEXTRACT(CELL("address",'Raw Data'!B44),"\$([A-Z]+)\$[0-9]+"),"")</f>
        <v>$B$44</v>
      </c>
      <c r="C45" t="str" cm="1">
        <f t="array" aca="1" ref="C45" ca="1">IF('Raw Data'!C44="",_xlfn.REGEXEXTRACT(CELL("address",'Raw Data'!C44),"\$([A-Z]+)\$[0-9]+"),"")</f>
        <v>$C$44</v>
      </c>
      <c r="D45" t="str" cm="1">
        <f t="array" aca="1" ref="D45" ca="1">IF('Raw Data'!D44="",_xlfn.REGEXEXTRACT(CELL("address",'Raw Data'!D44),"\$([A-Z]+)\$[0-9]+"),"")</f>
        <v>$D$44</v>
      </c>
      <c r="E45" t="str" cm="1">
        <f t="array" aca="1" ref="E45" ca="1">IF('Raw Data'!E44="",_xlfn.REGEXEXTRACT(CELL("address",'Raw Data'!E44),"\$([A-Z]+)\$[0-9]+"),"")</f>
        <v>$E$44</v>
      </c>
      <c r="F45" t="str" cm="1">
        <f t="array" aca="1" ref="F45" ca="1">IF('Raw Data'!F44="",_xlfn.REGEXEXTRACT(CELL("address",'Raw Data'!F44),"\$([A-Z]+)\$[0-9]+"),"")</f>
        <v/>
      </c>
      <c r="G45" t="str" cm="1">
        <f t="array" aca="1" ref="G45" ca="1">IF('Raw Data'!G44="",_xlfn.REGEXEXTRACT(CELL("address",'Raw Data'!G44),"\$([A-Z]+)\$[0-9]+"),"")</f>
        <v/>
      </c>
      <c r="H45" t="str" cm="1">
        <f t="array" aca="1" ref="H45" ca="1">IF('Raw Data'!H44="",_xlfn.REGEXEXTRACT(CELL("address",'Raw Data'!H44),"\$([A-Z]+)\$[0-9]+"),"")</f>
        <v>$H$44</v>
      </c>
      <c r="I45" t="str" cm="1">
        <f t="array" aca="1" ref="I45" ca="1">IF('Raw Data'!I44="",_xlfn.REGEXEXTRACT(CELL("address",'Raw Data'!I44),"\$([A-Z]+)\$[0-9]+"),"")</f>
        <v>$I$44</v>
      </c>
    </row>
    <row r="46" spans="2:9" x14ac:dyDescent="0.25">
      <c r="B46" t="str" cm="1">
        <f t="array" aca="1" ref="B46" ca="1">IF('Raw Data'!B45="",_xlfn.REGEXEXTRACT(CELL("address",'Raw Data'!B45),"\$([A-Z]+)\$[0-9]+"),"")</f>
        <v>$B$45</v>
      </c>
      <c r="C46" t="str" cm="1">
        <f t="array" aca="1" ref="C46" ca="1">IF('Raw Data'!C45="",_xlfn.REGEXEXTRACT(CELL("address",'Raw Data'!C45),"\$([A-Z]+)\$[0-9]+"),"")</f>
        <v>$C$45</v>
      </c>
      <c r="D46" t="str" cm="1">
        <f t="array" aca="1" ref="D46" ca="1">IF('Raw Data'!D45="",_xlfn.REGEXEXTRACT(CELL("address",'Raw Data'!D45),"\$([A-Z]+)\$[0-9]+"),"")</f>
        <v>$D$45</v>
      </c>
      <c r="E46" t="str" cm="1">
        <f t="array" aca="1" ref="E46" ca="1">IF('Raw Data'!E45="",_xlfn.REGEXEXTRACT(CELL("address",'Raw Data'!E45),"\$([A-Z]+)\$[0-9]+"),"")</f>
        <v>$E$45</v>
      </c>
      <c r="F46" t="str" cm="1">
        <f t="array" aca="1" ref="F46" ca="1">IF('Raw Data'!F45="",_xlfn.REGEXEXTRACT(CELL("address",'Raw Data'!F45),"\$([A-Z]+)\$[0-9]+"),"")</f>
        <v/>
      </c>
      <c r="G46" t="str" cm="1">
        <f t="array" aca="1" ref="G46" ca="1">IF('Raw Data'!G45="",_xlfn.REGEXEXTRACT(CELL("address",'Raw Data'!G45),"\$([A-Z]+)\$[0-9]+"),"")</f>
        <v/>
      </c>
      <c r="H46" t="str" cm="1">
        <f t="array" aca="1" ref="H46" ca="1">IF('Raw Data'!H45="",_xlfn.REGEXEXTRACT(CELL("address",'Raw Data'!H45),"\$([A-Z]+)\$[0-9]+"),"")</f>
        <v>$H$45</v>
      </c>
      <c r="I46" t="str" cm="1">
        <f t="array" aca="1" ref="I46" ca="1">IF('Raw Data'!I45="",_xlfn.REGEXEXTRACT(CELL("address",'Raw Data'!I45),"\$([A-Z]+)\$[0-9]+"),"")</f>
        <v>$I$45</v>
      </c>
    </row>
    <row r="47" spans="2:9" x14ac:dyDescent="0.25">
      <c r="B47" t="str" cm="1">
        <f t="array" aca="1" ref="B47" ca="1">IF('Raw Data'!B46="",_xlfn.REGEXEXTRACT(CELL("address",'Raw Data'!B46),"\$([A-Z]+)\$[0-9]+"),"")</f>
        <v>$B$46</v>
      </c>
      <c r="C47" t="str" cm="1">
        <f t="array" aca="1" ref="C47" ca="1">IF('Raw Data'!C46="",_xlfn.REGEXEXTRACT(CELL("address",'Raw Data'!C46),"\$([A-Z]+)\$[0-9]+"),"")</f>
        <v>$C$46</v>
      </c>
      <c r="D47" t="str" cm="1">
        <f t="array" aca="1" ref="D47" ca="1">IF('Raw Data'!D46="",_xlfn.REGEXEXTRACT(CELL("address",'Raw Data'!D46),"\$([A-Z]+)\$[0-9]+"),"")</f>
        <v>$D$46</v>
      </c>
      <c r="E47" t="str" cm="1">
        <f t="array" aca="1" ref="E47" ca="1">IF('Raw Data'!E46="",_xlfn.REGEXEXTRACT(CELL("address",'Raw Data'!E46),"\$([A-Z]+)\$[0-9]+"),"")</f>
        <v>$E$46</v>
      </c>
      <c r="F47" t="str" cm="1">
        <f t="array" aca="1" ref="F47" ca="1">IF('Raw Data'!F46="",_xlfn.REGEXEXTRACT(CELL("address",'Raw Data'!F46),"\$([A-Z]+)\$[0-9]+"),"")</f>
        <v/>
      </c>
      <c r="G47" t="str" cm="1">
        <f t="array" aca="1" ref="G47" ca="1">IF('Raw Data'!G46="",_xlfn.REGEXEXTRACT(CELL("address",'Raw Data'!G46),"\$([A-Z]+)\$[0-9]+"),"")</f>
        <v/>
      </c>
      <c r="H47" t="str" cm="1">
        <f t="array" aca="1" ref="H47" ca="1">IF('Raw Data'!H46="",_xlfn.REGEXEXTRACT(CELL("address",'Raw Data'!H46),"\$([A-Z]+)\$[0-9]+"),"")</f>
        <v>$H$46</v>
      </c>
      <c r="I47" t="str" cm="1">
        <f t="array" aca="1" ref="I47" ca="1">IF('Raw Data'!I46="",_xlfn.REGEXEXTRACT(CELL("address",'Raw Data'!I46),"\$([A-Z]+)\$[0-9]+"),"")</f>
        <v>$I$46</v>
      </c>
    </row>
    <row r="48" spans="2:9" x14ac:dyDescent="0.25">
      <c r="B48" t="str" cm="1">
        <f t="array" aca="1" ref="B48" ca="1">IF('Raw Data'!B47="",_xlfn.REGEXEXTRACT(CELL("address",'Raw Data'!B47),"\$([A-Z]+)\$[0-9]+"),"")</f>
        <v>$B$47</v>
      </c>
      <c r="C48" t="str" cm="1">
        <f t="array" aca="1" ref="C48" ca="1">IF('Raw Data'!C47="",_xlfn.REGEXEXTRACT(CELL("address",'Raw Data'!C47),"\$([A-Z]+)\$[0-9]+"),"")</f>
        <v>$C$47</v>
      </c>
      <c r="D48" t="str" cm="1">
        <f t="array" aca="1" ref="D48" ca="1">IF('Raw Data'!D47="",_xlfn.REGEXEXTRACT(CELL("address",'Raw Data'!D47),"\$([A-Z]+)\$[0-9]+"),"")</f>
        <v>$D$47</v>
      </c>
      <c r="E48" t="str" cm="1">
        <f t="array" aca="1" ref="E48" ca="1">IF('Raw Data'!E47="",_xlfn.REGEXEXTRACT(CELL("address",'Raw Data'!E47),"\$([A-Z]+)\$[0-9]+"),"")</f>
        <v>$E$47</v>
      </c>
      <c r="F48" t="str" cm="1">
        <f t="array" aca="1" ref="F48" ca="1">IF('Raw Data'!F47="",_xlfn.REGEXEXTRACT(CELL("address",'Raw Data'!F47),"\$([A-Z]+)\$[0-9]+"),"")</f>
        <v/>
      </c>
      <c r="G48" t="str" cm="1">
        <f t="array" aca="1" ref="G48" ca="1">IF('Raw Data'!G47="",_xlfn.REGEXEXTRACT(CELL("address",'Raw Data'!G47),"\$([A-Z]+)\$[0-9]+"),"")</f>
        <v/>
      </c>
      <c r="H48" t="str" cm="1">
        <f t="array" aca="1" ref="H48" ca="1">IF('Raw Data'!H47="",_xlfn.REGEXEXTRACT(CELL("address",'Raw Data'!H47),"\$([A-Z]+)\$[0-9]+"),"")</f>
        <v>$H$47</v>
      </c>
      <c r="I48" t="str" cm="1">
        <f t="array" aca="1" ref="I48" ca="1">IF('Raw Data'!I47="",_xlfn.REGEXEXTRACT(CELL("address",'Raw Data'!I47),"\$([A-Z]+)\$[0-9]+"),"")</f>
        <v/>
      </c>
    </row>
    <row r="49" spans="2:9" x14ac:dyDescent="0.25">
      <c r="B49" t="str" cm="1">
        <f t="array" aca="1" ref="B49" ca="1">IF('Raw Data'!B48="",_xlfn.REGEXEXTRACT(CELL("address",'Raw Data'!B48),"\$([A-Z]+)\$[0-9]+"),"")</f>
        <v>$B$48</v>
      </c>
      <c r="C49" t="str" cm="1">
        <f t="array" aca="1" ref="C49" ca="1">IF('Raw Data'!C48="",_xlfn.REGEXEXTRACT(CELL("address",'Raw Data'!C48),"\$([A-Z]+)\$[0-9]+"),"")</f>
        <v>$C$48</v>
      </c>
      <c r="D49" t="str" cm="1">
        <f t="array" aca="1" ref="D49" ca="1">IF('Raw Data'!D48="",_xlfn.REGEXEXTRACT(CELL("address",'Raw Data'!D48),"\$([A-Z]+)\$[0-9]+"),"")</f>
        <v>$D$48</v>
      </c>
      <c r="E49" t="str" cm="1">
        <f t="array" aca="1" ref="E49" ca="1">IF('Raw Data'!E48="",_xlfn.REGEXEXTRACT(CELL("address",'Raw Data'!E48),"\$([A-Z]+)\$[0-9]+"),"")</f>
        <v>$E$48</v>
      </c>
      <c r="F49" t="str" cm="1">
        <f t="array" aca="1" ref="F49" ca="1">IF('Raw Data'!F48="",_xlfn.REGEXEXTRACT(CELL("address",'Raw Data'!F48),"\$([A-Z]+)\$[0-9]+"),"")</f>
        <v/>
      </c>
      <c r="G49" t="str" cm="1">
        <f t="array" aca="1" ref="G49" ca="1">IF('Raw Data'!G48="",_xlfn.REGEXEXTRACT(CELL("address",'Raw Data'!G48),"\$([A-Z]+)\$[0-9]+"),"")</f>
        <v/>
      </c>
      <c r="H49" t="str" cm="1">
        <f t="array" aca="1" ref="H49" ca="1">IF('Raw Data'!H48="",_xlfn.REGEXEXTRACT(CELL("address",'Raw Data'!H48),"\$([A-Z]+)\$[0-9]+"),"")</f>
        <v>$H$48</v>
      </c>
      <c r="I49" t="str" cm="1">
        <f t="array" aca="1" ref="I49" ca="1">IF('Raw Data'!I48="",_xlfn.REGEXEXTRACT(CELL("address",'Raw Data'!I48),"\$([A-Z]+)\$[0-9]+"),"")</f>
        <v/>
      </c>
    </row>
    <row r="50" spans="2:9" x14ac:dyDescent="0.25">
      <c r="B50" t="str" cm="1">
        <f t="array" aca="1" ref="B50" ca="1">IF('Raw Data'!B49="",_xlfn.REGEXEXTRACT(CELL("address",'Raw Data'!B49),"\$([A-Z]+)\$[0-9]+"),"")</f>
        <v>$B$49</v>
      </c>
      <c r="C50" t="str" cm="1">
        <f t="array" aca="1" ref="C50" ca="1">IF('Raw Data'!C49="",_xlfn.REGEXEXTRACT(CELL("address",'Raw Data'!C49),"\$([A-Z]+)\$[0-9]+"),"")</f>
        <v>$C$49</v>
      </c>
      <c r="D50" t="str" cm="1">
        <f t="array" aca="1" ref="D50" ca="1">IF('Raw Data'!D49="",_xlfn.REGEXEXTRACT(CELL("address",'Raw Data'!D49),"\$([A-Z]+)\$[0-9]+"),"")</f>
        <v>$D$49</v>
      </c>
      <c r="E50" t="str" cm="1">
        <f t="array" aca="1" ref="E50" ca="1">IF('Raw Data'!E49="",_xlfn.REGEXEXTRACT(CELL("address",'Raw Data'!E49),"\$([A-Z]+)\$[0-9]+"),"")</f>
        <v>$E$49</v>
      </c>
      <c r="F50" t="str" cm="1">
        <f t="array" aca="1" ref="F50" ca="1">IF('Raw Data'!F49="",_xlfn.REGEXEXTRACT(CELL("address",'Raw Data'!F49),"\$([A-Z]+)\$[0-9]+"),"")</f>
        <v/>
      </c>
      <c r="G50" t="str" cm="1">
        <f t="array" aca="1" ref="G50" ca="1">IF('Raw Data'!G49="",_xlfn.REGEXEXTRACT(CELL("address",'Raw Data'!G49),"\$([A-Z]+)\$[0-9]+"),"")</f>
        <v/>
      </c>
      <c r="H50" t="str" cm="1">
        <f t="array" aca="1" ref="H50" ca="1">IF('Raw Data'!H49="",_xlfn.REGEXEXTRACT(CELL("address",'Raw Data'!H49),"\$([A-Z]+)\$[0-9]+"),"")</f>
        <v>$H$49</v>
      </c>
      <c r="I50" t="str" cm="1">
        <f t="array" aca="1" ref="I50" ca="1">IF('Raw Data'!I49="",_xlfn.REGEXEXTRACT(CELL("address",'Raw Data'!I49),"\$([A-Z]+)\$[0-9]+"),"")</f>
        <v/>
      </c>
    </row>
    <row r="51" spans="2:9" x14ac:dyDescent="0.25">
      <c r="B51" t="str" cm="1">
        <f t="array" aca="1" ref="B51" ca="1">IF('Raw Data'!B50="",_xlfn.REGEXEXTRACT(CELL("address",'Raw Data'!B50),"\$([A-Z]+)\$[0-9]+"),"")</f>
        <v>$B$50</v>
      </c>
      <c r="C51" t="str" cm="1">
        <f t="array" aca="1" ref="C51" ca="1">IF('Raw Data'!C50="",_xlfn.REGEXEXTRACT(CELL("address",'Raw Data'!C50),"\$([A-Z]+)\$[0-9]+"),"")</f>
        <v>$C$50</v>
      </c>
      <c r="D51" t="str" cm="1">
        <f t="array" aca="1" ref="D51" ca="1">IF('Raw Data'!D50="",_xlfn.REGEXEXTRACT(CELL("address",'Raw Data'!D50),"\$([A-Z]+)\$[0-9]+"),"")</f>
        <v>$D$50</v>
      </c>
      <c r="E51" t="str" cm="1">
        <f t="array" aca="1" ref="E51" ca="1">IF('Raw Data'!E50="",_xlfn.REGEXEXTRACT(CELL("address",'Raw Data'!E50),"\$([A-Z]+)\$[0-9]+"),"")</f>
        <v>$E$50</v>
      </c>
      <c r="F51" t="str" cm="1">
        <f t="array" aca="1" ref="F51" ca="1">IF('Raw Data'!F50="",_xlfn.REGEXEXTRACT(CELL("address",'Raw Data'!F50),"\$([A-Z]+)\$[0-9]+"),"")</f>
        <v/>
      </c>
      <c r="G51" t="str" cm="1">
        <f t="array" aca="1" ref="G51" ca="1">IF('Raw Data'!G50="",_xlfn.REGEXEXTRACT(CELL("address",'Raw Data'!G50),"\$([A-Z]+)\$[0-9]+"),"")</f>
        <v/>
      </c>
      <c r="H51" t="str" cm="1">
        <f t="array" aca="1" ref="H51" ca="1">IF('Raw Data'!H50="",_xlfn.REGEXEXTRACT(CELL("address",'Raw Data'!H50),"\$([A-Z]+)\$[0-9]+"),"")</f>
        <v>$H$50</v>
      </c>
      <c r="I51" t="str" cm="1">
        <f t="array" aca="1" ref="I51" ca="1">IF('Raw Data'!I50="",_xlfn.REGEXEXTRACT(CELL("address",'Raw Data'!I50),"\$([A-Z]+)\$[0-9]+"),"")</f>
        <v/>
      </c>
    </row>
    <row r="52" spans="2:9" x14ac:dyDescent="0.25">
      <c r="B52" t="str" cm="1">
        <f t="array" aca="1" ref="B52" ca="1">IF('Raw Data'!B51="",_xlfn.REGEXEXTRACT(CELL("address",'Raw Data'!B51),"\$([A-Z]+)\$[0-9]+"),"")</f>
        <v>$B$51</v>
      </c>
      <c r="C52" t="str" cm="1">
        <f t="array" aca="1" ref="C52" ca="1">IF('Raw Data'!C51="",_xlfn.REGEXEXTRACT(CELL("address",'Raw Data'!C51),"\$([A-Z]+)\$[0-9]+"),"")</f>
        <v>$C$51</v>
      </c>
      <c r="D52" t="str" cm="1">
        <f t="array" aca="1" ref="D52" ca="1">IF('Raw Data'!D51="",_xlfn.REGEXEXTRACT(CELL("address",'Raw Data'!D51),"\$([A-Z]+)\$[0-9]+"),"")</f>
        <v>$D$51</v>
      </c>
      <c r="E52" t="str" cm="1">
        <f t="array" aca="1" ref="E52" ca="1">IF('Raw Data'!E51="",_xlfn.REGEXEXTRACT(CELL("address",'Raw Data'!E51),"\$([A-Z]+)\$[0-9]+"),"")</f>
        <v>$E$51</v>
      </c>
      <c r="F52" t="str" cm="1">
        <f t="array" aca="1" ref="F52" ca="1">IF('Raw Data'!F51="",_xlfn.REGEXEXTRACT(CELL("address",'Raw Data'!F51),"\$([A-Z]+)\$[0-9]+"),"")</f>
        <v/>
      </c>
      <c r="G52" t="str" cm="1">
        <f t="array" aca="1" ref="G52" ca="1">IF('Raw Data'!G51="",_xlfn.REGEXEXTRACT(CELL("address",'Raw Data'!G51),"\$([A-Z]+)\$[0-9]+"),"")</f>
        <v/>
      </c>
      <c r="H52" t="str" cm="1">
        <f t="array" aca="1" ref="H52" ca="1">IF('Raw Data'!H51="",_xlfn.REGEXEXTRACT(CELL("address",'Raw Data'!H51),"\$([A-Z]+)\$[0-9]+"),"")</f>
        <v>$H$51</v>
      </c>
      <c r="I52" t="str" cm="1">
        <f t="array" aca="1" ref="I52" ca="1">IF('Raw Data'!I51="",_xlfn.REGEXEXTRACT(CELL("address",'Raw Data'!I51),"\$([A-Z]+)\$[0-9]+"),"")</f>
        <v/>
      </c>
    </row>
    <row r="53" spans="2:9" x14ac:dyDescent="0.25">
      <c r="B53" t="str" cm="1">
        <f t="array" aca="1" ref="B53" ca="1">IF('Raw Data'!B52="",_xlfn.REGEXEXTRACT(CELL("address",'Raw Data'!B52),"\$([A-Z]+)\$[0-9]+"),"")</f>
        <v>$B$52</v>
      </c>
      <c r="C53" t="str" cm="1">
        <f t="array" aca="1" ref="C53" ca="1">IF('Raw Data'!C52="",_xlfn.REGEXEXTRACT(CELL("address",'Raw Data'!C52),"\$([A-Z]+)\$[0-9]+"),"")</f>
        <v>$C$52</v>
      </c>
      <c r="D53" t="str" cm="1">
        <f t="array" aca="1" ref="D53" ca="1">IF('Raw Data'!D52="",_xlfn.REGEXEXTRACT(CELL("address",'Raw Data'!D52),"\$([A-Z]+)\$[0-9]+"),"")</f>
        <v>$D$52</v>
      </c>
      <c r="E53" t="str" cm="1">
        <f t="array" aca="1" ref="E53" ca="1">IF('Raw Data'!E52="",_xlfn.REGEXEXTRACT(CELL("address",'Raw Data'!E52),"\$([A-Z]+)\$[0-9]+"),"")</f>
        <v>$E$52</v>
      </c>
      <c r="F53" t="str" cm="1">
        <f t="array" aca="1" ref="F53" ca="1">IF('Raw Data'!F52="",_xlfn.REGEXEXTRACT(CELL("address",'Raw Data'!F52),"\$([A-Z]+)\$[0-9]+"),"")</f>
        <v/>
      </c>
      <c r="G53" t="str" cm="1">
        <f t="array" aca="1" ref="G53" ca="1">IF('Raw Data'!G52="",_xlfn.REGEXEXTRACT(CELL("address",'Raw Data'!G52),"\$([A-Z]+)\$[0-9]+"),"")</f>
        <v/>
      </c>
      <c r="H53" t="str" cm="1">
        <f t="array" aca="1" ref="H53" ca="1">IF('Raw Data'!H52="",_xlfn.REGEXEXTRACT(CELL("address",'Raw Data'!H52),"\$([A-Z]+)\$[0-9]+"),"")</f>
        <v>$H$52</v>
      </c>
      <c r="I53" t="str" cm="1">
        <f t="array" aca="1" ref="I53" ca="1">IF('Raw Data'!I52="",_xlfn.REGEXEXTRACT(CELL("address",'Raw Data'!I52),"\$([A-Z]+)\$[0-9]+"),"")</f>
        <v>$I$52</v>
      </c>
    </row>
    <row r="54" spans="2:9" x14ac:dyDescent="0.25">
      <c r="B54" t="str" cm="1">
        <f t="array" aca="1" ref="B54" ca="1">IF('Raw Data'!B53="",_xlfn.REGEXEXTRACT(CELL("address",'Raw Data'!B53),"\$([A-Z]+)\$[0-9]+"),"")</f>
        <v>$B$53</v>
      </c>
      <c r="C54" t="str" cm="1">
        <f t="array" aca="1" ref="C54" ca="1">IF('Raw Data'!C53="",_xlfn.REGEXEXTRACT(CELL("address",'Raw Data'!C53),"\$([A-Z]+)\$[0-9]+"),"")</f>
        <v>$C$53</v>
      </c>
      <c r="D54" t="str" cm="1">
        <f t="array" aca="1" ref="D54" ca="1">IF('Raw Data'!D53="",_xlfn.REGEXEXTRACT(CELL("address",'Raw Data'!D53),"\$([A-Z]+)\$[0-9]+"),"")</f>
        <v>$D$53</v>
      </c>
      <c r="E54" t="str" cm="1">
        <f t="array" aca="1" ref="E54" ca="1">IF('Raw Data'!E53="",_xlfn.REGEXEXTRACT(CELL("address",'Raw Data'!E53),"\$([A-Z]+)\$[0-9]+"),"")</f>
        <v>$E$53</v>
      </c>
      <c r="F54" t="str" cm="1">
        <f t="array" aca="1" ref="F54" ca="1">IF('Raw Data'!F53="",_xlfn.REGEXEXTRACT(CELL("address",'Raw Data'!F53),"\$([A-Z]+)\$[0-9]+"),"")</f>
        <v/>
      </c>
      <c r="G54" t="str" cm="1">
        <f t="array" aca="1" ref="G54" ca="1">IF('Raw Data'!G53="",_xlfn.REGEXEXTRACT(CELL("address",'Raw Data'!G53),"\$([A-Z]+)\$[0-9]+"),"")</f>
        <v/>
      </c>
      <c r="H54" t="str" cm="1">
        <f t="array" aca="1" ref="H54" ca="1">IF('Raw Data'!H53="",_xlfn.REGEXEXTRACT(CELL("address",'Raw Data'!H53),"\$([A-Z]+)\$[0-9]+"),"")</f>
        <v>$H$53</v>
      </c>
      <c r="I54" t="str" cm="1">
        <f t="array" aca="1" ref="I54" ca="1">IF('Raw Data'!I53="",_xlfn.REGEXEXTRACT(CELL("address",'Raw Data'!I53),"\$([A-Z]+)\$[0-9]+"),"")</f>
        <v>$I$53</v>
      </c>
    </row>
    <row r="55" spans="2:9" x14ac:dyDescent="0.25">
      <c r="B55" t="str" cm="1">
        <f t="array" aca="1" ref="B55" ca="1">IF('Raw Data'!B54="",_xlfn.REGEXEXTRACT(CELL("address",'Raw Data'!B54),"\$([A-Z]+)\$[0-9]+"),"")</f>
        <v>$B$54</v>
      </c>
      <c r="C55" t="str" cm="1">
        <f t="array" aca="1" ref="C55" ca="1">IF('Raw Data'!C54="",_xlfn.REGEXEXTRACT(CELL("address",'Raw Data'!C54),"\$([A-Z]+)\$[0-9]+"),"")</f>
        <v>$C$54</v>
      </c>
      <c r="D55" t="str" cm="1">
        <f t="array" aca="1" ref="D55" ca="1">IF('Raw Data'!D54="",_xlfn.REGEXEXTRACT(CELL("address",'Raw Data'!D54),"\$([A-Z]+)\$[0-9]+"),"")</f>
        <v>$D$54</v>
      </c>
      <c r="E55" t="str" cm="1">
        <f t="array" aca="1" ref="E55" ca="1">IF('Raw Data'!E54="",_xlfn.REGEXEXTRACT(CELL("address",'Raw Data'!E54),"\$([A-Z]+)\$[0-9]+"),"")</f>
        <v>$E$54</v>
      </c>
      <c r="F55" t="str" cm="1">
        <f t="array" aca="1" ref="F55" ca="1">IF('Raw Data'!F54="",_xlfn.REGEXEXTRACT(CELL("address",'Raw Data'!F54),"\$([A-Z]+)\$[0-9]+"),"")</f>
        <v/>
      </c>
      <c r="G55" t="str" cm="1">
        <f t="array" aca="1" ref="G55" ca="1">IF('Raw Data'!G54="",_xlfn.REGEXEXTRACT(CELL("address",'Raw Data'!G54),"\$([A-Z]+)\$[0-9]+"),"")</f>
        <v/>
      </c>
      <c r="H55" t="str" cm="1">
        <f t="array" aca="1" ref="H55" ca="1">IF('Raw Data'!H54="",_xlfn.REGEXEXTRACT(CELL("address",'Raw Data'!H54),"\$([A-Z]+)\$[0-9]+"),"")</f>
        <v>$H$54</v>
      </c>
      <c r="I55" t="str" cm="1">
        <f t="array" aca="1" ref="I55" ca="1">IF('Raw Data'!I54="",_xlfn.REGEXEXTRACT(CELL("address",'Raw Data'!I54),"\$([A-Z]+)\$[0-9]+"),"")</f>
        <v>$I$54</v>
      </c>
    </row>
    <row r="56" spans="2:9" x14ac:dyDescent="0.25">
      <c r="B56" t="str" cm="1">
        <f t="array" aca="1" ref="B56" ca="1">IF('Raw Data'!B55="",_xlfn.REGEXEXTRACT(CELL("address",'Raw Data'!B55),"\$([A-Z]+)\$[0-9]+"),"")</f>
        <v>$B$55</v>
      </c>
      <c r="C56" t="str" cm="1">
        <f t="array" aca="1" ref="C56" ca="1">IF('Raw Data'!C55="",_xlfn.REGEXEXTRACT(CELL("address",'Raw Data'!C55),"\$([A-Z]+)\$[0-9]+"),"")</f>
        <v>$C$55</v>
      </c>
      <c r="D56" t="str" cm="1">
        <f t="array" aca="1" ref="D56" ca="1">IF('Raw Data'!D55="",_xlfn.REGEXEXTRACT(CELL("address",'Raw Data'!D55),"\$([A-Z]+)\$[0-9]+"),"")</f>
        <v>$D$55</v>
      </c>
      <c r="E56" t="str" cm="1">
        <f t="array" aca="1" ref="E56" ca="1">IF('Raw Data'!E55="",_xlfn.REGEXEXTRACT(CELL("address",'Raw Data'!E55),"\$([A-Z]+)\$[0-9]+"),"")</f>
        <v>$E$55</v>
      </c>
      <c r="F56" t="str" cm="1">
        <f t="array" aca="1" ref="F56" ca="1">IF('Raw Data'!F55="",_xlfn.REGEXEXTRACT(CELL("address",'Raw Data'!F55),"\$([A-Z]+)\$[0-9]+"),"")</f>
        <v/>
      </c>
      <c r="G56" t="str" cm="1">
        <f t="array" aca="1" ref="G56" ca="1">IF('Raw Data'!G55="",_xlfn.REGEXEXTRACT(CELL("address",'Raw Data'!G55),"\$([A-Z]+)\$[0-9]+"),"")</f>
        <v/>
      </c>
      <c r="H56" t="str" cm="1">
        <f t="array" aca="1" ref="H56" ca="1">IF('Raw Data'!H55="",_xlfn.REGEXEXTRACT(CELL("address",'Raw Data'!H55),"\$([A-Z]+)\$[0-9]+"),"")</f>
        <v>$H$55</v>
      </c>
      <c r="I56" t="str" cm="1">
        <f t="array" aca="1" ref="I56" ca="1">IF('Raw Data'!I55="",_xlfn.REGEXEXTRACT(CELL("address",'Raw Data'!I55),"\$([A-Z]+)\$[0-9]+"),"")</f>
        <v>$I$55</v>
      </c>
    </row>
    <row r="57" spans="2:9" x14ac:dyDescent="0.25">
      <c r="B57" t="str" cm="1">
        <f t="array" aca="1" ref="B57" ca="1">IF('Raw Data'!B56="",_xlfn.REGEXEXTRACT(CELL("address",'Raw Data'!B56),"\$([A-Z]+)\$[0-9]+"),"")</f>
        <v>$B$56</v>
      </c>
      <c r="C57" t="str" cm="1">
        <f t="array" aca="1" ref="C57" ca="1">IF('Raw Data'!C56="",_xlfn.REGEXEXTRACT(CELL("address",'Raw Data'!C56),"\$([A-Z]+)\$[0-9]+"),"")</f>
        <v>$C$56</v>
      </c>
      <c r="D57" t="str" cm="1">
        <f t="array" aca="1" ref="D57" ca="1">IF('Raw Data'!D56="",_xlfn.REGEXEXTRACT(CELL("address",'Raw Data'!D56),"\$([A-Z]+)\$[0-9]+"),"")</f>
        <v>$D$56</v>
      </c>
      <c r="E57" t="str" cm="1">
        <f t="array" aca="1" ref="E57" ca="1">IF('Raw Data'!E56="",_xlfn.REGEXEXTRACT(CELL("address",'Raw Data'!E56),"\$([A-Z]+)\$[0-9]+"),"")</f>
        <v>$E$56</v>
      </c>
      <c r="F57" t="str" cm="1">
        <f t="array" aca="1" ref="F57" ca="1">IF('Raw Data'!F56="",_xlfn.REGEXEXTRACT(CELL("address",'Raw Data'!F56),"\$([A-Z]+)\$[0-9]+"),"")</f>
        <v/>
      </c>
      <c r="G57" t="str" cm="1">
        <f t="array" aca="1" ref="G57" ca="1">IF('Raw Data'!G56="",_xlfn.REGEXEXTRACT(CELL("address",'Raw Data'!G56),"\$([A-Z]+)\$[0-9]+"),"")</f>
        <v/>
      </c>
      <c r="H57" t="str" cm="1">
        <f t="array" aca="1" ref="H57" ca="1">IF('Raw Data'!H56="",_xlfn.REGEXEXTRACT(CELL("address",'Raw Data'!H56),"\$([A-Z]+)\$[0-9]+"),"")</f>
        <v>$H$56</v>
      </c>
      <c r="I57" t="str" cm="1">
        <f t="array" aca="1" ref="I57" ca="1">IF('Raw Data'!I56="",_xlfn.REGEXEXTRACT(CELL("address",'Raw Data'!I56),"\$([A-Z]+)\$[0-9]+"),"")</f>
        <v>$I$56</v>
      </c>
    </row>
    <row r="58" spans="2:9" x14ac:dyDescent="0.25">
      <c r="B58" t="str" cm="1">
        <f t="array" aca="1" ref="B58" ca="1">IF('Raw Data'!B57="",_xlfn.REGEXEXTRACT(CELL("address",'Raw Data'!B57),"\$([A-Z]+)\$[0-9]+"),"")</f>
        <v>$B$57</v>
      </c>
      <c r="C58" t="str" cm="1">
        <f t="array" aca="1" ref="C58" ca="1">IF('Raw Data'!C57="",_xlfn.REGEXEXTRACT(CELL("address",'Raw Data'!C57),"\$([A-Z]+)\$[0-9]+"),"")</f>
        <v>$C$57</v>
      </c>
      <c r="D58" t="str" cm="1">
        <f t="array" aca="1" ref="D58" ca="1">IF('Raw Data'!D57="",_xlfn.REGEXEXTRACT(CELL("address",'Raw Data'!D57),"\$([A-Z]+)\$[0-9]+"),"")</f>
        <v>$D$57</v>
      </c>
      <c r="E58" t="str" cm="1">
        <f t="array" aca="1" ref="E58" ca="1">IF('Raw Data'!E57="",_xlfn.REGEXEXTRACT(CELL("address",'Raw Data'!E57),"\$([A-Z]+)\$[0-9]+"),"")</f>
        <v>$E$57</v>
      </c>
      <c r="F58" t="str" cm="1">
        <f t="array" aca="1" ref="F58" ca="1">IF('Raw Data'!F57="",_xlfn.REGEXEXTRACT(CELL("address",'Raw Data'!F57),"\$([A-Z]+)\$[0-9]+"),"")</f>
        <v/>
      </c>
      <c r="G58" t="str" cm="1">
        <f t="array" aca="1" ref="G58" ca="1">IF('Raw Data'!G57="",_xlfn.REGEXEXTRACT(CELL("address",'Raw Data'!G57),"\$([A-Z]+)\$[0-9]+"),"")</f>
        <v/>
      </c>
      <c r="H58" t="str" cm="1">
        <f t="array" aca="1" ref="H58" ca="1">IF('Raw Data'!H57="",_xlfn.REGEXEXTRACT(CELL("address",'Raw Data'!H57),"\$([A-Z]+)\$[0-9]+"),"")</f>
        <v>$H$57</v>
      </c>
      <c r="I58" t="str" cm="1">
        <f t="array" aca="1" ref="I58" ca="1">IF('Raw Data'!I57="",_xlfn.REGEXEXTRACT(CELL("address",'Raw Data'!I57),"\$([A-Z]+)\$[0-9]+"),"")</f>
        <v>$I$57</v>
      </c>
    </row>
    <row r="59" spans="2:9" x14ac:dyDescent="0.25">
      <c r="B59" t="str" cm="1">
        <f t="array" aca="1" ref="B59" ca="1">IF('Raw Data'!B58="",_xlfn.REGEXEXTRACT(CELL("address",'Raw Data'!B58),"\$([A-Z]+)\$[0-9]+"),"")</f>
        <v>$B$58</v>
      </c>
      <c r="C59" t="str" cm="1">
        <f t="array" aca="1" ref="C59" ca="1">IF('Raw Data'!C58="",_xlfn.REGEXEXTRACT(CELL("address",'Raw Data'!C58),"\$([A-Z]+)\$[0-9]+"),"")</f>
        <v>$C$58</v>
      </c>
      <c r="D59" t="str" cm="1">
        <f t="array" aca="1" ref="D59" ca="1">IF('Raw Data'!D58="",_xlfn.REGEXEXTRACT(CELL("address",'Raw Data'!D58),"\$([A-Z]+)\$[0-9]+"),"")</f>
        <v>$D$58</v>
      </c>
      <c r="E59" t="str" cm="1">
        <f t="array" aca="1" ref="E59" ca="1">IF('Raw Data'!E58="",_xlfn.REGEXEXTRACT(CELL("address",'Raw Data'!E58),"\$([A-Z]+)\$[0-9]+"),"")</f>
        <v>$E$58</v>
      </c>
      <c r="F59" t="str" cm="1">
        <f t="array" aca="1" ref="F59" ca="1">IF('Raw Data'!F58="",_xlfn.REGEXEXTRACT(CELL("address",'Raw Data'!F58),"\$([A-Z]+)\$[0-9]+"),"")</f>
        <v/>
      </c>
      <c r="G59" t="str" cm="1">
        <f t="array" aca="1" ref="G59" ca="1">IF('Raw Data'!G58="",_xlfn.REGEXEXTRACT(CELL("address",'Raw Data'!G58),"\$([A-Z]+)\$[0-9]+"),"")</f>
        <v/>
      </c>
      <c r="H59" t="str" cm="1">
        <f t="array" aca="1" ref="H59" ca="1">IF('Raw Data'!H58="",_xlfn.REGEXEXTRACT(CELL("address",'Raw Data'!H58),"\$([A-Z]+)\$[0-9]+"),"")</f>
        <v>$H$58</v>
      </c>
      <c r="I59" t="str" cm="1">
        <f t="array" aca="1" ref="I59" ca="1">IF('Raw Data'!I58="",_xlfn.REGEXEXTRACT(CELL("address",'Raw Data'!I58),"\$([A-Z]+)\$[0-9]+"),"")</f>
        <v>$I$58</v>
      </c>
    </row>
    <row r="60" spans="2:9" x14ac:dyDescent="0.25">
      <c r="B60" t="str" cm="1">
        <f t="array" aca="1" ref="B60" ca="1">IF('Raw Data'!B59="",_xlfn.REGEXEXTRACT(CELL("address",'Raw Data'!B59),"\$([A-Z]+)\$[0-9]+"),"")</f>
        <v>$B$59</v>
      </c>
      <c r="C60" t="str" cm="1">
        <f t="array" aca="1" ref="C60" ca="1">IF('Raw Data'!C59="",_xlfn.REGEXEXTRACT(CELL("address",'Raw Data'!C59),"\$([A-Z]+)\$[0-9]+"),"")</f>
        <v>$C$59</v>
      </c>
      <c r="D60" t="str" cm="1">
        <f t="array" aca="1" ref="D60" ca="1">IF('Raw Data'!D59="",_xlfn.REGEXEXTRACT(CELL("address",'Raw Data'!D59),"\$([A-Z]+)\$[0-9]+"),"")</f>
        <v>$D$59</v>
      </c>
      <c r="E60" t="str" cm="1">
        <f t="array" aca="1" ref="E60" ca="1">IF('Raw Data'!E59="",_xlfn.REGEXEXTRACT(CELL("address",'Raw Data'!E59),"\$([A-Z]+)\$[0-9]+"),"")</f>
        <v>$E$59</v>
      </c>
      <c r="F60" t="str" cm="1">
        <f t="array" aca="1" ref="F60" ca="1">IF('Raw Data'!F59="",_xlfn.REGEXEXTRACT(CELL("address",'Raw Data'!F59),"\$([A-Z]+)\$[0-9]+"),"")</f>
        <v/>
      </c>
      <c r="G60" t="str" cm="1">
        <f t="array" aca="1" ref="G60" ca="1">IF('Raw Data'!G59="",_xlfn.REGEXEXTRACT(CELL("address",'Raw Data'!G59),"\$([A-Z]+)\$[0-9]+"),"")</f>
        <v/>
      </c>
      <c r="H60" t="str" cm="1">
        <f t="array" aca="1" ref="H60" ca="1">IF('Raw Data'!H59="",_xlfn.REGEXEXTRACT(CELL("address",'Raw Data'!H59),"\$([A-Z]+)\$[0-9]+"),"")</f>
        <v>$H$59</v>
      </c>
      <c r="I60" t="str" cm="1">
        <f t="array" aca="1" ref="I60" ca="1">IF('Raw Data'!I59="",_xlfn.REGEXEXTRACT(CELL("address",'Raw Data'!I59),"\$([A-Z]+)\$[0-9]+"),"")</f>
        <v>$I$59</v>
      </c>
    </row>
    <row r="61" spans="2:9" x14ac:dyDescent="0.25">
      <c r="B61" t="str" cm="1">
        <f t="array" aca="1" ref="B61" ca="1">IF('Raw Data'!B60="",_xlfn.REGEXEXTRACT(CELL("address",'Raw Data'!B60),"\$([A-Z]+)\$[0-9]+"),"")</f>
        <v>$B$60</v>
      </c>
      <c r="C61" t="str" cm="1">
        <f t="array" aca="1" ref="C61" ca="1">IF('Raw Data'!C60="",_xlfn.REGEXEXTRACT(CELL("address",'Raw Data'!C60),"\$([A-Z]+)\$[0-9]+"),"")</f>
        <v>$C$60</v>
      </c>
      <c r="D61" t="str" cm="1">
        <f t="array" aca="1" ref="D61" ca="1">IF('Raw Data'!D60="",_xlfn.REGEXEXTRACT(CELL("address",'Raw Data'!D60),"\$([A-Z]+)\$[0-9]+"),"")</f>
        <v>$D$60</v>
      </c>
      <c r="E61" t="str" cm="1">
        <f t="array" aca="1" ref="E61" ca="1">IF('Raw Data'!E60="",_xlfn.REGEXEXTRACT(CELL("address",'Raw Data'!E60),"\$([A-Z]+)\$[0-9]+"),"")</f>
        <v>$E$60</v>
      </c>
      <c r="F61" t="str" cm="1">
        <f t="array" aca="1" ref="F61" ca="1">IF('Raw Data'!F60="",_xlfn.REGEXEXTRACT(CELL("address",'Raw Data'!F60),"\$([A-Z]+)\$[0-9]+"),"")</f>
        <v/>
      </c>
      <c r="G61" t="str" cm="1">
        <f t="array" aca="1" ref="G61" ca="1">IF('Raw Data'!G60="",_xlfn.REGEXEXTRACT(CELL("address",'Raw Data'!G60),"\$([A-Z]+)\$[0-9]+"),"")</f>
        <v/>
      </c>
      <c r="H61" t="str" cm="1">
        <f t="array" aca="1" ref="H61" ca="1">IF('Raw Data'!H60="",_xlfn.REGEXEXTRACT(CELL("address",'Raw Data'!H60),"\$([A-Z]+)\$[0-9]+"),"")</f>
        <v>$H$60</v>
      </c>
      <c r="I61" t="str" cm="1">
        <f t="array" aca="1" ref="I61" ca="1">IF('Raw Data'!I60="",_xlfn.REGEXEXTRACT(CELL("address",'Raw Data'!I60),"\$([A-Z]+)\$[0-9]+"),"")</f>
        <v>$I$60</v>
      </c>
    </row>
    <row r="62" spans="2:9" x14ac:dyDescent="0.25">
      <c r="B62" t="str" cm="1">
        <f t="array" aca="1" ref="B62" ca="1">IF('Raw Data'!B61="",_xlfn.REGEXEXTRACT(CELL("address",'Raw Data'!B61),"\$([A-Z]+)\$[0-9]+"),"")</f>
        <v>$B$61</v>
      </c>
      <c r="C62" t="str" cm="1">
        <f t="array" aca="1" ref="C62" ca="1">IF('Raw Data'!C61="",_xlfn.REGEXEXTRACT(CELL("address",'Raw Data'!C61),"\$([A-Z]+)\$[0-9]+"),"")</f>
        <v>$C$61</v>
      </c>
      <c r="D62" t="str" cm="1">
        <f t="array" aca="1" ref="D62" ca="1">IF('Raw Data'!D61="",_xlfn.REGEXEXTRACT(CELL("address",'Raw Data'!D61),"\$([A-Z]+)\$[0-9]+"),"")</f>
        <v>$D$61</v>
      </c>
      <c r="E62" t="str" cm="1">
        <f t="array" aca="1" ref="E62" ca="1">IF('Raw Data'!E61="",_xlfn.REGEXEXTRACT(CELL("address",'Raw Data'!E61),"\$([A-Z]+)\$[0-9]+"),"")</f>
        <v>$E$61</v>
      </c>
      <c r="F62" t="str" cm="1">
        <f t="array" aca="1" ref="F62" ca="1">IF('Raw Data'!F61="",_xlfn.REGEXEXTRACT(CELL("address",'Raw Data'!F61),"\$([A-Z]+)\$[0-9]+"),"")</f>
        <v/>
      </c>
      <c r="G62" t="str" cm="1">
        <f t="array" aca="1" ref="G62" ca="1">IF('Raw Data'!G61="",_xlfn.REGEXEXTRACT(CELL("address",'Raw Data'!G61),"\$([A-Z]+)\$[0-9]+"),"")</f>
        <v/>
      </c>
      <c r="H62" t="str" cm="1">
        <f t="array" aca="1" ref="H62" ca="1">IF('Raw Data'!H61="",_xlfn.REGEXEXTRACT(CELL("address",'Raw Data'!H61),"\$([A-Z]+)\$[0-9]+"),"")</f>
        <v>$H$61</v>
      </c>
      <c r="I62" t="str" cm="1">
        <f t="array" aca="1" ref="I62" ca="1">IF('Raw Data'!I61="",_xlfn.REGEXEXTRACT(CELL("address",'Raw Data'!I61),"\$([A-Z]+)\$[0-9]+"),"")</f>
        <v>$I$61</v>
      </c>
    </row>
    <row r="63" spans="2:9" x14ac:dyDescent="0.25">
      <c r="B63" t="str" cm="1">
        <f t="array" aca="1" ref="B63" ca="1">IF('Raw Data'!B62="",_xlfn.REGEXEXTRACT(CELL("address",'Raw Data'!B62),"\$([A-Z]+)\$[0-9]+"),"")</f>
        <v>$B$62</v>
      </c>
      <c r="C63" t="str" cm="1">
        <f t="array" aca="1" ref="C63" ca="1">IF('Raw Data'!C62="",_xlfn.REGEXEXTRACT(CELL("address",'Raw Data'!C62),"\$([A-Z]+)\$[0-9]+"),"")</f>
        <v>$C$62</v>
      </c>
      <c r="D63" t="str" cm="1">
        <f t="array" aca="1" ref="D63" ca="1">IF('Raw Data'!D62="",_xlfn.REGEXEXTRACT(CELL("address",'Raw Data'!D62),"\$([A-Z]+)\$[0-9]+"),"")</f>
        <v>$D$62</v>
      </c>
      <c r="E63" t="str" cm="1">
        <f t="array" aca="1" ref="E63" ca="1">IF('Raw Data'!E62="",_xlfn.REGEXEXTRACT(CELL("address",'Raw Data'!E62),"\$([A-Z]+)\$[0-9]+"),"")</f>
        <v>$E$62</v>
      </c>
      <c r="F63" t="str" cm="1">
        <f t="array" aca="1" ref="F63" ca="1">IF('Raw Data'!F62="",_xlfn.REGEXEXTRACT(CELL("address",'Raw Data'!F62),"\$([A-Z]+)\$[0-9]+"),"")</f>
        <v/>
      </c>
      <c r="G63" t="str" cm="1">
        <f t="array" aca="1" ref="G63" ca="1">IF('Raw Data'!G62="",_xlfn.REGEXEXTRACT(CELL("address",'Raw Data'!G62),"\$([A-Z]+)\$[0-9]+"),"")</f>
        <v/>
      </c>
      <c r="H63" t="str" cm="1">
        <f t="array" aca="1" ref="H63" ca="1">IF('Raw Data'!H62="",_xlfn.REGEXEXTRACT(CELL("address",'Raw Data'!H62),"\$([A-Z]+)\$[0-9]+"),"")</f>
        <v>$H$62</v>
      </c>
      <c r="I63" t="str" cm="1">
        <f t="array" aca="1" ref="I63" ca="1">IF('Raw Data'!I62="",_xlfn.REGEXEXTRACT(CELL("address",'Raw Data'!I62),"\$([A-Z]+)\$[0-9]+"),"")</f>
        <v>$I$62</v>
      </c>
    </row>
    <row r="64" spans="2:9" x14ac:dyDescent="0.25">
      <c r="B64" t="str" cm="1">
        <f t="array" aca="1" ref="B64" ca="1">IF('Raw Data'!B63="",_xlfn.REGEXEXTRACT(CELL("address",'Raw Data'!B63),"\$([A-Z]+)\$[0-9]+"),"")</f>
        <v>$B$63</v>
      </c>
      <c r="C64" t="str" cm="1">
        <f t="array" aca="1" ref="C64" ca="1">IF('Raw Data'!C63="",_xlfn.REGEXEXTRACT(CELL("address",'Raw Data'!C63),"\$([A-Z]+)\$[0-9]+"),"")</f>
        <v>$C$63</v>
      </c>
      <c r="D64" t="str" cm="1">
        <f t="array" aca="1" ref="D64" ca="1">IF('Raw Data'!D63="",_xlfn.REGEXEXTRACT(CELL("address",'Raw Data'!D63),"\$([A-Z]+)\$[0-9]+"),"")</f>
        <v>$D$63</v>
      </c>
      <c r="E64" t="str" cm="1">
        <f t="array" aca="1" ref="E64" ca="1">IF('Raw Data'!E63="",_xlfn.REGEXEXTRACT(CELL("address",'Raw Data'!E63),"\$([A-Z]+)\$[0-9]+"),"")</f>
        <v>$E$63</v>
      </c>
      <c r="F64" t="str" cm="1">
        <f t="array" aca="1" ref="F64" ca="1">IF('Raw Data'!F63="",_xlfn.REGEXEXTRACT(CELL("address",'Raw Data'!F63),"\$([A-Z]+)\$[0-9]+"),"")</f>
        <v/>
      </c>
      <c r="G64" t="str" cm="1">
        <f t="array" aca="1" ref="G64" ca="1">IF('Raw Data'!G63="",_xlfn.REGEXEXTRACT(CELL("address",'Raw Data'!G63),"\$([A-Z]+)\$[0-9]+"),"")</f>
        <v/>
      </c>
      <c r="H64" t="str" cm="1">
        <f t="array" aca="1" ref="H64" ca="1">IF('Raw Data'!H63="",_xlfn.REGEXEXTRACT(CELL("address",'Raw Data'!H63),"\$([A-Z]+)\$[0-9]+"),"")</f>
        <v>$H$63</v>
      </c>
      <c r="I64" t="str" cm="1">
        <f t="array" aca="1" ref="I64" ca="1">IF('Raw Data'!I63="",_xlfn.REGEXEXTRACT(CELL("address",'Raw Data'!I63),"\$([A-Z]+)\$[0-9]+"),"")</f>
        <v>$I$63</v>
      </c>
    </row>
    <row r="65" spans="2:9" x14ac:dyDescent="0.25">
      <c r="B65" t="str" cm="1">
        <f t="array" aca="1" ref="B65" ca="1">IF('Raw Data'!B64="",_xlfn.REGEXEXTRACT(CELL("address",'Raw Data'!B64),"\$([A-Z]+)\$[0-9]+"),"")</f>
        <v>$B$64</v>
      </c>
      <c r="C65" t="str" cm="1">
        <f t="array" aca="1" ref="C65" ca="1">IF('Raw Data'!C64="",_xlfn.REGEXEXTRACT(CELL("address",'Raw Data'!C64),"\$([A-Z]+)\$[0-9]+"),"")</f>
        <v>$C$64</v>
      </c>
      <c r="D65" t="str" cm="1">
        <f t="array" aca="1" ref="D65" ca="1">IF('Raw Data'!D64="",_xlfn.REGEXEXTRACT(CELL("address",'Raw Data'!D64),"\$([A-Z]+)\$[0-9]+"),"")</f>
        <v>$D$64</v>
      </c>
      <c r="E65" t="str" cm="1">
        <f t="array" aca="1" ref="E65" ca="1">IF('Raw Data'!E64="",_xlfn.REGEXEXTRACT(CELL("address",'Raw Data'!E64),"\$([A-Z]+)\$[0-9]+"),"")</f>
        <v>$E$64</v>
      </c>
      <c r="F65" t="str" cm="1">
        <f t="array" aca="1" ref="F65" ca="1">IF('Raw Data'!F64="",_xlfn.REGEXEXTRACT(CELL("address",'Raw Data'!F64),"\$([A-Z]+)\$[0-9]+"),"")</f>
        <v/>
      </c>
      <c r="G65" t="str" cm="1">
        <f t="array" aca="1" ref="G65" ca="1">IF('Raw Data'!G64="",_xlfn.REGEXEXTRACT(CELL("address",'Raw Data'!G64),"\$([A-Z]+)\$[0-9]+"),"")</f>
        <v/>
      </c>
      <c r="H65" t="str" cm="1">
        <f t="array" aca="1" ref="H65" ca="1">IF('Raw Data'!H64="",_xlfn.REGEXEXTRACT(CELL("address",'Raw Data'!H64),"\$([A-Z]+)\$[0-9]+"),"")</f>
        <v>$H$64</v>
      </c>
      <c r="I65" t="str" cm="1">
        <f t="array" aca="1" ref="I65" ca="1">IF('Raw Data'!I64="",_xlfn.REGEXEXTRACT(CELL("address",'Raw Data'!I64),"\$([A-Z]+)\$[0-9]+"),"")</f>
        <v>$I$64</v>
      </c>
    </row>
    <row r="66" spans="2:9" x14ac:dyDescent="0.25">
      <c r="B66" t="str" cm="1">
        <f t="array" aca="1" ref="B66" ca="1">IF('Raw Data'!B65="",_xlfn.REGEXEXTRACT(CELL("address",'Raw Data'!B65),"\$([A-Z]+)\$[0-9]+"),"")</f>
        <v>$B$65</v>
      </c>
      <c r="C66" t="str" cm="1">
        <f t="array" aca="1" ref="C66" ca="1">IF('Raw Data'!C65="",_xlfn.REGEXEXTRACT(CELL("address",'Raw Data'!C65),"\$([A-Z]+)\$[0-9]+"),"")</f>
        <v>$C$65</v>
      </c>
      <c r="D66" t="str" cm="1">
        <f t="array" aca="1" ref="D66" ca="1">IF('Raw Data'!D65="",_xlfn.REGEXEXTRACT(CELL("address",'Raw Data'!D65),"\$([A-Z]+)\$[0-9]+"),"")</f>
        <v>$D$65</v>
      </c>
      <c r="E66" t="str" cm="1">
        <f t="array" aca="1" ref="E66" ca="1">IF('Raw Data'!E65="",_xlfn.REGEXEXTRACT(CELL("address",'Raw Data'!E65),"\$([A-Z]+)\$[0-9]+"),"")</f>
        <v>$E$65</v>
      </c>
      <c r="F66" t="str" cm="1">
        <f t="array" aca="1" ref="F66" ca="1">IF('Raw Data'!F65="",_xlfn.REGEXEXTRACT(CELL("address",'Raw Data'!F65),"\$([A-Z]+)\$[0-9]+"),"")</f>
        <v/>
      </c>
      <c r="G66" t="str" cm="1">
        <f t="array" aca="1" ref="G66" ca="1">IF('Raw Data'!G65="",_xlfn.REGEXEXTRACT(CELL("address",'Raw Data'!G65),"\$([A-Z]+)\$[0-9]+"),"")</f>
        <v/>
      </c>
      <c r="H66" t="str" cm="1">
        <f t="array" aca="1" ref="H66" ca="1">IF('Raw Data'!H65="",_xlfn.REGEXEXTRACT(CELL("address",'Raw Data'!H65),"\$([A-Z]+)\$[0-9]+"),"")</f>
        <v>$H$65</v>
      </c>
      <c r="I66" t="str" cm="1">
        <f t="array" aca="1" ref="I66" ca="1">IF('Raw Data'!I65="",_xlfn.REGEXEXTRACT(CELL("address",'Raw Data'!I65),"\$([A-Z]+)\$[0-9]+"),"")</f>
        <v>$I$65</v>
      </c>
    </row>
    <row r="67" spans="2:9" x14ac:dyDescent="0.25">
      <c r="B67" t="str" cm="1">
        <f t="array" aca="1" ref="B67" ca="1">IF('Raw Data'!B66="",_xlfn.REGEXEXTRACT(CELL("address",'Raw Data'!B66),"\$([A-Z]+)\$[0-9]+"),"")</f>
        <v>$B$66</v>
      </c>
      <c r="C67" t="str" cm="1">
        <f t="array" aca="1" ref="C67" ca="1">IF('Raw Data'!C66="",_xlfn.REGEXEXTRACT(CELL("address",'Raw Data'!C66),"\$([A-Z]+)\$[0-9]+"),"")</f>
        <v>$C$66</v>
      </c>
      <c r="D67" t="str" cm="1">
        <f t="array" aca="1" ref="D67" ca="1">IF('Raw Data'!D66="",_xlfn.REGEXEXTRACT(CELL("address",'Raw Data'!D66),"\$([A-Z]+)\$[0-9]+"),"")</f>
        <v>$D$66</v>
      </c>
      <c r="E67" t="str" cm="1">
        <f t="array" aca="1" ref="E67" ca="1">IF('Raw Data'!E66="",_xlfn.REGEXEXTRACT(CELL("address",'Raw Data'!E66),"\$([A-Z]+)\$[0-9]+"),"")</f>
        <v>$E$66</v>
      </c>
      <c r="F67" t="str" cm="1">
        <f t="array" aca="1" ref="F67" ca="1">IF('Raw Data'!F66="",_xlfn.REGEXEXTRACT(CELL("address",'Raw Data'!F66),"\$([A-Z]+)\$[0-9]+"),"")</f>
        <v/>
      </c>
      <c r="G67" t="str" cm="1">
        <f t="array" aca="1" ref="G67" ca="1">IF('Raw Data'!G66="",_xlfn.REGEXEXTRACT(CELL("address",'Raw Data'!G66),"\$([A-Z]+)\$[0-9]+"),"")</f>
        <v/>
      </c>
      <c r="H67" t="str" cm="1">
        <f t="array" aca="1" ref="H67" ca="1">IF('Raw Data'!H66="",_xlfn.REGEXEXTRACT(CELL("address",'Raw Data'!H66),"\$([A-Z]+)\$[0-9]+"),"")</f>
        <v>$H$66</v>
      </c>
      <c r="I67" t="str" cm="1">
        <f t="array" aca="1" ref="I67" ca="1">IF('Raw Data'!I66="",_xlfn.REGEXEXTRACT(CELL("address",'Raw Data'!I66),"\$([A-Z]+)\$[0-9]+"),"")</f>
        <v>$I$66</v>
      </c>
    </row>
    <row r="68" spans="2:9" x14ac:dyDescent="0.25">
      <c r="B68" t="str" cm="1">
        <f t="array" aca="1" ref="B68" ca="1">IF('Raw Data'!B67="",_xlfn.REGEXEXTRACT(CELL("address",'Raw Data'!B67),"\$([A-Z]+)\$[0-9]+"),"")</f>
        <v>$B$67</v>
      </c>
      <c r="C68" t="str" cm="1">
        <f t="array" aca="1" ref="C68" ca="1">IF('Raw Data'!C67="",_xlfn.REGEXEXTRACT(CELL("address",'Raw Data'!C67),"\$([A-Z]+)\$[0-9]+"),"")</f>
        <v>$C$67</v>
      </c>
      <c r="D68" t="str" cm="1">
        <f t="array" aca="1" ref="D68" ca="1">IF('Raw Data'!D67="",_xlfn.REGEXEXTRACT(CELL("address",'Raw Data'!D67),"\$([A-Z]+)\$[0-9]+"),"")</f>
        <v>$D$67</v>
      </c>
      <c r="E68" t="str" cm="1">
        <f t="array" aca="1" ref="E68" ca="1">IF('Raw Data'!E67="",_xlfn.REGEXEXTRACT(CELL("address",'Raw Data'!E67),"\$([A-Z]+)\$[0-9]+"),"")</f>
        <v>$E$67</v>
      </c>
      <c r="F68" t="str" cm="1">
        <f t="array" aca="1" ref="F68" ca="1">IF('Raw Data'!F67="",_xlfn.REGEXEXTRACT(CELL("address",'Raw Data'!F67),"\$([A-Z]+)\$[0-9]+"),"")</f>
        <v>$F$67</v>
      </c>
      <c r="G68" t="str" cm="1">
        <f t="array" aca="1" ref="G68" ca="1">IF('Raw Data'!G67="",_xlfn.REGEXEXTRACT(CELL("address",'Raw Data'!G67),"\$([A-Z]+)\$[0-9]+"),"")</f>
        <v>$G$67</v>
      </c>
      <c r="H68" t="str" cm="1">
        <f t="array" aca="1" ref="H68" ca="1">IF('Raw Data'!H67="",_xlfn.REGEXEXTRACT(CELL("address",'Raw Data'!H67),"\$([A-Z]+)\$[0-9]+"),"")</f>
        <v>$H$67</v>
      </c>
      <c r="I68" t="str" cm="1">
        <f t="array" aca="1" ref="I68" ca="1">IF('Raw Data'!I67="",_xlfn.REGEXEXTRACT(CELL("address",'Raw Data'!I67),"\$([A-Z]+)\$[0-9]+"),"")</f>
        <v>$I$67</v>
      </c>
    </row>
    <row r="69" spans="2:9" x14ac:dyDescent="0.25">
      <c r="B69" t="str" cm="1">
        <f t="array" aca="1" ref="B69" ca="1">IF('Raw Data'!B68="",_xlfn.REGEXEXTRACT(CELL("address",'Raw Data'!B68),"\$([A-Z]+)\$[0-9]+"),"")</f>
        <v>$B$68</v>
      </c>
      <c r="C69" t="str" cm="1">
        <f t="array" aca="1" ref="C69" ca="1">IF('Raw Data'!C68="",_xlfn.REGEXEXTRACT(CELL("address",'Raw Data'!C68),"\$([A-Z]+)\$[0-9]+"),"")</f>
        <v>$C$68</v>
      </c>
      <c r="D69" t="str" cm="1">
        <f t="array" aca="1" ref="D69" ca="1">IF('Raw Data'!D68="",_xlfn.REGEXEXTRACT(CELL("address",'Raw Data'!D68),"\$([A-Z]+)\$[0-9]+"),"")</f>
        <v>$D$68</v>
      </c>
      <c r="E69" t="str" cm="1">
        <f t="array" aca="1" ref="E69" ca="1">IF('Raw Data'!E68="",_xlfn.REGEXEXTRACT(CELL("address",'Raw Data'!E68),"\$([A-Z]+)\$[0-9]+"),"")</f>
        <v>$E$68</v>
      </c>
      <c r="F69" t="str" cm="1">
        <f t="array" aca="1" ref="F69" ca="1">IF('Raw Data'!F68="",_xlfn.REGEXEXTRACT(CELL("address",'Raw Data'!F68),"\$([A-Z]+)\$[0-9]+"),"")</f>
        <v>$F$68</v>
      </c>
      <c r="G69" t="str" cm="1">
        <f t="array" aca="1" ref="G69" ca="1">IF('Raw Data'!G68="",_xlfn.REGEXEXTRACT(CELL("address",'Raw Data'!G68),"\$([A-Z]+)\$[0-9]+"),"")</f>
        <v>$G$68</v>
      </c>
      <c r="H69" t="str" cm="1">
        <f t="array" aca="1" ref="H69" ca="1">IF('Raw Data'!H68="",_xlfn.REGEXEXTRACT(CELL("address",'Raw Data'!H68),"\$([A-Z]+)\$[0-9]+"),"")</f>
        <v>$H$68</v>
      </c>
      <c r="I69" t="str" cm="1">
        <f t="array" aca="1" ref="I69" ca="1">IF('Raw Data'!I68="",_xlfn.REGEXEXTRACT(CELL("address",'Raw Data'!I68),"\$([A-Z]+)\$[0-9]+"),"")</f>
        <v>$I$68</v>
      </c>
    </row>
    <row r="70" spans="2:9" x14ac:dyDescent="0.25">
      <c r="B70" t="str" cm="1">
        <f t="array" aca="1" ref="B70" ca="1">IF('Raw Data'!B69="",_xlfn.REGEXEXTRACT(CELL("address",'Raw Data'!B69),"\$([A-Z]+)\$[0-9]+"),"")</f>
        <v>$B$69</v>
      </c>
      <c r="C70" t="str" cm="1">
        <f t="array" aca="1" ref="C70" ca="1">IF('Raw Data'!C69="",_xlfn.REGEXEXTRACT(CELL("address",'Raw Data'!C69),"\$([A-Z]+)\$[0-9]+"),"")</f>
        <v>$C$69</v>
      </c>
      <c r="D70" t="str" cm="1">
        <f t="array" aca="1" ref="D70" ca="1">IF('Raw Data'!D69="",_xlfn.REGEXEXTRACT(CELL("address",'Raw Data'!D69),"\$([A-Z]+)\$[0-9]+"),"")</f>
        <v>$D$69</v>
      </c>
      <c r="E70" t="str" cm="1">
        <f t="array" aca="1" ref="E70" ca="1">IF('Raw Data'!E69="",_xlfn.REGEXEXTRACT(CELL("address",'Raw Data'!E69),"\$([A-Z]+)\$[0-9]+"),"")</f>
        <v>$E$69</v>
      </c>
      <c r="F70" t="str" cm="1">
        <f t="array" aca="1" ref="F70" ca="1">IF('Raw Data'!F69="",_xlfn.REGEXEXTRACT(CELL("address",'Raw Data'!F69),"\$([A-Z]+)\$[0-9]+"),"")</f>
        <v>$F$69</v>
      </c>
      <c r="G70" t="str" cm="1">
        <f t="array" aca="1" ref="G70" ca="1">IF('Raw Data'!G69="",_xlfn.REGEXEXTRACT(CELL("address",'Raw Data'!G69),"\$([A-Z]+)\$[0-9]+"),"")</f>
        <v>$G$69</v>
      </c>
      <c r="H70" t="str" cm="1">
        <f t="array" aca="1" ref="H70" ca="1">IF('Raw Data'!H69="",_xlfn.REGEXEXTRACT(CELL("address",'Raw Data'!H69),"\$([A-Z]+)\$[0-9]+"),"")</f>
        <v>$H$69</v>
      </c>
      <c r="I70" t="str" cm="1">
        <f t="array" aca="1" ref="I70" ca="1">IF('Raw Data'!I69="",_xlfn.REGEXEXTRACT(CELL("address",'Raw Data'!I69),"\$([A-Z]+)\$[0-9]+"),"")</f>
        <v>$I$69</v>
      </c>
    </row>
    <row r="71" spans="2:9" x14ac:dyDescent="0.25">
      <c r="B71" t="str" cm="1">
        <f t="array" aca="1" ref="B71" ca="1">IF('Raw Data'!B70="",_xlfn.REGEXEXTRACT(CELL("address",'Raw Data'!B70),"\$([A-Z]+)\$[0-9]+"),"")</f>
        <v>$B$70</v>
      </c>
      <c r="C71" t="str" cm="1">
        <f t="array" aca="1" ref="C71" ca="1">IF('Raw Data'!C70="",_xlfn.REGEXEXTRACT(CELL("address",'Raw Data'!C70),"\$([A-Z]+)\$[0-9]+"),"")</f>
        <v>$C$70</v>
      </c>
      <c r="D71" t="str" cm="1">
        <f t="array" aca="1" ref="D71" ca="1">IF('Raw Data'!D70="",_xlfn.REGEXEXTRACT(CELL("address",'Raw Data'!D70),"\$([A-Z]+)\$[0-9]+"),"")</f>
        <v>$D$70</v>
      </c>
      <c r="E71" t="str" cm="1">
        <f t="array" aca="1" ref="E71" ca="1">IF('Raw Data'!E70="",_xlfn.REGEXEXTRACT(CELL("address",'Raw Data'!E70),"\$([A-Z]+)\$[0-9]+"),"")</f>
        <v>$E$70</v>
      </c>
      <c r="F71" t="str" cm="1">
        <f t="array" aca="1" ref="F71" ca="1">IF('Raw Data'!F70="",_xlfn.REGEXEXTRACT(CELL("address",'Raw Data'!F70),"\$([A-Z]+)\$[0-9]+"),"")</f>
        <v>$F$70</v>
      </c>
      <c r="G71" t="str" cm="1">
        <f t="array" aca="1" ref="G71" ca="1">IF('Raw Data'!G70="",_xlfn.REGEXEXTRACT(CELL("address",'Raw Data'!G70),"\$([A-Z]+)\$[0-9]+"),"")</f>
        <v>$G$70</v>
      </c>
      <c r="H71" t="str" cm="1">
        <f t="array" aca="1" ref="H71" ca="1">IF('Raw Data'!H70="",_xlfn.REGEXEXTRACT(CELL("address",'Raw Data'!H70),"\$([A-Z]+)\$[0-9]+"),"")</f>
        <v>$H$70</v>
      </c>
      <c r="I71" t="str" cm="1">
        <f t="array" aca="1" ref="I71" ca="1">IF('Raw Data'!I70="",_xlfn.REGEXEXTRACT(CELL("address",'Raw Data'!I70),"\$([A-Z]+)\$[0-9]+"),"")</f>
        <v>$I$70</v>
      </c>
    </row>
    <row r="72" spans="2:9" x14ac:dyDescent="0.25">
      <c r="B72" t="str" cm="1">
        <f t="array" aca="1" ref="B72" ca="1">IF('Raw Data'!B71="",_xlfn.REGEXEXTRACT(CELL("address",'Raw Data'!B71),"\$([A-Z]+)\$[0-9]+"),"")</f>
        <v>$B$71</v>
      </c>
      <c r="C72" t="str" cm="1">
        <f t="array" aca="1" ref="C72" ca="1">IF('Raw Data'!C71="",_xlfn.REGEXEXTRACT(CELL("address",'Raw Data'!C71),"\$([A-Z]+)\$[0-9]+"),"")</f>
        <v>$C$71</v>
      </c>
      <c r="D72" t="str" cm="1">
        <f t="array" aca="1" ref="D72" ca="1">IF('Raw Data'!D71="",_xlfn.REGEXEXTRACT(CELL("address",'Raw Data'!D71),"\$([A-Z]+)\$[0-9]+"),"")</f>
        <v>$D$71</v>
      </c>
      <c r="E72" t="str" cm="1">
        <f t="array" aca="1" ref="E72" ca="1">IF('Raw Data'!E71="",_xlfn.REGEXEXTRACT(CELL("address",'Raw Data'!E71),"\$([A-Z]+)\$[0-9]+"),"")</f>
        <v>$E$71</v>
      </c>
      <c r="F72" t="str" cm="1">
        <f t="array" aca="1" ref="F72" ca="1">IF('Raw Data'!F71="",_xlfn.REGEXEXTRACT(CELL("address",'Raw Data'!F71),"\$([A-Z]+)\$[0-9]+"),"")</f>
        <v>$F$71</v>
      </c>
      <c r="G72" t="str" cm="1">
        <f t="array" aca="1" ref="G72" ca="1">IF('Raw Data'!G71="",_xlfn.REGEXEXTRACT(CELL("address",'Raw Data'!G71),"\$([A-Z]+)\$[0-9]+"),"")</f>
        <v>$G$71</v>
      </c>
      <c r="H72" t="str" cm="1">
        <f t="array" aca="1" ref="H72" ca="1">IF('Raw Data'!H71="",_xlfn.REGEXEXTRACT(CELL("address",'Raw Data'!H71),"\$([A-Z]+)\$[0-9]+"),"")</f>
        <v>$H$71</v>
      </c>
      <c r="I72" t="str" cm="1">
        <f t="array" aca="1" ref="I72" ca="1">IF('Raw Data'!I71="",_xlfn.REGEXEXTRACT(CELL("address",'Raw Data'!I71),"\$([A-Z]+)\$[0-9]+"),"")</f>
        <v>$I$71</v>
      </c>
    </row>
    <row r="73" spans="2:9" x14ac:dyDescent="0.25">
      <c r="B73" t="str" cm="1">
        <f t="array" aca="1" ref="B73" ca="1">IF('Raw Data'!B72="",_xlfn.REGEXEXTRACT(CELL("address",'Raw Data'!B72),"\$([A-Z]+)\$[0-9]+"),"")</f>
        <v>$B$72</v>
      </c>
      <c r="C73" t="str" cm="1">
        <f t="array" aca="1" ref="C73" ca="1">IF('Raw Data'!C72="",_xlfn.REGEXEXTRACT(CELL("address",'Raw Data'!C72),"\$([A-Z]+)\$[0-9]+"),"")</f>
        <v>$C$72</v>
      </c>
      <c r="D73" t="str" cm="1">
        <f t="array" aca="1" ref="D73" ca="1">IF('Raw Data'!D72="",_xlfn.REGEXEXTRACT(CELL("address",'Raw Data'!D72),"\$([A-Z]+)\$[0-9]+"),"")</f>
        <v>$D$72</v>
      </c>
      <c r="E73" t="str" cm="1">
        <f t="array" aca="1" ref="E73" ca="1">IF('Raw Data'!E72="",_xlfn.REGEXEXTRACT(CELL("address",'Raw Data'!E72),"\$([A-Z]+)\$[0-9]+"),"")</f>
        <v>$E$72</v>
      </c>
      <c r="F73" t="str" cm="1">
        <f t="array" aca="1" ref="F73" ca="1">IF('Raw Data'!F72="",_xlfn.REGEXEXTRACT(CELL("address",'Raw Data'!F72),"\$([A-Z]+)\$[0-9]+"),"")</f>
        <v>$F$72</v>
      </c>
      <c r="G73" t="str" cm="1">
        <f t="array" aca="1" ref="G73" ca="1">IF('Raw Data'!G72="",_xlfn.REGEXEXTRACT(CELL("address",'Raw Data'!G72),"\$([A-Z]+)\$[0-9]+"),"")</f>
        <v>$G$72</v>
      </c>
      <c r="H73" t="str" cm="1">
        <f t="array" aca="1" ref="H73" ca="1">IF('Raw Data'!H72="",_xlfn.REGEXEXTRACT(CELL("address",'Raw Data'!H72),"\$([A-Z]+)\$[0-9]+"),"")</f>
        <v>$H$72</v>
      </c>
      <c r="I73" t="str" cm="1">
        <f t="array" aca="1" ref="I73" ca="1">IF('Raw Data'!I72="",_xlfn.REGEXEXTRACT(CELL("address",'Raw Data'!I72),"\$([A-Z]+)\$[0-9]+"),"")</f>
        <v>$I$72</v>
      </c>
    </row>
    <row r="74" spans="2:9" x14ac:dyDescent="0.25">
      <c r="B74" t="str" cm="1">
        <f t="array" aca="1" ref="B74" ca="1">IF('Raw Data'!B73="",_xlfn.REGEXEXTRACT(CELL("address",'Raw Data'!B73),"\$([A-Z]+)\$[0-9]+"),"")</f>
        <v>$B$73</v>
      </c>
      <c r="C74" t="str" cm="1">
        <f t="array" aca="1" ref="C74" ca="1">IF('Raw Data'!C73="",_xlfn.REGEXEXTRACT(CELL("address",'Raw Data'!C73),"\$([A-Z]+)\$[0-9]+"),"")</f>
        <v>$C$73</v>
      </c>
      <c r="D74" t="str" cm="1">
        <f t="array" aca="1" ref="D74" ca="1">IF('Raw Data'!D73="",_xlfn.REGEXEXTRACT(CELL("address",'Raw Data'!D73),"\$([A-Z]+)\$[0-9]+"),"")</f>
        <v>$D$73</v>
      </c>
      <c r="E74" t="str" cm="1">
        <f t="array" aca="1" ref="E74" ca="1">IF('Raw Data'!E73="",_xlfn.REGEXEXTRACT(CELL("address",'Raw Data'!E73),"\$([A-Z]+)\$[0-9]+"),"")</f>
        <v>$E$73</v>
      </c>
      <c r="F74" t="str" cm="1">
        <f t="array" aca="1" ref="F74" ca="1">IF('Raw Data'!F73="",_xlfn.REGEXEXTRACT(CELL("address",'Raw Data'!F73),"\$([A-Z]+)\$[0-9]+"),"")</f>
        <v>$F$73</v>
      </c>
      <c r="G74" t="str" cm="1">
        <f t="array" aca="1" ref="G74" ca="1">IF('Raw Data'!G73="",_xlfn.REGEXEXTRACT(CELL("address",'Raw Data'!G73),"\$([A-Z]+)\$[0-9]+"),"")</f>
        <v>$G$73</v>
      </c>
      <c r="H74" t="str" cm="1">
        <f t="array" aca="1" ref="H74" ca="1">IF('Raw Data'!H73="",_xlfn.REGEXEXTRACT(CELL("address",'Raw Data'!H73),"\$([A-Z]+)\$[0-9]+"),"")</f>
        <v>$H$73</v>
      </c>
      <c r="I74" t="str" cm="1">
        <f t="array" aca="1" ref="I74" ca="1">IF('Raw Data'!I73="",_xlfn.REGEXEXTRACT(CELL("address",'Raw Data'!I73),"\$([A-Z]+)\$[0-9]+"),"")</f>
        <v>$I$73</v>
      </c>
    </row>
    <row r="75" spans="2:9" x14ac:dyDescent="0.25">
      <c r="B75" t="str" cm="1">
        <f t="array" aca="1" ref="B75" ca="1">IF('Raw Data'!B74="",_xlfn.REGEXEXTRACT(CELL("address",'Raw Data'!B74),"\$([A-Z]+)\$[0-9]+"),"")</f>
        <v>$B$74</v>
      </c>
      <c r="C75" t="str" cm="1">
        <f t="array" aca="1" ref="C75" ca="1">IF('Raw Data'!C74="",_xlfn.REGEXEXTRACT(CELL("address",'Raw Data'!C74),"\$([A-Z]+)\$[0-9]+"),"")</f>
        <v>$C$74</v>
      </c>
      <c r="D75" t="str" cm="1">
        <f t="array" aca="1" ref="D75" ca="1">IF('Raw Data'!D74="",_xlfn.REGEXEXTRACT(CELL("address",'Raw Data'!D74),"\$([A-Z]+)\$[0-9]+"),"")</f>
        <v>$D$74</v>
      </c>
      <c r="E75" t="str" cm="1">
        <f t="array" aca="1" ref="E75" ca="1">IF('Raw Data'!E74="",_xlfn.REGEXEXTRACT(CELL("address",'Raw Data'!E74),"\$([A-Z]+)\$[0-9]+"),"")</f>
        <v>$E$74</v>
      </c>
      <c r="F75" t="str" cm="1">
        <f t="array" aca="1" ref="F75" ca="1">IF('Raw Data'!F74="",_xlfn.REGEXEXTRACT(CELL("address",'Raw Data'!F74),"\$([A-Z]+)\$[0-9]+"),"")</f>
        <v>$F$74</v>
      </c>
      <c r="G75" t="str" cm="1">
        <f t="array" aca="1" ref="G75" ca="1">IF('Raw Data'!G74="",_xlfn.REGEXEXTRACT(CELL("address",'Raw Data'!G74),"\$([A-Z]+)\$[0-9]+"),"")</f>
        <v>$G$74</v>
      </c>
      <c r="H75" t="str" cm="1">
        <f t="array" aca="1" ref="H75" ca="1">IF('Raw Data'!H74="",_xlfn.REGEXEXTRACT(CELL("address",'Raw Data'!H74),"\$([A-Z]+)\$[0-9]+"),"")</f>
        <v>$H$74</v>
      </c>
      <c r="I75" t="str" cm="1">
        <f t="array" aca="1" ref="I75" ca="1">IF('Raw Data'!I74="",_xlfn.REGEXEXTRACT(CELL("address",'Raw Data'!I74),"\$([A-Z]+)\$[0-9]+"),"")</f>
        <v>$I$74</v>
      </c>
    </row>
    <row r="76" spans="2:9" x14ac:dyDescent="0.25">
      <c r="B76" t="str" cm="1">
        <f t="array" aca="1" ref="B76" ca="1">IF('Raw Data'!B75="",_xlfn.REGEXEXTRACT(CELL("address",'Raw Data'!B75),"\$([A-Z]+)\$[0-9]+"),"")</f>
        <v>$B$75</v>
      </c>
      <c r="C76" t="str" cm="1">
        <f t="array" aca="1" ref="C76" ca="1">IF('Raw Data'!C75="",_xlfn.REGEXEXTRACT(CELL("address",'Raw Data'!C75),"\$([A-Z]+)\$[0-9]+"),"")</f>
        <v>$C$75</v>
      </c>
      <c r="D76" t="str" cm="1">
        <f t="array" aca="1" ref="D76" ca="1">IF('Raw Data'!D75="",_xlfn.REGEXEXTRACT(CELL("address",'Raw Data'!D75),"\$([A-Z]+)\$[0-9]+"),"")</f>
        <v>$D$75</v>
      </c>
      <c r="E76" t="str" cm="1">
        <f t="array" aca="1" ref="E76" ca="1">IF('Raw Data'!E75="",_xlfn.REGEXEXTRACT(CELL("address",'Raw Data'!E75),"\$([A-Z]+)\$[0-9]+"),"")</f>
        <v>$E$75</v>
      </c>
      <c r="F76" t="str" cm="1">
        <f t="array" aca="1" ref="F76" ca="1">IF('Raw Data'!F75="",_xlfn.REGEXEXTRACT(CELL("address",'Raw Data'!F75),"\$([A-Z]+)\$[0-9]+"),"")</f>
        <v>$F$75</v>
      </c>
      <c r="G76" t="str" cm="1">
        <f t="array" aca="1" ref="G76" ca="1">IF('Raw Data'!G75="",_xlfn.REGEXEXTRACT(CELL("address",'Raw Data'!G75),"\$([A-Z]+)\$[0-9]+"),"")</f>
        <v>$G$75</v>
      </c>
      <c r="H76" t="str" cm="1">
        <f t="array" aca="1" ref="H76" ca="1">IF('Raw Data'!H75="",_xlfn.REGEXEXTRACT(CELL("address",'Raw Data'!H75),"\$([A-Z]+)\$[0-9]+"),"")</f>
        <v>$H$75</v>
      </c>
      <c r="I76" t="str" cm="1">
        <f t="array" aca="1" ref="I76" ca="1">IF('Raw Data'!I75="",_xlfn.REGEXEXTRACT(CELL("address",'Raw Data'!I75),"\$([A-Z]+)\$[0-9]+"),"")</f>
        <v>$I$75</v>
      </c>
    </row>
    <row r="77" spans="2:9" x14ac:dyDescent="0.25">
      <c r="B77" t="str" cm="1">
        <f t="array" aca="1" ref="B77" ca="1">IF('Raw Data'!B76="",_xlfn.REGEXEXTRACT(CELL("address",'Raw Data'!B76),"\$([A-Z]+)\$[0-9]+"),"")</f>
        <v>$B$76</v>
      </c>
      <c r="C77" t="str" cm="1">
        <f t="array" aca="1" ref="C77" ca="1">IF('Raw Data'!C76="",_xlfn.REGEXEXTRACT(CELL("address",'Raw Data'!C76),"\$([A-Z]+)\$[0-9]+"),"")</f>
        <v>$C$76</v>
      </c>
      <c r="D77" t="str" cm="1">
        <f t="array" aca="1" ref="D77" ca="1">IF('Raw Data'!D76="",_xlfn.REGEXEXTRACT(CELL("address",'Raw Data'!D76),"\$([A-Z]+)\$[0-9]+"),"")</f>
        <v>$D$76</v>
      </c>
      <c r="E77" t="str" cm="1">
        <f t="array" aca="1" ref="E77" ca="1">IF('Raw Data'!E76="",_xlfn.REGEXEXTRACT(CELL("address",'Raw Data'!E76),"\$([A-Z]+)\$[0-9]+"),"")</f>
        <v>$E$76</v>
      </c>
      <c r="F77" t="str" cm="1">
        <f t="array" aca="1" ref="F77" ca="1">IF('Raw Data'!F76="",_xlfn.REGEXEXTRACT(CELL("address",'Raw Data'!F76),"\$([A-Z]+)\$[0-9]+"),"")</f>
        <v>$F$76</v>
      </c>
      <c r="G77" t="str" cm="1">
        <f t="array" aca="1" ref="G77" ca="1">IF('Raw Data'!G76="",_xlfn.REGEXEXTRACT(CELL("address",'Raw Data'!G76),"\$([A-Z]+)\$[0-9]+"),"")</f>
        <v>$G$76</v>
      </c>
      <c r="H77" t="str" cm="1">
        <f t="array" aca="1" ref="H77" ca="1">IF('Raw Data'!H76="",_xlfn.REGEXEXTRACT(CELL("address",'Raw Data'!H76),"\$([A-Z]+)\$[0-9]+"),"")</f>
        <v>$H$76</v>
      </c>
      <c r="I77" t="str" cm="1">
        <f t="array" aca="1" ref="I77" ca="1">IF('Raw Data'!I76="",_xlfn.REGEXEXTRACT(CELL("address",'Raw Data'!I76),"\$([A-Z]+)\$[0-9]+"),"")</f>
        <v>$I$76</v>
      </c>
    </row>
    <row r="78" spans="2:9" x14ac:dyDescent="0.25">
      <c r="B78" t="str" cm="1">
        <f t="array" aca="1" ref="B78" ca="1">IF('Raw Data'!B77="",_xlfn.REGEXEXTRACT(CELL("address",'Raw Data'!B77),"\$([A-Z]+)\$[0-9]+"),"")</f>
        <v>$B$77</v>
      </c>
      <c r="C78" t="str" cm="1">
        <f t="array" aca="1" ref="C78" ca="1">IF('Raw Data'!C77="",_xlfn.REGEXEXTRACT(CELL("address",'Raw Data'!C77),"\$([A-Z]+)\$[0-9]+"),"")</f>
        <v>$C$77</v>
      </c>
      <c r="D78" t="str" cm="1">
        <f t="array" aca="1" ref="D78" ca="1">IF('Raw Data'!D77="",_xlfn.REGEXEXTRACT(CELL("address",'Raw Data'!D77),"\$([A-Z]+)\$[0-9]+"),"")</f>
        <v>$D$77</v>
      </c>
      <c r="E78" t="str" cm="1">
        <f t="array" aca="1" ref="E78" ca="1">IF('Raw Data'!E77="",_xlfn.REGEXEXTRACT(CELL("address",'Raw Data'!E77),"\$([A-Z]+)\$[0-9]+"),"")</f>
        <v>$E$77</v>
      </c>
      <c r="F78" t="str" cm="1">
        <f t="array" aca="1" ref="F78" ca="1">IF('Raw Data'!F77="",_xlfn.REGEXEXTRACT(CELL("address",'Raw Data'!F77),"\$([A-Z]+)\$[0-9]+"),"")</f>
        <v>$F$77</v>
      </c>
      <c r="G78" t="str" cm="1">
        <f t="array" aca="1" ref="G78" ca="1">IF('Raw Data'!G77="",_xlfn.REGEXEXTRACT(CELL("address",'Raw Data'!G77),"\$([A-Z]+)\$[0-9]+"),"")</f>
        <v>$G$77</v>
      </c>
      <c r="H78" t="str" cm="1">
        <f t="array" aca="1" ref="H78" ca="1">IF('Raw Data'!H77="",_xlfn.REGEXEXTRACT(CELL("address",'Raw Data'!H77),"\$([A-Z]+)\$[0-9]+"),"")</f>
        <v>$H$77</v>
      </c>
      <c r="I78" t="str" cm="1">
        <f t="array" aca="1" ref="I78" ca="1">IF('Raw Data'!I77="",_xlfn.REGEXEXTRACT(CELL("address",'Raw Data'!I77),"\$([A-Z]+)\$[0-9]+"),"")</f>
        <v>$I$77</v>
      </c>
    </row>
    <row r="79" spans="2:9" x14ac:dyDescent="0.25">
      <c r="B79" t="str" cm="1">
        <f t="array" aca="1" ref="B79" ca="1">IF('Raw Data'!B78="",_xlfn.REGEXEXTRACT(CELL("address",'Raw Data'!B78),"\$([A-Z]+)\$[0-9]+"),"")</f>
        <v>$B$78</v>
      </c>
      <c r="C79" t="str" cm="1">
        <f t="array" aca="1" ref="C79" ca="1">IF('Raw Data'!C78="",_xlfn.REGEXEXTRACT(CELL("address",'Raw Data'!C78),"\$([A-Z]+)\$[0-9]+"),"")</f>
        <v>$C$78</v>
      </c>
      <c r="D79" t="str" cm="1">
        <f t="array" aca="1" ref="D79" ca="1">IF('Raw Data'!D78="",_xlfn.REGEXEXTRACT(CELL("address",'Raw Data'!D78),"\$([A-Z]+)\$[0-9]+"),"")</f>
        <v>$D$78</v>
      </c>
      <c r="E79" t="str" cm="1">
        <f t="array" aca="1" ref="E79" ca="1">IF('Raw Data'!E78="",_xlfn.REGEXEXTRACT(CELL("address",'Raw Data'!E78),"\$([A-Z]+)\$[0-9]+"),"")</f>
        <v>$E$78</v>
      </c>
      <c r="F79" t="str" cm="1">
        <f t="array" aca="1" ref="F79" ca="1">IF('Raw Data'!F78="",_xlfn.REGEXEXTRACT(CELL("address",'Raw Data'!F78),"\$([A-Z]+)\$[0-9]+"),"")</f>
        <v>$F$78</v>
      </c>
      <c r="G79" t="str" cm="1">
        <f t="array" aca="1" ref="G79" ca="1">IF('Raw Data'!G78="",_xlfn.REGEXEXTRACT(CELL("address",'Raw Data'!G78),"\$([A-Z]+)\$[0-9]+"),"")</f>
        <v>$G$78</v>
      </c>
      <c r="H79" t="str" cm="1">
        <f t="array" aca="1" ref="H79" ca="1">IF('Raw Data'!H78="",_xlfn.REGEXEXTRACT(CELL("address",'Raw Data'!H78),"\$([A-Z]+)\$[0-9]+"),"")</f>
        <v>$H$78</v>
      </c>
      <c r="I79" t="str" cm="1">
        <f t="array" aca="1" ref="I79" ca="1">IF('Raw Data'!I78="",_xlfn.REGEXEXTRACT(CELL("address",'Raw Data'!I78),"\$([A-Z]+)\$[0-9]+"),"")</f>
        <v>$I$78</v>
      </c>
    </row>
    <row r="80" spans="2:9" x14ac:dyDescent="0.25">
      <c r="B80" t="str" cm="1">
        <f t="array" aca="1" ref="B80" ca="1">IF('Raw Data'!B79="",_xlfn.REGEXEXTRACT(CELL("address",'Raw Data'!B79),"\$([A-Z]+)\$[0-9]+"),"")</f>
        <v>$B$79</v>
      </c>
      <c r="C80" t="str" cm="1">
        <f t="array" aca="1" ref="C80" ca="1">IF('Raw Data'!C79="",_xlfn.REGEXEXTRACT(CELL("address",'Raw Data'!C79),"\$([A-Z]+)\$[0-9]+"),"")</f>
        <v>$C$79</v>
      </c>
      <c r="D80" t="str" cm="1">
        <f t="array" aca="1" ref="D80" ca="1">IF('Raw Data'!D79="",_xlfn.REGEXEXTRACT(CELL("address",'Raw Data'!D79),"\$([A-Z]+)\$[0-9]+"),"")</f>
        <v>$D$79</v>
      </c>
      <c r="E80" t="str" cm="1">
        <f t="array" aca="1" ref="E80" ca="1">IF('Raw Data'!E79="",_xlfn.REGEXEXTRACT(CELL("address",'Raw Data'!E79),"\$([A-Z]+)\$[0-9]+"),"")</f>
        <v>$E$79</v>
      </c>
      <c r="F80" t="str" cm="1">
        <f t="array" aca="1" ref="F80" ca="1">IF('Raw Data'!F79="",_xlfn.REGEXEXTRACT(CELL("address",'Raw Data'!F79),"\$([A-Z]+)\$[0-9]+"),"")</f>
        <v>$F$79</v>
      </c>
      <c r="G80" t="str" cm="1">
        <f t="array" aca="1" ref="G80" ca="1">IF('Raw Data'!G79="",_xlfn.REGEXEXTRACT(CELL("address",'Raw Data'!G79),"\$([A-Z]+)\$[0-9]+"),"")</f>
        <v>$G$79</v>
      </c>
      <c r="H80" t="str" cm="1">
        <f t="array" aca="1" ref="H80" ca="1">IF('Raw Data'!H79="",_xlfn.REGEXEXTRACT(CELL("address",'Raw Data'!H79),"\$([A-Z]+)\$[0-9]+"),"")</f>
        <v>$H$79</v>
      </c>
      <c r="I80" t="str" cm="1">
        <f t="array" aca="1" ref="I80" ca="1">IF('Raw Data'!I79="",_xlfn.REGEXEXTRACT(CELL("address",'Raw Data'!I79),"\$([A-Z]+)\$[0-9]+"),"")</f>
        <v>$I$79</v>
      </c>
    </row>
    <row r="81" spans="2:9" x14ac:dyDescent="0.25">
      <c r="B81" t="str" cm="1">
        <f t="array" aca="1" ref="B81" ca="1">IF('Raw Data'!B80="",_xlfn.REGEXEXTRACT(CELL("address",'Raw Data'!B80),"\$([A-Z]+)\$[0-9]+"),"")</f>
        <v>$B$80</v>
      </c>
      <c r="C81" t="str" cm="1">
        <f t="array" aca="1" ref="C81" ca="1">IF('Raw Data'!C80="",_xlfn.REGEXEXTRACT(CELL("address",'Raw Data'!C80),"\$([A-Z]+)\$[0-9]+"),"")</f>
        <v>$C$80</v>
      </c>
      <c r="D81" t="str" cm="1">
        <f t="array" aca="1" ref="D81" ca="1">IF('Raw Data'!D80="",_xlfn.REGEXEXTRACT(CELL("address",'Raw Data'!D80),"\$([A-Z]+)\$[0-9]+"),"")</f>
        <v>$D$80</v>
      </c>
      <c r="E81" t="str" cm="1">
        <f t="array" aca="1" ref="E81" ca="1">IF('Raw Data'!E80="",_xlfn.REGEXEXTRACT(CELL("address",'Raw Data'!E80),"\$([A-Z]+)\$[0-9]+"),"")</f>
        <v>$E$80</v>
      </c>
      <c r="F81" t="str" cm="1">
        <f t="array" aca="1" ref="F81" ca="1">IF('Raw Data'!F80="",_xlfn.REGEXEXTRACT(CELL("address",'Raw Data'!F80),"\$([A-Z]+)\$[0-9]+"),"")</f>
        <v>$F$80</v>
      </c>
      <c r="G81" t="str" cm="1">
        <f t="array" aca="1" ref="G81" ca="1">IF('Raw Data'!G80="",_xlfn.REGEXEXTRACT(CELL("address",'Raw Data'!G80),"\$([A-Z]+)\$[0-9]+"),"")</f>
        <v>$G$80</v>
      </c>
      <c r="H81" t="str" cm="1">
        <f t="array" aca="1" ref="H81" ca="1">IF('Raw Data'!H80="",_xlfn.REGEXEXTRACT(CELL("address",'Raw Data'!H80),"\$([A-Z]+)\$[0-9]+"),"")</f>
        <v>$H$80</v>
      </c>
      <c r="I81" t="str" cm="1">
        <f t="array" aca="1" ref="I81" ca="1">IF('Raw Data'!I80="",_xlfn.REGEXEXTRACT(CELL("address",'Raw Data'!I80),"\$([A-Z]+)\$[0-9]+"),"")</f>
        <v>$I$80</v>
      </c>
    </row>
    <row r="82" spans="2:9" x14ac:dyDescent="0.25">
      <c r="B82" t="str" cm="1">
        <f t="array" aca="1" ref="B82" ca="1">IF('Raw Data'!B81="",_xlfn.REGEXEXTRACT(CELL("address",'Raw Data'!B81),"\$([A-Z]+)\$[0-9]+"),"")</f>
        <v>$B$81</v>
      </c>
      <c r="C82" t="str" cm="1">
        <f t="array" aca="1" ref="C82" ca="1">IF('Raw Data'!C81="",_xlfn.REGEXEXTRACT(CELL("address",'Raw Data'!C81),"\$([A-Z]+)\$[0-9]+"),"")</f>
        <v>$C$81</v>
      </c>
      <c r="D82" t="str" cm="1">
        <f t="array" aca="1" ref="D82" ca="1">IF('Raw Data'!D81="",_xlfn.REGEXEXTRACT(CELL("address",'Raw Data'!D81),"\$([A-Z]+)\$[0-9]+"),"")</f>
        <v>$D$81</v>
      </c>
      <c r="E82" t="str" cm="1">
        <f t="array" aca="1" ref="E82" ca="1">IF('Raw Data'!E81="",_xlfn.REGEXEXTRACT(CELL("address",'Raw Data'!E81),"\$([A-Z]+)\$[0-9]+"),"")</f>
        <v>$E$81</v>
      </c>
      <c r="F82" t="str" cm="1">
        <f t="array" aca="1" ref="F82" ca="1">IF('Raw Data'!F81="",_xlfn.REGEXEXTRACT(CELL("address",'Raw Data'!F81),"\$([A-Z]+)\$[0-9]+"),"")</f>
        <v>$F$81</v>
      </c>
      <c r="G82" t="str" cm="1">
        <f t="array" aca="1" ref="G82" ca="1">IF('Raw Data'!G81="",_xlfn.REGEXEXTRACT(CELL("address",'Raw Data'!G81),"\$([A-Z]+)\$[0-9]+"),"")</f>
        <v>$G$81</v>
      </c>
      <c r="H82" t="str" cm="1">
        <f t="array" aca="1" ref="H82" ca="1">IF('Raw Data'!H81="",_xlfn.REGEXEXTRACT(CELL("address",'Raw Data'!H81),"\$([A-Z]+)\$[0-9]+"),"")</f>
        <v>$H$81</v>
      </c>
      <c r="I82" t="str" cm="1">
        <f t="array" aca="1" ref="I82" ca="1">IF('Raw Data'!I81="",_xlfn.REGEXEXTRACT(CELL("address",'Raw Data'!I81),"\$([A-Z]+)\$[0-9]+"),"")</f>
        <v>$I$81</v>
      </c>
    </row>
    <row r="83" spans="2:9" x14ac:dyDescent="0.25">
      <c r="B83" t="str" cm="1">
        <f t="array" aca="1" ref="B83" ca="1">IF('Raw Data'!B82="",_xlfn.REGEXEXTRACT(CELL("address",'Raw Data'!B82),"\$([A-Z]+)\$[0-9]+"),"")</f>
        <v>$B$82</v>
      </c>
      <c r="C83" t="str" cm="1">
        <f t="array" aca="1" ref="C83" ca="1">IF('Raw Data'!C82="",_xlfn.REGEXEXTRACT(CELL("address",'Raw Data'!C82),"\$([A-Z]+)\$[0-9]+"),"")</f>
        <v>$C$82</v>
      </c>
      <c r="D83" t="str" cm="1">
        <f t="array" aca="1" ref="D83" ca="1">IF('Raw Data'!D82="",_xlfn.REGEXEXTRACT(CELL("address",'Raw Data'!D82),"\$([A-Z]+)\$[0-9]+"),"")</f>
        <v>$D$82</v>
      </c>
      <c r="E83" t="str" cm="1">
        <f t="array" aca="1" ref="E83" ca="1">IF('Raw Data'!E82="",_xlfn.REGEXEXTRACT(CELL("address",'Raw Data'!E82),"\$([A-Z]+)\$[0-9]+"),"")</f>
        <v>$E$82</v>
      </c>
      <c r="F83" t="str" cm="1">
        <f t="array" aca="1" ref="F83" ca="1">IF('Raw Data'!F82="",_xlfn.REGEXEXTRACT(CELL("address",'Raw Data'!F82),"\$([A-Z]+)\$[0-9]+"),"")</f>
        <v>$F$82</v>
      </c>
      <c r="G83" t="str" cm="1">
        <f t="array" aca="1" ref="G83" ca="1">IF('Raw Data'!G82="",_xlfn.REGEXEXTRACT(CELL("address",'Raw Data'!G82),"\$([A-Z]+)\$[0-9]+"),"")</f>
        <v>$G$82</v>
      </c>
      <c r="H83" t="str" cm="1">
        <f t="array" aca="1" ref="H83" ca="1">IF('Raw Data'!H82="",_xlfn.REGEXEXTRACT(CELL("address",'Raw Data'!H82),"\$([A-Z]+)\$[0-9]+"),"")</f>
        <v>$H$82</v>
      </c>
      <c r="I83" t="str" cm="1">
        <f t="array" aca="1" ref="I83" ca="1">IF('Raw Data'!I82="",_xlfn.REGEXEXTRACT(CELL("address",'Raw Data'!I82),"\$([A-Z]+)\$[0-9]+"),"")</f>
        <v>$I$82</v>
      </c>
    </row>
    <row r="84" spans="2:9" x14ac:dyDescent="0.25">
      <c r="B84" t="str" cm="1">
        <f t="array" aca="1" ref="B84" ca="1">IF('Raw Data'!B83="",_xlfn.REGEXEXTRACT(CELL("address",'Raw Data'!B83),"\$([A-Z]+)\$[0-9]+"),"")</f>
        <v>$B$83</v>
      </c>
      <c r="C84" t="str" cm="1">
        <f t="array" aca="1" ref="C84" ca="1">IF('Raw Data'!C83="",_xlfn.REGEXEXTRACT(CELL("address",'Raw Data'!C83),"\$([A-Z]+)\$[0-9]+"),"")</f>
        <v>$C$83</v>
      </c>
      <c r="D84" t="str" cm="1">
        <f t="array" aca="1" ref="D84" ca="1">IF('Raw Data'!D83="",_xlfn.REGEXEXTRACT(CELL("address",'Raw Data'!D83),"\$([A-Z]+)\$[0-9]+"),"")</f>
        <v>$D$83</v>
      </c>
      <c r="E84" t="str" cm="1">
        <f t="array" aca="1" ref="E84" ca="1">IF('Raw Data'!E83="",_xlfn.REGEXEXTRACT(CELL("address",'Raw Data'!E83),"\$([A-Z]+)\$[0-9]+"),"")</f>
        <v>$E$83</v>
      </c>
      <c r="F84" t="str" cm="1">
        <f t="array" aca="1" ref="F84" ca="1">IF('Raw Data'!F83="",_xlfn.REGEXEXTRACT(CELL("address",'Raw Data'!F83),"\$([A-Z]+)\$[0-9]+"),"")</f>
        <v>$F$83</v>
      </c>
      <c r="G84" t="str" cm="1">
        <f t="array" aca="1" ref="G84" ca="1">IF('Raw Data'!G83="",_xlfn.REGEXEXTRACT(CELL("address",'Raw Data'!G83),"\$([A-Z]+)\$[0-9]+"),"")</f>
        <v>$G$83</v>
      </c>
      <c r="H84" t="str" cm="1">
        <f t="array" aca="1" ref="H84" ca="1">IF('Raw Data'!H83="",_xlfn.REGEXEXTRACT(CELL("address",'Raw Data'!H83),"\$([A-Z]+)\$[0-9]+"),"")</f>
        <v>$H$83</v>
      </c>
      <c r="I84" t="str" cm="1">
        <f t="array" aca="1" ref="I84" ca="1">IF('Raw Data'!I83="",_xlfn.REGEXEXTRACT(CELL("address",'Raw Data'!I83),"\$([A-Z]+)\$[0-9]+"),"")</f>
        <v>$I$83</v>
      </c>
    </row>
    <row r="85" spans="2:9" x14ac:dyDescent="0.25">
      <c r="B85" t="str" cm="1">
        <f t="array" aca="1" ref="B85" ca="1">IF('Raw Data'!B84="",_xlfn.REGEXEXTRACT(CELL("address",'Raw Data'!B84),"\$([A-Z]+)\$[0-9]+"),"")</f>
        <v>$B$84</v>
      </c>
      <c r="C85" t="str" cm="1">
        <f t="array" aca="1" ref="C85" ca="1">IF('Raw Data'!C84="",_xlfn.REGEXEXTRACT(CELL("address",'Raw Data'!C84),"\$([A-Z]+)\$[0-9]+"),"")</f>
        <v>$C$84</v>
      </c>
      <c r="D85" t="str" cm="1">
        <f t="array" aca="1" ref="D85" ca="1">IF('Raw Data'!D84="",_xlfn.REGEXEXTRACT(CELL("address",'Raw Data'!D84),"\$([A-Z]+)\$[0-9]+"),"")</f>
        <v>$D$84</v>
      </c>
      <c r="E85" t="str" cm="1">
        <f t="array" aca="1" ref="E85" ca="1">IF('Raw Data'!E84="",_xlfn.REGEXEXTRACT(CELL("address",'Raw Data'!E84),"\$([A-Z]+)\$[0-9]+"),"")</f>
        <v>$E$84</v>
      </c>
      <c r="F85" t="str" cm="1">
        <f t="array" aca="1" ref="F85" ca="1">IF('Raw Data'!F84="",_xlfn.REGEXEXTRACT(CELL("address",'Raw Data'!F84),"\$([A-Z]+)\$[0-9]+"),"")</f>
        <v>$F$84</v>
      </c>
      <c r="G85" t="str" cm="1">
        <f t="array" aca="1" ref="G85" ca="1">IF('Raw Data'!G84="",_xlfn.REGEXEXTRACT(CELL("address",'Raw Data'!G84),"\$([A-Z]+)\$[0-9]+"),"")</f>
        <v>$G$84</v>
      </c>
      <c r="H85" t="str" cm="1">
        <f t="array" aca="1" ref="H85" ca="1">IF('Raw Data'!H84="",_xlfn.REGEXEXTRACT(CELL("address",'Raw Data'!H84),"\$([A-Z]+)\$[0-9]+"),"")</f>
        <v>$H$84</v>
      </c>
      <c r="I85" t="str" cm="1">
        <f t="array" aca="1" ref="I85" ca="1">IF('Raw Data'!I84="",_xlfn.REGEXEXTRACT(CELL("address",'Raw Data'!I84),"\$([A-Z]+)\$[0-9]+"),"")</f>
        <v>$I$84</v>
      </c>
    </row>
    <row r="86" spans="2:9" x14ac:dyDescent="0.25">
      <c r="B86" t="str" cm="1">
        <f t="array" aca="1" ref="B86" ca="1">IF('Raw Data'!B85="",_xlfn.REGEXEXTRACT(CELL("address",'Raw Data'!B85),"\$([A-Z]+)\$[0-9]+"),"")</f>
        <v>$B$85</v>
      </c>
      <c r="C86" t="str" cm="1">
        <f t="array" aca="1" ref="C86" ca="1">IF('Raw Data'!C85="",_xlfn.REGEXEXTRACT(CELL("address",'Raw Data'!C85),"\$([A-Z]+)\$[0-9]+"),"")</f>
        <v>$C$85</v>
      </c>
      <c r="D86" t="str" cm="1">
        <f t="array" aca="1" ref="D86" ca="1">IF('Raw Data'!D85="",_xlfn.REGEXEXTRACT(CELL("address",'Raw Data'!D85),"\$([A-Z]+)\$[0-9]+"),"")</f>
        <v>$D$85</v>
      </c>
      <c r="E86" t="str" cm="1">
        <f t="array" aca="1" ref="E86" ca="1">IF('Raw Data'!E85="",_xlfn.REGEXEXTRACT(CELL("address",'Raw Data'!E85),"\$([A-Z]+)\$[0-9]+"),"")</f>
        <v>$E$85</v>
      </c>
      <c r="F86" t="str" cm="1">
        <f t="array" aca="1" ref="F86" ca="1">IF('Raw Data'!F85="",_xlfn.REGEXEXTRACT(CELL("address",'Raw Data'!F85),"\$([A-Z]+)\$[0-9]+"),"")</f>
        <v>$F$85</v>
      </c>
      <c r="G86" t="str" cm="1">
        <f t="array" aca="1" ref="G86" ca="1">IF('Raw Data'!G85="",_xlfn.REGEXEXTRACT(CELL("address",'Raw Data'!G85),"\$([A-Z]+)\$[0-9]+"),"")</f>
        <v>$G$85</v>
      </c>
      <c r="H86" t="str" cm="1">
        <f t="array" aca="1" ref="H86" ca="1">IF('Raw Data'!H85="",_xlfn.REGEXEXTRACT(CELL("address",'Raw Data'!H85),"\$([A-Z]+)\$[0-9]+"),"")</f>
        <v>$H$85</v>
      </c>
      <c r="I86" t="str" cm="1">
        <f t="array" aca="1" ref="I86" ca="1">IF('Raw Data'!I85="",_xlfn.REGEXEXTRACT(CELL("address",'Raw Data'!I85),"\$([A-Z]+)\$[0-9]+"),"")</f>
        <v>$I$85</v>
      </c>
    </row>
    <row r="87" spans="2:9" x14ac:dyDescent="0.25">
      <c r="B87" t="str" cm="1">
        <f t="array" aca="1" ref="B87" ca="1">IF('Raw Data'!B86="",_xlfn.REGEXEXTRACT(CELL("address",'Raw Data'!B86),"\$([A-Z]+)\$[0-9]+"),"")</f>
        <v>$B$86</v>
      </c>
      <c r="C87" t="str" cm="1">
        <f t="array" aca="1" ref="C87" ca="1">IF('Raw Data'!C86="",_xlfn.REGEXEXTRACT(CELL("address",'Raw Data'!C86),"\$([A-Z]+)\$[0-9]+"),"")</f>
        <v>$C$86</v>
      </c>
      <c r="D87" t="str" cm="1">
        <f t="array" aca="1" ref="D87" ca="1">IF('Raw Data'!D86="",_xlfn.REGEXEXTRACT(CELL("address",'Raw Data'!D86),"\$([A-Z]+)\$[0-9]+"),"")</f>
        <v>$D$86</v>
      </c>
      <c r="E87" t="str" cm="1">
        <f t="array" aca="1" ref="E87" ca="1">IF('Raw Data'!E86="",_xlfn.REGEXEXTRACT(CELL("address",'Raw Data'!E86),"\$([A-Z]+)\$[0-9]+"),"")</f>
        <v>$E$86</v>
      </c>
      <c r="F87" t="str" cm="1">
        <f t="array" aca="1" ref="F87" ca="1">IF('Raw Data'!F86="",_xlfn.REGEXEXTRACT(CELL("address",'Raw Data'!F86),"\$([A-Z]+)\$[0-9]+"),"")</f>
        <v>$F$86</v>
      </c>
      <c r="G87" t="str" cm="1">
        <f t="array" aca="1" ref="G87" ca="1">IF('Raw Data'!G86="",_xlfn.REGEXEXTRACT(CELL("address",'Raw Data'!G86),"\$([A-Z]+)\$[0-9]+"),"")</f>
        <v>$G$86</v>
      </c>
      <c r="H87" t="str" cm="1">
        <f t="array" aca="1" ref="H87" ca="1">IF('Raw Data'!H86="",_xlfn.REGEXEXTRACT(CELL("address",'Raw Data'!H86),"\$([A-Z]+)\$[0-9]+"),"")</f>
        <v>$H$86</v>
      </c>
      <c r="I87" t="str" cm="1">
        <f t="array" aca="1" ref="I87" ca="1">IF('Raw Data'!I86="",_xlfn.REGEXEXTRACT(CELL("address",'Raw Data'!I86),"\$([A-Z]+)\$[0-9]+"),"")</f>
        <v>$I$86</v>
      </c>
    </row>
    <row r="88" spans="2:9" x14ac:dyDescent="0.25">
      <c r="B88" t="str" cm="1">
        <f t="array" aca="1" ref="B88" ca="1">IF('Raw Data'!B87="",_xlfn.REGEXEXTRACT(CELL("address",'Raw Data'!B87),"\$([A-Z]+)\$[0-9]+"),"")</f>
        <v>$B$87</v>
      </c>
      <c r="C88" t="str" cm="1">
        <f t="array" aca="1" ref="C88" ca="1">IF('Raw Data'!C87="",_xlfn.REGEXEXTRACT(CELL("address",'Raw Data'!C87),"\$([A-Z]+)\$[0-9]+"),"")</f>
        <v>$C$87</v>
      </c>
      <c r="D88" t="str" cm="1">
        <f t="array" aca="1" ref="D88" ca="1">IF('Raw Data'!D87="",_xlfn.REGEXEXTRACT(CELL("address",'Raw Data'!D87),"\$([A-Z]+)\$[0-9]+"),"")</f>
        <v>$D$87</v>
      </c>
      <c r="E88" t="str" cm="1">
        <f t="array" aca="1" ref="E88" ca="1">IF('Raw Data'!E87="",_xlfn.REGEXEXTRACT(CELL("address",'Raw Data'!E87),"\$([A-Z]+)\$[0-9]+"),"")</f>
        <v>$E$87</v>
      </c>
      <c r="F88" t="str" cm="1">
        <f t="array" aca="1" ref="F88" ca="1">IF('Raw Data'!F87="",_xlfn.REGEXEXTRACT(CELL("address",'Raw Data'!F87),"\$([A-Z]+)\$[0-9]+"),"")</f>
        <v>$F$87</v>
      </c>
      <c r="G88" t="str" cm="1">
        <f t="array" aca="1" ref="G88" ca="1">IF('Raw Data'!G87="",_xlfn.REGEXEXTRACT(CELL("address",'Raw Data'!G87),"\$([A-Z]+)\$[0-9]+"),"")</f>
        <v>$G$87</v>
      </c>
      <c r="H88" t="str" cm="1">
        <f t="array" aca="1" ref="H88" ca="1">IF('Raw Data'!H87="",_xlfn.REGEXEXTRACT(CELL("address",'Raw Data'!H87),"\$([A-Z]+)\$[0-9]+"),"")</f>
        <v>$H$87</v>
      </c>
      <c r="I88" t="str" cm="1">
        <f t="array" aca="1" ref="I88" ca="1">IF('Raw Data'!I87="",_xlfn.REGEXEXTRACT(CELL("address",'Raw Data'!I87),"\$([A-Z]+)\$[0-9]+"),"")</f>
        <v>$I$87</v>
      </c>
    </row>
    <row r="89" spans="2:9" x14ac:dyDescent="0.25">
      <c r="B89" t="str" cm="1">
        <f t="array" aca="1" ref="B89" ca="1">IF('Raw Data'!B88="",_xlfn.REGEXEXTRACT(CELL("address",'Raw Data'!B88),"\$([A-Z]+)\$[0-9]+"),"")</f>
        <v>$B$88</v>
      </c>
      <c r="C89" t="str" cm="1">
        <f t="array" aca="1" ref="C89" ca="1">IF('Raw Data'!C88="",_xlfn.REGEXEXTRACT(CELL("address",'Raw Data'!C88),"\$([A-Z]+)\$[0-9]+"),"")</f>
        <v>$C$88</v>
      </c>
      <c r="D89" t="str" cm="1">
        <f t="array" aca="1" ref="D89" ca="1">IF('Raw Data'!D88="",_xlfn.REGEXEXTRACT(CELL("address",'Raw Data'!D88),"\$([A-Z]+)\$[0-9]+"),"")</f>
        <v>$D$88</v>
      </c>
      <c r="E89" t="str" cm="1">
        <f t="array" aca="1" ref="E89" ca="1">IF('Raw Data'!E88="",_xlfn.REGEXEXTRACT(CELL("address",'Raw Data'!E88),"\$([A-Z]+)\$[0-9]+"),"")</f>
        <v>$E$88</v>
      </c>
      <c r="F89" t="str" cm="1">
        <f t="array" aca="1" ref="F89" ca="1">IF('Raw Data'!F88="",_xlfn.REGEXEXTRACT(CELL("address",'Raw Data'!F88),"\$([A-Z]+)\$[0-9]+"),"")</f>
        <v>$F$88</v>
      </c>
      <c r="G89" t="str" cm="1">
        <f t="array" aca="1" ref="G89" ca="1">IF('Raw Data'!G88="",_xlfn.REGEXEXTRACT(CELL("address",'Raw Data'!G88),"\$([A-Z]+)\$[0-9]+"),"")</f>
        <v>$G$88</v>
      </c>
      <c r="H89" t="str" cm="1">
        <f t="array" aca="1" ref="H89" ca="1">IF('Raw Data'!H88="",_xlfn.REGEXEXTRACT(CELL("address",'Raw Data'!H88),"\$([A-Z]+)\$[0-9]+"),"")</f>
        <v>$H$88</v>
      </c>
      <c r="I89" t="str" cm="1">
        <f t="array" aca="1" ref="I89" ca="1">IF('Raw Data'!I88="",_xlfn.REGEXEXTRACT(CELL("address",'Raw Data'!I88),"\$([A-Z]+)\$[0-9]+"),"")</f>
        <v>$I$88</v>
      </c>
    </row>
    <row r="90" spans="2:9" x14ac:dyDescent="0.25">
      <c r="B90" t="str" cm="1">
        <f t="array" aca="1" ref="B90" ca="1">IF('Raw Data'!B89="",_xlfn.REGEXEXTRACT(CELL("address",'Raw Data'!B89),"\$([A-Z]+)\$[0-9]+"),"")</f>
        <v>$B$89</v>
      </c>
      <c r="C90" t="str" cm="1">
        <f t="array" aca="1" ref="C90" ca="1">IF('Raw Data'!C89="",_xlfn.REGEXEXTRACT(CELL("address",'Raw Data'!C89),"\$([A-Z]+)\$[0-9]+"),"")</f>
        <v>$C$89</v>
      </c>
      <c r="D90" t="str" cm="1">
        <f t="array" aca="1" ref="D90" ca="1">IF('Raw Data'!D89="",_xlfn.REGEXEXTRACT(CELL("address",'Raw Data'!D89),"\$([A-Z]+)\$[0-9]+"),"")</f>
        <v>$D$89</v>
      </c>
      <c r="E90" t="str" cm="1">
        <f t="array" aca="1" ref="E90" ca="1">IF('Raw Data'!E89="",_xlfn.REGEXEXTRACT(CELL("address",'Raw Data'!E89),"\$([A-Z]+)\$[0-9]+"),"")</f>
        <v>$E$89</v>
      </c>
      <c r="F90" t="str" cm="1">
        <f t="array" aca="1" ref="F90" ca="1">IF('Raw Data'!F89="",_xlfn.REGEXEXTRACT(CELL("address",'Raw Data'!F89),"\$([A-Z]+)\$[0-9]+"),"")</f>
        <v>$F$89</v>
      </c>
      <c r="G90" t="str" cm="1">
        <f t="array" aca="1" ref="G90" ca="1">IF('Raw Data'!G89="",_xlfn.REGEXEXTRACT(CELL("address",'Raw Data'!G89),"\$([A-Z]+)\$[0-9]+"),"")</f>
        <v>$G$89</v>
      </c>
      <c r="H90" t="str" cm="1">
        <f t="array" aca="1" ref="H90" ca="1">IF('Raw Data'!H89="",_xlfn.REGEXEXTRACT(CELL("address",'Raw Data'!H89),"\$([A-Z]+)\$[0-9]+"),"")</f>
        <v>$H$89</v>
      </c>
      <c r="I90" t="str" cm="1">
        <f t="array" aca="1" ref="I90" ca="1">IF('Raw Data'!I89="",_xlfn.REGEXEXTRACT(CELL("address",'Raw Data'!I89),"\$([A-Z]+)\$[0-9]+"),"")</f>
        <v>$I$89</v>
      </c>
    </row>
    <row r="91" spans="2:9" x14ac:dyDescent="0.25">
      <c r="B91" t="str" cm="1">
        <f t="array" aca="1" ref="B91" ca="1">IF('Raw Data'!B90="",_xlfn.REGEXEXTRACT(CELL("address",'Raw Data'!B90),"\$([A-Z]+)\$[0-9]+"),"")</f>
        <v>$B$90</v>
      </c>
      <c r="C91" t="str" cm="1">
        <f t="array" aca="1" ref="C91" ca="1">IF('Raw Data'!C90="",_xlfn.REGEXEXTRACT(CELL("address",'Raw Data'!C90),"\$([A-Z]+)\$[0-9]+"),"")</f>
        <v>$C$90</v>
      </c>
      <c r="D91" t="str" cm="1">
        <f t="array" aca="1" ref="D91" ca="1">IF('Raw Data'!D90="",_xlfn.REGEXEXTRACT(CELL("address",'Raw Data'!D90),"\$([A-Z]+)\$[0-9]+"),"")</f>
        <v>$D$90</v>
      </c>
      <c r="E91" t="str" cm="1">
        <f t="array" aca="1" ref="E91" ca="1">IF('Raw Data'!E90="",_xlfn.REGEXEXTRACT(CELL("address",'Raw Data'!E90),"\$([A-Z]+)\$[0-9]+"),"")</f>
        <v>$E$90</v>
      </c>
      <c r="F91" t="str" cm="1">
        <f t="array" aca="1" ref="F91" ca="1">IF('Raw Data'!F90="",_xlfn.REGEXEXTRACT(CELL("address",'Raw Data'!F90),"\$([A-Z]+)\$[0-9]+"),"")</f>
        <v>$F$90</v>
      </c>
      <c r="G91" t="str" cm="1">
        <f t="array" aca="1" ref="G91" ca="1">IF('Raw Data'!G90="",_xlfn.REGEXEXTRACT(CELL("address",'Raw Data'!G90),"\$([A-Z]+)\$[0-9]+"),"")</f>
        <v>$G$90</v>
      </c>
      <c r="H91" t="str" cm="1">
        <f t="array" aca="1" ref="H91" ca="1">IF('Raw Data'!H90="",_xlfn.REGEXEXTRACT(CELL("address",'Raw Data'!H90),"\$([A-Z]+)\$[0-9]+"),"")</f>
        <v>$H$90</v>
      </c>
      <c r="I91" t="str" cm="1">
        <f t="array" aca="1" ref="I91" ca="1">IF('Raw Data'!I90="",_xlfn.REGEXEXTRACT(CELL("address",'Raw Data'!I90),"\$([A-Z]+)\$[0-9]+"),"")</f>
        <v>$I$90</v>
      </c>
    </row>
    <row r="92" spans="2:9" x14ac:dyDescent="0.25">
      <c r="B92" t="str" cm="1">
        <f t="array" aca="1" ref="B92" ca="1">IF('Raw Data'!B91="",_xlfn.REGEXEXTRACT(CELL("address",'Raw Data'!B91),"\$([A-Z]+)\$[0-9]+"),"")</f>
        <v>$B$91</v>
      </c>
      <c r="C92" t="str" cm="1">
        <f t="array" aca="1" ref="C92" ca="1">IF('Raw Data'!C91="",_xlfn.REGEXEXTRACT(CELL("address",'Raw Data'!C91),"\$([A-Z]+)\$[0-9]+"),"")</f>
        <v>$C$91</v>
      </c>
      <c r="D92" t="str" cm="1">
        <f t="array" aca="1" ref="D92" ca="1">IF('Raw Data'!D91="",_xlfn.REGEXEXTRACT(CELL("address",'Raw Data'!D91),"\$([A-Z]+)\$[0-9]+"),"")</f>
        <v>$D$91</v>
      </c>
      <c r="E92" t="str" cm="1">
        <f t="array" aca="1" ref="E92" ca="1">IF('Raw Data'!E91="",_xlfn.REGEXEXTRACT(CELL("address",'Raw Data'!E91),"\$([A-Z]+)\$[0-9]+"),"")</f>
        <v>$E$91</v>
      </c>
      <c r="F92" t="str" cm="1">
        <f t="array" aca="1" ref="F92" ca="1">IF('Raw Data'!F91="",_xlfn.REGEXEXTRACT(CELL("address",'Raw Data'!F91),"\$([A-Z]+)\$[0-9]+"),"")</f>
        <v>$F$91</v>
      </c>
      <c r="G92" t="str" cm="1">
        <f t="array" aca="1" ref="G92" ca="1">IF('Raw Data'!G91="",_xlfn.REGEXEXTRACT(CELL("address",'Raw Data'!G91),"\$([A-Z]+)\$[0-9]+"),"")</f>
        <v>$G$91</v>
      </c>
      <c r="H92" t="str" cm="1">
        <f t="array" aca="1" ref="H92" ca="1">IF('Raw Data'!H91="",_xlfn.REGEXEXTRACT(CELL("address",'Raw Data'!H91),"\$([A-Z]+)\$[0-9]+"),"")</f>
        <v>$H$91</v>
      </c>
      <c r="I92" t="str" cm="1">
        <f t="array" aca="1" ref="I92" ca="1">IF('Raw Data'!I91="",_xlfn.REGEXEXTRACT(CELL("address",'Raw Data'!I91),"\$([A-Z]+)\$[0-9]+"),"")</f>
        <v>$I$91</v>
      </c>
    </row>
    <row r="93" spans="2:9" x14ac:dyDescent="0.25">
      <c r="B93" t="str" cm="1">
        <f t="array" aca="1" ref="B93" ca="1">IF('Raw Data'!B92="",_xlfn.REGEXEXTRACT(CELL("address",'Raw Data'!B92),"\$([A-Z]+)\$[0-9]+"),"")</f>
        <v>$B$92</v>
      </c>
      <c r="C93" t="str" cm="1">
        <f t="array" aca="1" ref="C93" ca="1">IF('Raw Data'!C92="",_xlfn.REGEXEXTRACT(CELL("address",'Raw Data'!C92),"\$([A-Z]+)\$[0-9]+"),"")</f>
        <v>$C$92</v>
      </c>
      <c r="D93" t="str" cm="1">
        <f t="array" aca="1" ref="D93" ca="1">IF('Raw Data'!D92="",_xlfn.REGEXEXTRACT(CELL("address",'Raw Data'!D92),"\$([A-Z]+)\$[0-9]+"),"")</f>
        <v>$D$92</v>
      </c>
      <c r="E93" t="str" cm="1">
        <f t="array" aca="1" ref="E93" ca="1">IF('Raw Data'!E92="",_xlfn.REGEXEXTRACT(CELL("address",'Raw Data'!E92),"\$([A-Z]+)\$[0-9]+"),"")</f>
        <v>$E$92</v>
      </c>
      <c r="F93" t="str" cm="1">
        <f t="array" aca="1" ref="F93" ca="1">IF('Raw Data'!F92="",_xlfn.REGEXEXTRACT(CELL("address",'Raw Data'!F92),"\$([A-Z]+)\$[0-9]+"),"")</f>
        <v>$F$92</v>
      </c>
      <c r="G93" t="str" cm="1">
        <f t="array" aca="1" ref="G93" ca="1">IF('Raw Data'!G92="",_xlfn.REGEXEXTRACT(CELL("address",'Raw Data'!G92),"\$([A-Z]+)\$[0-9]+"),"")</f>
        <v>$G$92</v>
      </c>
      <c r="H93" t="str" cm="1">
        <f t="array" aca="1" ref="H93" ca="1">IF('Raw Data'!H92="",_xlfn.REGEXEXTRACT(CELL("address",'Raw Data'!H92),"\$([A-Z]+)\$[0-9]+"),"")</f>
        <v>$H$92</v>
      </c>
      <c r="I93" t="str" cm="1">
        <f t="array" aca="1" ref="I93" ca="1">IF('Raw Data'!I92="",_xlfn.REGEXEXTRACT(CELL("address",'Raw Data'!I92),"\$([A-Z]+)\$[0-9]+"),"")</f>
        <v>$I$92</v>
      </c>
    </row>
    <row r="94" spans="2:9" x14ac:dyDescent="0.25">
      <c r="B94" t="str" cm="1">
        <f t="array" aca="1" ref="B94" ca="1">IF('Raw Data'!B93="",_xlfn.REGEXEXTRACT(CELL("address",'Raw Data'!B93),"\$([A-Z]+)\$[0-9]+"),"")</f>
        <v>$B$93</v>
      </c>
      <c r="C94" t="str" cm="1">
        <f t="array" aca="1" ref="C94" ca="1">IF('Raw Data'!C93="",_xlfn.REGEXEXTRACT(CELL("address",'Raw Data'!C93),"\$([A-Z]+)\$[0-9]+"),"")</f>
        <v>$C$93</v>
      </c>
      <c r="D94" t="str" cm="1">
        <f t="array" aca="1" ref="D94" ca="1">IF('Raw Data'!D93="",_xlfn.REGEXEXTRACT(CELL("address",'Raw Data'!D93),"\$([A-Z]+)\$[0-9]+"),"")</f>
        <v>$D$93</v>
      </c>
      <c r="E94" t="str" cm="1">
        <f t="array" aca="1" ref="E94" ca="1">IF('Raw Data'!E93="",_xlfn.REGEXEXTRACT(CELL("address",'Raw Data'!E93),"\$([A-Z]+)\$[0-9]+"),"")</f>
        <v>$E$93</v>
      </c>
      <c r="F94" t="str" cm="1">
        <f t="array" aca="1" ref="F94" ca="1">IF('Raw Data'!F93="",_xlfn.REGEXEXTRACT(CELL("address",'Raw Data'!F93),"\$([A-Z]+)\$[0-9]+"),"")</f>
        <v>$F$93</v>
      </c>
      <c r="G94" t="str" cm="1">
        <f t="array" aca="1" ref="G94" ca="1">IF('Raw Data'!G93="",_xlfn.REGEXEXTRACT(CELL("address",'Raw Data'!G93),"\$([A-Z]+)\$[0-9]+"),"")</f>
        <v>$G$93</v>
      </c>
      <c r="H94" t="str" cm="1">
        <f t="array" aca="1" ref="H94" ca="1">IF('Raw Data'!H93="",_xlfn.REGEXEXTRACT(CELL("address",'Raw Data'!H93),"\$([A-Z]+)\$[0-9]+"),"")</f>
        <v>$H$93</v>
      </c>
      <c r="I94" t="str" cm="1">
        <f t="array" aca="1" ref="I94" ca="1">IF('Raw Data'!I93="",_xlfn.REGEXEXTRACT(CELL("address",'Raw Data'!I93),"\$([A-Z]+)\$[0-9]+"),"")</f>
        <v>$I$93</v>
      </c>
    </row>
    <row r="95" spans="2:9" x14ac:dyDescent="0.25">
      <c r="B95" t="str" cm="1">
        <f t="array" aca="1" ref="B95" ca="1">IF('Raw Data'!B94="",_xlfn.REGEXEXTRACT(CELL("address",'Raw Data'!B94),"\$([A-Z]+)\$[0-9]+"),"")</f>
        <v>$B$94</v>
      </c>
      <c r="C95" t="str" cm="1">
        <f t="array" aca="1" ref="C95" ca="1">IF('Raw Data'!C94="",_xlfn.REGEXEXTRACT(CELL("address",'Raw Data'!C94),"\$([A-Z]+)\$[0-9]+"),"")</f>
        <v>$C$94</v>
      </c>
      <c r="D95" t="str" cm="1">
        <f t="array" aca="1" ref="D95" ca="1">IF('Raw Data'!D94="",_xlfn.REGEXEXTRACT(CELL("address",'Raw Data'!D94),"\$([A-Z]+)\$[0-9]+"),"")</f>
        <v>$D$94</v>
      </c>
      <c r="E95" t="str" cm="1">
        <f t="array" aca="1" ref="E95" ca="1">IF('Raw Data'!E94="",_xlfn.REGEXEXTRACT(CELL("address",'Raw Data'!E94),"\$([A-Z]+)\$[0-9]+"),"")</f>
        <v>$E$94</v>
      </c>
      <c r="F95" t="str" cm="1">
        <f t="array" aca="1" ref="F95" ca="1">IF('Raw Data'!F94="",_xlfn.REGEXEXTRACT(CELL("address",'Raw Data'!F94),"\$([A-Z]+)\$[0-9]+"),"")</f>
        <v>$F$94</v>
      </c>
      <c r="G95" t="str" cm="1">
        <f t="array" aca="1" ref="G95" ca="1">IF('Raw Data'!G94="",_xlfn.REGEXEXTRACT(CELL("address",'Raw Data'!G94),"\$([A-Z]+)\$[0-9]+"),"")</f>
        <v>$G$94</v>
      </c>
      <c r="H95" t="str" cm="1">
        <f t="array" aca="1" ref="H95" ca="1">IF('Raw Data'!H94="",_xlfn.REGEXEXTRACT(CELL("address",'Raw Data'!H94),"\$([A-Z]+)\$[0-9]+"),"")</f>
        <v>$H$94</v>
      </c>
      <c r="I95" t="str" cm="1">
        <f t="array" aca="1" ref="I95" ca="1">IF('Raw Data'!I94="",_xlfn.REGEXEXTRACT(CELL("address",'Raw Data'!I94),"\$([A-Z]+)\$[0-9]+"),"")</f>
        <v>$I$94</v>
      </c>
    </row>
    <row r="96" spans="2:9" x14ac:dyDescent="0.25">
      <c r="B96" t="str" cm="1">
        <f t="array" aca="1" ref="B96" ca="1">IF('Raw Data'!B95="",_xlfn.REGEXEXTRACT(CELL("address",'Raw Data'!B95),"\$([A-Z]+)\$[0-9]+"),"")</f>
        <v>$B$95</v>
      </c>
      <c r="C96" t="str" cm="1">
        <f t="array" aca="1" ref="C96" ca="1">IF('Raw Data'!C95="",_xlfn.REGEXEXTRACT(CELL("address",'Raw Data'!C95),"\$([A-Z]+)\$[0-9]+"),"")</f>
        <v>$C$95</v>
      </c>
      <c r="D96" t="str" cm="1">
        <f t="array" aca="1" ref="D96" ca="1">IF('Raw Data'!D95="",_xlfn.REGEXEXTRACT(CELL("address",'Raw Data'!D95),"\$([A-Z]+)\$[0-9]+"),"")</f>
        <v>$D$95</v>
      </c>
      <c r="E96" t="str" cm="1">
        <f t="array" aca="1" ref="E96" ca="1">IF('Raw Data'!E95="",_xlfn.REGEXEXTRACT(CELL("address",'Raw Data'!E95),"\$([A-Z]+)\$[0-9]+"),"")</f>
        <v>$E$95</v>
      </c>
      <c r="F96" t="str" cm="1">
        <f t="array" aca="1" ref="F96" ca="1">IF('Raw Data'!F95="",_xlfn.REGEXEXTRACT(CELL("address",'Raw Data'!F95),"\$([A-Z]+)\$[0-9]+"),"")</f>
        <v>$F$95</v>
      </c>
      <c r="G96" t="str" cm="1">
        <f t="array" aca="1" ref="G96" ca="1">IF('Raw Data'!G95="",_xlfn.REGEXEXTRACT(CELL("address",'Raw Data'!G95),"\$([A-Z]+)\$[0-9]+"),"")</f>
        <v>$G$95</v>
      </c>
      <c r="H96" t="str" cm="1">
        <f t="array" aca="1" ref="H96" ca="1">IF('Raw Data'!H95="",_xlfn.REGEXEXTRACT(CELL("address",'Raw Data'!H95),"\$([A-Z]+)\$[0-9]+"),"")</f>
        <v>$H$95</v>
      </c>
      <c r="I96" t="str" cm="1">
        <f t="array" aca="1" ref="I96" ca="1">IF('Raw Data'!I95="",_xlfn.REGEXEXTRACT(CELL("address",'Raw Data'!I95),"\$([A-Z]+)\$[0-9]+"),"")</f>
        <v>$I$95</v>
      </c>
    </row>
    <row r="97" spans="2:9" x14ac:dyDescent="0.25">
      <c r="B97" t="str" cm="1">
        <f t="array" aca="1" ref="B97" ca="1">IF('Raw Data'!B96="",_xlfn.REGEXEXTRACT(CELL("address",'Raw Data'!B96),"\$([A-Z]+)\$[0-9]+"),"")</f>
        <v>$B$96</v>
      </c>
      <c r="C97" t="str" cm="1">
        <f t="array" aca="1" ref="C97" ca="1">IF('Raw Data'!C96="",_xlfn.REGEXEXTRACT(CELL("address",'Raw Data'!C96),"\$([A-Z]+)\$[0-9]+"),"")</f>
        <v>$C$96</v>
      </c>
      <c r="D97" t="str" cm="1">
        <f t="array" aca="1" ref="D97" ca="1">IF('Raw Data'!D96="",_xlfn.REGEXEXTRACT(CELL("address",'Raw Data'!D96),"\$([A-Z]+)\$[0-9]+"),"")</f>
        <v>$D$96</v>
      </c>
      <c r="E97" t="str" cm="1">
        <f t="array" aca="1" ref="E97" ca="1">IF('Raw Data'!E96="",_xlfn.REGEXEXTRACT(CELL("address",'Raw Data'!E96),"\$([A-Z]+)\$[0-9]+"),"")</f>
        <v>$E$96</v>
      </c>
      <c r="F97" t="str" cm="1">
        <f t="array" aca="1" ref="F97" ca="1">IF('Raw Data'!F96="",_xlfn.REGEXEXTRACT(CELL("address",'Raw Data'!F96),"\$([A-Z]+)\$[0-9]+"),"")</f>
        <v>$F$96</v>
      </c>
      <c r="G97" t="str" cm="1">
        <f t="array" aca="1" ref="G97" ca="1">IF('Raw Data'!G96="",_xlfn.REGEXEXTRACT(CELL("address",'Raw Data'!G96),"\$([A-Z]+)\$[0-9]+"),"")</f>
        <v>$G$96</v>
      </c>
      <c r="H97" t="str" cm="1">
        <f t="array" aca="1" ref="H97" ca="1">IF('Raw Data'!H96="",_xlfn.REGEXEXTRACT(CELL("address",'Raw Data'!H96),"\$([A-Z]+)\$[0-9]+"),"")</f>
        <v>$H$96</v>
      </c>
      <c r="I97" t="str" cm="1">
        <f t="array" aca="1" ref="I97" ca="1">IF('Raw Data'!I96="",_xlfn.REGEXEXTRACT(CELL("address",'Raw Data'!I96),"\$([A-Z]+)\$[0-9]+"),"")</f>
        <v>$I$96</v>
      </c>
    </row>
    <row r="98" spans="2:9" x14ac:dyDescent="0.25">
      <c r="B98" t="str" cm="1">
        <f t="array" aca="1" ref="B98" ca="1">IF('Raw Data'!B97="",_xlfn.REGEXEXTRACT(CELL("address",'Raw Data'!B97),"\$([A-Z]+)\$[0-9]+"),"")</f>
        <v>$B$97</v>
      </c>
      <c r="C98" t="str" cm="1">
        <f t="array" aca="1" ref="C98" ca="1">IF('Raw Data'!C97="",_xlfn.REGEXEXTRACT(CELL("address",'Raw Data'!C97),"\$([A-Z]+)\$[0-9]+"),"")</f>
        <v>$C$97</v>
      </c>
      <c r="D98" t="str" cm="1">
        <f t="array" aca="1" ref="D98" ca="1">IF('Raw Data'!D97="",_xlfn.REGEXEXTRACT(CELL("address",'Raw Data'!D97),"\$([A-Z]+)\$[0-9]+"),"")</f>
        <v>$D$97</v>
      </c>
      <c r="E98" t="str" cm="1">
        <f t="array" aca="1" ref="E98" ca="1">IF('Raw Data'!E97="",_xlfn.REGEXEXTRACT(CELL("address",'Raw Data'!E97),"\$([A-Z]+)\$[0-9]+"),"")</f>
        <v>$E$97</v>
      </c>
      <c r="F98" t="str" cm="1">
        <f t="array" aca="1" ref="F98" ca="1">IF('Raw Data'!F97="",_xlfn.REGEXEXTRACT(CELL("address",'Raw Data'!F97),"\$([A-Z]+)\$[0-9]+"),"")</f>
        <v>$F$97</v>
      </c>
      <c r="G98" t="str" cm="1">
        <f t="array" aca="1" ref="G98" ca="1">IF('Raw Data'!G97="",_xlfn.REGEXEXTRACT(CELL("address",'Raw Data'!G97),"\$([A-Z]+)\$[0-9]+"),"")</f>
        <v>$G$97</v>
      </c>
      <c r="H98" t="str" cm="1">
        <f t="array" aca="1" ref="H98" ca="1">IF('Raw Data'!H97="",_xlfn.REGEXEXTRACT(CELL("address",'Raw Data'!H97),"\$([A-Z]+)\$[0-9]+"),"")</f>
        <v>$H$97</v>
      </c>
      <c r="I98" t="str" cm="1">
        <f t="array" aca="1" ref="I98" ca="1">IF('Raw Data'!I97="",_xlfn.REGEXEXTRACT(CELL("address",'Raw Data'!I97),"\$([A-Z]+)\$[0-9]+"),"")</f>
        <v>$I$97</v>
      </c>
    </row>
    <row r="99" spans="2:9" x14ac:dyDescent="0.25">
      <c r="B99" t="str" cm="1">
        <f t="array" aca="1" ref="B99" ca="1">IF('Raw Data'!B98="",_xlfn.REGEXEXTRACT(CELL("address",'Raw Data'!B98),"\$([A-Z]+)\$[0-9]+"),"")</f>
        <v>$B$98</v>
      </c>
      <c r="C99" t="str" cm="1">
        <f t="array" aca="1" ref="C99" ca="1">IF('Raw Data'!C98="",_xlfn.REGEXEXTRACT(CELL("address",'Raw Data'!C98),"\$([A-Z]+)\$[0-9]+"),"")</f>
        <v>$C$98</v>
      </c>
      <c r="D99" t="str" cm="1">
        <f t="array" aca="1" ref="D99" ca="1">IF('Raw Data'!D98="",_xlfn.REGEXEXTRACT(CELL("address",'Raw Data'!D98),"\$([A-Z]+)\$[0-9]+"),"")</f>
        <v>$D$98</v>
      </c>
      <c r="E99" t="str" cm="1">
        <f t="array" aca="1" ref="E99" ca="1">IF('Raw Data'!E98="",_xlfn.REGEXEXTRACT(CELL("address",'Raw Data'!E98),"\$([A-Z]+)\$[0-9]+"),"")</f>
        <v>$E$98</v>
      </c>
      <c r="F99" t="str" cm="1">
        <f t="array" aca="1" ref="F99" ca="1">IF('Raw Data'!F98="",_xlfn.REGEXEXTRACT(CELL("address",'Raw Data'!F98),"\$([A-Z]+)\$[0-9]+"),"")</f>
        <v>$F$98</v>
      </c>
      <c r="G99" t="str" cm="1">
        <f t="array" aca="1" ref="G99" ca="1">IF('Raw Data'!G98="",_xlfn.REGEXEXTRACT(CELL("address",'Raw Data'!G98),"\$([A-Z]+)\$[0-9]+"),"")</f>
        <v>$G$98</v>
      </c>
      <c r="H99" t="str" cm="1">
        <f t="array" aca="1" ref="H99" ca="1">IF('Raw Data'!H98="",_xlfn.REGEXEXTRACT(CELL("address",'Raw Data'!H98),"\$([A-Z]+)\$[0-9]+"),"")</f>
        <v>$H$98</v>
      </c>
      <c r="I99" t="str" cm="1">
        <f t="array" aca="1" ref="I99" ca="1">IF('Raw Data'!I98="",_xlfn.REGEXEXTRACT(CELL("address",'Raw Data'!I98),"\$([A-Z]+)\$[0-9]+"),"")</f>
        <v>$I$98</v>
      </c>
    </row>
    <row r="100" spans="2:9" x14ac:dyDescent="0.25">
      <c r="B100" t="str" cm="1">
        <f t="array" aca="1" ref="B100" ca="1">IF('Raw Data'!B99="",_xlfn.REGEXEXTRACT(CELL("address",'Raw Data'!B99),"\$([A-Z]+)\$[0-9]+"),"")</f>
        <v>$B$99</v>
      </c>
      <c r="C100" t="str" cm="1">
        <f t="array" aca="1" ref="C100" ca="1">IF('Raw Data'!C99="",_xlfn.REGEXEXTRACT(CELL("address",'Raw Data'!C99),"\$([A-Z]+)\$[0-9]+"),"")</f>
        <v>$C$99</v>
      </c>
      <c r="D100" t="str" cm="1">
        <f t="array" aca="1" ref="D100" ca="1">IF('Raw Data'!D99="",_xlfn.REGEXEXTRACT(CELL("address",'Raw Data'!D99),"\$([A-Z]+)\$[0-9]+"),"")</f>
        <v>$D$99</v>
      </c>
      <c r="E100" t="str" cm="1">
        <f t="array" aca="1" ref="E100" ca="1">IF('Raw Data'!E99="",_xlfn.REGEXEXTRACT(CELL("address",'Raw Data'!E99),"\$([A-Z]+)\$[0-9]+"),"")</f>
        <v>$E$99</v>
      </c>
      <c r="F100" t="str" cm="1">
        <f t="array" aca="1" ref="F100" ca="1">IF('Raw Data'!F99="",_xlfn.REGEXEXTRACT(CELL("address",'Raw Data'!F99),"\$([A-Z]+)\$[0-9]+"),"")</f>
        <v>$F$99</v>
      </c>
      <c r="G100" t="str" cm="1">
        <f t="array" aca="1" ref="G100" ca="1">IF('Raw Data'!G99="",_xlfn.REGEXEXTRACT(CELL("address",'Raw Data'!G99),"\$([A-Z]+)\$[0-9]+"),"")</f>
        <v>$G$99</v>
      </c>
      <c r="H100" t="str" cm="1">
        <f t="array" aca="1" ref="H100" ca="1">IF('Raw Data'!H99="",_xlfn.REGEXEXTRACT(CELL("address",'Raw Data'!H99),"\$([A-Z]+)\$[0-9]+"),"")</f>
        <v>$H$99</v>
      </c>
      <c r="I100" t="str" cm="1">
        <f t="array" aca="1" ref="I100" ca="1">IF('Raw Data'!I99="",_xlfn.REGEXEXTRACT(CELL("address",'Raw Data'!I99),"\$([A-Z]+)\$[0-9]+"),"")</f>
        <v>$I$99</v>
      </c>
    </row>
    <row r="101" spans="2:9" x14ac:dyDescent="0.25">
      <c r="B101" t="str" cm="1">
        <f t="array" aca="1" ref="B101" ca="1">IF('Raw Data'!B100="",_xlfn.REGEXEXTRACT(CELL("address",'Raw Data'!B100),"\$([A-Z]+)\$[0-9]+"),"")</f>
        <v>$B$100</v>
      </c>
      <c r="C101" t="str" cm="1">
        <f t="array" aca="1" ref="C101" ca="1">IF('Raw Data'!C100="",_xlfn.REGEXEXTRACT(CELL("address",'Raw Data'!C100),"\$([A-Z]+)\$[0-9]+"),"")</f>
        <v>$C$100</v>
      </c>
      <c r="D101" t="str" cm="1">
        <f t="array" aca="1" ref="D101" ca="1">IF('Raw Data'!D100="",_xlfn.REGEXEXTRACT(CELL("address",'Raw Data'!D100),"\$([A-Z]+)\$[0-9]+"),"")</f>
        <v>$D$100</v>
      </c>
      <c r="E101" t="str" cm="1">
        <f t="array" aca="1" ref="E101" ca="1">IF('Raw Data'!E100="",_xlfn.REGEXEXTRACT(CELL("address",'Raw Data'!E100),"\$([A-Z]+)\$[0-9]+"),"")</f>
        <v>$E$100</v>
      </c>
      <c r="F101" t="str" cm="1">
        <f t="array" aca="1" ref="F101" ca="1">IF('Raw Data'!F100="",_xlfn.REGEXEXTRACT(CELL("address",'Raw Data'!F100),"\$([A-Z]+)\$[0-9]+"),"")</f>
        <v>$F$100</v>
      </c>
      <c r="G101" t="str" cm="1">
        <f t="array" aca="1" ref="G101" ca="1">IF('Raw Data'!G100="",_xlfn.REGEXEXTRACT(CELL("address",'Raw Data'!G100),"\$([A-Z]+)\$[0-9]+"),"")</f>
        <v>$G$100</v>
      </c>
      <c r="H101" t="str" cm="1">
        <f t="array" aca="1" ref="H101" ca="1">IF('Raw Data'!H100="",_xlfn.REGEXEXTRACT(CELL("address",'Raw Data'!H100),"\$([A-Z]+)\$[0-9]+"),"")</f>
        <v>$H$100</v>
      </c>
      <c r="I101" t="str" cm="1">
        <f t="array" aca="1" ref="I101" ca="1">IF('Raw Data'!I100="",_xlfn.REGEXEXTRACT(CELL("address",'Raw Data'!I100),"\$([A-Z]+)\$[0-9]+"),"")</f>
        <v>$I$100</v>
      </c>
    </row>
    <row r="102" spans="2:9" x14ac:dyDescent="0.25">
      <c r="B102" t="str" cm="1">
        <f t="array" aca="1" ref="B102" ca="1">IF('Raw Data'!B101="",_xlfn.REGEXEXTRACT(CELL("address",'Raw Data'!B101),"\$([A-Z]+)\$[0-9]+"),"")</f>
        <v>$B$101</v>
      </c>
      <c r="C102" t="str" cm="1">
        <f t="array" aca="1" ref="C102" ca="1">IF('Raw Data'!C101="",_xlfn.REGEXEXTRACT(CELL("address",'Raw Data'!C101),"\$([A-Z]+)\$[0-9]+"),"")</f>
        <v>$C$101</v>
      </c>
      <c r="D102" t="str" cm="1">
        <f t="array" aca="1" ref="D102" ca="1">IF('Raw Data'!D101="",_xlfn.REGEXEXTRACT(CELL("address",'Raw Data'!D101),"\$([A-Z]+)\$[0-9]+"),"")</f>
        <v>$D$101</v>
      </c>
      <c r="E102" t="str" cm="1">
        <f t="array" aca="1" ref="E102" ca="1">IF('Raw Data'!E101="",_xlfn.REGEXEXTRACT(CELL("address",'Raw Data'!E101),"\$([A-Z]+)\$[0-9]+"),"")</f>
        <v>$E$101</v>
      </c>
      <c r="F102" t="str" cm="1">
        <f t="array" aca="1" ref="F102" ca="1">IF('Raw Data'!F101="",_xlfn.REGEXEXTRACT(CELL("address",'Raw Data'!F101),"\$([A-Z]+)\$[0-9]+"),"")</f>
        <v>$F$101</v>
      </c>
      <c r="G102" t="str" cm="1">
        <f t="array" aca="1" ref="G102" ca="1">IF('Raw Data'!G101="",_xlfn.REGEXEXTRACT(CELL("address",'Raw Data'!G101),"\$([A-Z]+)\$[0-9]+"),"")</f>
        <v>$G$101</v>
      </c>
      <c r="H102" t="str" cm="1">
        <f t="array" aca="1" ref="H102" ca="1">IF('Raw Data'!H101="",_xlfn.REGEXEXTRACT(CELL("address",'Raw Data'!H101),"\$([A-Z]+)\$[0-9]+"),"")</f>
        <v>$H$101</v>
      </c>
      <c r="I102" t="str" cm="1">
        <f t="array" aca="1" ref="I102" ca="1">IF('Raw Data'!I101="",_xlfn.REGEXEXTRACT(CELL("address",'Raw Data'!I101),"\$([A-Z]+)\$[0-9]+"),"")</f>
        <v>$I$101</v>
      </c>
    </row>
    <row r="103" spans="2:9" x14ac:dyDescent="0.25">
      <c r="B103" t="str" cm="1">
        <f t="array" aca="1" ref="B103" ca="1">IF('Raw Data'!B102="",_xlfn.REGEXEXTRACT(CELL("address",'Raw Data'!B102),"\$([A-Z]+)\$[0-9]+"),"")</f>
        <v>$B$102</v>
      </c>
      <c r="C103" t="str" cm="1">
        <f t="array" aca="1" ref="C103" ca="1">IF('Raw Data'!C102="",_xlfn.REGEXEXTRACT(CELL("address",'Raw Data'!C102),"\$([A-Z]+)\$[0-9]+"),"")</f>
        <v>$C$102</v>
      </c>
      <c r="D103" t="str" cm="1">
        <f t="array" aca="1" ref="D103" ca="1">IF('Raw Data'!D102="",_xlfn.REGEXEXTRACT(CELL("address",'Raw Data'!D102),"\$([A-Z]+)\$[0-9]+"),"")</f>
        <v>$D$102</v>
      </c>
      <c r="E103" t="str" cm="1">
        <f t="array" aca="1" ref="E103" ca="1">IF('Raw Data'!E102="",_xlfn.REGEXEXTRACT(CELL("address",'Raw Data'!E102),"\$([A-Z]+)\$[0-9]+"),"")</f>
        <v>$E$102</v>
      </c>
      <c r="F103" t="str" cm="1">
        <f t="array" aca="1" ref="F103" ca="1">IF('Raw Data'!F102="",_xlfn.REGEXEXTRACT(CELL("address",'Raw Data'!F102),"\$([A-Z]+)\$[0-9]+"),"")</f>
        <v>$F$102</v>
      </c>
      <c r="G103" t="str" cm="1">
        <f t="array" aca="1" ref="G103" ca="1">IF('Raw Data'!G102="",_xlfn.REGEXEXTRACT(CELL("address",'Raw Data'!G102),"\$([A-Z]+)\$[0-9]+"),"")</f>
        <v>$G$102</v>
      </c>
      <c r="H103" t="str" cm="1">
        <f t="array" aca="1" ref="H103" ca="1">IF('Raw Data'!H102="",_xlfn.REGEXEXTRACT(CELL("address",'Raw Data'!H102),"\$([A-Z]+)\$[0-9]+"),"")</f>
        <v>$H$102</v>
      </c>
      <c r="I103" t="str" cm="1">
        <f t="array" aca="1" ref="I103" ca="1">IF('Raw Data'!I102="",_xlfn.REGEXEXTRACT(CELL("address",'Raw Data'!I102),"\$([A-Z]+)\$[0-9]+"),"")</f>
        <v>$I$102</v>
      </c>
    </row>
    <row r="104" spans="2:9" x14ac:dyDescent="0.25">
      <c r="B104" t="str" cm="1">
        <f t="array" aca="1" ref="B104" ca="1">IF('Raw Data'!B103="",_xlfn.REGEXEXTRACT(CELL("address",'Raw Data'!B103),"\$([A-Z]+)\$[0-9]+"),"")</f>
        <v>$B$103</v>
      </c>
      <c r="C104" t="str" cm="1">
        <f t="array" aca="1" ref="C104" ca="1">IF('Raw Data'!C103="",_xlfn.REGEXEXTRACT(CELL("address",'Raw Data'!C103),"\$([A-Z]+)\$[0-9]+"),"")</f>
        <v>$C$103</v>
      </c>
      <c r="D104" t="str" cm="1">
        <f t="array" aca="1" ref="D104" ca="1">IF('Raw Data'!D103="",_xlfn.REGEXEXTRACT(CELL("address",'Raw Data'!D103),"\$([A-Z]+)\$[0-9]+"),"")</f>
        <v>$D$103</v>
      </c>
      <c r="E104" t="str" cm="1">
        <f t="array" aca="1" ref="E104" ca="1">IF('Raw Data'!E103="",_xlfn.REGEXEXTRACT(CELL("address",'Raw Data'!E103),"\$([A-Z]+)\$[0-9]+"),"")</f>
        <v>$E$103</v>
      </c>
      <c r="F104" t="str" cm="1">
        <f t="array" aca="1" ref="F104" ca="1">IF('Raw Data'!F103="",_xlfn.REGEXEXTRACT(CELL("address",'Raw Data'!F103),"\$([A-Z]+)\$[0-9]+"),"")</f>
        <v>$F$103</v>
      </c>
      <c r="G104" t="str" cm="1">
        <f t="array" aca="1" ref="G104" ca="1">IF('Raw Data'!G103="",_xlfn.REGEXEXTRACT(CELL("address",'Raw Data'!G103),"\$([A-Z]+)\$[0-9]+"),"")</f>
        <v>$G$103</v>
      </c>
      <c r="H104" t="str" cm="1">
        <f t="array" aca="1" ref="H104" ca="1">IF('Raw Data'!H103="",_xlfn.REGEXEXTRACT(CELL("address",'Raw Data'!H103),"\$([A-Z]+)\$[0-9]+"),"")</f>
        <v>$H$103</v>
      </c>
      <c r="I104" t="str" cm="1">
        <f t="array" aca="1" ref="I104" ca="1">IF('Raw Data'!I103="",_xlfn.REGEXEXTRACT(CELL("address",'Raw Data'!I103),"\$([A-Z]+)\$[0-9]+"),"")</f>
        <v>$I$103</v>
      </c>
    </row>
    <row r="105" spans="2:9" x14ac:dyDescent="0.25">
      <c r="B105" t="str" cm="1">
        <f t="array" aca="1" ref="B105" ca="1">IF('Raw Data'!B104="",_xlfn.REGEXEXTRACT(CELL("address",'Raw Data'!B104),"\$([A-Z]+)\$[0-9]+"),"")</f>
        <v>$B$104</v>
      </c>
      <c r="C105" t="str" cm="1">
        <f t="array" aca="1" ref="C105" ca="1">IF('Raw Data'!C104="",_xlfn.REGEXEXTRACT(CELL("address",'Raw Data'!C104),"\$([A-Z]+)\$[0-9]+"),"")</f>
        <v>$C$104</v>
      </c>
      <c r="D105" t="str" cm="1">
        <f t="array" aca="1" ref="D105" ca="1">IF('Raw Data'!D104="",_xlfn.REGEXEXTRACT(CELL("address",'Raw Data'!D104),"\$([A-Z]+)\$[0-9]+"),"")</f>
        <v>$D$104</v>
      </c>
      <c r="E105" t="str" cm="1">
        <f t="array" aca="1" ref="E105" ca="1">IF('Raw Data'!E104="",_xlfn.REGEXEXTRACT(CELL("address",'Raw Data'!E104),"\$([A-Z]+)\$[0-9]+"),"")</f>
        <v>$E$104</v>
      </c>
      <c r="F105" t="str" cm="1">
        <f t="array" aca="1" ref="F105" ca="1">IF('Raw Data'!F104="",_xlfn.REGEXEXTRACT(CELL("address",'Raw Data'!F104),"\$([A-Z]+)\$[0-9]+"),"")</f>
        <v>$F$104</v>
      </c>
      <c r="G105" t="str" cm="1">
        <f t="array" aca="1" ref="G105" ca="1">IF('Raw Data'!G104="",_xlfn.REGEXEXTRACT(CELL("address",'Raw Data'!G104),"\$([A-Z]+)\$[0-9]+"),"")</f>
        <v>$G$104</v>
      </c>
      <c r="H105" t="str" cm="1">
        <f t="array" aca="1" ref="H105" ca="1">IF('Raw Data'!H104="",_xlfn.REGEXEXTRACT(CELL("address",'Raw Data'!H104),"\$([A-Z]+)\$[0-9]+"),"")</f>
        <v>$H$104</v>
      </c>
      <c r="I105" t="str" cm="1">
        <f t="array" aca="1" ref="I105" ca="1">IF('Raw Data'!I104="",_xlfn.REGEXEXTRACT(CELL("address",'Raw Data'!I104),"\$([A-Z]+)\$[0-9]+"),"")</f>
        <v>$I$104</v>
      </c>
    </row>
    <row r="106" spans="2:9" x14ac:dyDescent="0.25">
      <c r="B106" t="str" cm="1">
        <f t="array" aca="1" ref="B106" ca="1">IF('Raw Data'!B105="",_xlfn.REGEXEXTRACT(CELL("address",'Raw Data'!B105),"\$([A-Z]+)\$[0-9]+"),"")</f>
        <v>$B$105</v>
      </c>
      <c r="C106" t="str" cm="1">
        <f t="array" aca="1" ref="C106" ca="1">IF('Raw Data'!C105="",_xlfn.REGEXEXTRACT(CELL("address",'Raw Data'!C105),"\$([A-Z]+)\$[0-9]+"),"")</f>
        <v>$C$105</v>
      </c>
      <c r="D106" t="str" cm="1">
        <f t="array" aca="1" ref="D106" ca="1">IF('Raw Data'!D105="",_xlfn.REGEXEXTRACT(CELL("address",'Raw Data'!D105),"\$([A-Z]+)\$[0-9]+"),"")</f>
        <v>$D$105</v>
      </c>
      <c r="E106" t="str" cm="1">
        <f t="array" aca="1" ref="E106" ca="1">IF('Raw Data'!E105="",_xlfn.REGEXEXTRACT(CELL("address",'Raw Data'!E105),"\$([A-Z]+)\$[0-9]+"),"")</f>
        <v>$E$105</v>
      </c>
      <c r="F106" t="str" cm="1">
        <f t="array" aca="1" ref="F106" ca="1">IF('Raw Data'!F105="",_xlfn.REGEXEXTRACT(CELL("address",'Raw Data'!F105),"\$([A-Z]+)\$[0-9]+"),"")</f>
        <v>$F$105</v>
      </c>
      <c r="G106" t="str" cm="1">
        <f t="array" aca="1" ref="G106" ca="1">IF('Raw Data'!G105="",_xlfn.REGEXEXTRACT(CELL("address",'Raw Data'!G105),"\$([A-Z]+)\$[0-9]+"),"")</f>
        <v>$G$105</v>
      </c>
      <c r="H106" t="str" cm="1">
        <f t="array" aca="1" ref="H106" ca="1">IF('Raw Data'!H105="",_xlfn.REGEXEXTRACT(CELL("address",'Raw Data'!H105),"\$([A-Z]+)\$[0-9]+"),"")</f>
        <v>$H$105</v>
      </c>
      <c r="I106" t="str" cm="1">
        <f t="array" aca="1" ref="I106" ca="1">IF('Raw Data'!I105="",_xlfn.REGEXEXTRACT(CELL("address",'Raw Data'!I105),"\$([A-Z]+)\$[0-9]+"),"")</f>
        <v>$I$105</v>
      </c>
    </row>
    <row r="107" spans="2:9" x14ac:dyDescent="0.25">
      <c r="B107" t="str" cm="1">
        <f t="array" aca="1" ref="B107" ca="1">IF('Raw Data'!B106="",_xlfn.REGEXEXTRACT(CELL("address",'Raw Data'!B106),"\$([A-Z]+)\$[0-9]+"),"")</f>
        <v>$B$106</v>
      </c>
      <c r="C107" t="str" cm="1">
        <f t="array" aca="1" ref="C107" ca="1">IF('Raw Data'!C106="",_xlfn.REGEXEXTRACT(CELL("address",'Raw Data'!C106),"\$([A-Z]+)\$[0-9]+"),"")</f>
        <v>$C$106</v>
      </c>
      <c r="D107" t="str" cm="1">
        <f t="array" aca="1" ref="D107" ca="1">IF('Raw Data'!D106="",_xlfn.REGEXEXTRACT(CELL("address",'Raw Data'!D106),"\$([A-Z]+)\$[0-9]+"),"")</f>
        <v>$D$106</v>
      </c>
      <c r="E107" t="str" cm="1">
        <f t="array" aca="1" ref="E107" ca="1">IF('Raw Data'!E106="",_xlfn.REGEXEXTRACT(CELL("address",'Raw Data'!E106),"\$([A-Z]+)\$[0-9]+"),"")</f>
        <v>$E$106</v>
      </c>
      <c r="F107" t="str" cm="1">
        <f t="array" aca="1" ref="F107" ca="1">IF('Raw Data'!F106="",_xlfn.REGEXEXTRACT(CELL("address",'Raw Data'!F106),"\$([A-Z]+)\$[0-9]+"),"")</f>
        <v>$F$106</v>
      </c>
      <c r="G107" t="str" cm="1">
        <f t="array" aca="1" ref="G107" ca="1">IF('Raw Data'!G106="",_xlfn.REGEXEXTRACT(CELL("address",'Raw Data'!G106),"\$([A-Z]+)\$[0-9]+"),"")</f>
        <v>$G$106</v>
      </c>
      <c r="H107" t="str" cm="1">
        <f t="array" aca="1" ref="H107" ca="1">IF('Raw Data'!H106="",_xlfn.REGEXEXTRACT(CELL("address",'Raw Data'!H106),"\$([A-Z]+)\$[0-9]+"),"")</f>
        <v>$H$106</v>
      </c>
      <c r="I107" t="str" cm="1">
        <f t="array" aca="1" ref="I107" ca="1">IF('Raw Data'!I106="",_xlfn.REGEXEXTRACT(CELL("address",'Raw Data'!I106),"\$([A-Z]+)\$[0-9]+"),"")</f>
        <v>$I$106</v>
      </c>
    </row>
    <row r="108" spans="2:9" x14ac:dyDescent="0.25">
      <c r="B108" t="str" cm="1">
        <f t="array" aca="1" ref="B108" ca="1">IF('Raw Data'!B107="",_xlfn.REGEXEXTRACT(CELL("address",'Raw Data'!B107),"\$([A-Z]+)\$[0-9]+"),"")</f>
        <v>$B$107</v>
      </c>
      <c r="C108" t="str" cm="1">
        <f t="array" aca="1" ref="C108" ca="1">IF('Raw Data'!C107="",_xlfn.REGEXEXTRACT(CELL("address",'Raw Data'!C107),"\$([A-Z]+)\$[0-9]+"),"")</f>
        <v>$C$107</v>
      </c>
      <c r="D108" t="str" cm="1">
        <f t="array" aca="1" ref="D108" ca="1">IF('Raw Data'!D107="",_xlfn.REGEXEXTRACT(CELL("address",'Raw Data'!D107),"\$([A-Z]+)\$[0-9]+"),"")</f>
        <v>$D$107</v>
      </c>
      <c r="E108" t="str" cm="1">
        <f t="array" aca="1" ref="E108" ca="1">IF('Raw Data'!E107="",_xlfn.REGEXEXTRACT(CELL("address",'Raw Data'!E107),"\$([A-Z]+)\$[0-9]+"),"")</f>
        <v>$E$107</v>
      </c>
      <c r="F108" t="str" cm="1">
        <f t="array" aca="1" ref="F108" ca="1">IF('Raw Data'!F107="",_xlfn.REGEXEXTRACT(CELL("address",'Raw Data'!F107),"\$([A-Z]+)\$[0-9]+"),"")</f>
        <v>$F$107</v>
      </c>
      <c r="G108" t="str" cm="1">
        <f t="array" aca="1" ref="G108" ca="1">IF('Raw Data'!G107="",_xlfn.REGEXEXTRACT(CELL("address",'Raw Data'!G107),"\$([A-Z]+)\$[0-9]+"),"")</f>
        <v>$G$107</v>
      </c>
      <c r="H108" t="str" cm="1">
        <f t="array" aca="1" ref="H108" ca="1">IF('Raw Data'!H107="",_xlfn.REGEXEXTRACT(CELL("address",'Raw Data'!H107),"\$([A-Z]+)\$[0-9]+"),"")</f>
        <v>$H$107</v>
      </c>
      <c r="I108" t="str" cm="1">
        <f t="array" aca="1" ref="I108" ca="1">IF('Raw Data'!I107="",_xlfn.REGEXEXTRACT(CELL("address",'Raw Data'!I107),"\$([A-Z]+)\$[0-9]+"),"")</f>
        <v>$I$107</v>
      </c>
    </row>
    <row r="109" spans="2:9" x14ac:dyDescent="0.25">
      <c r="B109" t="str" cm="1">
        <f t="array" aca="1" ref="B109" ca="1">IF('Raw Data'!B108="",_xlfn.REGEXEXTRACT(CELL("address",'Raw Data'!B108),"\$([A-Z]+)\$[0-9]+"),"")</f>
        <v>$B$108</v>
      </c>
      <c r="C109" t="str" cm="1">
        <f t="array" aca="1" ref="C109" ca="1">IF('Raw Data'!C108="",_xlfn.REGEXEXTRACT(CELL("address",'Raw Data'!C108),"\$([A-Z]+)\$[0-9]+"),"")</f>
        <v>$C$108</v>
      </c>
      <c r="D109" t="str" cm="1">
        <f t="array" aca="1" ref="D109" ca="1">IF('Raw Data'!D108="",_xlfn.REGEXEXTRACT(CELL("address",'Raw Data'!D108),"\$([A-Z]+)\$[0-9]+"),"")</f>
        <v>$D$108</v>
      </c>
      <c r="E109" t="str" cm="1">
        <f t="array" aca="1" ref="E109" ca="1">IF('Raw Data'!E108="",_xlfn.REGEXEXTRACT(CELL("address",'Raw Data'!E108),"\$([A-Z]+)\$[0-9]+"),"")</f>
        <v>$E$108</v>
      </c>
      <c r="F109" t="str" cm="1">
        <f t="array" aca="1" ref="F109" ca="1">IF('Raw Data'!F108="",_xlfn.REGEXEXTRACT(CELL("address",'Raw Data'!F108),"\$([A-Z]+)\$[0-9]+"),"")</f>
        <v>$F$108</v>
      </c>
      <c r="G109" t="str" cm="1">
        <f t="array" aca="1" ref="G109" ca="1">IF('Raw Data'!G108="",_xlfn.REGEXEXTRACT(CELL("address",'Raw Data'!G108),"\$([A-Z]+)\$[0-9]+"),"")</f>
        <v>$G$108</v>
      </c>
      <c r="H109" t="str" cm="1">
        <f t="array" aca="1" ref="H109" ca="1">IF('Raw Data'!H108="",_xlfn.REGEXEXTRACT(CELL("address",'Raw Data'!H108),"\$([A-Z]+)\$[0-9]+"),"")</f>
        <v>$H$108</v>
      </c>
      <c r="I109" t="str" cm="1">
        <f t="array" aca="1" ref="I109" ca="1">IF('Raw Data'!I108="",_xlfn.REGEXEXTRACT(CELL("address",'Raw Data'!I108),"\$([A-Z]+)\$[0-9]+"),"")</f>
        <v>$I$108</v>
      </c>
    </row>
    <row r="110" spans="2:9" x14ac:dyDescent="0.25">
      <c r="B110" t="str" cm="1">
        <f t="array" aca="1" ref="B110" ca="1">IF('Raw Data'!B109="",_xlfn.REGEXEXTRACT(CELL("address",'Raw Data'!B109),"\$([A-Z]+)\$[0-9]+"),"")</f>
        <v>$B$109</v>
      </c>
      <c r="C110" t="str" cm="1">
        <f t="array" aca="1" ref="C110" ca="1">IF('Raw Data'!C109="",_xlfn.REGEXEXTRACT(CELL("address",'Raw Data'!C109),"\$([A-Z]+)\$[0-9]+"),"")</f>
        <v>$C$109</v>
      </c>
      <c r="D110" t="str" cm="1">
        <f t="array" aca="1" ref="D110" ca="1">IF('Raw Data'!D109="",_xlfn.REGEXEXTRACT(CELL("address",'Raw Data'!D109),"\$([A-Z]+)\$[0-9]+"),"")</f>
        <v>$D$109</v>
      </c>
      <c r="E110" t="str" cm="1">
        <f t="array" aca="1" ref="E110" ca="1">IF('Raw Data'!E109="",_xlfn.REGEXEXTRACT(CELL("address",'Raw Data'!E109),"\$([A-Z]+)\$[0-9]+"),"")</f>
        <v>$E$109</v>
      </c>
      <c r="F110" t="str" cm="1">
        <f t="array" aca="1" ref="F110" ca="1">IF('Raw Data'!F109="",_xlfn.REGEXEXTRACT(CELL("address",'Raw Data'!F109),"\$([A-Z]+)\$[0-9]+"),"")</f>
        <v>$F$109</v>
      </c>
      <c r="G110" t="str" cm="1">
        <f t="array" aca="1" ref="G110" ca="1">IF('Raw Data'!G109="",_xlfn.REGEXEXTRACT(CELL("address",'Raw Data'!G109),"\$([A-Z]+)\$[0-9]+"),"")</f>
        <v>$G$109</v>
      </c>
      <c r="H110" t="str" cm="1">
        <f t="array" aca="1" ref="H110" ca="1">IF('Raw Data'!H109="",_xlfn.REGEXEXTRACT(CELL("address",'Raw Data'!H109),"\$([A-Z]+)\$[0-9]+"),"")</f>
        <v>$H$109</v>
      </c>
      <c r="I110" t="str" cm="1">
        <f t="array" aca="1" ref="I110" ca="1">IF('Raw Data'!I109="",_xlfn.REGEXEXTRACT(CELL("address",'Raw Data'!I109),"\$([A-Z]+)\$[0-9]+"),"")</f>
        <v>$I$109</v>
      </c>
    </row>
    <row r="111" spans="2:9" x14ac:dyDescent="0.25">
      <c r="B111" t="str" cm="1">
        <f t="array" aca="1" ref="B111" ca="1">IF('Raw Data'!B110="",_xlfn.REGEXEXTRACT(CELL("address",'Raw Data'!B110),"\$([A-Z]+)\$[0-9]+"),"")</f>
        <v>$B$110</v>
      </c>
      <c r="C111" t="str" cm="1">
        <f t="array" aca="1" ref="C111" ca="1">IF('Raw Data'!C110="",_xlfn.REGEXEXTRACT(CELL("address",'Raw Data'!C110),"\$([A-Z]+)\$[0-9]+"),"")</f>
        <v>$C$110</v>
      </c>
      <c r="D111" t="str" cm="1">
        <f t="array" aca="1" ref="D111" ca="1">IF('Raw Data'!D110="",_xlfn.REGEXEXTRACT(CELL("address",'Raw Data'!D110),"\$([A-Z]+)\$[0-9]+"),"")</f>
        <v>$D$110</v>
      </c>
      <c r="E111" t="str" cm="1">
        <f t="array" aca="1" ref="E111" ca="1">IF('Raw Data'!E110="",_xlfn.REGEXEXTRACT(CELL("address",'Raw Data'!E110),"\$([A-Z]+)\$[0-9]+"),"")</f>
        <v>$E$110</v>
      </c>
      <c r="F111" t="str" cm="1">
        <f t="array" aca="1" ref="F111" ca="1">IF('Raw Data'!F110="",_xlfn.REGEXEXTRACT(CELL("address",'Raw Data'!F110),"\$([A-Z]+)\$[0-9]+"),"")</f>
        <v>$F$110</v>
      </c>
      <c r="G111" t="str" cm="1">
        <f t="array" aca="1" ref="G111" ca="1">IF('Raw Data'!G110="",_xlfn.REGEXEXTRACT(CELL("address",'Raw Data'!G110),"\$([A-Z]+)\$[0-9]+"),"")</f>
        <v>$G$110</v>
      </c>
      <c r="H111" t="str" cm="1">
        <f t="array" aca="1" ref="H111" ca="1">IF('Raw Data'!H110="",_xlfn.REGEXEXTRACT(CELL("address",'Raw Data'!H110),"\$([A-Z]+)\$[0-9]+"),"")</f>
        <v>$H$110</v>
      </c>
      <c r="I111" t="str" cm="1">
        <f t="array" aca="1" ref="I111" ca="1">IF('Raw Data'!I110="",_xlfn.REGEXEXTRACT(CELL("address",'Raw Data'!I110),"\$([A-Z]+)\$[0-9]+"),"")</f>
        <v>$I$110</v>
      </c>
    </row>
    <row r="112" spans="2:9" x14ac:dyDescent="0.25">
      <c r="B112" t="str" cm="1">
        <f t="array" aca="1" ref="B112" ca="1">IF('Raw Data'!B111="",_xlfn.REGEXEXTRACT(CELL("address",'Raw Data'!B111),"\$([A-Z]+)\$[0-9]+"),"")</f>
        <v>$B$111</v>
      </c>
      <c r="C112" t="str" cm="1">
        <f t="array" aca="1" ref="C112" ca="1">IF('Raw Data'!C111="",_xlfn.REGEXEXTRACT(CELL("address",'Raw Data'!C111),"\$([A-Z]+)\$[0-9]+"),"")</f>
        <v>$C$111</v>
      </c>
      <c r="D112" t="str" cm="1">
        <f t="array" aca="1" ref="D112" ca="1">IF('Raw Data'!D111="",_xlfn.REGEXEXTRACT(CELL("address",'Raw Data'!D111),"\$([A-Z]+)\$[0-9]+"),"")</f>
        <v>$D$111</v>
      </c>
      <c r="E112" t="str" cm="1">
        <f t="array" aca="1" ref="E112" ca="1">IF('Raw Data'!E111="",_xlfn.REGEXEXTRACT(CELL("address",'Raw Data'!E111),"\$([A-Z]+)\$[0-9]+"),"")</f>
        <v>$E$111</v>
      </c>
      <c r="F112" t="str" cm="1">
        <f t="array" aca="1" ref="F112" ca="1">IF('Raw Data'!F111="",_xlfn.REGEXEXTRACT(CELL("address",'Raw Data'!F111),"\$([A-Z]+)\$[0-9]+"),"")</f>
        <v>$F$111</v>
      </c>
      <c r="G112" t="str" cm="1">
        <f t="array" aca="1" ref="G112" ca="1">IF('Raw Data'!G111="",_xlfn.REGEXEXTRACT(CELL("address",'Raw Data'!G111),"\$([A-Z]+)\$[0-9]+"),"")</f>
        <v>$G$111</v>
      </c>
      <c r="H112" t="str" cm="1">
        <f t="array" aca="1" ref="H112" ca="1">IF('Raw Data'!H111="",_xlfn.REGEXEXTRACT(CELL("address",'Raw Data'!H111),"\$([A-Z]+)\$[0-9]+"),"")</f>
        <v>$H$111</v>
      </c>
      <c r="I112" t="str" cm="1">
        <f t="array" aca="1" ref="I112" ca="1">IF('Raw Data'!I111="",_xlfn.REGEXEXTRACT(CELL("address",'Raw Data'!I111),"\$([A-Z]+)\$[0-9]+"),"")</f>
        <v>$I$111</v>
      </c>
    </row>
    <row r="113" spans="2:9" x14ac:dyDescent="0.25">
      <c r="B113" t="str" cm="1">
        <f t="array" aca="1" ref="B113" ca="1">IF('Raw Data'!B112="",_xlfn.REGEXEXTRACT(CELL("address",'Raw Data'!B112),"\$([A-Z]+)\$[0-9]+"),"")</f>
        <v>$B$112</v>
      </c>
      <c r="C113" t="str" cm="1">
        <f t="array" aca="1" ref="C113" ca="1">IF('Raw Data'!C112="",_xlfn.REGEXEXTRACT(CELL("address",'Raw Data'!C112),"\$([A-Z]+)\$[0-9]+"),"")</f>
        <v>$C$112</v>
      </c>
      <c r="D113" t="str" cm="1">
        <f t="array" aca="1" ref="D113" ca="1">IF('Raw Data'!D112="",_xlfn.REGEXEXTRACT(CELL("address",'Raw Data'!D112),"\$([A-Z]+)\$[0-9]+"),"")</f>
        <v>$D$112</v>
      </c>
      <c r="E113" t="str" cm="1">
        <f t="array" aca="1" ref="E113" ca="1">IF('Raw Data'!E112="",_xlfn.REGEXEXTRACT(CELL("address",'Raw Data'!E112),"\$([A-Z]+)\$[0-9]+"),"")</f>
        <v>$E$112</v>
      </c>
      <c r="F113" t="str" cm="1">
        <f t="array" aca="1" ref="F113" ca="1">IF('Raw Data'!F112="",_xlfn.REGEXEXTRACT(CELL("address",'Raw Data'!F112),"\$([A-Z]+)\$[0-9]+"),"")</f>
        <v>$F$112</v>
      </c>
      <c r="G113" t="str" cm="1">
        <f t="array" aca="1" ref="G113" ca="1">IF('Raw Data'!G112="",_xlfn.REGEXEXTRACT(CELL("address",'Raw Data'!G112),"\$([A-Z]+)\$[0-9]+"),"")</f>
        <v>$G$112</v>
      </c>
      <c r="H113" t="str" cm="1">
        <f t="array" aca="1" ref="H113" ca="1">IF('Raw Data'!H112="",_xlfn.REGEXEXTRACT(CELL("address",'Raw Data'!H112),"\$([A-Z]+)\$[0-9]+"),"")</f>
        <v>$H$112</v>
      </c>
      <c r="I113" t="str" cm="1">
        <f t="array" aca="1" ref="I113" ca="1">IF('Raw Data'!I112="",_xlfn.REGEXEXTRACT(CELL("address",'Raw Data'!I112),"\$([A-Z]+)\$[0-9]+"),"")</f>
        <v>$I$112</v>
      </c>
    </row>
    <row r="114" spans="2:9" x14ac:dyDescent="0.25">
      <c r="B114" t="str" cm="1">
        <f t="array" aca="1" ref="B114" ca="1">IF('Raw Data'!B113="",_xlfn.REGEXEXTRACT(CELL("address",'Raw Data'!B113),"\$([A-Z]+)\$[0-9]+"),"")</f>
        <v>$B$113</v>
      </c>
      <c r="C114" t="str" cm="1">
        <f t="array" aca="1" ref="C114" ca="1">IF('Raw Data'!C113="",_xlfn.REGEXEXTRACT(CELL("address",'Raw Data'!C113),"\$([A-Z]+)\$[0-9]+"),"")</f>
        <v>$C$113</v>
      </c>
      <c r="D114" t="str" cm="1">
        <f t="array" aca="1" ref="D114" ca="1">IF('Raw Data'!D113="",_xlfn.REGEXEXTRACT(CELL("address",'Raw Data'!D113),"\$([A-Z]+)\$[0-9]+"),"")</f>
        <v>$D$113</v>
      </c>
      <c r="E114" t="str" cm="1">
        <f t="array" aca="1" ref="E114" ca="1">IF('Raw Data'!E113="",_xlfn.REGEXEXTRACT(CELL("address",'Raw Data'!E113),"\$([A-Z]+)\$[0-9]+"),"")</f>
        <v>$E$113</v>
      </c>
      <c r="F114" t="str" cm="1">
        <f t="array" aca="1" ref="F114" ca="1">IF('Raw Data'!F113="",_xlfn.REGEXEXTRACT(CELL("address",'Raw Data'!F113),"\$([A-Z]+)\$[0-9]+"),"")</f>
        <v>$F$113</v>
      </c>
      <c r="G114" t="str" cm="1">
        <f t="array" aca="1" ref="G114" ca="1">IF('Raw Data'!G113="",_xlfn.REGEXEXTRACT(CELL("address",'Raw Data'!G113),"\$([A-Z]+)\$[0-9]+"),"")</f>
        <v>$G$113</v>
      </c>
      <c r="H114" t="str" cm="1">
        <f t="array" aca="1" ref="H114" ca="1">IF('Raw Data'!H113="",_xlfn.REGEXEXTRACT(CELL("address",'Raw Data'!H113),"\$([A-Z]+)\$[0-9]+"),"")</f>
        <v>$H$113</v>
      </c>
      <c r="I114" t="str" cm="1">
        <f t="array" aca="1" ref="I114" ca="1">IF('Raw Data'!I113="",_xlfn.REGEXEXTRACT(CELL("address",'Raw Data'!I113),"\$([A-Z]+)\$[0-9]+"),"")</f>
        <v>$I$113</v>
      </c>
    </row>
    <row r="115" spans="2:9" x14ac:dyDescent="0.25">
      <c r="B115" t="str" cm="1">
        <f t="array" aca="1" ref="B115" ca="1">IF('Raw Data'!B114="",_xlfn.REGEXEXTRACT(CELL("address",'Raw Data'!B114),"\$([A-Z]+)\$[0-9]+"),"")</f>
        <v>$B$114</v>
      </c>
      <c r="C115" t="str" cm="1">
        <f t="array" aca="1" ref="C115" ca="1">IF('Raw Data'!C114="",_xlfn.REGEXEXTRACT(CELL("address",'Raw Data'!C114),"\$([A-Z]+)\$[0-9]+"),"")</f>
        <v>$C$114</v>
      </c>
      <c r="D115" t="str" cm="1">
        <f t="array" aca="1" ref="D115" ca="1">IF('Raw Data'!D114="",_xlfn.REGEXEXTRACT(CELL("address",'Raw Data'!D114),"\$([A-Z]+)\$[0-9]+"),"")</f>
        <v>$D$114</v>
      </c>
      <c r="E115" t="str" cm="1">
        <f t="array" aca="1" ref="E115" ca="1">IF('Raw Data'!E114="",_xlfn.REGEXEXTRACT(CELL("address",'Raw Data'!E114),"\$([A-Z]+)\$[0-9]+"),"")</f>
        <v>$E$114</v>
      </c>
      <c r="F115" t="str" cm="1">
        <f t="array" aca="1" ref="F115" ca="1">IF('Raw Data'!F114="",_xlfn.REGEXEXTRACT(CELL("address",'Raw Data'!F114),"\$([A-Z]+)\$[0-9]+"),"")</f>
        <v>$F$114</v>
      </c>
      <c r="G115" t="str" cm="1">
        <f t="array" aca="1" ref="G115" ca="1">IF('Raw Data'!G114="",_xlfn.REGEXEXTRACT(CELL("address",'Raw Data'!G114),"\$([A-Z]+)\$[0-9]+"),"")</f>
        <v>$G$114</v>
      </c>
      <c r="H115" t="str" cm="1">
        <f t="array" aca="1" ref="H115" ca="1">IF('Raw Data'!H114="",_xlfn.REGEXEXTRACT(CELL("address",'Raw Data'!H114),"\$([A-Z]+)\$[0-9]+"),"")</f>
        <v>$H$114</v>
      </c>
      <c r="I115" t="str" cm="1">
        <f t="array" aca="1" ref="I115" ca="1">IF('Raw Data'!I114="",_xlfn.REGEXEXTRACT(CELL("address",'Raw Data'!I114),"\$([A-Z]+)\$[0-9]+"),"")</f>
        <v>$I$114</v>
      </c>
    </row>
    <row r="116" spans="2:9" x14ac:dyDescent="0.25">
      <c r="B116" t="str" cm="1">
        <f t="array" aca="1" ref="B116" ca="1">IF('Raw Data'!B115="",_xlfn.REGEXEXTRACT(CELL("address",'Raw Data'!B115),"\$([A-Z]+)\$[0-9]+"),"")</f>
        <v>$B$115</v>
      </c>
      <c r="C116" t="str" cm="1">
        <f t="array" aca="1" ref="C116" ca="1">IF('Raw Data'!C115="",_xlfn.REGEXEXTRACT(CELL("address",'Raw Data'!C115),"\$([A-Z]+)\$[0-9]+"),"")</f>
        <v>$C$115</v>
      </c>
      <c r="D116" t="str" cm="1">
        <f t="array" aca="1" ref="D116" ca="1">IF('Raw Data'!D115="",_xlfn.REGEXEXTRACT(CELL("address",'Raw Data'!D115),"\$([A-Z]+)\$[0-9]+"),"")</f>
        <v>$D$115</v>
      </c>
      <c r="E116" t="str" cm="1">
        <f t="array" aca="1" ref="E116" ca="1">IF('Raw Data'!E115="",_xlfn.REGEXEXTRACT(CELL("address",'Raw Data'!E115),"\$([A-Z]+)\$[0-9]+"),"")</f>
        <v>$E$115</v>
      </c>
      <c r="F116" t="str" cm="1">
        <f t="array" aca="1" ref="F116" ca="1">IF('Raw Data'!F115="",_xlfn.REGEXEXTRACT(CELL("address",'Raw Data'!F115),"\$([A-Z]+)\$[0-9]+"),"")</f>
        <v>$F$115</v>
      </c>
      <c r="G116" t="str" cm="1">
        <f t="array" aca="1" ref="G116" ca="1">IF('Raw Data'!G115="",_xlfn.REGEXEXTRACT(CELL("address",'Raw Data'!G115),"\$([A-Z]+)\$[0-9]+"),"")</f>
        <v>$G$115</v>
      </c>
      <c r="H116" t="str" cm="1">
        <f t="array" aca="1" ref="H116" ca="1">IF('Raw Data'!H115="",_xlfn.REGEXEXTRACT(CELL("address",'Raw Data'!H115),"\$([A-Z]+)\$[0-9]+"),"")</f>
        <v>$H$115</v>
      </c>
      <c r="I116" t="str" cm="1">
        <f t="array" aca="1" ref="I116" ca="1">IF('Raw Data'!I115="",_xlfn.REGEXEXTRACT(CELL("address",'Raw Data'!I115),"\$([A-Z]+)\$[0-9]+"),"")</f>
        <v>$I$115</v>
      </c>
    </row>
    <row r="117" spans="2:9" x14ac:dyDescent="0.25">
      <c r="B117" t="str" cm="1">
        <f t="array" aca="1" ref="B117" ca="1">IF('Raw Data'!B116="",_xlfn.REGEXEXTRACT(CELL("address",'Raw Data'!B116),"\$([A-Z]+)\$[0-9]+"),"")</f>
        <v>$B$116</v>
      </c>
      <c r="C117" t="str" cm="1">
        <f t="array" aca="1" ref="C117" ca="1">IF('Raw Data'!C116="",_xlfn.REGEXEXTRACT(CELL("address",'Raw Data'!C116),"\$([A-Z]+)\$[0-9]+"),"")</f>
        <v>$C$116</v>
      </c>
      <c r="D117" t="str" cm="1">
        <f t="array" aca="1" ref="D117" ca="1">IF('Raw Data'!D116="",_xlfn.REGEXEXTRACT(CELL("address",'Raw Data'!D116),"\$([A-Z]+)\$[0-9]+"),"")</f>
        <v>$D$116</v>
      </c>
      <c r="E117" t="str" cm="1">
        <f t="array" aca="1" ref="E117" ca="1">IF('Raw Data'!E116="",_xlfn.REGEXEXTRACT(CELL("address",'Raw Data'!E116),"\$([A-Z]+)\$[0-9]+"),"")</f>
        <v>$E$116</v>
      </c>
      <c r="F117" t="str" cm="1">
        <f t="array" aca="1" ref="F117" ca="1">IF('Raw Data'!F116="",_xlfn.REGEXEXTRACT(CELL("address",'Raw Data'!F116),"\$([A-Z]+)\$[0-9]+"),"")</f>
        <v>$F$116</v>
      </c>
      <c r="G117" t="str" cm="1">
        <f t="array" aca="1" ref="G117" ca="1">IF('Raw Data'!G116="",_xlfn.REGEXEXTRACT(CELL("address",'Raw Data'!G116),"\$([A-Z]+)\$[0-9]+"),"")</f>
        <v>$G$116</v>
      </c>
      <c r="H117" t="str" cm="1">
        <f t="array" aca="1" ref="H117" ca="1">IF('Raw Data'!H116="",_xlfn.REGEXEXTRACT(CELL("address",'Raw Data'!H116),"\$([A-Z]+)\$[0-9]+"),"")</f>
        <v>$H$116</v>
      </c>
      <c r="I117" t="str" cm="1">
        <f t="array" aca="1" ref="I117" ca="1">IF('Raw Data'!I116="",_xlfn.REGEXEXTRACT(CELL("address",'Raw Data'!I116),"\$([A-Z]+)\$[0-9]+"),"")</f>
        <v>$I$116</v>
      </c>
    </row>
    <row r="118" spans="2:9" x14ac:dyDescent="0.25">
      <c r="B118" t="str" cm="1">
        <f t="array" aca="1" ref="B118" ca="1">IF('Raw Data'!B117="",_xlfn.REGEXEXTRACT(CELL("address",'Raw Data'!B117),"\$([A-Z]+)\$[0-9]+"),"")</f>
        <v>$B$117</v>
      </c>
      <c r="C118" t="str" cm="1">
        <f t="array" aca="1" ref="C118" ca="1">IF('Raw Data'!C117="",_xlfn.REGEXEXTRACT(CELL("address",'Raw Data'!C117),"\$([A-Z]+)\$[0-9]+"),"")</f>
        <v>$C$117</v>
      </c>
      <c r="D118" t="str" cm="1">
        <f t="array" aca="1" ref="D118" ca="1">IF('Raw Data'!D117="",_xlfn.REGEXEXTRACT(CELL("address",'Raw Data'!D117),"\$([A-Z]+)\$[0-9]+"),"")</f>
        <v>$D$117</v>
      </c>
      <c r="E118" t="str" cm="1">
        <f t="array" aca="1" ref="E118" ca="1">IF('Raw Data'!E117="",_xlfn.REGEXEXTRACT(CELL("address",'Raw Data'!E117),"\$([A-Z]+)\$[0-9]+"),"")</f>
        <v>$E$117</v>
      </c>
      <c r="F118" t="str" cm="1">
        <f t="array" aca="1" ref="F118" ca="1">IF('Raw Data'!F117="",_xlfn.REGEXEXTRACT(CELL("address",'Raw Data'!F117),"\$([A-Z]+)\$[0-9]+"),"")</f>
        <v>$F$117</v>
      </c>
      <c r="G118" t="str" cm="1">
        <f t="array" aca="1" ref="G118" ca="1">IF('Raw Data'!G117="",_xlfn.REGEXEXTRACT(CELL("address",'Raw Data'!G117),"\$([A-Z]+)\$[0-9]+"),"")</f>
        <v>$G$117</v>
      </c>
      <c r="H118" t="str" cm="1">
        <f t="array" aca="1" ref="H118" ca="1">IF('Raw Data'!H117="",_xlfn.REGEXEXTRACT(CELL("address",'Raw Data'!H117),"\$([A-Z]+)\$[0-9]+"),"")</f>
        <v>$H$117</v>
      </c>
      <c r="I118" t="str" cm="1">
        <f t="array" aca="1" ref="I118" ca="1">IF('Raw Data'!I117="",_xlfn.REGEXEXTRACT(CELL("address",'Raw Data'!I117),"\$([A-Z]+)\$[0-9]+"),"")</f>
        <v>$I$117</v>
      </c>
    </row>
    <row r="119" spans="2:9" x14ac:dyDescent="0.25">
      <c r="B119" t="str" cm="1">
        <f t="array" aca="1" ref="B119" ca="1">IF('Raw Data'!B118="",_xlfn.REGEXEXTRACT(CELL("address",'Raw Data'!B118),"\$([A-Z]+)\$[0-9]+"),"")</f>
        <v>$B$118</v>
      </c>
      <c r="C119" t="str" cm="1">
        <f t="array" aca="1" ref="C119" ca="1">IF('Raw Data'!C118="",_xlfn.REGEXEXTRACT(CELL("address",'Raw Data'!C118),"\$([A-Z]+)\$[0-9]+"),"")</f>
        <v>$C$118</v>
      </c>
      <c r="D119" t="str" cm="1">
        <f t="array" aca="1" ref="D119" ca="1">IF('Raw Data'!D118="",_xlfn.REGEXEXTRACT(CELL("address",'Raw Data'!D118),"\$([A-Z]+)\$[0-9]+"),"")</f>
        <v>$D$118</v>
      </c>
      <c r="E119" t="str" cm="1">
        <f t="array" aca="1" ref="E119" ca="1">IF('Raw Data'!E118="",_xlfn.REGEXEXTRACT(CELL("address",'Raw Data'!E118),"\$([A-Z]+)\$[0-9]+"),"")</f>
        <v>$E$118</v>
      </c>
      <c r="F119" t="str" cm="1">
        <f t="array" aca="1" ref="F119" ca="1">IF('Raw Data'!F118="",_xlfn.REGEXEXTRACT(CELL("address",'Raw Data'!F118),"\$([A-Z]+)\$[0-9]+"),"")</f>
        <v>$F$118</v>
      </c>
      <c r="G119" t="str" cm="1">
        <f t="array" aca="1" ref="G119" ca="1">IF('Raw Data'!G118="",_xlfn.REGEXEXTRACT(CELL("address",'Raw Data'!G118),"\$([A-Z]+)\$[0-9]+"),"")</f>
        <v>$G$118</v>
      </c>
      <c r="H119" t="str" cm="1">
        <f t="array" aca="1" ref="H119" ca="1">IF('Raw Data'!H118="",_xlfn.REGEXEXTRACT(CELL("address",'Raw Data'!H118),"\$([A-Z]+)\$[0-9]+"),"")</f>
        <v>$H$118</v>
      </c>
      <c r="I119" t="str" cm="1">
        <f t="array" aca="1" ref="I119" ca="1">IF('Raw Data'!I118="",_xlfn.REGEXEXTRACT(CELL("address",'Raw Data'!I118),"\$([A-Z]+)\$[0-9]+"),"")</f>
        <v>$I$118</v>
      </c>
    </row>
    <row r="120" spans="2:9" x14ac:dyDescent="0.25">
      <c r="B120" t="str" cm="1">
        <f t="array" aca="1" ref="B120" ca="1">IF('Raw Data'!B119="",_xlfn.REGEXEXTRACT(CELL("address",'Raw Data'!B119),"\$([A-Z]+)\$[0-9]+"),"")</f>
        <v>$B$119</v>
      </c>
      <c r="C120" t="str" cm="1">
        <f t="array" aca="1" ref="C120" ca="1">IF('Raw Data'!C119="",_xlfn.REGEXEXTRACT(CELL("address",'Raw Data'!C119),"\$([A-Z]+)\$[0-9]+"),"")</f>
        <v>$C$119</v>
      </c>
      <c r="D120" t="str" cm="1">
        <f t="array" aca="1" ref="D120" ca="1">IF('Raw Data'!D119="",_xlfn.REGEXEXTRACT(CELL("address",'Raw Data'!D119),"\$([A-Z]+)\$[0-9]+"),"")</f>
        <v>$D$119</v>
      </c>
      <c r="E120" t="str" cm="1">
        <f t="array" aca="1" ref="E120" ca="1">IF('Raw Data'!E119="",_xlfn.REGEXEXTRACT(CELL("address",'Raw Data'!E119),"\$([A-Z]+)\$[0-9]+"),"")</f>
        <v>$E$119</v>
      </c>
      <c r="F120" t="str" cm="1">
        <f t="array" aca="1" ref="F120" ca="1">IF('Raw Data'!F119="",_xlfn.REGEXEXTRACT(CELL("address",'Raw Data'!F119),"\$([A-Z]+)\$[0-9]+"),"")</f>
        <v>$F$119</v>
      </c>
      <c r="G120" t="str" cm="1">
        <f t="array" aca="1" ref="G120" ca="1">IF('Raw Data'!G119="",_xlfn.REGEXEXTRACT(CELL("address",'Raw Data'!G119),"\$([A-Z]+)\$[0-9]+"),"")</f>
        <v>$G$119</v>
      </c>
      <c r="H120" t="str" cm="1">
        <f t="array" aca="1" ref="H120" ca="1">IF('Raw Data'!H119="",_xlfn.REGEXEXTRACT(CELL("address",'Raw Data'!H119),"\$([A-Z]+)\$[0-9]+"),"")</f>
        <v>$H$119</v>
      </c>
      <c r="I120" t="str" cm="1">
        <f t="array" aca="1" ref="I120" ca="1">IF('Raw Data'!I119="",_xlfn.REGEXEXTRACT(CELL("address",'Raw Data'!I119),"\$([A-Z]+)\$[0-9]+"),"")</f>
        <v>$I$119</v>
      </c>
    </row>
    <row r="121" spans="2:9" x14ac:dyDescent="0.25">
      <c r="B121" t="str" cm="1">
        <f t="array" aca="1" ref="B121" ca="1">IF('Raw Data'!B120="",_xlfn.REGEXEXTRACT(CELL("address",'Raw Data'!B120),"\$([A-Z]+)\$[0-9]+"),"")</f>
        <v>$B$120</v>
      </c>
      <c r="C121" t="str" cm="1">
        <f t="array" aca="1" ref="C121" ca="1">IF('Raw Data'!C120="",_xlfn.REGEXEXTRACT(CELL("address",'Raw Data'!C120),"\$([A-Z]+)\$[0-9]+"),"")</f>
        <v>$C$120</v>
      </c>
      <c r="D121" t="str" cm="1">
        <f t="array" aca="1" ref="D121" ca="1">IF('Raw Data'!D120="",_xlfn.REGEXEXTRACT(CELL("address",'Raw Data'!D120),"\$([A-Z]+)\$[0-9]+"),"")</f>
        <v>$D$120</v>
      </c>
      <c r="E121" t="str" cm="1">
        <f t="array" aca="1" ref="E121" ca="1">IF('Raw Data'!E120="",_xlfn.REGEXEXTRACT(CELL("address",'Raw Data'!E120),"\$([A-Z]+)\$[0-9]+"),"")</f>
        <v>$E$120</v>
      </c>
      <c r="F121" t="str" cm="1">
        <f t="array" aca="1" ref="F121" ca="1">IF('Raw Data'!F120="",_xlfn.REGEXEXTRACT(CELL("address",'Raw Data'!F120),"\$([A-Z]+)\$[0-9]+"),"")</f>
        <v>$F$120</v>
      </c>
      <c r="G121" t="str" cm="1">
        <f t="array" aca="1" ref="G121" ca="1">IF('Raw Data'!G120="",_xlfn.REGEXEXTRACT(CELL("address",'Raw Data'!G120),"\$([A-Z]+)\$[0-9]+"),"")</f>
        <v>$G$120</v>
      </c>
      <c r="H121" t="str" cm="1">
        <f t="array" aca="1" ref="H121" ca="1">IF('Raw Data'!H120="",_xlfn.REGEXEXTRACT(CELL("address",'Raw Data'!H120),"\$([A-Z]+)\$[0-9]+"),"")</f>
        <v>$H$120</v>
      </c>
      <c r="I121" t="str" cm="1">
        <f t="array" aca="1" ref="I121" ca="1">IF('Raw Data'!I120="",_xlfn.REGEXEXTRACT(CELL("address",'Raw Data'!I120),"\$([A-Z]+)\$[0-9]+"),"")</f>
        <v>$I$120</v>
      </c>
    </row>
    <row r="122" spans="2:9" x14ac:dyDescent="0.25">
      <c r="B122" t="str" cm="1">
        <f t="array" aca="1" ref="B122" ca="1">IF('Raw Data'!B121="",_xlfn.REGEXEXTRACT(CELL("address",'Raw Data'!B121),"\$([A-Z]+)\$[0-9]+"),"")</f>
        <v>$B$121</v>
      </c>
      <c r="C122" t="str" cm="1">
        <f t="array" aca="1" ref="C122" ca="1">IF('Raw Data'!C121="",_xlfn.REGEXEXTRACT(CELL("address",'Raw Data'!C121),"\$([A-Z]+)\$[0-9]+"),"")</f>
        <v>$C$121</v>
      </c>
      <c r="D122" t="str" cm="1">
        <f t="array" aca="1" ref="D122" ca="1">IF('Raw Data'!D121="",_xlfn.REGEXEXTRACT(CELL("address",'Raw Data'!D121),"\$([A-Z]+)\$[0-9]+"),"")</f>
        <v>$D$121</v>
      </c>
      <c r="E122" t="str" cm="1">
        <f t="array" aca="1" ref="E122" ca="1">IF('Raw Data'!E121="",_xlfn.REGEXEXTRACT(CELL("address",'Raw Data'!E121),"\$([A-Z]+)\$[0-9]+"),"")</f>
        <v>$E$121</v>
      </c>
      <c r="F122" t="str" cm="1">
        <f t="array" aca="1" ref="F122" ca="1">IF('Raw Data'!F121="",_xlfn.REGEXEXTRACT(CELL("address",'Raw Data'!F121),"\$([A-Z]+)\$[0-9]+"),"")</f>
        <v>$F$121</v>
      </c>
      <c r="G122" t="str" cm="1">
        <f t="array" aca="1" ref="G122" ca="1">IF('Raw Data'!G121="",_xlfn.REGEXEXTRACT(CELL("address",'Raw Data'!G121),"\$([A-Z]+)\$[0-9]+"),"")</f>
        <v>$G$121</v>
      </c>
      <c r="H122" t="str" cm="1">
        <f t="array" aca="1" ref="H122" ca="1">IF('Raw Data'!H121="",_xlfn.REGEXEXTRACT(CELL("address",'Raw Data'!H121),"\$([A-Z]+)\$[0-9]+"),"")</f>
        <v>$H$121</v>
      </c>
      <c r="I122" t="str" cm="1">
        <f t="array" aca="1" ref="I122" ca="1">IF('Raw Data'!I121="",_xlfn.REGEXEXTRACT(CELL("address",'Raw Data'!I121),"\$([A-Z]+)\$[0-9]+"),"")</f>
        <v>$I$121</v>
      </c>
    </row>
    <row r="123" spans="2:9" x14ac:dyDescent="0.25">
      <c r="B123" t="str" cm="1">
        <f t="array" aca="1" ref="B123" ca="1">IF('Raw Data'!B122="",_xlfn.REGEXEXTRACT(CELL("address",'Raw Data'!B122),"\$([A-Z]+)\$[0-9]+"),"")</f>
        <v>$B$122</v>
      </c>
      <c r="C123" t="str" cm="1">
        <f t="array" aca="1" ref="C123" ca="1">IF('Raw Data'!C122="",_xlfn.REGEXEXTRACT(CELL("address",'Raw Data'!C122),"\$([A-Z]+)\$[0-9]+"),"")</f>
        <v>$C$122</v>
      </c>
      <c r="D123" t="str" cm="1">
        <f t="array" aca="1" ref="D123" ca="1">IF('Raw Data'!D122="",_xlfn.REGEXEXTRACT(CELL("address",'Raw Data'!D122),"\$([A-Z]+)\$[0-9]+"),"")</f>
        <v>$D$122</v>
      </c>
      <c r="E123" t="str" cm="1">
        <f t="array" aca="1" ref="E123" ca="1">IF('Raw Data'!E122="",_xlfn.REGEXEXTRACT(CELL("address",'Raw Data'!E122),"\$([A-Z]+)\$[0-9]+"),"")</f>
        <v>$E$122</v>
      </c>
      <c r="F123" t="str" cm="1">
        <f t="array" aca="1" ref="F123" ca="1">IF('Raw Data'!F122="",_xlfn.REGEXEXTRACT(CELL("address",'Raw Data'!F122),"\$([A-Z]+)\$[0-9]+"),"")</f>
        <v>$F$122</v>
      </c>
      <c r="G123" t="str" cm="1">
        <f t="array" aca="1" ref="G123" ca="1">IF('Raw Data'!G122="",_xlfn.REGEXEXTRACT(CELL("address",'Raw Data'!G122),"\$([A-Z]+)\$[0-9]+"),"")</f>
        <v>$G$122</v>
      </c>
      <c r="H123" t="str" cm="1">
        <f t="array" aca="1" ref="H123" ca="1">IF('Raw Data'!H122="",_xlfn.REGEXEXTRACT(CELL("address",'Raw Data'!H122),"\$([A-Z]+)\$[0-9]+"),"")</f>
        <v>$H$122</v>
      </c>
      <c r="I123" t="str" cm="1">
        <f t="array" aca="1" ref="I123" ca="1">IF('Raw Data'!I122="",_xlfn.REGEXEXTRACT(CELL("address",'Raw Data'!I122),"\$([A-Z]+)\$[0-9]+"),"")</f>
        <v>$I$122</v>
      </c>
    </row>
    <row r="124" spans="2:9" x14ac:dyDescent="0.25">
      <c r="B124" t="str" cm="1">
        <f t="array" aca="1" ref="B124" ca="1">IF('Raw Data'!B123="",_xlfn.REGEXEXTRACT(CELL("address",'Raw Data'!B123),"\$([A-Z]+)\$[0-9]+"),"")</f>
        <v>$B$123</v>
      </c>
      <c r="C124" t="str" cm="1">
        <f t="array" aca="1" ref="C124" ca="1">IF('Raw Data'!C123="",_xlfn.REGEXEXTRACT(CELL("address",'Raw Data'!C123),"\$([A-Z]+)\$[0-9]+"),"")</f>
        <v>$C$123</v>
      </c>
      <c r="D124" t="str" cm="1">
        <f t="array" aca="1" ref="D124" ca="1">IF('Raw Data'!D123="",_xlfn.REGEXEXTRACT(CELL("address",'Raw Data'!D123),"\$([A-Z]+)\$[0-9]+"),"")</f>
        <v>$D$123</v>
      </c>
      <c r="E124" t="str" cm="1">
        <f t="array" aca="1" ref="E124" ca="1">IF('Raw Data'!E123="",_xlfn.REGEXEXTRACT(CELL("address",'Raw Data'!E123),"\$([A-Z]+)\$[0-9]+"),"")</f>
        <v>$E$123</v>
      </c>
      <c r="F124" t="str" cm="1">
        <f t="array" aca="1" ref="F124" ca="1">IF('Raw Data'!F123="",_xlfn.REGEXEXTRACT(CELL("address",'Raw Data'!F123),"\$([A-Z]+)\$[0-9]+"),"")</f>
        <v>$F$123</v>
      </c>
      <c r="G124" t="str" cm="1">
        <f t="array" aca="1" ref="G124" ca="1">IF('Raw Data'!G123="",_xlfn.REGEXEXTRACT(CELL("address",'Raw Data'!G123),"\$([A-Z]+)\$[0-9]+"),"")</f>
        <v>$G$123</v>
      </c>
      <c r="H124" t="str" cm="1">
        <f t="array" aca="1" ref="H124" ca="1">IF('Raw Data'!H123="",_xlfn.REGEXEXTRACT(CELL("address",'Raw Data'!H123),"\$([A-Z]+)\$[0-9]+"),"")</f>
        <v>$H$123</v>
      </c>
      <c r="I124" t="str" cm="1">
        <f t="array" aca="1" ref="I124" ca="1">IF('Raw Data'!I123="",_xlfn.REGEXEXTRACT(CELL("address",'Raw Data'!I123),"\$([A-Z]+)\$[0-9]+"),"")</f>
        <v>$I$123</v>
      </c>
    </row>
    <row r="125" spans="2:9" x14ac:dyDescent="0.25">
      <c r="B125" t="str" cm="1">
        <f t="array" aca="1" ref="B125" ca="1">IF('Raw Data'!B124="",_xlfn.REGEXEXTRACT(CELL("address",'Raw Data'!B124),"\$([A-Z]+)\$[0-9]+"),"")</f>
        <v>$B$124</v>
      </c>
      <c r="C125" t="str" cm="1">
        <f t="array" aca="1" ref="C125" ca="1">IF('Raw Data'!C124="",_xlfn.REGEXEXTRACT(CELL("address",'Raw Data'!C124),"\$([A-Z]+)\$[0-9]+"),"")</f>
        <v>$C$124</v>
      </c>
      <c r="D125" t="str" cm="1">
        <f t="array" aca="1" ref="D125" ca="1">IF('Raw Data'!D124="",_xlfn.REGEXEXTRACT(CELL("address",'Raw Data'!D124),"\$([A-Z]+)\$[0-9]+"),"")</f>
        <v>$D$124</v>
      </c>
      <c r="E125" t="str" cm="1">
        <f t="array" aca="1" ref="E125" ca="1">IF('Raw Data'!E124="",_xlfn.REGEXEXTRACT(CELL("address",'Raw Data'!E124),"\$([A-Z]+)\$[0-9]+"),"")</f>
        <v>$E$124</v>
      </c>
      <c r="F125" t="str" cm="1">
        <f t="array" aca="1" ref="F125" ca="1">IF('Raw Data'!F124="",_xlfn.REGEXEXTRACT(CELL("address",'Raw Data'!F124),"\$([A-Z]+)\$[0-9]+"),"")</f>
        <v>$F$124</v>
      </c>
      <c r="G125" t="str" cm="1">
        <f t="array" aca="1" ref="G125" ca="1">IF('Raw Data'!G124="",_xlfn.REGEXEXTRACT(CELL("address",'Raw Data'!G124),"\$([A-Z]+)\$[0-9]+"),"")</f>
        <v>$G$124</v>
      </c>
      <c r="H125" t="str" cm="1">
        <f t="array" aca="1" ref="H125" ca="1">IF('Raw Data'!H124="",_xlfn.REGEXEXTRACT(CELL("address",'Raw Data'!H124),"\$([A-Z]+)\$[0-9]+"),"")</f>
        <v>$H$124</v>
      </c>
      <c r="I125" t="str" cm="1">
        <f t="array" aca="1" ref="I125" ca="1">IF('Raw Data'!I124="",_xlfn.REGEXEXTRACT(CELL("address",'Raw Data'!I124),"\$([A-Z]+)\$[0-9]+"),"")</f>
        <v>$I$124</v>
      </c>
    </row>
    <row r="126" spans="2:9" x14ac:dyDescent="0.25">
      <c r="B126" t="str" cm="1">
        <f t="array" aca="1" ref="B126" ca="1">IF('Raw Data'!B125="",_xlfn.REGEXEXTRACT(CELL("address",'Raw Data'!B125),"\$([A-Z]+)\$[0-9]+"),"")</f>
        <v>$B$125</v>
      </c>
      <c r="C126" t="str" cm="1">
        <f t="array" aca="1" ref="C126" ca="1">IF('Raw Data'!C125="",_xlfn.REGEXEXTRACT(CELL("address",'Raw Data'!C125),"\$([A-Z]+)\$[0-9]+"),"")</f>
        <v>$C$125</v>
      </c>
      <c r="D126" t="str" cm="1">
        <f t="array" aca="1" ref="D126" ca="1">IF('Raw Data'!D125="",_xlfn.REGEXEXTRACT(CELL("address",'Raw Data'!D125),"\$([A-Z]+)\$[0-9]+"),"")</f>
        <v>$D$125</v>
      </c>
      <c r="E126" t="str" cm="1">
        <f t="array" aca="1" ref="E126" ca="1">IF('Raw Data'!E125="",_xlfn.REGEXEXTRACT(CELL("address",'Raw Data'!E125),"\$([A-Z]+)\$[0-9]+"),"")</f>
        <v>$E$125</v>
      </c>
      <c r="F126" t="str" cm="1">
        <f t="array" aca="1" ref="F126" ca="1">IF('Raw Data'!F125="",_xlfn.REGEXEXTRACT(CELL("address",'Raw Data'!F125),"\$([A-Z]+)\$[0-9]+"),"")</f>
        <v>$F$125</v>
      </c>
      <c r="G126" t="str" cm="1">
        <f t="array" aca="1" ref="G126" ca="1">IF('Raw Data'!G125="",_xlfn.REGEXEXTRACT(CELL("address",'Raw Data'!G125),"\$([A-Z]+)\$[0-9]+"),"")</f>
        <v>$G$125</v>
      </c>
      <c r="H126" t="str" cm="1">
        <f t="array" aca="1" ref="H126" ca="1">IF('Raw Data'!H125="",_xlfn.REGEXEXTRACT(CELL("address",'Raw Data'!H125),"\$([A-Z]+)\$[0-9]+"),"")</f>
        <v>$H$125</v>
      </c>
      <c r="I126" t="str" cm="1">
        <f t="array" aca="1" ref="I126" ca="1">IF('Raw Data'!I125="",_xlfn.REGEXEXTRACT(CELL("address",'Raw Data'!I125),"\$([A-Z]+)\$[0-9]+"),"")</f>
        <v>$I$125</v>
      </c>
    </row>
    <row r="127" spans="2:9" x14ac:dyDescent="0.25">
      <c r="B127" t="str" cm="1">
        <f t="array" aca="1" ref="B127" ca="1">IF('Raw Data'!B126="",_xlfn.REGEXEXTRACT(CELL("address",'Raw Data'!B126),"\$([A-Z]+)\$[0-9]+"),"")</f>
        <v>$B$126</v>
      </c>
      <c r="C127" t="str" cm="1">
        <f t="array" aca="1" ref="C127" ca="1">IF('Raw Data'!C126="",_xlfn.REGEXEXTRACT(CELL("address",'Raw Data'!C126),"\$([A-Z]+)\$[0-9]+"),"")</f>
        <v>$C$126</v>
      </c>
      <c r="D127" t="str" cm="1">
        <f t="array" aca="1" ref="D127" ca="1">IF('Raw Data'!D126="",_xlfn.REGEXEXTRACT(CELL("address",'Raw Data'!D126),"\$([A-Z]+)\$[0-9]+"),"")</f>
        <v>$D$126</v>
      </c>
      <c r="E127" t="str" cm="1">
        <f t="array" aca="1" ref="E127" ca="1">IF('Raw Data'!E126="",_xlfn.REGEXEXTRACT(CELL("address",'Raw Data'!E126),"\$([A-Z]+)\$[0-9]+"),"")</f>
        <v>$E$126</v>
      </c>
      <c r="F127" t="str" cm="1">
        <f t="array" aca="1" ref="F127" ca="1">IF('Raw Data'!F126="",_xlfn.REGEXEXTRACT(CELL("address",'Raw Data'!F126),"\$([A-Z]+)\$[0-9]+"),"")</f>
        <v>$F$126</v>
      </c>
      <c r="G127" t="str" cm="1">
        <f t="array" aca="1" ref="G127" ca="1">IF('Raw Data'!G126="",_xlfn.REGEXEXTRACT(CELL("address",'Raw Data'!G126),"\$([A-Z]+)\$[0-9]+"),"")</f>
        <v>$G$126</v>
      </c>
      <c r="H127" t="str" cm="1">
        <f t="array" aca="1" ref="H127" ca="1">IF('Raw Data'!H126="",_xlfn.REGEXEXTRACT(CELL("address",'Raw Data'!H126),"\$([A-Z]+)\$[0-9]+"),"")</f>
        <v>$H$126</v>
      </c>
      <c r="I127" t="str" cm="1">
        <f t="array" aca="1" ref="I127" ca="1">IF('Raw Data'!I126="",_xlfn.REGEXEXTRACT(CELL("address",'Raw Data'!I126),"\$([A-Z]+)\$[0-9]+"),"")</f>
        <v>$I$126</v>
      </c>
    </row>
    <row r="128" spans="2:9" x14ac:dyDescent="0.25">
      <c r="B128" t="str" cm="1">
        <f t="array" aca="1" ref="B128" ca="1">IF('Raw Data'!B127="",_xlfn.REGEXEXTRACT(CELL("address",'Raw Data'!B127),"\$([A-Z]+)\$[0-9]+"),"")</f>
        <v>$B$127</v>
      </c>
      <c r="C128" t="str" cm="1">
        <f t="array" aca="1" ref="C128" ca="1">IF('Raw Data'!C127="",_xlfn.REGEXEXTRACT(CELL("address",'Raw Data'!C127),"\$([A-Z]+)\$[0-9]+"),"")</f>
        <v>$C$127</v>
      </c>
      <c r="D128" t="str" cm="1">
        <f t="array" aca="1" ref="D128" ca="1">IF('Raw Data'!D127="",_xlfn.REGEXEXTRACT(CELL("address",'Raw Data'!D127),"\$([A-Z]+)\$[0-9]+"),"")</f>
        <v>$D$127</v>
      </c>
      <c r="E128" t="str" cm="1">
        <f t="array" aca="1" ref="E128" ca="1">IF('Raw Data'!E127="",_xlfn.REGEXEXTRACT(CELL("address",'Raw Data'!E127),"\$([A-Z]+)\$[0-9]+"),"")</f>
        <v>$E$127</v>
      </c>
      <c r="F128" t="str" cm="1">
        <f t="array" aca="1" ref="F128" ca="1">IF('Raw Data'!F127="",_xlfn.REGEXEXTRACT(CELL("address",'Raw Data'!F127),"\$([A-Z]+)\$[0-9]+"),"")</f>
        <v>$F$127</v>
      </c>
      <c r="G128" t="str" cm="1">
        <f t="array" aca="1" ref="G128" ca="1">IF('Raw Data'!G127="",_xlfn.REGEXEXTRACT(CELL("address",'Raw Data'!G127),"\$([A-Z]+)\$[0-9]+"),"")</f>
        <v>$G$127</v>
      </c>
      <c r="H128" t="str" cm="1">
        <f t="array" aca="1" ref="H128" ca="1">IF('Raw Data'!H127="",_xlfn.REGEXEXTRACT(CELL("address",'Raw Data'!H127),"\$([A-Z]+)\$[0-9]+"),"")</f>
        <v>$H$127</v>
      </c>
      <c r="I128" t="str" cm="1">
        <f t="array" aca="1" ref="I128" ca="1">IF('Raw Data'!I127="",_xlfn.REGEXEXTRACT(CELL("address",'Raw Data'!I127),"\$([A-Z]+)\$[0-9]+"),"")</f>
        <v>$I$127</v>
      </c>
    </row>
    <row r="129" spans="2:9" x14ac:dyDescent="0.25">
      <c r="B129" t="str" cm="1">
        <f t="array" aca="1" ref="B129" ca="1">IF('Raw Data'!B128="",_xlfn.REGEXEXTRACT(CELL("address",'Raw Data'!B128),"\$([A-Z]+)\$[0-9]+"),"")</f>
        <v>$B$128</v>
      </c>
      <c r="C129" t="str" cm="1">
        <f t="array" aca="1" ref="C129" ca="1">IF('Raw Data'!C128="",_xlfn.REGEXEXTRACT(CELL("address",'Raw Data'!C128),"\$([A-Z]+)\$[0-9]+"),"")</f>
        <v>$C$128</v>
      </c>
      <c r="D129" t="str" cm="1">
        <f t="array" aca="1" ref="D129" ca="1">IF('Raw Data'!D128="",_xlfn.REGEXEXTRACT(CELL("address",'Raw Data'!D128),"\$([A-Z]+)\$[0-9]+"),"")</f>
        <v>$D$128</v>
      </c>
      <c r="E129" t="str" cm="1">
        <f t="array" aca="1" ref="E129" ca="1">IF('Raw Data'!E128="",_xlfn.REGEXEXTRACT(CELL("address",'Raw Data'!E128),"\$([A-Z]+)\$[0-9]+"),"")</f>
        <v>$E$128</v>
      </c>
      <c r="F129" t="str" cm="1">
        <f t="array" aca="1" ref="F129" ca="1">IF('Raw Data'!F128="",_xlfn.REGEXEXTRACT(CELL("address",'Raw Data'!F128),"\$([A-Z]+)\$[0-9]+"),"")</f>
        <v>$F$128</v>
      </c>
      <c r="G129" t="str" cm="1">
        <f t="array" aca="1" ref="G129" ca="1">IF('Raw Data'!G128="",_xlfn.REGEXEXTRACT(CELL("address",'Raw Data'!G128),"\$([A-Z]+)\$[0-9]+"),"")</f>
        <v>$G$128</v>
      </c>
      <c r="H129" t="str" cm="1">
        <f t="array" aca="1" ref="H129" ca="1">IF('Raw Data'!H128="",_xlfn.REGEXEXTRACT(CELL("address",'Raw Data'!H128),"\$([A-Z]+)\$[0-9]+"),"")</f>
        <v>$H$128</v>
      </c>
      <c r="I129" t="str" cm="1">
        <f t="array" aca="1" ref="I129" ca="1">IF('Raw Data'!I128="",_xlfn.REGEXEXTRACT(CELL("address",'Raw Data'!I128),"\$([A-Z]+)\$[0-9]+"),"")</f>
        <v>$I$128</v>
      </c>
    </row>
    <row r="130" spans="2:9" x14ac:dyDescent="0.25">
      <c r="B130" t="str" cm="1">
        <f t="array" aca="1" ref="B130" ca="1">IF('Raw Data'!B129="",_xlfn.REGEXEXTRACT(CELL("address",'Raw Data'!B129),"\$([A-Z]+)\$[0-9]+"),"")</f>
        <v>$B$129</v>
      </c>
      <c r="C130" t="str" cm="1">
        <f t="array" aca="1" ref="C130" ca="1">IF('Raw Data'!C129="",_xlfn.REGEXEXTRACT(CELL("address",'Raw Data'!C129),"\$([A-Z]+)\$[0-9]+"),"")</f>
        <v>$C$129</v>
      </c>
      <c r="D130" t="str" cm="1">
        <f t="array" aca="1" ref="D130" ca="1">IF('Raw Data'!D129="",_xlfn.REGEXEXTRACT(CELL("address",'Raw Data'!D129),"\$([A-Z]+)\$[0-9]+"),"")</f>
        <v>$D$129</v>
      </c>
      <c r="E130" t="str" cm="1">
        <f t="array" aca="1" ref="E130" ca="1">IF('Raw Data'!E129="",_xlfn.REGEXEXTRACT(CELL("address",'Raw Data'!E129),"\$([A-Z]+)\$[0-9]+"),"")</f>
        <v>$E$129</v>
      </c>
      <c r="F130" t="str" cm="1">
        <f t="array" aca="1" ref="F130" ca="1">IF('Raw Data'!F129="",_xlfn.REGEXEXTRACT(CELL("address",'Raw Data'!F129),"\$([A-Z]+)\$[0-9]+"),"")</f>
        <v>$F$129</v>
      </c>
      <c r="G130" t="str" cm="1">
        <f t="array" aca="1" ref="G130" ca="1">IF('Raw Data'!G129="",_xlfn.REGEXEXTRACT(CELL("address",'Raw Data'!G129),"\$([A-Z]+)\$[0-9]+"),"")</f>
        <v>$G$129</v>
      </c>
      <c r="H130" t="str" cm="1">
        <f t="array" aca="1" ref="H130" ca="1">IF('Raw Data'!H129="",_xlfn.REGEXEXTRACT(CELL("address",'Raw Data'!H129),"\$([A-Z]+)\$[0-9]+"),"")</f>
        <v>$H$129</v>
      </c>
      <c r="I130" t="str" cm="1">
        <f t="array" aca="1" ref="I130" ca="1">IF('Raw Data'!I129="",_xlfn.REGEXEXTRACT(CELL("address",'Raw Data'!I129),"\$([A-Z]+)\$[0-9]+"),"")</f>
        <v>$I$129</v>
      </c>
    </row>
    <row r="131" spans="2:9" x14ac:dyDescent="0.25">
      <c r="B131" t="str" cm="1">
        <f t="array" aca="1" ref="B131" ca="1">IF('Raw Data'!B130="",_xlfn.REGEXEXTRACT(CELL("address",'Raw Data'!B130),"\$([A-Z]+)\$[0-9]+"),"")</f>
        <v>$B$130</v>
      </c>
      <c r="C131" t="str" cm="1">
        <f t="array" aca="1" ref="C131" ca="1">IF('Raw Data'!C130="",_xlfn.REGEXEXTRACT(CELL("address",'Raw Data'!C130),"\$([A-Z]+)\$[0-9]+"),"")</f>
        <v>$C$130</v>
      </c>
      <c r="D131" t="str" cm="1">
        <f t="array" aca="1" ref="D131" ca="1">IF('Raw Data'!D130="",_xlfn.REGEXEXTRACT(CELL("address",'Raw Data'!D130),"\$([A-Z]+)\$[0-9]+"),"")</f>
        <v>$D$130</v>
      </c>
      <c r="E131" t="str" cm="1">
        <f t="array" aca="1" ref="E131" ca="1">IF('Raw Data'!E130="",_xlfn.REGEXEXTRACT(CELL("address",'Raw Data'!E130),"\$([A-Z]+)\$[0-9]+"),"")</f>
        <v>$E$130</v>
      </c>
      <c r="F131" t="str" cm="1">
        <f t="array" aca="1" ref="F131" ca="1">IF('Raw Data'!F130="",_xlfn.REGEXEXTRACT(CELL("address",'Raw Data'!F130),"\$([A-Z]+)\$[0-9]+"),"")</f>
        <v>$F$130</v>
      </c>
      <c r="G131" t="str" cm="1">
        <f t="array" aca="1" ref="G131" ca="1">IF('Raw Data'!G130="",_xlfn.REGEXEXTRACT(CELL("address",'Raw Data'!G130),"\$([A-Z]+)\$[0-9]+"),"")</f>
        <v>$G$130</v>
      </c>
      <c r="H131" t="str" cm="1">
        <f t="array" aca="1" ref="H131" ca="1">IF('Raw Data'!H130="",_xlfn.REGEXEXTRACT(CELL("address",'Raw Data'!H130),"\$([A-Z]+)\$[0-9]+"),"")</f>
        <v>$H$130</v>
      </c>
      <c r="I131" t="str" cm="1">
        <f t="array" aca="1" ref="I131" ca="1">IF('Raw Data'!I130="",_xlfn.REGEXEXTRACT(CELL("address",'Raw Data'!I130),"\$([A-Z]+)\$[0-9]+"),"")</f>
        <v>$I$130</v>
      </c>
    </row>
    <row r="132" spans="2:9" x14ac:dyDescent="0.25">
      <c r="B132" t="str" cm="1">
        <f t="array" aca="1" ref="B132" ca="1">IF('Raw Data'!B131="",_xlfn.REGEXEXTRACT(CELL("address",'Raw Data'!B131),"\$([A-Z]+)\$[0-9]+"),"")</f>
        <v>$B$131</v>
      </c>
      <c r="C132" t="str" cm="1">
        <f t="array" aca="1" ref="C132" ca="1">IF('Raw Data'!C131="",_xlfn.REGEXEXTRACT(CELL("address",'Raw Data'!C131),"\$([A-Z]+)\$[0-9]+"),"")</f>
        <v>$C$131</v>
      </c>
      <c r="D132" t="str" cm="1">
        <f t="array" aca="1" ref="D132" ca="1">IF('Raw Data'!D131="",_xlfn.REGEXEXTRACT(CELL("address",'Raw Data'!D131),"\$([A-Z]+)\$[0-9]+"),"")</f>
        <v>$D$131</v>
      </c>
      <c r="E132" t="str" cm="1">
        <f t="array" aca="1" ref="E132" ca="1">IF('Raw Data'!E131="",_xlfn.REGEXEXTRACT(CELL("address",'Raw Data'!E131),"\$([A-Z]+)\$[0-9]+"),"")</f>
        <v>$E$131</v>
      </c>
      <c r="F132" t="str" cm="1">
        <f t="array" aca="1" ref="F132" ca="1">IF('Raw Data'!F131="",_xlfn.REGEXEXTRACT(CELL("address",'Raw Data'!F131),"\$([A-Z]+)\$[0-9]+"),"")</f>
        <v>$F$131</v>
      </c>
      <c r="G132" t="str" cm="1">
        <f t="array" aca="1" ref="G132" ca="1">IF('Raw Data'!G131="",_xlfn.REGEXEXTRACT(CELL("address",'Raw Data'!G131),"\$([A-Z]+)\$[0-9]+"),"")</f>
        <v>$G$131</v>
      </c>
      <c r="H132" t="str" cm="1">
        <f t="array" aca="1" ref="H132" ca="1">IF('Raw Data'!H131="",_xlfn.REGEXEXTRACT(CELL("address",'Raw Data'!H131),"\$([A-Z]+)\$[0-9]+"),"")</f>
        <v>$H$131</v>
      </c>
      <c r="I132" t="str" cm="1">
        <f t="array" aca="1" ref="I132" ca="1">IF('Raw Data'!I131="",_xlfn.REGEXEXTRACT(CELL("address",'Raw Data'!I131),"\$([A-Z]+)\$[0-9]+"),"")</f>
        <v>$I$131</v>
      </c>
    </row>
    <row r="133" spans="2:9" x14ac:dyDescent="0.25">
      <c r="B133" t="str" cm="1">
        <f t="array" aca="1" ref="B133" ca="1">IF('Raw Data'!B132="",_xlfn.REGEXEXTRACT(CELL("address",'Raw Data'!B132),"\$([A-Z]+)\$[0-9]+"),"")</f>
        <v>$B$132</v>
      </c>
      <c r="C133" t="str" cm="1">
        <f t="array" aca="1" ref="C133" ca="1">IF('Raw Data'!C132="",_xlfn.REGEXEXTRACT(CELL("address",'Raw Data'!C132),"\$([A-Z]+)\$[0-9]+"),"")</f>
        <v>$C$132</v>
      </c>
      <c r="D133" t="str" cm="1">
        <f t="array" aca="1" ref="D133" ca="1">IF('Raw Data'!D132="",_xlfn.REGEXEXTRACT(CELL("address",'Raw Data'!D132),"\$([A-Z]+)\$[0-9]+"),"")</f>
        <v>$D$132</v>
      </c>
      <c r="E133" t="str" cm="1">
        <f t="array" aca="1" ref="E133" ca="1">IF('Raw Data'!E132="",_xlfn.REGEXEXTRACT(CELL("address",'Raw Data'!E132),"\$([A-Z]+)\$[0-9]+"),"")</f>
        <v>$E$132</v>
      </c>
      <c r="F133" t="str" cm="1">
        <f t="array" aca="1" ref="F133" ca="1">IF('Raw Data'!F132="",_xlfn.REGEXEXTRACT(CELL("address",'Raw Data'!F132),"\$([A-Z]+)\$[0-9]+"),"")</f>
        <v>$F$132</v>
      </c>
      <c r="G133" t="str" cm="1">
        <f t="array" aca="1" ref="G133" ca="1">IF('Raw Data'!G132="",_xlfn.REGEXEXTRACT(CELL("address",'Raw Data'!G132),"\$([A-Z]+)\$[0-9]+"),"")</f>
        <v>$G$132</v>
      </c>
      <c r="H133" t="str" cm="1">
        <f t="array" aca="1" ref="H133" ca="1">IF('Raw Data'!H132="",_xlfn.REGEXEXTRACT(CELL("address",'Raw Data'!H132),"\$([A-Z]+)\$[0-9]+"),"")</f>
        <v>$H$132</v>
      </c>
      <c r="I133" t="str" cm="1">
        <f t="array" aca="1" ref="I133" ca="1">IF('Raw Data'!I132="",_xlfn.REGEXEXTRACT(CELL("address",'Raw Data'!I132),"\$([A-Z]+)\$[0-9]+"),"")</f>
        <v>$I$132</v>
      </c>
    </row>
    <row r="134" spans="2:9" x14ac:dyDescent="0.25">
      <c r="B134" t="str" cm="1">
        <f t="array" aca="1" ref="B134" ca="1">IF('Raw Data'!B133="",_xlfn.REGEXEXTRACT(CELL("address",'Raw Data'!B133),"\$([A-Z]+)\$[0-9]+"),"")</f>
        <v>$B$133</v>
      </c>
      <c r="C134" t="str" cm="1">
        <f t="array" aca="1" ref="C134" ca="1">IF('Raw Data'!C133="",_xlfn.REGEXEXTRACT(CELL("address",'Raw Data'!C133),"\$([A-Z]+)\$[0-9]+"),"")</f>
        <v>$C$133</v>
      </c>
      <c r="D134" t="str" cm="1">
        <f t="array" aca="1" ref="D134" ca="1">IF('Raw Data'!D133="",_xlfn.REGEXEXTRACT(CELL("address",'Raw Data'!D133),"\$([A-Z]+)\$[0-9]+"),"")</f>
        <v>$D$133</v>
      </c>
      <c r="E134" t="str" cm="1">
        <f t="array" aca="1" ref="E134" ca="1">IF('Raw Data'!E133="",_xlfn.REGEXEXTRACT(CELL("address",'Raw Data'!E133),"\$([A-Z]+)\$[0-9]+"),"")</f>
        <v>$E$133</v>
      </c>
      <c r="F134" t="str" cm="1">
        <f t="array" aca="1" ref="F134" ca="1">IF('Raw Data'!F133="",_xlfn.REGEXEXTRACT(CELL("address",'Raw Data'!F133),"\$([A-Z]+)\$[0-9]+"),"")</f>
        <v>$F$133</v>
      </c>
      <c r="G134" t="str" cm="1">
        <f t="array" aca="1" ref="G134" ca="1">IF('Raw Data'!G133="",_xlfn.REGEXEXTRACT(CELL("address",'Raw Data'!G133),"\$([A-Z]+)\$[0-9]+"),"")</f>
        <v>$G$133</v>
      </c>
      <c r="H134" t="str" cm="1">
        <f t="array" aca="1" ref="H134" ca="1">IF('Raw Data'!H133="",_xlfn.REGEXEXTRACT(CELL("address",'Raw Data'!H133),"\$([A-Z]+)\$[0-9]+"),"")</f>
        <v>$H$133</v>
      </c>
      <c r="I134" t="str" cm="1">
        <f t="array" aca="1" ref="I134" ca="1">IF('Raw Data'!I133="",_xlfn.REGEXEXTRACT(CELL("address",'Raw Data'!I133),"\$([A-Z]+)\$[0-9]+"),"")</f>
        <v>$I$133</v>
      </c>
    </row>
    <row r="135" spans="2:9" x14ac:dyDescent="0.25">
      <c r="B135" t="str" cm="1">
        <f t="array" aca="1" ref="B135" ca="1">IF('Raw Data'!B134="",_xlfn.REGEXEXTRACT(CELL("address",'Raw Data'!B134),"\$([A-Z]+)\$[0-9]+"),"")</f>
        <v>$B$134</v>
      </c>
      <c r="C135" t="str" cm="1">
        <f t="array" aca="1" ref="C135" ca="1">IF('Raw Data'!C134="",_xlfn.REGEXEXTRACT(CELL("address",'Raw Data'!C134),"\$([A-Z]+)\$[0-9]+"),"")</f>
        <v>$C$134</v>
      </c>
      <c r="D135" t="str" cm="1">
        <f t="array" aca="1" ref="D135" ca="1">IF('Raw Data'!D134="",_xlfn.REGEXEXTRACT(CELL("address",'Raw Data'!D134),"\$([A-Z]+)\$[0-9]+"),"")</f>
        <v>$D$134</v>
      </c>
      <c r="E135" t="str" cm="1">
        <f t="array" aca="1" ref="E135" ca="1">IF('Raw Data'!E134="",_xlfn.REGEXEXTRACT(CELL("address",'Raw Data'!E134),"\$([A-Z]+)\$[0-9]+"),"")</f>
        <v>$E$134</v>
      </c>
      <c r="F135" t="str" cm="1">
        <f t="array" aca="1" ref="F135" ca="1">IF('Raw Data'!F134="",_xlfn.REGEXEXTRACT(CELL("address",'Raw Data'!F134),"\$([A-Z]+)\$[0-9]+"),"")</f>
        <v>$F$134</v>
      </c>
      <c r="G135" t="str" cm="1">
        <f t="array" aca="1" ref="G135" ca="1">IF('Raw Data'!G134="",_xlfn.REGEXEXTRACT(CELL("address",'Raw Data'!G134),"\$([A-Z]+)\$[0-9]+"),"")</f>
        <v>$G$134</v>
      </c>
      <c r="H135" t="str" cm="1">
        <f t="array" aca="1" ref="H135" ca="1">IF('Raw Data'!H134="",_xlfn.REGEXEXTRACT(CELL("address",'Raw Data'!H134),"\$([A-Z]+)\$[0-9]+"),"")</f>
        <v>$H$134</v>
      </c>
      <c r="I135" t="str" cm="1">
        <f t="array" aca="1" ref="I135" ca="1">IF('Raw Data'!I134="",_xlfn.REGEXEXTRACT(CELL("address",'Raw Data'!I134),"\$([A-Z]+)\$[0-9]+"),"")</f>
        <v>$I$134</v>
      </c>
    </row>
    <row r="136" spans="2:9" x14ac:dyDescent="0.25">
      <c r="B136" t="str" cm="1">
        <f t="array" aca="1" ref="B136" ca="1">IF('Raw Data'!B135="",_xlfn.REGEXEXTRACT(CELL("address",'Raw Data'!B135),"\$([A-Z]+)\$[0-9]+"),"")</f>
        <v>$B$135</v>
      </c>
      <c r="C136" t="str" cm="1">
        <f t="array" aca="1" ref="C136" ca="1">IF('Raw Data'!C135="",_xlfn.REGEXEXTRACT(CELL("address",'Raw Data'!C135),"\$([A-Z]+)\$[0-9]+"),"")</f>
        <v>$C$135</v>
      </c>
      <c r="D136" t="str" cm="1">
        <f t="array" aca="1" ref="D136" ca="1">IF('Raw Data'!D135="",_xlfn.REGEXEXTRACT(CELL("address",'Raw Data'!D135),"\$([A-Z]+)\$[0-9]+"),"")</f>
        <v>$D$135</v>
      </c>
      <c r="E136" t="str" cm="1">
        <f t="array" aca="1" ref="E136" ca="1">IF('Raw Data'!E135="",_xlfn.REGEXEXTRACT(CELL("address",'Raw Data'!E135),"\$([A-Z]+)\$[0-9]+"),"")</f>
        <v>$E$135</v>
      </c>
      <c r="F136" t="str" cm="1">
        <f t="array" aca="1" ref="F136" ca="1">IF('Raw Data'!F135="",_xlfn.REGEXEXTRACT(CELL("address",'Raw Data'!F135),"\$([A-Z]+)\$[0-9]+"),"")</f>
        <v>$F$135</v>
      </c>
      <c r="G136" t="str" cm="1">
        <f t="array" aca="1" ref="G136" ca="1">IF('Raw Data'!G135="",_xlfn.REGEXEXTRACT(CELL("address",'Raw Data'!G135),"\$([A-Z]+)\$[0-9]+"),"")</f>
        <v>$G$135</v>
      </c>
      <c r="H136" t="str" cm="1">
        <f t="array" aca="1" ref="H136" ca="1">IF('Raw Data'!H135="",_xlfn.REGEXEXTRACT(CELL("address",'Raw Data'!H135),"\$([A-Z]+)\$[0-9]+"),"")</f>
        <v>$H$135</v>
      </c>
      <c r="I136" t="str" cm="1">
        <f t="array" aca="1" ref="I136" ca="1">IF('Raw Data'!I135="",_xlfn.REGEXEXTRACT(CELL("address",'Raw Data'!I135),"\$([A-Z]+)\$[0-9]+"),"")</f>
        <v>$I$135</v>
      </c>
    </row>
    <row r="137" spans="2:9" x14ac:dyDescent="0.25">
      <c r="B137" t="str" cm="1">
        <f t="array" aca="1" ref="B137" ca="1">IF('Raw Data'!B136="",_xlfn.REGEXEXTRACT(CELL("address",'Raw Data'!B136),"\$([A-Z]+)\$[0-9]+"),"")</f>
        <v>$B$136</v>
      </c>
      <c r="C137" t="str" cm="1">
        <f t="array" aca="1" ref="C137" ca="1">IF('Raw Data'!C136="",_xlfn.REGEXEXTRACT(CELL("address",'Raw Data'!C136),"\$([A-Z]+)\$[0-9]+"),"")</f>
        <v>$C$136</v>
      </c>
      <c r="D137" t="str" cm="1">
        <f t="array" aca="1" ref="D137" ca="1">IF('Raw Data'!D136="",_xlfn.REGEXEXTRACT(CELL("address",'Raw Data'!D136),"\$([A-Z]+)\$[0-9]+"),"")</f>
        <v>$D$136</v>
      </c>
      <c r="E137" t="str" cm="1">
        <f t="array" aca="1" ref="E137" ca="1">IF('Raw Data'!E136="",_xlfn.REGEXEXTRACT(CELL("address",'Raw Data'!E136),"\$([A-Z]+)\$[0-9]+"),"")</f>
        <v>$E$136</v>
      </c>
      <c r="F137" t="str" cm="1">
        <f t="array" aca="1" ref="F137" ca="1">IF('Raw Data'!F136="",_xlfn.REGEXEXTRACT(CELL("address",'Raw Data'!F136),"\$([A-Z]+)\$[0-9]+"),"")</f>
        <v>$F$136</v>
      </c>
      <c r="G137" t="str" cm="1">
        <f t="array" aca="1" ref="G137" ca="1">IF('Raw Data'!G136="",_xlfn.REGEXEXTRACT(CELL("address",'Raw Data'!G136),"\$([A-Z]+)\$[0-9]+"),"")</f>
        <v>$G$136</v>
      </c>
      <c r="H137" t="str" cm="1">
        <f t="array" aca="1" ref="H137" ca="1">IF('Raw Data'!H136="",_xlfn.REGEXEXTRACT(CELL("address",'Raw Data'!H136),"\$([A-Z]+)\$[0-9]+"),"")</f>
        <v>$H$136</v>
      </c>
      <c r="I137" t="str" cm="1">
        <f t="array" aca="1" ref="I137" ca="1">IF('Raw Data'!I136="",_xlfn.REGEXEXTRACT(CELL("address",'Raw Data'!I136),"\$([A-Z]+)\$[0-9]+"),"")</f>
        <v>$I$136</v>
      </c>
    </row>
    <row r="138" spans="2:9" x14ac:dyDescent="0.25">
      <c r="B138" t="str" cm="1">
        <f t="array" aca="1" ref="B138" ca="1">IF('Raw Data'!B137="",_xlfn.REGEXEXTRACT(CELL("address",'Raw Data'!B137),"\$([A-Z]+)\$[0-9]+"),"")</f>
        <v>$B$137</v>
      </c>
      <c r="C138" t="str" cm="1">
        <f t="array" aca="1" ref="C138" ca="1">IF('Raw Data'!C137="",_xlfn.REGEXEXTRACT(CELL("address",'Raw Data'!C137),"\$([A-Z]+)\$[0-9]+"),"")</f>
        <v>$C$137</v>
      </c>
      <c r="D138" t="str" cm="1">
        <f t="array" aca="1" ref="D138" ca="1">IF('Raw Data'!D137="",_xlfn.REGEXEXTRACT(CELL("address",'Raw Data'!D137),"\$([A-Z]+)\$[0-9]+"),"")</f>
        <v>$D$137</v>
      </c>
      <c r="E138" t="str" cm="1">
        <f t="array" aca="1" ref="E138" ca="1">IF('Raw Data'!E137="",_xlfn.REGEXEXTRACT(CELL("address",'Raw Data'!E137),"\$([A-Z]+)\$[0-9]+"),"")</f>
        <v>$E$137</v>
      </c>
      <c r="F138" t="str" cm="1">
        <f t="array" aca="1" ref="F138" ca="1">IF('Raw Data'!F137="",_xlfn.REGEXEXTRACT(CELL("address",'Raw Data'!F137),"\$([A-Z]+)\$[0-9]+"),"")</f>
        <v>$F$137</v>
      </c>
      <c r="G138" t="str" cm="1">
        <f t="array" aca="1" ref="G138" ca="1">IF('Raw Data'!G137="",_xlfn.REGEXEXTRACT(CELL("address",'Raw Data'!G137),"\$([A-Z]+)\$[0-9]+"),"")</f>
        <v>$G$137</v>
      </c>
      <c r="H138" t="str" cm="1">
        <f t="array" aca="1" ref="H138" ca="1">IF('Raw Data'!H137="",_xlfn.REGEXEXTRACT(CELL("address",'Raw Data'!H137),"\$([A-Z]+)\$[0-9]+"),"")</f>
        <v>$H$137</v>
      </c>
      <c r="I138" t="str" cm="1">
        <f t="array" aca="1" ref="I138" ca="1">IF('Raw Data'!I137="",_xlfn.REGEXEXTRACT(CELL("address",'Raw Data'!I137),"\$([A-Z]+)\$[0-9]+"),"")</f>
        <v>$I$137</v>
      </c>
    </row>
    <row r="139" spans="2:9" x14ac:dyDescent="0.25">
      <c r="B139" t="str" cm="1">
        <f t="array" aca="1" ref="B139" ca="1">IF('Raw Data'!B138="",_xlfn.REGEXEXTRACT(CELL("address",'Raw Data'!B138),"\$([A-Z]+)\$[0-9]+"),"")</f>
        <v>$B$138</v>
      </c>
      <c r="C139" t="str" cm="1">
        <f t="array" aca="1" ref="C139" ca="1">IF('Raw Data'!C138="",_xlfn.REGEXEXTRACT(CELL("address",'Raw Data'!C138),"\$([A-Z]+)\$[0-9]+"),"")</f>
        <v>$C$138</v>
      </c>
      <c r="D139" t="str" cm="1">
        <f t="array" aca="1" ref="D139" ca="1">IF('Raw Data'!D138="",_xlfn.REGEXEXTRACT(CELL("address",'Raw Data'!D138),"\$([A-Z]+)\$[0-9]+"),"")</f>
        <v>$D$138</v>
      </c>
      <c r="E139" t="str" cm="1">
        <f t="array" aca="1" ref="E139" ca="1">IF('Raw Data'!E138="",_xlfn.REGEXEXTRACT(CELL("address",'Raw Data'!E138),"\$([A-Z]+)\$[0-9]+"),"")</f>
        <v>$E$138</v>
      </c>
      <c r="F139" t="str" cm="1">
        <f t="array" aca="1" ref="F139" ca="1">IF('Raw Data'!F138="",_xlfn.REGEXEXTRACT(CELL("address",'Raw Data'!F138),"\$([A-Z]+)\$[0-9]+"),"")</f>
        <v>$F$138</v>
      </c>
      <c r="G139" t="str" cm="1">
        <f t="array" aca="1" ref="G139" ca="1">IF('Raw Data'!G138="",_xlfn.REGEXEXTRACT(CELL("address",'Raw Data'!G138),"\$([A-Z]+)\$[0-9]+"),"")</f>
        <v>$G$138</v>
      </c>
      <c r="H139" t="str" cm="1">
        <f t="array" aca="1" ref="H139" ca="1">IF('Raw Data'!H138="",_xlfn.REGEXEXTRACT(CELL("address",'Raw Data'!H138),"\$([A-Z]+)\$[0-9]+"),"")</f>
        <v>$H$138</v>
      </c>
      <c r="I139" t="str" cm="1">
        <f t="array" aca="1" ref="I139" ca="1">IF('Raw Data'!I138="",_xlfn.REGEXEXTRACT(CELL("address",'Raw Data'!I138),"\$([A-Z]+)\$[0-9]+"),"")</f>
        <v>$I$138</v>
      </c>
    </row>
    <row r="140" spans="2:9" x14ac:dyDescent="0.25">
      <c r="B140" t="str" cm="1">
        <f t="array" aca="1" ref="B140" ca="1">IF('Raw Data'!B139="",_xlfn.REGEXEXTRACT(CELL("address",'Raw Data'!B139),"\$([A-Z]+)\$[0-9]+"),"")</f>
        <v>$B$139</v>
      </c>
      <c r="C140" t="str" cm="1">
        <f t="array" aca="1" ref="C140" ca="1">IF('Raw Data'!C139="",_xlfn.REGEXEXTRACT(CELL("address",'Raw Data'!C139),"\$([A-Z]+)\$[0-9]+"),"")</f>
        <v>$C$139</v>
      </c>
      <c r="D140" t="str" cm="1">
        <f t="array" aca="1" ref="D140" ca="1">IF('Raw Data'!D139="",_xlfn.REGEXEXTRACT(CELL("address",'Raw Data'!D139),"\$([A-Z]+)\$[0-9]+"),"")</f>
        <v>$D$139</v>
      </c>
      <c r="E140" t="str" cm="1">
        <f t="array" aca="1" ref="E140" ca="1">IF('Raw Data'!E139="",_xlfn.REGEXEXTRACT(CELL("address",'Raw Data'!E139),"\$([A-Z]+)\$[0-9]+"),"")</f>
        <v>$E$139</v>
      </c>
      <c r="F140" t="str" cm="1">
        <f t="array" aca="1" ref="F140" ca="1">IF('Raw Data'!F139="",_xlfn.REGEXEXTRACT(CELL("address",'Raw Data'!F139),"\$([A-Z]+)\$[0-9]+"),"")</f>
        <v>$F$139</v>
      </c>
      <c r="G140" t="str" cm="1">
        <f t="array" aca="1" ref="G140" ca="1">IF('Raw Data'!G139="",_xlfn.REGEXEXTRACT(CELL("address",'Raw Data'!G139),"\$([A-Z]+)\$[0-9]+"),"")</f>
        <v>$G$139</v>
      </c>
      <c r="H140" t="str" cm="1">
        <f t="array" aca="1" ref="H140" ca="1">IF('Raw Data'!H139="",_xlfn.REGEXEXTRACT(CELL("address",'Raw Data'!H139),"\$([A-Z]+)\$[0-9]+"),"")</f>
        <v>$H$139</v>
      </c>
      <c r="I140" t="str" cm="1">
        <f t="array" aca="1" ref="I140" ca="1">IF('Raw Data'!I139="",_xlfn.REGEXEXTRACT(CELL("address",'Raw Data'!I139),"\$([A-Z]+)\$[0-9]+"),"")</f>
        <v>$I$139</v>
      </c>
    </row>
    <row r="141" spans="2:9" x14ac:dyDescent="0.25">
      <c r="B141" t="str" cm="1">
        <f t="array" aca="1" ref="B141" ca="1">IF('Raw Data'!B140="",_xlfn.REGEXEXTRACT(CELL("address",'Raw Data'!B140),"\$([A-Z]+)\$[0-9]+"),"")</f>
        <v>$B$140</v>
      </c>
      <c r="C141" t="str" cm="1">
        <f t="array" aca="1" ref="C141" ca="1">IF('Raw Data'!C140="",_xlfn.REGEXEXTRACT(CELL("address",'Raw Data'!C140),"\$([A-Z]+)\$[0-9]+"),"")</f>
        <v>$C$140</v>
      </c>
      <c r="D141" t="str" cm="1">
        <f t="array" aca="1" ref="D141" ca="1">IF('Raw Data'!D140="",_xlfn.REGEXEXTRACT(CELL("address",'Raw Data'!D140),"\$([A-Z]+)\$[0-9]+"),"")</f>
        <v>$D$140</v>
      </c>
      <c r="E141" t="str" cm="1">
        <f t="array" aca="1" ref="E141" ca="1">IF('Raw Data'!E140="",_xlfn.REGEXEXTRACT(CELL("address",'Raw Data'!E140),"\$([A-Z]+)\$[0-9]+"),"")</f>
        <v>$E$140</v>
      </c>
      <c r="F141" t="str" cm="1">
        <f t="array" aca="1" ref="F141" ca="1">IF('Raw Data'!F140="",_xlfn.REGEXEXTRACT(CELL("address",'Raw Data'!F140),"\$([A-Z]+)\$[0-9]+"),"")</f>
        <v>$F$140</v>
      </c>
      <c r="G141" t="str" cm="1">
        <f t="array" aca="1" ref="G141" ca="1">IF('Raw Data'!G140="",_xlfn.REGEXEXTRACT(CELL("address",'Raw Data'!G140),"\$([A-Z]+)\$[0-9]+"),"")</f>
        <v>$G$140</v>
      </c>
      <c r="H141" t="str" cm="1">
        <f t="array" aca="1" ref="H141" ca="1">IF('Raw Data'!H140="",_xlfn.REGEXEXTRACT(CELL("address",'Raw Data'!H140),"\$([A-Z]+)\$[0-9]+"),"")</f>
        <v>$H$140</v>
      </c>
      <c r="I141" t="str" cm="1">
        <f t="array" aca="1" ref="I141" ca="1">IF('Raw Data'!I140="",_xlfn.REGEXEXTRACT(CELL("address",'Raw Data'!I140),"\$([A-Z]+)\$[0-9]+"),"")</f>
        <v>$I$140</v>
      </c>
    </row>
    <row r="142" spans="2:9" x14ac:dyDescent="0.25">
      <c r="B142" t="str" cm="1">
        <f t="array" aca="1" ref="B142" ca="1">IF('Raw Data'!B141="",_xlfn.REGEXEXTRACT(CELL("address",'Raw Data'!B141),"\$([A-Z]+)\$[0-9]+"),"")</f>
        <v>$B$141</v>
      </c>
      <c r="C142" t="str" cm="1">
        <f t="array" aca="1" ref="C142" ca="1">IF('Raw Data'!C141="",_xlfn.REGEXEXTRACT(CELL("address",'Raw Data'!C141),"\$([A-Z]+)\$[0-9]+"),"")</f>
        <v>$C$141</v>
      </c>
      <c r="D142" t="str" cm="1">
        <f t="array" aca="1" ref="D142" ca="1">IF('Raw Data'!D141="",_xlfn.REGEXEXTRACT(CELL("address",'Raw Data'!D141),"\$([A-Z]+)\$[0-9]+"),"")</f>
        <v>$D$141</v>
      </c>
      <c r="E142" t="str" cm="1">
        <f t="array" aca="1" ref="E142" ca="1">IF('Raw Data'!E141="",_xlfn.REGEXEXTRACT(CELL("address",'Raw Data'!E141),"\$([A-Z]+)\$[0-9]+"),"")</f>
        <v>$E$141</v>
      </c>
      <c r="F142" t="str" cm="1">
        <f t="array" aca="1" ref="F142" ca="1">IF('Raw Data'!F141="",_xlfn.REGEXEXTRACT(CELL("address",'Raw Data'!F141),"\$([A-Z]+)\$[0-9]+"),"")</f>
        <v>$F$141</v>
      </c>
      <c r="G142" t="str" cm="1">
        <f t="array" aca="1" ref="G142" ca="1">IF('Raw Data'!G141="",_xlfn.REGEXEXTRACT(CELL("address",'Raw Data'!G141),"\$([A-Z]+)\$[0-9]+"),"")</f>
        <v>$G$141</v>
      </c>
      <c r="H142" t="str" cm="1">
        <f t="array" aca="1" ref="H142" ca="1">IF('Raw Data'!H141="",_xlfn.REGEXEXTRACT(CELL("address",'Raw Data'!H141),"\$([A-Z]+)\$[0-9]+"),"")</f>
        <v>$H$141</v>
      </c>
      <c r="I142" t="str" cm="1">
        <f t="array" aca="1" ref="I142" ca="1">IF('Raw Data'!I141="",_xlfn.REGEXEXTRACT(CELL("address",'Raw Data'!I141),"\$([A-Z]+)\$[0-9]+"),"")</f>
        <v>$I$141</v>
      </c>
    </row>
    <row r="143" spans="2:9" x14ac:dyDescent="0.25">
      <c r="B143" t="str" cm="1">
        <f t="array" aca="1" ref="B143" ca="1">IF('Raw Data'!B142="",_xlfn.REGEXEXTRACT(CELL("address",'Raw Data'!B142),"\$([A-Z]+)\$[0-9]+"),"")</f>
        <v>$B$142</v>
      </c>
      <c r="C143" t="str" cm="1">
        <f t="array" aca="1" ref="C143" ca="1">IF('Raw Data'!C142="",_xlfn.REGEXEXTRACT(CELL("address",'Raw Data'!C142),"\$([A-Z]+)\$[0-9]+"),"")</f>
        <v>$C$142</v>
      </c>
      <c r="D143" t="str" cm="1">
        <f t="array" aca="1" ref="D143" ca="1">IF('Raw Data'!D142="",_xlfn.REGEXEXTRACT(CELL("address",'Raw Data'!D142),"\$([A-Z]+)\$[0-9]+"),"")</f>
        <v>$D$142</v>
      </c>
      <c r="E143" t="str" cm="1">
        <f t="array" aca="1" ref="E143" ca="1">IF('Raw Data'!E142="",_xlfn.REGEXEXTRACT(CELL("address",'Raw Data'!E142),"\$([A-Z]+)\$[0-9]+"),"")</f>
        <v>$E$142</v>
      </c>
      <c r="F143" t="str" cm="1">
        <f t="array" aca="1" ref="F143" ca="1">IF('Raw Data'!F142="",_xlfn.REGEXEXTRACT(CELL("address",'Raw Data'!F142),"\$([A-Z]+)\$[0-9]+"),"")</f>
        <v>$F$142</v>
      </c>
      <c r="G143" t="str" cm="1">
        <f t="array" aca="1" ref="G143" ca="1">IF('Raw Data'!G142="",_xlfn.REGEXEXTRACT(CELL("address",'Raw Data'!G142),"\$([A-Z]+)\$[0-9]+"),"")</f>
        <v>$G$142</v>
      </c>
      <c r="H143" t="str" cm="1">
        <f t="array" aca="1" ref="H143" ca="1">IF('Raw Data'!H142="",_xlfn.REGEXEXTRACT(CELL("address",'Raw Data'!H142),"\$([A-Z]+)\$[0-9]+"),"")</f>
        <v>$H$142</v>
      </c>
      <c r="I143" t="str" cm="1">
        <f t="array" aca="1" ref="I143" ca="1">IF('Raw Data'!I142="",_xlfn.REGEXEXTRACT(CELL("address",'Raw Data'!I142),"\$([A-Z]+)\$[0-9]+"),"")</f>
        <v>$I$142</v>
      </c>
    </row>
    <row r="144" spans="2:9" x14ac:dyDescent="0.25">
      <c r="B144" t="str" cm="1">
        <f t="array" aca="1" ref="B144" ca="1">IF('Raw Data'!B143="",_xlfn.REGEXEXTRACT(CELL("address",'Raw Data'!B143),"\$([A-Z]+)\$[0-9]+"),"")</f>
        <v>$B$143</v>
      </c>
      <c r="C144" t="str" cm="1">
        <f t="array" aca="1" ref="C144" ca="1">IF('Raw Data'!C143="",_xlfn.REGEXEXTRACT(CELL("address",'Raw Data'!C143),"\$([A-Z]+)\$[0-9]+"),"")</f>
        <v>$C$143</v>
      </c>
      <c r="D144" t="str" cm="1">
        <f t="array" aca="1" ref="D144" ca="1">IF('Raw Data'!D143="",_xlfn.REGEXEXTRACT(CELL("address",'Raw Data'!D143),"\$([A-Z]+)\$[0-9]+"),"")</f>
        <v>$D$143</v>
      </c>
      <c r="E144" t="str" cm="1">
        <f t="array" aca="1" ref="E144" ca="1">IF('Raw Data'!E143="",_xlfn.REGEXEXTRACT(CELL("address",'Raw Data'!E143),"\$([A-Z]+)\$[0-9]+"),"")</f>
        <v>$E$143</v>
      </c>
      <c r="F144" t="str" cm="1">
        <f t="array" aca="1" ref="F144" ca="1">IF('Raw Data'!F143="",_xlfn.REGEXEXTRACT(CELL("address",'Raw Data'!F143),"\$([A-Z]+)\$[0-9]+"),"")</f>
        <v>$F$143</v>
      </c>
      <c r="G144" t="str" cm="1">
        <f t="array" aca="1" ref="G144" ca="1">IF('Raw Data'!G143="",_xlfn.REGEXEXTRACT(CELL("address",'Raw Data'!G143),"\$([A-Z]+)\$[0-9]+"),"")</f>
        <v>$G$143</v>
      </c>
      <c r="H144" t="str" cm="1">
        <f t="array" aca="1" ref="H144" ca="1">IF('Raw Data'!H143="",_xlfn.REGEXEXTRACT(CELL("address",'Raw Data'!H143),"\$([A-Z]+)\$[0-9]+"),"")</f>
        <v>$H$143</v>
      </c>
      <c r="I144" t="str" cm="1">
        <f t="array" aca="1" ref="I144" ca="1">IF('Raw Data'!I143="",_xlfn.REGEXEXTRACT(CELL("address",'Raw Data'!I143),"\$([A-Z]+)\$[0-9]+"),"")</f>
        <v>$I$143</v>
      </c>
    </row>
    <row r="145" spans="2:9" x14ac:dyDescent="0.25">
      <c r="B145" t="str" cm="1">
        <f t="array" aca="1" ref="B145" ca="1">IF('Raw Data'!B144="",_xlfn.REGEXEXTRACT(CELL("address",'Raw Data'!B144),"\$([A-Z]+)\$[0-9]+"),"")</f>
        <v>$B$144</v>
      </c>
      <c r="C145" t="str" cm="1">
        <f t="array" aca="1" ref="C145" ca="1">IF('Raw Data'!C144="",_xlfn.REGEXEXTRACT(CELL("address",'Raw Data'!C144),"\$([A-Z]+)\$[0-9]+"),"")</f>
        <v>$C$144</v>
      </c>
      <c r="D145" t="str" cm="1">
        <f t="array" aca="1" ref="D145" ca="1">IF('Raw Data'!D144="",_xlfn.REGEXEXTRACT(CELL("address",'Raw Data'!D144),"\$([A-Z]+)\$[0-9]+"),"")</f>
        <v>$D$144</v>
      </c>
      <c r="E145" t="str" cm="1">
        <f t="array" aca="1" ref="E145" ca="1">IF('Raw Data'!E144="",_xlfn.REGEXEXTRACT(CELL("address",'Raw Data'!E144),"\$([A-Z]+)\$[0-9]+"),"")</f>
        <v>$E$144</v>
      </c>
      <c r="F145" t="str" cm="1">
        <f t="array" aca="1" ref="F145" ca="1">IF('Raw Data'!F144="",_xlfn.REGEXEXTRACT(CELL("address",'Raw Data'!F144),"\$([A-Z]+)\$[0-9]+"),"")</f>
        <v>$F$144</v>
      </c>
      <c r="G145" t="str" cm="1">
        <f t="array" aca="1" ref="G145" ca="1">IF('Raw Data'!G144="",_xlfn.REGEXEXTRACT(CELL("address",'Raw Data'!G144),"\$([A-Z]+)\$[0-9]+"),"")</f>
        <v>$G$144</v>
      </c>
      <c r="H145" t="str" cm="1">
        <f t="array" aca="1" ref="H145" ca="1">IF('Raw Data'!H144="",_xlfn.REGEXEXTRACT(CELL("address",'Raw Data'!H144),"\$([A-Z]+)\$[0-9]+"),"")</f>
        <v>$H$144</v>
      </c>
      <c r="I145" t="str" cm="1">
        <f t="array" aca="1" ref="I145" ca="1">IF('Raw Data'!I144="",_xlfn.REGEXEXTRACT(CELL("address",'Raw Data'!I144),"\$([A-Z]+)\$[0-9]+"),"")</f>
        <v>$I$144</v>
      </c>
    </row>
    <row r="146" spans="2:9" x14ac:dyDescent="0.25">
      <c r="B146" t="str" cm="1">
        <f t="array" aca="1" ref="B146" ca="1">IF('Raw Data'!B145="",_xlfn.REGEXEXTRACT(CELL("address",'Raw Data'!B145),"\$([A-Z]+)\$[0-9]+"),"")</f>
        <v>$B$145</v>
      </c>
      <c r="C146" t="str" cm="1">
        <f t="array" aca="1" ref="C146" ca="1">IF('Raw Data'!C145="",_xlfn.REGEXEXTRACT(CELL("address",'Raw Data'!C145),"\$([A-Z]+)\$[0-9]+"),"")</f>
        <v>$C$145</v>
      </c>
      <c r="D146" t="str" cm="1">
        <f t="array" aca="1" ref="D146" ca="1">IF('Raw Data'!D145="",_xlfn.REGEXEXTRACT(CELL("address",'Raw Data'!D145),"\$([A-Z]+)\$[0-9]+"),"")</f>
        <v>$D$145</v>
      </c>
      <c r="E146" t="str" cm="1">
        <f t="array" aca="1" ref="E146" ca="1">IF('Raw Data'!E145="",_xlfn.REGEXEXTRACT(CELL("address",'Raw Data'!E145),"\$([A-Z]+)\$[0-9]+"),"")</f>
        <v>$E$145</v>
      </c>
      <c r="F146" t="str" cm="1">
        <f t="array" aca="1" ref="F146" ca="1">IF('Raw Data'!F145="",_xlfn.REGEXEXTRACT(CELL("address",'Raw Data'!F145),"\$([A-Z]+)\$[0-9]+"),"")</f>
        <v>$F$145</v>
      </c>
      <c r="G146" t="str" cm="1">
        <f t="array" aca="1" ref="G146" ca="1">IF('Raw Data'!G145="",_xlfn.REGEXEXTRACT(CELL("address",'Raw Data'!G145),"\$([A-Z]+)\$[0-9]+"),"")</f>
        <v>$G$145</v>
      </c>
      <c r="H146" t="str" cm="1">
        <f t="array" aca="1" ref="H146" ca="1">IF('Raw Data'!H145="",_xlfn.REGEXEXTRACT(CELL("address",'Raw Data'!H145),"\$([A-Z]+)\$[0-9]+"),"")</f>
        <v>$H$145</v>
      </c>
      <c r="I146" t="str" cm="1">
        <f t="array" aca="1" ref="I146" ca="1">IF('Raw Data'!I145="",_xlfn.REGEXEXTRACT(CELL("address",'Raw Data'!I145),"\$([A-Z]+)\$[0-9]+"),"")</f>
        <v>$I$145</v>
      </c>
    </row>
    <row r="147" spans="2:9" x14ac:dyDescent="0.25">
      <c r="B147" t="str" cm="1">
        <f t="array" aca="1" ref="B147" ca="1">IF('Raw Data'!B146="",_xlfn.REGEXEXTRACT(CELL("address",'Raw Data'!B146),"\$([A-Z]+)\$[0-9]+"),"")</f>
        <v>$B$146</v>
      </c>
      <c r="C147" t="str" cm="1">
        <f t="array" aca="1" ref="C147" ca="1">IF('Raw Data'!C146="",_xlfn.REGEXEXTRACT(CELL("address",'Raw Data'!C146),"\$([A-Z]+)\$[0-9]+"),"")</f>
        <v>$C$146</v>
      </c>
      <c r="D147" t="str" cm="1">
        <f t="array" aca="1" ref="D147" ca="1">IF('Raw Data'!D146="",_xlfn.REGEXEXTRACT(CELL("address",'Raw Data'!D146),"\$([A-Z]+)\$[0-9]+"),"")</f>
        <v>$D$146</v>
      </c>
      <c r="E147" t="str" cm="1">
        <f t="array" aca="1" ref="E147" ca="1">IF('Raw Data'!E146="",_xlfn.REGEXEXTRACT(CELL("address",'Raw Data'!E146),"\$([A-Z]+)\$[0-9]+"),"")</f>
        <v>$E$146</v>
      </c>
      <c r="F147" t="str" cm="1">
        <f t="array" aca="1" ref="F147" ca="1">IF('Raw Data'!F146="",_xlfn.REGEXEXTRACT(CELL("address",'Raw Data'!F146),"\$([A-Z]+)\$[0-9]+"),"")</f>
        <v>$F$146</v>
      </c>
      <c r="G147" t="str" cm="1">
        <f t="array" aca="1" ref="G147" ca="1">IF('Raw Data'!G146="",_xlfn.REGEXEXTRACT(CELL("address",'Raw Data'!G146),"\$([A-Z]+)\$[0-9]+"),"")</f>
        <v>$G$146</v>
      </c>
      <c r="H147" t="str" cm="1">
        <f t="array" aca="1" ref="H147" ca="1">IF('Raw Data'!H146="",_xlfn.REGEXEXTRACT(CELL("address",'Raw Data'!H146),"\$([A-Z]+)\$[0-9]+"),"")</f>
        <v>$H$146</v>
      </c>
      <c r="I147" t="str" cm="1">
        <f t="array" aca="1" ref="I147" ca="1">IF('Raw Data'!I146="",_xlfn.REGEXEXTRACT(CELL("address",'Raw Data'!I146),"\$([A-Z]+)\$[0-9]+"),"")</f>
        <v>$I$146</v>
      </c>
    </row>
    <row r="148" spans="2:9" x14ac:dyDescent="0.25">
      <c r="B148" t="str" cm="1">
        <f t="array" aca="1" ref="B148" ca="1">IF('Raw Data'!B147="",_xlfn.REGEXEXTRACT(CELL("address",'Raw Data'!B147),"\$([A-Z]+)\$[0-9]+"),"")</f>
        <v>$B$147</v>
      </c>
      <c r="C148" t="str" cm="1">
        <f t="array" aca="1" ref="C148" ca="1">IF('Raw Data'!C147="",_xlfn.REGEXEXTRACT(CELL("address",'Raw Data'!C147),"\$([A-Z]+)\$[0-9]+"),"")</f>
        <v>$C$147</v>
      </c>
      <c r="D148" t="str" cm="1">
        <f t="array" aca="1" ref="D148" ca="1">IF('Raw Data'!D147="",_xlfn.REGEXEXTRACT(CELL("address",'Raw Data'!D147),"\$([A-Z]+)\$[0-9]+"),"")</f>
        <v>$D$147</v>
      </c>
      <c r="E148" t="str" cm="1">
        <f t="array" aca="1" ref="E148" ca="1">IF('Raw Data'!E147="",_xlfn.REGEXEXTRACT(CELL("address",'Raw Data'!E147),"\$([A-Z]+)\$[0-9]+"),"")</f>
        <v>$E$147</v>
      </c>
      <c r="F148" t="str" cm="1">
        <f t="array" aca="1" ref="F148" ca="1">IF('Raw Data'!F147="",_xlfn.REGEXEXTRACT(CELL("address",'Raw Data'!F147),"\$([A-Z]+)\$[0-9]+"),"")</f>
        <v>$F$147</v>
      </c>
      <c r="G148" t="str" cm="1">
        <f t="array" aca="1" ref="G148" ca="1">IF('Raw Data'!G147="",_xlfn.REGEXEXTRACT(CELL("address",'Raw Data'!G147),"\$([A-Z]+)\$[0-9]+"),"")</f>
        <v>$G$147</v>
      </c>
      <c r="H148" t="str" cm="1">
        <f t="array" aca="1" ref="H148" ca="1">IF('Raw Data'!H147="",_xlfn.REGEXEXTRACT(CELL("address",'Raw Data'!H147),"\$([A-Z]+)\$[0-9]+"),"")</f>
        <v>$H$147</v>
      </c>
      <c r="I148" t="str" cm="1">
        <f t="array" aca="1" ref="I148" ca="1">IF('Raw Data'!I147="",_xlfn.REGEXEXTRACT(CELL("address",'Raw Data'!I147),"\$([A-Z]+)\$[0-9]+"),"")</f>
        <v>$I$147</v>
      </c>
    </row>
    <row r="149" spans="2:9" x14ac:dyDescent="0.25">
      <c r="B149" t="str" cm="1">
        <f t="array" aca="1" ref="B149" ca="1">IF('Raw Data'!B148="",_xlfn.REGEXEXTRACT(CELL("address",'Raw Data'!B148),"\$([A-Z]+)\$[0-9]+"),"")</f>
        <v>$B$148</v>
      </c>
      <c r="C149" t="str" cm="1">
        <f t="array" aca="1" ref="C149" ca="1">IF('Raw Data'!C148="",_xlfn.REGEXEXTRACT(CELL("address",'Raw Data'!C148),"\$([A-Z]+)\$[0-9]+"),"")</f>
        <v>$C$148</v>
      </c>
      <c r="D149" t="str" cm="1">
        <f t="array" aca="1" ref="D149" ca="1">IF('Raw Data'!D148="",_xlfn.REGEXEXTRACT(CELL("address",'Raw Data'!D148),"\$([A-Z]+)\$[0-9]+"),"")</f>
        <v>$D$148</v>
      </c>
      <c r="E149" t="str" cm="1">
        <f t="array" aca="1" ref="E149" ca="1">IF('Raw Data'!E148="",_xlfn.REGEXEXTRACT(CELL("address",'Raw Data'!E148),"\$([A-Z]+)\$[0-9]+"),"")</f>
        <v>$E$148</v>
      </c>
      <c r="F149" t="str" cm="1">
        <f t="array" aca="1" ref="F149" ca="1">IF('Raw Data'!F148="",_xlfn.REGEXEXTRACT(CELL("address",'Raw Data'!F148),"\$([A-Z]+)\$[0-9]+"),"")</f>
        <v>$F$148</v>
      </c>
      <c r="G149" t="str" cm="1">
        <f t="array" aca="1" ref="G149" ca="1">IF('Raw Data'!G148="",_xlfn.REGEXEXTRACT(CELL("address",'Raw Data'!G148),"\$([A-Z]+)\$[0-9]+"),"")</f>
        <v>$G$148</v>
      </c>
      <c r="H149" t="str" cm="1">
        <f t="array" aca="1" ref="H149" ca="1">IF('Raw Data'!H148="",_xlfn.REGEXEXTRACT(CELL("address",'Raw Data'!H148),"\$([A-Z]+)\$[0-9]+"),"")</f>
        <v>$H$148</v>
      </c>
      <c r="I149" t="str" cm="1">
        <f t="array" aca="1" ref="I149" ca="1">IF('Raw Data'!I148="",_xlfn.REGEXEXTRACT(CELL("address",'Raw Data'!I148),"\$([A-Z]+)\$[0-9]+"),"")</f>
        <v>$I$148</v>
      </c>
    </row>
    <row r="150" spans="2:9" x14ac:dyDescent="0.25">
      <c r="B150" t="str" cm="1">
        <f t="array" aca="1" ref="B150" ca="1">IF('Raw Data'!B149="",_xlfn.REGEXEXTRACT(CELL("address",'Raw Data'!B149),"\$([A-Z]+)\$[0-9]+"),"")</f>
        <v>$B$149</v>
      </c>
      <c r="C150" t="str" cm="1">
        <f t="array" aca="1" ref="C150" ca="1">IF('Raw Data'!C149="",_xlfn.REGEXEXTRACT(CELL("address",'Raw Data'!C149),"\$([A-Z]+)\$[0-9]+"),"")</f>
        <v>$C$149</v>
      </c>
      <c r="D150" t="str" cm="1">
        <f t="array" aca="1" ref="D150" ca="1">IF('Raw Data'!D149="",_xlfn.REGEXEXTRACT(CELL("address",'Raw Data'!D149),"\$([A-Z]+)\$[0-9]+"),"")</f>
        <v>$D$149</v>
      </c>
      <c r="E150" t="str" cm="1">
        <f t="array" aca="1" ref="E150" ca="1">IF('Raw Data'!E149="",_xlfn.REGEXEXTRACT(CELL("address",'Raw Data'!E149),"\$([A-Z]+)\$[0-9]+"),"")</f>
        <v>$E$149</v>
      </c>
      <c r="F150" t="str" cm="1">
        <f t="array" aca="1" ref="F150" ca="1">IF('Raw Data'!F149="",_xlfn.REGEXEXTRACT(CELL("address",'Raw Data'!F149),"\$([A-Z]+)\$[0-9]+"),"")</f>
        <v>$F$149</v>
      </c>
      <c r="G150" t="str" cm="1">
        <f t="array" aca="1" ref="G150" ca="1">IF('Raw Data'!G149="",_xlfn.REGEXEXTRACT(CELL("address",'Raw Data'!G149),"\$([A-Z]+)\$[0-9]+"),"")</f>
        <v>$G$149</v>
      </c>
      <c r="H150" t="str" cm="1">
        <f t="array" aca="1" ref="H150" ca="1">IF('Raw Data'!H149="",_xlfn.REGEXEXTRACT(CELL("address",'Raw Data'!H149),"\$([A-Z]+)\$[0-9]+"),"")</f>
        <v>$H$149</v>
      </c>
      <c r="I150" t="str" cm="1">
        <f t="array" aca="1" ref="I150" ca="1">IF('Raw Data'!I149="",_xlfn.REGEXEXTRACT(CELL("address",'Raw Data'!I149),"\$([A-Z]+)\$[0-9]+"),"")</f>
        <v>$I$149</v>
      </c>
    </row>
    <row r="151" spans="2:9" x14ac:dyDescent="0.25">
      <c r="B151" t="str" cm="1">
        <f t="array" aca="1" ref="B151" ca="1">IF('Raw Data'!B150="",_xlfn.REGEXEXTRACT(CELL("address",'Raw Data'!B150),"\$([A-Z]+)\$[0-9]+"),"")</f>
        <v>$B$150</v>
      </c>
      <c r="C151" t="str" cm="1">
        <f t="array" aca="1" ref="C151" ca="1">IF('Raw Data'!C150="",_xlfn.REGEXEXTRACT(CELL("address",'Raw Data'!C150),"\$([A-Z]+)\$[0-9]+"),"")</f>
        <v>$C$150</v>
      </c>
      <c r="D151" t="str" cm="1">
        <f t="array" aca="1" ref="D151" ca="1">IF('Raw Data'!D150="",_xlfn.REGEXEXTRACT(CELL("address",'Raw Data'!D150),"\$([A-Z]+)\$[0-9]+"),"")</f>
        <v>$D$150</v>
      </c>
      <c r="E151" t="str" cm="1">
        <f t="array" aca="1" ref="E151" ca="1">IF('Raw Data'!E150="",_xlfn.REGEXEXTRACT(CELL("address",'Raw Data'!E150),"\$([A-Z]+)\$[0-9]+"),"")</f>
        <v>$E$150</v>
      </c>
      <c r="F151" t="str" cm="1">
        <f t="array" aca="1" ref="F151" ca="1">IF('Raw Data'!F150="",_xlfn.REGEXEXTRACT(CELL("address",'Raw Data'!F150),"\$([A-Z]+)\$[0-9]+"),"")</f>
        <v>$F$150</v>
      </c>
      <c r="G151" t="str" cm="1">
        <f t="array" aca="1" ref="G151" ca="1">IF('Raw Data'!G150="",_xlfn.REGEXEXTRACT(CELL("address",'Raw Data'!G150),"\$([A-Z]+)\$[0-9]+"),"")</f>
        <v>$G$150</v>
      </c>
      <c r="H151" t="str" cm="1">
        <f t="array" aca="1" ref="H151" ca="1">IF('Raw Data'!H150="",_xlfn.REGEXEXTRACT(CELL("address",'Raw Data'!H150),"\$([A-Z]+)\$[0-9]+"),"")</f>
        <v>$H$150</v>
      </c>
      <c r="I151" t="str" cm="1">
        <f t="array" aca="1" ref="I151" ca="1">IF('Raw Data'!I150="",_xlfn.REGEXEXTRACT(CELL("address",'Raw Data'!I150),"\$([A-Z]+)\$[0-9]+"),"")</f>
        <v>$I$150</v>
      </c>
    </row>
    <row r="152" spans="2:9" x14ac:dyDescent="0.25">
      <c r="B152" t="str" cm="1">
        <f t="array" aca="1" ref="B152" ca="1">IF('Raw Data'!B151="",_xlfn.REGEXEXTRACT(CELL("address",'Raw Data'!B151),"\$([A-Z]+)\$[0-9]+"),"")</f>
        <v>$B$151</v>
      </c>
      <c r="C152" t="str" cm="1">
        <f t="array" aca="1" ref="C152" ca="1">IF('Raw Data'!C151="",_xlfn.REGEXEXTRACT(CELL("address",'Raw Data'!C151),"\$([A-Z]+)\$[0-9]+"),"")</f>
        <v>$C$151</v>
      </c>
      <c r="D152" t="str" cm="1">
        <f t="array" aca="1" ref="D152" ca="1">IF('Raw Data'!D151="",_xlfn.REGEXEXTRACT(CELL("address",'Raw Data'!D151),"\$([A-Z]+)\$[0-9]+"),"")</f>
        <v>$D$151</v>
      </c>
      <c r="E152" t="str" cm="1">
        <f t="array" aca="1" ref="E152" ca="1">IF('Raw Data'!E151="",_xlfn.REGEXEXTRACT(CELL("address",'Raw Data'!E151),"\$([A-Z]+)\$[0-9]+"),"")</f>
        <v>$E$151</v>
      </c>
      <c r="F152" t="str" cm="1">
        <f t="array" aca="1" ref="F152" ca="1">IF('Raw Data'!F151="",_xlfn.REGEXEXTRACT(CELL("address",'Raw Data'!F151),"\$([A-Z]+)\$[0-9]+"),"")</f>
        <v>$F$151</v>
      </c>
      <c r="G152" t="str" cm="1">
        <f t="array" aca="1" ref="G152" ca="1">IF('Raw Data'!G151="",_xlfn.REGEXEXTRACT(CELL("address",'Raw Data'!G151),"\$([A-Z]+)\$[0-9]+"),"")</f>
        <v>$G$151</v>
      </c>
      <c r="H152" t="str" cm="1">
        <f t="array" aca="1" ref="H152" ca="1">IF('Raw Data'!H151="",_xlfn.REGEXEXTRACT(CELL("address",'Raw Data'!H151),"\$([A-Z]+)\$[0-9]+"),"")</f>
        <v>$H$151</v>
      </c>
      <c r="I152" t="str" cm="1">
        <f t="array" aca="1" ref="I152" ca="1">IF('Raw Data'!I151="",_xlfn.REGEXEXTRACT(CELL("address",'Raw Data'!I151),"\$([A-Z]+)\$[0-9]+"),"")</f>
        <v>$I$151</v>
      </c>
    </row>
    <row r="153" spans="2:9" x14ac:dyDescent="0.25">
      <c r="B153" t="str" cm="1">
        <f t="array" aca="1" ref="B153" ca="1">IF('Raw Data'!B152="",_xlfn.REGEXEXTRACT(CELL("address",'Raw Data'!B152),"\$([A-Z]+)\$[0-9]+"),"")</f>
        <v>$B$152</v>
      </c>
      <c r="C153" t="str" cm="1">
        <f t="array" aca="1" ref="C153" ca="1">IF('Raw Data'!C152="",_xlfn.REGEXEXTRACT(CELL("address",'Raw Data'!C152),"\$([A-Z]+)\$[0-9]+"),"")</f>
        <v>$C$152</v>
      </c>
      <c r="D153" t="str" cm="1">
        <f t="array" aca="1" ref="D153" ca="1">IF('Raw Data'!D152="",_xlfn.REGEXEXTRACT(CELL("address",'Raw Data'!D152),"\$([A-Z]+)\$[0-9]+"),"")</f>
        <v>$D$152</v>
      </c>
      <c r="E153" t="str" cm="1">
        <f t="array" aca="1" ref="E153" ca="1">IF('Raw Data'!E152="",_xlfn.REGEXEXTRACT(CELL("address",'Raw Data'!E152),"\$([A-Z]+)\$[0-9]+"),"")</f>
        <v>$E$152</v>
      </c>
      <c r="F153" t="str" cm="1">
        <f t="array" aca="1" ref="F153" ca="1">IF('Raw Data'!F152="",_xlfn.REGEXEXTRACT(CELL("address",'Raw Data'!F152),"\$([A-Z]+)\$[0-9]+"),"")</f>
        <v>$F$152</v>
      </c>
      <c r="G153" t="str" cm="1">
        <f t="array" aca="1" ref="G153" ca="1">IF('Raw Data'!G152="",_xlfn.REGEXEXTRACT(CELL("address",'Raw Data'!G152),"\$([A-Z]+)\$[0-9]+"),"")</f>
        <v>$G$152</v>
      </c>
      <c r="H153" t="str" cm="1">
        <f t="array" aca="1" ref="H153" ca="1">IF('Raw Data'!H152="",_xlfn.REGEXEXTRACT(CELL("address",'Raw Data'!H152),"\$([A-Z]+)\$[0-9]+"),"")</f>
        <v>$H$152</v>
      </c>
      <c r="I153" t="str" cm="1">
        <f t="array" aca="1" ref="I153" ca="1">IF('Raw Data'!I152="",_xlfn.REGEXEXTRACT(CELL("address",'Raw Data'!I152),"\$([A-Z]+)\$[0-9]+"),"")</f>
        <v>$I$152</v>
      </c>
    </row>
    <row r="154" spans="2:9" x14ac:dyDescent="0.25">
      <c r="B154" t="str" cm="1">
        <f t="array" aca="1" ref="B154" ca="1">IF('Raw Data'!B153="",_xlfn.REGEXEXTRACT(CELL("address",'Raw Data'!B153),"\$([A-Z]+)\$[0-9]+"),"")</f>
        <v>$B$153</v>
      </c>
      <c r="C154" t="str" cm="1">
        <f t="array" aca="1" ref="C154" ca="1">IF('Raw Data'!C153="",_xlfn.REGEXEXTRACT(CELL("address",'Raw Data'!C153),"\$([A-Z]+)\$[0-9]+"),"")</f>
        <v>$C$153</v>
      </c>
      <c r="D154" t="str" cm="1">
        <f t="array" aca="1" ref="D154" ca="1">IF('Raw Data'!D153="",_xlfn.REGEXEXTRACT(CELL("address",'Raw Data'!D153),"\$([A-Z]+)\$[0-9]+"),"")</f>
        <v>$D$153</v>
      </c>
      <c r="E154" t="str" cm="1">
        <f t="array" aca="1" ref="E154" ca="1">IF('Raw Data'!E153="",_xlfn.REGEXEXTRACT(CELL("address",'Raw Data'!E153),"\$([A-Z]+)\$[0-9]+"),"")</f>
        <v>$E$153</v>
      </c>
      <c r="F154" t="str" cm="1">
        <f t="array" aca="1" ref="F154" ca="1">IF('Raw Data'!F153="",_xlfn.REGEXEXTRACT(CELL("address",'Raw Data'!F153),"\$([A-Z]+)\$[0-9]+"),"")</f>
        <v>$F$153</v>
      </c>
      <c r="G154" t="str" cm="1">
        <f t="array" aca="1" ref="G154" ca="1">IF('Raw Data'!G153="",_xlfn.REGEXEXTRACT(CELL("address",'Raw Data'!G153),"\$([A-Z]+)\$[0-9]+"),"")</f>
        <v>$G$153</v>
      </c>
      <c r="H154" t="str" cm="1">
        <f t="array" aca="1" ref="H154" ca="1">IF('Raw Data'!H153="",_xlfn.REGEXEXTRACT(CELL("address",'Raw Data'!H153),"\$([A-Z]+)\$[0-9]+"),"")</f>
        <v>$H$153</v>
      </c>
      <c r="I154" t="str" cm="1">
        <f t="array" aca="1" ref="I154" ca="1">IF('Raw Data'!I153="",_xlfn.REGEXEXTRACT(CELL("address",'Raw Data'!I153),"\$([A-Z]+)\$[0-9]+"),"")</f>
        <v>$I$153</v>
      </c>
    </row>
    <row r="155" spans="2:9" x14ac:dyDescent="0.25">
      <c r="B155" t="str" cm="1">
        <f t="array" aca="1" ref="B155" ca="1">IF('Raw Data'!B154="",_xlfn.REGEXEXTRACT(CELL("address",'Raw Data'!B154),"\$([A-Z]+)\$[0-9]+"),"")</f>
        <v>$B$154</v>
      </c>
      <c r="C155" t="str" cm="1">
        <f t="array" aca="1" ref="C155" ca="1">IF('Raw Data'!C154="",_xlfn.REGEXEXTRACT(CELL("address",'Raw Data'!C154),"\$([A-Z]+)\$[0-9]+"),"")</f>
        <v>$C$154</v>
      </c>
      <c r="D155" t="str" cm="1">
        <f t="array" aca="1" ref="D155" ca="1">IF('Raw Data'!D154="",_xlfn.REGEXEXTRACT(CELL("address",'Raw Data'!D154),"\$([A-Z]+)\$[0-9]+"),"")</f>
        <v>$D$154</v>
      </c>
      <c r="E155" t="str" cm="1">
        <f t="array" aca="1" ref="E155" ca="1">IF('Raw Data'!E154="",_xlfn.REGEXEXTRACT(CELL("address",'Raw Data'!E154),"\$([A-Z]+)\$[0-9]+"),"")</f>
        <v>$E$154</v>
      </c>
      <c r="F155" t="str" cm="1">
        <f t="array" aca="1" ref="F155" ca="1">IF('Raw Data'!F154="",_xlfn.REGEXEXTRACT(CELL("address",'Raw Data'!F154),"\$([A-Z]+)\$[0-9]+"),"")</f>
        <v>$F$154</v>
      </c>
      <c r="G155" t="str" cm="1">
        <f t="array" aca="1" ref="G155" ca="1">IF('Raw Data'!G154="",_xlfn.REGEXEXTRACT(CELL("address",'Raw Data'!G154),"\$([A-Z]+)\$[0-9]+"),"")</f>
        <v>$G$154</v>
      </c>
      <c r="H155" t="str" cm="1">
        <f t="array" aca="1" ref="H155" ca="1">IF('Raw Data'!H154="",_xlfn.REGEXEXTRACT(CELL("address",'Raw Data'!H154),"\$([A-Z]+)\$[0-9]+"),"")</f>
        <v>$H$154</v>
      </c>
      <c r="I155" t="str" cm="1">
        <f t="array" aca="1" ref="I155" ca="1">IF('Raw Data'!I154="",_xlfn.REGEXEXTRACT(CELL("address",'Raw Data'!I154),"\$([A-Z]+)\$[0-9]+"),"")</f>
        <v>$I$154</v>
      </c>
    </row>
    <row r="156" spans="2:9" x14ac:dyDescent="0.25">
      <c r="B156" t="str" cm="1">
        <f t="array" aca="1" ref="B156" ca="1">IF('Raw Data'!B155="",_xlfn.REGEXEXTRACT(CELL("address",'Raw Data'!B155),"\$([A-Z]+)\$[0-9]+"),"")</f>
        <v>$B$155</v>
      </c>
      <c r="C156" t="str" cm="1">
        <f t="array" aca="1" ref="C156" ca="1">IF('Raw Data'!C155="",_xlfn.REGEXEXTRACT(CELL("address",'Raw Data'!C155),"\$([A-Z]+)\$[0-9]+"),"")</f>
        <v>$C$155</v>
      </c>
      <c r="D156" t="str" cm="1">
        <f t="array" aca="1" ref="D156" ca="1">IF('Raw Data'!D155="",_xlfn.REGEXEXTRACT(CELL("address",'Raw Data'!D155),"\$([A-Z]+)\$[0-9]+"),"")</f>
        <v>$D$155</v>
      </c>
      <c r="E156" t="str" cm="1">
        <f t="array" aca="1" ref="E156" ca="1">IF('Raw Data'!E155="",_xlfn.REGEXEXTRACT(CELL("address",'Raw Data'!E155),"\$([A-Z]+)\$[0-9]+"),"")</f>
        <v>$E$155</v>
      </c>
      <c r="F156" t="str" cm="1">
        <f t="array" aca="1" ref="F156" ca="1">IF('Raw Data'!F155="",_xlfn.REGEXEXTRACT(CELL("address",'Raw Data'!F155),"\$([A-Z]+)\$[0-9]+"),"")</f>
        <v>$F$155</v>
      </c>
      <c r="G156" t="str" cm="1">
        <f t="array" aca="1" ref="G156" ca="1">IF('Raw Data'!G155="",_xlfn.REGEXEXTRACT(CELL("address",'Raw Data'!G155),"\$([A-Z]+)\$[0-9]+"),"")</f>
        <v>$G$155</v>
      </c>
      <c r="H156" t="str" cm="1">
        <f t="array" aca="1" ref="H156" ca="1">IF('Raw Data'!H155="",_xlfn.REGEXEXTRACT(CELL("address",'Raw Data'!H155),"\$([A-Z]+)\$[0-9]+"),"")</f>
        <v>$H$155</v>
      </c>
      <c r="I156" t="str" cm="1">
        <f t="array" aca="1" ref="I156" ca="1">IF('Raw Data'!I155="",_xlfn.REGEXEXTRACT(CELL("address",'Raw Data'!I155),"\$([A-Z]+)\$[0-9]+"),"")</f>
        <v>$I$155</v>
      </c>
    </row>
    <row r="157" spans="2:9" x14ac:dyDescent="0.25">
      <c r="B157" t="str" cm="1">
        <f t="array" aca="1" ref="B157" ca="1">IF('Raw Data'!B156="",_xlfn.REGEXEXTRACT(CELL("address",'Raw Data'!B156),"\$([A-Z]+)\$[0-9]+"),"")</f>
        <v>$B$156</v>
      </c>
      <c r="C157" t="str" cm="1">
        <f t="array" aca="1" ref="C157" ca="1">IF('Raw Data'!C156="",_xlfn.REGEXEXTRACT(CELL("address",'Raw Data'!C156),"\$([A-Z]+)\$[0-9]+"),"")</f>
        <v>$C$156</v>
      </c>
      <c r="D157" t="str" cm="1">
        <f t="array" aca="1" ref="D157" ca="1">IF('Raw Data'!D156="",_xlfn.REGEXEXTRACT(CELL("address",'Raw Data'!D156),"\$([A-Z]+)\$[0-9]+"),"")</f>
        <v>$D$156</v>
      </c>
      <c r="E157" t="str" cm="1">
        <f t="array" aca="1" ref="E157" ca="1">IF('Raw Data'!E156="",_xlfn.REGEXEXTRACT(CELL("address",'Raw Data'!E156),"\$([A-Z]+)\$[0-9]+"),"")</f>
        <v>$E$156</v>
      </c>
      <c r="F157" t="str" cm="1">
        <f t="array" aca="1" ref="F157" ca="1">IF('Raw Data'!F156="",_xlfn.REGEXEXTRACT(CELL("address",'Raw Data'!F156),"\$([A-Z]+)\$[0-9]+"),"")</f>
        <v>$F$156</v>
      </c>
      <c r="G157" t="str" cm="1">
        <f t="array" aca="1" ref="G157" ca="1">IF('Raw Data'!G156="",_xlfn.REGEXEXTRACT(CELL("address",'Raw Data'!G156),"\$([A-Z]+)\$[0-9]+"),"")</f>
        <v>$G$156</v>
      </c>
      <c r="H157" t="str" cm="1">
        <f t="array" aca="1" ref="H157" ca="1">IF('Raw Data'!H156="",_xlfn.REGEXEXTRACT(CELL("address",'Raw Data'!H156),"\$([A-Z]+)\$[0-9]+"),"")</f>
        <v>$H$156</v>
      </c>
      <c r="I157" t="str" cm="1">
        <f t="array" aca="1" ref="I157" ca="1">IF('Raw Data'!I156="",_xlfn.REGEXEXTRACT(CELL("address",'Raw Data'!I156),"\$([A-Z]+)\$[0-9]+"),"")</f>
        <v>$I$156</v>
      </c>
    </row>
    <row r="158" spans="2:9" x14ac:dyDescent="0.25">
      <c r="B158" t="str" cm="1">
        <f t="array" aca="1" ref="B158" ca="1">IF('Raw Data'!B157="",_xlfn.REGEXEXTRACT(CELL("address",'Raw Data'!B157),"\$([A-Z]+)\$[0-9]+"),"")</f>
        <v>$B$157</v>
      </c>
      <c r="C158" t="str" cm="1">
        <f t="array" aca="1" ref="C158" ca="1">IF('Raw Data'!C157="",_xlfn.REGEXEXTRACT(CELL("address",'Raw Data'!C157),"\$([A-Z]+)\$[0-9]+"),"")</f>
        <v>$C$157</v>
      </c>
      <c r="D158" t="str" cm="1">
        <f t="array" aca="1" ref="D158" ca="1">IF('Raw Data'!D157="",_xlfn.REGEXEXTRACT(CELL("address",'Raw Data'!D157),"\$([A-Z]+)\$[0-9]+"),"")</f>
        <v>$D$157</v>
      </c>
      <c r="E158" t="str" cm="1">
        <f t="array" aca="1" ref="E158" ca="1">IF('Raw Data'!E157="",_xlfn.REGEXEXTRACT(CELL("address",'Raw Data'!E157),"\$([A-Z]+)\$[0-9]+"),"")</f>
        <v>$E$157</v>
      </c>
      <c r="F158" t="str" cm="1">
        <f t="array" aca="1" ref="F158" ca="1">IF('Raw Data'!F157="",_xlfn.REGEXEXTRACT(CELL("address",'Raw Data'!F157),"\$([A-Z]+)\$[0-9]+"),"")</f>
        <v>$F$157</v>
      </c>
      <c r="G158" t="str" cm="1">
        <f t="array" aca="1" ref="G158" ca="1">IF('Raw Data'!G157="",_xlfn.REGEXEXTRACT(CELL("address",'Raw Data'!G157),"\$([A-Z]+)\$[0-9]+"),"")</f>
        <v>$G$157</v>
      </c>
      <c r="H158" t="str" cm="1">
        <f t="array" aca="1" ref="H158" ca="1">IF('Raw Data'!H157="",_xlfn.REGEXEXTRACT(CELL("address",'Raw Data'!H157),"\$([A-Z]+)\$[0-9]+"),"")</f>
        <v>$H$157</v>
      </c>
      <c r="I158" t="str" cm="1">
        <f t="array" aca="1" ref="I158" ca="1">IF('Raw Data'!I157="",_xlfn.REGEXEXTRACT(CELL("address",'Raw Data'!I157),"\$([A-Z]+)\$[0-9]+"),"")</f>
        <v>$I$157</v>
      </c>
    </row>
    <row r="159" spans="2:9" x14ac:dyDescent="0.25">
      <c r="B159" t="str" cm="1">
        <f t="array" aca="1" ref="B159" ca="1">IF('Raw Data'!B158="",_xlfn.REGEXEXTRACT(CELL("address",'Raw Data'!B158),"\$([A-Z]+)\$[0-9]+"),"")</f>
        <v>$B$158</v>
      </c>
      <c r="C159" t="str" cm="1">
        <f t="array" aca="1" ref="C159" ca="1">IF('Raw Data'!C158="",_xlfn.REGEXEXTRACT(CELL("address",'Raw Data'!C158),"\$([A-Z]+)\$[0-9]+"),"")</f>
        <v>$C$158</v>
      </c>
      <c r="D159" t="str" cm="1">
        <f t="array" aca="1" ref="D159" ca="1">IF('Raw Data'!D158="",_xlfn.REGEXEXTRACT(CELL("address",'Raw Data'!D158),"\$([A-Z]+)\$[0-9]+"),"")</f>
        <v>$D$158</v>
      </c>
      <c r="E159" t="str" cm="1">
        <f t="array" aca="1" ref="E159" ca="1">IF('Raw Data'!E158="",_xlfn.REGEXEXTRACT(CELL("address",'Raw Data'!E158),"\$([A-Z]+)\$[0-9]+"),"")</f>
        <v>$E$158</v>
      </c>
      <c r="F159" t="str" cm="1">
        <f t="array" aca="1" ref="F159" ca="1">IF('Raw Data'!F158="",_xlfn.REGEXEXTRACT(CELL("address",'Raw Data'!F158),"\$([A-Z]+)\$[0-9]+"),"")</f>
        <v>$F$158</v>
      </c>
      <c r="G159" t="str" cm="1">
        <f t="array" aca="1" ref="G159" ca="1">IF('Raw Data'!G158="",_xlfn.REGEXEXTRACT(CELL("address",'Raw Data'!G158),"\$([A-Z]+)\$[0-9]+"),"")</f>
        <v>$G$158</v>
      </c>
      <c r="H159" t="str" cm="1">
        <f t="array" aca="1" ref="H159" ca="1">IF('Raw Data'!H158="",_xlfn.REGEXEXTRACT(CELL("address",'Raw Data'!H158),"\$([A-Z]+)\$[0-9]+"),"")</f>
        <v>$H$158</v>
      </c>
      <c r="I159" t="str" cm="1">
        <f t="array" aca="1" ref="I159" ca="1">IF('Raw Data'!I158="",_xlfn.REGEXEXTRACT(CELL("address",'Raw Data'!I158),"\$([A-Z]+)\$[0-9]+"),"")</f>
        <v>$I$158</v>
      </c>
    </row>
    <row r="160" spans="2:9" x14ac:dyDescent="0.25">
      <c r="B160" t="str" cm="1">
        <f t="array" aca="1" ref="B160" ca="1">IF('Raw Data'!B159="",_xlfn.REGEXEXTRACT(CELL("address",'Raw Data'!B159),"\$([A-Z]+)\$[0-9]+"),"")</f>
        <v>$B$159</v>
      </c>
      <c r="C160" t="str" cm="1">
        <f t="array" aca="1" ref="C160" ca="1">IF('Raw Data'!C159="",_xlfn.REGEXEXTRACT(CELL("address",'Raw Data'!C159),"\$([A-Z]+)\$[0-9]+"),"")</f>
        <v>$C$159</v>
      </c>
      <c r="D160" t="str" cm="1">
        <f t="array" aca="1" ref="D160" ca="1">IF('Raw Data'!D159="",_xlfn.REGEXEXTRACT(CELL("address",'Raw Data'!D159),"\$([A-Z]+)\$[0-9]+"),"")</f>
        <v>$D$159</v>
      </c>
      <c r="E160" t="str" cm="1">
        <f t="array" aca="1" ref="E160" ca="1">IF('Raw Data'!E159="",_xlfn.REGEXEXTRACT(CELL("address",'Raw Data'!E159),"\$([A-Z]+)\$[0-9]+"),"")</f>
        <v>$E$159</v>
      </c>
      <c r="F160" t="str" cm="1">
        <f t="array" aca="1" ref="F160" ca="1">IF('Raw Data'!F159="",_xlfn.REGEXEXTRACT(CELL("address",'Raw Data'!F159),"\$([A-Z]+)\$[0-9]+"),"")</f>
        <v>$F$159</v>
      </c>
      <c r="G160" t="str" cm="1">
        <f t="array" aca="1" ref="G160" ca="1">IF('Raw Data'!G159="",_xlfn.REGEXEXTRACT(CELL("address",'Raw Data'!G159),"\$([A-Z]+)\$[0-9]+"),"")</f>
        <v>$G$159</v>
      </c>
      <c r="H160" t="str" cm="1">
        <f t="array" aca="1" ref="H160" ca="1">IF('Raw Data'!H159="",_xlfn.REGEXEXTRACT(CELL("address",'Raw Data'!H159),"\$([A-Z]+)\$[0-9]+"),"")</f>
        <v>$H$159</v>
      </c>
      <c r="I160" t="str" cm="1">
        <f t="array" aca="1" ref="I160" ca="1">IF('Raw Data'!I159="",_xlfn.REGEXEXTRACT(CELL("address",'Raw Data'!I159),"\$([A-Z]+)\$[0-9]+"),"")</f>
        <v>$I$159</v>
      </c>
    </row>
    <row r="161" spans="2:9" x14ac:dyDescent="0.25">
      <c r="B161" t="str" cm="1">
        <f t="array" aca="1" ref="B161" ca="1">IF('Raw Data'!B160="",_xlfn.REGEXEXTRACT(CELL("address",'Raw Data'!B160),"\$([A-Z]+)\$[0-9]+"),"")</f>
        <v>$B$160</v>
      </c>
      <c r="C161" t="str" cm="1">
        <f t="array" aca="1" ref="C161" ca="1">IF('Raw Data'!C160="",_xlfn.REGEXEXTRACT(CELL("address",'Raw Data'!C160),"\$([A-Z]+)\$[0-9]+"),"")</f>
        <v>$C$160</v>
      </c>
      <c r="D161" t="str" cm="1">
        <f t="array" aca="1" ref="D161" ca="1">IF('Raw Data'!D160="",_xlfn.REGEXEXTRACT(CELL("address",'Raw Data'!D160),"\$([A-Z]+)\$[0-9]+"),"")</f>
        <v>$D$160</v>
      </c>
      <c r="E161" t="str" cm="1">
        <f t="array" aca="1" ref="E161" ca="1">IF('Raw Data'!E160="",_xlfn.REGEXEXTRACT(CELL("address",'Raw Data'!E160),"\$([A-Z]+)\$[0-9]+"),"")</f>
        <v>$E$160</v>
      </c>
      <c r="F161" t="str" cm="1">
        <f t="array" aca="1" ref="F161" ca="1">IF('Raw Data'!F160="",_xlfn.REGEXEXTRACT(CELL("address",'Raw Data'!F160),"\$([A-Z]+)\$[0-9]+"),"")</f>
        <v>$F$160</v>
      </c>
      <c r="G161" t="str" cm="1">
        <f t="array" aca="1" ref="G161" ca="1">IF('Raw Data'!G160="",_xlfn.REGEXEXTRACT(CELL("address",'Raw Data'!G160),"\$([A-Z]+)\$[0-9]+"),"")</f>
        <v>$G$160</v>
      </c>
      <c r="H161" t="str" cm="1">
        <f t="array" aca="1" ref="H161" ca="1">IF('Raw Data'!H160="",_xlfn.REGEXEXTRACT(CELL("address",'Raw Data'!H160),"\$([A-Z]+)\$[0-9]+"),"")</f>
        <v>$H$160</v>
      </c>
      <c r="I161" t="str" cm="1">
        <f t="array" aca="1" ref="I161" ca="1">IF('Raw Data'!I160="",_xlfn.REGEXEXTRACT(CELL("address",'Raw Data'!I160),"\$([A-Z]+)\$[0-9]+"),"")</f>
        <v>$I$160</v>
      </c>
    </row>
    <row r="162" spans="2:9" x14ac:dyDescent="0.25">
      <c r="B162" t="str" cm="1">
        <f t="array" aca="1" ref="B162" ca="1">IF('Raw Data'!B161="",_xlfn.REGEXEXTRACT(CELL("address",'Raw Data'!B161),"\$([A-Z]+)\$[0-9]+"),"")</f>
        <v>$B$161</v>
      </c>
      <c r="C162" t="str" cm="1">
        <f t="array" aca="1" ref="C162" ca="1">IF('Raw Data'!C161="",_xlfn.REGEXEXTRACT(CELL("address",'Raw Data'!C161),"\$([A-Z]+)\$[0-9]+"),"")</f>
        <v>$C$161</v>
      </c>
      <c r="D162" t="str" cm="1">
        <f t="array" aca="1" ref="D162" ca="1">IF('Raw Data'!D161="",_xlfn.REGEXEXTRACT(CELL("address",'Raw Data'!D161),"\$([A-Z]+)\$[0-9]+"),"")</f>
        <v>$D$161</v>
      </c>
      <c r="E162" t="str" cm="1">
        <f t="array" aca="1" ref="E162" ca="1">IF('Raw Data'!E161="",_xlfn.REGEXEXTRACT(CELL("address",'Raw Data'!E161),"\$([A-Z]+)\$[0-9]+"),"")</f>
        <v>$E$161</v>
      </c>
      <c r="F162" t="str" cm="1">
        <f t="array" aca="1" ref="F162" ca="1">IF('Raw Data'!F161="",_xlfn.REGEXEXTRACT(CELL("address",'Raw Data'!F161),"\$([A-Z]+)\$[0-9]+"),"")</f>
        <v>$F$161</v>
      </c>
      <c r="G162" t="str" cm="1">
        <f t="array" aca="1" ref="G162" ca="1">IF('Raw Data'!G161="",_xlfn.REGEXEXTRACT(CELL("address",'Raw Data'!G161),"\$([A-Z]+)\$[0-9]+"),"")</f>
        <v>$G$161</v>
      </c>
      <c r="H162" t="str" cm="1">
        <f t="array" aca="1" ref="H162" ca="1">IF('Raw Data'!H161="",_xlfn.REGEXEXTRACT(CELL("address",'Raw Data'!H161),"\$([A-Z]+)\$[0-9]+"),"")</f>
        <v>$H$161</v>
      </c>
      <c r="I162" t="str" cm="1">
        <f t="array" aca="1" ref="I162" ca="1">IF('Raw Data'!I161="",_xlfn.REGEXEXTRACT(CELL("address",'Raw Data'!I161),"\$([A-Z]+)\$[0-9]+"),"")</f>
        <v>$I$161</v>
      </c>
    </row>
    <row r="163" spans="2:9" x14ac:dyDescent="0.25">
      <c r="B163" t="str" cm="1">
        <f t="array" aca="1" ref="B163" ca="1">IF('Raw Data'!B162="",_xlfn.REGEXEXTRACT(CELL("address",'Raw Data'!B162),"\$([A-Z]+)\$[0-9]+"),"")</f>
        <v>$B$162</v>
      </c>
      <c r="C163" t="str" cm="1">
        <f t="array" aca="1" ref="C163" ca="1">IF('Raw Data'!C162="",_xlfn.REGEXEXTRACT(CELL("address",'Raw Data'!C162),"\$([A-Z]+)\$[0-9]+"),"")</f>
        <v>$C$162</v>
      </c>
      <c r="D163" t="str" cm="1">
        <f t="array" aca="1" ref="D163" ca="1">IF('Raw Data'!D162="",_xlfn.REGEXEXTRACT(CELL("address",'Raw Data'!D162),"\$([A-Z]+)\$[0-9]+"),"")</f>
        <v>$D$162</v>
      </c>
      <c r="E163" t="str" cm="1">
        <f t="array" aca="1" ref="E163" ca="1">IF('Raw Data'!E162="",_xlfn.REGEXEXTRACT(CELL("address",'Raw Data'!E162),"\$([A-Z]+)\$[0-9]+"),"")</f>
        <v>$E$162</v>
      </c>
      <c r="F163" t="str" cm="1">
        <f t="array" aca="1" ref="F163" ca="1">IF('Raw Data'!F162="",_xlfn.REGEXEXTRACT(CELL("address",'Raw Data'!F162),"\$([A-Z]+)\$[0-9]+"),"")</f>
        <v>$F$162</v>
      </c>
      <c r="G163" t="str" cm="1">
        <f t="array" aca="1" ref="G163" ca="1">IF('Raw Data'!G162="",_xlfn.REGEXEXTRACT(CELL("address",'Raw Data'!G162),"\$([A-Z]+)\$[0-9]+"),"")</f>
        <v>$G$162</v>
      </c>
      <c r="H163" t="str" cm="1">
        <f t="array" aca="1" ref="H163" ca="1">IF('Raw Data'!H162="",_xlfn.REGEXEXTRACT(CELL("address",'Raw Data'!H162),"\$([A-Z]+)\$[0-9]+"),"")</f>
        <v>$H$162</v>
      </c>
      <c r="I163" t="str" cm="1">
        <f t="array" aca="1" ref="I163" ca="1">IF('Raw Data'!I162="",_xlfn.REGEXEXTRACT(CELL("address",'Raw Data'!I162),"\$([A-Z]+)\$[0-9]+"),"")</f>
        <v>$I$162</v>
      </c>
    </row>
    <row r="164" spans="2:9" x14ac:dyDescent="0.25">
      <c r="B164" t="str" cm="1">
        <f t="array" aca="1" ref="B164" ca="1">IF('Raw Data'!B163="",_xlfn.REGEXEXTRACT(CELL("address",'Raw Data'!B163),"\$([A-Z]+)\$[0-9]+"),"")</f>
        <v>$B$163</v>
      </c>
      <c r="C164" t="str" cm="1">
        <f t="array" aca="1" ref="C164" ca="1">IF('Raw Data'!C163="",_xlfn.REGEXEXTRACT(CELL("address",'Raw Data'!C163),"\$([A-Z]+)\$[0-9]+"),"")</f>
        <v>$C$163</v>
      </c>
      <c r="D164" t="str" cm="1">
        <f t="array" aca="1" ref="D164" ca="1">IF('Raw Data'!D163="",_xlfn.REGEXEXTRACT(CELL("address",'Raw Data'!D163),"\$([A-Z]+)\$[0-9]+"),"")</f>
        <v>$D$163</v>
      </c>
      <c r="E164" t="str" cm="1">
        <f t="array" aca="1" ref="E164" ca="1">IF('Raw Data'!E163="",_xlfn.REGEXEXTRACT(CELL("address",'Raw Data'!E163),"\$([A-Z]+)\$[0-9]+"),"")</f>
        <v>$E$163</v>
      </c>
      <c r="F164" t="str" cm="1">
        <f t="array" aca="1" ref="F164" ca="1">IF('Raw Data'!F163="",_xlfn.REGEXEXTRACT(CELL("address",'Raw Data'!F163),"\$([A-Z]+)\$[0-9]+"),"")</f>
        <v>$F$163</v>
      </c>
      <c r="G164" t="str" cm="1">
        <f t="array" aca="1" ref="G164" ca="1">IF('Raw Data'!G163="",_xlfn.REGEXEXTRACT(CELL("address",'Raw Data'!G163),"\$([A-Z]+)\$[0-9]+"),"")</f>
        <v>$G$163</v>
      </c>
      <c r="H164" t="str" cm="1">
        <f t="array" aca="1" ref="H164" ca="1">IF('Raw Data'!H163="",_xlfn.REGEXEXTRACT(CELL("address",'Raw Data'!H163),"\$([A-Z]+)\$[0-9]+"),"")</f>
        <v>$H$163</v>
      </c>
      <c r="I164" t="str" cm="1">
        <f t="array" aca="1" ref="I164" ca="1">IF('Raw Data'!I163="",_xlfn.REGEXEXTRACT(CELL("address",'Raw Data'!I163),"\$([A-Z]+)\$[0-9]+"),"")</f>
        <v>$I$163</v>
      </c>
    </row>
    <row r="165" spans="2:9" x14ac:dyDescent="0.25">
      <c r="B165" t="str" cm="1">
        <f t="array" aca="1" ref="B165" ca="1">IF('Raw Data'!B164="",_xlfn.REGEXEXTRACT(CELL("address",'Raw Data'!B164),"\$([A-Z]+)\$[0-9]+"),"")</f>
        <v>$B$164</v>
      </c>
      <c r="C165" t="str" cm="1">
        <f t="array" aca="1" ref="C165" ca="1">IF('Raw Data'!C164="",_xlfn.REGEXEXTRACT(CELL("address",'Raw Data'!C164),"\$([A-Z]+)\$[0-9]+"),"")</f>
        <v>$C$164</v>
      </c>
      <c r="D165" t="str" cm="1">
        <f t="array" aca="1" ref="D165" ca="1">IF('Raw Data'!D164="",_xlfn.REGEXEXTRACT(CELL("address",'Raw Data'!D164),"\$([A-Z]+)\$[0-9]+"),"")</f>
        <v>$D$164</v>
      </c>
      <c r="E165" t="str" cm="1">
        <f t="array" aca="1" ref="E165" ca="1">IF('Raw Data'!E164="",_xlfn.REGEXEXTRACT(CELL("address",'Raw Data'!E164),"\$([A-Z]+)\$[0-9]+"),"")</f>
        <v>$E$164</v>
      </c>
      <c r="F165" t="str" cm="1">
        <f t="array" aca="1" ref="F165" ca="1">IF('Raw Data'!F164="",_xlfn.REGEXEXTRACT(CELL("address",'Raw Data'!F164),"\$([A-Z]+)\$[0-9]+"),"")</f>
        <v>$F$164</v>
      </c>
      <c r="G165" t="str" cm="1">
        <f t="array" aca="1" ref="G165" ca="1">IF('Raw Data'!G164="",_xlfn.REGEXEXTRACT(CELL("address",'Raw Data'!G164),"\$([A-Z]+)\$[0-9]+"),"")</f>
        <v>$G$164</v>
      </c>
      <c r="H165" t="str" cm="1">
        <f t="array" aca="1" ref="H165" ca="1">IF('Raw Data'!H164="",_xlfn.REGEXEXTRACT(CELL("address",'Raw Data'!H164),"\$([A-Z]+)\$[0-9]+"),"")</f>
        <v>$H$164</v>
      </c>
      <c r="I165" t="str" cm="1">
        <f t="array" aca="1" ref="I165" ca="1">IF('Raw Data'!I164="",_xlfn.REGEXEXTRACT(CELL("address",'Raw Data'!I164),"\$([A-Z]+)\$[0-9]+"),"")</f>
        <v>$I$164</v>
      </c>
    </row>
    <row r="166" spans="2:9" x14ac:dyDescent="0.25">
      <c r="B166" t="str" cm="1">
        <f t="array" aca="1" ref="B166" ca="1">IF('Raw Data'!B165="",_xlfn.REGEXEXTRACT(CELL("address",'Raw Data'!B165),"\$([A-Z]+)\$[0-9]+"),"")</f>
        <v>$B$165</v>
      </c>
      <c r="C166" t="str" cm="1">
        <f t="array" aca="1" ref="C166" ca="1">IF('Raw Data'!C165="",_xlfn.REGEXEXTRACT(CELL("address",'Raw Data'!C165),"\$([A-Z]+)\$[0-9]+"),"")</f>
        <v>$C$165</v>
      </c>
      <c r="D166" t="str" cm="1">
        <f t="array" aca="1" ref="D166" ca="1">IF('Raw Data'!D165="",_xlfn.REGEXEXTRACT(CELL("address",'Raw Data'!D165),"\$([A-Z]+)\$[0-9]+"),"")</f>
        <v>$D$165</v>
      </c>
      <c r="E166" t="str" cm="1">
        <f t="array" aca="1" ref="E166" ca="1">IF('Raw Data'!E165="",_xlfn.REGEXEXTRACT(CELL("address",'Raw Data'!E165),"\$([A-Z]+)\$[0-9]+"),"")</f>
        <v>$E$165</v>
      </c>
      <c r="F166" t="str" cm="1">
        <f t="array" aca="1" ref="F166" ca="1">IF('Raw Data'!F165="",_xlfn.REGEXEXTRACT(CELL("address",'Raw Data'!F165),"\$([A-Z]+)\$[0-9]+"),"")</f>
        <v>$F$165</v>
      </c>
      <c r="G166" t="str" cm="1">
        <f t="array" aca="1" ref="G166" ca="1">IF('Raw Data'!G165="",_xlfn.REGEXEXTRACT(CELL("address",'Raw Data'!G165),"\$([A-Z]+)\$[0-9]+"),"")</f>
        <v>$G$165</v>
      </c>
      <c r="H166" t="str" cm="1">
        <f t="array" aca="1" ref="H166" ca="1">IF('Raw Data'!H165="",_xlfn.REGEXEXTRACT(CELL("address",'Raw Data'!H165),"\$([A-Z]+)\$[0-9]+"),"")</f>
        <v>$H$165</v>
      </c>
      <c r="I166" t="str" cm="1">
        <f t="array" aca="1" ref="I166" ca="1">IF('Raw Data'!I165="",_xlfn.REGEXEXTRACT(CELL("address",'Raw Data'!I165),"\$([A-Z]+)\$[0-9]+"),"")</f>
        <v>$I$165</v>
      </c>
    </row>
    <row r="167" spans="2:9" x14ac:dyDescent="0.25">
      <c r="B167" t="str" cm="1">
        <f t="array" aca="1" ref="B167" ca="1">IF('Raw Data'!B166="",_xlfn.REGEXEXTRACT(CELL("address",'Raw Data'!B166),"\$([A-Z]+)\$[0-9]+"),"")</f>
        <v>$B$166</v>
      </c>
      <c r="C167" t="str" cm="1">
        <f t="array" aca="1" ref="C167" ca="1">IF('Raw Data'!C166="",_xlfn.REGEXEXTRACT(CELL("address",'Raw Data'!C166),"\$([A-Z]+)\$[0-9]+"),"")</f>
        <v>$C$166</v>
      </c>
      <c r="D167" t="str" cm="1">
        <f t="array" aca="1" ref="D167" ca="1">IF('Raw Data'!D166="",_xlfn.REGEXEXTRACT(CELL("address",'Raw Data'!D166),"\$([A-Z]+)\$[0-9]+"),"")</f>
        <v>$D$166</v>
      </c>
      <c r="E167" t="str" cm="1">
        <f t="array" aca="1" ref="E167" ca="1">IF('Raw Data'!E166="",_xlfn.REGEXEXTRACT(CELL("address",'Raw Data'!E166),"\$([A-Z]+)\$[0-9]+"),"")</f>
        <v>$E$166</v>
      </c>
      <c r="F167" t="str" cm="1">
        <f t="array" aca="1" ref="F167" ca="1">IF('Raw Data'!F166="",_xlfn.REGEXEXTRACT(CELL("address",'Raw Data'!F166),"\$([A-Z]+)\$[0-9]+"),"")</f>
        <v>$F$166</v>
      </c>
      <c r="G167" t="str" cm="1">
        <f t="array" aca="1" ref="G167" ca="1">IF('Raw Data'!G166="",_xlfn.REGEXEXTRACT(CELL("address",'Raw Data'!G166),"\$([A-Z]+)\$[0-9]+"),"")</f>
        <v>$G$166</v>
      </c>
      <c r="H167" t="str" cm="1">
        <f t="array" aca="1" ref="H167" ca="1">IF('Raw Data'!H166="",_xlfn.REGEXEXTRACT(CELL("address",'Raw Data'!H166),"\$([A-Z]+)\$[0-9]+"),"")</f>
        <v>$H$166</v>
      </c>
      <c r="I167" t="str" cm="1">
        <f t="array" aca="1" ref="I167" ca="1">IF('Raw Data'!I166="",_xlfn.REGEXEXTRACT(CELL("address",'Raw Data'!I166),"\$([A-Z]+)\$[0-9]+"),"")</f>
        <v>$I$166</v>
      </c>
    </row>
    <row r="168" spans="2:9" x14ac:dyDescent="0.25">
      <c r="B168" t="str" cm="1">
        <f t="array" aca="1" ref="B168" ca="1">IF('Raw Data'!B167="",_xlfn.REGEXEXTRACT(CELL("address",'Raw Data'!B167),"\$([A-Z]+)\$[0-9]+"),"")</f>
        <v>$B$167</v>
      </c>
      <c r="C168" t="str" cm="1">
        <f t="array" aca="1" ref="C168" ca="1">IF('Raw Data'!C167="",_xlfn.REGEXEXTRACT(CELL("address",'Raw Data'!C167),"\$([A-Z]+)\$[0-9]+"),"")</f>
        <v>$C$167</v>
      </c>
      <c r="D168" t="str" cm="1">
        <f t="array" aca="1" ref="D168" ca="1">IF('Raw Data'!D167="",_xlfn.REGEXEXTRACT(CELL("address",'Raw Data'!D167),"\$([A-Z]+)\$[0-9]+"),"")</f>
        <v>$D$167</v>
      </c>
      <c r="E168" t="str" cm="1">
        <f t="array" aca="1" ref="E168" ca="1">IF('Raw Data'!E167="",_xlfn.REGEXEXTRACT(CELL("address",'Raw Data'!E167),"\$([A-Z]+)\$[0-9]+"),"")</f>
        <v>$E$167</v>
      </c>
      <c r="F168" t="str" cm="1">
        <f t="array" aca="1" ref="F168" ca="1">IF('Raw Data'!F167="",_xlfn.REGEXEXTRACT(CELL("address",'Raw Data'!F167),"\$([A-Z]+)\$[0-9]+"),"")</f>
        <v>$F$167</v>
      </c>
      <c r="G168" t="str" cm="1">
        <f t="array" aca="1" ref="G168" ca="1">IF('Raw Data'!G167="",_xlfn.REGEXEXTRACT(CELL("address",'Raw Data'!G167),"\$([A-Z]+)\$[0-9]+"),"")</f>
        <v>$G$167</v>
      </c>
      <c r="H168" t="str" cm="1">
        <f t="array" aca="1" ref="H168" ca="1">IF('Raw Data'!H167="",_xlfn.REGEXEXTRACT(CELL("address",'Raw Data'!H167),"\$([A-Z]+)\$[0-9]+"),"")</f>
        <v>$H$167</v>
      </c>
      <c r="I168" t="str" cm="1">
        <f t="array" aca="1" ref="I168" ca="1">IF('Raw Data'!I167="",_xlfn.REGEXEXTRACT(CELL("address",'Raw Data'!I167),"\$([A-Z]+)\$[0-9]+"),"")</f>
        <v>$I$167</v>
      </c>
    </row>
    <row r="169" spans="2:9" x14ac:dyDescent="0.25">
      <c r="B169" t="str" cm="1">
        <f t="array" aca="1" ref="B169" ca="1">IF('Raw Data'!B168="",_xlfn.REGEXEXTRACT(CELL("address",'Raw Data'!B168),"\$([A-Z]+)\$[0-9]+"),"")</f>
        <v>$B$168</v>
      </c>
      <c r="C169" t="str" cm="1">
        <f t="array" aca="1" ref="C169" ca="1">IF('Raw Data'!C168="",_xlfn.REGEXEXTRACT(CELL("address",'Raw Data'!C168),"\$([A-Z]+)\$[0-9]+"),"")</f>
        <v>$C$168</v>
      </c>
      <c r="D169" t="str" cm="1">
        <f t="array" aca="1" ref="D169" ca="1">IF('Raw Data'!D168="",_xlfn.REGEXEXTRACT(CELL("address",'Raw Data'!D168),"\$([A-Z]+)\$[0-9]+"),"")</f>
        <v>$D$168</v>
      </c>
      <c r="E169" t="str" cm="1">
        <f t="array" aca="1" ref="E169" ca="1">IF('Raw Data'!E168="",_xlfn.REGEXEXTRACT(CELL("address",'Raw Data'!E168),"\$([A-Z]+)\$[0-9]+"),"")</f>
        <v>$E$168</v>
      </c>
      <c r="F169" t="str" cm="1">
        <f t="array" aca="1" ref="F169" ca="1">IF('Raw Data'!F168="",_xlfn.REGEXEXTRACT(CELL("address",'Raw Data'!F168),"\$([A-Z]+)\$[0-9]+"),"")</f>
        <v>$F$168</v>
      </c>
      <c r="G169" t="str" cm="1">
        <f t="array" aca="1" ref="G169" ca="1">IF('Raw Data'!G168="",_xlfn.REGEXEXTRACT(CELL("address",'Raw Data'!G168),"\$([A-Z]+)\$[0-9]+"),"")</f>
        <v>$G$168</v>
      </c>
      <c r="H169" t="str" cm="1">
        <f t="array" aca="1" ref="H169" ca="1">IF('Raw Data'!H168="",_xlfn.REGEXEXTRACT(CELL("address",'Raw Data'!H168),"\$([A-Z]+)\$[0-9]+"),"")</f>
        <v>$H$168</v>
      </c>
      <c r="I169" t="str" cm="1">
        <f t="array" aca="1" ref="I169" ca="1">IF('Raw Data'!I168="",_xlfn.REGEXEXTRACT(CELL("address",'Raw Data'!I168),"\$([A-Z]+)\$[0-9]+"),"")</f>
        <v>$I$168</v>
      </c>
    </row>
    <row r="170" spans="2:9" x14ac:dyDescent="0.25">
      <c r="B170" t="str" cm="1">
        <f t="array" aca="1" ref="B170" ca="1">IF('Raw Data'!B169="",_xlfn.REGEXEXTRACT(CELL("address",'Raw Data'!B169),"\$([A-Z]+)\$[0-9]+"),"")</f>
        <v>$B$169</v>
      </c>
      <c r="C170" t="str" cm="1">
        <f t="array" aca="1" ref="C170" ca="1">IF('Raw Data'!C169="",_xlfn.REGEXEXTRACT(CELL("address",'Raw Data'!C169),"\$([A-Z]+)\$[0-9]+"),"")</f>
        <v>$C$169</v>
      </c>
      <c r="D170" t="str" cm="1">
        <f t="array" aca="1" ref="D170" ca="1">IF('Raw Data'!D169="",_xlfn.REGEXEXTRACT(CELL("address",'Raw Data'!D169),"\$([A-Z]+)\$[0-9]+"),"")</f>
        <v>$D$169</v>
      </c>
      <c r="E170" t="str" cm="1">
        <f t="array" aca="1" ref="E170" ca="1">IF('Raw Data'!E169="",_xlfn.REGEXEXTRACT(CELL("address",'Raw Data'!E169),"\$([A-Z]+)\$[0-9]+"),"")</f>
        <v>$E$169</v>
      </c>
      <c r="F170" t="str" cm="1">
        <f t="array" aca="1" ref="F170" ca="1">IF('Raw Data'!F169="",_xlfn.REGEXEXTRACT(CELL("address",'Raw Data'!F169),"\$([A-Z]+)\$[0-9]+"),"")</f>
        <v>$F$169</v>
      </c>
      <c r="G170" t="str" cm="1">
        <f t="array" aca="1" ref="G170" ca="1">IF('Raw Data'!G169="",_xlfn.REGEXEXTRACT(CELL("address",'Raw Data'!G169),"\$([A-Z]+)\$[0-9]+"),"")</f>
        <v>$G$169</v>
      </c>
      <c r="H170" t="str" cm="1">
        <f t="array" aca="1" ref="H170" ca="1">IF('Raw Data'!H169="",_xlfn.REGEXEXTRACT(CELL("address",'Raw Data'!H169),"\$([A-Z]+)\$[0-9]+"),"")</f>
        <v>$H$169</v>
      </c>
      <c r="I170" t="str" cm="1">
        <f t="array" aca="1" ref="I170" ca="1">IF('Raw Data'!I169="",_xlfn.REGEXEXTRACT(CELL("address",'Raw Data'!I169),"\$([A-Z]+)\$[0-9]+"),"")</f>
        <v>$I$169</v>
      </c>
    </row>
    <row r="171" spans="2:9" x14ac:dyDescent="0.25">
      <c r="B171" t="str" cm="1">
        <f t="array" aca="1" ref="B171" ca="1">IF('Raw Data'!B170="",_xlfn.REGEXEXTRACT(CELL("address",'Raw Data'!B170),"\$([A-Z]+)\$[0-9]+"),"")</f>
        <v>$B$170</v>
      </c>
      <c r="C171" t="str" cm="1">
        <f t="array" aca="1" ref="C171" ca="1">IF('Raw Data'!C170="",_xlfn.REGEXEXTRACT(CELL("address",'Raw Data'!C170),"\$([A-Z]+)\$[0-9]+"),"")</f>
        <v>$C$170</v>
      </c>
      <c r="D171" t="str" cm="1">
        <f t="array" aca="1" ref="D171" ca="1">IF('Raw Data'!D170="",_xlfn.REGEXEXTRACT(CELL("address",'Raw Data'!D170),"\$([A-Z]+)\$[0-9]+"),"")</f>
        <v>$D$170</v>
      </c>
      <c r="E171" t="str" cm="1">
        <f t="array" aca="1" ref="E171" ca="1">IF('Raw Data'!E170="",_xlfn.REGEXEXTRACT(CELL("address",'Raw Data'!E170),"\$([A-Z]+)\$[0-9]+"),"")</f>
        <v>$E$170</v>
      </c>
      <c r="F171" t="str" cm="1">
        <f t="array" aca="1" ref="F171" ca="1">IF('Raw Data'!F170="",_xlfn.REGEXEXTRACT(CELL("address",'Raw Data'!F170),"\$([A-Z]+)\$[0-9]+"),"")</f>
        <v>$F$170</v>
      </c>
      <c r="G171" t="str" cm="1">
        <f t="array" aca="1" ref="G171" ca="1">IF('Raw Data'!G170="",_xlfn.REGEXEXTRACT(CELL("address",'Raw Data'!G170),"\$([A-Z]+)\$[0-9]+"),"")</f>
        <v>$G$170</v>
      </c>
      <c r="H171" t="str" cm="1">
        <f t="array" aca="1" ref="H171" ca="1">IF('Raw Data'!H170="",_xlfn.REGEXEXTRACT(CELL("address",'Raw Data'!H170),"\$([A-Z]+)\$[0-9]+"),"")</f>
        <v>$H$170</v>
      </c>
      <c r="I171" t="str" cm="1">
        <f t="array" aca="1" ref="I171" ca="1">IF('Raw Data'!I170="",_xlfn.REGEXEXTRACT(CELL("address",'Raw Data'!I170),"\$([A-Z]+)\$[0-9]+"),"")</f>
        <v>$I$170</v>
      </c>
    </row>
    <row r="172" spans="2:9" x14ac:dyDescent="0.25">
      <c r="B172" t="str" cm="1">
        <f t="array" aca="1" ref="B172" ca="1">IF('Raw Data'!B171="",_xlfn.REGEXEXTRACT(CELL("address",'Raw Data'!B171),"\$([A-Z]+)\$[0-9]+"),"")</f>
        <v>$B$171</v>
      </c>
      <c r="C172" t="str" cm="1">
        <f t="array" aca="1" ref="C172" ca="1">IF('Raw Data'!C171="",_xlfn.REGEXEXTRACT(CELL("address",'Raw Data'!C171),"\$([A-Z]+)\$[0-9]+"),"")</f>
        <v>$C$171</v>
      </c>
      <c r="D172" t="str" cm="1">
        <f t="array" aca="1" ref="D172" ca="1">IF('Raw Data'!D171="",_xlfn.REGEXEXTRACT(CELL("address",'Raw Data'!D171),"\$([A-Z]+)\$[0-9]+"),"")</f>
        <v>$D$171</v>
      </c>
      <c r="E172" t="str" cm="1">
        <f t="array" aca="1" ref="E172" ca="1">IF('Raw Data'!E171="",_xlfn.REGEXEXTRACT(CELL("address",'Raw Data'!E171),"\$([A-Z]+)\$[0-9]+"),"")</f>
        <v>$E$171</v>
      </c>
      <c r="F172" t="str" cm="1">
        <f t="array" aca="1" ref="F172" ca="1">IF('Raw Data'!F171="",_xlfn.REGEXEXTRACT(CELL("address",'Raw Data'!F171),"\$([A-Z]+)\$[0-9]+"),"")</f>
        <v>$F$171</v>
      </c>
      <c r="G172" t="str" cm="1">
        <f t="array" aca="1" ref="G172" ca="1">IF('Raw Data'!G171="",_xlfn.REGEXEXTRACT(CELL("address",'Raw Data'!G171),"\$([A-Z]+)\$[0-9]+"),"")</f>
        <v>$G$171</v>
      </c>
      <c r="H172" t="str" cm="1">
        <f t="array" aca="1" ref="H172" ca="1">IF('Raw Data'!H171="",_xlfn.REGEXEXTRACT(CELL("address",'Raw Data'!H171),"\$([A-Z]+)\$[0-9]+"),"")</f>
        <v>$H$171</v>
      </c>
      <c r="I172" t="str" cm="1">
        <f t="array" aca="1" ref="I172" ca="1">IF('Raw Data'!I171="",_xlfn.REGEXEXTRACT(CELL("address",'Raw Data'!I171),"\$([A-Z]+)\$[0-9]+"),"")</f>
        <v>$I$171</v>
      </c>
    </row>
    <row r="173" spans="2:9" x14ac:dyDescent="0.25">
      <c r="B173" t="str" cm="1">
        <f t="array" aca="1" ref="B173" ca="1">IF('Raw Data'!B172="",_xlfn.REGEXEXTRACT(CELL("address",'Raw Data'!B172),"\$([A-Z]+)\$[0-9]+"),"")</f>
        <v>$B$172</v>
      </c>
      <c r="C173" t="str" cm="1">
        <f t="array" aca="1" ref="C173" ca="1">IF('Raw Data'!C172="",_xlfn.REGEXEXTRACT(CELL("address",'Raw Data'!C172),"\$([A-Z]+)\$[0-9]+"),"")</f>
        <v>$C$172</v>
      </c>
      <c r="D173" t="str" cm="1">
        <f t="array" aca="1" ref="D173" ca="1">IF('Raw Data'!D172="",_xlfn.REGEXEXTRACT(CELL("address",'Raw Data'!D172),"\$([A-Z]+)\$[0-9]+"),"")</f>
        <v>$D$172</v>
      </c>
      <c r="E173" t="str" cm="1">
        <f t="array" aca="1" ref="E173" ca="1">IF('Raw Data'!E172="",_xlfn.REGEXEXTRACT(CELL("address",'Raw Data'!E172),"\$([A-Z]+)\$[0-9]+"),"")</f>
        <v>$E$172</v>
      </c>
      <c r="F173" t="str" cm="1">
        <f t="array" aca="1" ref="F173" ca="1">IF('Raw Data'!F172="",_xlfn.REGEXEXTRACT(CELL("address",'Raw Data'!F172),"\$([A-Z]+)\$[0-9]+"),"")</f>
        <v>$F$172</v>
      </c>
      <c r="G173" t="str" cm="1">
        <f t="array" aca="1" ref="G173" ca="1">IF('Raw Data'!G172="",_xlfn.REGEXEXTRACT(CELL("address",'Raw Data'!G172),"\$([A-Z]+)\$[0-9]+"),"")</f>
        <v>$G$172</v>
      </c>
      <c r="H173" t="str" cm="1">
        <f t="array" aca="1" ref="H173" ca="1">IF('Raw Data'!H172="",_xlfn.REGEXEXTRACT(CELL("address",'Raw Data'!H172),"\$([A-Z]+)\$[0-9]+"),"")</f>
        <v>$H$172</v>
      </c>
      <c r="I173" t="str" cm="1">
        <f t="array" aca="1" ref="I173" ca="1">IF('Raw Data'!I172="",_xlfn.REGEXEXTRACT(CELL("address",'Raw Data'!I172),"\$([A-Z]+)\$[0-9]+"),"")</f>
        <v>$I$172</v>
      </c>
    </row>
    <row r="174" spans="2:9" x14ac:dyDescent="0.25">
      <c r="B174" t="str" cm="1">
        <f t="array" aca="1" ref="B174" ca="1">IF('Raw Data'!B173="",_xlfn.REGEXEXTRACT(CELL("address",'Raw Data'!B173),"\$([A-Z]+)\$[0-9]+"),"")</f>
        <v>$B$173</v>
      </c>
      <c r="C174" t="str" cm="1">
        <f t="array" aca="1" ref="C174" ca="1">IF('Raw Data'!C173="",_xlfn.REGEXEXTRACT(CELL("address",'Raw Data'!C173),"\$([A-Z]+)\$[0-9]+"),"")</f>
        <v>$C$173</v>
      </c>
      <c r="D174" t="str" cm="1">
        <f t="array" aca="1" ref="D174" ca="1">IF('Raw Data'!D173="",_xlfn.REGEXEXTRACT(CELL("address",'Raw Data'!D173),"\$([A-Z]+)\$[0-9]+"),"")</f>
        <v>$D$173</v>
      </c>
      <c r="E174" t="str" cm="1">
        <f t="array" aca="1" ref="E174" ca="1">IF('Raw Data'!E173="",_xlfn.REGEXEXTRACT(CELL("address",'Raw Data'!E173),"\$([A-Z]+)\$[0-9]+"),"")</f>
        <v>$E$173</v>
      </c>
      <c r="F174" t="str" cm="1">
        <f t="array" aca="1" ref="F174" ca="1">IF('Raw Data'!F173="",_xlfn.REGEXEXTRACT(CELL("address",'Raw Data'!F173),"\$([A-Z]+)\$[0-9]+"),"")</f>
        <v>$F$173</v>
      </c>
      <c r="G174" t="str" cm="1">
        <f t="array" aca="1" ref="G174" ca="1">IF('Raw Data'!G173="",_xlfn.REGEXEXTRACT(CELL("address",'Raw Data'!G173),"\$([A-Z]+)\$[0-9]+"),"")</f>
        <v>$G$173</v>
      </c>
      <c r="H174" t="str" cm="1">
        <f t="array" aca="1" ref="H174" ca="1">IF('Raw Data'!H173="",_xlfn.REGEXEXTRACT(CELL("address",'Raw Data'!H173),"\$([A-Z]+)\$[0-9]+"),"")</f>
        <v>$H$173</v>
      </c>
      <c r="I174" t="str" cm="1">
        <f t="array" aca="1" ref="I174" ca="1">IF('Raw Data'!I173="",_xlfn.REGEXEXTRACT(CELL("address",'Raw Data'!I173),"\$([A-Z]+)\$[0-9]+"),"")</f>
        <v>$I$173</v>
      </c>
    </row>
    <row r="175" spans="2:9" x14ac:dyDescent="0.25">
      <c r="B175" t="str" cm="1">
        <f t="array" aca="1" ref="B175" ca="1">IF('Raw Data'!B174="",_xlfn.REGEXEXTRACT(CELL("address",'Raw Data'!B174),"\$([A-Z]+)\$[0-9]+"),"")</f>
        <v>$B$174</v>
      </c>
      <c r="C175" t="str" cm="1">
        <f t="array" aca="1" ref="C175" ca="1">IF('Raw Data'!C174="",_xlfn.REGEXEXTRACT(CELL("address",'Raw Data'!C174),"\$([A-Z]+)\$[0-9]+"),"")</f>
        <v>$C$174</v>
      </c>
      <c r="D175" t="str" cm="1">
        <f t="array" aca="1" ref="D175" ca="1">IF('Raw Data'!D174="",_xlfn.REGEXEXTRACT(CELL("address",'Raw Data'!D174),"\$([A-Z]+)\$[0-9]+"),"")</f>
        <v>$D$174</v>
      </c>
      <c r="E175" t="str" cm="1">
        <f t="array" aca="1" ref="E175" ca="1">IF('Raw Data'!E174="",_xlfn.REGEXEXTRACT(CELL("address",'Raw Data'!E174),"\$([A-Z]+)\$[0-9]+"),"")</f>
        <v>$E$174</v>
      </c>
      <c r="F175" t="str" cm="1">
        <f t="array" aca="1" ref="F175" ca="1">IF('Raw Data'!F174="",_xlfn.REGEXEXTRACT(CELL("address",'Raw Data'!F174),"\$([A-Z]+)\$[0-9]+"),"")</f>
        <v>$F$174</v>
      </c>
      <c r="G175" t="str" cm="1">
        <f t="array" aca="1" ref="G175" ca="1">IF('Raw Data'!G174="",_xlfn.REGEXEXTRACT(CELL("address",'Raw Data'!G174),"\$([A-Z]+)\$[0-9]+"),"")</f>
        <v>$G$174</v>
      </c>
      <c r="H175" t="str" cm="1">
        <f t="array" aca="1" ref="H175" ca="1">IF('Raw Data'!H174="",_xlfn.REGEXEXTRACT(CELL("address",'Raw Data'!H174),"\$([A-Z]+)\$[0-9]+"),"")</f>
        <v>$H$174</v>
      </c>
      <c r="I175" t="str" cm="1">
        <f t="array" aca="1" ref="I175" ca="1">IF('Raw Data'!I174="",_xlfn.REGEXEXTRACT(CELL("address",'Raw Data'!I174),"\$([A-Z]+)\$[0-9]+"),"")</f>
        <v>$I$174</v>
      </c>
    </row>
    <row r="176" spans="2:9" x14ac:dyDescent="0.25">
      <c r="B176" t="str" cm="1">
        <f t="array" aca="1" ref="B176" ca="1">IF('Raw Data'!B175="",_xlfn.REGEXEXTRACT(CELL("address",'Raw Data'!B175),"\$([A-Z]+)\$[0-9]+"),"")</f>
        <v>$B$175</v>
      </c>
      <c r="C176" t="str" cm="1">
        <f t="array" aca="1" ref="C176" ca="1">IF('Raw Data'!C175="",_xlfn.REGEXEXTRACT(CELL("address",'Raw Data'!C175),"\$([A-Z]+)\$[0-9]+"),"")</f>
        <v>$C$175</v>
      </c>
      <c r="D176" t="str" cm="1">
        <f t="array" aca="1" ref="D176" ca="1">IF('Raw Data'!D175="",_xlfn.REGEXEXTRACT(CELL("address",'Raw Data'!D175),"\$([A-Z]+)\$[0-9]+"),"")</f>
        <v>$D$175</v>
      </c>
      <c r="E176" t="str" cm="1">
        <f t="array" aca="1" ref="E176" ca="1">IF('Raw Data'!E175="",_xlfn.REGEXEXTRACT(CELL("address",'Raw Data'!E175),"\$([A-Z]+)\$[0-9]+"),"")</f>
        <v>$E$175</v>
      </c>
      <c r="F176" t="str" cm="1">
        <f t="array" aca="1" ref="F176" ca="1">IF('Raw Data'!F175="",_xlfn.REGEXEXTRACT(CELL("address",'Raw Data'!F175),"\$([A-Z]+)\$[0-9]+"),"")</f>
        <v>$F$175</v>
      </c>
      <c r="G176" t="str" cm="1">
        <f t="array" aca="1" ref="G176" ca="1">IF('Raw Data'!G175="",_xlfn.REGEXEXTRACT(CELL("address",'Raw Data'!G175),"\$([A-Z]+)\$[0-9]+"),"")</f>
        <v>$G$175</v>
      </c>
      <c r="H176" t="str" cm="1">
        <f t="array" aca="1" ref="H176" ca="1">IF('Raw Data'!H175="",_xlfn.REGEXEXTRACT(CELL("address",'Raw Data'!H175),"\$([A-Z]+)\$[0-9]+"),"")</f>
        <v>$H$175</v>
      </c>
      <c r="I176" t="str" cm="1">
        <f t="array" aca="1" ref="I176" ca="1">IF('Raw Data'!I175="",_xlfn.REGEXEXTRACT(CELL("address",'Raw Data'!I175),"\$([A-Z]+)\$[0-9]+"),"")</f>
        <v>$I$175</v>
      </c>
    </row>
    <row r="177" spans="2:9" x14ac:dyDescent="0.25">
      <c r="B177" t="str" cm="1">
        <f t="array" aca="1" ref="B177" ca="1">IF('Raw Data'!B176="",_xlfn.REGEXEXTRACT(CELL("address",'Raw Data'!B176),"\$([A-Z]+)\$[0-9]+"),"")</f>
        <v>$B$176</v>
      </c>
      <c r="C177" t="str" cm="1">
        <f t="array" aca="1" ref="C177" ca="1">IF('Raw Data'!C176="",_xlfn.REGEXEXTRACT(CELL("address",'Raw Data'!C176),"\$([A-Z]+)\$[0-9]+"),"")</f>
        <v>$C$176</v>
      </c>
      <c r="D177" t="str" cm="1">
        <f t="array" aca="1" ref="D177" ca="1">IF('Raw Data'!D176="",_xlfn.REGEXEXTRACT(CELL("address",'Raw Data'!D176),"\$([A-Z]+)\$[0-9]+"),"")</f>
        <v>$D$176</v>
      </c>
      <c r="E177" t="str" cm="1">
        <f t="array" aca="1" ref="E177" ca="1">IF('Raw Data'!E176="",_xlfn.REGEXEXTRACT(CELL("address",'Raw Data'!E176),"\$([A-Z]+)\$[0-9]+"),"")</f>
        <v>$E$176</v>
      </c>
      <c r="F177" t="str" cm="1">
        <f t="array" aca="1" ref="F177" ca="1">IF('Raw Data'!F176="",_xlfn.REGEXEXTRACT(CELL("address",'Raw Data'!F176),"\$([A-Z]+)\$[0-9]+"),"")</f>
        <v>$F$176</v>
      </c>
      <c r="G177" t="str" cm="1">
        <f t="array" aca="1" ref="G177" ca="1">IF('Raw Data'!G176="",_xlfn.REGEXEXTRACT(CELL("address",'Raw Data'!G176),"\$([A-Z]+)\$[0-9]+"),"")</f>
        <v>$G$176</v>
      </c>
      <c r="H177" t="str" cm="1">
        <f t="array" aca="1" ref="H177" ca="1">IF('Raw Data'!H176="",_xlfn.REGEXEXTRACT(CELL("address",'Raw Data'!H176),"\$([A-Z]+)\$[0-9]+"),"")</f>
        <v>$H$176</v>
      </c>
      <c r="I177" t="str" cm="1">
        <f t="array" aca="1" ref="I177" ca="1">IF('Raw Data'!I176="",_xlfn.REGEXEXTRACT(CELL("address",'Raw Data'!I176),"\$([A-Z]+)\$[0-9]+"),"")</f>
        <v>$I$176</v>
      </c>
    </row>
    <row r="178" spans="2:9" x14ac:dyDescent="0.25">
      <c r="B178" t="str" cm="1">
        <f t="array" aca="1" ref="B178" ca="1">IF('Raw Data'!B177="",_xlfn.REGEXEXTRACT(CELL("address",'Raw Data'!B177),"\$([A-Z]+)\$[0-9]+"),"")</f>
        <v>$B$177</v>
      </c>
      <c r="C178" t="str" cm="1">
        <f t="array" aca="1" ref="C178" ca="1">IF('Raw Data'!C177="",_xlfn.REGEXEXTRACT(CELL("address",'Raw Data'!C177),"\$([A-Z]+)\$[0-9]+"),"")</f>
        <v>$C$177</v>
      </c>
      <c r="D178" t="str" cm="1">
        <f t="array" aca="1" ref="D178" ca="1">IF('Raw Data'!D177="",_xlfn.REGEXEXTRACT(CELL("address",'Raw Data'!D177),"\$([A-Z]+)\$[0-9]+"),"")</f>
        <v>$D$177</v>
      </c>
      <c r="E178" t="str" cm="1">
        <f t="array" aca="1" ref="E178" ca="1">IF('Raw Data'!E177="",_xlfn.REGEXEXTRACT(CELL("address",'Raw Data'!E177),"\$([A-Z]+)\$[0-9]+"),"")</f>
        <v>$E$177</v>
      </c>
      <c r="F178" t="str" cm="1">
        <f t="array" aca="1" ref="F178" ca="1">IF('Raw Data'!F177="",_xlfn.REGEXEXTRACT(CELL("address",'Raw Data'!F177),"\$([A-Z]+)\$[0-9]+"),"")</f>
        <v>$F$177</v>
      </c>
      <c r="G178" t="str" cm="1">
        <f t="array" aca="1" ref="G178" ca="1">IF('Raw Data'!G177="",_xlfn.REGEXEXTRACT(CELL("address",'Raw Data'!G177),"\$([A-Z]+)\$[0-9]+"),"")</f>
        <v>$G$177</v>
      </c>
      <c r="H178" t="str" cm="1">
        <f t="array" aca="1" ref="H178" ca="1">IF('Raw Data'!H177="",_xlfn.REGEXEXTRACT(CELL("address",'Raw Data'!H177),"\$([A-Z]+)\$[0-9]+"),"")</f>
        <v>$H$177</v>
      </c>
      <c r="I178" t="str" cm="1">
        <f t="array" aca="1" ref="I178" ca="1">IF('Raw Data'!I177="",_xlfn.REGEXEXTRACT(CELL("address",'Raw Data'!I177),"\$([A-Z]+)\$[0-9]+"),"")</f>
        <v>$I$177</v>
      </c>
    </row>
    <row r="179" spans="2:9" x14ac:dyDescent="0.25">
      <c r="B179" t="str" cm="1">
        <f t="array" aca="1" ref="B179" ca="1">IF('Raw Data'!B178="",_xlfn.REGEXEXTRACT(CELL("address",'Raw Data'!B178),"\$([A-Z]+)\$[0-9]+"),"")</f>
        <v>$B$178</v>
      </c>
      <c r="C179" t="str" cm="1">
        <f t="array" aca="1" ref="C179" ca="1">IF('Raw Data'!C178="",_xlfn.REGEXEXTRACT(CELL("address",'Raw Data'!C178),"\$([A-Z]+)\$[0-9]+"),"")</f>
        <v>$C$178</v>
      </c>
      <c r="D179" t="str" cm="1">
        <f t="array" aca="1" ref="D179" ca="1">IF('Raw Data'!D178="",_xlfn.REGEXEXTRACT(CELL("address",'Raw Data'!D178),"\$([A-Z]+)\$[0-9]+"),"")</f>
        <v>$D$178</v>
      </c>
      <c r="E179" t="str" cm="1">
        <f t="array" aca="1" ref="E179" ca="1">IF('Raw Data'!E178="",_xlfn.REGEXEXTRACT(CELL("address",'Raw Data'!E178),"\$([A-Z]+)\$[0-9]+"),"")</f>
        <v>$E$178</v>
      </c>
      <c r="F179" t="str" cm="1">
        <f t="array" aca="1" ref="F179" ca="1">IF('Raw Data'!F178="",_xlfn.REGEXEXTRACT(CELL("address",'Raw Data'!F178),"\$([A-Z]+)\$[0-9]+"),"")</f>
        <v>$F$178</v>
      </c>
      <c r="G179" t="str" cm="1">
        <f t="array" aca="1" ref="G179" ca="1">IF('Raw Data'!G178="",_xlfn.REGEXEXTRACT(CELL("address",'Raw Data'!G178),"\$([A-Z]+)\$[0-9]+"),"")</f>
        <v>$G$178</v>
      </c>
      <c r="H179" t="str" cm="1">
        <f t="array" aca="1" ref="H179" ca="1">IF('Raw Data'!H178="",_xlfn.REGEXEXTRACT(CELL("address",'Raw Data'!H178),"\$([A-Z]+)\$[0-9]+"),"")</f>
        <v>$H$178</v>
      </c>
      <c r="I179" t="str" cm="1">
        <f t="array" aca="1" ref="I179" ca="1">IF('Raw Data'!I178="",_xlfn.REGEXEXTRACT(CELL("address",'Raw Data'!I178),"\$([A-Z]+)\$[0-9]+"),"")</f>
        <v>$I$178</v>
      </c>
    </row>
    <row r="180" spans="2:9" x14ac:dyDescent="0.25">
      <c r="B180" t="str" cm="1">
        <f t="array" aca="1" ref="B180" ca="1">IF('Raw Data'!B179="",_xlfn.REGEXEXTRACT(CELL("address",'Raw Data'!B179),"\$([A-Z]+)\$[0-9]+"),"")</f>
        <v>$B$179</v>
      </c>
      <c r="C180" t="str" cm="1">
        <f t="array" aca="1" ref="C180" ca="1">IF('Raw Data'!C179="",_xlfn.REGEXEXTRACT(CELL("address",'Raw Data'!C179),"\$([A-Z]+)\$[0-9]+"),"")</f>
        <v>$C$179</v>
      </c>
      <c r="D180" t="str" cm="1">
        <f t="array" aca="1" ref="D180" ca="1">IF('Raw Data'!D179="",_xlfn.REGEXEXTRACT(CELL("address",'Raw Data'!D179),"\$([A-Z]+)\$[0-9]+"),"")</f>
        <v>$D$179</v>
      </c>
      <c r="E180" t="str" cm="1">
        <f t="array" aca="1" ref="E180" ca="1">IF('Raw Data'!E179="",_xlfn.REGEXEXTRACT(CELL("address",'Raw Data'!E179),"\$([A-Z]+)\$[0-9]+"),"")</f>
        <v>$E$179</v>
      </c>
      <c r="F180" t="str" cm="1">
        <f t="array" aca="1" ref="F180" ca="1">IF('Raw Data'!F179="",_xlfn.REGEXEXTRACT(CELL("address",'Raw Data'!F179),"\$([A-Z]+)\$[0-9]+"),"")</f>
        <v>$F$179</v>
      </c>
      <c r="G180" t="str" cm="1">
        <f t="array" aca="1" ref="G180" ca="1">IF('Raw Data'!G179="",_xlfn.REGEXEXTRACT(CELL("address",'Raw Data'!G179),"\$([A-Z]+)\$[0-9]+"),"")</f>
        <v>$G$179</v>
      </c>
      <c r="H180" t="str" cm="1">
        <f t="array" aca="1" ref="H180" ca="1">IF('Raw Data'!H179="",_xlfn.REGEXEXTRACT(CELL("address",'Raw Data'!H179),"\$([A-Z]+)\$[0-9]+"),"")</f>
        <v>$H$179</v>
      </c>
      <c r="I180" t="str" cm="1">
        <f t="array" aca="1" ref="I180" ca="1">IF('Raw Data'!I179="",_xlfn.REGEXEXTRACT(CELL("address",'Raw Data'!I179),"\$([A-Z]+)\$[0-9]+"),"")</f>
        <v>$I$179</v>
      </c>
    </row>
    <row r="181" spans="2:9" x14ac:dyDescent="0.25">
      <c r="B181" t="str" cm="1">
        <f t="array" aca="1" ref="B181" ca="1">IF('Raw Data'!B180="",_xlfn.REGEXEXTRACT(CELL("address",'Raw Data'!B180),"\$([A-Z]+)\$[0-9]+"),"")</f>
        <v>$B$180</v>
      </c>
      <c r="C181" t="str" cm="1">
        <f t="array" aca="1" ref="C181" ca="1">IF('Raw Data'!C180="",_xlfn.REGEXEXTRACT(CELL("address",'Raw Data'!C180),"\$([A-Z]+)\$[0-9]+"),"")</f>
        <v>$C$180</v>
      </c>
      <c r="D181" t="str" cm="1">
        <f t="array" aca="1" ref="D181" ca="1">IF('Raw Data'!D180="",_xlfn.REGEXEXTRACT(CELL("address",'Raw Data'!D180),"\$([A-Z]+)\$[0-9]+"),"")</f>
        <v>$D$180</v>
      </c>
      <c r="E181" t="str" cm="1">
        <f t="array" aca="1" ref="E181" ca="1">IF('Raw Data'!E180="",_xlfn.REGEXEXTRACT(CELL("address",'Raw Data'!E180),"\$([A-Z]+)\$[0-9]+"),"")</f>
        <v>$E$180</v>
      </c>
      <c r="F181" t="str" cm="1">
        <f t="array" aca="1" ref="F181" ca="1">IF('Raw Data'!F180="",_xlfn.REGEXEXTRACT(CELL("address",'Raw Data'!F180),"\$([A-Z]+)\$[0-9]+"),"")</f>
        <v>$F$180</v>
      </c>
      <c r="G181" t="str" cm="1">
        <f t="array" aca="1" ref="G181" ca="1">IF('Raw Data'!G180="",_xlfn.REGEXEXTRACT(CELL("address",'Raw Data'!G180),"\$([A-Z]+)\$[0-9]+"),"")</f>
        <v>$G$180</v>
      </c>
      <c r="H181" t="str" cm="1">
        <f t="array" aca="1" ref="H181" ca="1">IF('Raw Data'!H180="",_xlfn.REGEXEXTRACT(CELL("address",'Raw Data'!H180),"\$([A-Z]+)\$[0-9]+"),"")</f>
        <v>$H$180</v>
      </c>
      <c r="I181" t="str" cm="1">
        <f t="array" aca="1" ref="I181" ca="1">IF('Raw Data'!I180="",_xlfn.REGEXEXTRACT(CELL("address",'Raw Data'!I180),"\$([A-Z]+)\$[0-9]+"),"")</f>
        <v>$I$180</v>
      </c>
    </row>
    <row r="182" spans="2:9" x14ac:dyDescent="0.25">
      <c r="B182" t="str" cm="1">
        <f t="array" aca="1" ref="B182" ca="1">IF('Raw Data'!B181="",_xlfn.REGEXEXTRACT(CELL("address",'Raw Data'!B181),"\$([A-Z]+)\$[0-9]+"),"")</f>
        <v>$B$181</v>
      </c>
      <c r="C182" t="str" cm="1">
        <f t="array" aca="1" ref="C182" ca="1">IF('Raw Data'!C181="",_xlfn.REGEXEXTRACT(CELL("address",'Raw Data'!C181),"\$([A-Z]+)\$[0-9]+"),"")</f>
        <v>$C$181</v>
      </c>
      <c r="D182" t="str" cm="1">
        <f t="array" aca="1" ref="D182" ca="1">IF('Raw Data'!D181="",_xlfn.REGEXEXTRACT(CELL("address",'Raw Data'!D181),"\$([A-Z]+)\$[0-9]+"),"")</f>
        <v>$D$181</v>
      </c>
      <c r="E182" t="str" cm="1">
        <f t="array" aca="1" ref="E182" ca="1">IF('Raw Data'!E181="",_xlfn.REGEXEXTRACT(CELL("address",'Raw Data'!E181),"\$([A-Z]+)\$[0-9]+"),"")</f>
        <v>$E$181</v>
      </c>
      <c r="F182" t="str" cm="1">
        <f t="array" aca="1" ref="F182" ca="1">IF('Raw Data'!F181="",_xlfn.REGEXEXTRACT(CELL("address",'Raw Data'!F181),"\$([A-Z]+)\$[0-9]+"),"")</f>
        <v>$F$181</v>
      </c>
      <c r="G182" t="str" cm="1">
        <f t="array" aca="1" ref="G182" ca="1">IF('Raw Data'!G181="",_xlfn.REGEXEXTRACT(CELL("address",'Raw Data'!G181),"\$([A-Z]+)\$[0-9]+"),"")</f>
        <v>$G$181</v>
      </c>
      <c r="H182" t="str" cm="1">
        <f t="array" aca="1" ref="H182" ca="1">IF('Raw Data'!H181="",_xlfn.REGEXEXTRACT(CELL("address",'Raw Data'!H181),"\$([A-Z]+)\$[0-9]+"),"")</f>
        <v>$H$181</v>
      </c>
      <c r="I182" t="str" cm="1">
        <f t="array" aca="1" ref="I182" ca="1">IF('Raw Data'!I181="",_xlfn.REGEXEXTRACT(CELL("address",'Raw Data'!I181),"\$([A-Z]+)\$[0-9]+"),"")</f>
        <v>$I$181</v>
      </c>
    </row>
    <row r="183" spans="2:9" x14ac:dyDescent="0.25">
      <c r="B183" t="str" cm="1">
        <f t="array" aca="1" ref="B183" ca="1">IF('Raw Data'!B182="",_xlfn.REGEXEXTRACT(CELL("address",'Raw Data'!B182),"\$([A-Z]+)\$[0-9]+"),"")</f>
        <v>$B$182</v>
      </c>
      <c r="C183" t="str" cm="1">
        <f t="array" aca="1" ref="C183" ca="1">IF('Raw Data'!C182="",_xlfn.REGEXEXTRACT(CELL("address",'Raw Data'!C182),"\$([A-Z]+)\$[0-9]+"),"")</f>
        <v>$C$182</v>
      </c>
      <c r="D183" t="str" cm="1">
        <f t="array" aca="1" ref="D183" ca="1">IF('Raw Data'!D182="",_xlfn.REGEXEXTRACT(CELL("address",'Raw Data'!D182),"\$([A-Z]+)\$[0-9]+"),"")</f>
        <v>$D$182</v>
      </c>
      <c r="E183" t="str" cm="1">
        <f t="array" aca="1" ref="E183" ca="1">IF('Raw Data'!E182="",_xlfn.REGEXEXTRACT(CELL("address",'Raw Data'!E182),"\$([A-Z]+)\$[0-9]+"),"")</f>
        <v>$E$182</v>
      </c>
      <c r="F183" t="str" cm="1">
        <f t="array" aca="1" ref="F183" ca="1">IF('Raw Data'!F182="",_xlfn.REGEXEXTRACT(CELL("address",'Raw Data'!F182),"\$([A-Z]+)\$[0-9]+"),"")</f>
        <v>$F$182</v>
      </c>
      <c r="G183" t="str" cm="1">
        <f t="array" aca="1" ref="G183" ca="1">IF('Raw Data'!G182="",_xlfn.REGEXEXTRACT(CELL("address",'Raw Data'!G182),"\$([A-Z]+)\$[0-9]+"),"")</f>
        <v>$G$182</v>
      </c>
      <c r="H183" t="str" cm="1">
        <f t="array" aca="1" ref="H183" ca="1">IF('Raw Data'!H182="",_xlfn.REGEXEXTRACT(CELL("address",'Raw Data'!H182),"\$([A-Z]+)\$[0-9]+"),"")</f>
        <v>$H$182</v>
      </c>
      <c r="I183" t="str" cm="1">
        <f t="array" aca="1" ref="I183" ca="1">IF('Raw Data'!I182="",_xlfn.REGEXEXTRACT(CELL("address",'Raw Data'!I182),"\$([A-Z]+)\$[0-9]+"),"")</f>
        <v>$I$182</v>
      </c>
    </row>
    <row r="184" spans="2:9" x14ac:dyDescent="0.25">
      <c r="B184" t="str" cm="1">
        <f t="array" aca="1" ref="B184" ca="1">IF('Raw Data'!B183="",_xlfn.REGEXEXTRACT(CELL("address",'Raw Data'!B183),"\$([A-Z]+)\$[0-9]+"),"")</f>
        <v>$B$183</v>
      </c>
      <c r="C184" t="str" cm="1">
        <f t="array" aca="1" ref="C184" ca="1">IF('Raw Data'!C183="",_xlfn.REGEXEXTRACT(CELL("address",'Raw Data'!C183),"\$([A-Z]+)\$[0-9]+"),"")</f>
        <v>$C$183</v>
      </c>
      <c r="D184" t="str" cm="1">
        <f t="array" aca="1" ref="D184" ca="1">IF('Raw Data'!D183="",_xlfn.REGEXEXTRACT(CELL("address",'Raw Data'!D183),"\$([A-Z]+)\$[0-9]+"),"")</f>
        <v>$D$183</v>
      </c>
      <c r="E184" t="str" cm="1">
        <f t="array" aca="1" ref="E184" ca="1">IF('Raw Data'!E183="",_xlfn.REGEXEXTRACT(CELL("address",'Raw Data'!E183),"\$([A-Z]+)\$[0-9]+"),"")</f>
        <v>$E$183</v>
      </c>
      <c r="F184" t="str" cm="1">
        <f t="array" aca="1" ref="F184" ca="1">IF('Raw Data'!F183="",_xlfn.REGEXEXTRACT(CELL("address",'Raw Data'!F183),"\$([A-Z]+)\$[0-9]+"),"")</f>
        <v>$F$183</v>
      </c>
      <c r="G184" t="str" cm="1">
        <f t="array" aca="1" ref="G184" ca="1">IF('Raw Data'!G183="",_xlfn.REGEXEXTRACT(CELL("address",'Raw Data'!G183),"\$([A-Z]+)\$[0-9]+"),"")</f>
        <v>$G$183</v>
      </c>
      <c r="H184" t="str" cm="1">
        <f t="array" aca="1" ref="H184" ca="1">IF('Raw Data'!H183="",_xlfn.REGEXEXTRACT(CELL("address",'Raw Data'!H183),"\$([A-Z]+)\$[0-9]+"),"")</f>
        <v>$H$183</v>
      </c>
      <c r="I184" t="str" cm="1">
        <f t="array" aca="1" ref="I184" ca="1">IF('Raw Data'!I183="",_xlfn.REGEXEXTRACT(CELL("address",'Raw Data'!I183),"\$([A-Z]+)\$[0-9]+"),"")</f>
        <v>$I$183</v>
      </c>
    </row>
    <row r="185" spans="2:9" x14ac:dyDescent="0.25">
      <c r="B185" t="str" cm="1">
        <f t="array" aca="1" ref="B185" ca="1">IF('Raw Data'!B184="",_xlfn.REGEXEXTRACT(CELL("address",'Raw Data'!B184),"\$([A-Z]+)\$[0-9]+"),"")</f>
        <v>$B$184</v>
      </c>
      <c r="C185" t="str" cm="1">
        <f t="array" aca="1" ref="C185" ca="1">IF('Raw Data'!C184="",_xlfn.REGEXEXTRACT(CELL("address",'Raw Data'!C184),"\$([A-Z]+)\$[0-9]+"),"")</f>
        <v>$C$184</v>
      </c>
      <c r="D185" t="str" cm="1">
        <f t="array" aca="1" ref="D185" ca="1">IF('Raw Data'!D184="",_xlfn.REGEXEXTRACT(CELL("address",'Raw Data'!D184),"\$([A-Z]+)\$[0-9]+"),"")</f>
        <v>$D$184</v>
      </c>
      <c r="E185" t="str" cm="1">
        <f t="array" aca="1" ref="E185" ca="1">IF('Raw Data'!E184="",_xlfn.REGEXEXTRACT(CELL("address",'Raw Data'!E184),"\$([A-Z]+)\$[0-9]+"),"")</f>
        <v>$E$184</v>
      </c>
      <c r="F185" t="str" cm="1">
        <f t="array" aca="1" ref="F185" ca="1">IF('Raw Data'!F184="",_xlfn.REGEXEXTRACT(CELL("address",'Raw Data'!F184),"\$([A-Z]+)\$[0-9]+"),"")</f>
        <v>$F$184</v>
      </c>
      <c r="G185" t="str" cm="1">
        <f t="array" aca="1" ref="G185" ca="1">IF('Raw Data'!G184="",_xlfn.REGEXEXTRACT(CELL("address",'Raw Data'!G184),"\$([A-Z]+)\$[0-9]+"),"")</f>
        <v>$G$184</v>
      </c>
      <c r="H185" t="str" cm="1">
        <f t="array" aca="1" ref="H185" ca="1">IF('Raw Data'!H184="",_xlfn.REGEXEXTRACT(CELL("address",'Raw Data'!H184),"\$([A-Z]+)\$[0-9]+"),"")</f>
        <v>$H$184</v>
      </c>
      <c r="I185" t="str" cm="1">
        <f t="array" aca="1" ref="I185" ca="1">IF('Raw Data'!I184="",_xlfn.REGEXEXTRACT(CELL("address",'Raw Data'!I184),"\$([A-Z]+)\$[0-9]+"),"")</f>
        <v>$I$184</v>
      </c>
    </row>
    <row r="186" spans="2:9" x14ac:dyDescent="0.25">
      <c r="B186" t="str" cm="1">
        <f t="array" aca="1" ref="B186" ca="1">IF('Raw Data'!B185="",_xlfn.REGEXEXTRACT(CELL("address",'Raw Data'!B185),"\$([A-Z]+)\$[0-9]+"),"")</f>
        <v>$B$185</v>
      </c>
      <c r="C186" t="str" cm="1">
        <f t="array" aca="1" ref="C186" ca="1">IF('Raw Data'!C185="",_xlfn.REGEXEXTRACT(CELL("address",'Raw Data'!C185),"\$([A-Z]+)\$[0-9]+"),"")</f>
        <v>$C$185</v>
      </c>
      <c r="D186" t="str" cm="1">
        <f t="array" aca="1" ref="D186" ca="1">IF('Raw Data'!D185="",_xlfn.REGEXEXTRACT(CELL("address",'Raw Data'!D185),"\$([A-Z]+)\$[0-9]+"),"")</f>
        <v>$D$185</v>
      </c>
      <c r="E186" t="str" cm="1">
        <f t="array" aca="1" ref="E186" ca="1">IF('Raw Data'!E185="",_xlfn.REGEXEXTRACT(CELL("address",'Raw Data'!E185),"\$([A-Z]+)\$[0-9]+"),"")</f>
        <v>$E$185</v>
      </c>
      <c r="F186" t="str" cm="1">
        <f t="array" aca="1" ref="F186" ca="1">IF('Raw Data'!F185="",_xlfn.REGEXEXTRACT(CELL("address",'Raw Data'!F185),"\$([A-Z]+)\$[0-9]+"),"")</f>
        <v>$F$185</v>
      </c>
      <c r="G186" t="str" cm="1">
        <f t="array" aca="1" ref="G186" ca="1">IF('Raw Data'!G185="",_xlfn.REGEXEXTRACT(CELL("address",'Raw Data'!G185),"\$([A-Z]+)\$[0-9]+"),"")</f>
        <v>$G$185</v>
      </c>
      <c r="H186" t="str" cm="1">
        <f t="array" aca="1" ref="H186" ca="1">IF('Raw Data'!H185="",_xlfn.REGEXEXTRACT(CELL("address",'Raw Data'!H185),"\$([A-Z]+)\$[0-9]+"),"")</f>
        <v>$H$185</v>
      </c>
      <c r="I186" t="str" cm="1">
        <f t="array" aca="1" ref="I186" ca="1">IF('Raw Data'!I185="",_xlfn.REGEXEXTRACT(CELL("address",'Raw Data'!I185),"\$([A-Z]+)\$[0-9]+"),"")</f>
        <v>$I$185</v>
      </c>
    </row>
    <row r="187" spans="2:9" x14ac:dyDescent="0.25">
      <c r="B187" t="str" cm="1">
        <f t="array" aca="1" ref="B187" ca="1">IF('Raw Data'!B186="",_xlfn.REGEXEXTRACT(CELL("address",'Raw Data'!B186),"\$([A-Z]+)\$[0-9]+"),"")</f>
        <v>$B$186</v>
      </c>
      <c r="C187" t="str" cm="1">
        <f t="array" aca="1" ref="C187" ca="1">IF('Raw Data'!C186="",_xlfn.REGEXEXTRACT(CELL("address",'Raw Data'!C186),"\$([A-Z]+)\$[0-9]+"),"")</f>
        <v>$C$186</v>
      </c>
      <c r="D187" t="str" cm="1">
        <f t="array" aca="1" ref="D187" ca="1">IF('Raw Data'!D186="",_xlfn.REGEXEXTRACT(CELL("address",'Raw Data'!D186),"\$([A-Z]+)\$[0-9]+"),"")</f>
        <v>$D$186</v>
      </c>
      <c r="E187" t="str" cm="1">
        <f t="array" aca="1" ref="E187" ca="1">IF('Raw Data'!E186="",_xlfn.REGEXEXTRACT(CELL("address",'Raw Data'!E186),"\$([A-Z]+)\$[0-9]+"),"")</f>
        <v>$E$186</v>
      </c>
      <c r="F187" t="str" cm="1">
        <f t="array" aca="1" ref="F187" ca="1">IF('Raw Data'!F186="",_xlfn.REGEXEXTRACT(CELL("address",'Raw Data'!F186),"\$([A-Z]+)\$[0-9]+"),"")</f>
        <v>$F$186</v>
      </c>
      <c r="G187" t="str" cm="1">
        <f t="array" aca="1" ref="G187" ca="1">IF('Raw Data'!G186="",_xlfn.REGEXEXTRACT(CELL("address",'Raw Data'!G186),"\$([A-Z]+)\$[0-9]+"),"")</f>
        <v>$G$186</v>
      </c>
      <c r="H187" t="str" cm="1">
        <f t="array" aca="1" ref="H187" ca="1">IF('Raw Data'!H186="",_xlfn.REGEXEXTRACT(CELL("address",'Raw Data'!H186),"\$([A-Z]+)\$[0-9]+"),"")</f>
        <v>$H$186</v>
      </c>
      <c r="I187" t="str" cm="1">
        <f t="array" aca="1" ref="I187" ca="1">IF('Raw Data'!I186="",_xlfn.REGEXEXTRACT(CELL("address",'Raw Data'!I186),"\$([A-Z]+)\$[0-9]+"),"")</f>
        <v>$I$186</v>
      </c>
    </row>
    <row r="188" spans="2:9" x14ac:dyDescent="0.25">
      <c r="B188" t="str" cm="1">
        <f t="array" aca="1" ref="B188" ca="1">IF('Raw Data'!B187="",_xlfn.REGEXEXTRACT(CELL("address",'Raw Data'!B187),"\$([A-Z]+)\$[0-9]+"),"")</f>
        <v>$B$187</v>
      </c>
      <c r="C188" t="str" cm="1">
        <f t="array" aca="1" ref="C188" ca="1">IF('Raw Data'!C187="",_xlfn.REGEXEXTRACT(CELL("address",'Raw Data'!C187),"\$([A-Z]+)\$[0-9]+"),"")</f>
        <v>$C$187</v>
      </c>
      <c r="D188" t="str" cm="1">
        <f t="array" aca="1" ref="D188" ca="1">IF('Raw Data'!D187="",_xlfn.REGEXEXTRACT(CELL("address",'Raw Data'!D187),"\$([A-Z]+)\$[0-9]+"),"")</f>
        <v>$D$187</v>
      </c>
      <c r="E188" t="str" cm="1">
        <f t="array" aca="1" ref="E188" ca="1">IF('Raw Data'!E187="",_xlfn.REGEXEXTRACT(CELL("address",'Raw Data'!E187),"\$([A-Z]+)\$[0-9]+"),"")</f>
        <v>$E$187</v>
      </c>
      <c r="F188" t="str" cm="1">
        <f t="array" aca="1" ref="F188" ca="1">IF('Raw Data'!F187="",_xlfn.REGEXEXTRACT(CELL("address",'Raw Data'!F187),"\$([A-Z]+)\$[0-9]+"),"")</f>
        <v>$F$187</v>
      </c>
      <c r="G188" t="str" cm="1">
        <f t="array" aca="1" ref="G188" ca="1">IF('Raw Data'!G187="",_xlfn.REGEXEXTRACT(CELL("address",'Raw Data'!G187),"\$([A-Z]+)\$[0-9]+"),"")</f>
        <v>$G$187</v>
      </c>
      <c r="H188" t="str" cm="1">
        <f t="array" aca="1" ref="H188" ca="1">IF('Raw Data'!H187="",_xlfn.REGEXEXTRACT(CELL("address",'Raw Data'!H187),"\$([A-Z]+)\$[0-9]+"),"")</f>
        <v>$H$187</v>
      </c>
      <c r="I188" t="str" cm="1">
        <f t="array" aca="1" ref="I188" ca="1">IF('Raw Data'!I187="",_xlfn.REGEXEXTRACT(CELL("address",'Raw Data'!I187),"\$([A-Z]+)\$[0-9]+"),"")</f>
        <v>$I$187</v>
      </c>
    </row>
    <row r="189" spans="2:9" x14ac:dyDescent="0.25">
      <c r="B189" t="str" cm="1">
        <f t="array" aca="1" ref="B189" ca="1">IF('Raw Data'!B188="",_xlfn.REGEXEXTRACT(CELL("address",'Raw Data'!B188),"\$([A-Z]+)\$[0-9]+"),"")</f>
        <v>$B$188</v>
      </c>
      <c r="C189" t="str" cm="1">
        <f t="array" aca="1" ref="C189" ca="1">IF('Raw Data'!C188="",_xlfn.REGEXEXTRACT(CELL("address",'Raw Data'!C188),"\$([A-Z]+)\$[0-9]+"),"")</f>
        <v>$C$188</v>
      </c>
      <c r="D189" t="str" cm="1">
        <f t="array" aca="1" ref="D189" ca="1">IF('Raw Data'!D188="",_xlfn.REGEXEXTRACT(CELL("address",'Raw Data'!D188),"\$([A-Z]+)\$[0-9]+"),"")</f>
        <v>$D$188</v>
      </c>
      <c r="E189" t="str" cm="1">
        <f t="array" aca="1" ref="E189" ca="1">IF('Raw Data'!E188="",_xlfn.REGEXEXTRACT(CELL("address",'Raw Data'!E188),"\$([A-Z]+)\$[0-9]+"),"")</f>
        <v>$E$188</v>
      </c>
      <c r="F189" t="str" cm="1">
        <f t="array" aca="1" ref="F189" ca="1">IF('Raw Data'!F188="",_xlfn.REGEXEXTRACT(CELL("address",'Raw Data'!F188),"\$([A-Z]+)\$[0-9]+"),"")</f>
        <v>$F$188</v>
      </c>
      <c r="G189" t="str" cm="1">
        <f t="array" aca="1" ref="G189" ca="1">IF('Raw Data'!G188="",_xlfn.REGEXEXTRACT(CELL("address",'Raw Data'!G188),"\$([A-Z]+)\$[0-9]+"),"")</f>
        <v>$G$188</v>
      </c>
      <c r="H189" t="str" cm="1">
        <f t="array" aca="1" ref="H189" ca="1">IF('Raw Data'!H188="",_xlfn.REGEXEXTRACT(CELL("address",'Raw Data'!H188),"\$([A-Z]+)\$[0-9]+"),"")</f>
        <v>$H$188</v>
      </c>
      <c r="I189" t="str" cm="1">
        <f t="array" aca="1" ref="I189" ca="1">IF('Raw Data'!I188="",_xlfn.REGEXEXTRACT(CELL("address",'Raw Data'!I188),"\$([A-Z]+)\$[0-9]+"),"")</f>
        <v>$I$188</v>
      </c>
    </row>
    <row r="190" spans="2:9" x14ac:dyDescent="0.25">
      <c r="B190" t="str" cm="1">
        <f t="array" aca="1" ref="B190" ca="1">IF('Raw Data'!B189="",_xlfn.REGEXEXTRACT(CELL("address",'Raw Data'!B189),"\$([A-Z]+)\$[0-9]+"),"")</f>
        <v>$B$189</v>
      </c>
      <c r="C190" t="str" cm="1">
        <f t="array" aca="1" ref="C190" ca="1">IF('Raw Data'!C189="",_xlfn.REGEXEXTRACT(CELL("address",'Raw Data'!C189),"\$([A-Z]+)\$[0-9]+"),"")</f>
        <v>$C$189</v>
      </c>
      <c r="D190" t="str" cm="1">
        <f t="array" aca="1" ref="D190" ca="1">IF('Raw Data'!D189="",_xlfn.REGEXEXTRACT(CELL("address",'Raw Data'!D189),"\$([A-Z]+)\$[0-9]+"),"")</f>
        <v>$D$189</v>
      </c>
      <c r="E190" t="str" cm="1">
        <f t="array" aca="1" ref="E190" ca="1">IF('Raw Data'!E189="",_xlfn.REGEXEXTRACT(CELL("address",'Raw Data'!E189),"\$([A-Z]+)\$[0-9]+"),"")</f>
        <v>$E$189</v>
      </c>
      <c r="F190" t="str" cm="1">
        <f t="array" aca="1" ref="F190" ca="1">IF('Raw Data'!F189="",_xlfn.REGEXEXTRACT(CELL("address",'Raw Data'!F189),"\$([A-Z]+)\$[0-9]+"),"")</f>
        <v>$F$189</v>
      </c>
      <c r="G190" t="str" cm="1">
        <f t="array" aca="1" ref="G190" ca="1">IF('Raw Data'!G189="",_xlfn.REGEXEXTRACT(CELL("address",'Raw Data'!G189),"\$([A-Z]+)\$[0-9]+"),"")</f>
        <v>$G$189</v>
      </c>
      <c r="H190" t="str" cm="1">
        <f t="array" aca="1" ref="H190" ca="1">IF('Raw Data'!H189="",_xlfn.REGEXEXTRACT(CELL("address",'Raw Data'!H189),"\$([A-Z]+)\$[0-9]+"),"")</f>
        <v>$H$189</v>
      </c>
      <c r="I190" t="str" cm="1">
        <f t="array" aca="1" ref="I190" ca="1">IF('Raw Data'!I189="",_xlfn.REGEXEXTRACT(CELL("address",'Raw Data'!I189),"\$([A-Z]+)\$[0-9]+"),"")</f>
        <v>$I$189</v>
      </c>
    </row>
    <row r="191" spans="2:9" x14ac:dyDescent="0.25">
      <c r="B191" t="str" cm="1">
        <f t="array" aca="1" ref="B191" ca="1">IF('Raw Data'!B190="",_xlfn.REGEXEXTRACT(CELL("address",'Raw Data'!B190),"\$([A-Z]+)\$[0-9]+"),"")</f>
        <v>$B$190</v>
      </c>
      <c r="C191" t="str" cm="1">
        <f t="array" aca="1" ref="C191" ca="1">IF('Raw Data'!C190="",_xlfn.REGEXEXTRACT(CELL("address",'Raw Data'!C190),"\$([A-Z]+)\$[0-9]+"),"")</f>
        <v>$C$190</v>
      </c>
      <c r="D191" t="str" cm="1">
        <f t="array" aca="1" ref="D191" ca="1">IF('Raw Data'!D190="",_xlfn.REGEXEXTRACT(CELL("address",'Raw Data'!D190),"\$([A-Z]+)\$[0-9]+"),"")</f>
        <v>$D$190</v>
      </c>
      <c r="E191" t="str" cm="1">
        <f t="array" aca="1" ref="E191" ca="1">IF('Raw Data'!E190="",_xlfn.REGEXEXTRACT(CELL("address",'Raw Data'!E190),"\$([A-Z]+)\$[0-9]+"),"")</f>
        <v>$E$190</v>
      </c>
      <c r="F191" t="str" cm="1">
        <f t="array" aca="1" ref="F191" ca="1">IF('Raw Data'!F190="",_xlfn.REGEXEXTRACT(CELL("address",'Raw Data'!F190),"\$([A-Z]+)\$[0-9]+"),"")</f>
        <v>$F$190</v>
      </c>
      <c r="G191" t="str" cm="1">
        <f t="array" aca="1" ref="G191" ca="1">IF('Raw Data'!G190="",_xlfn.REGEXEXTRACT(CELL("address",'Raw Data'!G190),"\$([A-Z]+)\$[0-9]+"),"")</f>
        <v>$G$190</v>
      </c>
      <c r="H191" t="str" cm="1">
        <f t="array" aca="1" ref="H191" ca="1">IF('Raw Data'!H190="",_xlfn.REGEXEXTRACT(CELL("address",'Raw Data'!H190),"\$([A-Z]+)\$[0-9]+"),"")</f>
        <v>$H$190</v>
      </c>
      <c r="I191" t="str" cm="1">
        <f t="array" aca="1" ref="I191" ca="1">IF('Raw Data'!I190="",_xlfn.REGEXEXTRACT(CELL("address",'Raw Data'!I190),"\$([A-Z]+)\$[0-9]+"),"")</f>
        <v>$I$190</v>
      </c>
    </row>
    <row r="192" spans="2:9" x14ac:dyDescent="0.25">
      <c r="B192" t="str" cm="1">
        <f t="array" aca="1" ref="B192" ca="1">IF('Raw Data'!B191="",_xlfn.REGEXEXTRACT(CELL("address",'Raw Data'!B191),"\$([A-Z]+)\$[0-9]+"),"")</f>
        <v>$B$191</v>
      </c>
      <c r="C192" t="str" cm="1">
        <f t="array" aca="1" ref="C192" ca="1">IF('Raw Data'!C191="",_xlfn.REGEXEXTRACT(CELL("address",'Raw Data'!C191),"\$([A-Z]+)\$[0-9]+"),"")</f>
        <v>$C$191</v>
      </c>
      <c r="D192" t="str" cm="1">
        <f t="array" aca="1" ref="D192" ca="1">IF('Raw Data'!D191="",_xlfn.REGEXEXTRACT(CELL("address",'Raw Data'!D191),"\$([A-Z]+)\$[0-9]+"),"")</f>
        <v>$D$191</v>
      </c>
      <c r="E192" t="str" cm="1">
        <f t="array" aca="1" ref="E192" ca="1">IF('Raw Data'!E191="",_xlfn.REGEXEXTRACT(CELL("address",'Raw Data'!E191),"\$([A-Z]+)\$[0-9]+"),"")</f>
        <v>$E$191</v>
      </c>
      <c r="F192" t="str" cm="1">
        <f t="array" aca="1" ref="F192" ca="1">IF('Raw Data'!F191="",_xlfn.REGEXEXTRACT(CELL("address",'Raw Data'!F191),"\$([A-Z]+)\$[0-9]+"),"")</f>
        <v>$F$191</v>
      </c>
      <c r="G192" t="str" cm="1">
        <f t="array" aca="1" ref="G192" ca="1">IF('Raw Data'!G191="",_xlfn.REGEXEXTRACT(CELL("address",'Raw Data'!G191),"\$([A-Z]+)\$[0-9]+"),"")</f>
        <v>$G$191</v>
      </c>
      <c r="H192" t="str" cm="1">
        <f t="array" aca="1" ref="H192" ca="1">IF('Raw Data'!H191="",_xlfn.REGEXEXTRACT(CELL("address",'Raw Data'!H191),"\$([A-Z]+)\$[0-9]+"),"")</f>
        <v>$H$191</v>
      </c>
      <c r="I192" t="str" cm="1">
        <f t="array" aca="1" ref="I192" ca="1">IF('Raw Data'!I191="",_xlfn.REGEXEXTRACT(CELL("address",'Raw Data'!I191),"\$([A-Z]+)\$[0-9]+"),"")</f>
        <v>$I$191</v>
      </c>
    </row>
    <row r="193" spans="2:9" x14ac:dyDescent="0.25">
      <c r="B193" t="str" cm="1">
        <f t="array" aca="1" ref="B193" ca="1">IF('Raw Data'!B192="",_xlfn.REGEXEXTRACT(CELL("address",'Raw Data'!B192),"\$([A-Z]+)\$[0-9]+"),"")</f>
        <v>$B$192</v>
      </c>
      <c r="C193" t="str" cm="1">
        <f t="array" aca="1" ref="C193" ca="1">IF('Raw Data'!C192="",_xlfn.REGEXEXTRACT(CELL("address",'Raw Data'!C192),"\$([A-Z]+)\$[0-9]+"),"")</f>
        <v>$C$192</v>
      </c>
      <c r="D193" t="str" cm="1">
        <f t="array" aca="1" ref="D193" ca="1">IF('Raw Data'!D192="",_xlfn.REGEXEXTRACT(CELL("address",'Raw Data'!D192),"\$([A-Z]+)\$[0-9]+"),"")</f>
        <v>$D$192</v>
      </c>
      <c r="E193" t="str" cm="1">
        <f t="array" aca="1" ref="E193" ca="1">IF('Raw Data'!E192="",_xlfn.REGEXEXTRACT(CELL("address",'Raw Data'!E192),"\$([A-Z]+)\$[0-9]+"),"")</f>
        <v>$E$192</v>
      </c>
      <c r="F193" t="str" cm="1">
        <f t="array" aca="1" ref="F193" ca="1">IF('Raw Data'!F192="",_xlfn.REGEXEXTRACT(CELL("address",'Raw Data'!F192),"\$([A-Z]+)\$[0-9]+"),"")</f>
        <v>$F$192</v>
      </c>
      <c r="G193" t="str" cm="1">
        <f t="array" aca="1" ref="G193" ca="1">IF('Raw Data'!G192="",_xlfn.REGEXEXTRACT(CELL("address",'Raw Data'!G192),"\$([A-Z]+)\$[0-9]+"),"")</f>
        <v>$G$192</v>
      </c>
      <c r="H193" t="str" cm="1">
        <f t="array" aca="1" ref="H193" ca="1">IF('Raw Data'!H192="",_xlfn.REGEXEXTRACT(CELL("address",'Raw Data'!H192),"\$([A-Z]+)\$[0-9]+"),"")</f>
        <v>$H$192</v>
      </c>
      <c r="I193" t="str" cm="1">
        <f t="array" aca="1" ref="I193" ca="1">IF('Raw Data'!I192="",_xlfn.REGEXEXTRACT(CELL("address",'Raw Data'!I192),"\$([A-Z]+)\$[0-9]+"),"")</f>
        <v>$I$192</v>
      </c>
    </row>
    <row r="194" spans="2:9" x14ac:dyDescent="0.25">
      <c r="B194" t="str" cm="1">
        <f t="array" aca="1" ref="B194" ca="1">IF('Raw Data'!B193="",_xlfn.REGEXEXTRACT(CELL("address",'Raw Data'!B193),"\$([A-Z]+)\$[0-9]+"),"")</f>
        <v>$B$193</v>
      </c>
      <c r="C194" t="str" cm="1">
        <f t="array" aca="1" ref="C194" ca="1">IF('Raw Data'!C193="",_xlfn.REGEXEXTRACT(CELL("address",'Raw Data'!C193),"\$([A-Z]+)\$[0-9]+"),"")</f>
        <v>$C$193</v>
      </c>
      <c r="D194" t="str" cm="1">
        <f t="array" aca="1" ref="D194" ca="1">IF('Raw Data'!D193="",_xlfn.REGEXEXTRACT(CELL("address",'Raw Data'!D193),"\$([A-Z]+)\$[0-9]+"),"")</f>
        <v>$D$193</v>
      </c>
      <c r="E194" t="str" cm="1">
        <f t="array" aca="1" ref="E194" ca="1">IF('Raw Data'!E193="",_xlfn.REGEXEXTRACT(CELL("address",'Raw Data'!E193),"\$([A-Z]+)\$[0-9]+"),"")</f>
        <v>$E$193</v>
      </c>
      <c r="F194" t="str" cm="1">
        <f t="array" aca="1" ref="F194" ca="1">IF('Raw Data'!F193="",_xlfn.REGEXEXTRACT(CELL("address",'Raw Data'!F193),"\$([A-Z]+)\$[0-9]+"),"")</f>
        <v>$F$193</v>
      </c>
      <c r="G194" t="str" cm="1">
        <f t="array" aca="1" ref="G194" ca="1">IF('Raw Data'!G193="",_xlfn.REGEXEXTRACT(CELL("address",'Raw Data'!G193),"\$([A-Z]+)\$[0-9]+"),"")</f>
        <v>$G$193</v>
      </c>
      <c r="H194" t="str" cm="1">
        <f t="array" aca="1" ref="H194" ca="1">IF('Raw Data'!H193="",_xlfn.REGEXEXTRACT(CELL("address",'Raw Data'!H193),"\$([A-Z]+)\$[0-9]+"),"")</f>
        <v>$H$193</v>
      </c>
      <c r="I194" t="str" cm="1">
        <f t="array" aca="1" ref="I194" ca="1">IF('Raw Data'!I193="",_xlfn.REGEXEXTRACT(CELL("address",'Raw Data'!I193),"\$([A-Z]+)\$[0-9]+"),"")</f>
        <v>$I$193</v>
      </c>
    </row>
    <row r="195" spans="2:9" x14ac:dyDescent="0.25">
      <c r="B195" t="str" cm="1">
        <f t="array" aca="1" ref="B195" ca="1">IF('Raw Data'!B194="",_xlfn.REGEXEXTRACT(CELL("address",'Raw Data'!B194),"\$([A-Z]+)\$[0-9]+"),"")</f>
        <v>$B$194</v>
      </c>
      <c r="C195" t="str" cm="1">
        <f t="array" aca="1" ref="C195" ca="1">IF('Raw Data'!C194="",_xlfn.REGEXEXTRACT(CELL("address",'Raw Data'!C194),"\$([A-Z]+)\$[0-9]+"),"")</f>
        <v>$C$194</v>
      </c>
      <c r="D195" t="str" cm="1">
        <f t="array" aca="1" ref="D195" ca="1">IF('Raw Data'!D194="",_xlfn.REGEXEXTRACT(CELL("address",'Raw Data'!D194),"\$([A-Z]+)\$[0-9]+"),"")</f>
        <v>$D$194</v>
      </c>
      <c r="E195" t="str" cm="1">
        <f t="array" aca="1" ref="E195" ca="1">IF('Raw Data'!E194="",_xlfn.REGEXEXTRACT(CELL("address",'Raw Data'!E194),"\$([A-Z]+)\$[0-9]+"),"")</f>
        <v>$E$194</v>
      </c>
      <c r="F195" t="str" cm="1">
        <f t="array" aca="1" ref="F195" ca="1">IF('Raw Data'!F194="",_xlfn.REGEXEXTRACT(CELL("address",'Raw Data'!F194),"\$([A-Z]+)\$[0-9]+"),"")</f>
        <v>$F$194</v>
      </c>
      <c r="G195" t="str" cm="1">
        <f t="array" aca="1" ref="G195" ca="1">IF('Raw Data'!G194="",_xlfn.REGEXEXTRACT(CELL("address",'Raw Data'!G194),"\$([A-Z]+)\$[0-9]+"),"")</f>
        <v>$G$194</v>
      </c>
      <c r="H195" t="str" cm="1">
        <f t="array" aca="1" ref="H195" ca="1">IF('Raw Data'!H194="",_xlfn.REGEXEXTRACT(CELL("address",'Raw Data'!H194),"\$([A-Z]+)\$[0-9]+"),"")</f>
        <v>$H$194</v>
      </c>
      <c r="I195" t="str" cm="1">
        <f t="array" aca="1" ref="I195" ca="1">IF('Raw Data'!I194="",_xlfn.REGEXEXTRACT(CELL("address",'Raw Data'!I194),"\$([A-Z]+)\$[0-9]+"),"")</f>
        <v>$I$194</v>
      </c>
    </row>
    <row r="196" spans="2:9" x14ac:dyDescent="0.25">
      <c r="B196" t="str" cm="1">
        <f t="array" aca="1" ref="B196" ca="1">IF('Raw Data'!B195="",_xlfn.REGEXEXTRACT(CELL("address",'Raw Data'!B195),"\$([A-Z]+)\$[0-9]+"),"")</f>
        <v>$B$195</v>
      </c>
      <c r="C196" t="str" cm="1">
        <f t="array" aca="1" ref="C196" ca="1">IF('Raw Data'!C195="",_xlfn.REGEXEXTRACT(CELL("address",'Raw Data'!C195),"\$([A-Z]+)\$[0-9]+"),"")</f>
        <v>$C$195</v>
      </c>
      <c r="D196" t="str" cm="1">
        <f t="array" aca="1" ref="D196" ca="1">IF('Raw Data'!D195="",_xlfn.REGEXEXTRACT(CELL("address",'Raw Data'!D195),"\$([A-Z]+)\$[0-9]+"),"")</f>
        <v>$D$195</v>
      </c>
      <c r="E196" t="str" cm="1">
        <f t="array" aca="1" ref="E196" ca="1">IF('Raw Data'!E195="",_xlfn.REGEXEXTRACT(CELL("address",'Raw Data'!E195),"\$([A-Z]+)\$[0-9]+"),"")</f>
        <v>$E$195</v>
      </c>
      <c r="F196" t="str" cm="1">
        <f t="array" aca="1" ref="F196" ca="1">IF('Raw Data'!F195="",_xlfn.REGEXEXTRACT(CELL("address",'Raw Data'!F195),"\$([A-Z]+)\$[0-9]+"),"")</f>
        <v>$F$195</v>
      </c>
      <c r="G196" t="str" cm="1">
        <f t="array" aca="1" ref="G196" ca="1">IF('Raw Data'!G195="",_xlfn.REGEXEXTRACT(CELL("address",'Raw Data'!G195),"\$([A-Z]+)\$[0-9]+"),"")</f>
        <v>$G$195</v>
      </c>
      <c r="H196" t="str" cm="1">
        <f t="array" aca="1" ref="H196" ca="1">IF('Raw Data'!H195="",_xlfn.REGEXEXTRACT(CELL("address",'Raw Data'!H195),"\$([A-Z]+)\$[0-9]+"),"")</f>
        <v>$H$195</v>
      </c>
      <c r="I196" t="str" cm="1">
        <f t="array" aca="1" ref="I196" ca="1">IF('Raw Data'!I195="",_xlfn.REGEXEXTRACT(CELL("address",'Raw Data'!I195),"\$([A-Z]+)\$[0-9]+"),"")</f>
        <v>$I$195</v>
      </c>
    </row>
    <row r="197" spans="2:9" x14ac:dyDescent="0.25">
      <c r="B197" t="str" cm="1">
        <f t="array" aca="1" ref="B197" ca="1">IF('Raw Data'!B196="",_xlfn.REGEXEXTRACT(CELL("address",'Raw Data'!B196),"\$([A-Z]+)\$[0-9]+"),"")</f>
        <v>$B$196</v>
      </c>
      <c r="C197" t="str" cm="1">
        <f t="array" aca="1" ref="C197" ca="1">IF('Raw Data'!C196="",_xlfn.REGEXEXTRACT(CELL("address",'Raw Data'!C196),"\$([A-Z]+)\$[0-9]+"),"")</f>
        <v>$C$196</v>
      </c>
      <c r="D197" t="str" cm="1">
        <f t="array" aca="1" ref="D197" ca="1">IF('Raw Data'!D196="",_xlfn.REGEXEXTRACT(CELL("address",'Raw Data'!D196),"\$([A-Z]+)\$[0-9]+"),"")</f>
        <v>$D$196</v>
      </c>
      <c r="E197" t="str" cm="1">
        <f t="array" aca="1" ref="E197" ca="1">IF('Raw Data'!E196="",_xlfn.REGEXEXTRACT(CELL("address",'Raw Data'!E196),"\$([A-Z]+)\$[0-9]+"),"")</f>
        <v>$E$196</v>
      </c>
      <c r="F197" t="str" cm="1">
        <f t="array" aca="1" ref="F197" ca="1">IF('Raw Data'!F196="",_xlfn.REGEXEXTRACT(CELL("address",'Raw Data'!F196),"\$([A-Z]+)\$[0-9]+"),"")</f>
        <v>$F$196</v>
      </c>
      <c r="G197" t="str" cm="1">
        <f t="array" aca="1" ref="G197" ca="1">IF('Raw Data'!G196="",_xlfn.REGEXEXTRACT(CELL("address",'Raw Data'!G196),"\$([A-Z]+)\$[0-9]+"),"")</f>
        <v>$G$196</v>
      </c>
      <c r="H197" t="str" cm="1">
        <f t="array" aca="1" ref="H197" ca="1">IF('Raw Data'!H196="",_xlfn.REGEXEXTRACT(CELL("address",'Raw Data'!H196),"\$([A-Z]+)\$[0-9]+"),"")</f>
        <v>$H$196</v>
      </c>
      <c r="I197" t="str" cm="1">
        <f t="array" aca="1" ref="I197" ca="1">IF('Raw Data'!I196="",_xlfn.REGEXEXTRACT(CELL("address",'Raw Data'!I196),"\$([A-Z]+)\$[0-9]+"),"")</f>
        <v>$I$196</v>
      </c>
    </row>
    <row r="198" spans="2:9" x14ac:dyDescent="0.25">
      <c r="B198" t="str" cm="1">
        <f t="array" aca="1" ref="B198" ca="1">IF('Raw Data'!B197="",_xlfn.REGEXEXTRACT(CELL("address",'Raw Data'!B197),"\$([A-Z]+)\$[0-9]+"),"")</f>
        <v>$B$197</v>
      </c>
      <c r="C198" t="str" cm="1">
        <f t="array" aca="1" ref="C198" ca="1">IF('Raw Data'!C197="",_xlfn.REGEXEXTRACT(CELL("address",'Raw Data'!C197),"\$([A-Z]+)\$[0-9]+"),"")</f>
        <v>$C$197</v>
      </c>
      <c r="D198" t="str" cm="1">
        <f t="array" aca="1" ref="D198" ca="1">IF('Raw Data'!D197="",_xlfn.REGEXEXTRACT(CELL("address",'Raw Data'!D197),"\$([A-Z]+)\$[0-9]+"),"")</f>
        <v>$D$197</v>
      </c>
      <c r="E198" t="str" cm="1">
        <f t="array" aca="1" ref="E198" ca="1">IF('Raw Data'!E197="",_xlfn.REGEXEXTRACT(CELL("address",'Raw Data'!E197),"\$([A-Z]+)\$[0-9]+"),"")</f>
        <v>$E$197</v>
      </c>
      <c r="F198" t="str" cm="1">
        <f t="array" aca="1" ref="F198" ca="1">IF('Raw Data'!F197="",_xlfn.REGEXEXTRACT(CELL("address",'Raw Data'!F197),"\$([A-Z]+)\$[0-9]+"),"")</f>
        <v>$F$197</v>
      </c>
      <c r="G198" t="str" cm="1">
        <f t="array" aca="1" ref="G198" ca="1">IF('Raw Data'!G197="",_xlfn.REGEXEXTRACT(CELL("address",'Raw Data'!G197),"\$([A-Z]+)\$[0-9]+"),"")</f>
        <v>$G$197</v>
      </c>
      <c r="H198" t="str" cm="1">
        <f t="array" aca="1" ref="H198" ca="1">IF('Raw Data'!H197="",_xlfn.REGEXEXTRACT(CELL("address",'Raw Data'!H197),"\$([A-Z]+)\$[0-9]+"),"")</f>
        <v>$H$197</v>
      </c>
      <c r="I198" t="str" cm="1">
        <f t="array" aca="1" ref="I198" ca="1">IF('Raw Data'!I197="",_xlfn.REGEXEXTRACT(CELL("address",'Raw Data'!I197),"\$([A-Z]+)\$[0-9]+"),"")</f>
        <v>$I$197</v>
      </c>
    </row>
    <row r="199" spans="2:9" x14ac:dyDescent="0.25">
      <c r="B199" t="str" cm="1">
        <f t="array" aca="1" ref="B199" ca="1">IF('Raw Data'!B198="",_xlfn.REGEXEXTRACT(CELL("address",'Raw Data'!B198),"\$([A-Z]+)\$[0-9]+"),"")</f>
        <v>$B$198</v>
      </c>
      <c r="C199" t="str" cm="1">
        <f t="array" aca="1" ref="C199" ca="1">IF('Raw Data'!C198="",_xlfn.REGEXEXTRACT(CELL("address",'Raw Data'!C198),"\$([A-Z]+)\$[0-9]+"),"")</f>
        <v>$C$198</v>
      </c>
      <c r="D199" t="str" cm="1">
        <f t="array" aca="1" ref="D199" ca="1">IF('Raw Data'!D198="",_xlfn.REGEXEXTRACT(CELL("address",'Raw Data'!D198),"\$([A-Z]+)\$[0-9]+"),"")</f>
        <v>$D$198</v>
      </c>
      <c r="E199" t="str" cm="1">
        <f t="array" aca="1" ref="E199" ca="1">IF('Raw Data'!E198="",_xlfn.REGEXEXTRACT(CELL("address",'Raw Data'!E198),"\$([A-Z]+)\$[0-9]+"),"")</f>
        <v>$E$198</v>
      </c>
      <c r="F199" t="str" cm="1">
        <f t="array" aca="1" ref="F199" ca="1">IF('Raw Data'!F198="",_xlfn.REGEXEXTRACT(CELL("address",'Raw Data'!F198),"\$([A-Z]+)\$[0-9]+"),"")</f>
        <v>$F$198</v>
      </c>
      <c r="G199" t="str" cm="1">
        <f t="array" aca="1" ref="G199" ca="1">IF('Raw Data'!G198="",_xlfn.REGEXEXTRACT(CELL("address",'Raw Data'!G198),"\$([A-Z]+)\$[0-9]+"),"")</f>
        <v>$G$198</v>
      </c>
      <c r="H199" t="str" cm="1">
        <f t="array" aca="1" ref="H199" ca="1">IF('Raw Data'!H198="",_xlfn.REGEXEXTRACT(CELL("address",'Raw Data'!H198),"\$([A-Z]+)\$[0-9]+"),"")</f>
        <v>$H$198</v>
      </c>
      <c r="I199" t="str" cm="1">
        <f t="array" aca="1" ref="I199" ca="1">IF('Raw Data'!I198="",_xlfn.REGEXEXTRACT(CELL("address",'Raw Data'!I198),"\$([A-Z]+)\$[0-9]+"),"")</f>
        <v>$I$198</v>
      </c>
    </row>
    <row r="200" spans="2:9" x14ac:dyDescent="0.25">
      <c r="B200" t="str" cm="1">
        <f t="array" aca="1" ref="B200" ca="1">IF('Raw Data'!B199="",_xlfn.REGEXEXTRACT(CELL("address",'Raw Data'!B199),"\$([A-Z]+)\$[0-9]+"),"")</f>
        <v>$B$199</v>
      </c>
      <c r="C200" t="str" cm="1">
        <f t="array" aca="1" ref="C200" ca="1">IF('Raw Data'!C199="",_xlfn.REGEXEXTRACT(CELL("address",'Raw Data'!C199),"\$([A-Z]+)\$[0-9]+"),"")</f>
        <v>$C$199</v>
      </c>
      <c r="D200" t="str" cm="1">
        <f t="array" aca="1" ref="D200" ca="1">IF('Raw Data'!D199="",_xlfn.REGEXEXTRACT(CELL("address",'Raw Data'!D199),"\$([A-Z]+)\$[0-9]+"),"")</f>
        <v>$D$199</v>
      </c>
      <c r="E200" t="str" cm="1">
        <f t="array" aca="1" ref="E200" ca="1">IF('Raw Data'!E199="",_xlfn.REGEXEXTRACT(CELL("address",'Raw Data'!E199),"\$([A-Z]+)\$[0-9]+"),"")</f>
        <v>$E$199</v>
      </c>
      <c r="F200" t="str" cm="1">
        <f t="array" aca="1" ref="F200" ca="1">IF('Raw Data'!F199="",_xlfn.REGEXEXTRACT(CELL("address",'Raw Data'!F199),"\$([A-Z]+)\$[0-9]+"),"")</f>
        <v>$F$199</v>
      </c>
      <c r="G200" t="str" cm="1">
        <f t="array" aca="1" ref="G200" ca="1">IF('Raw Data'!G199="",_xlfn.REGEXEXTRACT(CELL("address",'Raw Data'!G199),"\$([A-Z]+)\$[0-9]+"),"")</f>
        <v>$G$199</v>
      </c>
      <c r="H200" t="str" cm="1">
        <f t="array" aca="1" ref="H200" ca="1">IF('Raw Data'!H199="",_xlfn.REGEXEXTRACT(CELL("address",'Raw Data'!H199),"\$([A-Z]+)\$[0-9]+"),"")</f>
        <v>$H$199</v>
      </c>
      <c r="I200" t="str" cm="1">
        <f t="array" aca="1" ref="I200" ca="1">IF('Raw Data'!I199="",_xlfn.REGEXEXTRACT(CELL("address",'Raw Data'!I199),"\$([A-Z]+)\$[0-9]+"),"")</f>
        <v>$I$199</v>
      </c>
    </row>
    <row r="201" spans="2:9" x14ac:dyDescent="0.25">
      <c r="B201" t="str" cm="1">
        <f t="array" aca="1" ref="B201" ca="1">IF('Raw Data'!B200="",_xlfn.REGEXEXTRACT(CELL("address",'Raw Data'!B200),"\$([A-Z]+)\$[0-9]+"),"")</f>
        <v>$B$200</v>
      </c>
      <c r="C201" t="str" cm="1">
        <f t="array" aca="1" ref="C201" ca="1">IF('Raw Data'!C200="",_xlfn.REGEXEXTRACT(CELL("address",'Raw Data'!C200),"\$([A-Z]+)\$[0-9]+"),"")</f>
        <v>$C$200</v>
      </c>
      <c r="D201" t="str" cm="1">
        <f t="array" aca="1" ref="D201" ca="1">IF('Raw Data'!D200="",_xlfn.REGEXEXTRACT(CELL("address",'Raw Data'!D200),"\$([A-Z]+)\$[0-9]+"),"")</f>
        <v>$D$200</v>
      </c>
      <c r="E201" t="str" cm="1">
        <f t="array" aca="1" ref="E201" ca="1">IF('Raw Data'!E200="",_xlfn.REGEXEXTRACT(CELL("address",'Raw Data'!E200),"\$([A-Z]+)\$[0-9]+"),"")</f>
        <v>$E$200</v>
      </c>
      <c r="F201" t="str" cm="1">
        <f t="array" aca="1" ref="F201" ca="1">IF('Raw Data'!F200="",_xlfn.REGEXEXTRACT(CELL("address",'Raw Data'!F200),"\$([A-Z]+)\$[0-9]+"),"")</f>
        <v>$F$200</v>
      </c>
      <c r="G201" t="str" cm="1">
        <f t="array" aca="1" ref="G201" ca="1">IF('Raw Data'!G200="",_xlfn.REGEXEXTRACT(CELL("address",'Raw Data'!G200),"\$([A-Z]+)\$[0-9]+"),"")</f>
        <v>$G$200</v>
      </c>
      <c r="H201" t="str" cm="1">
        <f t="array" aca="1" ref="H201" ca="1">IF('Raw Data'!H200="",_xlfn.REGEXEXTRACT(CELL("address",'Raw Data'!H200),"\$([A-Z]+)\$[0-9]+"),"")</f>
        <v>$H$200</v>
      </c>
      <c r="I201" t="str" cm="1">
        <f t="array" aca="1" ref="I201" ca="1">IF('Raw Data'!I200="",_xlfn.REGEXEXTRACT(CELL("address",'Raw Data'!I200),"\$([A-Z]+)\$[0-9]+"),"")</f>
        <v>$I$200</v>
      </c>
    </row>
    <row r="202" spans="2:9" x14ac:dyDescent="0.25">
      <c r="B202" t="str" cm="1">
        <f t="array" aca="1" ref="B202" ca="1">IF('Raw Data'!B201="",_xlfn.REGEXEXTRACT(CELL("address",'Raw Data'!B201),"\$([A-Z]+)\$[0-9]+"),"")</f>
        <v>$B$201</v>
      </c>
      <c r="C202" t="str" cm="1">
        <f t="array" aca="1" ref="C202" ca="1">IF('Raw Data'!C201="",_xlfn.REGEXEXTRACT(CELL("address",'Raw Data'!C201),"\$([A-Z]+)\$[0-9]+"),"")</f>
        <v>$C$201</v>
      </c>
      <c r="D202" t="str" cm="1">
        <f t="array" aca="1" ref="D202" ca="1">IF('Raw Data'!D201="",_xlfn.REGEXEXTRACT(CELL("address",'Raw Data'!D201),"\$([A-Z]+)\$[0-9]+"),"")</f>
        <v>$D$201</v>
      </c>
      <c r="E202" t="str" cm="1">
        <f t="array" aca="1" ref="E202" ca="1">IF('Raw Data'!E201="",_xlfn.REGEXEXTRACT(CELL("address",'Raw Data'!E201),"\$([A-Z]+)\$[0-9]+"),"")</f>
        <v>$E$201</v>
      </c>
      <c r="F202" t="str" cm="1">
        <f t="array" aca="1" ref="F202" ca="1">IF('Raw Data'!F201="",_xlfn.REGEXEXTRACT(CELL("address",'Raw Data'!F201),"\$([A-Z]+)\$[0-9]+"),"")</f>
        <v>$F$201</v>
      </c>
      <c r="G202" t="str" cm="1">
        <f t="array" aca="1" ref="G202" ca="1">IF('Raw Data'!G201="",_xlfn.REGEXEXTRACT(CELL("address",'Raw Data'!G201),"\$([A-Z]+)\$[0-9]+"),"")</f>
        <v>$G$201</v>
      </c>
      <c r="H202" t="str" cm="1">
        <f t="array" aca="1" ref="H202" ca="1">IF('Raw Data'!H201="",_xlfn.REGEXEXTRACT(CELL("address",'Raw Data'!H201),"\$([A-Z]+)\$[0-9]+"),"")</f>
        <v>$H$201</v>
      </c>
      <c r="I202" t="str" cm="1">
        <f t="array" aca="1" ref="I202" ca="1">IF('Raw Data'!I201="",_xlfn.REGEXEXTRACT(CELL("address",'Raw Data'!I201),"\$([A-Z]+)\$[0-9]+"),"")</f>
        <v>$I$201</v>
      </c>
    </row>
    <row r="203" spans="2:9" x14ac:dyDescent="0.25">
      <c r="B203" t="str" cm="1">
        <f t="array" aca="1" ref="B203" ca="1">IF('Raw Data'!B202="",_xlfn.REGEXEXTRACT(CELL("address",'Raw Data'!B202),"\$([A-Z]+)\$[0-9]+"),"")</f>
        <v>$B$202</v>
      </c>
      <c r="C203" t="str" cm="1">
        <f t="array" aca="1" ref="C203" ca="1">IF('Raw Data'!C202="",_xlfn.REGEXEXTRACT(CELL("address",'Raw Data'!C202),"\$([A-Z]+)\$[0-9]+"),"")</f>
        <v>$C$202</v>
      </c>
      <c r="D203" t="str" cm="1">
        <f t="array" aca="1" ref="D203" ca="1">IF('Raw Data'!D202="",_xlfn.REGEXEXTRACT(CELL("address",'Raw Data'!D202),"\$([A-Z]+)\$[0-9]+"),"")</f>
        <v>$D$202</v>
      </c>
      <c r="E203" t="str" cm="1">
        <f t="array" aca="1" ref="E203" ca="1">IF('Raw Data'!E202="",_xlfn.REGEXEXTRACT(CELL("address",'Raw Data'!E202),"\$([A-Z]+)\$[0-9]+"),"")</f>
        <v>$E$202</v>
      </c>
      <c r="F203" t="str" cm="1">
        <f t="array" aca="1" ref="F203" ca="1">IF('Raw Data'!F202="",_xlfn.REGEXEXTRACT(CELL("address",'Raw Data'!F202),"\$([A-Z]+)\$[0-9]+"),"")</f>
        <v>$F$202</v>
      </c>
      <c r="G203" t="str" cm="1">
        <f t="array" aca="1" ref="G203" ca="1">IF('Raw Data'!G202="",_xlfn.REGEXEXTRACT(CELL("address",'Raw Data'!G202),"\$([A-Z]+)\$[0-9]+"),"")</f>
        <v>$G$202</v>
      </c>
      <c r="H203" t="str" cm="1">
        <f t="array" aca="1" ref="H203" ca="1">IF('Raw Data'!H202="",_xlfn.REGEXEXTRACT(CELL("address",'Raw Data'!H202),"\$([A-Z]+)\$[0-9]+"),"")</f>
        <v>$H$202</v>
      </c>
      <c r="I203" t="str" cm="1">
        <f t="array" aca="1" ref="I203" ca="1">IF('Raw Data'!I202="",_xlfn.REGEXEXTRACT(CELL("address",'Raw Data'!I202),"\$([A-Z]+)\$[0-9]+"),"")</f>
        <v>$I$202</v>
      </c>
    </row>
    <row r="204" spans="2:9" x14ac:dyDescent="0.25">
      <c r="B204" t="str" cm="1">
        <f t="array" aca="1" ref="B204" ca="1">IF('Raw Data'!B203="",_xlfn.REGEXEXTRACT(CELL("address",'Raw Data'!B203),"\$([A-Z]+)\$[0-9]+"),"")</f>
        <v>$B$203</v>
      </c>
      <c r="C204" t="str" cm="1">
        <f t="array" aca="1" ref="C204" ca="1">IF('Raw Data'!C203="",_xlfn.REGEXEXTRACT(CELL("address",'Raw Data'!C203),"\$([A-Z]+)\$[0-9]+"),"")</f>
        <v>$C$203</v>
      </c>
      <c r="D204" t="str" cm="1">
        <f t="array" aca="1" ref="D204" ca="1">IF('Raw Data'!D203="",_xlfn.REGEXEXTRACT(CELL("address",'Raw Data'!D203),"\$([A-Z]+)\$[0-9]+"),"")</f>
        <v>$D$203</v>
      </c>
      <c r="E204" t="str" cm="1">
        <f t="array" aca="1" ref="E204" ca="1">IF('Raw Data'!E203="",_xlfn.REGEXEXTRACT(CELL("address",'Raw Data'!E203),"\$([A-Z]+)\$[0-9]+"),"")</f>
        <v>$E$203</v>
      </c>
      <c r="F204" t="str" cm="1">
        <f t="array" aca="1" ref="F204" ca="1">IF('Raw Data'!F203="",_xlfn.REGEXEXTRACT(CELL("address",'Raw Data'!F203),"\$([A-Z]+)\$[0-9]+"),"")</f>
        <v>$F$203</v>
      </c>
      <c r="G204" t="str" cm="1">
        <f t="array" aca="1" ref="G204" ca="1">IF('Raw Data'!G203="",_xlfn.REGEXEXTRACT(CELL("address",'Raw Data'!G203),"\$([A-Z]+)\$[0-9]+"),"")</f>
        <v>$G$203</v>
      </c>
      <c r="H204" t="str" cm="1">
        <f t="array" aca="1" ref="H204" ca="1">IF('Raw Data'!H203="",_xlfn.REGEXEXTRACT(CELL("address",'Raw Data'!H203),"\$([A-Z]+)\$[0-9]+"),"")</f>
        <v>$H$203</v>
      </c>
      <c r="I204" t="str" cm="1">
        <f t="array" aca="1" ref="I204" ca="1">IF('Raw Data'!I203="",_xlfn.REGEXEXTRACT(CELL("address",'Raw Data'!I203),"\$([A-Z]+)\$[0-9]+"),"")</f>
        <v>$I$203</v>
      </c>
    </row>
    <row r="205" spans="2:9" x14ac:dyDescent="0.25">
      <c r="B205" t="str" cm="1">
        <f t="array" aca="1" ref="B205" ca="1">IF('Raw Data'!B204="",_xlfn.REGEXEXTRACT(CELL("address",'Raw Data'!B204),"\$([A-Z]+)\$[0-9]+"),"")</f>
        <v>$B$204</v>
      </c>
      <c r="C205" t="str" cm="1">
        <f t="array" aca="1" ref="C205" ca="1">IF('Raw Data'!C204="",_xlfn.REGEXEXTRACT(CELL("address",'Raw Data'!C204),"\$([A-Z]+)\$[0-9]+"),"")</f>
        <v>$C$204</v>
      </c>
      <c r="D205" t="str" cm="1">
        <f t="array" aca="1" ref="D205" ca="1">IF('Raw Data'!D204="",_xlfn.REGEXEXTRACT(CELL("address",'Raw Data'!D204),"\$([A-Z]+)\$[0-9]+"),"")</f>
        <v>$D$204</v>
      </c>
      <c r="E205" t="str" cm="1">
        <f t="array" aca="1" ref="E205" ca="1">IF('Raw Data'!E204="",_xlfn.REGEXEXTRACT(CELL("address",'Raw Data'!E204),"\$([A-Z]+)\$[0-9]+"),"")</f>
        <v>$E$204</v>
      </c>
      <c r="F205" t="str" cm="1">
        <f t="array" aca="1" ref="F205" ca="1">IF('Raw Data'!F204="",_xlfn.REGEXEXTRACT(CELL("address",'Raw Data'!F204),"\$([A-Z]+)\$[0-9]+"),"")</f>
        <v>$F$204</v>
      </c>
      <c r="G205" t="str" cm="1">
        <f t="array" aca="1" ref="G205" ca="1">IF('Raw Data'!G204="",_xlfn.REGEXEXTRACT(CELL("address",'Raw Data'!G204),"\$([A-Z]+)\$[0-9]+"),"")</f>
        <v>$G$204</v>
      </c>
      <c r="H205" t="str" cm="1">
        <f t="array" aca="1" ref="H205" ca="1">IF('Raw Data'!H204="",_xlfn.REGEXEXTRACT(CELL("address",'Raw Data'!H204),"\$([A-Z]+)\$[0-9]+"),"")</f>
        <v>$H$204</v>
      </c>
      <c r="I205" t="str" cm="1">
        <f t="array" aca="1" ref="I205" ca="1">IF('Raw Data'!I204="",_xlfn.REGEXEXTRACT(CELL("address",'Raw Data'!I204),"\$([A-Z]+)\$[0-9]+"),"")</f>
        <v>$I$204</v>
      </c>
    </row>
    <row r="206" spans="2:9" x14ac:dyDescent="0.25">
      <c r="B206" t="str" cm="1">
        <f t="array" aca="1" ref="B206" ca="1">IF('Raw Data'!B205="",_xlfn.REGEXEXTRACT(CELL("address",'Raw Data'!B205),"\$([A-Z]+)\$[0-9]+"),"")</f>
        <v>$B$205</v>
      </c>
      <c r="C206" t="str" cm="1">
        <f t="array" aca="1" ref="C206" ca="1">IF('Raw Data'!C205="",_xlfn.REGEXEXTRACT(CELL("address",'Raw Data'!C205),"\$([A-Z]+)\$[0-9]+"),"")</f>
        <v>$C$205</v>
      </c>
      <c r="D206" t="str" cm="1">
        <f t="array" aca="1" ref="D206" ca="1">IF('Raw Data'!D205="",_xlfn.REGEXEXTRACT(CELL("address",'Raw Data'!D205),"\$([A-Z]+)\$[0-9]+"),"")</f>
        <v>$D$205</v>
      </c>
      <c r="E206" t="str" cm="1">
        <f t="array" aca="1" ref="E206" ca="1">IF('Raw Data'!E205="",_xlfn.REGEXEXTRACT(CELL("address",'Raw Data'!E205),"\$([A-Z]+)\$[0-9]+"),"")</f>
        <v>$E$205</v>
      </c>
      <c r="F206" t="str" cm="1">
        <f t="array" aca="1" ref="F206" ca="1">IF('Raw Data'!F205="",_xlfn.REGEXEXTRACT(CELL("address",'Raw Data'!F205),"\$([A-Z]+)\$[0-9]+"),"")</f>
        <v>$F$205</v>
      </c>
      <c r="G206" t="str" cm="1">
        <f t="array" aca="1" ref="G206" ca="1">IF('Raw Data'!G205="",_xlfn.REGEXEXTRACT(CELL("address",'Raw Data'!G205),"\$([A-Z]+)\$[0-9]+"),"")</f>
        <v>$G$205</v>
      </c>
      <c r="H206" t="str" cm="1">
        <f t="array" aca="1" ref="H206" ca="1">IF('Raw Data'!H205="",_xlfn.REGEXEXTRACT(CELL("address",'Raw Data'!H205),"\$([A-Z]+)\$[0-9]+"),"")</f>
        <v>$H$205</v>
      </c>
      <c r="I206" t="str" cm="1">
        <f t="array" aca="1" ref="I206" ca="1">IF('Raw Data'!I205="",_xlfn.REGEXEXTRACT(CELL("address",'Raw Data'!I205),"\$([A-Z]+)\$[0-9]+"),"")</f>
        <v>$I$205</v>
      </c>
    </row>
    <row r="207" spans="2:9" x14ac:dyDescent="0.25">
      <c r="B207" t="str" cm="1">
        <f t="array" aca="1" ref="B207" ca="1">IF('Raw Data'!B206="",_xlfn.REGEXEXTRACT(CELL("address",'Raw Data'!B206),"\$([A-Z]+)\$[0-9]+"),"")</f>
        <v>$B$206</v>
      </c>
      <c r="C207" t="str" cm="1">
        <f t="array" aca="1" ref="C207" ca="1">IF('Raw Data'!C206="",_xlfn.REGEXEXTRACT(CELL("address",'Raw Data'!C206),"\$([A-Z]+)\$[0-9]+"),"")</f>
        <v>$C$206</v>
      </c>
      <c r="D207" t="str" cm="1">
        <f t="array" aca="1" ref="D207" ca="1">IF('Raw Data'!D206="",_xlfn.REGEXEXTRACT(CELL("address",'Raw Data'!D206),"\$([A-Z]+)\$[0-9]+"),"")</f>
        <v>$D$206</v>
      </c>
      <c r="E207" t="str" cm="1">
        <f t="array" aca="1" ref="E207" ca="1">IF('Raw Data'!E206="",_xlfn.REGEXEXTRACT(CELL("address",'Raw Data'!E206),"\$([A-Z]+)\$[0-9]+"),"")</f>
        <v>$E$206</v>
      </c>
      <c r="F207" t="str" cm="1">
        <f t="array" aca="1" ref="F207" ca="1">IF('Raw Data'!F206="",_xlfn.REGEXEXTRACT(CELL("address",'Raw Data'!F206),"\$([A-Z]+)\$[0-9]+"),"")</f>
        <v>$F$206</v>
      </c>
      <c r="G207" t="str" cm="1">
        <f t="array" aca="1" ref="G207" ca="1">IF('Raw Data'!G206="",_xlfn.REGEXEXTRACT(CELL("address",'Raw Data'!G206),"\$([A-Z]+)\$[0-9]+"),"")</f>
        <v>$G$206</v>
      </c>
      <c r="H207" t="str" cm="1">
        <f t="array" aca="1" ref="H207" ca="1">IF('Raw Data'!H206="",_xlfn.REGEXEXTRACT(CELL("address",'Raw Data'!H206),"\$([A-Z]+)\$[0-9]+"),"")</f>
        <v>$H$206</v>
      </c>
      <c r="I207" t="str" cm="1">
        <f t="array" aca="1" ref="I207" ca="1">IF('Raw Data'!I206="",_xlfn.REGEXEXTRACT(CELL("address",'Raw Data'!I206),"\$([A-Z]+)\$[0-9]+"),"")</f>
        <v>$I$206</v>
      </c>
    </row>
    <row r="208" spans="2:9" x14ac:dyDescent="0.25">
      <c r="B208" t="str" cm="1">
        <f t="array" aca="1" ref="B208" ca="1">IF('Raw Data'!B207="",_xlfn.REGEXEXTRACT(CELL("address",'Raw Data'!B207),"\$([A-Z]+)\$[0-9]+"),"")</f>
        <v>$B$207</v>
      </c>
      <c r="C208" t="str" cm="1">
        <f t="array" aca="1" ref="C208" ca="1">IF('Raw Data'!C207="",_xlfn.REGEXEXTRACT(CELL("address",'Raw Data'!C207),"\$([A-Z]+)\$[0-9]+"),"")</f>
        <v>$C$207</v>
      </c>
      <c r="D208" t="str" cm="1">
        <f t="array" aca="1" ref="D208" ca="1">IF('Raw Data'!D207="",_xlfn.REGEXEXTRACT(CELL("address",'Raw Data'!D207),"\$([A-Z]+)\$[0-9]+"),"")</f>
        <v>$D$207</v>
      </c>
      <c r="E208" t="str" cm="1">
        <f t="array" aca="1" ref="E208" ca="1">IF('Raw Data'!E207="",_xlfn.REGEXEXTRACT(CELL("address",'Raw Data'!E207),"\$([A-Z]+)\$[0-9]+"),"")</f>
        <v>$E$207</v>
      </c>
      <c r="F208" t="str" cm="1">
        <f t="array" aca="1" ref="F208" ca="1">IF('Raw Data'!F207="",_xlfn.REGEXEXTRACT(CELL("address",'Raw Data'!F207),"\$([A-Z]+)\$[0-9]+"),"")</f>
        <v>$F$207</v>
      </c>
      <c r="G208" t="str" cm="1">
        <f t="array" aca="1" ref="G208" ca="1">IF('Raw Data'!G207="",_xlfn.REGEXEXTRACT(CELL("address",'Raw Data'!G207),"\$([A-Z]+)\$[0-9]+"),"")</f>
        <v>$G$207</v>
      </c>
      <c r="H208" t="str" cm="1">
        <f t="array" aca="1" ref="H208" ca="1">IF('Raw Data'!H207="",_xlfn.REGEXEXTRACT(CELL("address",'Raw Data'!H207),"\$([A-Z]+)\$[0-9]+"),"")</f>
        <v>$H$207</v>
      </c>
      <c r="I208" t="str" cm="1">
        <f t="array" aca="1" ref="I208" ca="1">IF('Raw Data'!I207="",_xlfn.REGEXEXTRACT(CELL("address",'Raw Data'!I207),"\$([A-Z]+)\$[0-9]+"),"")</f>
        <v>$I$207</v>
      </c>
    </row>
    <row r="209" spans="2:9" x14ac:dyDescent="0.25">
      <c r="B209" t="str" cm="1">
        <f t="array" aca="1" ref="B209" ca="1">IF('Raw Data'!B208="",_xlfn.REGEXEXTRACT(CELL("address",'Raw Data'!B208),"\$([A-Z]+)\$[0-9]+"),"")</f>
        <v>$B$208</v>
      </c>
      <c r="C209" t="str" cm="1">
        <f t="array" aca="1" ref="C209" ca="1">IF('Raw Data'!C208="",_xlfn.REGEXEXTRACT(CELL("address",'Raw Data'!C208),"\$([A-Z]+)\$[0-9]+"),"")</f>
        <v>$C$208</v>
      </c>
      <c r="D209" t="str" cm="1">
        <f t="array" aca="1" ref="D209" ca="1">IF('Raw Data'!D208="",_xlfn.REGEXEXTRACT(CELL("address",'Raw Data'!D208),"\$([A-Z]+)\$[0-9]+"),"")</f>
        <v>$D$208</v>
      </c>
      <c r="E209" t="str" cm="1">
        <f t="array" aca="1" ref="E209" ca="1">IF('Raw Data'!E208="",_xlfn.REGEXEXTRACT(CELL("address",'Raw Data'!E208),"\$([A-Z]+)\$[0-9]+"),"")</f>
        <v>$E$208</v>
      </c>
      <c r="F209" t="str" cm="1">
        <f t="array" aca="1" ref="F209" ca="1">IF('Raw Data'!F208="",_xlfn.REGEXEXTRACT(CELL("address",'Raw Data'!F208),"\$([A-Z]+)\$[0-9]+"),"")</f>
        <v>$F$208</v>
      </c>
      <c r="G209" t="str" cm="1">
        <f t="array" aca="1" ref="G209" ca="1">IF('Raw Data'!G208="",_xlfn.REGEXEXTRACT(CELL("address",'Raw Data'!G208),"\$([A-Z]+)\$[0-9]+"),"")</f>
        <v>$G$208</v>
      </c>
      <c r="H209" t="str" cm="1">
        <f t="array" aca="1" ref="H209" ca="1">IF('Raw Data'!H208="",_xlfn.REGEXEXTRACT(CELL("address",'Raw Data'!H208),"\$([A-Z]+)\$[0-9]+"),"")</f>
        <v>$H$208</v>
      </c>
      <c r="I209" t="str" cm="1">
        <f t="array" aca="1" ref="I209" ca="1">IF('Raw Data'!I208="",_xlfn.REGEXEXTRACT(CELL("address",'Raw Data'!I208),"\$([A-Z]+)\$[0-9]+"),"")</f>
        <v>$I$208</v>
      </c>
    </row>
    <row r="210" spans="2:9" x14ac:dyDescent="0.25">
      <c r="B210" t="str" cm="1">
        <f t="array" aca="1" ref="B210" ca="1">IF('Raw Data'!B209="",_xlfn.REGEXEXTRACT(CELL("address",'Raw Data'!B209),"\$([A-Z]+)\$[0-9]+"),"")</f>
        <v>$B$209</v>
      </c>
      <c r="C210" t="str" cm="1">
        <f t="array" aca="1" ref="C210" ca="1">IF('Raw Data'!C209="",_xlfn.REGEXEXTRACT(CELL("address",'Raw Data'!C209),"\$([A-Z]+)\$[0-9]+"),"")</f>
        <v>$C$209</v>
      </c>
      <c r="D210" t="str" cm="1">
        <f t="array" aca="1" ref="D210" ca="1">IF('Raw Data'!D209="",_xlfn.REGEXEXTRACT(CELL("address",'Raw Data'!D209),"\$([A-Z]+)\$[0-9]+"),"")</f>
        <v>$D$209</v>
      </c>
      <c r="E210" t="str" cm="1">
        <f t="array" aca="1" ref="E210" ca="1">IF('Raw Data'!E209="",_xlfn.REGEXEXTRACT(CELL("address",'Raw Data'!E209),"\$([A-Z]+)\$[0-9]+"),"")</f>
        <v>$E$209</v>
      </c>
      <c r="F210" t="str" cm="1">
        <f t="array" aca="1" ref="F210" ca="1">IF('Raw Data'!F209="",_xlfn.REGEXEXTRACT(CELL("address",'Raw Data'!F209),"\$([A-Z]+)\$[0-9]+"),"")</f>
        <v>$F$209</v>
      </c>
      <c r="G210" t="str" cm="1">
        <f t="array" aca="1" ref="G210" ca="1">IF('Raw Data'!G209="",_xlfn.REGEXEXTRACT(CELL("address",'Raw Data'!G209),"\$([A-Z]+)\$[0-9]+"),"")</f>
        <v>$G$209</v>
      </c>
      <c r="H210" t="str" cm="1">
        <f t="array" aca="1" ref="H210" ca="1">IF('Raw Data'!H209="",_xlfn.REGEXEXTRACT(CELL("address",'Raw Data'!H209),"\$([A-Z]+)\$[0-9]+"),"")</f>
        <v>$H$209</v>
      </c>
      <c r="I210" t="str" cm="1">
        <f t="array" aca="1" ref="I210" ca="1">IF('Raw Data'!I209="",_xlfn.REGEXEXTRACT(CELL("address",'Raw Data'!I209),"\$([A-Z]+)\$[0-9]+"),"")</f>
        <v>$I$209</v>
      </c>
    </row>
    <row r="211" spans="2:9" x14ac:dyDescent="0.25">
      <c r="B211" t="str" cm="1">
        <f t="array" aca="1" ref="B211" ca="1">IF('Raw Data'!B210="",_xlfn.REGEXEXTRACT(CELL("address",'Raw Data'!B210),"\$([A-Z]+)\$[0-9]+"),"")</f>
        <v>$B$210</v>
      </c>
      <c r="C211" t="str" cm="1">
        <f t="array" aca="1" ref="C211" ca="1">IF('Raw Data'!C210="",_xlfn.REGEXEXTRACT(CELL("address",'Raw Data'!C210),"\$([A-Z]+)\$[0-9]+"),"")</f>
        <v>$C$210</v>
      </c>
      <c r="D211" t="str" cm="1">
        <f t="array" aca="1" ref="D211" ca="1">IF('Raw Data'!D210="",_xlfn.REGEXEXTRACT(CELL("address",'Raw Data'!D210),"\$([A-Z]+)\$[0-9]+"),"")</f>
        <v>$D$210</v>
      </c>
      <c r="E211" t="str" cm="1">
        <f t="array" aca="1" ref="E211" ca="1">IF('Raw Data'!E210="",_xlfn.REGEXEXTRACT(CELL("address",'Raw Data'!E210),"\$([A-Z]+)\$[0-9]+"),"")</f>
        <v>$E$210</v>
      </c>
      <c r="F211" t="str" cm="1">
        <f t="array" aca="1" ref="F211" ca="1">IF('Raw Data'!F210="",_xlfn.REGEXEXTRACT(CELL("address",'Raw Data'!F210),"\$([A-Z]+)\$[0-9]+"),"")</f>
        <v>$F$210</v>
      </c>
      <c r="G211" t="str" cm="1">
        <f t="array" aca="1" ref="G211" ca="1">IF('Raw Data'!G210="",_xlfn.REGEXEXTRACT(CELL("address",'Raw Data'!G210),"\$([A-Z]+)\$[0-9]+"),"")</f>
        <v>$G$210</v>
      </c>
      <c r="H211" t="str" cm="1">
        <f t="array" aca="1" ref="H211" ca="1">IF('Raw Data'!H210="",_xlfn.REGEXEXTRACT(CELL("address",'Raw Data'!H210),"\$([A-Z]+)\$[0-9]+"),"")</f>
        <v>$H$210</v>
      </c>
      <c r="I211" t="str" cm="1">
        <f t="array" aca="1" ref="I211" ca="1">IF('Raw Data'!I210="",_xlfn.REGEXEXTRACT(CELL("address",'Raw Data'!I210),"\$([A-Z]+)\$[0-9]+"),"")</f>
        <v>$I$210</v>
      </c>
    </row>
    <row r="212" spans="2:9" x14ac:dyDescent="0.25">
      <c r="B212" t="str" cm="1">
        <f t="array" aca="1" ref="B212" ca="1">IF('Raw Data'!B211="",_xlfn.REGEXEXTRACT(CELL("address",'Raw Data'!B211),"\$([A-Z]+)\$[0-9]+"),"")</f>
        <v>$B$211</v>
      </c>
      <c r="C212" t="str" cm="1">
        <f t="array" aca="1" ref="C212" ca="1">IF('Raw Data'!C211="",_xlfn.REGEXEXTRACT(CELL("address",'Raw Data'!C211),"\$([A-Z]+)\$[0-9]+"),"")</f>
        <v>$C$211</v>
      </c>
      <c r="D212" t="str" cm="1">
        <f t="array" aca="1" ref="D212" ca="1">IF('Raw Data'!D211="",_xlfn.REGEXEXTRACT(CELL("address",'Raw Data'!D211),"\$([A-Z]+)\$[0-9]+"),"")</f>
        <v>$D$211</v>
      </c>
      <c r="E212" t="str" cm="1">
        <f t="array" aca="1" ref="E212" ca="1">IF('Raw Data'!E211="",_xlfn.REGEXEXTRACT(CELL("address",'Raw Data'!E211),"\$([A-Z]+)\$[0-9]+"),"")</f>
        <v>$E$211</v>
      </c>
      <c r="F212" t="str" cm="1">
        <f t="array" aca="1" ref="F212" ca="1">IF('Raw Data'!F211="",_xlfn.REGEXEXTRACT(CELL("address",'Raw Data'!F211),"\$([A-Z]+)\$[0-9]+"),"")</f>
        <v>$F$211</v>
      </c>
      <c r="G212" t="str" cm="1">
        <f t="array" aca="1" ref="G212" ca="1">IF('Raw Data'!G211="",_xlfn.REGEXEXTRACT(CELL("address",'Raw Data'!G211),"\$([A-Z]+)\$[0-9]+"),"")</f>
        <v>$G$211</v>
      </c>
      <c r="H212" t="str" cm="1">
        <f t="array" aca="1" ref="H212" ca="1">IF('Raw Data'!H211="",_xlfn.REGEXEXTRACT(CELL("address",'Raw Data'!H211),"\$([A-Z]+)\$[0-9]+"),"")</f>
        <v>$H$211</v>
      </c>
      <c r="I212" t="str" cm="1">
        <f t="array" aca="1" ref="I212" ca="1">IF('Raw Data'!I211="",_xlfn.REGEXEXTRACT(CELL("address",'Raw Data'!I211),"\$([A-Z]+)\$[0-9]+"),"")</f>
        <v>$I$211</v>
      </c>
    </row>
    <row r="213" spans="2:9" x14ac:dyDescent="0.25">
      <c r="B213" t="str" cm="1">
        <f t="array" aca="1" ref="B213" ca="1">IF('Raw Data'!B212="",_xlfn.REGEXEXTRACT(CELL("address",'Raw Data'!B212),"\$([A-Z]+)\$[0-9]+"),"")</f>
        <v>$B$212</v>
      </c>
      <c r="C213" t="str" cm="1">
        <f t="array" aca="1" ref="C213" ca="1">IF('Raw Data'!C212="",_xlfn.REGEXEXTRACT(CELL("address",'Raw Data'!C212),"\$([A-Z]+)\$[0-9]+"),"")</f>
        <v>$C$212</v>
      </c>
      <c r="D213" t="str" cm="1">
        <f t="array" aca="1" ref="D213" ca="1">IF('Raw Data'!D212="",_xlfn.REGEXEXTRACT(CELL("address",'Raw Data'!D212),"\$([A-Z]+)\$[0-9]+"),"")</f>
        <v>$D$212</v>
      </c>
      <c r="E213" t="str" cm="1">
        <f t="array" aca="1" ref="E213" ca="1">IF('Raw Data'!E212="",_xlfn.REGEXEXTRACT(CELL("address",'Raw Data'!E212),"\$([A-Z]+)\$[0-9]+"),"")</f>
        <v>$E$212</v>
      </c>
      <c r="F213" t="str" cm="1">
        <f t="array" aca="1" ref="F213" ca="1">IF('Raw Data'!F212="",_xlfn.REGEXEXTRACT(CELL("address",'Raw Data'!F212),"\$([A-Z]+)\$[0-9]+"),"")</f>
        <v>$F$212</v>
      </c>
      <c r="G213" t="str" cm="1">
        <f t="array" aca="1" ref="G213" ca="1">IF('Raw Data'!G212="",_xlfn.REGEXEXTRACT(CELL("address",'Raw Data'!G212),"\$([A-Z]+)\$[0-9]+"),"")</f>
        <v>$G$212</v>
      </c>
      <c r="H213" t="str" cm="1">
        <f t="array" aca="1" ref="H213" ca="1">IF('Raw Data'!H212="",_xlfn.REGEXEXTRACT(CELL("address",'Raw Data'!H212),"\$([A-Z]+)\$[0-9]+"),"")</f>
        <v>$H$212</v>
      </c>
      <c r="I213" t="str" cm="1">
        <f t="array" aca="1" ref="I213" ca="1">IF('Raw Data'!I212="",_xlfn.REGEXEXTRACT(CELL("address",'Raw Data'!I212),"\$([A-Z]+)\$[0-9]+"),"")</f>
        <v>$I$212</v>
      </c>
    </row>
    <row r="214" spans="2:9" x14ac:dyDescent="0.25">
      <c r="B214" t="str" cm="1">
        <f t="array" aca="1" ref="B214" ca="1">IF('Raw Data'!B213="",_xlfn.REGEXEXTRACT(CELL("address",'Raw Data'!B213),"\$([A-Z]+)\$[0-9]+"),"")</f>
        <v>$B$213</v>
      </c>
      <c r="C214" t="str" cm="1">
        <f t="array" aca="1" ref="C214" ca="1">IF('Raw Data'!C213="",_xlfn.REGEXEXTRACT(CELL("address",'Raw Data'!C213),"\$([A-Z]+)\$[0-9]+"),"")</f>
        <v>$C$213</v>
      </c>
      <c r="D214" t="str" cm="1">
        <f t="array" aca="1" ref="D214" ca="1">IF('Raw Data'!D213="",_xlfn.REGEXEXTRACT(CELL("address",'Raw Data'!D213),"\$([A-Z]+)\$[0-9]+"),"")</f>
        <v>$D$213</v>
      </c>
      <c r="E214" t="str" cm="1">
        <f t="array" aca="1" ref="E214" ca="1">IF('Raw Data'!E213="",_xlfn.REGEXEXTRACT(CELL("address",'Raw Data'!E213),"\$([A-Z]+)\$[0-9]+"),"")</f>
        <v>$E$213</v>
      </c>
      <c r="F214" t="str" cm="1">
        <f t="array" aca="1" ref="F214" ca="1">IF('Raw Data'!F213="",_xlfn.REGEXEXTRACT(CELL("address",'Raw Data'!F213),"\$([A-Z]+)\$[0-9]+"),"")</f>
        <v>$F$213</v>
      </c>
      <c r="G214" t="str" cm="1">
        <f t="array" aca="1" ref="G214" ca="1">IF('Raw Data'!G213="",_xlfn.REGEXEXTRACT(CELL("address",'Raw Data'!G213),"\$([A-Z]+)\$[0-9]+"),"")</f>
        <v>$G$213</v>
      </c>
      <c r="H214" t="str" cm="1">
        <f t="array" aca="1" ref="H214" ca="1">IF('Raw Data'!H213="",_xlfn.REGEXEXTRACT(CELL("address",'Raw Data'!H213),"\$([A-Z]+)\$[0-9]+"),"")</f>
        <v>$H$213</v>
      </c>
      <c r="I214" t="str" cm="1">
        <f t="array" aca="1" ref="I214" ca="1">IF('Raw Data'!I213="",_xlfn.REGEXEXTRACT(CELL("address",'Raw Data'!I213),"\$([A-Z]+)\$[0-9]+"),"")</f>
        <v>$I$213</v>
      </c>
    </row>
    <row r="215" spans="2:9" x14ac:dyDescent="0.25">
      <c r="B215" t="str" cm="1">
        <f t="array" aca="1" ref="B215" ca="1">IF('Raw Data'!B214="",_xlfn.REGEXEXTRACT(CELL("address",'Raw Data'!B214),"\$([A-Z]+)\$[0-9]+"),"")</f>
        <v>$B$214</v>
      </c>
      <c r="C215" t="str" cm="1">
        <f t="array" aca="1" ref="C215" ca="1">IF('Raw Data'!C214="",_xlfn.REGEXEXTRACT(CELL("address",'Raw Data'!C214),"\$([A-Z]+)\$[0-9]+"),"")</f>
        <v>$C$214</v>
      </c>
      <c r="D215" t="str" cm="1">
        <f t="array" aca="1" ref="D215" ca="1">IF('Raw Data'!D214="",_xlfn.REGEXEXTRACT(CELL("address",'Raw Data'!D214),"\$([A-Z]+)\$[0-9]+"),"")</f>
        <v>$D$214</v>
      </c>
      <c r="E215" t="str" cm="1">
        <f t="array" aca="1" ref="E215" ca="1">IF('Raw Data'!E214="",_xlfn.REGEXEXTRACT(CELL("address",'Raw Data'!E214),"\$([A-Z]+)\$[0-9]+"),"")</f>
        <v>$E$214</v>
      </c>
      <c r="F215" t="str" cm="1">
        <f t="array" aca="1" ref="F215" ca="1">IF('Raw Data'!F214="",_xlfn.REGEXEXTRACT(CELL("address",'Raw Data'!F214),"\$([A-Z]+)\$[0-9]+"),"")</f>
        <v>$F$214</v>
      </c>
      <c r="G215" t="str" cm="1">
        <f t="array" aca="1" ref="G215" ca="1">IF('Raw Data'!G214="",_xlfn.REGEXEXTRACT(CELL("address",'Raw Data'!G214),"\$([A-Z]+)\$[0-9]+"),"")</f>
        <v>$G$214</v>
      </c>
      <c r="H215" t="str" cm="1">
        <f t="array" aca="1" ref="H215" ca="1">IF('Raw Data'!H214="",_xlfn.REGEXEXTRACT(CELL("address",'Raw Data'!H214),"\$([A-Z]+)\$[0-9]+"),"")</f>
        <v>$H$214</v>
      </c>
      <c r="I215" t="str" cm="1">
        <f t="array" aca="1" ref="I215" ca="1">IF('Raw Data'!I214="",_xlfn.REGEXEXTRACT(CELL("address",'Raw Data'!I214),"\$([A-Z]+)\$[0-9]+"),"")</f>
        <v>$I$214</v>
      </c>
    </row>
    <row r="216" spans="2:9" x14ac:dyDescent="0.25">
      <c r="B216" t="str" cm="1">
        <f t="array" aca="1" ref="B216" ca="1">IF('Raw Data'!B215="",_xlfn.REGEXEXTRACT(CELL("address",'Raw Data'!B215),"\$([A-Z]+)\$[0-9]+"),"")</f>
        <v>$B$215</v>
      </c>
      <c r="C216" t="str" cm="1">
        <f t="array" aca="1" ref="C216" ca="1">IF('Raw Data'!C215="",_xlfn.REGEXEXTRACT(CELL("address",'Raw Data'!C215),"\$([A-Z]+)\$[0-9]+"),"")</f>
        <v>$C$215</v>
      </c>
      <c r="D216" t="str" cm="1">
        <f t="array" aca="1" ref="D216" ca="1">IF('Raw Data'!D215="",_xlfn.REGEXEXTRACT(CELL("address",'Raw Data'!D215),"\$([A-Z]+)\$[0-9]+"),"")</f>
        <v>$D$215</v>
      </c>
      <c r="E216" t="str" cm="1">
        <f t="array" aca="1" ref="E216" ca="1">IF('Raw Data'!E215="",_xlfn.REGEXEXTRACT(CELL("address",'Raw Data'!E215),"\$([A-Z]+)\$[0-9]+"),"")</f>
        <v>$E$215</v>
      </c>
      <c r="F216" t="str" cm="1">
        <f t="array" aca="1" ref="F216" ca="1">IF('Raw Data'!F215="",_xlfn.REGEXEXTRACT(CELL("address",'Raw Data'!F215),"\$([A-Z]+)\$[0-9]+"),"")</f>
        <v>$F$215</v>
      </c>
      <c r="G216" t="str" cm="1">
        <f t="array" aca="1" ref="G216" ca="1">IF('Raw Data'!G215="",_xlfn.REGEXEXTRACT(CELL("address",'Raw Data'!G215),"\$([A-Z]+)\$[0-9]+"),"")</f>
        <v>$G$215</v>
      </c>
      <c r="H216" t="str" cm="1">
        <f t="array" aca="1" ref="H216" ca="1">IF('Raw Data'!H215="",_xlfn.REGEXEXTRACT(CELL("address",'Raw Data'!H215),"\$([A-Z]+)\$[0-9]+"),"")</f>
        <v>$H$215</v>
      </c>
      <c r="I216" t="str" cm="1">
        <f t="array" aca="1" ref="I216" ca="1">IF('Raw Data'!I215="",_xlfn.REGEXEXTRACT(CELL("address",'Raw Data'!I215),"\$([A-Z]+)\$[0-9]+"),"")</f>
        <v>$I$215</v>
      </c>
    </row>
    <row r="217" spans="2:9" x14ac:dyDescent="0.25">
      <c r="B217" t="str" cm="1">
        <f t="array" aca="1" ref="B217" ca="1">IF('Raw Data'!B216="",_xlfn.REGEXEXTRACT(CELL("address",'Raw Data'!B216),"\$([A-Z]+)\$[0-9]+"),"")</f>
        <v>$B$216</v>
      </c>
      <c r="C217" t="str" cm="1">
        <f t="array" aca="1" ref="C217" ca="1">IF('Raw Data'!C216="",_xlfn.REGEXEXTRACT(CELL("address",'Raw Data'!C216),"\$([A-Z]+)\$[0-9]+"),"")</f>
        <v>$C$216</v>
      </c>
      <c r="D217" t="str" cm="1">
        <f t="array" aca="1" ref="D217" ca="1">IF('Raw Data'!D216="",_xlfn.REGEXEXTRACT(CELL("address",'Raw Data'!D216),"\$([A-Z]+)\$[0-9]+"),"")</f>
        <v>$D$216</v>
      </c>
      <c r="E217" t="str" cm="1">
        <f t="array" aca="1" ref="E217" ca="1">IF('Raw Data'!E216="",_xlfn.REGEXEXTRACT(CELL("address",'Raw Data'!E216),"\$([A-Z]+)\$[0-9]+"),"")</f>
        <v>$E$216</v>
      </c>
      <c r="F217" t="str" cm="1">
        <f t="array" aca="1" ref="F217" ca="1">IF('Raw Data'!F216="",_xlfn.REGEXEXTRACT(CELL("address",'Raw Data'!F216),"\$([A-Z]+)\$[0-9]+"),"")</f>
        <v>$F$216</v>
      </c>
      <c r="G217" t="str" cm="1">
        <f t="array" aca="1" ref="G217" ca="1">IF('Raw Data'!G216="",_xlfn.REGEXEXTRACT(CELL("address",'Raw Data'!G216),"\$([A-Z]+)\$[0-9]+"),"")</f>
        <v>$G$216</v>
      </c>
      <c r="H217" t="str" cm="1">
        <f t="array" aca="1" ref="H217" ca="1">IF('Raw Data'!H216="",_xlfn.REGEXEXTRACT(CELL("address",'Raw Data'!H216),"\$([A-Z]+)\$[0-9]+"),"")</f>
        <v>$H$216</v>
      </c>
      <c r="I217" t="str" cm="1">
        <f t="array" aca="1" ref="I217" ca="1">IF('Raw Data'!I216="",_xlfn.REGEXEXTRACT(CELL("address",'Raw Data'!I216),"\$([A-Z]+)\$[0-9]+"),"")</f>
        <v>$I$216</v>
      </c>
    </row>
    <row r="218" spans="2:9" x14ac:dyDescent="0.25">
      <c r="B218" t="str" cm="1">
        <f t="array" aca="1" ref="B218" ca="1">IF('Raw Data'!B217="",_xlfn.REGEXEXTRACT(CELL("address",'Raw Data'!B217),"\$([A-Z]+)\$[0-9]+"),"")</f>
        <v>$B$217</v>
      </c>
      <c r="C218" t="str" cm="1">
        <f t="array" aca="1" ref="C218" ca="1">IF('Raw Data'!C217="",_xlfn.REGEXEXTRACT(CELL("address",'Raw Data'!C217),"\$([A-Z]+)\$[0-9]+"),"")</f>
        <v>$C$217</v>
      </c>
      <c r="D218" t="str" cm="1">
        <f t="array" aca="1" ref="D218" ca="1">IF('Raw Data'!D217="",_xlfn.REGEXEXTRACT(CELL("address",'Raw Data'!D217),"\$([A-Z]+)\$[0-9]+"),"")</f>
        <v>$D$217</v>
      </c>
      <c r="E218" t="str" cm="1">
        <f t="array" aca="1" ref="E218" ca="1">IF('Raw Data'!E217="",_xlfn.REGEXEXTRACT(CELL("address",'Raw Data'!E217),"\$([A-Z]+)\$[0-9]+"),"")</f>
        <v>$E$217</v>
      </c>
      <c r="F218" t="str" cm="1">
        <f t="array" aca="1" ref="F218" ca="1">IF('Raw Data'!F217="",_xlfn.REGEXEXTRACT(CELL("address",'Raw Data'!F217),"\$([A-Z]+)\$[0-9]+"),"")</f>
        <v>$F$217</v>
      </c>
      <c r="G218" t="str" cm="1">
        <f t="array" aca="1" ref="G218" ca="1">IF('Raw Data'!G217="",_xlfn.REGEXEXTRACT(CELL("address",'Raw Data'!G217),"\$([A-Z]+)\$[0-9]+"),"")</f>
        <v>$G$217</v>
      </c>
      <c r="H218" t="str" cm="1">
        <f t="array" aca="1" ref="H218" ca="1">IF('Raw Data'!H217="",_xlfn.REGEXEXTRACT(CELL("address",'Raw Data'!H217),"\$([A-Z]+)\$[0-9]+"),"")</f>
        <v>$H$217</v>
      </c>
      <c r="I218" t="str" cm="1">
        <f t="array" aca="1" ref="I218" ca="1">IF('Raw Data'!I217="",_xlfn.REGEXEXTRACT(CELL("address",'Raw Data'!I217),"\$([A-Z]+)\$[0-9]+"),"")</f>
        <v>$I$217</v>
      </c>
    </row>
    <row r="219" spans="2:9" x14ac:dyDescent="0.25">
      <c r="B219" t="str" cm="1">
        <f t="array" aca="1" ref="B219" ca="1">IF('Raw Data'!B218="",_xlfn.REGEXEXTRACT(CELL("address",'Raw Data'!B218),"\$([A-Z]+)\$[0-9]+"),"")</f>
        <v>$B$218</v>
      </c>
      <c r="C219" t="str" cm="1">
        <f t="array" aca="1" ref="C219" ca="1">IF('Raw Data'!C218="",_xlfn.REGEXEXTRACT(CELL("address",'Raw Data'!C218),"\$([A-Z]+)\$[0-9]+"),"")</f>
        <v>$C$218</v>
      </c>
      <c r="D219" t="str" cm="1">
        <f t="array" aca="1" ref="D219" ca="1">IF('Raw Data'!D218="",_xlfn.REGEXEXTRACT(CELL("address",'Raw Data'!D218),"\$([A-Z]+)\$[0-9]+"),"")</f>
        <v>$D$218</v>
      </c>
      <c r="E219" t="str" cm="1">
        <f t="array" aca="1" ref="E219" ca="1">IF('Raw Data'!E218="",_xlfn.REGEXEXTRACT(CELL("address",'Raw Data'!E218),"\$([A-Z]+)\$[0-9]+"),"")</f>
        <v>$E$218</v>
      </c>
      <c r="F219" t="str" cm="1">
        <f t="array" aca="1" ref="F219" ca="1">IF('Raw Data'!F218="",_xlfn.REGEXEXTRACT(CELL("address",'Raw Data'!F218),"\$([A-Z]+)\$[0-9]+"),"")</f>
        <v>$F$218</v>
      </c>
      <c r="G219" t="str" cm="1">
        <f t="array" aca="1" ref="G219" ca="1">IF('Raw Data'!G218="",_xlfn.REGEXEXTRACT(CELL("address",'Raw Data'!G218),"\$([A-Z]+)\$[0-9]+"),"")</f>
        <v>$G$218</v>
      </c>
      <c r="H219" t="str" cm="1">
        <f t="array" aca="1" ref="H219" ca="1">IF('Raw Data'!H218="",_xlfn.REGEXEXTRACT(CELL("address",'Raw Data'!H218),"\$([A-Z]+)\$[0-9]+"),"")</f>
        <v>$H$218</v>
      </c>
      <c r="I219" t="str" cm="1">
        <f t="array" aca="1" ref="I219" ca="1">IF('Raw Data'!I218="",_xlfn.REGEXEXTRACT(CELL("address",'Raw Data'!I218),"\$([A-Z]+)\$[0-9]+"),"")</f>
        <v>$I$218</v>
      </c>
    </row>
    <row r="220" spans="2:9" x14ac:dyDescent="0.25">
      <c r="B220" t="str" cm="1">
        <f t="array" aca="1" ref="B220" ca="1">IF('Raw Data'!B219="",_xlfn.REGEXEXTRACT(CELL("address",'Raw Data'!B219),"\$([A-Z]+)\$[0-9]+"),"")</f>
        <v>$B$219</v>
      </c>
      <c r="C220" t="str" cm="1">
        <f t="array" aca="1" ref="C220" ca="1">IF('Raw Data'!C219="",_xlfn.REGEXEXTRACT(CELL("address",'Raw Data'!C219),"\$([A-Z]+)\$[0-9]+"),"")</f>
        <v>$C$219</v>
      </c>
      <c r="D220" t="str" cm="1">
        <f t="array" aca="1" ref="D220" ca="1">IF('Raw Data'!D219="",_xlfn.REGEXEXTRACT(CELL("address",'Raw Data'!D219),"\$([A-Z]+)\$[0-9]+"),"")</f>
        <v>$D$219</v>
      </c>
      <c r="E220" t="str" cm="1">
        <f t="array" aca="1" ref="E220" ca="1">IF('Raw Data'!E219="",_xlfn.REGEXEXTRACT(CELL("address",'Raw Data'!E219),"\$([A-Z]+)\$[0-9]+"),"")</f>
        <v>$E$219</v>
      </c>
      <c r="F220" t="str" cm="1">
        <f t="array" aca="1" ref="F220" ca="1">IF('Raw Data'!F219="",_xlfn.REGEXEXTRACT(CELL("address",'Raw Data'!F219),"\$([A-Z]+)\$[0-9]+"),"")</f>
        <v>$F$219</v>
      </c>
      <c r="G220" t="str" cm="1">
        <f t="array" aca="1" ref="G220" ca="1">IF('Raw Data'!G219="",_xlfn.REGEXEXTRACT(CELL("address",'Raw Data'!G219),"\$([A-Z]+)\$[0-9]+"),"")</f>
        <v>$G$219</v>
      </c>
      <c r="H220" t="str" cm="1">
        <f t="array" aca="1" ref="H220" ca="1">IF('Raw Data'!H219="",_xlfn.REGEXEXTRACT(CELL("address",'Raw Data'!H219),"\$([A-Z]+)\$[0-9]+"),"")</f>
        <v>$H$219</v>
      </c>
      <c r="I220" t="str" cm="1">
        <f t="array" aca="1" ref="I220" ca="1">IF('Raw Data'!I219="",_xlfn.REGEXEXTRACT(CELL("address",'Raw Data'!I219),"\$([A-Z]+)\$[0-9]+"),"")</f>
        <v>$I$219</v>
      </c>
    </row>
    <row r="221" spans="2:9" x14ac:dyDescent="0.25">
      <c r="B221" t="str" cm="1">
        <f t="array" aca="1" ref="B221" ca="1">IF('Raw Data'!B220="",_xlfn.REGEXEXTRACT(CELL("address",'Raw Data'!B220),"\$([A-Z]+)\$[0-9]+"),"")</f>
        <v>$B$220</v>
      </c>
      <c r="C221" t="str" cm="1">
        <f t="array" aca="1" ref="C221" ca="1">IF('Raw Data'!C220="",_xlfn.REGEXEXTRACT(CELL("address",'Raw Data'!C220),"\$([A-Z]+)\$[0-9]+"),"")</f>
        <v>$C$220</v>
      </c>
      <c r="D221" t="str" cm="1">
        <f t="array" aca="1" ref="D221" ca="1">IF('Raw Data'!D220="",_xlfn.REGEXEXTRACT(CELL("address",'Raw Data'!D220),"\$([A-Z]+)\$[0-9]+"),"")</f>
        <v>$D$220</v>
      </c>
      <c r="E221" t="str" cm="1">
        <f t="array" aca="1" ref="E221" ca="1">IF('Raw Data'!E220="",_xlfn.REGEXEXTRACT(CELL("address",'Raw Data'!E220),"\$([A-Z]+)\$[0-9]+"),"")</f>
        <v>$E$220</v>
      </c>
      <c r="F221" t="str" cm="1">
        <f t="array" aca="1" ref="F221" ca="1">IF('Raw Data'!F220="",_xlfn.REGEXEXTRACT(CELL("address",'Raw Data'!F220),"\$([A-Z]+)\$[0-9]+"),"")</f>
        <v>$F$220</v>
      </c>
      <c r="G221" t="str" cm="1">
        <f t="array" aca="1" ref="G221" ca="1">IF('Raw Data'!G220="",_xlfn.REGEXEXTRACT(CELL("address",'Raw Data'!G220),"\$([A-Z]+)\$[0-9]+"),"")</f>
        <v>$G$220</v>
      </c>
      <c r="H221" t="str" cm="1">
        <f t="array" aca="1" ref="H221" ca="1">IF('Raw Data'!H220="",_xlfn.REGEXEXTRACT(CELL("address",'Raw Data'!H220),"\$([A-Z]+)\$[0-9]+"),"")</f>
        <v>$H$220</v>
      </c>
      <c r="I221" t="str" cm="1">
        <f t="array" aca="1" ref="I221" ca="1">IF('Raw Data'!I220="",_xlfn.REGEXEXTRACT(CELL("address",'Raw Data'!I220),"\$([A-Z]+)\$[0-9]+"),"")</f>
        <v>$I$220</v>
      </c>
    </row>
    <row r="222" spans="2:9" x14ac:dyDescent="0.25">
      <c r="B222" t="str" cm="1">
        <f t="array" aca="1" ref="B222" ca="1">IF('Raw Data'!B221="",_xlfn.REGEXEXTRACT(CELL("address",'Raw Data'!B221),"\$([A-Z]+)\$[0-9]+"),"")</f>
        <v>$B$221</v>
      </c>
      <c r="C222" t="str" cm="1">
        <f t="array" aca="1" ref="C222" ca="1">IF('Raw Data'!C221="",_xlfn.REGEXEXTRACT(CELL("address",'Raw Data'!C221),"\$([A-Z]+)\$[0-9]+"),"")</f>
        <v>$C$221</v>
      </c>
      <c r="D222" t="str" cm="1">
        <f t="array" aca="1" ref="D222" ca="1">IF('Raw Data'!D221="",_xlfn.REGEXEXTRACT(CELL("address",'Raw Data'!D221),"\$([A-Z]+)\$[0-9]+"),"")</f>
        <v>$D$221</v>
      </c>
      <c r="E222" t="str" cm="1">
        <f t="array" aca="1" ref="E222" ca="1">IF('Raw Data'!E221="",_xlfn.REGEXEXTRACT(CELL("address",'Raw Data'!E221),"\$([A-Z]+)\$[0-9]+"),"")</f>
        <v>$E$221</v>
      </c>
      <c r="F222" t="str" cm="1">
        <f t="array" aca="1" ref="F222" ca="1">IF('Raw Data'!F221="",_xlfn.REGEXEXTRACT(CELL("address",'Raw Data'!F221),"\$([A-Z]+)\$[0-9]+"),"")</f>
        <v>$F$221</v>
      </c>
      <c r="G222" t="str" cm="1">
        <f t="array" aca="1" ref="G222" ca="1">IF('Raw Data'!G221="",_xlfn.REGEXEXTRACT(CELL("address",'Raw Data'!G221),"\$([A-Z]+)\$[0-9]+"),"")</f>
        <v>$G$221</v>
      </c>
      <c r="H222" t="str" cm="1">
        <f t="array" aca="1" ref="H222" ca="1">IF('Raw Data'!H221="",_xlfn.REGEXEXTRACT(CELL("address",'Raw Data'!H221),"\$([A-Z]+)\$[0-9]+"),"")</f>
        <v>$H$221</v>
      </c>
      <c r="I222" t="str" cm="1">
        <f t="array" aca="1" ref="I222" ca="1">IF('Raw Data'!I221="",_xlfn.REGEXEXTRACT(CELL("address",'Raw Data'!I221),"\$([A-Z]+)\$[0-9]+"),"")</f>
        <v>$I$221</v>
      </c>
    </row>
    <row r="223" spans="2:9" x14ac:dyDescent="0.25">
      <c r="B223" t="str" cm="1">
        <f t="array" aca="1" ref="B223" ca="1">IF('Raw Data'!B222="",_xlfn.REGEXEXTRACT(CELL("address",'Raw Data'!B222),"\$([A-Z]+)\$[0-9]+"),"")</f>
        <v>$B$222</v>
      </c>
      <c r="C223" t="str" cm="1">
        <f t="array" aca="1" ref="C223" ca="1">IF('Raw Data'!C222="",_xlfn.REGEXEXTRACT(CELL("address",'Raw Data'!C222),"\$([A-Z]+)\$[0-9]+"),"")</f>
        <v>$C$222</v>
      </c>
      <c r="D223" t="str" cm="1">
        <f t="array" aca="1" ref="D223" ca="1">IF('Raw Data'!D222="",_xlfn.REGEXEXTRACT(CELL("address",'Raw Data'!D222),"\$([A-Z]+)\$[0-9]+"),"")</f>
        <v>$D$222</v>
      </c>
      <c r="E223" t="str" cm="1">
        <f t="array" aca="1" ref="E223" ca="1">IF('Raw Data'!E222="",_xlfn.REGEXEXTRACT(CELL("address",'Raw Data'!E222),"\$([A-Z]+)\$[0-9]+"),"")</f>
        <v>$E$222</v>
      </c>
      <c r="F223" t="str" cm="1">
        <f t="array" aca="1" ref="F223" ca="1">IF('Raw Data'!F222="",_xlfn.REGEXEXTRACT(CELL("address",'Raw Data'!F222),"\$([A-Z]+)\$[0-9]+"),"")</f>
        <v>$F$222</v>
      </c>
      <c r="G223" t="str" cm="1">
        <f t="array" aca="1" ref="G223" ca="1">IF('Raw Data'!G222="",_xlfn.REGEXEXTRACT(CELL("address",'Raw Data'!G222),"\$([A-Z]+)\$[0-9]+"),"")</f>
        <v>$G$222</v>
      </c>
      <c r="H223" t="str" cm="1">
        <f t="array" aca="1" ref="H223" ca="1">IF('Raw Data'!H222="",_xlfn.REGEXEXTRACT(CELL("address",'Raw Data'!H222),"\$([A-Z]+)\$[0-9]+"),"")</f>
        <v>$H$222</v>
      </c>
      <c r="I223" t="str" cm="1">
        <f t="array" aca="1" ref="I223" ca="1">IF('Raw Data'!I222="",_xlfn.REGEXEXTRACT(CELL("address",'Raw Data'!I222),"\$([A-Z]+)\$[0-9]+"),"")</f>
        <v>$I$222</v>
      </c>
    </row>
    <row r="224" spans="2:9" x14ac:dyDescent="0.25">
      <c r="B224" t="str" cm="1">
        <f t="array" aca="1" ref="B224" ca="1">IF('Raw Data'!B223="",_xlfn.REGEXEXTRACT(CELL("address",'Raw Data'!B223),"\$([A-Z]+)\$[0-9]+"),"")</f>
        <v>$B$223</v>
      </c>
      <c r="C224" t="str" cm="1">
        <f t="array" aca="1" ref="C224" ca="1">IF('Raw Data'!C223="",_xlfn.REGEXEXTRACT(CELL("address",'Raw Data'!C223),"\$([A-Z]+)\$[0-9]+"),"")</f>
        <v>$C$223</v>
      </c>
      <c r="D224" t="str" cm="1">
        <f t="array" aca="1" ref="D224" ca="1">IF('Raw Data'!D223="",_xlfn.REGEXEXTRACT(CELL("address",'Raw Data'!D223),"\$([A-Z]+)\$[0-9]+"),"")</f>
        <v>$D$223</v>
      </c>
      <c r="E224" t="str" cm="1">
        <f t="array" aca="1" ref="E224" ca="1">IF('Raw Data'!E223="",_xlfn.REGEXEXTRACT(CELL("address",'Raw Data'!E223),"\$([A-Z]+)\$[0-9]+"),"")</f>
        <v>$E$223</v>
      </c>
      <c r="F224" t="str" cm="1">
        <f t="array" aca="1" ref="F224" ca="1">IF('Raw Data'!F223="",_xlfn.REGEXEXTRACT(CELL("address",'Raw Data'!F223),"\$([A-Z]+)\$[0-9]+"),"")</f>
        <v>$F$223</v>
      </c>
      <c r="G224" t="str" cm="1">
        <f t="array" aca="1" ref="G224" ca="1">IF('Raw Data'!G223="",_xlfn.REGEXEXTRACT(CELL("address",'Raw Data'!G223),"\$([A-Z]+)\$[0-9]+"),"")</f>
        <v>$G$223</v>
      </c>
      <c r="H224" t="str" cm="1">
        <f t="array" aca="1" ref="H224" ca="1">IF('Raw Data'!H223="",_xlfn.REGEXEXTRACT(CELL("address",'Raw Data'!H223),"\$([A-Z]+)\$[0-9]+"),"")</f>
        <v>$H$223</v>
      </c>
      <c r="I224" t="str" cm="1">
        <f t="array" aca="1" ref="I224" ca="1">IF('Raw Data'!I223="",_xlfn.REGEXEXTRACT(CELL("address",'Raw Data'!I223),"\$([A-Z]+)\$[0-9]+"),"")</f>
        <v>$I$223</v>
      </c>
    </row>
    <row r="225" spans="2:9" x14ac:dyDescent="0.25">
      <c r="B225" t="str" cm="1">
        <f t="array" aca="1" ref="B225" ca="1">IF('Raw Data'!B224="",_xlfn.REGEXEXTRACT(CELL("address",'Raw Data'!B224),"\$([A-Z]+)\$[0-9]+"),"")</f>
        <v>$B$224</v>
      </c>
      <c r="C225" t="str" cm="1">
        <f t="array" aca="1" ref="C225" ca="1">IF('Raw Data'!C224="",_xlfn.REGEXEXTRACT(CELL("address",'Raw Data'!C224),"\$([A-Z]+)\$[0-9]+"),"")</f>
        <v>$C$224</v>
      </c>
      <c r="D225" t="str" cm="1">
        <f t="array" aca="1" ref="D225" ca="1">IF('Raw Data'!D224="",_xlfn.REGEXEXTRACT(CELL("address",'Raw Data'!D224),"\$([A-Z]+)\$[0-9]+"),"")</f>
        <v>$D$224</v>
      </c>
      <c r="E225" t="str" cm="1">
        <f t="array" aca="1" ref="E225" ca="1">IF('Raw Data'!E224="",_xlfn.REGEXEXTRACT(CELL("address",'Raw Data'!E224),"\$([A-Z]+)\$[0-9]+"),"")</f>
        <v>$E$224</v>
      </c>
      <c r="F225" t="str" cm="1">
        <f t="array" aca="1" ref="F225" ca="1">IF('Raw Data'!F224="",_xlfn.REGEXEXTRACT(CELL("address",'Raw Data'!F224),"\$([A-Z]+)\$[0-9]+"),"")</f>
        <v>$F$224</v>
      </c>
      <c r="G225" t="str" cm="1">
        <f t="array" aca="1" ref="G225" ca="1">IF('Raw Data'!G224="",_xlfn.REGEXEXTRACT(CELL("address",'Raw Data'!G224),"\$([A-Z]+)\$[0-9]+"),"")</f>
        <v>$G$224</v>
      </c>
      <c r="H225" t="str" cm="1">
        <f t="array" aca="1" ref="H225" ca="1">IF('Raw Data'!H224="",_xlfn.REGEXEXTRACT(CELL("address",'Raw Data'!H224),"\$([A-Z]+)\$[0-9]+"),"")</f>
        <v>$H$224</v>
      </c>
      <c r="I225" t="str" cm="1">
        <f t="array" aca="1" ref="I225" ca="1">IF('Raw Data'!I224="",_xlfn.REGEXEXTRACT(CELL("address",'Raw Data'!I224),"\$([A-Z]+)\$[0-9]+"),"")</f>
        <v>$I$224</v>
      </c>
    </row>
    <row r="226" spans="2:9" x14ac:dyDescent="0.25">
      <c r="B226" t="str" cm="1">
        <f t="array" aca="1" ref="B226" ca="1">IF('Raw Data'!B225="",_xlfn.REGEXEXTRACT(CELL("address",'Raw Data'!B225),"\$([A-Z]+)\$[0-9]+"),"")</f>
        <v>$B$225</v>
      </c>
      <c r="C226" t="str" cm="1">
        <f t="array" aca="1" ref="C226" ca="1">IF('Raw Data'!C225="",_xlfn.REGEXEXTRACT(CELL("address",'Raw Data'!C225),"\$([A-Z]+)\$[0-9]+"),"")</f>
        <v>$C$225</v>
      </c>
      <c r="D226" t="str" cm="1">
        <f t="array" aca="1" ref="D226" ca="1">IF('Raw Data'!D225="",_xlfn.REGEXEXTRACT(CELL("address",'Raw Data'!D225),"\$([A-Z]+)\$[0-9]+"),"")</f>
        <v>$D$225</v>
      </c>
      <c r="E226" t="str" cm="1">
        <f t="array" aca="1" ref="E226" ca="1">IF('Raw Data'!E225="",_xlfn.REGEXEXTRACT(CELL("address",'Raw Data'!E225),"\$([A-Z]+)\$[0-9]+"),"")</f>
        <v>$E$225</v>
      </c>
      <c r="F226" t="str" cm="1">
        <f t="array" aca="1" ref="F226" ca="1">IF('Raw Data'!F225="",_xlfn.REGEXEXTRACT(CELL("address",'Raw Data'!F225),"\$([A-Z]+)\$[0-9]+"),"")</f>
        <v>$F$225</v>
      </c>
      <c r="G226" t="str" cm="1">
        <f t="array" aca="1" ref="G226" ca="1">IF('Raw Data'!G225="",_xlfn.REGEXEXTRACT(CELL("address",'Raw Data'!G225),"\$([A-Z]+)\$[0-9]+"),"")</f>
        <v>$G$225</v>
      </c>
      <c r="H226" t="str" cm="1">
        <f t="array" aca="1" ref="H226" ca="1">IF('Raw Data'!H225="",_xlfn.REGEXEXTRACT(CELL("address",'Raw Data'!H225),"\$([A-Z]+)\$[0-9]+"),"")</f>
        <v>$H$225</v>
      </c>
      <c r="I226" t="str" cm="1">
        <f t="array" aca="1" ref="I226" ca="1">IF('Raw Data'!I225="",_xlfn.REGEXEXTRACT(CELL("address",'Raw Data'!I225),"\$([A-Z]+)\$[0-9]+"),"")</f>
        <v>$I$225</v>
      </c>
    </row>
    <row r="227" spans="2:9" x14ac:dyDescent="0.25">
      <c r="B227" t="str" cm="1">
        <f t="array" aca="1" ref="B227" ca="1">IF('Raw Data'!B226="",_xlfn.REGEXEXTRACT(CELL("address",'Raw Data'!B226),"\$([A-Z]+)\$[0-9]+"),"")</f>
        <v>$B$226</v>
      </c>
      <c r="C227" t="str" cm="1">
        <f t="array" aca="1" ref="C227" ca="1">IF('Raw Data'!C226="",_xlfn.REGEXEXTRACT(CELL("address",'Raw Data'!C226),"\$([A-Z]+)\$[0-9]+"),"")</f>
        <v>$C$226</v>
      </c>
      <c r="D227" t="str" cm="1">
        <f t="array" aca="1" ref="D227" ca="1">IF('Raw Data'!D226="",_xlfn.REGEXEXTRACT(CELL("address",'Raw Data'!D226),"\$([A-Z]+)\$[0-9]+"),"")</f>
        <v>$D$226</v>
      </c>
      <c r="E227" t="str" cm="1">
        <f t="array" aca="1" ref="E227" ca="1">IF('Raw Data'!E226="",_xlfn.REGEXEXTRACT(CELL("address",'Raw Data'!E226),"\$([A-Z]+)\$[0-9]+"),"")</f>
        <v>$E$226</v>
      </c>
      <c r="F227" t="str" cm="1">
        <f t="array" aca="1" ref="F227" ca="1">IF('Raw Data'!F226="",_xlfn.REGEXEXTRACT(CELL("address",'Raw Data'!F226),"\$([A-Z]+)\$[0-9]+"),"")</f>
        <v>$F$226</v>
      </c>
      <c r="G227" t="str" cm="1">
        <f t="array" aca="1" ref="G227" ca="1">IF('Raw Data'!G226="",_xlfn.REGEXEXTRACT(CELL("address",'Raw Data'!G226),"\$([A-Z]+)\$[0-9]+"),"")</f>
        <v>$G$226</v>
      </c>
      <c r="H227" t="str" cm="1">
        <f t="array" aca="1" ref="H227" ca="1">IF('Raw Data'!H226="",_xlfn.REGEXEXTRACT(CELL("address",'Raw Data'!H226),"\$([A-Z]+)\$[0-9]+"),"")</f>
        <v>$H$226</v>
      </c>
      <c r="I227" t="str" cm="1">
        <f t="array" aca="1" ref="I227" ca="1">IF('Raw Data'!I226="",_xlfn.REGEXEXTRACT(CELL("address",'Raw Data'!I226),"\$([A-Z]+)\$[0-9]+"),"")</f>
        <v>$I$226</v>
      </c>
    </row>
    <row r="228" spans="2:9" x14ac:dyDescent="0.25">
      <c r="B228" t="str" cm="1">
        <f t="array" aca="1" ref="B228" ca="1">IF('Raw Data'!B227="",_xlfn.REGEXEXTRACT(CELL("address",'Raw Data'!B227),"\$([A-Z]+)\$[0-9]+"),"")</f>
        <v>$B$227</v>
      </c>
      <c r="C228" t="str" cm="1">
        <f t="array" aca="1" ref="C228" ca="1">IF('Raw Data'!C227="",_xlfn.REGEXEXTRACT(CELL("address",'Raw Data'!C227),"\$([A-Z]+)\$[0-9]+"),"")</f>
        <v>$C$227</v>
      </c>
      <c r="D228" t="str" cm="1">
        <f t="array" aca="1" ref="D228" ca="1">IF('Raw Data'!D227="",_xlfn.REGEXEXTRACT(CELL("address",'Raw Data'!D227),"\$([A-Z]+)\$[0-9]+"),"")</f>
        <v>$D$227</v>
      </c>
      <c r="E228" t="str" cm="1">
        <f t="array" aca="1" ref="E228" ca="1">IF('Raw Data'!E227="",_xlfn.REGEXEXTRACT(CELL("address",'Raw Data'!E227),"\$([A-Z]+)\$[0-9]+"),"")</f>
        <v>$E$227</v>
      </c>
      <c r="F228" t="str" cm="1">
        <f t="array" aca="1" ref="F228" ca="1">IF('Raw Data'!F227="",_xlfn.REGEXEXTRACT(CELL("address",'Raw Data'!F227),"\$([A-Z]+)\$[0-9]+"),"")</f>
        <v>$F$227</v>
      </c>
      <c r="G228" t="str" cm="1">
        <f t="array" aca="1" ref="G228" ca="1">IF('Raw Data'!G227="",_xlfn.REGEXEXTRACT(CELL("address",'Raw Data'!G227),"\$([A-Z]+)\$[0-9]+"),"")</f>
        <v>$G$227</v>
      </c>
      <c r="H228" t="str" cm="1">
        <f t="array" aca="1" ref="H228" ca="1">IF('Raw Data'!H227="",_xlfn.REGEXEXTRACT(CELL("address",'Raw Data'!H227),"\$([A-Z]+)\$[0-9]+"),"")</f>
        <v>$H$227</v>
      </c>
      <c r="I228" t="str" cm="1">
        <f t="array" aca="1" ref="I228" ca="1">IF('Raw Data'!I227="",_xlfn.REGEXEXTRACT(CELL("address",'Raw Data'!I227),"\$([A-Z]+)\$[0-9]+"),"")</f>
        <v>$I$227</v>
      </c>
    </row>
    <row r="229" spans="2:9" x14ac:dyDescent="0.25">
      <c r="B229" t="str" cm="1">
        <f t="array" aca="1" ref="B229" ca="1">IF('Raw Data'!B228="",_xlfn.REGEXEXTRACT(CELL("address",'Raw Data'!B228),"\$([A-Z]+)\$[0-9]+"),"")</f>
        <v>$B$228</v>
      </c>
      <c r="C229" t="str" cm="1">
        <f t="array" aca="1" ref="C229" ca="1">IF('Raw Data'!C228="",_xlfn.REGEXEXTRACT(CELL("address",'Raw Data'!C228),"\$([A-Z]+)\$[0-9]+"),"")</f>
        <v>$C$228</v>
      </c>
      <c r="D229" t="str" cm="1">
        <f t="array" aca="1" ref="D229" ca="1">IF('Raw Data'!D228="",_xlfn.REGEXEXTRACT(CELL("address",'Raw Data'!D228),"\$([A-Z]+)\$[0-9]+"),"")</f>
        <v>$D$228</v>
      </c>
      <c r="E229" t="str" cm="1">
        <f t="array" aca="1" ref="E229" ca="1">IF('Raw Data'!E228="",_xlfn.REGEXEXTRACT(CELL("address",'Raw Data'!E228),"\$([A-Z]+)\$[0-9]+"),"")</f>
        <v>$E$228</v>
      </c>
      <c r="F229" t="str" cm="1">
        <f t="array" aca="1" ref="F229" ca="1">IF('Raw Data'!F228="",_xlfn.REGEXEXTRACT(CELL("address",'Raw Data'!F228),"\$([A-Z]+)\$[0-9]+"),"")</f>
        <v>$F$228</v>
      </c>
      <c r="G229" t="str" cm="1">
        <f t="array" aca="1" ref="G229" ca="1">IF('Raw Data'!G228="",_xlfn.REGEXEXTRACT(CELL("address",'Raw Data'!G228),"\$([A-Z]+)\$[0-9]+"),"")</f>
        <v>$G$228</v>
      </c>
      <c r="H229" t="str" cm="1">
        <f t="array" aca="1" ref="H229" ca="1">IF('Raw Data'!H228="",_xlfn.REGEXEXTRACT(CELL("address",'Raw Data'!H228),"\$([A-Z]+)\$[0-9]+"),"")</f>
        <v>$H$228</v>
      </c>
      <c r="I229" t="str" cm="1">
        <f t="array" aca="1" ref="I229" ca="1">IF('Raw Data'!I228="",_xlfn.REGEXEXTRACT(CELL("address",'Raw Data'!I228),"\$([A-Z]+)\$[0-9]+"),"")</f>
        <v>$I$228</v>
      </c>
    </row>
    <row r="230" spans="2:9" x14ac:dyDescent="0.25">
      <c r="B230" t="str" cm="1">
        <f t="array" aca="1" ref="B230" ca="1">IF('Raw Data'!B229="",_xlfn.REGEXEXTRACT(CELL("address",'Raw Data'!B229),"\$([A-Z]+)\$[0-9]+"),"")</f>
        <v>$B$229</v>
      </c>
      <c r="C230" t="str" cm="1">
        <f t="array" aca="1" ref="C230" ca="1">IF('Raw Data'!C229="",_xlfn.REGEXEXTRACT(CELL("address",'Raw Data'!C229),"\$([A-Z]+)\$[0-9]+"),"")</f>
        <v>$C$229</v>
      </c>
      <c r="D230" t="str" cm="1">
        <f t="array" aca="1" ref="D230" ca="1">IF('Raw Data'!D229="",_xlfn.REGEXEXTRACT(CELL("address",'Raw Data'!D229),"\$([A-Z]+)\$[0-9]+"),"")</f>
        <v>$D$229</v>
      </c>
      <c r="E230" t="str" cm="1">
        <f t="array" aca="1" ref="E230" ca="1">IF('Raw Data'!E229="",_xlfn.REGEXEXTRACT(CELL("address",'Raw Data'!E229),"\$([A-Z]+)\$[0-9]+"),"")</f>
        <v>$E$229</v>
      </c>
      <c r="F230" t="str" cm="1">
        <f t="array" aca="1" ref="F230" ca="1">IF('Raw Data'!F229="",_xlfn.REGEXEXTRACT(CELL("address",'Raw Data'!F229),"\$([A-Z]+)\$[0-9]+"),"")</f>
        <v>$F$229</v>
      </c>
      <c r="G230" t="str" cm="1">
        <f t="array" aca="1" ref="G230" ca="1">IF('Raw Data'!G229="",_xlfn.REGEXEXTRACT(CELL("address",'Raw Data'!G229),"\$([A-Z]+)\$[0-9]+"),"")</f>
        <v>$G$229</v>
      </c>
      <c r="H230" t="str" cm="1">
        <f t="array" aca="1" ref="H230" ca="1">IF('Raw Data'!H229="",_xlfn.REGEXEXTRACT(CELL("address",'Raw Data'!H229),"\$([A-Z]+)\$[0-9]+"),"")</f>
        <v>$H$229</v>
      </c>
      <c r="I230" t="str" cm="1">
        <f t="array" aca="1" ref="I230" ca="1">IF('Raw Data'!I229="",_xlfn.REGEXEXTRACT(CELL("address",'Raw Data'!I229),"\$([A-Z]+)\$[0-9]+"),"")</f>
        <v>$I$229</v>
      </c>
    </row>
    <row r="231" spans="2:9" x14ac:dyDescent="0.25">
      <c r="B231" t="str" cm="1">
        <f t="array" aca="1" ref="B231" ca="1">IF('Raw Data'!B230="",_xlfn.REGEXEXTRACT(CELL("address",'Raw Data'!B230),"\$([A-Z]+)\$[0-9]+"),"")</f>
        <v>$B$230</v>
      </c>
      <c r="C231" t="str" cm="1">
        <f t="array" aca="1" ref="C231" ca="1">IF('Raw Data'!C230="",_xlfn.REGEXEXTRACT(CELL("address",'Raw Data'!C230),"\$([A-Z]+)\$[0-9]+"),"")</f>
        <v>$C$230</v>
      </c>
      <c r="D231" t="str" cm="1">
        <f t="array" aca="1" ref="D231" ca="1">IF('Raw Data'!D230="",_xlfn.REGEXEXTRACT(CELL("address",'Raw Data'!D230),"\$([A-Z]+)\$[0-9]+"),"")</f>
        <v>$D$230</v>
      </c>
      <c r="E231" t="str" cm="1">
        <f t="array" aca="1" ref="E231" ca="1">IF('Raw Data'!E230="",_xlfn.REGEXEXTRACT(CELL("address",'Raw Data'!E230),"\$([A-Z]+)\$[0-9]+"),"")</f>
        <v>$E$230</v>
      </c>
      <c r="F231" t="str" cm="1">
        <f t="array" aca="1" ref="F231" ca="1">IF('Raw Data'!F230="",_xlfn.REGEXEXTRACT(CELL("address",'Raw Data'!F230),"\$([A-Z]+)\$[0-9]+"),"")</f>
        <v>$F$230</v>
      </c>
      <c r="G231" t="str" cm="1">
        <f t="array" aca="1" ref="G231" ca="1">IF('Raw Data'!G230="",_xlfn.REGEXEXTRACT(CELL("address",'Raw Data'!G230),"\$([A-Z]+)\$[0-9]+"),"")</f>
        <v>$G$230</v>
      </c>
      <c r="H231" t="str" cm="1">
        <f t="array" aca="1" ref="H231" ca="1">IF('Raw Data'!H230="",_xlfn.REGEXEXTRACT(CELL("address",'Raw Data'!H230),"\$([A-Z]+)\$[0-9]+"),"")</f>
        <v>$H$230</v>
      </c>
      <c r="I231" t="str" cm="1">
        <f t="array" aca="1" ref="I231" ca="1">IF('Raw Data'!I230="",_xlfn.REGEXEXTRACT(CELL("address",'Raw Data'!I230),"\$([A-Z]+)\$[0-9]+"),"")</f>
        <v>$I$230</v>
      </c>
    </row>
    <row r="232" spans="2:9" x14ac:dyDescent="0.25">
      <c r="B232" t="str" cm="1">
        <f t="array" aca="1" ref="B232" ca="1">IF('Raw Data'!B231="",_xlfn.REGEXEXTRACT(CELL("address",'Raw Data'!B231),"\$([A-Z]+)\$[0-9]+"),"")</f>
        <v>$B$231</v>
      </c>
      <c r="C232" t="str" cm="1">
        <f t="array" aca="1" ref="C232" ca="1">IF('Raw Data'!C231="",_xlfn.REGEXEXTRACT(CELL("address",'Raw Data'!C231),"\$([A-Z]+)\$[0-9]+"),"")</f>
        <v>$C$231</v>
      </c>
      <c r="D232" t="str" cm="1">
        <f t="array" aca="1" ref="D232" ca="1">IF('Raw Data'!D231="",_xlfn.REGEXEXTRACT(CELL("address",'Raw Data'!D231),"\$([A-Z]+)\$[0-9]+"),"")</f>
        <v>$D$231</v>
      </c>
      <c r="E232" t="str" cm="1">
        <f t="array" aca="1" ref="E232" ca="1">IF('Raw Data'!E231="",_xlfn.REGEXEXTRACT(CELL("address",'Raw Data'!E231),"\$([A-Z]+)\$[0-9]+"),"")</f>
        <v>$E$231</v>
      </c>
      <c r="F232" t="str" cm="1">
        <f t="array" aca="1" ref="F232" ca="1">IF('Raw Data'!F231="",_xlfn.REGEXEXTRACT(CELL("address",'Raw Data'!F231),"\$([A-Z]+)\$[0-9]+"),"")</f>
        <v>$F$231</v>
      </c>
      <c r="G232" t="str" cm="1">
        <f t="array" aca="1" ref="G232" ca="1">IF('Raw Data'!G231="",_xlfn.REGEXEXTRACT(CELL("address",'Raw Data'!G231),"\$([A-Z]+)\$[0-9]+"),"")</f>
        <v>$G$231</v>
      </c>
      <c r="H232" t="str" cm="1">
        <f t="array" aca="1" ref="H232" ca="1">IF('Raw Data'!H231="",_xlfn.REGEXEXTRACT(CELL("address",'Raw Data'!H231),"\$([A-Z]+)\$[0-9]+"),"")</f>
        <v>$H$231</v>
      </c>
      <c r="I232" t="str" cm="1">
        <f t="array" aca="1" ref="I232" ca="1">IF('Raw Data'!I231="",_xlfn.REGEXEXTRACT(CELL("address",'Raw Data'!I231),"\$([A-Z]+)\$[0-9]+"),"")</f>
        <v>$I$231</v>
      </c>
    </row>
    <row r="233" spans="2:9" x14ac:dyDescent="0.25">
      <c r="B233" t="str" cm="1">
        <f t="array" aca="1" ref="B233" ca="1">IF('Raw Data'!B232="",_xlfn.REGEXEXTRACT(CELL("address",'Raw Data'!B232),"\$([A-Z]+)\$[0-9]+"),"")</f>
        <v>$B$232</v>
      </c>
      <c r="C233" t="str" cm="1">
        <f t="array" aca="1" ref="C233" ca="1">IF('Raw Data'!C232="",_xlfn.REGEXEXTRACT(CELL("address",'Raw Data'!C232),"\$([A-Z]+)\$[0-9]+"),"")</f>
        <v>$C$232</v>
      </c>
      <c r="D233" t="str" cm="1">
        <f t="array" aca="1" ref="D233" ca="1">IF('Raw Data'!D232="",_xlfn.REGEXEXTRACT(CELL("address",'Raw Data'!D232),"\$([A-Z]+)\$[0-9]+"),"")</f>
        <v>$D$232</v>
      </c>
      <c r="E233" t="str" cm="1">
        <f t="array" aca="1" ref="E233" ca="1">IF('Raw Data'!E232="",_xlfn.REGEXEXTRACT(CELL("address",'Raw Data'!E232),"\$([A-Z]+)\$[0-9]+"),"")</f>
        <v>$E$232</v>
      </c>
      <c r="F233" t="str" cm="1">
        <f t="array" aca="1" ref="F233" ca="1">IF('Raw Data'!F232="",_xlfn.REGEXEXTRACT(CELL("address",'Raw Data'!F232),"\$([A-Z]+)\$[0-9]+"),"")</f>
        <v>$F$232</v>
      </c>
      <c r="G233" t="str" cm="1">
        <f t="array" aca="1" ref="G233" ca="1">IF('Raw Data'!G232="",_xlfn.REGEXEXTRACT(CELL("address",'Raw Data'!G232),"\$([A-Z]+)\$[0-9]+"),"")</f>
        <v>$G$232</v>
      </c>
      <c r="H233" t="str" cm="1">
        <f t="array" aca="1" ref="H233" ca="1">IF('Raw Data'!H232="",_xlfn.REGEXEXTRACT(CELL("address",'Raw Data'!H232),"\$([A-Z]+)\$[0-9]+"),"")</f>
        <v>$H$232</v>
      </c>
      <c r="I233" t="str" cm="1">
        <f t="array" aca="1" ref="I233" ca="1">IF('Raw Data'!I232="",_xlfn.REGEXEXTRACT(CELL("address",'Raw Data'!I232),"\$([A-Z]+)\$[0-9]+"),"")</f>
        <v>$I$232</v>
      </c>
    </row>
    <row r="234" spans="2:9" x14ac:dyDescent="0.25">
      <c r="B234" t="str" cm="1">
        <f t="array" aca="1" ref="B234" ca="1">IF('Raw Data'!B233="",_xlfn.REGEXEXTRACT(CELL("address",'Raw Data'!B233),"\$([A-Z]+)\$[0-9]+"),"")</f>
        <v>$B$233</v>
      </c>
      <c r="C234" t="str" cm="1">
        <f t="array" aca="1" ref="C234" ca="1">IF('Raw Data'!C233="",_xlfn.REGEXEXTRACT(CELL("address",'Raw Data'!C233),"\$([A-Z]+)\$[0-9]+"),"")</f>
        <v>$C$233</v>
      </c>
      <c r="D234" t="str" cm="1">
        <f t="array" aca="1" ref="D234" ca="1">IF('Raw Data'!D233="",_xlfn.REGEXEXTRACT(CELL("address",'Raw Data'!D233),"\$([A-Z]+)\$[0-9]+"),"")</f>
        <v>$D$233</v>
      </c>
      <c r="E234" t="str" cm="1">
        <f t="array" aca="1" ref="E234" ca="1">IF('Raw Data'!E233="",_xlfn.REGEXEXTRACT(CELL("address",'Raw Data'!E233),"\$([A-Z]+)\$[0-9]+"),"")</f>
        <v>$E$233</v>
      </c>
      <c r="F234" t="str" cm="1">
        <f t="array" aca="1" ref="F234" ca="1">IF('Raw Data'!F233="",_xlfn.REGEXEXTRACT(CELL("address",'Raw Data'!F233),"\$([A-Z]+)\$[0-9]+"),"")</f>
        <v>$F$233</v>
      </c>
      <c r="G234" t="str" cm="1">
        <f t="array" aca="1" ref="G234" ca="1">IF('Raw Data'!G233="",_xlfn.REGEXEXTRACT(CELL("address",'Raw Data'!G233),"\$([A-Z]+)\$[0-9]+"),"")</f>
        <v>$G$233</v>
      </c>
      <c r="H234" t="str" cm="1">
        <f t="array" aca="1" ref="H234" ca="1">IF('Raw Data'!H233="",_xlfn.REGEXEXTRACT(CELL("address",'Raw Data'!H233),"\$([A-Z]+)\$[0-9]+"),"")</f>
        <v>$H$233</v>
      </c>
      <c r="I234" t="str" cm="1">
        <f t="array" aca="1" ref="I234" ca="1">IF('Raw Data'!I233="",_xlfn.REGEXEXTRACT(CELL("address",'Raw Data'!I233),"\$([A-Z]+)\$[0-9]+"),"")</f>
        <v>$I$233</v>
      </c>
    </row>
    <row r="235" spans="2:9" x14ac:dyDescent="0.25">
      <c r="B235" t="str" cm="1">
        <f t="array" aca="1" ref="B235" ca="1">IF('Raw Data'!B234="",_xlfn.REGEXEXTRACT(CELL("address",'Raw Data'!B234),"\$([A-Z]+)\$[0-9]+"),"")</f>
        <v>$B$234</v>
      </c>
      <c r="C235" t="str" cm="1">
        <f t="array" aca="1" ref="C235" ca="1">IF('Raw Data'!C234="",_xlfn.REGEXEXTRACT(CELL("address",'Raw Data'!C234),"\$([A-Z]+)\$[0-9]+"),"")</f>
        <v>$C$234</v>
      </c>
      <c r="D235" t="str" cm="1">
        <f t="array" aca="1" ref="D235" ca="1">IF('Raw Data'!D234="",_xlfn.REGEXEXTRACT(CELL("address",'Raw Data'!D234),"\$([A-Z]+)\$[0-9]+"),"")</f>
        <v>$D$234</v>
      </c>
      <c r="E235" t="str" cm="1">
        <f t="array" aca="1" ref="E235" ca="1">IF('Raw Data'!E234="",_xlfn.REGEXEXTRACT(CELL("address",'Raw Data'!E234),"\$([A-Z]+)\$[0-9]+"),"")</f>
        <v>$E$234</v>
      </c>
      <c r="F235" t="str" cm="1">
        <f t="array" aca="1" ref="F235" ca="1">IF('Raw Data'!F234="",_xlfn.REGEXEXTRACT(CELL("address",'Raw Data'!F234),"\$([A-Z]+)\$[0-9]+"),"")</f>
        <v>$F$234</v>
      </c>
      <c r="G235" t="str" cm="1">
        <f t="array" aca="1" ref="G235" ca="1">IF('Raw Data'!G234="",_xlfn.REGEXEXTRACT(CELL("address",'Raw Data'!G234),"\$([A-Z]+)\$[0-9]+"),"")</f>
        <v>$G$234</v>
      </c>
      <c r="H235" t="str" cm="1">
        <f t="array" aca="1" ref="H235" ca="1">IF('Raw Data'!H234="",_xlfn.REGEXEXTRACT(CELL("address",'Raw Data'!H234),"\$([A-Z]+)\$[0-9]+"),"")</f>
        <v>$H$234</v>
      </c>
      <c r="I235" t="str" cm="1">
        <f t="array" aca="1" ref="I235" ca="1">IF('Raw Data'!I234="",_xlfn.REGEXEXTRACT(CELL("address",'Raw Data'!I234),"\$([A-Z]+)\$[0-9]+"),"")</f>
        <v>$I$234</v>
      </c>
    </row>
    <row r="236" spans="2:9" x14ac:dyDescent="0.25">
      <c r="B236" t="str" cm="1">
        <f t="array" aca="1" ref="B236" ca="1">IF('Raw Data'!B235="",_xlfn.REGEXEXTRACT(CELL("address",'Raw Data'!B235),"\$([A-Z]+)\$[0-9]+"),"")</f>
        <v>$B$235</v>
      </c>
      <c r="C236" t="str" cm="1">
        <f t="array" aca="1" ref="C236" ca="1">IF('Raw Data'!C235="",_xlfn.REGEXEXTRACT(CELL("address",'Raw Data'!C235),"\$([A-Z]+)\$[0-9]+"),"")</f>
        <v>$C$235</v>
      </c>
      <c r="D236" t="str" cm="1">
        <f t="array" aca="1" ref="D236" ca="1">IF('Raw Data'!D235="",_xlfn.REGEXEXTRACT(CELL("address",'Raw Data'!D235),"\$([A-Z]+)\$[0-9]+"),"")</f>
        <v>$D$235</v>
      </c>
      <c r="E236" t="str" cm="1">
        <f t="array" aca="1" ref="E236" ca="1">IF('Raw Data'!E235="",_xlfn.REGEXEXTRACT(CELL("address",'Raw Data'!E235),"\$([A-Z]+)\$[0-9]+"),"")</f>
        <v>$E$235</v>
      </c>
      <c r="F236" t="str" cm="1">
        <f t="array" aca="1" ref="F236" ca="1">IF('Raw Data'!F235="",_xlfn.REGEXEXTRACT(CELL("address",'Raw Data'!F235),"\$([A-Z]+)\$[0-9]+"),"")</f>
        <v>$F$235</v>
      </c>
      <c r="G236" t="str" cm="1">
        <f t="array" aca="1" ref="G236" ca="1">IF('Raw Data'!G235="",_xlfn.REGEXEXTRACT(CELL("address",'Raw Data'!G235),"\$([A-Z]+)\$[0-9]+"),"")</f>
        <v>$G$235</v>
      </c>
      <c r="H236" t="str" cm="1">
        <f t="array" aca="1" ref="H236" ca="1">IF('Raw Data'!H235="",_xlfn.REGEXEXTRACT(CELL("address",'Raw Data'!H235),"\$([A-Z]+)\$[0-9]+"),"")</f>
        <v>$H$235</v>
      </c>
      <c r="I236" t="str" cm="1">
        <f t="array" aca="1" ref="I236" ca="1">IF('Raw Data'!I235="",_xlfn.REGEXEXTRACT(CELL("address",'Raw Data'!I235),"\$([A-Z]+)\$[0-9]+"),"")</f>
        <v>$I$235</v>
      </c>
    </row>
    <row r="237" spans="2:9" x14ac:dyDescent="0.25">
      <c r="B237" t="str" cm="1">
        <f t="array" aca="1" ref="B237" ca="1">IF('Raw Data'!B236="",_xlfn.REGEXEXTRACT(CELL("address",'Raw Data'!B236),"\$([A-Z]+)\$[0-9]+"),"")</f>
        <v>$B$236</v>
      </c>
      <c r="C237" t="str" cm="1">
        <f t="array" aca="1" ref="C237" ca="1">IF('Raw Data'!C236="",_xlfn.REGEXEXTRACT(CELL("address",'Raw Data'!C236),"\$([A-Z]+)\$[0-9]+"),"")</f>
        <v>$C$236</v>
      </c>
      <c r="D237" t="str" cm="1">
        <f t="array" aca="1" ref="D237" ca="1">IF('Raw Data'!D236="",_xlfn.REGEXEXTRACT(CELL("address",'Raw Data'!D236),"\$([A-Z]+)\$[0-9]+"),"")</f>
        <v>$D$236</v>
      </c>
      <c r="E237" t="str" cm="1">
        <f t="array" aca="1" ref="E237" ca="1">IF('Raw Data'!E236="",_xlfn.REGEXEXTRACT(CELL("address",'Raw Data'!E236),"\$([A-Z]+)\$[0-9]+"),"")</f>
        <v>$E$236</v>
      </c>
      <c r="F237" t="str" cm="1">
        <f t="array" aca="1" ref="F237" ca="1">IF('Raw Data'!F236="",_xlfn.REGEXEXTRACT(CELL("address",'Raw Data'!F236),"\$([A-Z]+)\$[0-9]+"),"")</f>
        <v>$F$236</v>
      </c>
      <c r="G237" t="str" cm="1">
        <f t="array" aca="1" ref="G237" ca="1">IF('Raw Data'!G236="",_xlfn.REGEXEXTRACT(CELL("address",'Raw Data'!G236),"\$([A-Z]+)\$[0-9]+"),"")</f>
        <v>$G$236</v>
      </c>
      <c r="H237" t="str" cm="1">
        <f t="array" aca="1" ref="H237" ca="1">IF('Raw Data'!H236="",_xlfn.REGEXEXTRACT(CELL("address",'Raw Data'!H236),"\$([A-Z]+)\$[0-9]+"),"")</f>
        <v>$H$236</v>
      </c>
      <c r="I237" t="str" cm="1">
        <f t="array" aca="1" ref="I237" ca="1">IF('Raw Data'!I236="",_xlfn.REGEXEXTRACT(CELL("address",'Raw Data'!I236),"\$([A-Z]+)\$[0-9]+"),"")</f>
        <v>$I$236</v>
      </c>
    </row>
    <row r="238" spans="2:9" x14ac:dyDescent="0.25">
      <c r="B238" t="str" cm="1">
        <f t="array" aca="1" ref="B238" ca="1">IF('Raw Data'!B237="",_xlfn.REGEXEXTRACT(CELL("address",'Raw Data'!B237),"\$([A-Z]+)\$[0-9]+"),"")</f>
        <v>$B$237</v>
      </c>
      <c r="C238" t="str" cm="1">
        <f t="array" aca="1" ref="C238" ca="1">IF('Raw Data'!C237="",_xlfn.REGEXEXTRACT(CELL("address",'Raw Data'!C237),"\$([A-Z]+)\$[0-9]+"),"")</f>
        <v>$C$237</v>
      </c>
      <c r="D238" t="str" cm="1">
        <f t="array" aca="1" ref="D238" ca="1">IF('Raw Data'!D237="",_xlfn.REGEXEXTRACT(CELL("address",'Raw Data'!D237),"\$([A-Z]+)\$[0-9]+"),"")</f>
        <v>$D$237</v>
      </c>
      <c r="E238" t="str" cm="1">
        <f t="array" aca="1" ref="E238" ca="1">IF('Raw Data'!E237="",_xlfn.REGEXEXTRACT(CELL("address",'Raw Data'!E237),"\$([A-Z]+)\$[0-9]+"),"")</f>
        <v>$E$237</v>
      </c>
      <c r="F238" t="str" cm="1">
        <f t="array" aca="1" ref="F238" ca="1">IF('Raw Data'!F237="",_xlfn.REGEXEXTRACT(CELL("address",'Raw Data'!F237),"\$([A-Z]+)\$[0-9]+"),"")</f>
        <v>$F$237</v>
      </c>
      <c r="G238" t="str" cm="1">
        <f t="array" aca="1" ref="G238" ca="1">IF('Raw Data'!G237="",_xlfn.REGEXEXTRACT(CELL("address",'Raw Data'!G237),"\$([A-Z]+)\$[0-9]+"),"")</f>
        <v>$G$237</v>
      </c>
      <c r="H238" t="str" cm="1">
        <f t="array" aca="1" ref="H238" ca="1">IF('Raw Data'!H237="",_xlfn.REGEXEXTRACT(CELL("address",'Raw Data'!H237),"\$([A-Z]+)\$[0-9]+"),"")</f>
        <v>$H$237</v>
      </c>
      <c r="I238" t="str" cm="1">
        <f t="array" aca="1" ref="I238" ca="1">IF('Raw Data'!I237="",_xlfn.REGEXEXTRACT(CELL("address",'Raw Data'!I237),"\$([A-Z]+)\$[0-9]+"),"")</f>
        <v>$I$237</v>
      </c>
    </row>
    <row r="239" spans="2:9" x14ac:dyDescent="0.25">
      <c r="B239" t="str" cm="1">
        <f t="array" aca="1" ref="B239" ca="1">IF('Raw Data'!B238="",_xlfn.REGEXEXTRACT(CELL("address",'Raw Data'!B238),"\$([A-Z]+)\$[0-9]+"),"")</f>
        <v>$B$238</v>
      </c>
      <c r="C239" t="str" cm="1">
        <f t="array" aca="1" ref="C239" ca="1">IF('Raw Data'!C238="",_xlfn.REGEXEXTRACT(CELL("address",'Raw Data'!C238),"\$([A-Z]+)\$[0-9]+"),"")</f>
        <v>$C$238</v>
      </c>
      <c r="D239" t="str" cm="1">
        <f t="array" aca="1" ref="D239" ca="1">IF('Raw Data'!D238="",_xlfn.REGEXEXTRACT(CELL("address",'Raw Data'!D238),"\$([A-Z]+)\$[0-9]+"),"")</f>
        <v>$D$238</v>
      </c>
      <c r="E239" t="str" cm="1">
        <f t="array" aca="1" ref="E239" ca="1">IF('Raw Data'!E238="",_xlfn.REGEXEXTRACT(CELL("address",'Raw Data'!E238),"\$([A-Z]+)\$[0-9]+"),"")</f>
        <v>$E$238</v>
      </c>
      <c r="F239" t="str" cm="1">
        <f t="array" aca="1" ref="F239" ca="1">IF('Raw Data'!F238="",_xlfn.REGEXEXTRACT(CELL("address",'Raw Data'!F238),"\$([A-Z]+)\$[0-9]+"),"")</f>
        <v>$F$238</v>
      </c>
      <c r="G239" t="str" cm="1">
        <f t="array" aca="1" ref="G239" ca="1">IF('Raw Data'!G238="",_xlfn.REGEXEXTRACT(CELL("address",'Raw Data'!G238),"\$([A-Z]+)\$[0-9]+"),"")</f>
        <v>$G$238</v>
      </c>
      <c r="H239" t="str" cm="1">
        <f t="array" aca="1" ref="H239" ca="1">IF('Raw Data'!H238="",_xlfn.REGEXEXTRACT(CELL("address",'Raw Data'!H238),"\$([A-Z]+)\$[0-9]+"),"")</f>
        <v>$H$238</v>
      </c>
      <c r="I239" t="str" cm="1">
        <f t="array" aca="1" ref="I239" ca="1">IF('Raw Data'!I238="",_xlfn.REGEXEXTRACT(CELL("address",'Raw Data'!I238),"\$([A-Z]+)\$[0-9]+"),"")</f>
        <v>$I$238</v>
      </c>
    </row>
    <row r="240" spans="2:9" x14ac:dyDescent="0.25">
      <c r="B240" t="str" cm="1">
        <f t="array" aca="1" ref="B240" ca="1">IF('Raw Data'!B239="",_xlfn.REGEXEXTRACT(CELL("address",'Raw Data'!B239),"\$([A-Z]+)\$[0-9]+"),"")</f>
        <v>$B$239</v>
      </c>
      <c r="C240" t="str" cm="1">
        <f t="array" aca="1" ref="C240" ca="1">IF('Raw Data'!C239="",_xlfn.REGEXEXTRACT(CELL("address",'Raw Data'!C239),"\$([A-Z]+)\$[0-9]+"),"")</f>
        <v>$C$239</v>
      </c>
      <c r="D240" t="str" cm="1">
        <f t="array" aca="1" ref="D240" ca="1">IF('Raw Data'!D239="",_xlfn.REGEXEXTRACT(CELL("address",'Raw Data'!D239),"\$([A-Z]+)\$[0-9]+"),"")</f>
        <v>$D$239</v>
      </c>
      <c r="E240" t="str" cm="1">
        <f t="array" aca="1" ref="E240" ca="1">IF('Raw Data'!E239="",_xlfn.REGEXEXTRACT(CELL("address",'Raw Data'!E239),"\$([A-Z]+)\$[0-9]+"),"")</f>
        <v>$E$239</v>
      </c>
      <c r="F240" t="str" cm="1">
        <f t="array" aca="1" ref="F240" ca="1">IF('Raw Data'!F239="",_xlfn.REGEXEXTRACT(CELL("address",'Raw Data'!F239),"\$([A-Z]+)\$[0-9]+"),"")</f>
        <v>$F$239</v>
      </c>
      <c r="G240" t="str" cm="1">
        <f t="array" aca="1" ref="G240" ca="1">IF('Raw Data'!G239="",_xlfn.REGEXEXTRACT(CELL("address",'Raw Data'!G239),"\$([A-Z]+)\$[0-9]+"),"")</f>
        <v>$G$239</v>
      </c>
      <c r="H240" t="str" cm="1">
        <f t="array" aca="1" ref="H240" ca="1">IF('Raw Data'!H239="",_xlfn.REGEXEXTRACT(CELL("address",'Raw Data'!H239),"\$([A-Z]+)\$[0-9]+"),"")</f>
        <v>$H$239</v>
      </c>
      <c r="I240" t="str" cm="1">
        <f t="array" aca="1" ref="I240" ca="1">IF('Raw Data'!I239="",_xlfn.REGEXEXTRACT(CELL("address",'Raw Data'!I239),"\$([A-Z]+)\$[0-9]+"),"")</f>
        <v>$I$239</v>
      </c>
    </row>
    <row r="241" spans="2:9" x14ac:dyDescent="0.25">
      <c r="B241" t="str" cm="1">
        <f t="array" aca="1" ref="B241" ca="1">IF('Raw Data'!B240="",_xlfn.REGEXEXTRACT(CELL("address",'Raw Data'!B240),"\$([A-Z]+)\$[0-9]+"),"")</f>
        <v>$B$240</v>
      </c>
      <c r="C241" t="str" cm="1">
        <f t="array" aca="1" ref="C241" ca="1">IF('Raw Data'!C240="",_xlfn.REGEXEXTRACT(CELL("address",'Raw Data'!C240),"\$([A-Z]+)\$[0-9]+"),"")</f>
        <v>$C$240</v>
      </c>
      <c r="D241" t="str" cm="1">
        <f t="array" aca="1" ref="D241" ca="1">IF('Raw Data'!D240="",_xlfn.REGEXEXTRACT(CELL("address",'Raw Data'!D240),"\$([A-Z]+)\$[0-9]+"),"")</f>
        <v>$D$240</v>
      </c>
      <c r="E241" t="str" cm="1">
        <f t="array" aca="1" ref="E241" ca="1">IF('Raw Data'!E240="",_xlfn.REGEXEXTRACT(CELL("address",'Raw Data'!E240),"\$([A-Z]+)\$[0-9]+"),"")</f>
        <v>$E$240</v>
      </c>
      <c r="F241" t="str" cm="1">
        <f t="array" aca="1" ref="F241" ca="1">IF('Raw Data'!F240="",_xlfn.REGEXEXTRACT(CELL("address",'Raw Data'!F240),"\$([A-Z]+)\$[0-9]+"),"")</f>
        <v>$F$240</v>
      </c>
      <c r="G241" t="str" cm="1">
        <f t="array" aca="1" ref="G241" ca="1">IF('Raw Data'!G240="",_xlfn.REGEXEXTRACT(CELL("address",'Raw Data'!G240),"\$([A-Z]+)\$[0-9]+"),"")</f>
        <v>$G$240</v>
      </c>
      <c r="H241" t="str" cm="1">
        <f t="array" aca="1" ref="H241" ca="1">IF('Raw Data'!H240="",_xlfn.REGEXEXTRACT(CELL("address",'Raw Data'!H240),"\$([A-Z]+)\$[0-9]+"),"")</f>
        <v>$H$240</v>
      </c>
      <c r="I241" t="str" cm="1">
        <f t="array" aca="1" ref="I241" ca="1">IF('Raw Data'!I240="",_xlfn.REGEXEXTRACT(CELL("address",'Raw Data'!I240),"\$([A-Z]+)\$[0-9]+"),"")</f>
        <v>$I$240</v>
      </c>
    </row>
    <row r="242" spans="2:9" x14ac:dyDescent="0.25">
      <c r="B242" t="str" cm="1">
        <f t="array" aca="1" ref="B242" ca="1">IF('Raw Data'!B241="",_xlfn.REGEXEXTRACT(CELL("address",'Raw Data'!B241),"\$([A-Z]+)\$[0-9]+"),"")</f>
        <v>$B$241</v>
      </c>
      <c r="C242" t="str" cm="1">
        <f t="array" aca="1" ref="C242" ca="1">IF('Raw Data'!C241="",_xlfn.REGEXEXTRACT(CELL("address",'Raw Data'!C241),"\$([A-Z]+)\$[0-9]+"),"")</f>
        <v>$C$241</v>
      </c>
      <c r="D242" t="str" cm="1">
        <f t="array" aca="1" ref="D242" ca="1">IF('Raw Data'!D241="",_xlfn.REGEXEXTRACT(CELL("address",'Raw Data'!D241),"\$([A-Z]+)\$[0-9]+"),"")</f>
        <v>$D$241</v>
      </c>
      <c r="E242" t="str" cm="1">
        <f t="array" aca="1" ref="E242" ca="1">IF('Raw Data'!E241="",_xlfn.REGEXEXTRACT(CELL("address",'Raw Data'!E241),"\$([A-Z]+)\$[0-9]+"),"")</f>
        <v>$E$241</v>
      </c>
      <c r="F242" t="str" cm="1">
        <f t="array" aca="1" ref="F242" ca="1">IF('Raw Data'!F241="",_xlfn.REGEXEXTRACT(CELL("address",'Raw Data'!F241),"\$([A-Z]+)\$[0-9]+"),"")</f>
        <v>$F$241</v>
      </c>
      <c r="G242" t="str" cm="1">
        <f t="array" aca="1" ref="G242" ca="1">IF('Raw Data'!G241="",_xlfn.REGEXEXTRACT(CELL("address",'Raw Data'!G241),"\$([A-Z]+)\$[0-9]+"),"")</f>
        <v>$G$241</v>
      </c>
      <c r="H242" t="str" cm="1">
        <f t="array" aca="1" ref="H242" ca="1">IF('Raw Data'!H241="",_xlfn.REGEXEXTRACT(CELL("address",'Raw Data'!H241),"\$([A-Z]+)\$[0-9]+"),"")</f>
        <v>$H$241</v>
      </c>
      <c r="I242" t="str" cm="1">
        <f t="array" aca="1" ref="I242" ca="1">IF('Raw Data'!I241="",_xlfn.REGEXEXTRACT(CELL("address",'Raw Data'!I241),"\$([A-Z]+)\$[0-9]+"),"")</f>
        <v>$I$241</v>
      </c>
    </row>
    <row r="243" spans="2:9" x14ac:dyDescent="0.25">
      <c r="B243" t="str" cm="1">
        <f t="array" aca="1" ref="B243" ca="1">IF('Raw Data'!B242="",_xlfn.REGEXEXTRACT(CELL("address",'Raw Data'!B242),"\$([A-Z]+)\$[0-9]+"),"")</f>
        <v>$B$242</v>
      </c>
      <c r="C243" t="str" cm="1">
        <f t="array" aca="1" ref="C243" ca="1">IF('Raw Data'!C242="",_xlfn.REGEXEXTRACT(CELL("address",'Raw Data'!C242),"\$([A-Z]+)\$[0-9]+"),"")</f>
        <v>$C$242</v>
      </c>
      <c r="D243" t="str" cm="1">
        <f t="array" aca="1" ref="D243" ca="1">IF('Raw Data'!D242="",_xlfn.REGEXEXTRACT(CELL("address",'Raw Data'!D242),"\$([A-Z]+)\$[0-9]+"),"")</f>
        <v>$D$242</v>
      </c>
      <c r="E243" t="str" cm="1">
        <f t="array" aca="1" ref="E243" ca="1">IF('Raw Data'!E242="",_xlfn.REGEXEXTRACT(CELL("address",'Raw Data'!E242),"\$([A-Z]+)\$[0-9]+"),"")</f>
        <v>$E$242</v>
      </c>
      <c r="F243" t="str" cm="1">
        <f t="array" aca="1" ref="F243" ca="1">IF('Raw Data'!F242="",_xlfn.REGEXEXTRACT(CELL("address",'Raw Data'!F242),"\$([A-Z]+)\$[0-9]+"),"")</f>
        <v>$F$242</v>
      </c>
      <c r="G243" t="str" cm="1">
        <f t="array" aca="1" ref="G243" ca="1">IF('Raw Data'!G242="",_xlfn.REGEXEXTRACT(CELL("address",'Raw Data'!G242),"\$([A-Z]+)\$[0-9]+"),"")</f>
        <v>$G$242</v>
      </c>
      <c r="H243" t="str" cm="1">
        <f t="array" aca="1" ref="H243" ca="1">IF('Raw Data'!H242="",_xlfn.REGEXEXTRACT(CELL("address",'Raw Data'!H242),"\$([A-Z]+)\$[0-9]+"),"")</f>
        <v>$H$242</v>
      </c>
      <c r="I243" t="str" cm="1">
        <f t="array" aca="1" ref="I243" ca="1">IF('Raw Data'!I242="",_xlfn.REGEXEXTRACT(CELL("address",'Raw Data'!I242),"\$([A-Z]+)\$[0-9]+"),"")</f>
        <v>$I$242</v>
      </c>
    </row>
    <row r="244" spans="2:9" x14ac:dyDescent="0.25">
      <c r="B244" t="str" cm="1">
        <f t="array" aca="1" ref="B244" ca="1">IF('Raw Data'!B243="",_xlfn.REGEXEXTRACT(CELL("address",'Raw Data'!B243),"\$([A-Z]+)\$[0-9]+"),"")</f>
        <v>$B$243</v>
      </c>
      <c r="C244" t="str" cm="1">
        <f t="array" aca="1" ref="C244" ca="1">IF('Raw Data'!C243="",_xlfn.REGEXEXTRACT(CELL("address",'Raw Data'!C243),"\$([A-Z]+)\$[0-9]+"),"")</f>
        <v>$C$243</v>
      </c>
      <c r="D244" t="str" cm="1">
        <f t="array" aca="1" ref="D244" ca="1">IF('Raw Data'!D243="",_xlfn.REGEXEXTRACT(CELL("address",'Raw Data'!D243),"\$([A-Z]+)\$[0-9]+"),"")</f>
        <v>$D$243</v>
      </c>
      <c r="E244" t="str" cm="1">
        <f t="array" aca="1" ref="E244" ca="1">IF('Raw Data'!E243="",_xlfn.REGEXEXTRACT(CELL("address",'Raw Data'!E243),"\$([A-Z]+)\$[0-9]+"),"")</f>
        <v>$E$243</v>
      </c>
      <c r="F244" t="str" cm="1">
        <f t="array" aca="1" ref="F244" ca="1">IF('Raw Data'!F243="",_xlfn.REGEXEXTRACT(CELL("address",'Raw Data'!F243),"\$([A-Z]+)\$[0-9]+"),"")</f>
        <v>$F$243</v>
      </c>
      <c r="G244" t="str" cm="1">
        <f t="array" aca="1" ref="G244" ca="1">IF('Raw Data'!G243="",_xlfn.REGEXEXTRACT(CELL("address",'Raw Data'!G243),"\$([A-Z]+)\$[0-9]+"),"")</f>
        <v>$G$243</v>
      </c>
      <c r="H244" t="str" cm="1">
        <f t="array" aca="1" ref="H244" ca="1">IF('Raw Data'!H243="",_xlfn.REGEXEXTRACT(CELL("address",'Raw Data'!H243),"\$([A-Z]+)\$[0-9]+"),"")</f>
        <v>$H$243</v>
      </c>
      <c r="I244" t="str" cm="1">
        <f t="array" aca="1" ref="I244" ca="1">IF('Raw Data'!I243="",_xlfn.REGEXEXTRACT(CELL("address",'Raw Data'!I243),"\$([A-Z]+)\$[0-9]+"),"")</f>
        <v>$I$243</v>
      </c>
    </row>
    <row r="245" spans="2:9" x14ac:dyDescent="0.25">
      <c r="B245" t="str" cm="1">
        <f t="array" aca="1" ref="B245" ca="1">IF('Raw Data'!B244="",_xlfn.REGEXEXTRACT(CELL("address",'Raw Data'!B244),"\$([A-Z]+)\$[0-9]+"),"")</f>
        <v>$B$244</v>
      </c>
      <c r="C245" t="str" cm="1">
        <f t="array" aca="1" ref="C245" ca="1">IF('Raw Data'!C244="",_xlfn.REGEXEXTRACT(CELL("address",'Raw Data'!C244),"\$([A-Z]+)\$[0-9]+"),"")</f>
        <v>$C$244</v>
      </c>
      <c r="D245" t="str" cm="1">
        <f t="array" aca="1" ref="D245" ca="1">IF('Raw Data'!D244="",_xlfn.REGEXEXTRACT(CELL("address",'Raw Data'!D244),"\$([A-Z]+)\$[0-9]+"),"")</f>
        <v>$D$244</v>
      </c>
      <c r="E245" t="str" cm="1">
        <f t="array" aca="1" ref="E245" ca="1">IF('Raw Data'!E244="",_xlfn.REGEXEXTRACT(CELL("address",'Raw Data'!E244),"\$([A-Z]+)\$[0-9]+"),"")</f>
        <v>$E$244</v>
      </c>
      <c r="F245" t="str" cm="1">
        <f t="array" aca="1" ref="F245" ca="1">IF('Raw Data'!F244="",_xlfn.REGEXEXTRACT(CELL("address",'Raw Data'!F244),"\$([A-Z]+)\$[0-9]+"),"")</f>
        <v>$F$244</v>
      </c>
      <c r="G245" t="str" cm="1">
        <f t="array" aca="1" ref="G245" ca="1">IF('Raw Data'!G244="",_xlfn.REGEXEXTRACT(CELL("address",'Raw Data'!G244),"\$([A-Z]+)\$[0-9]+"),"")</f>
        <v>$G$244</v>
      </c>
      <c r="H245" t="str" cm="1">
        <f t="array" aca="1" ref="H245" ca="1">IF('Raw Data'!H244="",_xlfn.REGEXEXTRACT(CELL("address",'Raw Data'!H244),"\$([A-Z]+)\$[0-9]+"),"")</f>
        <v>$H$244</v>
      </c>
      <c r="I245" t="str" cm="1">
        <f t="array" aca="1" ref="I245" ca="1">IF('Raw Data'!I244="",_xlfn.REGEXEXTRACT(CELL("address",'Raw Data'!I244),"\$([A-Z]+)\$[0-9]+"),"")</f>
        <v>$I$244</v>
      </c>
    </row>
    <row r="246" spans="2:9" x14ac:dyDescent="0.25">
      <c r="B246" t="str" cm="1">
        <f t="array" aca="1" ref="B246" ca="1">IF('Raw Data'!B245="",_xlfn.REGEXEXTRACT(CELL("address",'Raw Data'!B245),"\$([A-Z]+)\$[0-9]+"),"")</f>
        <v>$B$245</v>
      </c>
      <c r="C246" t="str" cm="1">
        <f t="array" aca="1" ref="C246" ca="1">IF('Raw Data'!C245="",_xlfn.REGEXEXTRACT(CELL("address",'Raw Data'!C245),"\$([A-Z]+)\$[0-9]+"),"")</f>
        <v>$C$245</v>
      </c>
      <c r="D246" t="str" cm="1">
        <f t="array" aca="1" ref="D246" ca="1">IF('Raw Data'!D245="",_xlfn.REGEXEXTRACT(CELL("address",'Raw Data'!D245),"\$([A-Z]+)\$[0-9]+"),"")</f>
        <v>$D$245</v>
      </c>
      <c r="E246" t="str" cm="1">
        <f t="array" aca="1" ref="E246" ca="1">IF('Raw Data'!E245="",_xlfn.REGEXEXTRACT(CELL("address",'Raw Data'!E245),"\$([A-Z]+)\$[0-9]+"),"")</f>
        <v>$E$245</v>
      </c>
      <c r="F246" t="str" cm="1">
        <f t="array" aca="1" ref="F246" ca="1">IF('Raw Data'!F245="",_xlfn.REGEXEXTRACT(CELL("address",'Raw Data'!F245),"\$([A-Z]+)\$[0-9]+"),"")</f>
        <v>$F$245</v>
      </c>
      <c r="G246" t="str" cm="1">
        <f t="array" aca="1" ref="G246" ca="1">IF('Raw Data'!G245="",_xlfn.REGEXEXTRACT(CELL("address",'Raw Data'!G245),"\$([A-Z]+)\$[0-9]+"),"")</f>
        <v>$G$245</v>
      </c>
      <c r="H246" t="str" cm="1">
        <f t="array" aca="1" ref="H246" ca="1">IF('Raw Data'!H245="",_xlfn.REGEXEXTRACT(CELL("address",'Raw Data'!H245),"\$([A-Z]+)\$[0-9]+"),"")</f>
        <v>$H$245</v>
      </c>
      <c r="I246" t="str" cm="1">
        <f t="array" aca="1" ref="I246" ca="1">IF('Raw Data'!I245="",_xlfn.REGEXEXTRACT(CELL("address",'Raw Data'!I245),"\$([A-Z]+)\$[0-9]+"),"")</f>
        <v>$I$245</v>
      </c>
    </row>
    <row r="247" spans="2:9" x14ac:dyDescent="0.25">
      <c r="B247" t="str" cm="1">
        <f t="array" aca="1" ref="B247" ca="1">IF('Raw Data'!B246="",_xlfn.REGEXEXTRACT(CELL("address",'Raw Data'!B246),"\$([A-Z]+)\$[0-9]+"),"")</f>
        <v>$B$246</v>
      </c>
      <c r="C247" t="str" cm="1">
        <f t="array" aca="1" ref="C247" ca="1">IF('Raw Data'!C246="",_xlfn.REGEXEXTRACT(CELL("address",'Raw Data'!C246),"\$([A-Z]+)\$[0-9]+"),"")</f>
        <v>$C$246</v>
      </c>
      <c r="D247" t="str" cm="1">
        <f t="array" aca="1" ref="D247" ca="1">IF('Raw Data'!D246="",_xlfn.REGEXEXTRACT(CELL("address",'Raw Data'!D246),"\$([A-Z]+)\$[0-9]+"),"")</f>
        <v>$D$246</v>
      </c>
      <c r="E247" t="str" cm="1">
        <f t="array" aca="1" ref="E247" ca="1">IF('Raw Data'!E246="",_xlfn.REGEXEXTRACT(CELL("address",'Raw Data'!E246),"\$([A-Z]+)\$[0-9]+"),"")</f>
        <v>$E$246</v>
      </c>
      <c r="F247" t="str" cm="1">
        <f t="array" aca="1" ref="F247" ca="1">IF('Raw Data'!F246="",_xlfn.REGEXEXTRACT(CELL("address",'Raw Data'!F246),"\$([A-Z]+)\$[0-9]+"),"")</f>
        <v>$F$246</v>
      </c>
      <c r="G247" t="str" cm="1">
        <f t="array" aca="1" ref="G247" ca="1">IF('Raw Data'!G246="",_xlfn.REGEXEXTRACT(CELL("address",'Raw Data'!G246),"\$([A-Z]+)\$[0-9]+"),"")</f>
        <v>$G$246</v>
      </c>
      <c r="H247" t="str" cm="1">
        <f t="array" aca="1" ref="H247" ca="1">IF('Raw Data'!H246="",_xlfn.REGEXEXTRACT(CELL("address",'Raw Data'!H246),"\$([A-Z]+)\$[0-9]+"),"")</f>
        <v>$H$246</v>
      </c>
      <c r="I247" t="str" cm="1">
        <f t="array" aca="1" ref="I247" ca="1">IF('Raw Data'!I246="",_xlfn.REGEXEXTRACT(CELL("address",'Raw Data'!I246),"\$([A-Z]+)\$[0-9]+"),"")</f>
        <v>$I$246</v>
      </c>
    </row>
    <row r="248" spans="2:9" x14ac:dyDescent="0.25">
      <c r="B248" t="str" cm="1">
        <f t="array" aca="1" ref="B248" ca="1">IF('Raw Data'!B247="",_xlfn.REGEXEXTRACT(CELL("address",'Raw Data'!B247),"\$([A-Z]+)\$[0-9]+"),"")</f>
        <v>$B$247</v>
      </c>
      <c r="C248" t="str" cm="1">
        <f t="array" aca="1" ref="C248" ca="1">IF('Raw Data'!C247="",_xlfn.REGEXEXTRACT(CELL("address",'Raw Data'!C247),"\$([A-Z]+)\$[0-9]+"),"")</f>
        <v>$C$247</v>
      </c>
      <c r="D248" t="str" cm="1">
        <f t="array" aca="1" ref="D248" ca="1">IF('Raw Data'!D247="",_xlfn.REGEXEXTRACT(CELL("address",'Raw Data'!D247),"\$([A-Z]+)\$[0-9]+"),"")</f>
        <v>$D$247</v>
      </c>
      <c r="E248" t="str" cm="1">
        <f t="array" aca="1" ref="E248" ca="1">IF('Raw Data'!E247="",_xlfn.REGEXEXTRACT(CELL("address",'Raw Data'!E247),"\$([A-Z]+)\$[0-9]+"),"")</f>
        <v>$E$247</v>
      </c>
      <c r="F248" t="str" cm="1">
        <f t="array" aca="1" ref="F248" ca="1">IF('Raw Data'!F247="",_xlfn.REGEXEXTRACT(CELL("address",'Raw Data'!F247),"\$([A-Z]+)\$[0-9]+"),"")</f>
        <v>$F$247</v>
      </c>
      <c r="G248" t="str" cm="1">
        <f t="array" aca="1" ref="G248" ca="1">IF('Raw Data'!G247="",_xlfn.REGEXEXTRACT(CELL("address",'Raw Data'!G247),"\$([A-Z]+)\$[0-9]+"),"")</f>
        <v>$G$247</v>
      </c>
      <c r="H248" t="str" cm="1">
        <f t="array" aca="1" ref="H248" ca="1">IF('Raw Data'!H247="",_xlfn.REGEXEXTRACT(CELL("address",'Raw Data'!H247),"\$([A-Z]+)\$[0-9]+"),"")</f>
        <v>$H$247</v>
      </c>
      <c r="I248" t="str" cm="1">
        <f t="array" aca="1" ref="I248" ca="1">IF('Raw Data'!I247="",_xlfn.REGEXEXTRACT(CELL("address",'Raw Data'!I247),"\$([A-Z]+)\$[0-9]+"),"")</f>
        <v>$I$247</v>
      </c>
    </row>
    <row r="249" spans="2:9" x14ac:dyDescent="0.25">
      <c r="B249" t="str" cm="1">
        <f t="array" aca="1" ref="B249" ca="1">IF('Raw Data'!B248="",_xlfn.REGEXEXTRACT(CELL("address",'Raw Data'!B248),"\$([A-Z]+)\$[0-9]+"),"")</f>
        <v>$B$248</v>
      </c>
      <c r="C249" t="str" cm="1">
        <f t="array" aca="1" ref="C249" ca="1">IF('Raw Data'!C248="",_xlfn.REGEXEXTRACT(CELL("address",'Raw Data'!C248),"\$([A-Z]+)\$[0-9]+"),"")</f>
        <v>$C$248</v>
      </c>
      <c r="D249" t="str" cm="1">
        <f t="array" aca="1" ref="D249" ca="1">IF('Raw Data'!D248="",_xlfn.REGEXEXTRACT(CELL("address",'Raw Data'!D248),"\$([A-Z]+)\$[0-9]+"),"")</f>
        <v>$D$248</v>
      </c>
      <c r="E249" t="str" cm="1">
        <f t="array" aca="1" ref="E249" ca="1">IF('Raw Data'!E248="",_xlfn.REGEXEXTRACT(CELL("address",'Raw Data'!E248),"\$([A-Z]+)\$[0-9]+"),"")</f>
        <v>$E$248</v>
      </c>
      <c r="F249" t="str" cm="1">
        <f t="array" aca="1" ref="F249" ca="1">IF('Raw Data'!F248="",_xlfn.REGEXEXTRACT(CELL("address",'Raw Data'!F248),"\$([A-Z]+)\$[0-9]+"),"")</f>
        <v>$F$248</v>
      </c>
      <c r="G249" t="str" cm="1">
        <f t="array" aca="1" ref="G249" ca="1">IF('Raw Data'!G248="",_xlfn.REGEXEXTRACT(CELL("address",'Raw Data'!G248),"\$([A-Z]+)\$[0-9]+"),"")</f>
        <v>$G$248</v>
      </c>
      <c r="H249" t="str" cm="1">
        <f t="array" aca="1" ref="H249" ca="1">IF('Raw Data'!H248="",_xlfn.REGEXEXTRACT(CELL("address",'Raw Data'!H248),"\$([A-Z]+)\$[0-9]+"),"")</f>
        <v>$H$248</v>
      </c>
      <c r="I249" t="str" cm="1">
        <f t="array" aca="1" ref="I249" ca="1">IF('Raw Data'!I248="",_xlfn.REGEXEXTRACT(CELL("address",'Raw Data'!I248),"\$([A-Z]+)\$[0-9]+"),"")</f>
        <v>$I$248</v>
      </c>
    </row>
    <row r="250" spans="2:9" x14ac:dyDescent="0.25">
      <c r="B250" t="str" cm="1">
        <f t="array" aca="1" ref="B250" ca="1">IF('Raw Data'!B249="",_xlfn.REGEXEXTRACT(CELL("address",'Raw Data'!B249),"\$([A-Z]+)\$[0-9]+"),"")</f>
        <v>$B$249</v>
      </c>
      <c r="C250" t="str" cm="1">
        <f t="array" aca="1" ref="C250" ca="1">IF('Raw Data'!C249="",_xlfn.REGEXEXTRACT(CELL("address",'Raw Data'!C249),"\$([A-Z]+)\$[0-9]+"),"")</f>
        <v>$C$249</v>
      </c>
      <c r="D250" t="str" cm="1">
        <f t="array" aca="1" ref="D250" ca="1">IF('Raw Data'!D249="",_xlfn.REGEXEXTRACT(CELL("address",'Raw Data'!D249),"\$([A-Z]+)\$[0-9]+"),"")</f>
        <v>$D$249</v>
      </c>
      <c r="E250" t="str" cm="1">
        <f t="array" aca="1" ref="E250" ca="1">IF('Raw Data'!E249="",_xlfn.REGEXEXTRACT(CELL("address",'Raw Data'!E249),"\$([A-Z]+)\$[0-9]+"),"")</f>
        <v>$E$249</v>
      </c>
      <c r="F250" t="str" cm="1">
        <f t="array" aca="1" ref="F250" ca="1">IF('Raw Data'!F249="",_xlfn.REGEXEXTRACT(CELL("address",'Raw Data'!F249),"\$([A-Z]+)\$[0-9]+"),"")</f>
        <v>$F$249</v>
      </c>
      <c r="G250" t="str" cm="1">
        <f t="array" aca="1" ref="G250" ca="1">IF('Raw Data'!G249="",_xlfn.REGEXEXTRACT(CELL("address",'Raw Data'!G249),"\$([A-Z]+)\$[0-9]+"),"")</f>
        <v>$G$249</v>
      </c>
      <c r="H250" t="str" cm="1">
        <f t="array" aca="1" ref="H250" ca="1">IF('Raw Data'!H249="",_xlfn.REGEXEXTRACT(CELL("address",'Raw Data'!H249),"\$([A-Z]+)\$[0-9]+"),"")</f>
        <v>$H$249</v>
      </c>
      <c r="I250" t="str" cm="1">
        <f t="array" aca="1" ref="I250" ca="1">IF('Raw Data'!I249="",_xlfn.REGEXEXTRACT(CELL("address",'Raw Data'!I249),"\$([A-Z]+)\$[0-9]+"),"")</f>
        <v>$I$249</v>
      </c>
    </row>
    <row r="251" spans="2:9" x14ac:dyDescent="0.25">
      <c r="B251" t="str" cm="1">
        <f t="array" aca="1" ref="B251" ca="1">IF('Raw Data'!B250="",_xlfn.REGEXEXTRACT(CELL("address",'Raw Data'!B250),"\$([A-Z]+)\$[0-9]+"),"")</f>
        <v>$B$250</v>
      </c>
      <c r="C251" t="str" cm="1">
        <f t="array" aca="1" ref="C251" ca="1">IF('Raw Data'!C250="",_xlfn.REGEXEXTRACT(CELL("address",'Raw Data'!C250),"\$([A-Z]+)\$[0-9]+"),"")</f>
        <v>$C$250</v>
      </c>
      <c r="D251" t="str" cm="1">
        <f t="array" aca="1" ref="D251" ca="1">IF('Raw Data'!D250="",_xlfn.REGEXEXTRACT(CELL("address",'Raw Data'!D250),"\$([A-Z]+)\$[0-9]+"),"")</f>
        <v>$D$250</v>
      </c>
      <c r="E251" t="str" cm="1">
        <f t="array" aca="1" ref="E251" ca="1">IF('Raw Data'!E250="",_xlfn.REGEXEXTRACT(CELL("address",'Raw Data'!E250),"\$([A-Z]+)\$[0-9]+"),"")</f>
        <v>$E$250</v>
      </c>
      <c r="F251" t="str" cm="1">
        <f t="array" aca="1" ref="F251" ca="1">IF('Raw Data'!F250="",_xlfn.REGEXEXTRACT(CELL("address",'Raw Data'!F250),"\$([A-Z]+)\$[0-9]+"),"")</f>
        <v>$F$250</v>
      </c>
      <c r="G251" t="str" cm="1">
        <f t="array" aca="1" ref="G251" ca="1">IF('Raw Data'!G250="",_xlfn.REGEXEXTRACT(CELL("address",'Raw Data'!G250),"\$([A-Z]+)\$[0-9]+"),"")</f>
        <v>$G$250</v>
      </c>
      <c r="H251" t="str" cm="1">
        <f t="array" aca="1" ref="H251" ca="1">IF('Raw Data'!H250="",_xlfn.REGEXEXTRACT(CELL("address",'Raw Data'!H250),"\$([A-Z]+)\$[0-9]+"),"")</f>
        <v>$H$250</v>
      </c>
      <c r="I251" t="str" cm="1">
        <f t="array" aca="1" ref="I251" ca="1">IF('Raw Data'!I250="",_xlfn.REGEXEXTRACT(CELL("address",'Raw Data'!I250),"\$([A-Z]+)\$[0-9]+"),"")</f>
        <v>$I$250</v>
      </c>
    </row>
    <row r="252" spans="2:9" x14ac:dyDescent="0.25">
      <c r="B252" t="str" cm="1">
        <f t="array" aca="1" ref="B252" ca="1">IF('Raw Data'!B251="",_xlfn.REGEXEXTRACT(CELL("address",'Raw Data'!B251),"\$([A-Z]+)\$[0-9]+"),"")</f>
        <v>$B$251</v>
      </c>
      <c r="C252" t="str" cm="1">
        <f t="array" aca="1" ref="C252" ca="1">IF('Raw Data'!C251="",_xlfn.REGEXEXTRACT(CELL("address",'Raw Data'!C251),"\$([A-Z]+)\$[0-9]+"),"")</f>
        <v>$C$251</v>
      </c>
      <c r="D252" t="str" cm="1">
        <f t="array" aca="1" ref="D252" ca="1">IF('Raw Data'!D251="",_xlfn.REGEXEXTRACT(CELL("address",'Raw Data'!D251),"\$([A-Z]+)\$[0-9]+"),"")</f>
        <v>$D$251</v>
      </c>
      <c r="E252" t="str" cm="1">
        <f t="array" aca="1" ref="E252" ca="1">IF('Raw Data'!E251="",_xlfn.REGEXEXTRACT(CELL("address",'Raw Data'!E251),"\$([A-Z]+)\$[0-9]+"),"")</f>
        <v>$E$251</v>
      </c>
      <c r="F252" t="str" cm="1">
        <f t="array" aca="1" ref="F252" ca="1">IF('Raw Data'!F251="",_xlfn.REGEXEXTRACT(CELL("address",'Raw Data'!F251),"\$([A-Z]+)\$[0-9]+"),"")</f>
        <v>$F$251</v>
      </c>
      <c r="G252" t="str" cm="1">
        <f t="array" aca="1" ref="G252" ca="1">IF('Raw Data'!G251="",_xlfn.REGEXEXTRACT(CELL("address",'Raw Data'!G251),"\$([A-Z]+)\$[0-9]+"),"")</f>
        <v>$G$251</v>
      </c>
      <c r="H252" t="str" cm="1">
        <f t="array" aca="1" ref="H252" ca="1">IF('Raw Data'!H251="",_xlfn.REGEXEXTRACT(CELL("address",'Raw Data'!H251),"\$([A-Z]+)\$[0-9]+"),"")</f>
        <v>$H$251</v>
      </c>
      <c r="I252" t="str" cm="1">
        <f t="array" aca="1" ref="I252" ca="1">IF('Raw Data'!I251="",_xlfn.REGEXEXTRACT(CELL("address",'Raw Data'!I251),"\$([A-Z]+)\$[0-9]+"),"")</f>
        <v>$I$251</v>
      </c>
    </row>
    <row r="253" spans="2:9" x14ac:dyDescent="0.25">
      <c r="B253" t="str" cm="1">
        <f t="array" aca="1" ref="B253" ca="1">IF('Raw Data'!B252="",_xlfn.REGEXEXTRACT(CELL("address",'Raw Data'!B252),"\$([A-Z]+)\$[0-9]+"),"")</f>
        <v>$B$252</v>
      </c>
      <c r="C253" t="str" cm="1">
        <f t="array" aca="1" ref="C253" ca="1">IF('Raw Data'!C252="",_xlfn.REGEXEXTRACT(CELL("address",'Raw Data'!C252),"\$([A-Z]+)\$[0-9]+"),"")</f>
        <v>$C$252</v>
      </c>
      <c r="D253" t="str" cm="1">
        <f t="array" aca="1" ref="D253" ca="1">IF('Raw Data'!D252="",_xlfn.REGEXEXTRACT(CELL("address",'Raw Data'!D252),"\$([A-Z]+)\$[0-9]+"),"")</f>
        <v>$D$252</v>
      </c>
      <c r="E253" t="str" cm="1">
        <f t="array" aca="1" ref="E253" ca="1">IF('Raw Data'!E252="",_xlfn.REGEXEXTRACT(CELL("address",'Raw Data'!E252),"\$([A-Z]+)\$[0-9]+"),"")</f>
        <v>$E$252</v>
      </c>
      <c r="F253" t="str" cm="1">
        <f t="array" aca="1" ref="F253" ca="1">IF('Raw Data'!F252="",_xlfn.REGEXEXTRACT(CELL("address",'Raw Data'!F252),"\$([A-Z]+)\$[0-9]+"),"")</f>
        <v>$F$252</v>
      </c>
      <c r="G253" t="str" cm="1">
        <f t="array" aca="1" ref="G253" ca="1">IF('Raw Data'!G252="",_xlfn.REGEXEXTRACT(CELL("address",'Raw Data'!G252),"\$([A-Z]+)\$[0-9]+"),"")</f>
        <v>$G$252</v>
      </c>
      <c r="H253" t="str" cm="1">
        <f t="array" aca="1" ref="H253" ca="1">IF('Raw Data'!H252="",_xlfn.REGEXEXTRACT(CELL("address",'Raw Data'!H252),"\$([A-Z]+)\$[0-9]+"),"")</f>
        <v>$H$252</v>
      </c>
      <c r="I253" t="str" cm="1">
        <f t="array" aca="1" ref="I253" ca="1">IF('Raw Data'!I252="",_xlfn.REGEXEXTRACT(CELL("address",'Raw Data'!I252),"\$([A-Z]+)\$[0-9]+"),"")</f>
        <v>$I$252</v>
      </c>
    </row>
    <row r="254" spans="2:9" x14ac:dyDescent="0.25">
      <c r="B254" t="str" cm="1">
        <f t="array" aca="1" ref="B254" ca="1">IF('Raw Data'!B253="",_xlfn.REGEXEXTRACT(CELL("address",'Raw Data'!B253),"\$([A-Z]+)\$[0-9]+"),"")</f>
        <v>$B$253</v>
      </c>
      <c r="C254" t="str" cm="1">
        <f t="array" aca="1" ref="C254" ca="1">IF('Raw Data'!C253="",_xlfn.REGEXEXTRACT(CELL("address",'Raw Data'!C253),"\$([A-Z]+)\$[0-9]+"),"")</f>
        <v>$C$253</v>
      </c>
      <c r="D254" t="str" cm="1">
        <f t="array" aca="1" ref="D254" ca="1">IF('Raw Data'!D253="",_xlfn.REGEXEXTRACT(CELL("address",'Raw Data'!D253),"\$([A-Z]+)\$[0-9]+"),"")</f>
        <v>$D$253</v>
      </c>
      <c r="E254" t="str" cm="1">
        <f t="array" aca="1" ref="E254" ca="1">IF('Raw Data'!E253="",_xlfn.REGEXEXTRACT(CELL("address",'Raw Data'!E253),"\$([A-Z]+)\$[0-9]+"),"")</f>
        <v>$E$253</v>
      </c>
      <c r="F254" t="str" cm="1">
        <f t="array" aca="1" ref="F254" ca="1">IF('Raw Data'!F253="",_xlfn.REGEXEXTRACT(CELL("address",'Raw Data'!F253),"\$([A-Z]+)\$[0-9]+"),"")</f>
        <v>$F$253</v>
      </c>
      <c r="G254" t="str" cm="1">
        <f t="array" aca="1" ref="G254" ca="1">IF('Raw Data'!G253="",_xlfn.REGEXEXTRACT(CELL("address",'Raw Data'!G253),"\$([A-Z]+)\$[0-9]+"),"")</f>
        <v>$G$253</v>
      </c>
      <c r="H254" t="str" cm="1">
        <f t="array" aca="1" ref="H254" ca="1">IF('Raw Data'!H253="",_xlfn.REGEXEXTRACT(CELL("address",'Raw Data'!H253),"\$([A-Z]+)\$[0-9]+"),"")</f>
        <v>$H$253</v>
      </c>
      <c r="I254" t="str" cm="1">
        <f t="array" aca="1" ref="I254" ca="1">IF('Raw Data'!I253="",_xlfn.REGEXEXTRACT(CELL("address",'Raw Data'!I253),"\$([A-Z]+)\$[0-9]+"),"")</f>
        <v>$I$253</v>
      </c>
    </row>
    <row r="255" spans="2:9" x14ac:dyDescent="0.25">
      <c r="B255" t="str" cm="1">
        <f t="array" aca="1" ref="B255" ca="1">IF('Raw Data'!B254="",_xlfn.REGEXEXTRACT(CELL("address",'Raw Data'!B254),"\$([A-Z]+)\$[0-9]+"),"")</f>
        <v>$B$254</v>
      </c>
      <c r="C255" t="str" cm="1">
        <f t="array" aca="1" ref="C255" ca="1">IF('Raw Data'!C254="",_xlfn.REGEXEXTRACT(CELL("address",'Raw Data'!C254),"\$([A-Z]+)\$[0-9]+"),"")</f>
        <v>$C$254</v>
      </c>
      <c r="D255" t="str" cm="1">
        <f t="array" aca="1" ref="D255" ca="1">IF('Raw Data'!D254="",_xlfn.REGEXEXTRACT(CELL("address",'Raw Data'!D254),"\$([A-Z]+)\$[0-9]+"),"")</f>
        <v>$D$254</v>
      </c>
      <c r="E255" t="str" cm="1">
        <f t="array" aca="1" ref="E255" ca="1">IF('Raw Data'!E254="",_xlfn.REGEXEXTRACT(CELL("address",'Raw Data'!E254),"\$([A-Z]+)\$[0-9]+"),"")</f>
        <v>$E$254</v>
      </c>
      <c r="F255" t="str" cm="1">
        <f t="array" aca="1" ref="F255" ca="1">IF('Raw Data'!F254="",_xlfn.REGEXEXTRACT(CELL("address",'Raw Data'!F254),"\$([A-Z]+)\$[0-9]+"),"")</f>
        <v>$F$254</v>
      </c>
      <c r="G255" t="str" cm="1">
        <f t="array" aca="1" ref="G255" ca="1">IF('Raw Data'!G254="",_xlfn.REGEXEXTRACT(CELL("address",'Raw Data'!G254),"\$([A-Z]+)\$[0-9]+"),"")</f>
        <v>$G$254</v>
      </c>
      <c r="H255" t="str" cm="1">
        <f t="array" aca="1" ref="H255" ca="1">IF('Raw Data'!H254="",_xlfn.REGEXEXTRACT(CELL("address",'Raw Data'!H254),"\$([A-Z]+)\$[0-9]+"),"")</f>
        <v>$H$254</v>
      </c>
      <c r="I255" t="str" cm="1">
        <f t="array" aca="1" ref="I255" ca="1">IF('Raw Data'!I254="",_xlfn.REGEXEXTRACT(CELL("address",'Raw Data'!I254),"\$([A-Z]+)\$[0-9]+"),"")</f>
        <v>$I$254</v>
      </c>
    </row>
    <row r="256" spans="2:9" x14ac:dyDescent="0.25">
      <c r="B256" t="str" cm="1">
        <f t="array" aca="1" ref="B256" ca="1">IF('Raw Data'!B255="",_xlfn.REGEXEXTRACT(CELL("address",'Raw Data'!B255),"\$([A-Z]+)\$[0-9]+"),"")</f>
        <v>$B$255</v>
      </c>
      <c r="C256" t="str" cm="1">
        <f t="array" aca="1" ref="C256" ca="1">IF('Raw Data'!C255="",_xlfn.REGEXEXTRACT(CELL("address",'Raw Data'!C255),"\$([A-Z]+)\$[0-9]+"),"")</f>
        <v>$C$255</v>
      </c>
      <c r="D256" t="str" cm="1">
        <f t="array" aca="1" ref="D256" ca="1">IF('Raw Data'!D255="",_xlfn.REGEXEXTRACT(CELL("address",'Raw Data'!D255),"\$([A-Z]+)\$[0-9]+"),"")</f>
        <v>$D$255</v>
      </c>
      <c r="E256" t="str" cm="1">
        <f t="array" aca="1" ref="E256" ca="1">IF('Raw Data'!E255="",_xlfn.REGEXEXTRACT(CELL("address",'Raw Data'!E255),"\$([A-Z]+)\$[0-9]+"),"")</f>
        <v>$E$255</v>
      </c>
      <c r="F256" t="str" cm="1">
        <f t="array" aca="1" ref="F256" ca="1">IF('Raw Data'!F255="",_xlfn.REGEXEXTRACT(CELL("address",'Raw Data'!F255),"\$([A-Z]+)\$[0-9]+"),"")</f>
        <v>$F$255</v>
      </c>
      <c r="G256" t="str" cm="1">
        <f t="array" aca="1" ref="G256" ca="1">IF('Raw Data'!G255="",_xlfn.REGEXEXTRACT(CELL("address",'Raw Data'!G255),"\$([A-Z]+)\$[0-9]+"),"")</f>
        <v>$G$255</v>
      </c>
      <c r="H256" t="str" cm="1">
        <f t="array" aca="1" ref="H256" ca="1">IF('Raw Data'!H255="",_xlfn.REGEXEXTRACT(CELL("address",'Raw Data'!H255),"\$([A-Z]+)\$[0-9]+"),"")</f>
        <v>$H$255</v>
      </c>
      <c r="I256" t="str" cm="1">
        <f t="array" aca="1" ref="I256" ca="1">IF('Raw Data'!I255="",_xlfn.REGEXEXTRACT(CELL("address",'Raw Data'!I255),"\$([A-Z]+)\$[0-9]+"),"")</f>
        <v>$I$255</v>
      </c>
    </row>
    <row r="257" spans="2:9" x14ac:dyDescent="0.25">
      <c r="B257" t="str" cm="1">
        <f t="array" aca="1" ref="B257" ca="1">IF('Raw Data'!B256="",_xlfn.REGEXEXTRACT(CELL("address",'Raw Data'!B256),"\$([A-Z]+)\$[0-9]+"),"")</f>
        <v>$B$256</v>
      </c>
      <c r="C257" t="str" cm="1">
        <f t="array" aca="1" ref="C257" ca="1">IF('Raw Data'!C256="",_xlfn.REGEXEXTRACT(CELL("address",'Raw Data'!C256),"\$([A-Z]+)\$[0-9]+"),"")</f>
        <v>$C$256</v>
      </c>
      <c r="D257" t="str" cm="1">
        <f t="array" aca="1" ref="D257" ca="1">IF('Raw Data'!D256="",_xlfn.REGEXEXTRACT(CELL("address",'Raw Data'!D256),"\$([A-Z]+)\$[0-9]+"),"")</f>
        <v>$D$256</v>
      </c>
      <c r="E257" t="str" cm="1">
        <f t="array" aca="1" ref="E257" ca="1">IF('Raw Data'!E256="",_xlfn.REGEXEXTRACT(CELL("address",'Raw Data'!E256),"\$([A-Z]+)\$[0-9]+"),"")</f>
        <v>$E$256</v>
      </c>
      <c r="F257" t="str" cm="1">
        <f t="array" aca="1" ref="F257" ca="1">IF('Raw Data'!F256="",_xlfn.REGEXEXTRACT(CELL("address",'Raw Data'!F256),"\$([A-Z]+)\$[0-9]+"),"")</f>
        <v>$F$256</v>
      </c>
      <c r="G257" t="str" cm="1">
        <f t="array" aca="1" ref="G257" ca="1">IF('Raw Data'!G256="",_xlfn.REGEXEXTRACT(CELL("address",'Raw Data'!G256),"\$([A-Z]+)\$[0-9]+"),"")</f>
        <v>$G$256</v>
      </c>
      <c r="H257" t="str" cm="1">
        <f t="array" aca="1" ref="H257" ca="1">IF('Raw Data'!H256="",_xlfn.REGEXEXTRACT(CELL("address",'Raw Data'!H256),"\$([A-Z]+)\$[0-9]+"),"")</f>
        <v>$H$256</v>
      </c>
      <c r="I257" t="str" cm="1">
        <f t="array" aca="1" ref="I257" ca="1">IF('Raw Data'!I256="",_xlfn.REGEXEXTRACT(CELL("address",'Raw Data'!I256),"\$([A-Z]+)\$[0-9]+"),"")</f>
        <v>$I$256</v>
      </c>
    </row>
    <row r="258" spans="2:9" x14ac:dyDescent="0.25">
      <c r="B258" t="str" cm="1">
        <f t="array" aca="1" ref="B258" ca="1">IF('Raw Data'!B257="",_xlfn.REGEXEXTRACT(CELL("address",'Raw Data'!B257),"\$([A-Z]+)\$[0-9]+"),"")</f>
        <v>$B$257</v>
      </c>
      <c r="C258" t="str" cm="1">
        <f t="array" aca="1" ref="C258" ca="1">IF('Raw Data'!C257="",_xlfn.REGEXEXTRACT(CELL("address",'Raw Data'!C257),"\$([A-Z]+)\$[0-9]+"),"")</f>
        <v>$C$257</v>
      </c>
      <c r="D258" t="str" cm="1">
        <f t="array" aca="1" ref="D258" ca="1">IF('Raw Data'!D257="",_xlfn.REGEXEXTRACT(CELL("address",'Raw Data'!D257),"\$([A-Z]+)\$[0-9]+"),"")</f>
        <v>$D$257</v>
      </c>
      <c r="E258" t="str" cm="1">
        <f t="array" aca="1" ref="E258" ca="1">IF('Raw Data'!E257="",_xlfn.REGEXEXTRACT(CELL("address",'Raw Data'!E257),"\$([A-Z]+)\$[0-9]+"),"")</f>
        <v>$E$257</v>
      </c>
      <c r="F258" t="str" cm="1">
        <f t="array" aca="1" ref="F258" ca="1">IF('Raw Data'!F257="",_xlfn.REGEXEXTRACT(CELL("address",'Raw Data'!F257),"\$([A-Z]+)\$[0-9]+"),"")</f>
        <v>$F$257</v>
      </c>
      <c r="G258" t="str" cm="1">
        <f t="array" aca="1" ref="G258" ca="1">IF('Raw Data'!G257="",_xlfn.REGEXEXTRACT(CELL("address",'Raw Data'!G257),"\$([A-Z]+)\$[0-9]+"),"")</f>
        <v>$G$257</v>
      </c>
      <c r="H258" t="str" cm="1">
        <f t="array" aca="1" ref="H258" ca="1">IF('Raw Data'!H257="",_xlfn.REGEXEXTRACT(CELL("address",'Raw Data'!H257),"\$([A-Z]+)\$[0-9]+"),"")</f>
        <v>$H$257</v>
      </c>
      <c r="I258" t="str" cm="1">
        <f t="array" aca="1" ref="I258" ca="1">IF('Raw Data'!I257="",_xlfn.REGEXEXTRACT(CELL("address",'Raw Data'!I257),"\$([A-Z]+)\$[0-9]+"),"")</f>
        <v>$I$257</v>
      </c>
    </row>
    <row r="259" spans="2:9" x14ac:dyDescent="0.25">
      <c r="B259" t="str" cm="1">
        <f t="array" aca="1" ref="B259" ca="1">IF('Raw Data'!B258="",_xlfn.REGEXEXTRACT(CELL("address",'Raw Data'!B258),"\$([A-Z]+)\$[0-9]+"),"")</f>
        <v>$B$258</v>
      </c>
      <c r="C259" t="str" cm="1">
        <f t="array" aca="1" ref="C259" ca="1">IF('Raw Data'!C258="",_xlfn.REGEXEXTRACT(CELL("address",'Raw Data'!C258),"\$([A-Z]+)\$[0-9]+"),"")</f>
        <v>$C$258</v>
      </c>
      <c r="D259" t="str" cm="1">
        <f t="array" aca="1" ref="D259" ca="1">IF('Raw Data'!D258="",_xlfn.REGEXEXTRACT(CELL("address",'Raw Data'!D258),"\$([A-Z]+)\$[0-9]+"),"")</f>
        <v>$D$258</v>
      </c>
      <c r="E259" t="str" cm="1">
        <f t="array" aca="1" ref="E259" ca="1">IF('Raw Data'!E258="",_xlfn.REGEXEXTRACT(CELL("address",'Raw Data'!E258),"\$([A-Z]+)\$[0-9]+"),"")</f>
        <v>$E$258</v>
      </c>
      <c r="F259" t="str" cm="1">
        <f t="array" aca="1" ref="F259" ca="1">IF('Raw Data'!F258="",_xlfn.REGEXEXTRACT(CELL("address",'Raw Data'!F258),"\$([A-Z]+)\$[0-9]+"),"")</f>
        <v>$F$258</v>
      </c>
      <c r="G259" t="str" cm="1">
        <f t="array" aca="1" ref="G259" ca="1">IF('Raw Data'!G258="",_xlfn.REGEXEXTRACT(CELL("address",'Raw Data'!G258),"\$([A-Z]+)\$[0-9]+"),"")</f>
        <v>$G$258</v>
      </c>
      <c r="H259" t="str" cm="1">
        <f t="array" aca="1" ref="H259" ca="1">IF('Raw Data'!H258="",_xlfn.REGEXEXTRACT(CELL("address",'Raw Data'!H258),"\$([A-Z]+)\$[0-9]+"),"")</f>
        <v>$H$258</v>
      </c>
      <c r="I259" t="str" cm="1">
        <f t="array" aca="1" ref="I259" ca="1">IF('Raw Data'!I258="",_xlfn.REGEXEXTRACT(CELL("address",'Raw Data'!I258),"\$([A-Z]+)\$[0-9]+"),"")</f>
        <v>$I$258</v>
      </c>
    </row>
    <row r="260" spans="2:9" x14ac:dyDescent="0.25">
      <c r="B260" t="str" cm="1">
        <f t="array" aca="1" ref="B260" ca="1">IF('Raw Data'!B259="",_xlfn.REGEXEXTRACT(CELL("address",'Raw Data'!B259),"\$([A-Z]+)\$[0-9]+"),"")</f>
        <v>$B$259</v>
      </c>
      <c r="C260" t="str" cm="1">
        <f t="array" aca="1" ref="C260" ca="1">IF('Raw Data'!C259="",_xlfn.REGEXEXTRACT(CELL("address",'Raw Data'!C259),"\$([A-Z]+)\$[0-9]+"),"")</f>
        <v>$C$259</v>
      </c>
      <c r="D260" t="str" cm="1">
        <f t="array" aca="1" ref="D260" ca="1">IF('Raw Data'!D259="",_xlfn.REGEXEXTRACT(CELL("address",'Raw Data'!D259),"\$([A-Z]+)\$[0-9]+"),"")</f>
        <v>$D$259</v>
      </c>
      <c r="E260" t="str" cm="1">
        <f t="array" aca="1" ref="E260" ca="1">IF('Raw Data'!E259="",_xlfn.REGEXEXTRACT(CELL("address",'Raw Data'!E259),"\$([A-Z]+)\$[0-9]+"),"")</f>
        <v>$E$259</v>
      </c>
      <c r="F260" t="str" cm="1">
        <f t="array" aca="1" ref="F260" ca="1">IF('Raw Data'!F259="",_xlfn.REGEXEXTRACT(CELL("address",'Raw Data'!F259),"\$([A-Z]+)\$[0-9]+"),"")</f>
        <v>$F$259</v>
      </c>
      <c r="G260" t="str" cm="1">
        <f t="array" aca="1" ref="G260" ca="1">IF('Raw Data'!G259="",_xlfn.REGEXEXTRACT(CELL("address",'Raw Data'!G259),"\$([A-Z]+)\$[0-9]+"),"")</f>
        <v>$G$259</v>
      </c>
      <c r="H260" t="str" cm="1">
        <f t="array" aca="1" ref="H260" ca="1">IF('Raw Data'!H259="",_xlfn.REGEXEXTRACT(CELL("address",'Raw Data'!H259),"\$([A-Z]+)\$[0-9]+"),"")</f>
        <v>$H$259</v>
      </c>
      <c r="I260" t="str" cm="1">
        <f t="array" aca="1" ref="I260" ca="1">IF('Raw Data'!I259="",_xlfn.REGEXEXTRACT(CELL("address",'Raw Data'!I259),"\$([A-Z]+)\$[0-9]+"),"")</f>
        <v>$I$259</v>
      </c>
    </row>
    <row r="261" spans="2:9" x14ac:dyDescent="0.25">
      <c r="B261" t="str" cm="1">
        <f t="array" aca="1" ref="B261" ca="1">IF('Raw Data'!B260="",_xlfn.REGEXEXTRACT(CELL("address",'Raw Data'!B260),"\$([A-Z]+)\$[0-9]+"),"")</f>
        <v>$B$260</v>
      </c>
      <c r="C261" t="str" cm="1">
        <f t="array" aca="1" ref="C261" ca="1">IF('Raw Data'!C260="",_xlfn.REGEXEXTRACT(CELL("address",'Raw Data'!C260),"\$([A-Z]+)\$[0-9]+"),"")</f>
        <v>$C$260</v>
      </c>
      <c r="D261" t="str" cm="1">
        <f t="array" aca="1" ref="D261" ca="1">IF('Raw Data'!D260="",_xlfn.REGEXEXTRACT(CELL("address",'Raw Data'!D260),"\$([A-Z]+)\$[0-9]+"),"")</f>
        <v>$D$260</v>
      </c>
      <c r="E261" t="str" cm="1">
        <f t="array" aca="1" ref="E261" ca="1">IF('Raw Data'!E260="",_xlfn.REGEXEXTRACT(CELL("address",'Raw Data'!E260),"\$([A-Z]+)\$[0-9]+"),"")</f>
        <v>$E$260</v>
      </c>
      <c r="F261" t="str" cm="1">
        <f t="array" aca="1" ref="F261" ca="1">IF('Raw Data'!F260="",_xlfn.REGEXEXTRACT(CELL("address",'Raw Data'!F260),"\$([A-Z]+)\$[0-9]+"),"")</f>
        <v>$F$260</v>
      </c>
      <c r="G261" t="str" cm="1">
        <f t="array" aca="1" ref="G261" ca="1">IF('Raw Data'!G260="",_xlfn.REGEXEXTRACT(CELL("address",'Raw Data'!G260),"\$([A-Z]+)\$[0-9]+"),"")</f>
        <v>$G$260</v>
      </c>
      <c r="H261" t="str" cm="1">
        <f t="array" aca="1" ref="H261" ca="1">IF('Raw Data'!H260="",_xlfn.REGEXEXTRACT(CELL("address",'Raw Data'!H260),"\$([A-Z]+)\$[0-9]+"),"")</f>
        <v>$H$260</v>
      </c>
      <c r="I261" t="str" cm="1">
        <f t="array" aca="1" ref="I261" ca="1">IF('Raw Data'!I260="",_xlfn.REGEXEXTRACT(CELL("address",'Raw Data'!I260),"\$([A-Z]+)\$[0-9]+"),"")</f>
        <v>$I$260</v>
      </c>
    </row>
    <row r="262" spans="2:9" x14ac:dyDescent="0.25">
      <c r="B262" t="str" cm="1">
        <f t="array" aca="1" ref="B262" ca="1">IF('Raw Data'!B261="",_xlfn.REGEXEXTRACT(CELL("address",'Raw Data'!B261),"\$([A-Z]+)\$[0-9]+"),"")</f>
        <v>$B$261</v>
      </c>
      <c r="C262" t="str" cm="1">
        <f t="array" aca="1" ref="C262" ca="1">IF('Raw Data'!C261="",_xlfn.REGEXEXTRACT(CELL("address",'Raw Data'!C261),"\$([A-Z]+)\$[0-9]+"),"")</f>
        <v>$C$261</v>
      </c>
      <c r="D262" t="str" cm="1">
        <f t="array" aca="1" ref="D262" ca="1">IF('Raw Data'!D261="",_xlfn.REGEXEXTRACT(CELL("address",'Raw Data'!D261),"\$([A-Z]+)\$[0-9]+"),"")</f>
        <v>$D$261</v>
      </c>
      <c r="E262" t="str" cm="1">
        <f t="array" aca="1" ref="E262" ca="1">IF('Raw Data'!E261="",_xlfn.REGEXEXTRACT(CELL("address",'Raw Data'!E261),"\$([A-Z]+)\$[0-9]+"),"")</f>
        <v>$E$261</v>
      </c>
      <c r="F262" t="str" cm="1">
        <f t="array" aca="1" ref="F262" ca="1">IF('Raw Data'!F261="",_xlfn.REGEXEXTRACT(CELL("address",'Raw Data'!F261),"\$([A-Z]+)\$[0-9]+"),"")</f>
        <v>$F$261</v>
      </c>
      <c r="G262" t="str" cm="1">
        <f t="array" aca="1" ref="G262" ca="1">IF('Raw Data'!G261="",_xlfn.REGEXEXTRACT(CELL("address",'Raw Data'!G261),"\$([A-Z]+)\$[0-9]+"),"")</f>
        <v>$G$261</v>
      </c>
      <c r="H262" t="str" cm="1">
        <f t="array" aca="1" ref="H262" ca="1">IF('Raw Data'!H261="",_xlfn.REGEXEXTRACT(CELL("address",'Raw Data'!H261),"\$([A-Z]+)\$[0-9]+"),"")</f>
        <v>$H$261</v>
      </c>
      <c r="I262" t="str" cm="1">
        <f t="array" aca="1" ref="I262" ca="1">IF('Raw Data'!I261="",_xlfn.REGEXEXTRACT(CELL("address",'Raw Data'!I261),"\$([A-Z]+)\$[0-9]+"),"")</f>
        <v>$I$261</v>
      </c>
    </row>
    <row r="263" spans="2:9" x14ac:dyDescent="0.25">
      <c r="B263" t="str" cm="1">
        <f t="array" aca="1" ref="B263" ca="1">IF('Raw Data'!B262="",_xlfn.REGEXEXTRACT(CELL("address",'Raw Data'!B262),"\$([A-Z]+)\$[0-9]+"),"")</f>
        <v>$B$262</v>
      </c>
      <c r="C263" t="str" cm="1">
        <f t="array" aca="1" ref="C263" ca="1">IF('Raw Data'!C262="",_xlfn.REGEXEXTRACT(CELL("address",'Raw Data'!C262),"\$([A-Z]+)\$[0-9]+"),"")</f>
        <v>$C$262</v>
      </c>
      <c r="D263" t="str" cm="1">
        <f t="array" aca="1" ref="D263" ca="1">IF('Raw Data'!D262="",_xlfn.REGEXEXTRACT(CELL("address",'Raw Data'!D262),"\$([A-Z]+)\$[0-9]+"),"")</f>
        <v>$D$262</v>
      </c>
      <c r="E263" t="str" cm="1">
        <f t="array" aca="1" ref="E263" ca="1">IF('Raw Data'!E262="",_xlfn.REGEXEXTRACT(CELL("address",'Raw Data'!E262),"\$([A-Z]+)\$[0-9]+"),"")</f>
        <v>$E$262</v>
      </c>
      <c r="F263" t="str" cm="1">
        <f t="array" aca="1" ref="F263" ca="1">IF('Raw Data'!F262="",_xlfn.REGEXEXTRACT(CELL("address",'Raw Data'!F262),"\$([A-Z]+)\$[0-9]+"),"")</f>
        <v>$F$262</v>
      </c>
      <c r="G263" t="str" cm="1">
        <f t="array" aca="1" ref="G263" ca="1">IF('Raw Data'!G262="",_xlfn.REGEXEXTRACT(CELL("address",'Raw Data'!G262),"\$([A-Z]+)\$[0-9]+"),"")</f>
        <v>$G$262</v>
      </c>
      <c r="H263" t="str" cm="1">
        <f t="array" aca="1" ref="H263" ca="1">IF('Raw Data'!H262="",_xlfn.REGEXEXTRACT(CELL("address",'Raw Data'!H262),"\$([A-Z]+)\$[0-9]+"),"")</f>
        <v>$H$262</v>
      </c>
      <c r="I263" t="str" cm="1">
        <f t="array" aca="1" ref="I263" ca="1">IF('Raw Data'!I262="",_xlfn.REGEXEXTRACT(CELL("address",'Raw Data'!I262),"\$([A-Z]+)\$[0-9]+"),"")</f>
        <v>$I$262</v>
      </c>
    </row>
    <row r="264" spans="2:9" x14ac:dyDescent="0.25">
      <c r="B264" t="str" cm="1">
        <f t="array" aca="1" ref="B264" ca="1">IF('Raw Data'!B263="",_xlfn.REGEXEXTRACT(CELL("address",'Raw Data'!B263),"\$([A-Z]+)\$[0-9]+"),"")</f>
        <v>$B$263</v>
      </c>
      <c r="C264" t="str" cm="1">
        <f t="array" aca="1" ref="C264" ca="1">IF('Raw Data'!C263="",_xlfn.REGEXEXTRACT(CELL("address",'Raw Data'!C263),"\$([A-Z]+)\$[0-9]+"),"")</f>
        <v>$C$263</v>
      </c>
      <c r="D264" t="str" cm="1">
        <f t="array" aca="1" ref="D264" ca="1">IF('Raw Data'!D263="",_xlfn.REGEXEXTRACT(CELL("address",'Raw Data'!D263),"\$([A-Z]+)\$[0-9]+"),"")</f>
        <v>$D$263</v>
      </c>
      <c r="E264" t="str" cm="1">
        <f t="array" aca="1" ref="E264" ca="1">IF('Raw Data'!E263="",_xlfn.REGEXEXTRACT(CELL("address",'Raw Data'!E263),"\$([A-Z]+)\$[0-9]+"),"")</f>
        <v>$E$263</v>
      </c>
      <c r="F264" t="str" cm="1">
        <f t="array" aca="1" ref="F264" ca="1">IF('Raw Data'!F263="",_xlfn.REGEXEXTRACT(CELL("address",'Raw Data'!F263),"\$([A-Z]+)\$[0-9]+"),"")</f>
        <v>$F$263</v>
      </c>
      <c r="G264" t="str" cm="1">
        <f t="array" aca="1" ref="G264" ca="1">IF('Raw Data'!G263="",_xlfn.REGEXEXTRACT(CELL("address",'Raw Data'!G263),"\$([A-Z]+)\$[0-9]+"),"")</f>
        <v>$G$263</v>
      </c>
      <c r="H264" t="str" cm="1">
        <f t="array" aca="1" ref="H264" ca="1">IF('Raw Data'!H263="",_xlfn.REGEXEXTRACT(CELL("address",'Raw Data'!H263),"\$([A-Z]+)\$[0-9]+"),"")</f>
        <v>$H$263</v>
      </c>
      <c r="I264" t="str" cm="1">
        <f t="array" aca="1" ref="I264" ca="1">IF('Raw Data'!I263="",_xlfn.REGEXEXTRACT(CELL("address",'Raw Data'!I263),"\$([A-Z]+)\$[0-9]+"),"")</f>
        <v>$I$263</v>
      </c>
    </row>
    <row r="265" spans="2:9" x14ac:dyDescent="0.25">
      <c r="B265" t="str" cm="1">
        <f t="array" aca="1" ref="B265" ca="1">IF('Raw Data'!B264="",_xlfn.REGEXEXTRACT(CELL("address",'Raw Data'!B264),"\$([A-Z]+)\$[0-9]+"),"")</f>
        <v>$B$264</v>
      </c>
      <c r="C265" t="str" cm="1">
        <f t="array" aca="1" ref="C265" ca="1">IF('Raw Data'!C264="",_xlfn.REGEXEXTRACT(CELL("address",'Raw Data'!C264),"\$([A-Z]+)\$[0-9]+"),"")</f>
        <v>$C$264</v>
      </c>
      <c r="D265" t="str" cm="1">
        <f t="array" aca="1" ref="D265" ca="1">IF('Raw Data'!D264="",_xlfn.REGEXEXTRACT(CELL("address",'Raw Data'!D264),"\$([A-Z]+)\$[0-9]+"),"")</f>
        <v>$D$264</v>
      </c>
      <c r="E265" t="str" cm="1">
        <f t="array" aca="1" ref="E265" ca="1">IF('Raw Data'!E264="",_xlfn.REGEXEXTRACT(CELL("address",'Raw Data'!E264),"\$([A-Z]+)\$[0-9]+"),"")</f>
        <v>$E$264</v>
      </c>
      <c r="F265" t="str" cm="1">
        <f t="array" aca="1" ref="F265" ca="1">IF('Raw Data'!F264="",_xlfn.REGEXEXTRACT(CELL("address",'Raw Data'!F264),"\$([A-Z]+)\$[0-9]+"),"")</f>
        <v>$F$264</v>
      </c>
      <c r="G265" t="str" cm="1">
        <f t="array" aca="1" ref="G265" ca="1">IF('Raw Data'!G264="",_xlfn.REGEXEXTRACT(CELL("address",'Raw Data'!G264),"\$([A-Z]+)\$[0-9]+"),"")</f>
        <v>$G$264</v>
      </c>
      <c r="H265" t="str" cm="1">
        <f t="array" aca="1" ref="H265" ca="1">IF('Raw Data'!H264="",_xlfn.REGEXEXTRACT(CELL("address",'Raw Data'!H264),"\$([A-Z]+)\$[0-9]+"),"")</f>
        <v>$H$264</v>
      </c>
      <c r="I265" t="str" cm="1">
        <f t="array" aca="1" ref="I265" ca="1">IF('Raw Data'!I264="",_xlfn.REGEXEXTRACT(CELL("address",'Raw Data'!I264),"\$([A-Z]+)\$[0-9]+"),"")</f>
        <v>$I$264</v>
      </c>
    </row>
    <row r="266" spans="2:9" x14ac:dyDescent="0.25">
      <c r="B266" t="str" cm="1">
        <f t="array" aca="1" ref="B266" ca="1">IF('Raw Data'!B265="",_xlfn.REGEXEXTRACT(CELL("address",'Raw Data'!B265),"\$([A-Z]+)\$[0-9]+"),"")</f>
        <v>$B$265</v>
      </c>
      <c r="C266" t="str" cm="1">
        <f t="array" aca="1" ref="C266" ca="1">IF('Raw Data'!C265="",_xlfn.REGEXEXTRACT(CELL("address",'Raw Data'!C265),"\$([A-Z]+)\$[0-9]+"),"")</f>
        <v>$C$265</v>
      </c>
      <c r="D266" t="str" cm="1">
        <f t="array" aca="1" ref="D266" ca="1">IF('Raw Data'!D265="",_xlfn.REGEXEXTRACT(CELL("address",'Raw Data'!D265),"\$([A-Z]+)\$[0-9]+"),"")</f>
        <v>$D$265</v>
      </c>
      <c r="E266" t="str" cm="1">
        <f t="array" aca="1" ref="E266" ca="1">IF('Raw Data'!E265="",_xlfn.REGEXEXTRACT(CELL("address",'Raw Data'!E265),"\$([A-Z]+)\$[0-9]+"),"")</f>
        <v>$E$265</v>
      </c>
      <c r="F266" t="str" cm="1">
        <f t="array" aca="1" ref="F266" ca="1">IF('Raw Data'!F265="",_xlfn.REGEXEXTRACT(CELL("address",'Raw Data'!F265),"\$([A-Z]+)\$[0-9]+"),"")</f>
        <v>$F$265</v>
      </c>
      <c r="G266" t="str" cm="1">
        <f t="array" aca="1" ref="G266" ca="1">IF('Raw Data'!G265="",_xlfn.REGEXEXTRACT(CELL("address",'Raw Data'!G265),"\$([A-Z]+)\$[0-9]+"),"")</f>
        <v>$G$265</v>
      </c>
      <c r="H266" t="str" cm="1">
        <f t="array" aca="1" ref="H266" ca="1">IF('Raw Data'!H265="",_xlfn.REGEXEXTRACT(CELL("address",'Raw Data'!H265),"\$([A-Z]+)\$[0-9]+"),"")</f>
        <v>$H$265</v>
      </c>
      <c r="I266" t="str" cm="1">
        <f t="array" aca="1" ref="I266" ca="1">IF('Raw Data'!I265="",_xlfn.REGEXEXTRACT(CELL("address",'Raw Data'!I265),"\$([A-Z]+)\$[0-9]+"),"")</f>
        <v>$I$265</v>
      </c>
    </row>
    <row r="267" spans="2:9" x14ac:dyDescent="0.25">
      <c r="B267" t="str" cm="1">
        <f t="array" aca="1" ref="B267" ca="1">IF('Raw Data'!B266="",_xlfn.REGEXEXTRACT(CELL("address",'Raw Data'!B266),"\$([A-Z]+)\$[0-9]+"),"")</f>
        <v>$B$266</v>
      </c>
      <c r="C267" t="str" cm="1">
        <f t="array" aca="1" ref="C267" ca="1">IF('Raw Data'!C266="",_xlfn.REGEXEXTRACT(CELL("address",'Raw Data'!C266),"\$([A-Z]+)\$[0-9]+"),"")</f>
        <v>$C$266</v>
      </c>
      <c r="D267" t="str" cm="1">
        <f t="array" aca="1" ref="D267" ca="1">IF('Raw Data'!D266="",_xlfn.REGEXEXTRACT(CELL("address",'Raw Data'!D266),"\$([A-Z]+)\$[0-9]+"),"")</f>
        <v>$D$266</v>
      </c>
      <c r="E267" t="str" cm="1">
        <f t="array" aca="1" ref="E267" ca="1">IF('Raw Data'!E266="",_xlfn.REGEXEXTRACT(CELL("address",'Raw Data'!E266),"\$([A-Z]+)\$[0-9]+"),"")</f>
        <v>$E$266</v>
      </c>
      <c r="F267" t="str" cm="1">
        <f t="array" aca="1" ref="F267" ca="1">IF('Raw Data'!F266="",_xlfn.REGEXEXTRACT(CELL("address",'Raw Data'!F266),"\$([A-Z]+)\$[0-9]+"),"")</f>
        <v>$F$266</v>
      </c>
      <c r="G267" t="str" cm="1">
        <f t="array" aca="1" ref="G267" ca="1">IF('Raw Data'!G266="",_xlfn.REGEXEXTRACT(CELL("address",'Raw Data'!G266),"\$([A-Z]+)\$[0-9]+"),"")</f>
        <v>$G$266</v>
      </c>
      <c r="H267" t="str" cm="1">
        <f t="array" aca="1" ref="H267" ca="1">IF('Raw Data'!H266="",_xlfn.REGEXEXTRACT(CELL("address",'Raw Data'!H266),"\$([A-Z]+)\$[0-9]+"),"")</f>
        <v>$H$266</v>
      </c>
      <c r="I267" t="str" cm="1">
        <f t="array" aca="1" ref="I267" ca="1">IF('Raw Data'!I266="",_xlfn.REGEXEXTRACT(CELL("address",'Raw Data'!I266),"\$([A-Z]+)\$[0-9]+"),"")</f>
        <v>$I$266</v>
      </c>
    </row>
    <row r="268" spans="2:9" x14ac:dyDescent="0.25">
      <c r="B268" t="str" cm="1">
        <f t="array" aca="1" ref="B268" ca="1">IF('Raw Data'!B267="",_xlfn.REGEXEXTRACT(CELL("address",'Raw Data'!B267),"\$([A-Z]+)\$[0-9]+"),"")</f>
        <v>$B$267</v>
      </c>
      <c r="C268" t="str" cm="1">
        <f t="array" aca="1" ref="C268" ca="1">IF('Raw Data'!C267="",_xlfn.REGEXEXTRACT(CELL("address",'Raw Data'!C267),"\$([A-Z]+)\$[0-9]+"),"")</f>
        <v>$C$267</v>
      </c>
      <c r="D268" t="str" cm="1">
        <f t="array" aca="1" ref="D268" ca="1">IF('Raw Data'!D267="",_xlfn.REGEXEXTRACT(CELL("address",'Raw Data'!D267),"\$([A-Z]+)\$[0-9]+"),"")</f>
        <v>$D$267</v>
      </c>
      <c r="E268" t="str" cm="1">
        <f t="array" aca="1" ref="E268" ca="1">IF('Raw Data'!E267="",_xlfn.REGEXEXTRACT(CELL("address",'Raw Data'!E267),"\$([A-Z]+)\$[0-9]+"),"")</f>
        <v>$E$267</v>
      </c>
      <c r="F268" t="str" cm="1">
        <f t="array" aca="1" ref="F268" ca="1">IF('Raw Data'!F267="",_xlfn.REGEXEXTRACT(CELL("address",'Raw Data'!F267),"\$([A-Z]+)\$[0-9]+"),"")</f>
        <v>$F$267</v>
      </c>
      <c r="G268" t="str" cm="1">
        <f t="array" aca="1" ref="G268" ca="1">IF('Raw Data'!G267="",_xlfn.REGEXEXTRACT(CELL("address",'Raw Data'!G267),"\$([A-Z]+)\$[0-9]+"),"")</f>
        <v>$G$267</v>
      </c>
      <c r="H268" t="str" cm="1">
        <f t="array" aca="1" ref="H268" ca="1">IF('Raw Data'!H267="",_xlfn.REGEXEXTRACT(CELL("address",'Raw Data'!H267),"\$([A-Z]+)\$[0-9]+"),"")</f>
        <v>$H$267</v>
      </c>
      <c r="I268" t="str" cm="1">
        <f t="array" aca="1" ref="I268" ca="1">IF('Raw Data'!I267="",_xlfn.REGEXEXTRACT(CELL("address",'Raw Data'!I267),"\$([A-Z]+)\$[0-9]+"),"")</f>
        <v>$I$267</v>
      </c>
    </row>
    <row r="269" spans="2:9" x14ac:dyDescent="0.25">
      <c r="B269" t="str" cm="1">
        <f t="array" aca="1" ref="B269" ca="1">IF('Raw Data'!B268="",_xlfn.REGEXEXTRACT(CELL("address",'Raw Data'!B268),"\$([A-Z]+)\$[0-9]+"),"")</f>
        <v>$B$268</v>
      </c>
      <c r="C269" t="str" cm="1">
        <f t="array" aca="1" ref="C269" ca="1">IF('Raw Data'!C268="",_xlfn.REGEXEXTRACT(CELL("address",'Raw Data'!C268),"\$([A-Z]+)\$[0-9]+"),"")</f>
        <v>$C$268</v>
      </c>
      <c r="D269" t="str" cm="1">
        <f t="array" aca="1" ref="D269" ca="1">IF('Raw Data'!D268="",_xlfn.REGEXEXTRACT(CELL("address",'Raw Data'!D268),"\$([A-Z]+)\$[0-9]+"),"")</f>
        <v>$D$268</v>
      </c>
      <c r="E269" t="str" cm="1">
        <f t="array" aca="1" ref="E269" ca="1">IF('Raw Data'!E268="",_xlfn.REGEXEXTRACT(CELL("address",'Raw Data'!E268),"\$([A-Z]+)\$[0-9]+"),"")</f>
        <v>$E$268</v>
      </c>
      <c r="F269" t="str" cm="1">
        <f t="array" aca="1" ref="F269" ca="1">IF('Raw Data'!F268="",_xlfn.REGEXEXTRACT(CELL("address",'Raw Data'!F268),"\$([A-Z]+)\$[0-9]+"),"")</f>
        <v>$F$268</v>
      </c>
      <c r="G269" t="str" cm="1">
        <f t="array" aca="1" ref="G269" ca="1">IF('Raw Data'!G268="",_xlfn.REGEXEXTRACT(CELL("address",'Raw Data'!G268),"\$([A-Z]+)\$[0-9]+"),"")</f>
        <v>$G$268</v>
      </c>
      <c r="H269" t="str" cm="1">
        <f t="array" aca="1" ref="H269" ca="1">IF('Raw Data'!H268="",_xlfn.REGEXEXTRACT(CELL("address",'Raw Data'!H268),"\$([A-Z]+)\$[0-9]+"),"")</f>
        <v>$H$268</v>
      </c>
      <c r="I269" t="str" cm="1">
        <f t="array" aca="1" ref="I269" ca="1">IF('Raw Data'!I268="",_xlfn.REGEXEXTRACT(CELL("address",'Raw Data'!I268),"\$([A-Z]+)\$[0-9]+"),"")</f>
        <v>$I$268</v>
      </c>
    </row>
    <row r="270" spans="2:9" x14ac:dyDescent="0.25">
      <c r="B270" t="str" cm="1">
        <f t="array" aca="1" ref="B270" ca="1">IF('Raw Data'!B269="",_xlfn.REGEXEXTRACT(CELL("address",'Raw Data'!B269),"\$([A-Z]+)\$[0-9]+"),"")</f>
        <v>$B$269</v>
      </c>
      <c r="C270" t="str" cm="1">
        <f t="array" aca="1" ref="C270" ca="1">IF('Raw Data'!C269="",_xlfn.REGEXEXTRACT(CELL("address",'Raw Data'!C269),"\$([A-Z]+)\$[0-9]+"),"")</f>
        <v>$C$269</v>
      </c>
      <c r="D270" t="str" cm="1">
        <f t="array" aca="1" ref="D270" ca="1">IF('Raw Data'!D269="",_xlfn.REGEXEXTRACT(CELL("address",'Raw Data'!D269),"\$([A-Z]+)\$[0-9]+"),"")</f>
        <v>$D$269</v>
      </c>
      <c r="E270" t="str" cm="1">
        <f t="array" aca="1" ref="E270" ca="1">IF('Raw Data'!E269="",_xlfn.REGEXEXTRACT(CELL("address",'Raw Data'!E269),"\$([A-Z]+)\$[0-9]+"),"")</f>
        <v>$E$269</v>
      </c>
      <c r="F270" t="str" cm="1">
        <f t="array" aca="1" ref="F270" ca="1">IF('Raw Data'!F269="",_xlfn.REGEXEXTRACT(CELL("address",'Raw Data'!F269),"\$([A-Z]+)\$[0-9]+"),"")</f>
        <v>$F$269</v>
      </c>
      <c r="G270" t="str" cm="1">
        <f t="array" aca="1" ref="G270" ca="1">IF('Raw Data'!G269="",_xlfn.REGEXEXTRACT(CELL("address",'Raw Data'!G269),"\$([A-Z]+)\$[0-9]+"),"")</f>
        <v>$G$269</v>
      </c>
      <c r="H270" t="str" cm="1">
        <f t="array" aca="1" ref="H270" ca="1">IF('Raw Data'!H269="",_xlfn.REGEXEXTRACT(CELL("address",'Raw Data'!H269),"\$([A-Z]+)\$[0-9]+"),"")</f>
        <v>$H$269</v>
      </c>
      <c r="I270" t="str" cm="1">
        <f t="array" aca="1" ref="I270" ca="1">IF('Raw Data'!I269="",_xlfn.REGEXEXTRACT(CELL("address",'Raw Data'!I269),"\$([A-Z]+)\$[0-9]+"),"")</f>
        <v>$I$269</v>
      </c>
    </row>
    <row r="271" spans="2:9" x14ac:dyDescent="0.25">
      <c r="B271" t="str" cm="1">
        <f t="array" aca="1" ref="B271" ca="1">IF('Raw Data'!B270="",_xlfn.REGEXEXTRACT(CELL("address",'Raw Data'!B270),"\$([A-Z]+)\$[0-9]+"),"")</f>
        <v>$B$270</v>
      </c>
      <c r="C271" t="str" cm="1">
        <f t="array" aca="1" ref="C271" ca="1">IF('Raw Data'!C270="",_xlfn.REGEXEXTRACT(CELL("address",'Raw Data'!C270),"\$([A-Z]+)\$[0-9]+"),"")</f>
        <v>$C$270</v>
      </c>
      <c r="D271" t="str" cm="1">
        <f t="array" aca="1" ref="D271" ca="1">IF('Raw Data'!D270="",_xlfn.REGEXEXTRACT(CELL("address",'Raw Data'!D270),"\$([A-Z]+)\$[0-9]+"),"")</f>
        <v>$D$270</v>
      </c>
      <c r="E271" t="str" cm="1">
        <f t="array" aca="1" ref="E271" ca="1">IF('Raw Data'!E270="",_xlfn.REGEXEXTRACT(CELL("address",'Raw Data'!E270),"\$([A-Z]+)\$[0-9]+"),"")</f>
        <v>$E$270</v>
      </c>
      <c r="F271" t="str" cm="1">
        <f t="array" aca="1" ref="F271" ca="1">IF('Raw Data'!F270="",_xlfn.REGEXEXTRACT(CELL("address",'Raw Data'!F270),"\$([A-Z]+)\$[0-9]+"),"")</f>
        <v>$F$270</v>
      </c>
      <c r="G271" t="str" cm="1">
        <f t="array" aca="1" ref="G271" ca="1">IF('Raw Data'!G270="",_xlfn.REGEXEXTRACT(CELL("address",'Raw Data'!G270),"\$([A-Z]+)\$[0-9]+"),"")</f>
        <v>$G$270</v>
      </c>
      <c r="H271" t="str" cm="1">
        <f t="array" aca="1" ref="H271" ca="1">IF('Raw Data'!H270="",_xlfn.REGEXEXTRACT(CELL("address",'Raw Data'!H270),"\$([A-Z]+)\$[0-9]+"),"")</f>
        <v>$H$270</v>
      </c>
      <c r="I271" t="str" cm="1">
        <f t="array" aca="1" ref="I271" ca="1">IF('Raw Data'!I270="",_xlfn.REGEXEXTRACT(CELL("address",'Raw Data'!I270),"\$([A-Z]+)\$[0-9]+"),"")</f>
        <v>$I$270</v>
      </c>
    </row>
    <row r="272" spans="2:9" x14ac:dyDescent="0.25">
      <c r="B272" t="str" cm="1">
        <f t="array" aca="1" ref="B272" ca="1">IF('Raw Data'!B271="",_xlfn.REGEXEXTRACT(CELL("address",'Raw Data'!B271),"\$([A-Z]+)\$[0-9]+"),"")</f>
        <v>$B$271</v>
      </c>
      <c r="C272" t="str" cm="1">
        <f t="array" aca="1" ref="C272" ca="1">IF('Raw Data'!C271="",_xlfn.REGEXEXTRACT(CELL("address",'Raw Data'!C271),"\$([A-Z]+)\$[0-9]+"),"")</f>
        <v>$C$271</v>
      </c>
      <c r="D272" t="str" cm="1">
        <f t="array" aca="1" ref="D272" ca="1">IF('Raw Data'!D271="",_xlfn.REGEXEXTRACT(CELL("address",'Raw Data'!D271),"\$([A-Z]+)\$[0-9]+"),"")</f>
        <v>$D$271</v>
      </c>
      <c r="E272" t="str" cm="1">
        <f t="array" aca="1" ref="E272" ca="1">IF('Raw Data'!E271="",_xlfn.REGEXEXTRACT(CELL("address",'Raw Data'!E271),"\$([A-Z]+)\$[0-9]+"),"")</f>
        <v>$E$271</v>
      </c>
      <c r="F272" t="str" cm="1">
        <f t="array" aca="1" ref="F272" ca="1">IF('Raw Data'!F271="",_xlfn.REGEXEXTRACT(CELL("address",'Raw Data'!F271),"\$([A-Z]+)\$[0-9]+"),"")</f>
        <v>$F$271</v>
      </c>
      <c r="G272" t="str" cm="1">
        <f t="array" aca="1" ref="G272" ca="1">IF('Raw Data'!G271="",_xlfn.REGEXEXTRACT(CELL("address",'Raw Data'!G271),"\$([A-Z]+)\$[0-9]+"),"")</f>
        <v>$G$271</v>
      </c>
      <c r="H272" t="str" cm="1">
        <f t="array" aca="1" ref="H272" ca="1">IF('Raw Data'!H271="",_xlfn.REGEXEXTRACT(CELL("address",'Raw Data'!H271),"\$([A-Z]+)\$[0-9]+"),"")</f>
        <v>$H$271</v>
      </c>
      <c r="I272" t="str" cm="1">
        <f t="array" aca="1" ref="I272" ca="1">IF('Raw Data'!I271="",_xlfn.REGEXEXTRACT(CELL("address",'Raw Data'!I271),"\$([A-Z]+)\$[0-9]+"),"")</f>
        <v>$I$271</v>
      </c>
    </row>
    <row r="273" spans="2:9" x14ac:dyDescent="0.25">
      <c r="B273" t="str" cm="1">
        <f t="array" aca="1" ref="B273" ca="1">IF('Raw Data'!B272="",_xlfn.REGEXEXTRACT(CELL("address",'Raw Data'!B272),"\$([A-Z]+)\$[0-9]+"),"")</f>
        <v>$B$272</v>
      </c>
      <c r="C273" t="str" cm="1">
        <f t="array" aca="1" ref="C273" ca="1">IF('Raw Data'!C272="",_xlfn.REGEXEXTRACT(CELL("address",'Raw Data'!C272),"\$([A-Z]+)\$[0-9]+"),"")</f>
        <v>$C$272</v>
      </c>
      <c r="D273" t="str" cm="1">
        <f t="array" aca="1" ref="D273" ca="1">IF('Raw Data'!D272="",_xlfn.REGEXEXTRACT(CELL("address",'Raw Data'!D272),"\$([A-Z]+)\$[0-9]+"),"")</f>
        <v>$D$272</v>
      </c>
      <c r="E273" t="str" cm="1">
        <f t="array" aca="1" ref="E273" ca="1">IF('Raw Data'!E272="",_xlfn.REGEXEXTRACT(CELL("address",'Raw Data'!E272),"\$([A-Z]+)\$[0-9]+"),"")</f>
        <v>$E$272</v>
      </c>
      <c r="F273" t="str" cm="1">
        <f t="array" aca="1" ref="F273" ca="1">IF('Raw Data'!F272="",_xlfn.REGEXEXTRACT(CELL("address",'Raw Data'!F272),"\$([A-Z]+)\$[0-9]+"),"")</f>
        <v>$F$272</v>
      </c>
      <c r="G273" t="str" cm="1">
        <f t="array" aca="1" ref="G273" ca="1">IF('Raw Data'!G272="",_xlfn.REGEXEXTRACT(CELL("address",'Raw Data'!G272),"\$([A-Z]+)\$[0-9]+"),"")</f>
        <v>$G$272</v>
      </c>
      <c r="H273" t="str" cm="1">
        <f t="array" aca="1" ref="H273" ca="1">IF('Raw Data'!H272="",_xlfn.REGEXEXTRACT(CELL("address",'Raw Data'!H272),"\$([A-Z]+)\$[0-9]+"),"")</f>
        <v>$H$272</v>
      </c>
      <c r="I273" t="str" cm="1">
        <f t="array" aca="1" ref="I273" ca="1">IF('Raw Data'!I272="",_xlfn.REGEXEXTRACT(CELL("address",'Raw Data'!I272),"\$([A-Z]+)\$[0-9]+"),"")</f>
        <v>$I$272</v>
      </c>
    </row>
    <row r="274" spans="2:9" x14ac:dyDescent="0.25">
      <c r="B274" t="str" cm="1">
        <f t="array" aca="1" ref="B274" ca="1">IF('Raw Data'!B273="",_xlfn.REGEXEXTRACT(CELL("address",'Raw Data'!B273),"\$([A-Z]+)\$[0-9]+"),"")</f>
        <v>$B$273</v>
      </c>
      <c r="C274" t="str" cm="1">
        <f t="array" aca="1" ref="C274" ca="1">IF('Raw Data'!C273="",_xlfn.REGEXEXTRACT(CELL("address",'Raw Data'!C273),"\$([A-Z]+)\$[0-9]+"),"")</f>
        <v>$C$273</v>
      </c>
      <c r="D274" t="str" cm="1">
        <f t="array" aca="1" ref="D274" ca="1">IF('Raw Data'!D273="",_xlfn.REGEXEXTRACT(CELL("address",'Raw Data'!D273),"\$([A-Z]+)\$[0-9]+"),"")</f>
        <v>$D$273</v>
      </c>
      <c r="E274" t="str" cm="1">
        <f t="array" aca="1" ref="E274" ca="1">IF('Raw Data'!E273="",_xlfn.REGEXEXTRACT(CELL("address",'Raw Data'!E273),"\$([A-Z]+)\$[0-9]+"),"")</f>
        <v>$E$273</v>
      </c>
      <c r="F274" t="str" cm="1">
        <f t="array" aca="1" ref="F274" ca="1">IF('Raw Data'!F273="",_xlfn.REGEXEXTRACT(CELL("address",'Raw Data'!F273),"\$([A-Z]+)\$[0-9]+"),"")</f>
        <v>$F$273</v>
      </c>
      <c r="G274" t="str" cm="1">
        <f t="array" aca="1" ref="G274" ca="1">IF('Raw Data'!G273="",_xlfn.REGEXEXTRACT(CELL("address",'Raw Data'!G273),"\$([A-Z]+)\$[0-9]+"),"")</f>
        <v>$G$273</v>
      </c>
      <c r="H274" t="str" cm="1">
        <f t="array" aca="1" ref="H274" ca="1">IF('Raw Data'!H273="",_xlfn.REGEXEXTRACT(CELL("address",'Raw Data'!H273),"\$([A-Z]+)\$[0-9]+"),"")</f>
        <v>$H$273</v>
      </c>
      <c r="I274" t="str" cm="1">
        <f t="array" aca="1" ref="I274" ca="1">IF('Raw Data'!I273="",_xlfn.REGEXEXTRACT(CELL("address",'Raw Data'!I273),"\$([A-Z]+)\$[0-9]+"),"")</f>
        <v>$I$273</v>
      </c>
    </row>
    <row r="275" spans="2:9" x14ac:dyDescent="0.25">
      <c r="B275" t="str" cm="1">
        <f t="array" aca="1" ref="B275" ca="1">IF('Raw Data'!B274="",_xlfn.REGEXEXTRACT(CELL("address",'Raw Data'!B274),"\$([A-Z]+)\$[0-9]+"),"")</f>
        <v>$B$274</v>
      </c>
      <c r="C275" t="str" cm="1">
        <f t="array" aca="1" ref="C275" ca="1">IF('Raw Data'!C274="",_xlfn.REGEXEXTRACT(CELL("address",'Raw Data'!C274),"\$([A-Z]+)\$[0-9]+"),"")</f>
        <v>$C$274</v>
      </c>
      <c r="D275" t="str" cm="1">
        <f t="array" aca="1" ref="D275" ca="1">IF('Raw Data'!D274="",_xlfn.REGEXEXTRACT(CELL("address",'Raw Data'!D274),"\$([A-Z]+)\$[0-9]+"),"")</f>
        <v>$D$274</v>
      </c>
      <c r="E275" t="str" cm="1">
        <f t="array" aca="1" ref="E275" ca="1">IF('Raw Data'!E274="",_xlfn.REGEXEXTRACT(CELL("address",'Raw Data'!E274),"\$([A-Z]+)\$[0-9]+"),"")</f>
        <v>$E$274</v>
      </c>
      <c r="F275" t="str" cm="1">
        <f t="array" aca="1" ref="F275" ca="1">IF('Raw Data'!F274="",_xlfn.REGEXEXTRACT(CELL("address",'Raw Data'!F274),"\$([A-Z]+)\$[0-9]+"),"")</f>
        <v>$F$274</v>
      </c>
      <c r="G275" t="str" cm="1">
        <f t="array" aca="1" ref="G275" ca="1">IF('Raw Data'!G274="",_xlfn.REGEXEXTRACT(CELL("address",'Raw Data'!G274),"\$([A-Z]+)\$[0-9]+"),"")</f>
        <v>$G$274</v>
      </c>
      <c r="H275" t="str" cm="1">
        <f t="array" aca="1" ref="H275" ca="1">IF('Raw Data'!H274="",_xlfn.REGEXEXTRACT(CELL("address",'Raw Data'!H274),"\$([A-Z]+)\$[0-9]+"),"")</f>
        <v>$H$274</v>
      </c>
      <c r="I275" t="str" cm="1">
        <f t="array" aca="1" ref="I275" ca="1">IF('Raw Data'!I274="",_xlfn.REGEXEXTRACT(CELL("address",'Raw Data'!I274),"\$([A-Z]+)\$[0-9]+"),"")</f>
        <v>$I$274</v>
      </c>
    </row>
    <row r="276" spans="2:9" x14ac:dyDescent="0.25">
      <c r="B276" t="str" cm="1">
        <f t="array" aca="1" ref="B276" ca="1">IF('Raw Data'!B275="",_xlfn.REGEXEXTRACT(CELL("address",'Raw Data'!B275),"\$([A-Z]+)\$[0-9]+"),"")</f>
        <v>$B$275</v>
      </c>
      <c r="C276" t="str" cm="1">
        <f t="array" aca="1" ref="C276" ca="1">IF('Raw Data'!C275="",_xlfn.REGEXEXTRACT(CELL("address",'Raw Data'!C275),"\$([A-Z]+)\$[0-9]+"),"")</f>
        <v>$C$275</v>
      </c>
      <c r="D276" t="str" cm="1">
        <f t="array" aca="1" ref="D276" ca="1">IF('Raw Data'!D275="",_xlfn.REGEXEXTRACT(CELL("address",'Raw Data'!D275),"\$([A-Z]+)\$[0-9]+"),"")</f>
        <v>$D$275</v>
      </c>
      <c r="E276" t="str" cm="1">
        <f t="array" aca="1" ref="E276" ca="1">IF('Raw Data'!E275="",_xlfn.REGEXEXTRACT(CELL("address",'Raw Data'!E275),"\$([A-Z]+)\$[0-9]+"),"")</f>
        <v>$E$275</v>
      </c>
      <c r="F276" t="str" cm="1">
        <f t="array" aca="1" ref="F276" ca="1">IF('Raw Data'!F275="",_xlfn.REGEXEXTRACT(CELL("address",'Raw Data'!F275),"\$([A-Z]+)\$[0-9]+"),"")</f>
        <v>$F$275</v>
      </c>
      <c r="G276" t="str" cm="1">
        <f t="array" aca="1" ref="G276" ca="1">IF('Raw Data'!G275="",_xlfn.REGEXEXTRACT(CELL("address",'Raw Data'!G275),"\$([A-Z]+)\$[0-9]+"),"")</f>
        <v>$G$275</v>
      </c>
      <c r="H276" t="str" cm="1">
        <f t="array" aca="1" ref="H276" ca="1">IF('Raw Data'!H275="",_xlfn.REGEXEXTRACT(CELL("address",'Raw Data'!H275),"\$([A-Z]+)\$[0-9]+"),"")</f>
        <v>$H$275</v>
      </c>
      <c r="I276" t="str" cm="1">
        <f t="array" aca="1" ref="I276" ca="1">IF('Raw Data'!I275="",_xlfn.REGEXEXTRACT(CELL("address",'Raw Data'!I275),"\$([A-Z]+)\$[0-9]+"),"")</f>
        <v>$I$275</v>
      </c>
    </row>
    <row r="277" spans="2:9" x14ac:dyDescent="0.25">
      <c r="B277" t="str" cm="1">
        <f t="array" aca="1" ref="B277" ca="1">IF('Raw Data'!B276="",_xlfn.REGEXEXTRACT(CELL("address",'Raw Data'!B276),"\$([A-Z]+)\$[0-9]+"),"")</f>
        <v>$B$276</v>
      </c>
      <c r="C277" t="str" cm="1">
        <f t="array" aca="1" ref="C277" ca="1">IF('Raw Data'!C276="",_xlfn.REGEXEXTRACT(CELL("address",'Raw Data'!C276),"\$([A-Z]+)\$[0-9]+"),"")</f>
        <v>$C$276</v>
      </c>
      <c r="D277" t="str" cm="1">
        <f t="array" aca="1" ref="D277" ca="1">IF('Raw Data'!D276="",_xlfn.REGEXEXTRACT(CELL("address",'Raw Data'!D276),"\$([A-Z]+)\$[0-9]+"),"")</f>
        <v>$D$276</v>
      </c>
      <c r="E277" t="str" cm="1">
        <f t="array" aca="1" ref="E277" ca="1">IF('Raw Data'!E276="",_xlfn.REGEXEXTRACT(CELL("address",'Raw Data'!E276),"\$([A-Z]+)\$[0-9]+"),"")</f>
        <v>$E$276</v>
      </c>
      <c r="F277" t="str" cm="1">
        <f t="array" aca="1" ref="F277" ca="1">IF('Raw Data'!F276="",_xlfn.REGEXEXTRACT(CELL("address",'Raw Data'!F276),"\$([A-Z]+)\$[0-9]+"),"")</f>
        <v>$F$276</v>
      </c>
      <c r="G277" t="str" cm="1">
        <f t="array" aca="1" ref="G277" ca="1">IF('Raw Data'!G276="",_xlfn.REGEXEXTRACT(CELL("address",'Raw Data'!G276),"\$([A-Z]+)\$[0-9]+"),"")</f>
        <v>$G$276</v>
      </c>
      <c r="H277" t="str" cm="1">
        <f t="array" aca="1" ref="H277" ca="1">IF('Raw Data'!H276="",_xlfn.REGEXEXTRACT(CELL("address",'Raw Data'!H276),"\$([A-Z]+)\$[0-9]+"),"")</f>
        <v>$H$276</v>
      </c>
      <c r="I277" t="str" cm="1">
        <f t="array" aca="1" ref="I277" ca="1">IF('Raw Data'!I276="",_xlfn.REGEXEXTRACT(CELL("address",'Raw Data'!I276),"\$([A-Z]+)\$[0-9]+"),"")</f>
        <v>$I$276</v>
      </c>
    </row>
    <row r="278" spans="2:9" x14ac:dyDescent="0.25">
      <c r="B278" t="str" cm="1">
        <f t="array" aca="1" ref="B278" ca="1">IF('Raw Data'!B277="",_xlfn.REGEXEXTRACT(CELL("address",'Raw Data'!B277),"\$([A-Z]+)\$[0-9]+"),"")</f>
        <v>$B$277</v>
      </c>
      <c r="C278" t="str" cm="1">
        <f t="array" aca="1" ref="C278" ca="1">IF('Raw Data'!C277="",_xlfn.REGEXEXTRACT(CELL("address",'Raw Data'!C277),"\$([A-Z]+)\$[0-9]+"),"")</f>
        <v>$C$277</v>
      </c>
      <c r="D278" t="str" cm="1">
        <f t="array" aca="1" ref="D278" ca="1">IF('Raw Data'!D277="",_xlfn.REGEXEXTRACT(CELL("address",'Raw Data'!D277),"\$([A-Z]+)\$[0-9]+"),"")</f>
        <v>$D$277</v>
      </c>
      <c r="E278" t="str" cm="1">
        <f t="array" aca="1" ref="E278" ca="1">IF('Raw Data'!E277="",_xlfn.REGEXEXTRACT(CELL("address",'Raw Data'!E277),"\$([A-Z]+)\$[0-9]+"),"")</f>
        <v>$E$277</v>
      </c>
      <c r="F278" t="str" cm="1">
        <f t="array" aca="1" ref="F278" ca="1">IF('Raw Data'!F277="",_xlfn.REGEXEXTRACT(CELL("address",'Raw Data'!F277),"\$([A-Z]+)\$[0-9]+"),"")</f>
        <v>$F$277</v>
      </c>
      <c r="G278" t="str" cm="1">
        <f t="array" aca="1" ref="G278" ca="1">IF('Raw Data'!G277="",_xlfn.REGEXEXTRACT(CELL("address",'Raw Data'!G277),"\$([A-Z]+)\$[0-9]+"),"")</f>
        <v>$G$277</v>
      </c>
      <c r="H278" t="str" cm="1">
        <f t="array" aca="1" ref="H278" ca="1">IF('Raw Data'!H277="",_xlfn.REGEXEXTRACT(CELL("address",'Raw Data'!H277),"\$([A-Z]+)\$[0-9]+"),"")</f>
        <v>$H$277</v>
      </c>
      <c r="I278" t="str" cm="1">
        <f t="array" aca="1" ref="I278" ca="1">IF('Raw Data'!I277="",_xlfn.REGEXEXTRACT(CELL("address",'Raw Data'!I277),"\$([A-Z]+)\$[0-9]+"),"")</f>
        <v>$I$277</v>
      </c>
    </row>
    <row r="279" spans="2:9" x14ac:dyDescent="0.25">
      <c r="B279" t="str" cm="1">
        <f t="array" aca="1" ref="B279" ca="1">IF('Raw Data'!B278="",_xlfn.REGEXEXTRACT(CELL("address",'Raw Data'!B278),"\$([A-Z]+)\$[0-9]+"),"")</f>
        <v>$B$278</v>
      </c>
      <c r="C279" t="str" cm="1">
        <f t="array" aca="1" ref="C279" ca="1">IF('Raw Data'!C278="",_xlfn.REGEXEXTRACT(CELL("address",'Raw Data'!C278),"\$([A-Z]+)\$[0-9]+"),"")</f>
        <v>$C$278</v>
      </c>
      <c r="D279" t="str" cm="1">
        <f t="array" aca="1" ref="D279" ca="1">IF('Raw Data'!D278="",_xlfn.REGEXEXTRACT(CELL("address",'Raw Data'!D278),"\$([A-Z]+)\$[0-9]+"),"")</f>
        <v>$D$278</v>
      </c>
      <c r="E279" t="str" cm="1">
        <f t="array" aca="1" ref="E279" ca="1">IF('Raw Data'!E278="",_xlfn.REGEXEXTRACT(CELL("address",'Raw Data'!E278),"\$([A-Z]+)\$[0-9]+"),"")</f>
        <v>$E$278</v>
      </c>
      <c r="F279" t="str" cm="1">
        <f t="array" aca="1" ref="F279" ca="1">IF('Raw Data'!F278="",_xlfn.REGEXEXTRACT(CELL("address",'Raw Data'!F278),"\$([A-Z]+)\$[0-9]+"),"")</f>
        <v>$F$278</v>
      </c>
      <c r="G279" t="str" cm="1">
        <f t="array" aca="1" ref="G279" ca="1">IF('Raw Data'!G278="",_xlfn.REGEXEXTRACT(CELL("address",'Raw Data'!G278),"\$([A-Z]+)\$[0-9]+"),"")</f>
        <v>$G$278</v>
      </c>
      <c r="H279" t="str" cm="1">
        <f t="array" aca="1" ref="H279" ca="1">IF('Raw Data'!H278="",_xlfn.REGEXEXTRACT(CELL("address",'Raw Data'!H278),"\$([A-Z]+)\$[0-9]+"),"")</f>
        <v>$H$278</v>
      </c>
      <c r="I279" t="str" cm="1">
        <f t="array" aca="1" ref="I279" ca="1">IF('Raw Data'!I278="",_xlfn.REGEXEXTRACT(CELL("address",'Raw Data'!I278),"\$([A-Z]+)\$[0-9]+"),"")</f>
        <v>$I$278</v>
      </c>
    </row>
    <row r="280" spans="2:9" x14ac:dyDescent="0.25">
      <c r="B280" t="str" cm="1">
        <f t="array" aca="1" ref="B280" ca="1">IF('Raw Data'!B279="",_xlfn.REGEXEXTRACT(CELL("address",'Raw Data'!B279),"\$([A-Z]+)\$[0-9]+"),"")</f>
        <v>$B$279</v>
      </c>
      <c r="C280" t="str" cm="1">
        <f t="array" aca="1" ref="C280" ca="1">IF('Raw Data'!C279="",_xlfn.REGEXEXTRACT(CELL("address",'Raw Data'!C279),"\$([A-Z]+)\$[0-9]+"),"")</f>
        <v>$C$279</v>
      </c>
      <c r="D280" t="str" cm="1">
        <f t="array" aca="1" ref="D280" ca="1">IF('Raw Data'!D279="",_xlfn.REGEXEXTRACT(CELL("address",'Raw Data'!D279),"\$([A-Z]+)\$[0-9]+"),"")</f>
        <v>$D$279</v>
      </c>
      <c r="E280" t="str" cm="1">
        <f t="array" aca="1" ref="E280" ca="1">IF('Raw Data'!E279="",_xlfn.REGEXEXTRACT(CELL("address",'Raw Data'!E279),"\$([A-Z]+)\$[0-9]+"),"")</f>
        <v>$E$279</v>
      </c>
      <c r="F280" t="str" cm="1">
        <f t="array" aca="1" ref="F280" ca="1">IF('Raw Data'!F279="",_xlfn.REGEXEXTRACT(CELL("address",'Raw Data'!F279),"\$([A-Z]+)\$[0-9]+"),"")</f>
        <v>$F$279</v>
      </c>
      <c r="G280" t="str" cm="1">
        <f t="array" aca="1" ref="G280" ca="1">IF('Raw Data'!G279="",_xlfn.REGEXEXTRACT(CELL("address",'Raw Data'!G279),"\$([A-Z]+)\$[0-9]+"),"")</f>
        <v>$G$279</v>
      </c>
      <c r="H280" t="str" cm="1">
        <f t="array" aca="1" ref="H280" ca="1">IF('Raw Data'!H279="",_xlfn.REGEXEXTRACT(CELL("address",'Raw Data'!H279),"\$([A-Z]+)\$[0-9]+"),"")</f>
        <v>$H$279</v>
      </c>
      <c r="I280" t="str" cm="1">
        <f t="array" aca="1" ref="I280" ca="1">IF('Raw Data'!I279="",_xlfn.REGEXEXTRACT(CELL("address",'Raw Data'!I279),"\$([A-Z]+)\$[0-9]+"),"")</f>
        <v>$I$279</v>
      </c>
    </row>
    <row r="281" spans="2:9" x14ac:dyDescent="0.25">
      <c r="B281" t="str" cm="1">
        <f t="array" aca="1" ref="B281" ca="1">IF('Raw Data'!B280="",_xlfn.REGEXEXTRACT(CELL("address",'Raw Data'!B280),"\$([A-Z]+)\$[0-9]+"),"")</f>
        <v>$B$280</v>
      </c>
      <c r="C281" t="str" cm="1">
        <f t="array" aca="1" ref="C281" ca="1">IF('Raw Data'!C280="",_xlfn.REGEXEXTRACT(CELL("address",'Raw Data'!C280),"\$([A-Z]+)\$[0-9]+"),"")</f>
        <v>$C$280</v>
      </c>
      <c r="D281" t="str" cm="1">
        <f t="array" aca="1" ref="D281" ca="1">IF('Raw Data'!D280="",_xlfn.REGEXEXTRACT(CELL("address",'Raw Data'!D280),"\$([A-Z]+)\$[0-9]+"),"")</f>
        <v>$D$280</v>
      </c>
      <c r="E281" t="str" cm="1">
        <f t="array" aca="1" ref="E281" ca="1">IF('Raw Data'!E280="",_xlfn.REGEXEXTRACT(CELL("address",'Raw Data'!E280),"\$([A-Z]+)\$[0-9]+"),"")</f>
        <v>$E$280</v>
      </c>
      <c r="F281" t="str" cm="1">
        <f t="array" aca="1" ref="F281" ca="1">IF('Raw Data'!F280="",_xlfn.REGEXEXTRACT(CELL("address",'Raw Data'!F280),"\$([A-Z]+)\$[0-9]+"),"")</f>
        <v>$F$280</v>
      </c>
      <c r="G281" t="str" cm="1">
        <f t="array" aca="1" ref="G281" ca="1">IF('Raw Data'!G280="",_xlfn.REGEXEXTRACT(CELL("address",'Raw Data'!G280),"\$([A-Z]+)\$[0-9]+"),"")</f>
        <v>$G$280</v>
      </c>
      <c r="H281" t="str" cm="1">
        <f t="array" aca="1" ref="H281" ca="1">IF('Raw Data'!H280="",_xlfn.REGEXEXTRACT(CELL("address",'Raw Data'!H280),"\$([A-Z]+)\$[0-9]+"),"")</f>
        <v>$H$280</v>
      </c>
      <c r="I281" t="str" cm="1">
        <f t="array" aca="1" ref="I281" ca="1">IF('Raw Data'!I280="",_xlfn.REGEXEXTRACT(CELL("address",'Raw Data'!I280),"\$([A-Z]+)\$[0-9]+"),"")</f>
        <v>$I$280</v>
      </c>
    </row>
    <row r="282" spans="2:9" x14ac:dyDescent="0.25">
      <c r="B282" t="str" cm="1">
        <f t="array" aca="1" ref="B282" ca="1">IF('Raw Data'!B281="",_xlfn.REGEXEXTRACT(CELL("address",'Raw Data'!B281),"\$([A-Z]+)\$[0-9]+"),"")</f>
        <v>$B$281</v>
      </c>
      <c r="C282" t="str" cm="1">
        <f t="array" aca="1" ref="C282" ca="1">IF('Raw Data'!C281="",_xlfn.REGEXEXTRACT(CELL("address",'Raw Data'!C281),"\$([A-Z]+)\$[0-9]+"),"")</f>
        <v>$C$281</v>
      </c>
      <c r="D282" t="str" cm="1">
        <f t="array" aca="1" ref="D282" ca="1">IF('Raw Data'!D281="",_xlfn.REGEXEXTRACT(CELL("address",'Raw Data'!D281),"\$([A-Z]+)\$[0-9]+"),"")</f>
        <v>$D$281</v>
      </c>
      <c r="E282" t="str" cm="1">
        <f t="array" aca="1" ref="E282" ca="1">IF('Raw Data'!E281="",_xlfn.REGEXEXTRACT(CELL("address",'Raw Data'!E281),"\$([A-Z]+)\$[0-9]+"),"")</f>
        <v>$E$281</v>
      </c>
      <c r="F282" t="str" cm="1">
        <f t="array" aca="1" ref="F282" ca="1">IF('Raw Data'!F281="",_xlfn.REGEXEXTRACT(CELL("address",'Raw Data'!F281),"\$([A-Z]+)\$[0-9]+"),"")</f>
        <v>$F$281</v>
      </c>
      <c r="G282" t="str" cm="1">
        <f t="array" aca="1" ref="G282" ca="1">IF('Raw Data'!G281="",_xlfn.REGEXEXTRACT(CELL("address",'Raw Data'!G281),"\$([A-Z]+)\$[0-9]+"),"")</f>
        <v>$G$281</v>
      </c>
      <c r="H282" t="str" cm="1">
        <f t="array" aca="1" ref="H282" ca="1">IF('Raw Data'!H281="",_xlfn.REGEXEXTRACT(CELL("address",'Raw Data'!H281),"\$([A-Z]+)\$[0-9]+"),"")</f>
        <v>$H$281</v>
      </c>
      <c r="I282" t="str" cm="1">
        <f t="array" aca="1" ref="I282" ca="1">IF('Raw Data'!I281="",_xlfn.REGEXEXTRACT(CELL("address",'Raw Data'!I281),"\$([A-Z]+)\$[0-9]+"),"")</f>
        <v>$I$281</v>
      </c>
    </row>
    <row r="283" spans="2:9" x14ac:dyDescent="0.25">
      <c r="B283" t="str" cm="1">
        <f t="array" aca="1" ref="B283" ca="1">IF('Raw Data'!B282="",_xlfn.REGEXEXTRACT(CELL("address",'Raw Data'!B282),"\$([A-Z]+)\$[0-9]+"),"")</f>
        <v>$B$282</v>
      </c>
      <c r="C283" t="str" cm="1">
        <f t="array" aca="1" ref="C283" ca="1">IF('Raw Data'!C282="",_xlfn.REGEXEXTRACT(CELL("address",'Raw Data'!C282),"\$([A-Z]+)\$[0-9]+"),"")</f>
        <v>$C$282</v>
      </c>
      <c r="D283" t="str" cm="1">
        <f t="array" aca="1" ref="D283" ca="1">IF('Raw Data'!D282="",_xlfn.REGEXEXTRACT(CELL("address",'Raw Data'!D282),"\$([A-Z]+)\$[0-9]+"),"")</f>
        <v>$D$282</v>
      </c>
      <c r="E283" t="str" cm="1">
        <f t="array" aca="1" ref="E283" ca="1">IF('Raw Data'!E282="",_xlfn.REGEXEXTRACT(CELL("address",'Raw Data'!E282),"\$([A-Z]+)\$[0-9]+"),"")</f>
        <v>$E$282</v>
      </c>
      <c r="F283" t="str" cm="1">
        <f t="array" aca="1" ref="F283" ca="1">IF('Raw Data'!F282="",_xlfn.REGEXEXTRACT(CELL("address",'Raw Data'!F282),"\$([A-Z]+)\$[0-9]+"),"")</f>
        <v>$F$282</v>
      </c>
      <c r="G283" t="str" cm="1">
        <f t="array" aca="1" ref="G283" ca="1">IF('Raw Data'!G282="",_xlfn.REGEXEXTRACT(CELL("address",'Raw Data'!G282),"\$([A-Z]+)\$[0-9]+"),"")</f>
        <v>$G$282</v>
      </c>
      <c r="H283" t="str" cm="1">
        <f t="array" aca="1" ref="H283" ca="1">IF('Raw Data'!H282="",_xlfn.REGEXEXTRACT(CELL("address",'Raw Data'!H282),"\$([A-Z]+)\$[0-9]+"),"")</f>
        <v>$H$282</v>
      </c>
      <c r="I283" t="str" cm="1">
        <f t="array" aca="1" ref="I283" ca="1">IF('Raw Data'!I282="",_xlfn.REGEXEXTRACT(CELL("address",'Raw Data'!I282),"\$([A-Z]+)\$[0-9]+"),"")</f>
        <v>$I$282</v>
      </c>
    </row>
    <row r="284" spans="2:9" x14ac:dyDescent="0.25">
      <c r="B284" t="str" cm="1">
        <f t="array" aca="1" ref="B284" ca="1">IF('Raw Data'!B283="",_xlfn.REGEXEXTRACT(CELL("address",'Raw Data'!B283),"\$([A-Z]+)\$[0-9]+"),"")</f>
        <v>$B$283</v>
      </c>
      <c r="C284" t="str" cm="1">
        <f t="array" aca="1" ref="C284" ca="1">IF('Raw Data'!C283="",_xlfn.REGEXEXTRACT(CELL("address",'Raw Data'!C283),"\$([A-Z]+)\$[0-9]+"),"")</f>
        <v>$C$283</v>
      </c>
      <c r="D284" t="str" cm="1">
        <f t="array" aca="1" ref="D284" ca="1">IF('Raw Data'!D283="",_xlfn.REGEXEXTRACT(CELL("address",'Raw Data'!D283),"\$([A-Z]+)\$[0-9]+"),"")</f>
        <v>$D$283</v>
      </c>
      <c r="E284" t="str" cm="1">
        <f t="array" aca="1" ref="E284" ca="1">IF('Raw Data'!E283="",_xlfn.REGEXEXTRACT(CELL("address",'Raw Data'!E283),"\$([A-Z]+)\$[0-9]+"),"")</f>
        <v>$E$283</v>
      </c>
      <c r="F284" t="str" cm="1">
        <f t="array" aca="1" ref="F284" ca="1">IF('Raw Data'!F283="",_xlfn.REGEXEXTRACT(CELL("address",'Raw Data'!F283),"\$([A-Z]+)\$[0-9]+"),"")</f>
        <v>$F$283</v>
      </c>
      <c r="G284" t="str" cm="1">
        <f t="array" aca="1" ref="G284" ca="1">IF('Raw Data'!G283="",_xlfn.REGEXEXTRACT(CELL("address",'Raw Data'!G283),"\$([A-Z]+)\$[0-9]+"),"")</f>
        <v>$G$283</v>
      </c>
      <c r="H284" t="str" cm="1">
        <f t="array" aca="1" ref="H284" ca="1">IF('Raw Data'!H283="",_xlfn.REGEXEXTRACT(CELL("address",'Raw Data'!H283),"\$([A-Z]+)\$[0-9]+"),"")</f>
        <v>$H$283</v>
      </c>
      <c r="I284" t="str" cm="1">
        <f t="array" aca="1" ref="I284" ca="1">IF('Raw Data'!I283="",_xlfn.REGEXEXTRACT(CELL("address",'Raw Data'!I283),"\$([A-Z]+)\$[0-9]+"),"")</f>
        <v>$I$283</v>
      </c>
    </row>
    <row r="285" spans="2:9" x14ac:dyDescent="0.25">
      <c r="B285" t="str" cm="1">
        <f t="array" aca="1" ref="B285" ca="1">IF('Raw Data'!B284="",_xlfn.REGEXEXTRACT(CELL("address",'Raw Data'!B284),"\$([A-Z]+)\$[0-9]+"),"")</f>
        <v>$B$284</v>
      </c>
      <c r="C285" t="str" cm="1">
        <f t="array" aca="1" ref="C285" ca="1">IF('Raw Data'!C284="",_xlfn.REGEXEXTRACT(CELL("address",'Raw Data'!C284),"\$([A-Z]+)\$[0-9]+"),"")</f>
        <v>$C$284</v>
      </c>
      <c r="D285" t="str" cm="1">
        <f t="array" aca="1" ref="D285" ca="1">IF('Raw Data'!D284="",_xlfn.REGEXEXTRACT(CELL("address",'Raw Data'!D284),"\$([A-Z]+)\$[0-9]+"),"")</f>
        <v>$D$284</v>
      </c>
      <c r="E285" t="str" cm="1">
        <f t="array" aca="1" ref="E285" ca="1">IF('Raw Data'!E284="",_xlfn.REGEXEXTRACT(CELL("address",'Raw Data'!E284),"\$([A-Z]+)\$[0-9]+"),"")</f>
        <v>$E$284</v>
      </c>
      <c r="F285" t="str" cm="1">
        <f t="array" aca="1" ref="F285" ca="1">IF('Raw Data'!F284="",_xlfn.REGEXEXTRACT(CELL("address",'Raw Data'!F284),"\$([A-Z]+)\$[0-9]+"),"")</f>
        <v>$F$284</v>
      </c>
      <c r="G285" t="str" cm="1">
        <f t="array" aca="1" ref="G285" ca="1">IF('Raw Data'!G284="",_xlfn.REGEXEXTRACT(CELL("address",'Raw Data'!G284),"\$([A-Z]+)\$[0-9]+"),"")</f>
        <v>$G$284</v>
      </c>
      <c r="H285" t="str" cm="1">
        <f t="array" aca="1" ref="H285" ca="1">IF('Raw Data'!H284="",_xlfn.REGEXEXTRACT(CELL("address",'Raw Data'!H284),"\$([A-Z]+)\$[0-9]+"),"")</f>
        <v>$H$284</v>
      </c>
      <c r="I285" t="str" cm="1">
        <f t="array" aca="1" ref="I285" ca="1">IF('Raw Data'!I284="",_xlfn.REGEXEXTRACT(CELL("address",'Raw Data'!I284),"\$([A-Z]+)\$[0-9]+"),"")</f>
        <v>$I$284</v>
      </c>
    </row>
    <row r="286" spans="2:9" x14ac:dyDescent="0.25">
      <c r="B286" t="str" cm="1">
        <f t="array" aca="1" ref="B286" ca="1">IF('Raw Data'!B285="",_xlfn.REGEXEXTRACT(CELL("address",'Raw Data'!B285),"\$([A-Z]+)\$[0-9]+"),"")</f>
        <v>$B$285</v>
      </c>
      <c r="C286" t="str" cm="1">
        <f t="array" aca="1" ref="C286" ca="1">IF('Raw Data'!C285="",_xlfn.REGEXEXTRACT(CELL("address",'Raw Data'!C285),"\$([A-Z]+)\$[0-9]+"),"")</f>
        <v>$C$285</v>
      </c>
      <c r="D286" t="str" cm="1">
        <f t="array" aca="1" ref="D286" ca="1">IF('Raw Data'!D285="",_xlfn.REGEXEXTRACT(CELL("address",'Raw Data'!D285),"\$([A-Z]+)\$[0-9]+"),"")</f>
        <v>$D$285</v>
      </c>
      <c r="E286" t="str" cm="1">
        <f t="array" aca="1" ref="E286" ca="1">IF('Raw Data'!E285="",_xlfn.REGEXEXTRACT(CELL("address",'Raw Data'!E285),"\$([A-Z]+)\$[0-9]+"),"")</f>
        <v>$E$285</v>
      </c>
      <c r="F286" t="str" cm="1">
        <f t="array" aca="1" ref="F286" ca="1">IF('Raw Data'!F285="",_xlfn.REGEXEXTRACT(CELL("address",'Raw Data'!F285),"\$([A-Z]+)\$[0-9]+"),"")</f>
        <v>$F$285</v>
      </c>
      <c r="G286" t="str" cm="1">
        <f t="array" aca="1" ref="G286" ca="1">IF('Raw Data'!G285="",_xlfn.REGEXEXTRACT(CELL("address",'Raw Data'!G285),"\$([A-Z]+)\$[0-9]+"),"")</f>
        <v>$G$285</v>
      </c>
      <c r="H286" t="str" cm="1">
        <f t="array" aca="1" ref="H286" ca="1">IF('Raw Data'!H285="",_xlfn.REGEXEXTRACT(CELL("address",'Raw Data'!H285),"\$([A-Z]+)\$[0-9]+"),"")</f>
        <v>$H$285</v>
      </c>
      <c r="I286" t="str" cm="1">
        <f t="array" aca="1" ref="I286" ca="1">IF('Raw Data'!I285="",_xlfn.REGEXEXTRACT(CELL("address",'Raw Data'!I285),"\$([A-Z]+)\$[0-9]+"),"")</f>
        <v>$I$285</v>
      </c>
    </row>
    <row r="287" spans="2:9" x14ac:dyDescent="0.25">
      <c r="B287" t="str" cm="1">
        <f t="array" aca="1" ref="B287" ca="1">IF('Raw Data'!B286="",_xlfn.REGEXEXTRACT(CELL("address",'Raw Data'!B286),"\$([A-Z]+)\$[0-9]+"),"")</f>
        <v>$B$286</v>
      </c>
      <c r="C287" t="str" cm="1">
        <f t="array" aca="1" ref="C287" ca="1">IF('Raw Data'!C286="",_xlfn.REGEXEXTRACT(CELL("address",'Raw Data'!C286),"\$([A-Z]+)\$[0-9]+"),"")</f>
        <v>$C$286</v>
      </c>
      <c r="D287" t="str" cm="1">
        <f t="array" aca="1" ref="D287" ca="1">IF('Raw Data'!D286="",_xlfn.REGEXEXTRACT(CELL("address",'Raw Data'!D286),"\$([A-Z]+)\$[0-9]+"),"")</f>
        <v>$D$286</v>
      </c>
      <c r="E287" t="str" cm="1">
        <f t="array" aca="1" ref="E287" ca="1">IF('Raw Data'!E286="",_xlfn.REGEXEXTRACT(CELL("address",'Raw Data'!E286),"\$([A-Z]+)\$[0-9]+"),"")</f>
        <v>$E$286</v>
      </c>
      <c r="F287" t="str" cm="1">
        <f t="array" aca="1" ref="F287" ca="1">IF('Raw Data'!F286="",_xlfn.REGEXEXTRACT(CELL("address",'Raw Data'!F286),"\$([A-Z]+)\$[0-9]+"),"")</f>
        <v>$F$286</v>
      </c>
      <c r="G287" t="str" cm="1">
        <f t="array" aca="1" ref="G287" ca="1">IF('Raw Data'!G286="",_xlfn.REGEXEXTRACT(CELL("address",'Raw Data'!G286),"\$([A-Z]+)\$[0-9]+"),"")</f>
        <v>$G$286</v>
      </c>
      <c r="H287" t="str" cm="1">
        <f t="array" aca="1" ref="H287" ca="1">IF('Raw Data'!H286="",_xlfn.REGEXEXTRACT(CELL("address",'Raw Data'!H286),"\$([A-Z]+)\$[0-9]+"),"")</f>
        <v>$H$286</v>
      </c>
      <c r="I287" t="str" cm="1">
        <f t="array" aca="1" ref="I287" ca="1">IF('Raw Data'!I286="",_xlfn.REGEXEXTRACT(CELL("address",'Raw Data'!I286),"\$([A-Z]+)\$[0-9]+"),"")</f>
        <v>$I$286</v>
      </c>
    </row>
    <row r="288" spans="2:9" x14ac:dyDescent="0.25">
      <c r="B288" t="str" cm="1">
        <f t="array" aca="1" ref="B288" ca="1">IF('Raw Data'!B287="",_xlfn.REGEXEXTRACT(CELL("address",'Raw Data'!B287),"\$([A-Z]+)\$[0-9]+"),"")</f>
        <v>$B$287</v>
      </c>
      <c r="C288" t="str" cm="1">
        <f t="array" aca="1" ref="C288" ca="1">IF('Raw Data'!C287="",_xlfn.REGEXEXTRACT(CELL("address",'Raw Data'!C287),"\$([A-Z]+)\$[0-9]+"),"")</f>
        <v>$C$287</v>
      </c>
      <c r="D288" t="str" cm="1">
        <f t="array" aca="1" ref="D288" ca="1">IF('Raw Data'!D287="",_xlfn.REGEXEXTRACT(CELL("address",'Raw Data'!D287),"\$([A-Z]+)\$[0-9]+"),"")</f>
        <v>$D$287</v>
      </c>
      <c r="E288" t="str" cm="1">
        <f t="array" aca="1" ref="E288" ca="1">IF('Raw Data'!E287="",_xlfn.REGEXEXTRACT(CELL("address",'Raw Data'!E287),"\$([A-Z]+)\$[0-9]+"),"")</f>
        <v>$E$287</v>
      </c>
      <c r="F288" t="str" cm="1">
        <f t="array" aca="1" ref="F288" ca="1">IF('Raw Data'!F287="",_xlfn.REGEXEXTRACT(CELL("address",'Raw Data'!F287),"\$([A-Z]+)\$[0-9]+"),"")</f>
        <v>$F$287</v>
      </c>
      <c r="G288" t="str" cm="1">
        <f t="array" aca="1" ref="G288" ca="1">IF('Raw Data'!G287="",_xlfn.REGEXEXTRACT(CELL("address",'Raw Data'!G287),"\$([A-Z]+)\$[0-9]+"),"")</f>
        <v>$G$287</v>
      </c>
      <c r="H288" t="str" cm="1">
        <f t="array" aca="1" ref="H288" ca="1">IF('Raw Data'!H287="",_xlfn.REGEXEXTRACT(CELL("address",'Raw Data'!H287),"\$([A-Z]+)\$[0-9]+"),"")</f>
        <v>$H$287</v>
      </c>
      <c r="I288" t="str" cm="1">
        <f t="array" aca="1" ref="I288" ca="1">IF('Raw Data'!I287="",_xlfn.REGEXEXTRACT(CELL("address",'Raw Data'!I287),"\$([A-Z]+)\$[0-9]+"),"")</f>
        <v>$I$287</v>
      </c>
    </row>
    <row r="289" spans="2:9" x14ac:dyDescent="0.25">
      <c r="B289" t="str" cm="1">
        <f t="array" aca="1" ref="B289" ca="1">IF('Raw Data'!B288="",_xlfn.REGEXEXTRACT(CELL("address",'Raw Data'!B288),"\$([A-Z]+)\$[0-9]+"),"")</f>
        <v>$B$288</v>
      </c>
      <c r="C289" t="str" cm="1">
        <f t="array" aca="1" ref="C289" ca="1">IF('Raw Data'!C288="",_xlfn.REGEXEXTRACT(CELL("address",'Raw Data'!C288),"\$([A-Z]+)\$[0-9]+"),"")</f>
        <v>$C$288</v>
      </c>
      <c r="D289" t="str" cm="1">
        <f t="array" aca="1" ref="D289" ca="1">IF('Raw Data'!D288="",_xlfn.REGEXEXTRACT(CELL("address",'Raw Data'!D288),"\$([A-Z]+)\$[0-9]+"),"")</f>
        <v>$D$288</v>
      </c>
      <c r="E289" t="str" cm="1">
        <f t="array" aca="1" ref="E289" ca="1">IF('Raw Data'!E288="",_xlfn.REGEXEXTRACT(CELL("address",'Raw Data'!E288),"\$([A-Z]+)\$[0-9]+"),"")</f>
        <v>$E$288</v>
      </c>
      <c r="F289" t="str" cm="1">
        <f t="array" aca="1" ref="F289" ca="1">IF('Raw Data'!F288="",_xlfn.REGEXEXTRACT(CELL("address",'Raw Data'!F288),"\$([A-Z]+)\$[0-9]+"),"")</f>
        <v>$F$288</v>
      </c>
      <c r="G289" t="str" cm="1">
        <f t="array" aca="1" ref="G289" ca="1">IF('Raw Data'!G288="",_xlfn.REGEXEXTRACT(CELL("address",'Raw Data'!G288),"\$([A-Z]+)\$[0-9]+"),"")</f>
        <v>$G$288</v>
      </c>
      <c r="H289" t="str" cm="1">
        <f t="array" aca="1" ref="H289" ca="1">IF('Raw Data'!H288="",_xlfn.REGEXEXTRACT(CELL("address",'Raw Data'!H288),"\$([A-Z]+)\$[0-9]+"),"")</f>
        <v>$H$288</v>
      </c>
      <c r="I289" t="str" cm="1">
        <f t="array" aca="1" ref="I289" ca="1">IF('Raw Data'!I288="",_xlfn.REGEXEXTRACT(CELL("address",'Raw Data'!I288),"\$([A-Z]+)\$[0-9]+"),"")</f>
        <v>$I$288</v>
      </c>
    </row>
    <row r="290" spans="2:9" x14ac:dyDescent="0.25">
      <c r="B290" t="str" cm="1">
        <f t="array" aca="1" ref="B290" ca="1">IF('Raw Data'!B289="",_xlfn.REGEXEXTRACT(CELL("address",'Raw Data'!B289),"\$([A-Z]+)\$[0-9]+"),"")</f>
        <v>$B$289</v>
      </c>
      <c r="C290" t="str" cm="1">
        <f t="array" aca="1" ref="C290" ca="1">IF('Raw Data'!C289="",_xlfn.REGEXEXTRACT(CELL("address",'Raw Data'!C289),"\$([A-Z]+)\$[0-9]+"),"")</f>
        <v>$C$289</v>
      </c>
      <c r="D290" t="str" cm="1">
        <f t="array" aca="1" ref="D290" ca="1">IF('Raw Data'!D289="",_xlfn.REGEXEXTRACT(CELL("address",'Raw Data'!D289),"\$([A-Z]+)\$[0-9]+"),"")</f>
        <v>$D$289</v>
      </c>
      <c r="E290" t="str" cm="1">
        <f t="array" aca="1" ref="E290" ca="1">IF('Raw Data'!E289="",_xlfn.REGEXEXTRACT(CELL("address",'Raw Data'!E289),"\$([A-Z]+)\$[0-9]+"),"")</f>
        <v>$E$289</v>
      </c>
      <c r="F290" t="str" cm="1">
        <f t="array" aca="1" ref="F290" ca="1">IF('Raw Data'!F289="",_xlfn.REGEXEXTRACT(CELL("address",'Raw Data'!F289),"\$([A-Z]+)\$[0-9]+"),"")</f>
        <v>$F$289</v>
      </c>
      <c r="G290" t="str" cm="1">
        <f t="array" aca="1" ref="G290" ca="1">IF('Raw Data'!G289="",_xlfn.REGEXEXTRACT(CELL("address",'Raw Data'!G289),"\$([A-Z]+)\$[0-9]+"),"")</f>
        <v>$G$289</v>
      </c>
      <c r="H290" t="str" cm="1">
        <f t="array" aca="1" ref="H290" ca="1">IF('Raw Data'!H289="",_xlfn.REGEXEXTRACT(CELL("address",'Raw Data'!H289),"\$([A-Z]+)\$[0-9]+"),"")</f>
        <v>$H$289</v>
      </c>
      <c r="I290" t="str" cm="1">
        <f t="array" aca="1" ref="I290" ca="1">IF('Raw Data'!I289="",_xlfn.REGEXEXTRACT(CELL("address",'Raw Data'!I289),"\$([A-Z]+)\$[0-9]+"),"")</f>
        <v>$I$289</v>
      </c>
    </row>
    <row r="291" spans="2:9" x14ac:dyDescent="0.25">
      <c r="B291" t="str" cm="1">
        <f t="array" aca="1" ref="B291" ca="1">IF('Raw Data'!B290="",_xlfn.REGEXEXTRACT(CELL("address",'Raw Data'!B290),"\$([A-Z]+)\$[0-9]+"),"")</f>
        <v>$B$290</v>
      </c>
      <c r="C291" t="str" cm="1">
        <f t="array" aca="1" ref="C291" ca="1">IF('Raw Data'!C290="",_xlfn.REGEXEXTRACT(CELL("address",'Raw Data'!C290),"\$([A-Z]+)\$[0-9]+"),"")</f>
        <v>$C$290</v>
      </c>
      <c r="D291" t="str" cm="1">
        <f t="array" aca="1" ref="D291" ca="1">IF('Raw Data'!D290="",_xlfn.REGEXEXTRACT(CELL("address",'Raw Data'!D290),"\$([A-Z]+)\$[0-9]+"),"")</f>
        <v>$D$290</v>
      </c>
      <c r="E291" t="str" cm="1">
        <f t="array" aca="1" ref="E291" ca="1">IF('Raw Data'!E290="",_xlfn.REGEXEXTRACT(CELL("address",'Raw Data'!E290),"\$([A-Z]+)\$[0-9]+"),"")</f>
        <v>$E$290</v>
      </c>
      <c r="F291" t="str" cm="1">
        <f t="array" aca="1" ref="F291" ca="1">IF('Raw Data'!F290="",_xlfn.REGEXEXTRACT(CELL("address",'Raw Data'!F290),"\$([A-Z]+)\$[0-9]+"),"")</f>
        <v>$F$290</v>
      </c>
      <c r="G291" t="str" cm="1">
        <f t="array" aca="1" ref="G291" ca="1">IF('Raw Data'!G290="",_xlfn.REGEXEXTRACT(CELL("address",'Raw Data'!G290),"\$([A-Z]+)\$[0-9]+"),"")</f>
        <v>$G$290</v>
      </c>
      <c r="H291" t="str" cm="1">
        <f t="array" aca="1" ref="H291" ca="1">IF('Raw Data'!H290="",_xlfn.REGEXEXTRACT(CELL("address",'Raw Data'!H290),"\$([A-Z]+)\$[0-9]+"),"")</f>
        <v>$H$290</v>
      </c>
      <c r="I291" t="str" cm="1">
        <f t="array" aca="1" ref="I291" ca="1">IF('Raw Data'!I290="",_xlfn.REGEXEXTRACT(CELL("address",'Raw Data'!I290),"\$([A-Z]+)\$[0-9]+"),"")</f>
        <v>$I$290</v>
      </c>
    </row>
    <row r="292" spans="2:9" x14ac:dyDescent="0.25">
      <c r="B292" t="str" cm="1">
        <f t="array" aca="1" ref="B292" ca="1">IF('Raw Data'!B291="",_xlfn.REGEXEXTRACT(CELL("address",'Raw Data'!B291),"\$([A-Z]+)\$[0-9]+"),"")</f>
        <v>$B$291</v>
      </c>
      <c r="C292" t="str" cm="1">
        <f t="array" aca="1" ref="C292" ca="1">IF('Raw Data'!C291="",_xlfn.REGEXEXTRACT(CELL("address",'Raw Data'!C291),"\$([A-Z]+)\$[0-9]+"),"")</f>
        <v>$C$291</v>
      </c>
      <c r="D292" t="str" cm="1">
        <f t="array" aca="1" ref="D292" ca="1">IF('Raw Data'!D291="",_xlfn.REGEXEXTRACT(CELL("address",'Raw Data'!D291),"\$([A-Z]+)\$[0-9]+"),"")</f>
        <v>$D$291</v>
      </c>
      <c r="E292" t="str" cm="1">
        <f t="array" aca="1" ref="E292" ca="1">IF('Raw Data'!E291="",_xlfn.REGEXEXTRACT(CELL("address",'Raw Data'!E291),"\$([A-Z]+)\$[0-9]+"),"")</f>
        <v>$E$291</v>
      </c>
      <c r="F292" t="str" cm="1">
        <f t="array" aca="1" ref="F292" ca="1">IF('Raw Data'!F291="",_xlfn.REGEXEXTRACT(CELL("address",'Raw Data'!F291),"\$([A-Z]+)\$[0-9]+"),"")</f>
        <v>$F$291</v>
      </c>
      <c r="G292" t="str" cm="1">
        <f t="array" aca="1" ref="G292" ca="1">IF('Raw Data'!G291="",_xlfn.REGEXEXTRACT(CELL("address",'Raw Data'!G291),"\$([A-Z]+)\$[0-9]+"),"")</f>
        <v>$G$291</v>
      </c>
      <c r="H292" t="str" cm="1">
        <f t="array" aca="1" ref="H292" ca="1">IF('Raw Data'!H291="",_xlfn.REGEXEXTRACT(CELL("address",'Raw Data'!H291),"\$([A-Z]+)\$[0-9]+"),"")</f>
        <v>$H$291</v>
      </c>
      <c r="I292" t="str" cm="1">
        <f t="array" aca="1" ref="I292" ca="1">IF('Raw Data'!I291="",_xlfn.REGEXEXTRACT(CELL("address",'Raw Data'!I291),"\$([A-Z]+)\$[0-9]+"),"")</f>
        <v>$I$291</v>
      </c>
    </row>
    <row r="293" spans="2:9" x14ac:dyDescent="0.25">
      <c r="B293" t="str" cm="1">
        <f t="array" aca="1" ref="B293" ca="1">IF('Raw Data'!B292="",_xlfn.REGEXEXTRACT(CELL("address",'Raw Data'!B292),"\$([A-Z]+)\$[0-9]+"),"")</f>
        <v>$B$292</v>
      </c>
      <c r="C293" t="str" cm="1">
        <f t="array" aca="1" ref="C293" ca="1">IF('Raw Data'!C292="",_xlfn.REGEXEXTRACT(CELL("address",'Raw Data'!C292),"\$([A-Z]+)\$[0-9]+"),"")</f>
        <v>$C$292</v>
      </c>
      <c r="D293" t="str" cm="1">
        <f t="array" aca="1" ref="D293" ca="1">IF('Raw Data'!D292="",_xlfn.REGEXEXTRACT(CELL("address",'Raw Data'!D292),"\$([A-Z]+)\$[0-9]+"),"")</f>
        <v>$D$292</v>
      </c>
      <c r="E293" t="str" cm="1">
        <f t="array" aca="1" ref="E293" ca="1">IF('Raw Data'!E292="",_xlfn.REGEXEXTRACT(CELL("address",'Raw Data'!E292),"\$([A-Z]+)\$[0-9]+"),"")</f>
        <v>$E$292</v>
      </c>
      <c r="F293" t="str" cm="1">
        <f t="array" aca="1" ref="F293" ca="1">IF('Raw Data'!F292="",_xlfn.REGEXEXTRACT(CELL("address",'Raw Data'!F292),"\$([A-Z]+)\$[0-9]+"),"")</f>
        <v>$F$292</v>
      </c>
      <c r="G293" t="str" cm="1">
        <f t="array" aca="1" ref="G293" ca="1">IF('Raw Data'!G292="",_xlfn.REGEXEXTRACT(CELL("address",'Raw Data'!G292),"\$([A-Z]+)\$[0-9]+"),"")</f>
        <v>$G$292</v>
      </c>
      <c r="H293" t="str" cm="1">
        <f t="array" aca="1" ref="H293" ca="1">IF('Raw Data'!H292="",_xlfn.REGEXEXTRACT(CELL("address",'Raw Data'!H292),"\$([A-Z]+)\$[0-9]+"),"")</f>
        <v>$H$292</v>
      </c>
      <c r="I293" t="str" cm="1">
        <f t="array" aca="1" ref="I293" ca="1">IF('Raw Data'!I292="",_xlfn.REGEXEXTRACT(CELL("address",'Raw Data'!I292),"\$([A-Z]+)\$[0-9]+"),"")</f>
        <v>$I$292</v>
      </c>
    </row>
    <row r="294" spans="2:9" x14ac:dyDescent="0.25">
      <c r="B294" t="str" cm="1">
        <f t="array" aca="1" ref="B294" ca="1">IF('Raw Data'!B293="",_xlfn.REGEXEXTRACT(CELL("address",'Raw Data'!B293),"\$([A-Z]+)\$[0-9]+"),"")</f>
        <v>$B$293</v>
      </c>
      <c r="C294" t="str" cm="1">
        <f t="array" aca="1" ref="C294" ca="1">IF('Raw Data'!C293="",_xlfn.REGEXEXTRACT(CELL("address",'Raw Data'!C293),"\$([A-Z]+)\$[0-9]+"),"")</f>
        <v>$C$293</v>
      </c>
      <c r="D294" t="str" cm="1">
        <f t="array" aca="1" ref="D294" ca="1">IF('Raw Data'!D293="",_xlfn.REGEXEXTRACT(CELL("address",'Raw Data'!D293),"\$([A-Z]+)\$[0-9]+"),"")</f>
        <v>$D$293</v>
      </c>
      <c r="E294" t="str" cm="1">
        <f t="array" aca="1" ref="E294" ca="1">IF('Raw Data'!E293="",_xlfn.REGEXEXTRACT(CELL("address",'Raw Data'!E293),"\$([A-Z]+)\$[0-9]+"),"")</f>
        <v>$E$293</v>
      </c>
      <c r="F294" t="str" cm="1">
        <f t="array" aca="1" ref="F294" ca="1">IF('Raw Data'!F293="",_xlfn.REGEXEXTRACT(CELL("address",'Raw Data'!F293),"\$([A-Z]+)\$[0-9]+"),"")</f>
        <v>$F$293</v>
      </c>
      <c r="G294" t="str" cm="1">
        <f t="array" aca="1" ref="G294" ca="1">IF('Raw Data'!G293="",_xlfn.REGEXEXTRACT(CELL("address",'Raw Data'!G293),"\$([A-Z]+)\$[0-9]+"),"")</f>
        <v>$G$293</v>
      </c>
      <c r="H294" t="str" cm="1">
        <f t="array" aca="1" ref="H294" ca="1">IF('Raw Data'!H293="",_xlfn.REGEXEXTRACT(CELL("address",'Raw Data'!H293),"\$([A-Z]+)\$[0-9]+"),"")</f>
        <v>$H$293</v>
      </c>
      <c r="I294" t="str" cm="1">
        <f t="array" aca="1" ref="I294" ca="1">IF('Raw Data'!I293="",_xlfn.REGEXEXTRACT(CELL("address",'Raw Data'!I293),"\$([A-Z]+)\$[0-9]+"),"")</f>
        <v>$I$293</v>
      </c>
    </row>
    <row r="295" spans="2:9" x14ac:dyDescent="0.25">
      <c r="B295" t="str" cm="1">
        <f t="array" aca="1" ref="B295" ca="1">IF('Raw Data'!B294="",_xlfn.REGEXEXTRACT(CELL("address",'Raw Data'!B294),"\$([A-Z]+)\$[0-9]+"),"")</f>
        <v>$B$294</v>
      </c>
      <c r="C295" t="str" cm="1">
        <f t="array" aca="1" ref="C295" ca="1">IF('Raw Data'!C294="",_xlfn.REGEXEXTRACT(CELL("address",'Raw Data'!C294),"\$([A-Z]+)\$[0-9]+"),"")</f>
        <v>$C$294</v>
      </c>
      <c r="D295" t="str" cm="1">
        <f t="array" aca="1" ref="D295" ca="1">IF('Raw Data'!D294="",_xlfn.REGEXEXTRACT(CELL("address",'Raw Data'!D294),"\$([A-Z]+)\$[0-9]+"),"")</f>
        <v>$D$294</v>
      </c>
      <c r="E295" t="str" cm="1">
        <f t="array" aca="1" ref="E295" ca="1">IF('Raw Data'!E294="",_xlfn.REGEXEXTRACT(CELL("address",'Raw Data'!E294),"\$([A-Z]+)\$[0-9]+"),"")</f>
        <v>$E$294</v>
      </c>
      <c r="F295" t="str" cm="1">
        <f t="array" aca="1" ref="F295" ca="1">IF('Raw Data'!F294="",_xlfn.REGEXEXTRACT(CELL("address",'Raw Data'!F294),"\$([A-Z]+)\$[0-9]+"),"")</f>
        <v>$F$294</v>
      </c>
      <c r="G295" t="str" cm="1">
        <f t="array" aca="1" ref="G295" ca="1">IF('Raw Data'!G294="",_xlfn.REGEXEXTRACT(CELL("address",'Raw Data'!G294),"\$([A-Z]+)\$[0-9]+"),"")</f>
        <v>$G$294</v>
      </c>
      <c r="H295" t="str" cm="1">
        <f t="array" aca="1" ref="H295" ca="1">IF('Raw Data'!H294="",_xlfn.REGEXEXTRACT(CELL("address",'Raw Data'!H294),"\$([A-Z]+)\$[0-9]+"),"")</f>
        <v>$H$294</v>
      </c>
      <c r="I295" t="str" cm="1">
        <f t="array" aca="1" ref="I295" ca="1">IF('Raw Data'!I294="",_xlfn.REGEXEXTRACT(CELL("address",'Raw Data'!I294),"\$([A-Z]+)\$[0-9]+"),"")</f>
        <v>$I$294</v>
      </c>
    </row>
    <row r="296" spans="2:9" x14ac:dyDescent="0.25">
      <c r="B296" t="str" cm="1">
        <f t="array" aca="1" ref="B296" ca="1">IF('Raw Data'!B295="",_xlfn.REGEXEXTRACT(CELL("address",'Raw Data'!B295),"\$([A-Z]+)\$[0-9]+"),"")</f>
        <v>$B$295</v>
      </c>
      <c r="C296" t="str" cm="1">
        <f t="array" aca="1" ref="C296" ca="1">IF('Raw Data'!C295="",_xlfn.REGEXEXTRACT(CELL("address",'Raw Data'!C295),"\$([A-Z]+)\$[0-9]+"),"")</f>
        <v>$C$295</v>
      </c>
      <c r="D296" t="str" cm="1">
        <f t="array" aca="1" ref="D296" ca="1">IF('Raw Data'!D295="",_xlfn.REGEXEXTRACT(CELL("address",'Raw Data'!D295),"\$([A-Z]+)\$[0-9]+"),"")</f>
        <v>$D$295</v>
      </c>
      <c r="E296" t="str" cm="1">
        <f t="array" aca="1" ref="E296" ca="1">IF('Raw Data'!E295="",_xlfn.REGEXEXTRACT(CELL("address",'Raw Data'!E295),"\$([A-Z]+)\$[0-9]+"),"")</f>
        <v>$E$295</v>
      </c>
      <c r="F296" t="str" cm="1">
        <f t="array" aca="1" ref="F296" ca="1">IF('Raw Data'!F295="",_xlfn.REGEXEXTRACT(CELL("address",'Raw Data'!F295),"\$([A-Z]+)\$[0-9]+"),"")</f>
        <v>$F$295</v>
      </c>
      <c r="G296" t="str" cm="1">
        <f t="array" aca="1" ref="G296" ca="1">IF('Raw Data'!G295="",_xlfn.REGEXEXTRACT(CELL("address",'Raw Data'!G295),"\$([A-Z]+)\$[0-9]+"),"")</f>
        <v>$G$295</v>
      </c>
      <c r="H296" t="str" cm="1">
        <f t="array" aca="1" ref="H296" ca="1">IF('Raw Data'!H295="",_xlfn.REGEXEXTRACT(CELL("address",'Raw Data'!H295),"\$([A-Z]+)\$[0-9]+"),"")</f>
        <v>$H$295</v>
      </c>
      <c r="I296" t="str" cm="1">
        <f t="array" aca="1" ref="I296" ca="1">IF('Raw Data'!I295="",_xlfn.REGEXEXTRACT(CELL("address",'Raw Data'!I295),"\$([A-Z]+)\$[0-9]+"),"")</f>
        <v>$I$295</v>
      </c>
    </row>
    <row r="297" spans="2:9" x14ac:dyDescent="0.25">
      <c r="B297" t="str" cm="1">
        <f t="array" aca="1" ref="B297" ca="1">IF('Raw Data'!B296="",_xlfn.REGEXEXTRACT(CELL("address",'Raw Data'!B296),"\$([A-Z]+)\$[0-9]+"),"")</f>
        <v>$B$296</v>
      </c>
      <c r="C297" t="str" cm="1">
        <f t="array" aca="1" ref="C297" ca="1">IF('Raw Data'!C296="",_xlfn.REGEXEXTRACT(CELL("address",'Raw Data'!C296),"\$([A-Z]+)\$[0-9]+"),"")</f>
        <v>$C$296</v>
      </c>
      <c r="D297" t="str" cm="1">
        <f t="array" aca="1" ref="D297" ca="1">IF('Raw Data'!D296="",_xlfn.REGEXEXTRACT(CELL("address",'Raw Data'!D296),"\$([A-Z]+)\$[0-9]+"),"")</f>
        <v>$D$296</v>
      </c>
      <c r="E297" t="str" cm="1">
        <f t="array" aca="1" ref="E297" ca="1">IF('Raw Data'!E296="",_xlfn.REGEXEXTRACT(CELL("address",'Raw Data'!E296),"\$([A-Z]+)\$[0-9]+"),"")</f>
        <v>$E$296</v>
      </c>
      <c r="F297" t="str" cm="1">
        <f t="array" aca="1" ref="F297" ca="1">IF('Raw Data'!F296="",_xlfn.REGEXEXTRACT(CELL("address",'Raw Data'!F296),"\$([A-Z]+)\$[0-9]+"),"")</f>
        <v>$F$296</v>
      </c>
      <c r="G297" t="str" cm="1">
        <f t="array" aca="1" ref="G297" ca="1">IF('Raw Data'!G296="",_xlfn.REGEXEXTRACT(CELL("address",'Raw Data'!G296),"\$([A-Z]+)\$[0-9]+"),"")</f>
        <v>$G$296</v>
      </c>
      <c r="H297" t="str" cm="1">
        <f t="array" aca="1" ref="H297" ca="1">IF('Raw Data'!H296="",_xlfn.REGEXEXTRACT(CELL("address",'Raw Data'!H296),"\$([A-Z]+)\$[0-9]+"),"")</f>
        <v>$H$296</v>
      </c>
      <c r="I297" t="str" cm="1">
        <f t="array" aca="1" ref="I297" ca="1">IF('Raw Data'!I296="",_xlfn.REGEXEXTRACT(CELL("address",'Raw Data'!I296),"\$([A-Z]+)\$[0-9]+"),"")</f>
        <v>$I$296</v>
      </c>
    </row>
    <row r="298" spans="2:9" x14ac:dyDescent="0.25">
      <c r="B298" t="str" cm="1">
        <f t="array" aca="1" ref="B298" ca="1">IF('Raw Data'!B297="",_xlfn.REGEXEXTRACT(CELL("address",'Raw Data'!B297),"\$([A-Z]+)\$[0-9]+"),"")</f>
        <v>$B$297</v>
      </c>
      <c r="C298" t="str" cm="1">
        <f t="array" aca="1" ref="C298" ca="1">IF('Raw Data'!C297="",_xlfn.REGEXEXTRACT(CELL("address",'Raw Data'!C297),"\$([A-Z]+)\$[0-9]+"),"")</f>
        <v>$C$297</v>
      </c>
      <c r="D298" t="str" cm="1">
        <f t="array" aca="1" ref="D298" ca="1">IF('Raw Data'!D297="",_xlfn.REGEXEXTRACT(CELL("address",'Raw Data'!D297),"\$([A-Z]+)\$[0-9]+"),"")</f>
        <v>$D$297</v>
      </c>
      <c r="E298" t="str" cm="1">
        <f t="array" aca="1" ref="E298" ca="1">IF('Raw Data'!E297="",_xlfn.REGEXEXTRACT(CELL("address",'Raw Data'!E297),"\$([A-Z]+)\$[0-9]+"),"")</f>
        <v>$E$297</v>
      </c>
      <c r="F298" t="str" cm="1">
        <f t="array" aca="1" ref="F298" ca="1">IF('Raw Data'!F297="",_xlfn.REGEXEXTRACT(CELL("address",'Raw Data'!F297),"\$([A-Z]+)\$[0-9]+"),"")</f>
        <v>$F$297</v>
      </c>
      <c r="G298" t="str" cm="1">
        <f t="array" aca="1" ref="G298" ca="1">IF('Raw Data'!G297="",_xlfn.REGEXEXTRACT(CELL("address",'Raw Data'!G297),"\$([A-Z]+)\$[0-9]+"),"")</f>
        <v>$G$297</v>
      </c>
      <c r="H298" t="str" cm="1">
        <f t="array" aca="1" ref="H298" ca="1">IF('Raw Data'!H297="",_xlfn.REGEXEXTRACT(CELL("address",'Raw Data'!H297),"\$([A-Z]+)\$[0-9]+"),"")</f>
        <v>$H$297</v>
      </c>
      <c r="I298" t="str" cm="1">
        <f t="array" aca="1" ref="I298" ca="1">IF('Raw Data'!I297="",_xlfn.REGEXEXTRACT(CELL("address",'Raw Data'!I297),"\$([A-Z]+)\$[0-9]+"),"")</f>
        <v>$I$297</v>
      </c>
    </row>
    <row r="299" spans="2:9" x14ac:dyDescent="0.25">
      <c r="B299" t="str" cm="1">
        <f t="array" aca="1" ref="B299" ca="1">IF('Raw Data'!B298="",_xlfn.REGEXEXTRACT(CELL("address",'Raw Data'!B298),"\$([A-Z]+)\$[0-9]+"),"")</f>
        <v>$B$298</v>
      </c>
      <c r="C299" t="str" cm="1">
        <f t="array" aca="1" ref="C299" ca="1">IF('Raw Data'!C298="",_xlfn.REGEXEXTRACT(CELL("address",'Raw Data'!C298),"\$([A-Z]+)\$[0-9]+"),"")</f>
        <v>$C$298</v>
      </c>
      <c r="D299" t="str" cm="1">
        <f t="array" aca="1" ref="D299" ca="1">IF('Raw Data'!D298="",_xlfn.REGEXEXTRACT(CELL("address",'Raw Data'!D298),"\$([A-Z]+)\$[0-9]+"),"")</f>
        <v>$D$298</v>
      </c>
      <c r="E299" t="str" cm="1">
        <f t="array" aca="1" ref="E299" ca="1">IF('Raw Data'!E298="",_xlfn.REGEXEXTRACT(CELL("address",'Raw Data'!E298),"\$([A-Z]+)\$[0-9]+"),"")</f>
        <v>$E$298</v>
      </c>
      <c r="F299" t="str" cm="1">
        <f t="array" aca="1" ref="F299" ca="1">IF('Raw Data'!F298="",_xlfn.REGEXEXTRACT(CELL("address",'Raw Data'!F298),"\$([A-Z]+)\$[0-9]+"),"")</f>
        <v>$F$298</v>
      </c>
      <c r="G299" t="str" cm="1">
        <f t="array" aca="1" ref="G299" ca="1">IF('Raw Data'!G298="",_xlfn.REGEXEXTRACT(CELL("address",'Raw Data'!G298),"\$([A-Z]+)\$[0-9]+"),"")</f>
        <v>$G$298</v>
      </c>
      <c r="H299" t="str" cm="1">
        <f t="array" aca="1" ref="H299" ca="1">IF('Raw Data'!H298="",_xlfn.REGEXEXTRACT(CELL("address",'Raw Data'!H298),"\$([A-Z]+)\$[0-9]+"),"")</f>
        <v>$H$298</v>
      </c>
      <c r="I299" t="str" cm="1">
        <f t="array" aca="1" ref="I299" ca="1">IF('Raw Data'!I298="",_xlfn.REGEXEXTRACT(CELL("address",'Raw Data'!I298),"\$([A-Z]+)\$[0-9]+"),"")</f>
        <v>$I$298</v>
      </c>
    </row>
    <row r="300" spans="2:9" x14ac:dyDescent="0.25">
      <c r="B300" t="str" cm="1">
        <f t="array" aca="1" ref="B300" ca="1">IF('Raw Data'!B299="",_xlfn.REGEXEXTRACT(CELL("address",'Raw Data'!B299),"\$([A-Z]+)\$[0-9]+"),"")</f>
        <v>$B$299</v>
      </c>
      <c r="C300" t="str" cm="1">
        <f t="array" aca="1" ref="C300" ca="1">IF('Raw Data'!C299="",_xlfn.REGEXEXTRACT(CELL("address",'Raw Data'!C299),"\$([A-Z]+)\$[0-9]+"),"")</f>
        <v>$C$299</v>
      </c>
      <c r="D300" t="str" cm="1">
        <f t="array" aca="1" ref="D300" ca="1">IF('Raw Data'!D299="",_xlfn.REGEXEXTRACT(CELL("address",'Raw Data'!D299),"\$([A-Z]+)\$[0-9]+"),"")</f>
        <v>$D$299</v>
      </c>
      <c r="E300" t="str" cm="1">
        <f t="array" aca="1" ref="E300" ca="1">IF('Raw Data'!E299="",_xlfn.REGEXEXTRACT(CELL("address",'Raw Data'!E299),"\$([A-Z]+)\$[0-9]+"),"")</f>
        <v>$E$299</v>
      </c>
      <c r="F300" t="str" cm="1">
        <f t="array" aca="1" ref="F300" ca="1">IF('Raw Data'!F299="",_xlfn.REGEXEXTRACT(CELL("address",'Raw Data'!F299),"\$([A-Z]+)\$[0-9]+"),"")</f>
        <v>$F$299</v>
      </c>
      <c r="G300" t="str" cm="1">
        <f t="array" aca="1" ref="G300" ca="1">IF('Raw Data'!G299="",_xlfn.REGEXEXTRACT(CELL("address",'Raw Data'!G299),"\$([A-Z]+)\$[0-9]+"),"")</f>
        <v>$G$299</v>
      </c>
      <c r="H300" t="str" cm="1">
        <f t="array" aca="1" ref="H300" ca="1">IF('Raw Data'!H299="",_xlfn.REGEXEXTRACT(CELL("address",'Raw Data'!H299),"\$([A-Z]+)\$[0-9]+"),"")</f>
        <v>$H$299</v>
      </c>
      <c r="I300" t="str" cm="1">
        <f t="array" aca="1" ref="I300" ca="1">IF('Raw Data'!I299="",_xlfn.REGEXEXTRACT(CELL("address",'Raw Data'!I299),"\$([A-Z]+)\$[0-9]+"),"")</f>
        <v>$I$299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7778C9-31DF-45D5-A452-0552ED10E6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66182D-89AE-463C-8565-396A954D7E2C}">
  <ds:schemaRefs>
    <ds:schemaRef ds:uri="http://schemas.microsoft.com/office/2006/metadata/properties"/>
    <ds:schemaRef ds:uri="http://schemas.microsoft.com/office/infopath/2007/PartnerControls"/>
    <ds:schemaRef ds:uri="7c50c559-fa5a-43f4-984b-5769aabd1a15"/>
    <ds:schemaRef ds:uri="105f6f6b-27db-4f49-a63a-89e0dc0cf9c4"/>
    <ds:schemaRef ds:uri="5e1c2f93-a2fb-4cf1-9521-08720b4e64d5"/>
    <ds:schemaRef ds:uri="82bfd1a8-954c-439e-a286-ef353ebc026f"/>
  </ds:schemaRefs>
</ds:datastoreItem>
</file>

<file path=customXml/itemProps3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Validate_Empty</vt:lpstr>
      <vt:lpstr>Validate_Value</vt:lpstr>
      <vt:lpstr>Validate_Condition</vt:lpstr>
      <vt:lpstr>Condition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2026-03-10T04:04:59Z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