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C1D9FD81-AF2F-477A-BAA8-7DD110516BEB}" xr6:coauthVersionLast="47" xr6:coauthVersionMax="47" xr10:uidLastSave="{00000000-0000-0000-0000-000000000000}"/>
  <bookViews>
    <workbookView xWindow="-120" yWindow="-120" windowWidth="29040" windowHeight="15720" tabRatio="682" activeTab="5" xr2:uid="{E62ED3AB-165A-4566-AE8D-FA0995BDA05A}"/>
  </bookViews>
  <sheets>
    <sheet name="Raw Data" sheetId="3" r:id="rId1"/>
    <sheet name="Validate_Empty" sheetId="6" r:id="rId2"/>
    <sheet name="Validate_Value" sheetId="8" r:id="rId3"/>
    <sheet name="Validate_Condition" sheetId="11" r:id="rId4"/>
    <sheet name="Condition" sheetId="13" r:id="rId5"/>
    <sheet name="Configuration" sheetId="9" r:id="rId6"/>
    <sheet name="Validate_Type" sheetId="7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8" l="1" a="1"/>
  <c r="R12" i="8" s="1"/>
  <c r="S12" i="8" a="1"/>
  <c r="S12" i="8" s="1"/>
  <c r="R13" i="8" a="1"/>
  <c r="R13" i="8" s="1"/>
  <c r="S13" i="8" a="1"/>
  <c r="S13" i="8" s="1"/>
  <c r="R14" i="8" a="1"/>
  <c r="R14" i="8" s="1"/>
  <c r="S14" i="8" a="1"/>
  <c r="S14" i="8" s="1"/>
  <c r="R15" i="8" a="1"/>
  <c r="R15" i="8" s="1"/>
  <c r="S15" i="8" a="1"/>
  <c r="S15" i="8" s="1"/>
  <c r="R16" i="8" a="1"/>
  <c r="R16" i="8" s="1"/>
  <c r="S16" i="8" a="1"/>
  <c r="S16" i="8" s="1"/>
  <c r="R17" i="8" a="1"/>
  <c r="R17" i="8" s="1"/>
  <c r="S17" i="8" a="1"/>
  <c r="S17" i="8" s="1"/>
  <c r="R18" i="8" a="1"/>
  <c r="R18" i="8" s="1"/>
  <c r="S18" i="8" a="1"/>
  <c r="S18" i="8" s="1"/>
  <c r="R19" i="8" a="1"/>
  <c r="R19" i="8" s="1"/>
  <c r="S19" i="8" a="1"/>
  <c r="S19" i="8" s="1"/>
  <c r="R20" i="8" a="1"/>
  <c r="R20" i="8" s="1"/>
  <c r="S20" i="8" a="1"/>
  <c r="S20" i="8" s="1"/>
  <c r="R21" i="8" a="1"/>
  <c r="R21" i="8" s="1"/>
  <c r="S21" i="8" a="1"/>
  <c r="S21" i="8" s="1"/>
  <c r="R22" i="8" a="1"/>
  <c r="R22" i="8" s="1"/>
  <c r="S22" i="8" a="1"/>
  <c r="S22" i="8" s="1"/>
  <c r="R23" i="8" a="1"/>
  <c r="R23" i="8" s="1"/>
  <c r="S23" i="8" a="1"/>
  <c r="S23" i="8" s="1"/>
  <c r="R24" i="8" a="1"/>
  <c r="R24" i="8" s="1"/>
  <c r="S24" i="8" a="1"/>
  <c r="S24" i="8" s="1"/>
  <c r="R25" i="8" a="1"/>
  <c r="R25" i="8" s="1"/>
  <c r="S25" i="8" a="1"/>
  <c r="S25" i="8" s="1"/>
  <c r="R26" i="8" a="1"/>
  <c r="R26" i="8" s="1"/>
  <c r="S26" i="8" a="1"/>
  <c r="S26" i="8" s="1"/>
  <c r="R27" i="8" a="1"/>
  <c r="R27" i="8" s="1"/>
  <c r="S27" i="8" a="1"/>
  <c r="S27" i="8" s="1"/>
  <c r="R28" i="8" a="1"/>
  <c r="R28" i="8" s="1"/>
  <c r="S28" i="8" a="1"/>
  <c r="S28" i="8" s="1"/>
  <c r="R29" i="8" a="1"/>
  <c r="R29" i="8" s="1"/>
  <c r="S29" i="8" a="1"/>
  <c r="S29" i="8" s="1"/>
  <c r="R30" i="8" a="1"/>
  <c r="R30" i="8" s="1"/>
  <c r="S30" i="8" a="1"/>
  <c r="S30" i="8" s="1"/>
  <c r="R31" i="8" a="1"/>
  <c r="R31" i="8" s="1"/>
  <c r="S31" i="8" a="1"/>
  <c r="S31" i="8" s="1"/>
  <c r="R32" i="8" a="1"/>
  <c r="R32" i="8" s="1"/>
  <c r="S32" i="8" a="1"/>
  <c r="S32" i="8" s="1"/>
  <c r="R33" i="8" a="1"/>
  <c r="R33" i="8" s="1"/>
  <c r="S33" i="8" a="1"/>
  <c r="S33" i="8" s="1"/>
  <c r="R34" i="8" a="1"/>
  <c r="R34" i="8" s="1"/>
  <c r="S34" i="8" a="1"/>
  <c r="S34" i="8" s="1"/>
  <c r="R35" i="8" a="1"/>
  <c r="R35" i="8" s="1"/>
  <c r="S35" i="8" a="1"/>
  <c r="S35" i="8" s="1"/>
  <c r="R36" i="8" a="1"/>
  <c r="R36" i="8" s="1"/>
  <c r="S36" i="8" a="1"/>
  <c r="S36" i="8" s="1"/>
  <c r="R37" i="8" a="1"/>
  <c r="R37" i="8" s="1"/>
  <c r="S37" i="8" a="1"/>
  <c r="S37" i="8" s="1"/>
  <c r="R38" i="8" a="1"/>
  <c r="R38" i="8" s="1"/>
  <c r="S38" i="8" a="1"/>
  <c r="S38" i="8" s="1"/>
  <c r="R39" i="8" a="1"/>
  <c r="R39" i="8" s="1"/>
  <c r="S39" i="8" a="1"/>
  <c r="S39" i="8" s="1"/>
  <c r="R40" i="8" a="1"/>
  <c r="R40" i="8" s="1"/>
  <c r="S40" i="8" a="1"/>
  <c r="S40" i="8" s="1"/>
  <c r="R41" i="8" a="1"/>
  <c r="R41" i="8" s="1"/>
  <c r="S41" i="8" a="1"/>
  <c r="S41" i="8" s="1"/>
  <c r="R42" i="8" a="1"/>
  <c r="R42" i="8" s="1"/>
  <c r="S42" i="8" a="1"/>
  <c r="S42" i="8" s="1"/>
  <c r="R43" i="8" a="1"/>
  <c r="R43" i="8" s="1"/>
  <c r="S43" i="8" a="1"/>
  <c r="S43" i="8" s="1"/>
  <c r="R44" i="8" a="1"/>
  <c r="R44" i="8" s="1"/>
  <c r="S44" i="8" a="1"/>
  <c r="S44" i="8" s="1"/>
  <c r="R45" i="8" a="1"/>
  <c r="R45" i="8" s="1"/>
  <c r="S45" i="8" a="1"/>
  <c r="S45" i="8" s="1"/>
  <c r="R46" i="8" a="1"/>
  <c r="R46" i="8" s="1"/>
  <c r="S46" i="8" a="1"/>
  <c r="S46" i="8" s="1"/>
  <c r="R47" i="8" a="1"/>
  <c r="R47" i="8" s="1"/>
  <c r="S47" i="8" a="1"/>
  <c r="S47" i="8" s="1"/>
  <c r="R48" i="8" a="1"/>
  <c r="R48" i="8" s="1"/>
  <c r="S48" i="8" a="1"/>
  <c r="S48" i="8" s="1"/>
  <c r="R49" i="8" a="1"/>
  <c r="R49" i="8" s="1"/>
  <c r="S49" i="8" a="1"/>
  <c r="S49" i="8" s="1"/>
  <c r="R50" i="8" a="1"/>
  <c r="R50" i="8" s="1"/>
  <c r="S50" i="8" a="1"/>
  <c r="S50" i="8" s="1"/>
  <c r="R51" i="8" a="1"/>
  <c r="R51" i="8" s="1"/>
  <c r="S51" i="8" a="1"/>
  <c r="S51" i="8" s="1"/>
  <c r="R52" i="8" a="1"/>
  <c r="R52" i="8" s="1"/>
  <c r="S52" i="8" a="1"/>
  <c r="S52" i="8" s="1"/>
  <c r="R53" i="8" a="1"/>
  <c r="R53" i="8" s="1"/>
  <c r="S53" i="8" a="1"/>
  <c r="S53" i="8" s="1"/>
  <c r="R54" i="8" a="1"/>
  <c r="R54" i="8" s="1"/>
  <c r="S54" i="8" a="1"/>
  <c r="S54" i="8" s="1"/>
  <c r="R55" i="8" a="1"/>
  <c r="R55" i="8" s="1"/>
  <c r="S55" i="8" a="1"/>
  <c r="S55" i="8" s="1"/>
  <c r="R56" i="8" a="1"/>
  <c r="R56" i="8" s="1"/>
  <c r="S56" i="8" a="1"/>
  <c r="S56" i="8" s="1"/>
  <c r="R57" i="8" a="1"/>
  <c r="R57" i="8" s="1"/>
  <c r="S57" i="8" a="1"/>
  <c r="S57" i="8" s="1"/>
  <c r="R58" i="8" a="1"/>
  <c r="R58" i="8" s="1"/>
  <c r="S58" i="8" a="1"/>
  <c r="S58" i="8" s="1"/>
  <c r="R59" i="8" a="1"/>
  <c r="R59" i="8" s="1"/>
  <c r="S59" i="8" a="1"/>
  <c r="S59" i="8" s="1"/>
  <c r="R60" i="8" a="1"/>
  <c r="R60" i="8" s="1"/>
  <c r="S60" i="8" a="1"/>
  <c r="S60" i="8" s="1"/>
  <c r="R61" i="8" a="1"/>
  <c r="R61" i="8" s="1"/>
  <c r="S61" i="8" a="1"/>
  <c r="S61" i="8" s="1"/>
  <c r="R62" i="8" a="1"/>
  <c r="R62" i="8" s="1"/>
  <c r="S62" i="8" a="1"/>
  <c r="S62" i="8" s="1"/>
  <c r="R63" i="8" a="1"/>
  <c r="R63" i="8" s="1"/>
  <c r="S63" i="8" a="1"/>
  <c r="S63" i="8" s="1"/>
  <c r="R64" i="8" a="1"/>
  <c r="R64" i="8" s="1"/>
  <c r="S64" i="8" a="1"/>
  <c r="S64" i="8" s="1"/>
  <c r="R65" i="8" a="1"/>
  <c r="R65" i="8" s="1"/>
  <c r="S65" i="8" a="1"/>
  <c r="S65" i="8" s="1"/>
  <c r="R66" i="8" a="1"/>
  <c r="R66" i="8" s="1"/>
  <c r="S66" i="8" a="1"/>
  <c r="S66" i="8" s="1"/>
  <c r="R67" i="8" a="1"/>
  <c r="R67" i="8" s="1"/>
  <c r="S67" i="8" a="1"/>
  <c r="S67" i="8" s="1"/>
  <c r="R68" i="8" a="1"/>
  <c r="R68" i="8" s="1"/>
  <c r="S68" i="8" a="1"/>
  <c r="S68" i="8" s="1"/>
  <c r="R69" i="8" a="1"/>
  <c r="R69" i="8" s="1"/>
  <c r="S69" i="8" a="1"/>
  <c r="S69" i="8" s="1"/>
  <c r="R70" i="8" a="1"/>
  <c r="R70" i="8" s="1"/>
  <c r="S70" i="8" a="1"/>
  <c r="S70" i="8" s="1"/>
  <c r="R71" i="8" a="1"/>
  <c r="R71" i="8" s="1"/>
  <c r="S71" i="8" a="1"/>
  <c r="S71" i="8" s="1"/>
  <c r="R72" i="8" a="1"/>
  <c r="R72" i="8" s="1"/>
  <c r="S72" i="8" a="1"/>
  <c r="S72" i="8" s="1"/>
  <c r="R73" i="8" a="1"/>
  <c r="R73" i="8" s="1"/>
  <c r="S73" i="8" a="1"/>
  <c r="S73" i="8" s="1"/>
  <c r="R74" i="8" a="1"/>
  <c r="R74" i="8" s="1"/>
  <c r="S74" i="8" a="1"/>
  <c r="S74" i="8" s="1"/>
  <c r="R75" i="8" a="1"/>
  <c r="R75" i="8" s="1"/>
  <c r="S75" i="8" a="1"/>
  <c r="S75" i="8" s="1"/>
  <c r="R76" i="8" a="1"/>
  <c r="R76" i="8" s="1"/>
  <c r="S76" i="8" a="1"/>
  <c r="S76" i="8" s="1"/>
  <c r="R77" i="8" a="1"/>
  <c r="R77" i="8" s="1"/>
  <c r="S77" i="8" a="1"/>
  <c r="S77" i="8" s="1"/>
  <c r="R78" i="8" a="1"/>
  <c r="R78" i="8" s="1"/>
  <c r="S78" i="8" a="1"/>
  <c r="S78" i="8" s="1"/>
  <c r="R79" i="8" a="1"/>
  <c r="R79" i="8" s="1"/>
  <c r="S79" i="8" a="1"/>
  <c r="S79" i="8" s="1"/>
  <c r="R80" i="8" a="1"/>
  <c r="R80" i="8" s="1"/>
  <c r="S80" i="8" a="1"/>
  <c r="S80" i="8" s="1"/>
  <c r="R81" i="8" a="1"/>
  <c r="R81" i="8" s="1"/>
  <c r="S81" i="8" a="1"/>
  <c r="S81" i="8" s="1"/>
  <c r="R82" i="8" a="1"/>
  <c r="R82" i="8" s="1"/>
  <c r="S82" i="8" a="1"/>
  <c r="S82" i="8" s="1"/>
  <c r="R83" i="8" a="1"/>
  <c r="R83" i="8" s="1"/>
  <c r="S83" i="8" a="1"/>
  <c r="S83" i="8" s="1"/>
  <c r="R84" i="8" a="1"/>
  <c r="R84" i="8" s="1"/>
  <c r="S84" i="8" a="1"/>
  <c r="S84" i="8" s="1"/>
  <c r="R85" i="8" a="1"/>
  <c r="R85" i="8" s="1"/>
  <c r="S85" i="8" a="1"/>
  <c r="S85" i="8" s="1"/>
  <c r="R86" i="8" a="1"/>
  <c r="R86" i="8" s="1"/>
  <c r="S86" i="8" a="1"/>
  <c r="S86" i="8" s="1"/>
  <c r="R87" i="8" a="1"/>
  <c r="R87" i="8" s="1"/>
  <c r="S87" i="8" a="1"/>
  <c r="S87" i="8" s="1"/>
  <c r="R88" i="8" a="1"/>
  <c r="R88" i="8" s="1"/>
  <c r="S88" i="8" a="1"/>
  <c r="S88" i="8" s="1"/>
  <c r="R89" i="8" a="1"/>
  <c r="R89" i="8" s="1"/>
  <c r="S89" i="8" a="1"/>
  <c r="S89" i="8" s="1"/>
  <c r="R90" i="8" a="1"/>
  <c r="R90" i="8" s="1"/>
  <c r="S90" i="8" a="1"/>
  <c r="S90" i="8" s="1"/>
  <c r="R91" i="8" a="1"/>
  <c r="R91" i="8" s="1"/>
  <c r="S91" i="8" a="1"/>
  <c r="S91" i="8" s="1"/>
  <c r="R92" i="8" a="1"/>
  <c r="R92" i="8" s="1"/>
  <c r="S92" i="8" a="1"/>
  <c r="S92" i="8" s="1"/>
  <c r="R93" i="8" a="1"/>
  <c r="R93" i="8" s="1"/>
  <c r="S93" i="8" a="1"/>
  <c r="S93" i="8" s="1"/>
  <c r="R94" i="8" a="1"/>
  <c r="R94" i="8" s="1"/>
  <c r="S94" i="8" a="1"/>
  <c r="S94" i="8" s="1"/>
  <c r="R95" i="8" a="1"/>
  <c r="R95" i="8" s="1"/>
  <c r="S95" i="8" a="1"/>
  <c r="S95" i="8" s="1"/>
  <c r="R96" i="8" a="1"/>
  <c r="R96" i="8" s="1"/>
  <c r="S96" i="8" a="1"/>
  <c r="S96" i="8" s="1"/>
  <c r="R97" i="8" a="1"/>
  <c r="R97" i="8" s="1"/>
  <c r="S97" i="8" a="1"/>
  <c r="S97" i="8" s="1"/>
  <c r="R98" i="8" a="1"/>
  <c r="R98" i="8" s="1"/>
  <c r="S98" i="8" a="1"/>
  <c r="S98" i="8" s="1"/>
  <c r="R99" i="8" a="1"/>
  <c r="R99" i="8" s="1"/>
  <c r="S99" i="8" a="1"/>
  <c r="S99" i="8" s="1"/>
  <c r="R100" i="8" a="1"/>
  <c r="R100" i="8" s="1"/>
  <c r="S100" i="8" a="1"/>
  <c r="S100" i="8" s="1"/>
  <c r="R101" i="8" a="1"/>
  <c r="R101" i="8" s="1"/>
  <c r="S101" i="8" a="1"/>
  <c r="S101" i="8" s="1"/>
  <c r="R102" i="8" a="1"/>
  <c r="R102" i="8" s="1"/>
  <c r="S102" i="8" a="1"/>
  <c r="S102" i="8" s="1"/>
  <c r="R103" i="8" a="1"/>
  <c r="R103" i="8" s="1"/>
  <c r="S103" i="8" a="1"/>
  <c r="S103" i="8" s="1"/>
  <c r="R104" i="8" a="1"/>
  <c r="R104" i="8" s="1"/>
  <c r="S104" i="8" a="1"/>
  <c r="S104" i="8" s="1"/>
  <c r="R105" i="8" a="1"/>
  <c r="R105" i="8" s="1"/>
  <c r="S105" i="8" a="1"/>
  <c r="S105" i="8" s="1"/>
  <c r="R106" i="8" a="1"/>
  <c r="R106" i="8" s="1"/>
  <c r="S106" i="8" a="1"/>
  <c r="S106" i="8" s="1"/>
  <c r="R107" i="8" a="1"/>
  <c r="R107" i="8" s="1"/>
  <c r="S107" i="8" a="1"/>
  <c r="S107" i="8" s="1"/>
  <c r="R108" i="8" a="1"/>
  <c r="R108" i="8" s="1"/>
  <c r="S108" i="8" a="1"/>
  <c r="S108" i="8" s="1"/>
  <c r="R109" i="8" a="1"/>
  <c r="R109" i="8" s="1"/>
  <c r="S109" i="8" a="1"/>
  <c r="S109" i="8" s="1"/>
  <c r="R110" i="8" a="1"/>
  <c r="R110" i="8" s="1"/>
  <c r="S110" i="8" a="1"/>
  <c r="S110" i="8" s="1"/>
  <c r="R111" i="8" a="1"/>
  <c r="R111" i="8" s="1"/>
  <c r="S111" i="8" a="1"/>
  <c r="S111" i="8" s="1"/>
  <c r="R112" i="8" a="1"/>
  <c r="R112" i="8" s="1"/>
  <c r="S112" i="8" a="1"/>
  <c r="S112" i="8" s="1"/>
  <c r="R113" i="8" a="1"/>
  <c r="R113" i="8" s="1"/>
  <c r="S113" i="8" a="1"/>
  <c r="S113" i="8" s="1"/>
  <c r="R114" i="8" a="1"/>
  <c r="R114" i="8" s="1"/>
  <c r="S114" i="8" a="1"/>
  <c r="S114" i="8" s="1"/>
  <c r="R115" i="8" a="1"/>
  <c r="R115" i="8" s="1"/>
  <c r="S115" i="8" a="1"/>
  <c r="S115" i="8" s="1"/>
  <c r="R116" i="8" a="1"/>
  <c r="R116" i="8" s="1"/>
  <c r="S116" i="8" a="1"/>
  <c r="S116" i="8" s="1"/>
  <c r="R117" i="8" a="1"/>
  <c r="R117" i="8" s="1"/>
  <c r="S117" i="8" a="1"/>
  <c r="S117" i="8" s="1"/>
  <c r="R118" i="8" a="1"/>
  <c r="R118" i="8" s="1"/>
  <c r="S118" i="8" a="1"/>
  <c r="S118" i="8" s="1"/>
  <c r="R119" i="8" a="1"/>
  <c r="R119" i="8" s="1"/>
  <c r="S119" i="8" a="1"/>
  <c r="S119" i="8" s="1"/>
  <c r="R120" i="8" a="1"/>
  <c r="R120" i="8" s="1"/>
  <c r="S120" i="8" a="1"/>
  <c r="S120" i="8" s="1"/>
  <c r="R121" i="8" a="1"/>
  <c r="R121" i="8" s="1"/>
  <c r="S121" i="8" a="1"/>
  <c r="S121" i="8" s="1"/>
  <c r="R122" i="8" a="1"/>
  <c r="R122" i="8" s="1"/>
  <c r="S122" i="8" a="1"/>
  <c r="S122" i="8" s="1"/>
  <c r="R123" i="8" a="1"/>
  <c r="R123" i="8" s="1"/>
  <c r="S123" i="8" a="1"/>
  <c r="S123" i="8" s="1"/>
  <c r="R124" i="8" a="1"/>
  <c r="R124" i="8" s="1"/>
  <c r="S124" i="8" a="1"/>
  <c r="S124" i="8" s="1"/>
  <c r="R125" i="8" a="1"/>
  <c r="R125" i="8" s="1"/>
  <c r="S125" i="8" a="1"/>
  <c r="S125" i="8" s="1"/>
  <c r="R126" i="8" a="1"/>
  <c r="R126" i="8" s="1"/>
  <c r="S126" i="8" a="1"/>
  <c r="S126" i="8" s="1"/>
  <c r="R127" i="8" a="1"/>
  <c r="R127" i="8" s="1"/>
  <c r="S127" i="8" a="1"/>
  <c r="S127" i="8" s="1"/>
  <c r="R128" i="8" a="1"/>
  <c r="R128" i="8" s="1"/>
  <c r="S128" i="8" a="1"/>
  <c r="S128" i="8" s="1"/>
  <c r="R129" i="8" a="1"/>
  <c r="R129" i="8" s="1"/>
  <c r="S129" i="8" a="1"/>
  <c r="S129" i="8" s="1"/>
  <c r="R130" i="8" a="1"/>
  <c r="R130" i="8" s="1"/>
  <c r="S130" i="8" a="1"/>
  <c r="S130" i="8" s="1"/>
  <c r="R131" i="8" a="1"/>
  <c r="R131" i="8" s="1"/>
  <c r="S131" i="8" a="1"/>
  <c r="S131" i="8" s="1"/>
  <c r="R132" i="8" a="1"/>
  <c r="R132" i="8" s="1"/>
  <c r="S132" i="8" a="1"/>
  <c r="S132" i="8" s="1"/>
  <c r="R133" i="8" a="1"/>
  <c r="R133" i="8" s="1"/>
  <c r="S133" i="8" a="1"/>
  <c r="S133" i="8" s="1"/>
  <c r="R134" i="8" a="1"/>
  <c r="R134" i="8" s="1"/>
  <c r="S134" i="8" a="1"/>
  <c r="S134" i="8" s="1"/>
  <c r="R135" i="8" a="1"/>
  <c r="R135" i="8" s="1"/>
  <c r="S135" i="8" a="1"/>
  <c r="S135" i="8" s="1"/>
  <c r="R136" i="8" a="1"/>
  <c r="R136" i="8" s="1"/>
  <c r="S136" i="8" a="1"/>
  <c r="S136" i="8" s="1"/>
  <c r="R137" i="8" a="1"/>
  <c r="R137" i="8" s="1"/>
  <c r="S137" i="8" a="1"/>
  <c r="S137" i="8" s="1"/>
  <c r="R138" i="8" a="1"/>
  <c r="R138" i="8" s="1"/>
  <c r="S138" i="8" a="1"/>
  <c r="S138" i="8" s="1"/>
  <c r="R139" i="8" a="1"/>
  <c r="R139" i="8" s="1"/>
  <c r="S139" i="8" a="1"/>
  <c r="S139" i="8" s="1"/>
  <c r="R140" i="8" a="1"/>
  <c r="R140" i="8" s="1"/>
  <c r="S140" i="8" a="1"/>
  <c r="S140" i="8" s="1"/>
  <c r="R141" i="8" a="1"/>
  <c r="R141" i="8" s="1"/>
  <c r="S141" i="8" a="1"/>
  <c r="S141" i="8" s="1"/>
  <c r="R142" i="8" a="1"/>
  <c r="R142" i="8" s="1"/>
  <c r="S142" i="8" a="1"/>
  <c r="S142" i="8" s="1"/>
  <c r="R143" i="8" a="1"/>
  <c r="R143" i="8" s="1"/>
  <c r="S143" i="8" a="1"/>
  <c r="S143" i="8" s="1"/>
  <c r="R144" i="8" a="1"/>
  <c r="R144" i="8" s="1"/>
  <c r="S144" i="8" a="1"/>
  <c r="S144" i="8" s="1"/>
  <c r="R145" i="8" a="1"/>
  <c r="R145" i="8" s="1"/>
  <c r="S145" i="8" a="1"/>
  <c r="S145" i="8" s="1"/>
  <c r="R146" i="8" a="1"/>
  <c r="R146" i="8" s="1"/>
  <c r="S146" i="8" a="1"/>
  <c r="S146" i="8" s="1"/>
  <c r="R147" i="8" a="1"/>
  <c r="R147" i="8" s="1"/>
  <c r="S147" i="8" a="1"/>
  <c r="S147" i="8" s="1"/>
  <c r="R148" i="8" a="1"/>
  <c r="R148" i="8" s="1"/>
  <c r="S148" i="8" a="1"/>
  <c r="S148" i="8" s="1"/>
  <c r="R149" i="8" a="1"/>
  <c r="R149" i="8" s="1"/>
  <c r="S149" i="8" a="1"/>
  <c r="S149" i="8" s="1"/>
  <c r="R150" i="8" a="1"/>
  <c r="R150" i="8" s="1"/>
  <c r="S150" i="8" a="1"/>
  <c r="S150" i="8" s="1"/>
  <c r="R151" i="8" a="1"/>
  <c r="R151" i="8" s="1"/>
  <c r="S151" i="8" a="1"/>
  <c r="S151" i="8" s="1"/>
  <c r="R152" i="8" a="1"/>
  <c r="R152" i="8" s="1"/>
  <c r="S152" i="8" a="1"/>
  <c r="S152" i="8" s="1"/>
  <c r="R153" i="8" a="1"/>
  <c r="R153" i="8" s="1"/>
  <c r="S153" i="8" a="1"/>
  <c r="S153" i="8" s="1"/>
  <c r="R154" i="8" a="1"/>
  <c r="R154" i="8" s="1"/>
  <c r="S154" i="8" a="1"/>
  <c r="S154" i="8" s="1"/>
  <c r="R155" i="8" a="1"/>
  <c r="R155" i="8" s="1"/>
  <c r="S155" i="8" a="1"/>
  <c r="S155" i="8" s="1"/>
  <c r="R156" i="8" a="1"/>
  <c r="R156" i="8" s="1"/>
  <c r="S156" i="8" a="1"/>
  <c r="S156" i="8" s="1"/>
  <c r="R157" i="8" a="1"/>
  <c r="R157" i="8" s="1"/>
  <c r="S157" i="8" a="1"/>
  <c r="S157" i="8" s="1"/>
  <c r="R158" i="8" a="1"/>
  <c r="R158" i="8" s="1"/>
  <c r="S158" i="8" a="1"/>
  <c r="S158" i="8" s="1"/>
  <c r="R159" i="8" a="1"/>
  <c r="R159" i="8" s="1"/>
  <c r="S159" i="8" a="1"/>
  <c r="S159" i="8" s="1"/>
  <c r="R160" i="8" a="1"/>
  <c r="R160" i="8" s="1"/>
  <c r="S160" i="8" a="1"/>
  <c r="S160" i="8" s="1"/>
  <c r="R161" i="8" a="1"/>
  <c r="R161" i="8" s="1"/>
  <c r="S161" i="8" a="1"/>
  <c r="S161" i="8" s="1"/>
  <c r="R162" i="8" a="1"/>
  <c r="R162" i="8" s="1"/>
  <c r="S162" i="8" a="1"/>
  <c r="S162" i="8" s="1"/>
  <c r="R163" i="8" a="1"/>
  <c r="R163" i="8" s="1"/>
  <c r="S163" i="8" a="1"/>
  <c r="S163" i="8" s="1"/>
  <c r="R164" i="8" a="1"/>
  <c r="R164" i="8" s="1"/>
  <c r="S164" i="8" a="1"/>
  <c r="S164" i="8" s="1"/>
  <c r="R165" i="8" a="1"/>
  <c r="R165" i="8" s="1"/>
  <c r="S165" i="8" a="1"/>
  <c r="S165" i="8" s="1"/>
  <c r="R166" i="8" a="1"/>
  <c r="R166" i="8" s="1"/>
  <c r="S166" i="8" a="1"/>
  <c r="S166" i="8" s="1"/>
  <c r="R167" i="8" a="1"/>
  <c r="R167" i="8" s="1"/>
  <c r="S167" i="8" a="1"/>
  <c r="S167" i="8" s="1"/>
  <c r="R168" i="8" a="1"/>
  <c r="R168" i="8" s="1"/>
  <c r="S168" i="8" a="1"/>
  <c r="S168" i="8" s="1"/>
  <c r="R169" i="8" a="1"/>
  <c r="R169" i="8" s="1"/>
  <c r="S169" i="8" a="1"/>
  <c r="S169" i="8" s="1"/>
  <c r="R170" i="8" a="1"/>
  <c r="R170" i="8" s="1"/>
  <c r="S170" i="8" a="1"/>
  <c r="S170" i="8" s="1"/>
  <c r="R171" i="8" a="1"/>
  <c r="R171" i="8" s="1"/>
  <c r="S171" i="8" a="1"/>
  <c r="S171" i="8" s="1"/>
  <c r="R172" i="8" a="1"/>
  <c r="R172" i="8" s="1"/>
  <c r="S172" i="8" a="1"/>
  <c r="S172" i="8" s="1"/>
  <c r="R173" i="8" a="1"/>
  <c r="R173" i="8" s="1"/>
  <c r="S173" i="8" a="1"/>
  <c r="S173" i="8" s="1"/>
  <c r="R174" i="8" a="1"/>
  <c r="R174" i="8" s="1"/>
  <c r="S174" i="8" a="1"/>
  <c r="S174" i="8" s="1"/>
  <c r="R175" i="8" a="1"/>
  <c r="R175" i="8" s="1"/>
  <c r="S175" i="8" a="1"/>
  <c r="S175" i="8" s="1"/>
  <c r="R176" i="8" a="1"/>
  <c r="R176" i="8" s="1"/>
  <c r="S176" i="8" a="1"/>
  <c r="S176" i="8" s="1"/>
  <c r="R177" i="8" a="1"/>
  <c r="R177" i="8" s="1"/>
  <c r="S177" i="8" a="1"/>
  <c r="S177" i="8" s="1"/>
  <c r="R178" i="8" a="1"/>
  <c r="R178" i="8" s="1"/>
  <c r="S178" i="8" a="1"/>
  <c r="S178" i="8" s="1"/>
  <c r="R179" i="8" a="1"/>
  <c r="R179" i="8" s="1"/>
  <c r="S179" i="8" a="1"/>
  <c r="S179" i="8" s="1"/>
  <c r="R180" i="8" a="1"/>
  <c r="R180" i="8" s="1"/>
  <c r="S180" i="8" a="1"/>
  <c r="S180" i="8" s="1"/>
  <c r="R181" i="8" a="1"/>
  <c r="R181" i="8" s="1"/>
  <c r="S181" i="8" a="1"/>
  <c r="S181" i="8" s="1"/>
  <c r="R182" i="8" a="1"/>
  <c r="R182" i="8" s="1"/>
  <c r="S182" i="8" a="1"/>
  <c r="S182" i="8" s="1"/>
  <c r="R183" i="8" a="1"/>
  <c r="R183" i="8" s="1"/>
  <c r="S183" i="8" a="1"/>
  <c r="S183" i="8" s="1"/>
  <c r="R184" i="8" a="1"/>
  <c r="R184" i="8" s="1"/>
  <c r="S184" i="8" a="1"/>
  <c r="S184" i="8" s="1"/>
  <c r="R185" i="8" a="1"/>
  <c r="R185" i="8" s="1"/>
  <c r="S185" i="8" a="1"/>
  <c r="S185" i="8" s="1"/>
  <c r="R186" i="8" a="1"/>
  <c r="R186" i="8" s="1"/>
  <c r="S186" i="8" a="1"/>
  <c r="S186" i="8" s="1"/>
  <c r="R187" i="8" a="1"/>
  <c r="R187" i="8" s="1"/>
  <c r="S187" i="8" a="1"/>
  <c r="S187" i="8" s="1"/>
  <c r="R188" i="8" a="1"/>
  <c r="R188" i="8" s="1"/>
  <c r="S188" i="8" a="1"/>
  <c r="S188" i="8" s="1"/>
  <c r="R189" i="8" a="1"/>
  <c r="R189" i="8" s="1"/>
  <c r="S189" i="8" a="1"/>
  <c r="S189" i="8" s="1"/>
  <c r="R190" i="8" a="1"/>
  <c r="R190" i="8" s="1"/>
  <c r="S190" i="8" a="1"/>
  <c r="S190" i="8" s="1"/>
  <c r="R191" i="8" a="1"/>
  <c r="R191" i="8" s="1"/>
  <c r="S191" i="8" a="1"/>
  <c r="S191" i="8" s="1"/>
  <c r="R192" i="8" a="1"/>
  <c r="R192" i="8" s="1"/>
  <c r="S192" i="8" a="1"/>
  <c r="S192" i="8" s="1"/>
  <c r="R193" i="8" a="1"/>
  <c r="R193" i="8" s="1"/>
  <c r="S193" i="8" a="1"/>
  <c r="S193" i="8" s="1"/>
  <c r="R194" i="8" a="1"/>
  <c r="R194" i="8" s="1"/>
  <c r="S194" i="8" a="1"/>
  <c r="S194" i="8" s="1"/>
  <c r="R195" i="8" a="1"/>
  <c r="R195" i="8" s="1"/>
  <c r="S195" i="8" a="1"/>
  <c r="S195" i="8" s="1"/>
  <c r="R196" i="8" a="1"/>
  <c r="R196" i="8" s="1"/>
  <c r="S196" i="8" a="1"/>
  <c r="S196" i="8" s="1"/>
  <c r="R197" i="8" a="1"/>
  <c r="R197" i="8" s="1"/>
  <c r="S197" i="8" a="1"/>
  <c r="S197" i="8" s="1"/>
  <c r="R198" i="8" a="1"/>
  <c r="R198" i="8" s="1"/>
  <c r="S198" i="8" a="1"/>
  <c r="S198" i="8" s="1"/>
  <c r="R199" i="8" a="1"/>
  <c r="R199" i="8" s="1"/>
  <c r="S199" i="8" a="1"/>
  <c r="S199" i="8" s="1"/>
  <c r="R200" i="8" a="1"/>
  <c r="R200" i="8" s="1"/>
  <c r="S200" i="8" a="1"/>
  <c r="S200" i="8" s="1"/>
  <c r="R201" i="8" a="1"/>
  <c r="R201" i="8" s="1"/>
  <c r="S201" i="8" a="1"/>
  <c r="S201" i="8" s="1"/>
  <c r="R202" i="8" a="1"/>
  <c r="R202" i="8" s="1"/>
  <c r="S202" i="8" a="1"/>
  <c r="S202" i="8" s="1"/>
  <c r="R203" i="8" a="1"/>
  <c r="R203" i="8" s="1"/>
  <c r="S203" i="8" a="1"/>
  <c r="S203" i="8" s="1"/>
  <c r="R204" i="8" a="1"/>
  <c r="R204" i="8" s="1"/>
  <c r="S204" i="8" a="1"/>
  <c r="S204" i="8" s="1"/>
  <c r="R205" i="8" a="1"/>
  <c r="R205" i="8" s="1"/>
  <c r="S205" i="8" a="1"/>
  <c r="S205" i="8" s="1"/>
  <c r="R206" i="8" a="1"/>
  <c r="R206" i="8" s="1"/>
  <c r="S206" i="8" a="1"/>
  <c r="S206" i="8" s="1"/>
  <c r="R207" i="8" a="1"/>
  <c r="R207" i="8" s="1"/>
  <c r="S207" i="8" a="1"/>
  <c r="S207" i="8" s="1"/>
  <c r="R208" i="8" a="1"/>
  <c r="R208" i="8" s="1"/>
  <c r="S208" i="8" a="1"/>
  <c r="S208" i="8" s="1"/>
  <c r="R209" i="8" a="1"/>
  <c r="R209" i="8" s="1"/>
  <c r="S209" i="8" a="1"/>
  <c r="S209" i="8" s="1"/>
  <c r="R210" i="8" a="1"/>
  <c r="R210" i="8" s="1"/>
  <c r="S210" i="8" a="1"/>
  <c r="S210" i="8" s="1"/>
  <c r="R211" i="8" a="1"/>
  <c r="R211" i="8" s="1"/>
  <c r="S211" i="8" a="1"/>
  <c r="S211" i="8" s="1"/>
  <c r="R212" i="8" a="1"/>
  <c r="R212" i="8" s="1"/>
  <c r="S212" i="8" a="1"/>
  <c r="S212" i="8" s="1"/>
  <c r="R213" i="8" a="1"/>
  <c r="R213" i="8" s="1"/>
  <c r="S213" i="8" a="1"/>
  <c r="S213" i="8" s="1"/>
  <c r="R214" i="8" a="1"/>
  <c r="R214" i="8" s="1"/>
  <c r="S214" i="8" a="1"/>
  <c r="S214" i="8" s="1"/>
  <c r="R215" i="8" a="1"/>
  <c r="R215" i="8" s="1"/>
  <c r="S215" i="8" a="1"/>
  <c r="S215" i="8" s="1"/>
  <c r="R216" i="8" a="1"/>
  <c r="R216" i="8" s="1"/>
  <c r="S216" i="8" a="1"/>
  <c r="S216" i="8" s="1"/>
  <c r="R217" i="8" a="1"/>
  <c r="R217" i="8" s="1"/>
  <c r="S217" i="8" a="1"/>
  <c r="S217" i="8" s="1"/>
  <c r="R218" i="8" a="1"/>
  <c r="R218" i="8" s="1"/>
  <c r="S218" i="8" a="1"/>
  <c r="S218" i="8" s="1"/>
  <c r="R219" i="8" a="1"/>
  <c r="R219" i="8" s="1"/>
  <c r="S219" i="8" a="1"/>
  <c r="S219" i="8" s="1"/>
  <c r="R220" i="8" a="1"/>
  <c r="R220" i="8" s="1"/>
  <c r="S220" i="8" a="1"/>
  <c r="S220" i="8" s="1"/>
  <c r="R221" i="8" a="1"/>
  <c r="R221" i="8" s="1"/>
  <c r="S221" i="8" a="1"/>
  <c r="S221" i="8" s="1"/>
  <c r="R222" i="8" a="1"/>
  <c r="R222" i="8" s="1"/>
  <c r="S222" i="8" a="1"/>
  <c r="S222" i="8" s="1"/>
  <c r="R223" i="8" a="1"/>
  <c r="R223" i="8" s="1"/>
  <c r="S223" i="8" a="1"/>
  <c r="S223" i="8" s="1"/>
  <c r="R224" i="8" a="1"/>
  <c r="R224" i="8" s="1"/>
  <c r="S224" i="8" a="1"/>
  <c r="S224" i="8" s="1"/>
  <c r="R225" i="8" a="1"/>
  <c r="R225" i="8" s="1"/>
  <c r="S225" i="8" a="1"/>
  <c r="S225" i="8" s="1"/>
  <c r="R226" i="8" a="1"/>
  <c r="R226" i="8" s="1"/>
  <c r="S226" i="8" a="1"/>
  <c r="S226" i="8" s="1"/>
  <c r="R227" i="8" a="1"/>
  <c r="R227" i="8" s="1"/>
  <c r="S227" i="8" a="1"/>
  <c r="S227" i="8" s="1"/>
  <c r="R228" i="8" a="1"/>
  <c r="R228" i="8" s="1"/>
  <c r="S228" i="8" a="1"/>
  <c r="S228" i="8" s="1"/>
  <c r="R229" i="8" a="1"/>
  <c r="R229" i="8" s="1"/>
  <c r="S229" i="8" a="1"/>
  <c r="S229" i="8" s="1"/>
  <c r="R230" i="8" a="1"/>
  <c r="R230" i="8" s="1"/>
  <c r="S230" i="8" a="1"/>
  <c r="S230" i="8" s="1"/>
  <c r="R231" i="8" a="1"/>
  <c r="R231" i="8" s="1"/>
  <c r="S231" i="8" a="1"/>
  <c r="S231" i="8" s="1"/>
  <c r="R232" i="8" a="1"/>
  <c r="R232" i="8" s="1"/>
  <c r="S232" i="8" a="1"/>
  <c r="S232" i="8" s="1"/>
  <c r="R233" i="8" a="1"/>
  <c r="R233" i="8" s="1"/>
  <c r="S233" i="8" a="1"/>
  <c r="S233" i="8" s="1"/>
  <c r="R234" i="8" a="1"/>
  <c r="R234" i="8" s="1"/>
  <c r="S234" i="8" a="1"/>
  <c r="S234" i="8" s="1"/>
  <c r="R235" i="8" a="1"/>
  <c r="R235" i="8" s="1"/>
  <c r="S235" i="8" a="1"/>
  <c r="S235" i="8" s="1"/>
  <c r="R236" i="8" a="1"/>
  <c r="R236" i="8" s="1"/>
  <c r="S236" i="8" a="1"/>
  <c r="S236" i="8" s="1"/>
  <c r="R237" i="8" a="1"/>
  <c r="R237" i="8" s="1"/>
  <c r="S237" i="8" a="1"/>
  <c r="S237" i="8" s="1"/>
  <c r="R238" i="8" a="1"/>
  <c r="R238" i="8" s="1"/>
  <c r="S238" i="8" a="1"/>
  <c r="S238" i="8" s="1"/>
  <c r="R239" i="8" a="1"/>
  <c r="R239" i="8" s="1"/>
  <c r="S239" i="8" a="1"/>
  <c r="S239" i="8" s="1"/>
  <c r="R240" i="8" a="1"/>
  <c r="R240" i="8" s="1"/>
  <c r="S240" i="8" a="1"/>
  <c r="S240" i="8" s="1"/>
  <c r="R241" i="8" a="1"/>
  <c r="R241" i="8" s="1"/>
  <c r="S241" i="8" a="1"/>
  <c r="S241" i="8" s="1"/>
  <c r="R242" i="8" a="1"/>
  <c r="R242" i="8" s="1"/>
  <c r="S242" i="8" a="1"/>
  <c r="S242" i="8" s="1"/>
  <c r="R243" i="8" a="1"/>
  <c r="R243" i="8" s="1"/>
  <c r="S243" i="8" a="1"/>
  <c r="S243" i="8" s="1"/>
  <c r="R244" i="8" a="1"/>
  <c r="R244" i="8" s="1"/>
  <c r="S244" i="8" a="1"/>
  <c r="S244" i="8" s="1"/>
  <c r="R245" i="8" a="1"/>
  <c r="R245" i="8" s="1"/>
  <c r="S245" i="8" a="1"/>
  <c r="S245" i="8" s="1"/>
  <c r="R246" i="8" a="1"/>
  <c r="R246" i="8" s="1"/>
  <c r="S246" i="8" a="1"/>
  <c r="S246" i="8" s="1"/>
  <c r="R247" i="8" a="1"/>
  <c r="R247" i="8" s="1"/>
  <c r="S247" i="8" a="1"/>
  <c r="S247" i="8" s="1"/>
  <c r="R248" i="8" a="1"/>
  <c r="R248" i="8" s="1"/>
  <c r="S248" i="8" a="1"/>
  <c r="S248" i="8" s="1"/>
  <c r="R249" i="8" a="1"/>
  <c r="R249" i="8" s="1"/>
  <c r="S249" i="8" a="1"/>
  <c r="S249" i="8" s="1"/>
  <c r="R250" i="8" a="1"/>
  <c r="R250" i="8" s="1"/>
  <c r="S250" i="8" a="1"/>
  <c r="S250" i="8" s="1"/>
  <c r="B12" i="8" a="1"/>
  <c r="B12" i="8" s="1"/>
  <c r="C12" i="8" a="1"/>
  <c r="C12" i="8" s="1"/>
  <c r="D12" i="8" a="1"/>
  <c r="D12" i="8" s="1"/>
  <c r="E12" i="8" a="1"/>
  <c r="E12" i="8" s="1"/>
  <c r="F12" i="8" a="1"/>
  <c r="F12" i="8" s="1"/>
  <c r="G12" i="8" a="1"/>
  <c r="G12" i="8" s="1"/>
  <c r="H12" i="8" a="1"/>
  <c r="H12" i="8" s="1"/>
  <c r="I12" i="8" a="1"/>
  <c r="I12" i="8" s="1"/>
  <c r="B13" i="8" a="1"/>
  <c r="B13" i="8" s="1"/>
  <c r="C13" i="8" a="1"/>
  <c r="C13" i="8" s="1"/>
  <c r="D13" i="8" a="1"/>
  <c r="D13" i="8" s="1"/>
  <c r="E13" i="8" a="1"/>
  <c r="E13" i="8" s="1"/>
  <c r="F13" i="8" a="1"/>
  <c r="F13" i="8" s="1"/>
  <c r="G13" i="8" a="1"/>
  <c r="G13" i="8" s="1"/>
  <c r="H13" i="8" a="1"/>
  <c r="H13" i="8" s="1"/>
  <c r="I13" i="8" a="1"/>
  <c r="I13" i="8" s="1"/>
  <c r="B14" i="8" a="1"/>
  <c r="B14" i="8" s="1"/>
  <c r="C14" i="8" a="1"/>
  <c r="C14" i="8" s="1"/>
  <c r="D14" i="8" a="1"/>
  <c r="D14" i="8" s="1"/>
  <c r="E14" i="8" a="1"/>
  <c r="E14" i="8" s="1"/>
  <c r="F14" i="8" a="1"/>
  <c r="F14" i="8" s="1"/>
  <c r="G14" i="8" a="1"/>
  <c r="G14" i="8" s="1"/>
  <c r="H14" i="8" a="1"/>
  <c r="H14" i="8" s="1"/>
  <c r="I14" i="8" a="1"/>
  <c r="I14" i="8" s="1"/>
  <c r="B15" i="8" a="1"/>
  <c r="B15" i="8" s="1"/>
  <c r="C15" i="8" a="1"/>
  <c r="C15" i="8" s="1"/>
  <c r="D15" i="8" a="1"/>
  <c r="D15" i="8" s="1"/>
  <c r="E15" i="8" a="1"/>
  <c r="E15" i="8" s="1"/>
  <c r="F15" i="8" a="1"/>
  <c r="F15" i="8" s="1"/>
  <c r="G15" i="8" a="1"/>
  <c r="G15" i="8" s="1"/>
  <c r="H15" i="8" a="1"/>
  <c r="H15" i="8" s="1"/>
  <c r="I15" i="8" a="1"/>
  <c r="I15" i="8" s="1"/>
  <c r="B16" i="8" a="1"/>
  <c r="B16" i="8" s="1"/>
  <c r="C16" i="8" a="1"/>
  <c r="C16" i="8" s="1"/>
  <c r="D16" i="8" a="1"/>
  <c r="D16" i="8" s="1"/>
  <c r="E16" i="8" a="1"/>
  <c r="E16" i="8" s="1"/>
  <c r="F16" i="8" a="1"/>
  <c r="F16" i="8" s="1"/>
  <c r="G16" i="8" a="1"/>
  <c r="G16" i="8" s="1"/>
  <c r="H16" i="8" a="1"/>
  <c r="H16" i="8" s="1"/>
  <c r="I16" i="8" a="1"/>
  <c r="I16" i="8" s="1"/>
  <c r="B17" i="8" a="1"/>
  <c r="B17" i="8" s="1"/>
  <c r="C17" i="8" a="1"/>
  <c r="C17" i="8" s="1"/>
  <c r="D17" i="8" a="1"/>
  <c r="D17" i="8" s="1"/>
  <c r="E17" i="8" a="1"/>
  <c r="E17" i="8" s="1"/>
  <c r="F17" i="8" a="1"/>
  <c r="F17" i="8" s="1"/>
  <c r="G17" i="8" a="1"/>
  <c r="G17" i="8" s="1"/>
  <c r="H17" i="8" a="1"/>
  <c r="H17" i="8" s="1"/>
  <c r="I17" i="8" a="1"/>
  <c r="I17" i="8" s="1"/>
  <c r="B18" i="8" a="1"/>
  <c r="B18" i="8" s="1"/>
  <c r="C18" i="8" a="1"/>
  <c r="C18" i="8" s="1"/>
  <c r="D18" i="8" a="1"/>
  <c r="D18" i="8" s="1"/>
  <c r="E18" i="8" a="1"/>
  <c r="E18" i="8" s="1"/>
  <c r="F18" i="8" a="1"/>
  <c r="F18" i="8" s="1"/>
  <c r="G18" i="8" a="1"/>
  <c r="G18" i="8" s="1"/>
  <c r="H18" i="8" a="1"/>
  <c r="H18" i="8" s="1"/>
  <c r="I18" i="8" a="1"/>
  <c r="I18" i="8" s="1"/>
  <c r="B19" i="8" a="1"/>
  <c r="B19" i="8" s="1"/>
  <c r="C19" i="8" a="1"/>
  <c r="C19" i="8" s="1"/>
  <c r="D19" i="8" a="1"/>
  <c r="D19" i="8" s="1"/>
  <c r="E19" i="8" a="1"/>
  <c r="E19" i="8" s="1"/>
  <c r="F19" i="8" a="1"/>
  <c r="F19" i="8" s="1"/>
  <c r="G19" i="8" a="1"/>
  <c r="G19" i="8" s="1"/>
  <c r="H19" i="8" a="1"/>
  <c r="H19" i="8" s="1"/>
  <c r="I19" i="8" a="1"/>
  <c r="I19" i="8" s="1"/>
  <c r="B20" i="8" a="1"/>
  <c r="B20" i="8" s="1"/>
  <c r="C20" i="8" a="1"/>
  <c r="C20" i="8" s="1"/>
  <c r="D20" i="8" a="1"/>
  <c r="D20" i="8" s="1"/>
  <c r="E20" i="8" a="1"/>
  <c r="E20" i="8" s="1"/>
  <c r="F20" i="8" a="1"/>
  <c r="F20" i="8" s="1"/>
  <c r="G20" i="8" a="1"/>
  <c r="G20" i="8" s="1"/>
  <c r="H20" i="8" a="1"/>
  <c r="H20" i="8" s="1"/>
  <c r="I20" i="8" a="1"/>
  <c r="I20" i="8" s="1"/>
  <c r="B21" i="8" a="1"/>
  <c r="B21" i="8" s="1"/>
  <c r="C21" i="8" a="1"/>
  <c r="C21" i="8" s="1"/>
  <c r="D21" i="8" a="1"/>
  <c r="D21" i="8" s="1"/>
  <c r="E21" i="8" a="1"/>
  <c r="E21" i="8" s="1"/>
  <c r="F21" i="8" a="1"/>
  <c r="F21" i="8" s="1"/>
  <c r="G21" i="8" a="1"/>
  <c r="G21" i="8" s="1"/>
  <c r="H21" i="8" a="1"/>
  <c r="H21" i="8" s="1"/>
  <c r="I21" i="8" a="1"/>
  <c r="I21" i="8" s="1"/>
  <c r="B22" i="8" a="1"/>
  <c r="B22" i="8" s="1"/>
  <c r="C22" i="8" a="1"/>
  <c r="C22" i="8" s="1"/>
  <c r="D22" i="8" a="1"/>
  <c r="D22" i="8" s="1"/>
  <c r="E22" i="8" a="1"/>
  <c r="E22" i="8" s="1"/>
  <c r="F22" i="8" a="1"/>
  <c r="F22" i="8" s="1"/>
  <c r="G22" i="8" a="1"/>
  <c r="G22" i="8" s="1"/>
  <c r="H22" i="8" a="1"/>
  <c r="H22" i="8" s="1"/>
  <c r="I22" i="8" a="1"/>
  <c r="I22" i="8" s="1"/>
  <c r="B23" i="8" a="1"/>
  <c r="B23" i="8" s="1"/>
  <c r="C23" i="8" a="1"/>
  <c r="C23" i="8" s="1"/>
  <c r="D23" i="8" a="1"/>
  <c r="D23" i="8" s="1"/>
  <c r="E23" i="8" a="1"/>
  <c r="E23" i="8" s="1"/>
  <c r="F23" i="8" a="1"/>
  <c r="F23" i="8" s="1"/>
  <c r="G23" i="8" a="1"/>
  <c r="G23" i="8" s="1"/>
  <c r="H23" i="8" a="1"/>
  <c r="H23" i="8" s="1"/>
  <c r="I23" i="8" a="1"/>
  <c r="I23" i="8" s="1"/>
  <c r="B24" i="8" a="1"/>
  <c r="B24" i="8" s="1"/>
  <c r="C24" i="8" a="1"/>
  <c r="C24" i="8" s="1"/>
  <c r="D24" i="8" a="1"/>
  <c r="D24" i="8" s="1"/>
  <c r="E24" i="8" a="1"/>
  <c r="E24" i="8" s="1"/>
  <c r="F24" i="8" a="1"/>
  <c r="F24" i="8" s="1"/>
  <c r="G24" i="8" a="1"/>
  <c r="G24" i="8" s="1"/>
  <c r="H24" i="8" a="1"/>
  <c r="H24" i="8" s="1"/>
  <c r="I24" i="8" a="1"/>
  <c r="I24" i="8" s="1"/>
  <c r="B25" i="8" a="1"/>
  <c r="B25" i="8" s="1"/>
  <c r="C25" i="8" a="1"/>
  <c r="C25" i="8" s="1"/>
  <c r="D25" i="8" a="1"/>
  <c r="D25" i="8" s="1"/>
  <c r="E25" i="8" a="1"/>
  <c r="E25" i="8" s="1"/>
  <c r="F25" i="8" a="1"/>
  <c r="F25" i="8" s="1"/>
  <c r="G25" i="8" a="1"/>
  <c r="G25" i="8" s="1"/>
  <c r="H25" i="8" a="1"/>
  <c r="H25" i="8" s="1"/>
  <c r="I25" i="8" a="1"/>
  <c r="I25" i="8" s="1"/>
  <c r="B26" i="8" a="1"/>
  <c r="B26" i="8" s="1"/>
  <c r="C26" i="8" a="1"/>
  <c r="C26" i="8" s="1"/>
  <c r="D26" i="8" a="1"/>
  <c r="D26" i="8" s="1"/>
  <c r="E26" i="8" a="1"/>
  <c r="E26" i="8" s="1"/>
  <c r="F26" i="8" a="1"/>
  <c r="F26" i="8" s="1"/>
  <c r="G26" i="8" a="1"/>
  <c r="G26" i="8" s="1"/>
  <c r="H26" i="8" a="1"/>
  <c r="H26" i="8" s="1"/>
  <c r="I26" i="8" a="1"/>
  <c r="I26" i="8" s="1"/>
  <c r="B27" i="8" a="1"/>
  <c r="B27" i="8" s="1"/>
  <c r="C27" i="8" a="1"/>
  <c r="C27" i="8" s="1"/>
  <c r="D27" i="8" a="1"/>
  <c r="D27" i="8" s="1"/>
  <c r="E27" i="8" a="1"/>
  <c r="E27" i="8" s="1"/>
  <c r="F27" i="8" a="1"/>
  <c r="F27" i="8" s="1"/>
  <c r="G27" i="8" a="1"/>
  <c r="G27" i="8" s="1"/>
  <c r="H27" i="8" a="1"/>
  <c r="H27" i="8" s="1"/>
  <c r="I27" i="8" a="1"/>
  <c r="I27" i="8" s="1"/>
  <c r="B28" i="8" a="1"/>
  <c r="B28" i="8" s="1"/>
  <c r="C28" i="8" a="1"/>
  <c r="C28" i="8" s="1"/>
  <c r="D28" i="8" a="1"/>
  <c r="D28" i="8" s="1"/>
  <c r="E28" i="8" a="1"/>
  <c r="E28" i="8" s="1"/>
  <c r="F28" i="8" a="1"/>
  <c r="F28" i="8" s="1"/>
  <c r="G28" i="8" a="1"/>
  <c r="G28" i="8" s="1"/>
  <c r="H28" i="8" a="1"/>
  <c r="H28" i="8" s="1"/>
  <c r="I28" i="8" a="1"/>
  <c r="I28" i="8" s="1"/>
  <c r="B29" i="8" a="1"/>
  <c r="B29" i="8" s="1"/>
  <c r="C29" i="8" a="1"/>
  <c r="C29" i="8" s="1"/>
  <c r="D29" i="8" a="1"/>
  <c r="D29" i="8" s="1"/>
  <c r="E29" i="8" a="1"/>
  <c r="E29" i="8" s="1"/>
  <c r="F29" i="8" a="1"/>
  <c r="F29" i="8" s="1"/>
  <c r="G29" i="8" a="1"/>
  <c r="G29" i="8" s="1"/>
  <c r="H29" i="8" a="1"/>
  <c r="H29" i="8" s="1"/>
  <c r="I29" i="8" a="1"/>
  <c r="I29" i="8" s="1"/>
  <c r="B30" i="8" a="1"/>
  <c r="B30" i="8" s="1"/>
  <c r="C30" i="8" a="1"/>
  <c r="C30" i="8" s="1"/>
  <c r="D30" i="8" a="1"/>
  <c r="D30" i="8" s="1"/>
  <c r="E30" i="8" a="1"/>
  <c r="E30" i="8" s="1"/>
  <c r="F30" i="8" a="1"/>
  <c r="F30" i="8" s="1"/>
  <c r="G30" i="8" a="1"/>
  <c r="G30" i="8" s="1"/>
  <c r="H30" i="8" a="1"/>
  <c r="H30" i="8" s="1"/>
  <c r="I30" i="8" a="1"/>
  <c r="I30" i="8" s="1"/>
  <c r="B31" i="8" a="1"/>
  <c r="B31" i="8" s="1"/>
  <c r="C31" i="8" a="1"/>
  <c r="C31" i="8" s="1"/>
  <c r="D31" i="8" a="1"/>
  <c r="D31" i="8" s="1"/>
  <c r="E31" i="8" a="1"/>
  <c r="E31" i="8" s="1"/>
  <c r="F31" i="8" a="1"/>
  <c r="F31" i="8" s="1"/>
  <c r="G31" i="8" a="1"/>
  <c r="G31" i="8" s="1"/>
  <c r="H31" i="8" a="1"/>
  <c r="H31" i="8" s="1"/>
  <c r="I31" i="8" a="1"/>
  <c r="I31" i="8" s="1"/>
  <c r="B32" i="8" a="1"/>
  <c r="B32" i="8" s="1"/>
  <c r="C32" i="8" a="1"/>
  <c r="C32" i="8" s="1"/>
  <c r="D32" i="8" a="1"/>
  <c r="D32" i="8" s="1"/>
  <c r="E32" i="8" a="1"/>
  <c r="E32" i="8" s="1"/>
  <c r="F32" i="8" a="1"/>
  <c r="F32" i="8" s="1"/>
  <c r="G32" i="8" a="1"/>
  <c r="G32" i="8" s="1"/>
  <c r="H32" i="8" a="1"/>
  <c r="H32" i="8" s="1"/>
  <c r="I32" i="8" a="1"/>
  <c r="I32" i="8" s="1"/>
  <c r="B33" i="8" a="1"/>
  <c r="B33" i="8" s="1"/>
  <c r="C33" i="8" a="1"/>
  <c r="C33" i="8" s="1"/>
  <c r="D33" i="8" a="1"/>
  <c r="D33" i="8" s="1"/>
  <c r="E33" i="8" a="1"/>
  <c r="E33" i="8" s="1"/>
  <c r="F33" i="8" a="1"/>
  <c r="F33" i="8" s="1"/>
  <c r="G33" i="8" a="1"/>
  <c r="G33" i="8" s="1"/>
  <c r="H33" i="8" a="1"/>
  <c r="H33" i="8" s="1"/>
  <c r="I33" i="8" a="1"/>
  <c r="I33" i="8" s="1"/>
  <c r="B34" i="8" a="1"/>
  <c r="B34" i="8" s="1"/>
  <c r="C34" i="8" a="1"/>
  <c r="C34" i="8" s="1"/>
  <c r="D34" i="8" a="1"/>
  <c r="D34" i="8" s="1"/>
  <c r="E34" i="8" a="1"/>
  <c r="E34" i="8" s="1"/>
  <c r="F34" i="8" a="1"/>
  <c r="F34" i="8" s="1"/>
  <c r="G34" i="8" a="1"/>
  <c r="G34" i="8" s="1"/>
  <c r="H34" i="8" a="1"/>
  <c r="H34" i="8" s="1"/>
  <c r="I34" i="8" a="1"/>
  <c r="I34" i="8" s="1"/>
  <c r="B35" i="8" a="1"/>
  <c r="B35" i="8" s="1"/>
  <c r="C35" i="8" a="1"/>
  <c r="C35" i="8" s="1"/>
  <c r="D35" i="8" a="1"/>
  <c r="D35" i="8" s="1"/>
  <c r="E35" i="8" a="1"/>
  <c r="E35" i="8" s="1"/>
  <c r="F35" i="8" a="1"/>
  <c r="F35" i="8" s="1"/>
  <c r="G35" i="8" a="1"/>
  <c r="G35" i="8" s="1"/>
  <c r="H35" i="8" a="1"/>
  <c r="H35" i="8" s="1"/>
  <c r="I35" i="8" a="1"/>
  <c r="I35" i="8" s="1"/>
  <c r="B36" i="8" a="1"/>
  <c r="B36" i="8" s="1"/>
  <c r="C36" i="8" a="1"/>
  <c r="C36" i="8" s="1"/>
  <c r="D36" i="8" a="1"/>
  <c r="D36" i="8" s="1"/>
  <c r="E36" i="8" a="1"/>
  <c r="E36" i="8" s="1"/>
  <c r="F36" i="8" a="1"/>
  <c r="F36" i="8" s="1"/>
  <c r="G36" i="8" a="1"/>
  <c r="G36" i="8" s="1"/>
  <c r="H36" i="8" a="1"/>
  <c r="H36" i="8" s="1"/>
  <c r="I36" i="8" a="1"/>
  <c r="I36" i="8" s="1"/>
  <c r="B37" i="8" a="1"/>
  <c r="B37" i="8" s="1"/>
  <c r="C37" i="8" a="1"/>
  <c r="C37" i="8" s="1"/>
  <c r="D37" i="8" a="1"/>
  <c r="D37" i="8" s="1"/>
  <c r="E37" i="8" a="1"/>
  <c r="E37" i="8" s="1"/>
  <c r="F37" i="8" a="1"/>
  <c r="F37" i="8" s="1"/>
  <c r="G37" i="8" a="1"/>
  <c r="G37" i="8" s="1"/>
  <c r="H37" i="8" a="1"/>
  <c r="H37" i="8" s="1"/>
  <c r="I37" i="8" a="1"/>
  <c r="I37" i="8" s="1"/>
  <c r="B38" i="8" a="1"/>
  <c r="B38" i="8" s="1"/>
  <c r="C38" i="8" a="1"/>
  <c r="C38" i="8" s="1"/>
  <c r="D38" i="8" a="1"/>
  <c r="D38" i="8" s="1"/>
  <c r="E38" i="8" a="1"/>
  <c r="E38" i="8" s="1"/>
  <c r="F38" i="8" a="1"/>
  <c r="F38" i="8" s="1"/>
  <c r="G38" i="8" a="1"/>
  <c r="G38" i="8" s="1"/>
  <c r="H38" i="8" a="1"/>
  <c r="H38" i="8" s="1"/>
  <c r="I38" i="8" a="1"/>
  <c r="I38" i="8" s="1"/>
  <c r="B39" i="8" a="1"/>
  <c r="B39" i="8" s="1"/>
  <c r="C39" i="8" a="1"/>
  <c r="C39" i="8" s="1"/>
  <c r="D39" i="8" a="1"/>
  <c r="D39" i="8" s="1"/>
  <c r="E39" i="8" a="1"/>
  <c r="E39" i="8" s="1"/>
  <c r="F39" i="8" a="1"/>
  <c r="F39" i="8" s="1"/>
  <c r="G39" i="8" a="1"/>
  <c r="G39" i="8" s="1"/>
  <c r="H39" i="8" a="1"/>
  <c r="H39" i="8" s="1"/>
  <c r="I39" i="8" a="1"/>
  <c r="I39" i="8" s="1"/>
  <c r="B40" i="8" a="1"/>
  <c r="B40" i="8" s="1"/>
  <c r="C40" i="8" a="1"/>
  <c r="C40" i="8" s="1"/>
  <c r="D40" i="8" a="1"/>
  <c r="D40" i="8" s="1"/>
  <c r="E40" i="8" a="1"/>
  <c r="E40" i="8" s="1"/>
  <c r="F40" i="8" a="1"/>
  <c r="F40" i="8" s="1"/>
  <c r="G40" i="8" a="1"/>
  <c r="G40" i="8" s="1"/>
  <c r="H40" i="8" a="1"/>
  <c r="H40" i="8" s="1"/>
  <c r="I40" i="8" a="1"/>
  <c r="I40" i="8" s="1"/>
  <c r="B41" i="8" a="1"/>
  <c r="B41" i="8" s="1"/>
  <c r="C41" i="8" a="1"/>
  <c r="C41" i="8" s="1"/>
  <c r="D41" i="8" a="1"/>
  <c r="D41" i="8" s="1"/>
  <c r="E41" i="8" a="1"/>
  <c r="E41" i="8" s="1"/>
  <c r="F41" i="8" a="1"/>
  <c r="F41" i="8" s="1"/>
  <c r="G41" i="8" a="1"/>
  <c r="G41" i="8" s="1"/>
  <c r="H41" i="8" a="1"/>
  <c r="H41" i="8" s="1"/>
  <c r="I41" i="8" a="1"/>
  <c r="I41" i="8" s="1"/>
  <c r="B42" i="8" a="1"/>
  <c r="B42" i="8" s="1"/>
  <c r="C42" i="8" a="1"/>
  <c r="C42" i="8" s="1"/>
  <c r="D42" i="8" a="1"/>
  <c r="D42" i="8" s="1"/>
  <c r="E42" i="8" a="1"/>
  <c r="E42" i="8" s="1"/>
  <c r="F42" i="8" a="1"/>
  <c r="F42" i="8" s="1"/>
  <c r="G42" i="8" a="1"/>
  <c r="G42" i="8" s="1"/>
  <c r="H42" i="8" a="1"/>
  <c r="H42" i="8" s="1"/>
  <c r="I42" i="8" a="1"/>
  <c r="I42" i="8" s="1"/>
  <c r="B43" i="8" a="1"/>
  <c r="B43" i="8" s="1"/>
  <c r="C43" i="8" a="1"/>
  <c r="C43" i="8" s="1"/>
  <c r="D43" i="8" a="1"/>
  <c r="D43" i="8" s="1"/>
  <c r="E43" i="8" a="1"/>
  <c r="E43" i="8" s="1"/>
  <c r="F43" i="8" a="1"/>
  <c r="F43" i="8" s="1"/>
  <c r="G43" i="8" a="1"/>
  <c r="G43" i="8" s="1"/>
  <c r="H43" i="8" a="1"/>
  <c r="H43" i="8" s="1"/>
  <c r="I43" i="8" a="1"/>
  <c r="I43" i="8" s="1"/>
  <c r="B44" i="8" a="1"/>
  <c r="B44" i="8" s="1"/>
  <c r="C44" i="8" a="1"/>
  <c r="C44" i="8" s="1"/>
  <c r="D44" i="8" a="1"/>
  <c r="D44" i="8" s="1"/>
  <c r="E44" i="8" a="1"/>
  <c r="E44" i="8" s="1"/>
  <c r="F44" i="8" a="1"/>
  <c r="F44" i="8" s="1"/>
  <c r="G44" i="8" a="1"/>
  <c r="G44" i="8" s="1"/>
  <c r="H44" i="8" a="1"/>
  <c r="H44" i="8" s="1"/>
  <c r="I44" i="8" a="1"/>
  <c r="I44" i="8" s="1"/>
  <c r="B45" i="8" a="1"/>
  <c r="B45" i="8" s="1"/>
  <c r="C45" i="8" a="1"/>
  <c r="C45" i="8" s="1"/>
  <c r="D45" i="8" a="1"/>
  <c r="D45" i="8" s="1"/>
  <c r="E45" i="8" a="1"/>
  <c r="E45" i="8" s="1"/>
  <c r="F45" i="8" a="1"/>
  <c r="F45" i="8" s="1"/>
  <c r="G45" i="8" a="1"/>
  <c r="G45" i="8" s="1"/>
  <c r="H45" i="8" a="1"/>
  <c r="H45" i="8" s="1"/>
  <c r="I45" i="8" a="1"/>
  <c r="I45" i="8" s="1"/>
  <c r="B46" i="8" a="1"/>
  <c r="B46" i="8" s="1"/>
  <c r="C46" i="8" a="1"/>
  <c r="C46" i="8" s="1"/>
  <c r="D46" i="8" a="1"/>
  <c r="D46" i="8" s="1"/>
  <c r="E46" i="8" a="1"/>
  <c r="E46" i="8" s="1"/>
  <c r="F46" i="8" a="1"/>
  <c r="F46" i="8" s="1"/>
  <c r="G46" i="8" a="1"/>
  <c r="G46" i="8" s="1"/>
  <c r="H46" i="8" a="1"/>
  <c r="H46" i="8" s="1"/>
  <c r="I46" i="8" a="1"/>
  <c r="I46" i="8" s="1"/>
  <c r="B47" i="8" a="1"/>
  <c r="B47" i="8" s="1"/>
  <c r="C47" i="8" a="1"/>
  <c r="C47" i="8" s="1"/>
  <c r="D47" i="8" a="1"/>
  <c r="D47" i="8" s="1"/>
  <c r="E47" i="8" a="1"/>
  <c r="E47" i="8" s="1"/>
  <c r="F47" i="8" a="1"/>
  <c r="F47" i="8" s="1"/>
  <c r="G47" i="8" a="1"/>
  <c r="G47" i="8" s="1"/>
  <c r="H47" i="8" a="1"/>
  <c r="H47" i="8" s="1"/>
  <c r="I47" i="8" a="1"/>
  <c r="I47" i="8" s="1"/>
  <c r="B48" i="8" a="1"/>
  <c r="B48" i="8" s="1"/>
  <c r="C48" i="8" a="1"/>
  <c r="C48" i="8" s="1"/>
  <c r="D48" i="8" a="1"/>
  <c r="D48" i="8" s="1"/>
  <c r="E48" i="8" a="1"/>
  <c r="E48" i="8" s="1"/>
  <c r="F48" i="8" a="1"/>
  <c r="F48" i="8" s="1"/>
  <c r="G48" i="8" a="1"/>
  <c r="G48" i="8" s="1"/>
  <c r="H48" i="8" a="1"/>
  <c r="H48" i="8" s="1"/>
  <c r="I48" i="8" a="1"/>
  <c r="I48" i="8" s="1"/>
  <c r="B49" i="8" a="1"/>
  <c r="B49" i="8" s="1"/>
  <c r="C49" i="8" a="1"/>
  <c r="C49" i="8" s="1"/>
  <c r="D49" i="8" a="1"/>
  <c r="D49" i="8" s="1"/>
  <c r="E49" i="8" a="1"/>
  <c r="E49" i="8" s="1"/>
  <c r="F49" i="8" a="1"/>
  <c r="F49" i="8" s="1"/>
  <c r="G49" i="8" a="1"/>
  <c r="G49" i="8" s="1"/>
  <c r="H49" i="8" a="1"/>
  <c r="H49" i="8" s="1"/>
  <c r="I49" i="8" a="1"/>
  <c r="I49" i="8" s="1"/>
  <c r="B50" i="8" a="1"/>
  <c r="B50" i="8" s="1"/>
  <c r="C50" i="8" a="1"/>
  <c r="C50" i="8" s="1"/>
  <c r="D50" i="8" a="1"/>
  <c r="D50" i="8" s="1"/>
  <c r="E50" i="8" a="1"/>
  <c r="E50" i="8" s="1"/>
  <c r="F50" i="8" a="1"/>
  <c r="F50" i="8" s="1"/>
  <c r="G50" i="8" a="1"/>
  <c r="G50" i="8" s="1"/>
  <c r="H50" i="8" a="1"/>
  <c r="H50" i="8" s="1"/>
  <c r="I50" i="8" a="1"/>
  <c r="I50" i="8" s="1"/>
  <c r="B51" i="8" a="1"/>
  <c r="B51" i="8" s="1"/>
  <c r="C51" i="8" a="1"/>
  <c r="C51" i="8" s="1"/>
  <c r="D51" i="8" a="1"/>
  <c r="D51" i="8" s="1"/>
  <c r="E51" i="8" a="1"/>
  <c r="E51" i="8" s="1"/>
  <c r="F51" i="8" a="1"/>
  <c r="F51" i="8" s="1"/>
  <c r="G51" i="8" a="1"/>
  <c r="G51" i="8" s="1"/>
  <c r="H51" i="8" a="1"/>
  <c r="H51" i="8" s="1"/>
  <c r="I51" i="8" a="1"/>
  <c r="I51" i="8" s="1"/>
  <c r="B52" i="8" a="1"/>
  <c r="B52" i="8" s="1"/>
  <c r="C52" i="8" a="1"/>
  <c r="C52" i="8" s="1"/>
  <c r="D52" i="8" a="1"/>
  <c r="D52" i="8" s="1"/>
  <c r="E52" i="8" a="1"/>
  <c r="E52" i="8" s="1"/>
  <c r="F52" i="8" a="1"/>
  <c r="F52" i="8" s="1"/>
  <c r="G52" i="8" a="1"/>
  <c r="G52" i="8" s="1"/>
  <c r="H52" i="8" a="1"/>
  <c r="H52" i="8" s="1"/>
  <c r="I52" i="8" a="1"/>
  <c r="I52" i="8" s="1"/>
  <c r="B53" i="8" a="1"/>
  <c r="B53" i="8" s="1"/>
  <c r="C53" i="8" a="1"/>
  <c r="C53" i="8" s="1"/>
  <c r="D53" i="8" a="1"/>
  <c r="D53" i="8" s="1"/>
  <c r="E53" i="8" a="1"/>
  <c r="E53" i="8" s="1"/>
  <c r="F53" i="8" a="1"/>
  <c r="F53" i="8" s="1"/>
  <c r="G53" i="8" a="1"/>
  <c r="G53" i="8" s="1"/>
  <c r="H53" i="8" a="1"/>
  <c r="H53" i="8" s="1"/>
  <c r="I53" i="8" a="1"/>
  <c r="I53" i="8" s="1"/>
  <c r="B54" i="8" a="1"/>
  <c r="B54" i="8" s="1"/>
  <c r="C54" i="8" a="1"/>
  <c r="C54" i="8" s="1"/>
  <c r="D54" i="8" a="1"/>
  <c r="D54" i="8" s="1"/>
  <c r="E54" i="8" a="1"/>
  <c r="E54" i="8" s="1"/>
  <c r="F54" i="8" a="1"/>
  <c r="F54" i="8" s="1"/>
  <c r="G54" i="8" a="1"/>
  <c r="G54" i="8" s="1"/>
  <c r="H54" i="8" a="1"/>
  <c r="H54" i="8" s="1"/>
  <c r="I54" i="8" a="1"/>
  <c r="I54" i="8" s="1"/>
  <c r="B55" i="8" a="1"/>
  <c r="B55" i="8" s="1"/>
  <c r="C55" i="8" a="1"/>
  <c r="C55" i="8" s="1"/>
  <c r="D55" i="8" a="1"/>
  <c r="D55" i="8" s="1"/>
  <c r="E55" i="8" a="1"/>
  <c r="E55" i="8" s="1"/>
  <c r="F55" i="8" a="1"/>
  <c r="F55" i="8" s="1"/>
  <c r="G55" i="8" a="1"/>
  <c r="G55" i="8" s="1"/>
  <c r="H55" i="8" a="1"/>
  <c r="H55" i="8" s="1"/>
  <c r="I55" i="8" a="1"/>
  <c r="I55" i="8" s="1"/>
  <c r="B56" i="8" a="1"/>
  <c r="B56" i="8" s="1"/>
  <c r="C56" i="8" a="1"/>
  <c r="C56" i="8" s="1"/>
  <c r="D56" i="8" a="1"/>
  <c r="D56" i="8" s="1"/>
  <c r="E56" i="8" a="1"/>
  <c r="E56" i="8" s="1"/>
  <c r="F56" i="8" a="1"/>
  <c r="F56" i="8" s="1"/>
  <c r="G56" i="8" a="1"/>
  <c r="G56" i="8" s="1"/>
  <c r="H56" i="8" a="1"/>
  <c r="H56" i="8" s="1"/>
  <c r="I56" i="8" a="1"/>
  <c r="I56" i="8" s="1"/>
  <c r="B57" i="8" a="1"/>
  <c r="B57" i="8" s="1"/>
  <c r="C57" i="8" a="1"/>
  <c r="C57" i="8" s="1"/>
  <c r="D57" i="8" a="1"/>
  <c r="D57" i="8" s="1"/>
  <c r="E57" i="8" a="1"/>
  <c r="E57" i="8" s="1"/>
  <c r="F57" i="8" a="1"/>
  <c r="F57" i="8" s="1"/>
  <c r="G57" i="8" a="1"/>
  <c r="G57" i="8" s="1"/>
  <c r="H57" i="8" a="1"/>
  <c r="H57" i="8" s="1"/>
  <c r="I57" i="8" a="1"/>
  <c r="I57" i="8" s="1"/>
  <c r="B58" i="8" a="1"/>
  <c r="B58" i="8" s="1"/>
  <c r="C58" i="8" a="1"/>
  <c r="C58" i="8" s="1"/>
  <c r="D58" i="8" a="1"/>
  <c r="D58" i="8" s="1"/>
  <c r="E58" i="8" a="1"/>
  <c r="E58" i="8" s="1"/>
  <c r="F58" i="8" a="1"/>
  <c r="F58" i="8" s="1"/>
  <c r="G58" i="8" a="1"/>
  <c r="G58" i="8" s="1"/>
  <c r="H58" i="8" a="1"/>
  <c r="H58" i="8" s="1"/>
  <c r="I58" i="8" a="1"/>
  <c r="I58" i="8" s="1"/>
  <c r="B59" i="8" a="1"/>
  <c r="B59" i="8" s="1"/>
  <c r="C59" i="8" a="1"/>
  <c r="C59" i="8" s="1"/>
  <c r="D59" i="8" a="1"/>
  <c r="D59" i="8" s="1"/>
  <c r="E59" i="8" a="1"/>
  <c r="E59" i="8" s="1"/>
  <c r="F59" i="8" a="1"/>
  <c r="F59" i="8" s="1"/>
  <c r="G59" i="8" a="1"/>
  <c r="G59" i="8" s="1"/>
  <c r="H59" i="8" a="1"/>
  <c r="H59" i="8" s="1"/>
  <c r="I59" i="8" a="1"/>
  <c r="I59" i="8" s="1"/>
  <c r="B60" i="8" a="1"/>
  <c r="B60" i="8" s="1"/>
  <c r="C60" i="8" a="1"/>
  <c r="C60" i="8" s="1"/>
  <c r="D60" i="8" a="1"/>
  <c r="D60" i="8" s="1"/>
  <c r="E60" i="8" a="1"/>
  <c r="E60" i="8" s="1"/>
  <c r="F60" i="8" a="1"/>
  <c r="F60" i="8" s="1"/>
  <c r="G60" i="8" a="1"/>
  <c r="G60" i="8" s="1"/>
  <c r="H60" i="8" a="1"/>
  <c r="H60" i="8" s="1"/>
  <c r="I60" i="8" a="1"/>
  <c r="I60" i="8" s="1"/>
  <c r="B61" i="8" a="1"/>
  <c r="B61" i="8" s="1"/>
  <c r="C61" i="8" a="1"/>
  <c r="C61" i="8" s="1"/>
  <c r="D61" i="8" a="1"/>
  <c r="D61" i="8" s="1"/>
  <c r="E61" i="8" a="1"/>
  <c r="E61" i="8" s="1"/>
  <c r="F61" i="8" a="1"/>
  <c r="F61" i="8" s="1"/>
  <c r="G61" i="8" a="1"/>
  <c r="G61" i="8" s="1"/>
  <c r="H61" i="8" a="1"/>
  <c r="H61" i="8" s="1"/>
  <c r="I61" i="8" a="1"/>
  <c r="I61" i="8" s="1"/>
  <c r="B62" i="8" a="1"/>
  <c r="B62" i="8" s="1"/>
  <c r="C62" i="8" a="1"/>
  <c r="C62" i="8" s="1"/>
  <c r="D62" i="8" a="1"/>
  <c r="D62" i="8" s="1"/>
  <c r="E62" i="8" a="1"/>
  <c r="E62" i="8" s="1"/>
  <c r="F62" i="8" a="1"/>
  <c r="F62" i="8" s="1"/>
  <c r="G62" i="8" a="1"/>
  <c r="G62" i="8" s="1"/>
  <c r="H62" i="8" a="1"/>
  <c r="H62" i="8" s="1"/>
  <c r="I62" i="8" a="1"/>
  <c r="I62" i="8" s="1"/>
  <c r="B63" i="8" a="1"/>
  <c r="B63" i="8" s="1"/>
  <c r="C63" i="8" a="1"/>
  <c r="C63" i="8" s="1"/>
  <c r="D63" i="8" a="1"/>
  <c r="D63" i="8" s="1"/>
  <c r="E63" i="8" a="1"/>
  <c r="E63" i="8" s="1"/>
  <c r="F63" i="8" a="1"/>
  <c r="F63" i="8" s="1"/>
  <c r="G63" i="8" a="1"/>
  <c r="G63" i="8" s="1"/>
  <c r="H63" i="8" a="1"/>
  <c r="H63" i="8" s="1"/>
  <c r="I63" i="8" a="1"/>
  <c r="I63" i="8" s="1"/>
  <c r="B64" i="8" a="1"/>
  <c r="B64" i="8" s="1"/>
  <c r="C64" i="8" a="1"/>
  <c r="C64" i="8" s="1"/>
  <c r="D64" i="8" a="1"/>
  <c r="D64" i="8" s="1"/>
  <c r="E64" i="8" a="1"/>
  <c r="E64" i="8" s="1"/>
  <c r="F64" i="8" a="1"/>
  <c r="F64" i="8" s="1"/>
  <c r="G64" i="8" a="1"/>
  <c r="G64" i="8" s="1"/>
  <c r="H64" i="8" a="1"/>
  <c r="H64" i="8" s="1"/>
  <c r="I64" i="8" a="1"/>
  <c r="I64" i="8" s="1"/>
  <c r="B65" i="8" a="1"/>
  <c r="B65" i="8" s="1"/>
  <c r="C65" i="8" a="1"/>
  <c r="C65" i="8" s="1"/>
  <c r="D65" i="8" a="1"/>
  <c r="D65" i="8" s="1"/>
  <c r="E65" i="8" a="1"/>
  <c r="E65" i="8" s="1"/>
  <c r="F65" i="8" a="1"/>
  <c r="F65" i="8" s="1"/>
  <c r="G65" i="8" a="1"/>
  <c r="G65" i="8" s="1"/>
  <c r="H65" i="8" a="1"/>
  <c r="H65" i="8" s="1"/>
  <c r="I65" i="8" a="1"/>
  <c r="I65" i="8" s="1"/>
  <c r="B66" i="8" a="1"/>
  <c r="B66" i="8" s="1"/>
  <c r="C66" i="8" a="1"/>
  <c r="C66" i="8" s="1"/>
  <c r="D66" i="8" a="1"/>
  <c r="D66" i="8" s="1"/>
  <c r="E66" i="8" a="1"/>
  <c r="E66" i="8" s="1"/>
  <c r="F66" i="8" a="1"/>
  <c r="F66" i="8" s="1"/>
  <c r="G66" i="8" a="1"/>
  <c r="G66" i="8" s="1"/>
  <c r="H66" i="8" a="1"/>
  <c r="H66" i="8" s="1"/>
  <c r="I66" i="8" a="1"/>
  <c r="I66" i="8" s="1"/>
  <c r="B67" i="8" a="1"/>
  <c r="B67" i="8" s="1"/>
  <c r="C67" i="8" a="1"/>
  <c r="C67" i="8" s="1"/>
  <c r="D67" i="8" a="1"/>
  <c r="D67" i="8" s="1"/>
  <c r="E67" i="8" a="1"/>
  <c r="E67" i="8" s="1"/>
  <c r="F67" i="8" a="1"/>
  <c r="F67" i="8" s="1"/>
  <c r="G67" i="8" a="1"/>
  <c r="G67" i="8" s="1"/>
  <c r="H67" i="8" a="1"/>
  <c r="H67" i="8" s="1"/>
  <c r="I67" i="8" a="1"/>
  <c r="I67" i="8" s="1"/>
  <c r="B68" i="8" a="1"/>
  <c r="B68" i="8" s="1"/>
  <c r="C68" i="8" a="1"/>
  <c r="C68" i="8" s="1"/>
  <c r="D68" i="8" a="1"/>
  <c r="D68" i="8" s="1"/>
  <c r="E68" i="8" a="1"/>
  <c r="E68" i="8" s="1"/>
  <c r="F68" i="8" a="1"/>
  <c r="F68" i="8" s="1"/>
  <c r="G68" i="8" a="1"/>
  <c r="G68" i="8" s="1"/>
  <c r="H68" i="8" a="1"/>
  <c r="H68" i="8" s="1"/>
  <c r="I68" i="8" a="1"/>
  <c r="I68" i="8" s="1"/>
  <c r="B69" i="8" a="1"/>
  <c r="B69" i="8" s="1"/>
  <c r="C69" i="8" a="1"/>
  <c r="C69" i="8" s="1"/>
  <c r="D69" i="8" a="1"/>
  <c r="D69" i="8" s="1"/>
  <c r="E69" i="8" a="1"/>
  <c r="E69" i="8" s="1"/>
  <c r="F69" i="8" a="1"/>
  <c r="F69" i="8" s="1"/>
  <c r="G69" i="8" a="1"/>
  <c r="G69" i="8" s="1"/>
  <c r="H69" i="8" a="1"/>
  <c r="H69" i="8" s="1"/>
  <c r="I69" i="8" a="1"/>
  <c r="I69" i="8" s="1"/>
  <c r="B70" i="8" a="1"/>
  <c r="B70" i="8" s="1"/>
  <c r="C70" i="8" a="1"/>
  <c r="C70" i="8" s="1"/>
  <c r="D70" i="8" a="1"/>
  <c r="D70" i="8" s="1"/>
  <c r="E70" i="8" a="1"/>
  <c r="E70" i="8" s="1"/>
  <c r="F70" i="8" a="1"/>
  <c r="F70" i="8" s="1"/>
  <c r="G70" i="8" a="1"/>
  <c r="G70" i="8" s="1"/>
  <c r="H70" i="8" a="1"/>
  <c r="H70" i="8" s="1"/>
  <c r="I70" i="8" a="1"/>
  <c r="I70" i="8" s="1"/>
  <c r="B71" i="8" a="1"/>
  <c r="B71" i="8" s="1"/>
  <c r="C71" i="8" a="1"/>
  <c r="C71" i="8" s="1"/>
  <c r="D71" i="8" a="1"/>
  <c r="D71" i="8" s="1"/>
  <c r="E71" i="8" a="1"/>
  <c r="E71" i="8" s="1"/>
  <c r="F71" i="8" a="1"/>
  <c r="F71" i="8" s="1"/>
  <c r="G71" i="8" a="1"/>
  <c r="G71" i="8" s="1"/>
  <c r="H71" i="8" a="1"/>
  <c r="H71" i="8" s="1"/>
  <c r="I71" i="8" a="1"/>
  <c r="I71" i="8" s="1"/>
  <c r="B72" i="8" a="1"/>
  <c r="B72" i="8" s="1"/>
  <c r="C72" i="8" a="1"/>
  <c r="C72" i="8" s="1"/>
  <c r="D72" i="8" a="1"/>
  <c r="D72" i="8" s="1"/>
  <c r="E72" i="8" a="1"/>
  <c r="E72" i="8" s="1"/>
  <c r="F72" i="8" a="1"/>
  <c r="F72" i="8" s="1"/>
  <c r="G72" i="8" a="1"/>
  <c r="G72" i="8" s="1"/>
  <c r="H72" i="8" a="1"/>
  <c r="H72" i="8" s="1"/>
  <c r="I72" i="8" a="1"/>
  <c r="I72" i="8" s="1"/>
  <c r="B73" i="8" a="1"/>
  <c r="B73" i="8" s="1"/>
  <c r="C73" i="8" a="1"/>
  <c r="C73" i="8" s="1"/>
  <c r="D73" i="8" a="1"/>
  <c r="D73" i="8" s="1"/>
  <c r="E73" i="8" a="1"/>
  <c r="E73" i="8" s="1"/>
  <c r="F73" i="8" a="1"/>
  <c r="F73" i="8" s="1"/>
  <c r="G73" i="8" a="1"/>
  <c r="G73" i="8" s="1"/>
  <c r="H73" i="8" a="1"/>
  <c r="H73" i="8" s="1"/>
  <c r="I73" i="8" a="1"/>
  <c r="I73" i="8" s="1"/>
  <c r="B74" i="8" a="1"/>
  <c r="B74" i="8" s="1"/>
  <c r="C74" i="8" a="1"/>
  <c r="C74" i="8" s="1"/>
  <c r="D74" i="8" a="1"/>
  <c r="D74" i="8" s="1"/>
  <c r="E74" i="8" a="1"/>
  <c r="E74" i="8" s="1"/>
  <c r="F74" i="8" a="1"/>
  <c r="F74" i="8" s="1"/>
  <c r="G74" i="8" a="1"/>
  <c r="G74" i="8" s="1"/>
  <c r="H74" i="8" a="1"/>
  <c r="H74" i="8" s="1"/>
  <c r="I74" i="8" a="1"/>
  <c r="I74" i="8" s="1"/>
  <c r="B75" i="8" a="1"/>
  <c r="B75" i="8" s="1"/>
  <c r="C75" i="8" a="1"/>
  <c r="C75" i="8" s="1"/>
  <c r="D75" i="8" a="1"/>
  <c r="D75" i="8" s="1"/>
  <c r="E75" i="8" a="1"/>
  <c r="E75" i="8" s="1"/>
  <c r="F75" i="8" a="1"/>
  <c r="F75" i="8" s="1"/>
  <c r="G75" i="8" a="1"/>
  <c r="G75" i="8" s="1"/>
  <c r="H75" i="8" a="1"/>
  <c r="H75" i="8" s="1"/>
  <c r="I75" i="8" a="1"/>
  <c r="I75" i="8" s="1"/>
  <c r="B76" i="8" a="1"/>
  <c r="B76" i="8" s="1"/>
  <c r="C76" i="8" a="1"/>
  <c r="C76" i="8" s="1"/>
  <c r="D76" i="8" a="1"/>
  <c r="D76" i="8" s="1"/>
  <c r="E76" i="8" a="1"/>
  <c r="E76" i="8" s="1"/>
  <c r="F76" i="8" a="1"/>
  <c r="F76" i="8" s="1"/>
  <c r="G76" i="8" a="1"/>
  <c r="G76" i="8" s="1"/>
  <c r="H76" i="8" a="1"/>
  <c r="H76" i="8" s="1"/>
  <c r="I76" i="8" a="1"/>
  <c r="I76" i="8" s="1"/>
  <c r="B77" i="8" a="1"/>
  <c r="B77" i="8" s="1"/>
  <c r="C77" i="8" a="1"/>
  <c r="C77" i="8" s="1"/>
  <c r="D77" i="8" a="1"/>
  <c r="D77" i="8" s="1"/>
  <c r="E77" i="8" a="1"/>
  <c r="E77" i="8" s="1"/>
  <c r="F77" i="8" a="1"/>
  <c r="F77" i="8" s="1"/>
  <c r="G77" i="8" a="1"/>
  <c r="G77" i="8" s="1"/>
  <c r="H77" i="8" a="1"/>
  <c r="H77" i="8" s="1"/>
  <c r="I77" i="8" a="1"/>
  <c r="I77" i="8" s="1"/>
  <c r="B78" i="8" a="1"/>
  <c r="B78" i="8" s="1"/>
  <c r="C78" i="8" a="1"/>
  <c r="C78" i="8" s="1"/>
  <c r="D78" i="8" a="1"/>
  <c r="D78" i="8" s="1"/>
  <c r="E78" i="8" a="1"/>
  <c r="E78" i="8" s="1"/>
  <c r="F78" i="8" a="1"/>
  <c r="F78" i="8" s="1"/>
  <c r="G78" i="8" a="1"/>
  <c r="G78" i="8" s="1"/>
  <c r="H78" i="8" a="1"/>
  <c r="H78" i="8" s="1"/>
  <c r="I78" i="8" a="1"/>
  <c r="I78" i="8" s="1"/>
  <c r="B79" i="8" a="1"/>
  <c r="B79" i="8" s="1"/>
  <c r="C79" i="8" a="1"/>
  <c r="C79" i="8" s="1"/>
  <c r="D79" i="8" a="1"/>
  <c r="D79" i="8" s="1"/>
  <c r="E79" i="8" a="1"/>
  <c r="E79" i="8" s="1"/>
  <c r="F79" i="8" a="1"/>
  <c r="F79" i="8" s="1"/>
  <c r="G79" i="8" a="1"/>
  <c r="G79" i="8" s="1"/>
  <c r="H79" i="8" a="1"/>
  <c r="H79" i="8" s="1"/>
  <c r="I79" i="8" a="1"/>
  <c r="I79" i="8" s="1"/>
  <c r="B80" i="8" a="1"/>
  <c r="B80" i="8" s="1"/>
  <c r="C80" i="8" a="1"/>
  <c r="C80" i="8" s="1"/>
  <c r="D80" i="8" a="1"/>
  <c r="D80" i="8" s="1"/>
  <c r="E80" i="8" a="1"/>
  <c r="E80" i="8" s="1"/>
  <c r="F80" i="8" a="1"/>
  <c r="F80" i="8" s="1"/>
  <c r="G80" i="8" a="1"/>
  <c r="G80" i="8" s="1"/>
  <c r="H80" i="8" a="1"/>
  <c r="H80" i="8" s="1"/>
  <c r="I80" i="8" a="1"/>
  <c r="I80" i="8" s="1"/>
  <c r="B81" i="8" a="1"/>
  <c r="B81" i="8" s="1"/>
  <c r="C81" i="8" a="1"/>
  <c r="C81" i="8" s="1"/>
  <c r="D81" i="8" a="1"/>
  <c r="D81" i="8" s="1"/>
  <c r="E81" i="8" a="1"/>
  <c r="E81" i="8" s="1"/>
  <c r="F81" i="8" a="1"/>
  <c r="F81" i="8" s="1"/>
  <c r="G81" i="8" a="1"/>
  <c r="G81" i="8" s="1"/>
  <c r="H81" i="8" a="1"/>
  <c r="H81" i="8" s="1"/>
  <c r="I81" i="8" a="1"/>
  <c r="I81" i="8" s="1"/>
  <c r="B82" i="8" a="1"/>
  <c r="B82" i="8" s="1"/>
  <c r="C82" i="8" a="1"/>
  <c r="C82" i="8" s="1"/>
  <c r="D82" i="8" a="1"/>
  <c r="D82" i="8" s="1"/>
  <c r="E82" i="8" a="1"/>
  <c r="E82" i="8" s="1"/>
  <c r="F82" i="8" a="1"/>
  <c r="F82" i="8" s="1"/>
  <c r="G82" i="8" a="1"/>
  <c r="G82" i="8" s="1"/>
  <c r="H82" i="8" a="1"/>
  <c r="H82" i="8" s="1"/>
  <c r="I82" i="8" a="1"/>
  <c r="I82" i="8" s="1"/>
  <c r="B83" i="8" a="1"/>
  <c r="B83" i="8" s="1"/>
  <c r="C83" i="8" a="1"/>
  <c r="C83" i="8" s="1"/>
  <c r="D83" i="8" a="1"/>
  <c r="D83" i="8" s="1"/>
  <c r="E83" i="8" a="1"/>
  <c r="E83" i="8" s="1"/>
  <c r="F83" i="8" a="1"/>
  <c r="F83" i="8" s="1"/>
  <c r="G83" i="8" a="1"/>
  <c r="G83" i="8" s="1"/>
  <c r="H83" i="8" a="1"/>
  <c r="H83" i="8" s="1"/>
  <c r="I83" i="8" a="1"/>
  <c r="I83" i="8" s="1"/>
  <c r="B84" i="8" a="1"/>
  <c r="B84" i="8" s="1"/>
  <c r="C84" i="8" a="1"/>
  <c r="C84" i="8" s="1"/>
  <c r="D84" i="8" a="1"/>
  <c r="D84" i="8" s="1"/>
  <c r="E84" i="8" a="1"/>
  <c r="E84" i="8" s="1"/>
  <c r="F84" i="8" a="1"/>
  <c r="F84" i="8" s="1"/>
  <c r="G84" i="8" a="1"/>
  <c r="G84" i="8" s="1"/>
  <c r="H84" i="8" a="1"/>
  <c r="H84" i="8" s="1"/>
  <c r="I84" i="8" a="1"/>
  <c r="I84" i="8" s="1"/>
  <c r="B85" i="8" a="1"/>
  <c r="B85" i="8" s="1"/>
  <c r="C85" i="8" a="1"/>
  <c r="C85" i="8" s="1"/>
  <c r="D85" i="8" a="1"/>
  <c r="D85" i="8" s="1"/>
  <c r="E85" i="8" a="1"/>
  <c r="E85" i="8" s="1"/>
  <c r="F85" i="8" a="1"/>
  <c r="F85" i="8" s="1"/>
  <c r="G85" i="8" a="1"/>
  <c r="G85" i="8" s="1"/>
  <c r="H85" i="8" a="1"/>
  <c r="H85" i="8" s="1"/>
  <c r="I85" i="8" a="1"/>
  <c r="I85" i="8" s="1"/>
  <c r="B86" i="8" a="1"/>
  <c r="B86" i="8" s="1"/>
  <c r="C86" i="8" a="1"/>
  <c r="C86" i="8" s="1"/>
  <c r="D86" i="8" a="1"/>
  <c r="D86" i="8" s="1"/>
  <c r="E86" i="8" a="1"/>
  <c r="E86" i="8" s="1"/>
  <c r="F86" i="8" a="1"/>
  <c r="F86" i="8" s="1"/>
  <c r="G86" i="8" a="1"/>
  <c r="G86" i="8" s="1"/>
  <c r="H86" i="8" a="1"/>
  <c r="H86" i="8" s="1"/>
  <c r="I86" i="8" a="1"/>
  <c r="I86" i="8" s="1"/>
  <c r="B87" i="8" a="1"/>
  <c r="B87" i="8" s="1"/>
  <c r="C87" i="8" a="1"/>
  <c r="C87" i="8" s="1"/>
  <c r="D87" i="8" a="1"/>
  <c r="D87" i="8" s="1"/>
  <c r="E87" i="8" a="1"/>
  <c r="E87" i="8" s="1"/>
  <c r="F87" i="8" a="1"/>
  <c r="F87" i="8" s="1"/>
  <c r="G87" i="8" a="1"/>
  <c r="G87" i="8" s="1"/>
  <c r="H87" i="8" a="1"/>
  <c r="H87" i="8" s="1"/>
  <c r="I87" i="8" a="1"/>
  <c r="I87" i="8" s="1"/>
  <c r="B88" i="8" a="1"/>
  <c r="B88" i="8" s="1"/>
  <c r="C88" i="8" a="1"/>
  <c r="C88" i="8" s="1"/>
  <c r="D88" i="8" a="1"/>
  <c r="D88" i="8" s="1"/>
  <c r="E88" i="8" a="1"/>
  <c r="E88" i="8" s="1"/>
  <c r="F88" i="8" a="1"/>
  <c r="F88" i="8" s="1"/>
  <c r="G88" i="8" a="1"/>
  <c r="G88" i="8" s="1"/>
  <c r="H88" i="8" a="1"/>
  <c r="H88" i="8" s="1"/>
  <c r="I88" i="8" a="1"/>
  <c r="I88" i="8" s="1"/>
  <c r="B89" i="8" a="1"/>
  <c r="B89" i="8" s="1"/>
  <c r="C89" i="8" a="1"/>
  <c r="C89" i="8" s="1"/>
  <c r="D89" i="8" a="1"/>
  <c r="D89" i="8" s="1"/>
  <c r="E89" i="8" a="1"/>
  <c r="E89" i="8" s="1"/>
  <c r="F89" i="8" a="1"/>
  <c r="F89" i="8" s="1"/>
  <c r="G89" i="8" a="1"/>
  <c r="G89" i="8" s="1"/>
  <c r="H89" i="8" a="1"/>
  <c r="H89" i="8" s="1"/>
  <c r="I89" i="8" a="1"/>
  <c r="I89" i="8" s="1"/>
  <c r="B90" i="8" a="1"/>
  <c r="B90" i="8" s="1"/>
  <c r="C90" i="8" a="1"/>
  <c r="C90" i="8" s="1"/>
  <c r="D90" i="8" a="1"/>
  <c r="D90" i="8" s="1"/>
  <c r="E90" i="8" a="1"/>
  <c r="E90" i="8" s="1"/>
  <c r="F90" i="8" a="1"/>
  <c r="F90" i="8" s="1"/>
  <c r="G90" i="8" a="1"/>
  <c r="G90" i="8" s="1"/>
  <c r="H90" i="8" a="1"/>
  <c r="H90" i="8" s="1"/>
  <c r="I90" i="8" a="1"/>
  <c r="I90" i="8" s="1"/>
  <c r="B91" i="8" a="1"/>
  <c r="B91" i="8" s="1"/>
  <c r="C91" i="8" a="1"/>
  <c r="C91" i="8" s="1"/>
  <c r="D91" i="8" a="1"/>
  <c r="D91" i="8" s="1"/>
  <c r="E91" i="8" a="1"/>
  <c r="E91" i="8" s="1"/>
  <c r="F91" i="8" a="1"/>
  <c r="F91" i="8" s="1"/>
  <c r="G91" i="8" a="1"/>
  <c r="G91" i="8" s="1"/>
  <c r="H91" i="8" a="1"/>
  <c r="H91" i="8" s="1"/>
  <c r="I91" i="8" a="1"/>
  <c r="I91" i="8" s="1"/>
  <c r="B92" i="8" a="1"/>
  <c r="B92" i="8" s="1"/>
  <c r="C92" i="8" a="1"/>
  <c r="C92" i="8" s="1"/>
  <c r="D92" i="8" a="1"/>
  <c r="D92" i="8" s="1"/>
  <c r="E92" i="8" a="1"/>
  <c r="E92" i="8" s="1"/>
  <c r="F92" i="8" a="1"/>
  <c r="F92" i="8" s="1"/>
  <c r="G92" i="8" a="1"/>
  <c r="G92" i="8" s="1"/>
  <c r="H92" i="8" a="1"/>
  <c r="H92" i="8" s="1"/>
  <c r="I92" i="8" a="1"/>
  <c r="I92" i="8" s="1"/>
  <c r="B93" i="8" a="1"/>
  <c r="B93" i="8" s="1"/>
  <c r="C93" i="8" a="1"/>
  <c r="C93" i="8" s="1"/>
  <c r="D93" i="8" a="1"/>
  <c r="D93" i="8" s="1"/>
  <c r="E93" i="8" a="1"/>
  <c r="E93" i="8" s="1"/>
  <c r="F93" i="8" a="1"/>
  <c r="F93" i="8" s="1"/>
  <c r="G93" i="8" a="1"/>
  <c r="G93" i="8" s="1"/>
  <c r="H93" i="8" a="1"/>
  <c r="H93" i="8" s="1"/>
  <c r="I93" i="8" a="1"/>
  <c r="I93" i="8" s="1"/>
  <c r="B94" i="8" a="1"/>
  <c r="B94" i="8" s="1"/>
  <c r="C94" i="8" a="1"/>
  <c r="C94" i="8" s="1"/>
  <c r="D94" i="8" a="1"/>
  <c r="D94" i="8" s="1"/>
  <c r="E94" i="8" a="1"/>
  <c r="E94" i="8" s="1"/>
  <c r="F94" i="8" a="1"/>
  <c r="F94" i="8" s="1"/>
  <c r="G94" i="8" a="1"/>
  <c r="G94" i="8" s="1"/>
  <c r="H94" i="8" a="1"/>
  <c r="H94" i="8" s="1"/>
  <c r="I94" i="8" a="1"/>
  <c r="I94" i="8" s="1"/>
  <c r="B95" i="8" a="1"/>
  <c r="B95" i="8" s="1"/>
  <c r="C95" i="8" a="1"/>
  <c r="C95" i="8" s="1"/>
  <c r="D95" i="8" a="1"/>
  <c r="D95" i="8" s="1"/>
  <c r="E95" i="8" a="1"/>
  <c r="E95" i="8" s="1"/>
  <c r="F95" i="8" a="1"/>
  <c r="F95" i="8" s="1"/>
  <c r="G95" i="8" a="1"/>
  <c r="G95" i="8" s="1"/>
  <c r="H95" i="8" a="1"/>
  <c r="H95" i="8" s="1"/>
  <c r="I95" i="8" a="1"/>
  <c r="I95" i="8" s="1"/>
  <c r="B96" i="8" a="1"/>
  <c r="B96" i="8" s="1"/>
  <c r="C96" i="8" a="1"/>
  <c r="C96" i="8" s="1"/>
  <c r="D96" i="8" a="1"/>
  <c r="D96" i="8" s="1"/>
  <c r="E96" i="8" a="1"/>
  <c r="E96" i="8" s="1"/>
  <c r="F96" i="8" a="1"/>
  <c r="F96" i="8" s="1"/>
  <c r="G96" i="8" a="1"/>
  <c r="G96" i="8" s="1"/>
  <c r="H96" i="8" a="1"/>
  <c r="H96" i="8" s="1"/>
  <c r="I96" i="8" a="1"/>
  <c r="I96" i="8" s="1"/>
  <c r="B97" i="8" a="1"/>
  <c r="B97" i="8" s="1"/>
  <c r="C97" i="8" a="1"/>
  <c r="C97" i="8" s="1"/>
  <c r="D97" i="8" a="1"/>
  <c r="D97" i="8" s="1"/>
  <c r="E97" i="8" a="1"/>
  <c r="E97" i="8" s="1"/>
  <c r="F97" i="8" a="1"/>
  <c r="F97" i="8" s="1"/>
  <c r="G97" i="8" a="1"/>
  <c r="G97" i="8" s="1"/>
  <c r="H97" i="8" a="1"/>
  <c r="H97" i="8" s="1"/>
  <c r="I97" i="8" a="1"/>
  <c r="I97" i="8" s="1"/>
  <c r="B98" i="8" a="1"/>
  <c r="B98" i="8" s="1"/>
  <c r="C98" i="8" a="1"/>
  <c r="C98" i="8" s="1"/>
  <c r="D98" i="8" a="1"/>
  <c r="D98" i="8" s="1"/>
  <c r="E98" i="8" a="1"/>
  <c r="E98" i="8" s="1"/>
  <c r="F98" i="8" a="1"/>
  <c r="F98" i="8" s="1"/>
  <c r="G98" i="8" a="1"/>
  <c r="G98" i="8" s="1"/>
  <c r="H98" i="8" a="1"/>
  <c r="H98" i="8" s="1"/>
  <c r="I98" i="8" a="1"/>
  <c r="I98" i="8" s="1"/>
  <c r="B99" i="8" a="1"/>
  <c r="B99" i="8" s="1"/>
  <c r="C99" i="8" a="1"/>
  <c r="C99" i="8" s="1"/>
  <c r="D99" i="8" a="1"/>
  <c r="D99" i="8" s="1"/>
  <c r="E99" i="8" a="1"/>
  <c r="E99" i="8" s="1"/>
  <c r="F99" i="8" a="1"/>
  <c r="F99" i="8" s="1"/>
  <c r="G99" i="8" a="1"/>
  <c r="G99" i="8" s="1"/>
  <c r="H99" i="8" a="1"/>
  <c r="H99" i="8" s="1"/>
  <c r="I99" i="8" a="1"/>
  <c r="I99" i="8" s="1"/>
  <c r="B100" i="8" a="1"/>
  <c r="B100" i="8" s="1"/>
  <c r="C100" i="8" a="1"/>
  <c r="C100" i="8" s="1"/>
  <c r="D100" i="8" a="1"/>
  <c r="D100" i="8" s="1"/>
  <c r="E100" i="8" a="1"/>
  <c r="E100" i="8" s="1"/>
  <c r="F100" i="8" a="1"/>
  <c r="F100" i="8" s="1"/>
  <c r="G100" i="8" a="1"/>
  <c r="G100" i="8" s="1"/>
  <c r="H100" i="8" a="1"/>
  <c r="H100" i="8" s="1"/>
  <c r="I100" i="8" a="1"/>
  <c r="I100" i="8" s="1"/>
  <c r="B101" i="8" a="1"/>
  <c r="B101" i="8" s="1"/>
  <c r="C101" i="8" a="1"/>
  <c r="C101" i="8" s="1"/>
  <c r="D101" i="8" a="1"/>
  <c r="D101" i="8" s="1"/>
  <c r="E101" i="8" a="1"/>
  <c r="E101" i="8" s="1"/>
  <c r="F101" i="8" a="1"/>
  <c r="F101" i="8" s="1"/>
  <c r="G101" i="8" a="1"/>
  <c r="G101" i="8" s="1"/>
  <c r="H101" i="8" a="1"/>
  <c r="H101" i="8" s="1"/>
  <c r="I101" i="8" a="1"/>
  <c r="I101" i="8" s="1"/>
  <c r="B102" i="8" a="1"/>
  <c r="B102" i="8" s="1"/>
  <c r="C102" i="8" a="1"/>
  <c r="C102" i="8" s="1"/>
  <c r="D102" i="8" a="1"/>
  <c r="D102" i="8" s="1"/>
  <c r="E102" i="8" a="1"/>
  <c r="E102" i="8" s="1"/>
  <c r="F102" i="8" a="1"/>
  <c r="F102" i="8" s="1"/>
  <c r="G102" i="8" a="1"/>
  <c r="G102" i="8" s="1"/>
  <c r="H102" i="8" a="1"/>
  <c r="H102" i="8" s="1"/>
  <c r="I102" i="8" a="1"/>
  <c r="I102" i="8" s="1"/>
  <c r="B103" i="8" a="1"/>
  <c r="B103" i="8" s="1"/>
  <c r="C103" i="8" a="1"/>
  <c r="C103" i="8" s="1"/>
  <c r="D103" i="8" a="1"/>
  <c r="D103" i="8" s="1"/>
  <c r="E103" i="8" a="1"/>
  <c r="E103" i="8" s="1"/>
  <c r="F103" i="8" a="1"/>
  <c r="F103" i="8" s="1"/>
  <c r="G103" i="8" a="1"/>
  <c r="G103" i="8" s="1"/>
  <c r="H103" i="8" a="1"/>
  <c r="H103" i="8" s="1"/>
  <c r="I103" i="8" a="1"/>
  <c r="I103" i="8" s="1"/>
  <c r="B104" i="8" a="1"/>
  <c r="B104" i="8" s="1"/>
  <c r="C104" i="8" a="1"/>
  <c r="C104" i="8" s="1"/>
  <c r="D104" i="8" a="1"/>
  <c r="D104" i="8" s="1"/>
  <c r="E104" i="8" a="1"/>
  <c r="E104" i="8" s="1"/>
  <c r="F104" i="8" a="1"/>
  <c r="F104" i="8" s="1"/>
  <c r="G104" i="8" a="1"/>
  <c r="G104" i="8" s="1"/>
  <c r="H104" i="8" a="1"/>
  <c r="H104" i="8" s="1"/>
  <c r="I104" i="8" a="1"/>
  <c r="I104" i="8" s="1"/>
  <c r="B105" i="8" a="1"/>
  <c r="B105" i="8" s="1"/>
  <c r="C105" i="8" a="1"/>
  <c r="C105" i="8" s="1"/>
  <c r="D105" i="8" a="1"/>
  <c r="D105" i="8" s="1"/>
  <c r="E105" i="8" a="1"/>
  <c r="E105" i="8" s="1"/>
  <c r="F105" i="8" a="1"/>
  <c r="F105" i="8" s="1"/>
  <c r="G105" i="8" a="1"/>
  <c r="G105" i="8" s="1"/>
  <c r="H105" i="8" a="1"/>
  <c r="H105" i="8" s="1"/>
  <c r="I105" i="8" a="1"/>
  <c r="I105" i="8" s="1"/>
  <c r="B106" i="8" a="1"/>
  <c r="B106" i="8" s="1"/>
  <c r="C106" i="8" a="1"/>
  <c r="C106" i="8" s="1"/>
  <c r="D106" i="8" a="1"/>
  <c r="D106" i="8" s="1"/>
  <c r="E106" i="8" a="1"/>
  <c r="E106" i="8" s="1"/>
  <c r="F106" i="8" a="1"/>
  <c r="F106" i="8" s="1"/>
  <c r="G106" i="8" a="1"/>
  <c r="G106" i="8" s="1"/>
  <c r="H106" i="8" a="1"/>
  <c r="H106" i="8" s="1"/>
  <c r="I106" i="8" a="1"/>
  <c r="I106" i="8" s="1"/>
  <c r="B107" i="8" a="1"/>
  <c r="B107" i="8" s="1"/>
  <c r="C107" i="8" a="1"/>
  <c r="C107" i="8" s="1"/>
  <c r="D107" i="8" a="1"/>
  <c r="D107" i="8" s="1"/>
  <c r="E107" i="8" a="1"/>
  <c r="E107" i="8" s="1"/>
  <c r="F107" i="8" a="1"/>
  <c r="F107" i="8" s="1"/>
  <c r="G107" i="8" a="1"/>
  <c r="G107" i="8" s="1"/>
  <c r="H107" i="8" a="1"/>
  <c r="H107" i="8" s="1"/>
  <c r="I107" i="8" a="1"/>
  <c r="I107" i="8" s="1"/>
  <c r="B108" i="8" a="1"/>
  <c r="B108" i="8" s="1"/>
  <c r="C108" i="8" a="1"/>
  <c r="C108" i="8" s="1"/>
  <c r="D108" i="8" a="1"/>
  <c r="D108" i="8" s="1"/>
  <c r="E108" i="8" a="1"/>
  <c r="E108" i="8" s="1"/>
  <c r="F108" i="8" a="1"/>
  <c r="F108" i="8" s="1"/>
  <c r="G108" i="8" a="1"/>
  <c r="G108" i="8" s="1"/>
  <c r="H108" i="8" a="1"/>
  <c r="H108" i="8" s="1"/>
  <c r="I108" i="8" a="1"/>
  <c r="I108" i="8" s="1"/>
  <c r="B109" i="8" a="1"/>
  <c r="B109" i="8" s="1"/>
  <c r="C109" i="8" a="1"/>
  <c r="C109" i="8" s="1"/>
  <c r="D109" i="8" a="1"/>
  <c r="D109" i="8" s="1"/>
  <c r="E109" i="8" a="1"/>
  <c r="E109" i="8" s="1"/>
  <c r="F109" i="8" a="1"/>
  <c r="F109" i="8" s="1"/>
  <c r="G109" i="8" a="1"/>
  <c r="G109" i="8" s="1"/>
  <c r="H109" i="8" a="1"/>
  <c r="H109" i="8" s="1"/>
  <c r="I109" i="8" a="1"/>
  <c r="I109" i="8" s="1"/>
  <c r="B110" i="8" a="1"/>
  <c r="B110" i="8" s="1"/>
  <c r="C110" i="8" a="1"/>
  <c r="C110" i="8" s="1"/>
  <c r="D110" i="8" a="1"/>
  <c r="D110" i="8" s="1"/>
  <c r="E110" i="8" a="1"/>
  <c r="E110" i="8" s="1"/>
  <c r="F110" i="8" a="1"/>
  <c r="F110" i="8" s="1"/>
  <c r="G110" i="8" a="1"/>
  <c r="G110" i="8" s="1"/>
  <c r="H110" i="8" a="1"/>
  <c r="H110" i="8" s="1"/>
  <c r="I110" i="8" a="1"/>
  <c r="I110" i="8" s="1"/>
  <c r="B111" i="8" a="1"/>
  <c r="B111" i="8" s="1"/>
  <c r="C111" i="8" a="1"/>
  <c r="C111" i="8" s="1"/>
  <c r="D111" i="8" a="1"/>
  <c r="D111" i="8" s="1"/>
  <c r="E111" i="8" a="1"/>
  <c r="E111" i="8" s="1"/>
  <c r="F111" i="8" a="1"/>
  <c r="F111" i="8" s="1"/>
  <c r="G111" i="8" a="1"/>
  <c r="G111" i="8" s="1"/>
  <c r="H111" i="8" a="1"/>
  <c r="H111" i="8" s="1"/>
  <c r="I111" i="8" a="1"/>
  <c r="I111" i="8" s="1"/>
  <c r="B112" i="8" a="1"/>
  <c r="B112" i="8" s="1"/>
  <c r="C112" i="8" a="1"/>
  <c r="C112" i="8" s="1"/>
  <c r="D112" i="8" a="1"/>
  <c r="D112" i="8" s="1"/>
  <c r="E112" i="8" a="1"/>
  <c r="E112" i="8" s="1"/>
  <c r="F112" i="8" a="1"/>
  <c r="F112" i="8" s="1"/>
  <c r="G112" i="8" a="1"/>
  <c r="G112" i="8" s="1"/>
  <c r="H112" i="8" a="1"/>
  <c r="H112" i="8" s="1"/>
  <c r="I112" i="8" a="1"/>
  <c r="I112" i="8" s="1"/>
  <c r="B113" i="8" a="1"/>
  <c r="B113" i="8" s="1"/>
  <c r="C113" i="8" a="1"/>
  <c r="C113" i="8" s="1"/>
  <c r="D113" i="8" a="1"/>
  <c r="D113" i="8" s="1"/>
  <c r="E113" i="8" a="1"/>
  <c r="E113" i="8" s="1"/>
  <c r="F113" i="8" a="1"/>
  <c r="F113" i="8" s="1"/>
  <c r="G113" i="8" a="1"/>
  <c r="G113" i="8" s="1"/>
  <c r="H113" i="8" a="1"/>
  <c r="H113" i="8" s="1"/>
  <c r="I113" i="8" a="1"/>
  <c r="I113" i="8" s="1"/>
  <c r="B114" i="8" a="1"/>
  <c r="B114" i="8" s="1"/>
  <c r="C114" i="8" a="1"/>
  <c r="C114" i="8" s="1"/>
  <c r="D114" i="8" a="1"/>
  <c r="D114" i="8" s="1"/>
  <c r="E114" i="8" a="1"/>
  <c r="E114" i="8" s="1"/>
  <c r="F114" i="8" a="1"/>
  <c r="F114" i="8" s="1"/>
  <c r="G114" i="8" a="1"/>
  <c r="G114" i="8" s="1"/>
  <c r="H114" i="8" a="1"/>
  <c r="H114" i="8" s="1"/>
  <c r="I114" i="8" a="1"/>
  <c r="I114" i="8" s="1"/>
  <c r="B115" i="8" a="1"/>
  <c r="B115" i="8" s="1"/>
  <c r="C115" i="8" a="1"/>
  <c r="C115" i="8" s="1"/>
  <c r="D115" i="8" a="1"/>
  <c r="D115" i="8" s="1"/>
  <c r="E115" i="8" a="1"/>
  <c r="E115" i="8" s="1"/>
  <c r="F115" i="8" a="1"/>
  <c r="F115" i="8" s="1"/>
  <c r="G115" i="8" a="1"/>
  <c r="G115" i="8" s="1"/>
  <c r="H115" i="8" a="1"/>
  <c r="H115" i="8" s="1"/>
  <c r="I115" i="8" a="1"/>
  <c r="I115" i="8" s="1"/>
  <c r="B116" i="8" a="1"/>
  <c r="B116" i="8" s="1"/>
  <c r="C116" i="8" a="1"/>
  <c r="C116" i="8" s="1"/>
  <c r="D116" i="8" a="1"/>
  <c r="D116" i="8" s="1"/>
  <c r="E116" i="8" a="1"/>
  <c r="E116" i="8" s="1"/>
  <c r="F116" i="8" a="1"/>
  <c r="F116" i="8" s="1"/>
  <c r="G116" i="8" a="1"/>
  <c r="G116" i="8" s="1"/>
  <c r="H116" i="8" a="1"/>
  <c r="H116" i="8" s="1"/>
  <c r="I116" i="8" a="1"/>
  <c r="I116" i="8" s="1"/>
  <c r="B117" i="8" a="1"/>
  <c r="B117" i="8" s="1"/>
  <c r="C117" i="8" a="1"/>
  <c r="C117" i="8" s="1"/>
  <c r="D117" i="8" a="1"/>
  <c r="D117" i="8" s="1"/>
  <c r="E117" i="8" a="1"/>
  <c r="E117" i="8" s="1"/>
  <c r="F117" i="8" a="1"/>
  <c r="F117" i="8" s="1"/>
  <c r="G117" i="8" a="1"/>
  <c r="G117" i="8" s="1"/>
  <c r="H117" i="8" a="1"/>
  <c r="H117" i="8" s="1"/>
  <c r="I117" i="8" a="1"/>
  <c r="I117" i="8" s="1"/>
  <c r="B118" i="8" a="1"/>
  <c r="B118" i="8" s="1"/>
  <c r="C118" i="8" a="1"/>
  <c r="C118" i="8" s="1"/>
  <c r="D118" i="8" a="1"/>
  <c r="D118" i="8" s="1"/>
  <c r="E118" i="8" a="1"/>
  <c r="E118" i="8" s="1"/>
  <c r="F118" i="8" a="1"/>
  <c r="F118" i="8" s="1"/>
  <c r="G118" i="8" a="1"/>
  <c r="G118" i="8" s="1"/>
  <c r="H118" i="8" a="1"/>
  <c r="H118" i="8" s="1"/>
  <c r="I118" i="8" a="1"/>
  <c r="I118" i="8" s="1"/>
  <c r="B119" i="8" a="1"/>
  <c r="B119" i="8" s="1"/>
  <c r="C119" i="8" a="1"/>
  <c r="C119" i="8" s="1"/>
  <c r="D119" i="8" a="1"/>
  <c r="D119" i="8" s="1"/>
  <c r="E119" i="8" a="1"/>
  <c r="E119" i="8" s="1"/>
  <c r="F119" i="8" a="1"/>
  <c r="F119" i="8" s="1"/>
  <c r="G119" i="8" a="1"/>
  <c r="G119" i="8" s="1"/>
  <c r="H119" i="8" a="1"/>
  <c r="H119" i="8" s="1"/>
  <c r="I119" i="8" a="1"/>
  <c r="I119" i="8" s="1"/>
  <c r="B120" i="8" a="1"/>
  <c r="B120" i="8" s="1"/>
  <c r="C120" i="8" a="1"/>
  <c r="C120" i="8" s="1"/>
  <c r="D120" i="8" a="1"/>
  <c r="D120" i="8" s="1"/>
  <c r="E120" i="8" a="1"/>
  <c r="E120" i="8" s="1"/>
  <c r="F120" i="8" a="1"/>
  <c r="F120" i="8" s="1"/>
  <c r="G120" i="8" a="1"/>
  <c r="G120" i="8" s="1"/>
  <c r="H120" i="8" a="1"/>
  <c r="H120" i="8" s="1"/>
  <c r="I120" i="8" a="1"/>
  <c r="I120" i="8" s="1"/>
  <c r="B121" i="8" a="1"/>
  <c r="B121" i="8" s="1"/>
  <c r="C121" i="8" a="1"/>
  <c r="C121" i="8" s="1"/>
  <c r="D121" i="8" a="1"/>
  <c r="D121" i="8" s="1"/>
  <c r="E121" i="8" a="1"/>
  <c r="E121" i="8" s="1"/>
  <c r="F121" i="8" a="1"/>
  <c r="F121" i="8" s="1"/>
  <c r="G121" i="8" a="1"/>
  <c r="G121" i="8" s="1"/>
  <c r="H121" i="8" a="1"/>
  <c r="H121" i="8" s="1"/>
  <c r="I121" i="8" a="1"/>
  <c r="I121" i="8" s="1"/>
  <c r="B122" i="8" a="1"/>
  <c r="B122" i="8" s="1"/>
  <c r="C122" i="8" a="1"/>
  <c r="C122" i="8" s="1"/>
  <c r="D122" i="8" a="1"/>
  <c r="D122" i="8" s="1"/>
  <c r="E122" i="8" a="1"/>
  <c r="E122" i="8" s="1"/>
  <c r="F122" i="8" a="1"/>
  <c r="F122" i="8" s="1"/>
  <c r="G122" i="8" a="1"/>
  <c r="G122" i="8" s="1"/>
  <c r="H122" i="8" a="1"/>
  <c r="H122" i="8" s="1"/>
  <c r="I122" i="8" a="1"/>
  <c r="I122" i="8" s="1"/>
  <c r="B123" i="8" a="1"/>
  <c r="B123" i="8" s="1"/>
  <c r="C123" i="8" a="1"/>
  <c r="C123" i="8" s="1"/>
  <c r="D123" i="8" a="1"/>
  <c r="D123" i="8" s="1"/>
  <c r="E123" i="8" a="1"/>
  <c r="E123" i="8" s="1"/>
  <c r="F123" i="8" a="1"/>
  <c r="F123" i="8" s="1"/>
  <c r="G123" i="8" a="1"/>
  <c r="G123" i="8" s="1"/>
  <c r="H123" i="8" a="1"/>
  <c r="H123" i="8" s="1"/>
  <c r="I123" i="8" a="1"/>
  <c r="I123" i="8" s="1"/>
  <c r="B124" i="8" a="1"/>
  <c r="B124" i="8" s="1"/>
  <c r="C124" i="8" a="1"/>
  <c r="C124" i="8" s="1"/>
  <c r="D124" i="8" a="1"/>
  <c r="D124" i="8" s="1"/>
  <c r="E124" i="8" a="1"/>
  <c r="E124" i="8" s="1"/>
  <c r="F124" i="8" a="1"/>
  <c r="F124" i="8" s="1"/>
  <c r="G124" i="8" a="1"/>
  <c r="G124" i="8" s="1"/>
  <c r="H124" i="8" a="1"/>
  <c r="H124" i="8" s="1"/>
  <c r="I124" i="8" a="1"/>
  <c r="I124" i="8" s="1"/>
  <c r="B125" i="8" a="1"/>
  <c r="B125" i="8" s="1"/>
  <c r="C125" i="8" a="1"/>
  <c r="C125" i="8" s="1"/>
  <c r="D125" i="8" a="1"/>
  <c r="D125" i="8" s="1"/>
  <c r="E125" i="8" a="1"/>
  <c r="E125" i="8" s="1"/>
  <c r="F125" i="8" a="1"/>
  <c r="F125" i="8" s="1"/>
  <c r="G125" i="8" a="1"/>
  <c r="G125" i="8" s="1"/>
  <c r="H125" i="8" a="1"/>
  <c r="H125" i="8" s="1"/>
  <c r="I125" i="8" a="1"/>
  <c r="I125" i="8" s="1"/>
  <c r="B126" i="8" a="1"/>
  <c r="B126" i="8" s="1"/>
  <c r="C126" i="8" a="1"/>
  <c r="C126" i="8" s="1"/>
  <c r="D126" i="8" a="1"/>
  <c r="D126" i="8" s="1"/>
  <c r="E126" i="8" a="1"/>
  <c r="E126" i="8" s="1"/>
  <c r="F126" i="8" a="1"/>
  <c r="F126" i="8" s="1"/>
  <c r="G126" i="8" a="1"/>
  <c r="G126" i="8" s="1"/>
  <c r="H126" i="8" a="1"/>
  <c r="H126" i="8" s="1"/>
  <c r="I126" i="8" a="1"/>
  <c r="I126" i="8" s="1"/>
  <c r="B127" i="8" a="1"/>
  <c r="B127" i="8" s="1"/>
  <c r="C127" i="8" a="1"/>
  <c r="C127" i="8" s="1"/>
  <c r="D127" i="8" a="1"/>
  <c r="D127" i="8" s="1"/>
  <c r="E127" i="8" a="1"/>
  <c r="E127" i="8" s="1"/>
  <c r="F127" i="8" a="1"/>
  <c r="F127" i="8" s="1"/>
  <c r="G127" i="8" a="1"/>
  <c r="G127" i="8" s="1"/>
  <c r="H127" i="8" a="1"/>
  <c r="H127" i="8" s="1"/>
  <c r="I127" i="8" a="1"/>
  <c r="I127" i="8" s="1"/>
  <c r="B128" i="8" a="1"/>
  <c r="B128" i="8" s="1"/>
  <c r="C128" i="8" a="1"/>
  <c r="C128" i="8" s="1"/>
  <c r="D128" i="8" a="1"/>
  <c r="D128" i="8" s="1"/>
  <c r="E128" i="8" a="1"/>
  <c r="E128" i="8" s="1"/>
  <c r="F128" i="8" a="1"/>
  <c r="F128" i="8" s="1"/>
  <c r="G128" i="8" a="1"/>
  <c r="G128" i="8" s="1"/>
  <c r="H128" i="8" a="1"/>
  <c r="H128" i="8" s="1"/>
  <c r="I128" i="8" a="1"/>
  <c r="I128" i="8" s="1"/>
  <c r="B129" i="8" a="1"/>
  <c r="B129" i="8" s="1"/>
  <c r="C129" i="8" a="1"/>
  <c r="C129" i="8" s="1"/>
  <c r="D129" i="8" a="1"/>
  <c r="D129" i="8" s="1"/>
  <c r="E129" i="8" a="1"/>
  <c r="E129" i="8" s="1"/>
  <c r="F129" i="8" a="1"/>
  <c r="F129" i="8" s="1"/>
  <c r="G129" i="8" a="1"/>
  <c r="G129" i="8" s="1"/>
  <c r="H129" i="8" a="1"/>
  <c r="H129" i="8" s="1"/>
  <c r="I129" i="8" a="1"/>
  <c r="I129" i="8" s="1"/>
  <c r="B130" i="8" a="1"/>
  <c r="B130" i="8" s="1"/>
  <c r="C130" i="8" a="1"/>
  <c r="C130" i="8" s="1"/>
  <c r="D130" i="8" a="1"/>
  <c r="D130" i="8" s="1"/>
  <c r="E130" i="8" a="1"/>
  <c r="E130" i="8" s="1"/>
  <c r="F130" i="8" a="1"/>
  <c r="F130" i="8" s="1"/>
  <c r="G130" i="8" a="1"/>
  <c r="G130" i="8" s="1"/>
  <c r="H130" i="8" a="1"/>
  <c r="H130" i="8" s="1"/>
  <c r="I130" i="8" a="1"/>
  <c r="I130" i="8" s="1"/>
  <c r="B131" i="8" a="1"/>
  <c r="B131" i="8" s="1"/>
  <c r="C131" i="8" a="1"/>
  <c r="C131" i="8" s="1"/>
  <c r="D131" i="8" a="1"/>
  <c r="D131" i="8" s="1"/>
  <c r="E131" i="8" a="1"/>
  <c r="E131" i="8" s="1"/>
  <c r="F131" i="8" a="1"/>
  <c r="F131" i="8" s="1"/>
  <c r="G131" i="8" a="1"/>
  <c r="G131" i="8" s="1"/>
  <c r="H131" i="8" a="1"/>
  <c r="H131" i="8" s="1"/>
  <c r="I131" i="8" a="1"/>
  <c r="I131" i="8" s="1"/>
  <c r="B132" i="8" a="1"/>
  <c r="B132" i="8" s="1"/>
  <c r="C132" i="8" a="1"/>
  <c r="C132" i="8" s="1"/>
  <c r="D132" i="8" a="1"/>
  <c r="D132" i="8" s="1"/>
  <c r="E132" i="8" a="1"/>
  <c r="E132" i="8" s="1"/>
  <c r="F132" i="8" a="1"/>
  <c r="F132" i="8" s="1"/>
  <c r="G132" i="8" a="1"/>
  <c r="G132" i="8" s="1"/>
  <c r="H132" i="8" a="1"/>
  <c r="H132" i="8" s="1"/>
  <c r="I132" i="8" a="1"/>
  <c r="I132" i="8" s="1"/>
  <c r="B133" i="8" a="1"/>
  <c r="B133" i="8" s="1"/>
  <c r="C133" i="8" a="1"/>
  <c r="C133" i="8" s="1"/>
  <c r="D133" i="8" a="1"/>
  <c r="D133" i="8" s="1"/>
  <c r="E133" i="8" a="1"/>
  <c r="E133" i="8" s="1"/>
  <c r="F133" i="8" a="1"/>
  <c r="F133" i="8" s="1"/>
  <c r="G133" i="8" a="1"/>
  <c r="G133" i="8" s="1"/>
  <c r="H133" i="8" a="1"/>
  <c r="H133" i="8" s="1"/>
  <c r="I133" i="8" a="1"/>
  <c r="I133" i="8" s="1"/>
  <c r="B134" i="8" a="1"/>
  <c r="B134" i="8" s="1"/>
  <c r="C134" i="8" a="1"/>
  <c r="C134" i="8" s="1"/>
  <c r="D134" i="8" a="1"/>
  <c r="D134" i="8" s="1"/>
  <c r="E134" i="8" a="1"/>
  <c r="E134" i="8" s="1"/>
  <c r="F134" i="8" a="1"/>
  <c r="F134" i="8" s="1"/>
  <c r="G134" i="8" a="1"/>
  <c r="G134" i="8" s="1"/>
  <c r="H134" i="8" a="1"/>
  <c r="H134" i="8" s="1"/>
  <c r="I134" i="8" a="1"/>
  <c r="I134" i="8" s="1"/>
  <c r="B135" i="8" a="1"/>
  <c r="B135" i="8" s="1"/>
  <c r="C135" i="8" a="1"/>
  <c r="C135" i="8" s="1"/>
  <c r="D135" i="8" a="1"/>
  <c r="D135" i="8" s="1"/>
  <c r="E135" i="8" a="1"/>
  <c r="E135" i="8" s="1"/>
  <c r="F135" i="8" a="1"/>
  <c r="F135" i="8" s="1"/>
  <c r="G135" i="8" a="1"/>
  <c r="G135" i="8" s="1"/>
  <c r="H135" i="8" a="1"/>
  <c r="H135" i="8" s="1"/>
  <c r="I135" i="8" a="1"/>
  <c r="I135" i="8" s="1"/>
  <c r="B136" i="8" a="1"/>
  <c r="B136" i="8" s="1"/>
  <c r="C136" i="8" a="1"/>
  <c r="C136" i="8" s="1"/>
  <c r="D136" i="8" a="1"/>
  <c r="D136" i="8" s="1"/>
  <c r="E136" i="8" a="1"/>
  <c r="E136" i="8" s="1"/>
  <c r="F136" i="8" a="1"/>
  <c r="F136" i="8" s="1"/>
  <c r="G136" i="8" a="1"/>
  <c r="G136" i="8" s="1"/>
  <c r="H136" i="8" a="1"/>
  <c r="H136" i="8" s="1"/>
  <c r="I136" i="8" a="1"/>
  <c r="I136" i="8" s="1"/>
  <c r="B137" i="8" a="1"/>
  <c r="B137" i="8" s="1"/>
  <c r="C137" i="8" a="1"/>
  <c r="C137" i="8" s="1"/>
  <c r="D137" i="8" a="1"/>
  <c r="D137" i="8" s="1"/>
  <c r="E137" i="8" a="1"/>
  <c r="E137" i="8" s="1"/>
  <c r="F137" i="8" a="1"/>
  <c r="F137" i="8" s="1"/>
  <c r="G137" i="8" a="1"/>
  <c r="G137" i="8" s="1"/>
  <c r="H137" i="8" a="1"/>
  <c r="H137" i="8" s="1"/>
  <c r="I137" i="8" a="1"/>
  <c r="I137" i="8" s="1"/>
  <c r="B138" i="8" a="1"/>
  <c r="B138" i="8" s="1"/>
  <c r="C138" i="8" a="1"/>
  <c r="C138" i="8" s="1"/>
  <c r="D138" i="8" a="1"/>
  <c r="D138" i="8" s="1"/>
  <c r="E138" i="8" a="1"/>
  <c r="E138" i="8" s="1"/>
  <c r="F138" i="8" a="1"/>
  <c r="F138" i="8" s="1"/>
  <c r="G138" i="8" a="1"/>
  <c r="G138" i="8" s="1"/>
  <c r="H138" i="8" a="1"/>
  <c r="H138" i="8" s="1"/>
  <c r="I138" i="8" a="1"/>
  <c r="I138" i="8" s="1"/>
  <c r="B139" i="8" a="1"/>
  <c r="B139" i="8" s="1"/>
  <c r="C139" i="8" a="1"/>
  <c r="C139" i="8" s="1"/>
  <c r="D139" i="8" a="1"/>
  <c r="D139" i="8" s="1"/>
  <c r="E139" i="8" a="1"/>
  <c r="E139" i="8" s="1"/>
  <c r="F139" i="8" a="1"/>
  <c r="F139" i="8" s="1"/>
  <c r="G139" i="8" a="1"/>
  <c r="G139" i="8" s="1"/>
  <c r="H139" i="8" a="1"/>
  <c r="H139" i="8" s="1"/>
  <c r="I139" i="8" a="1"/>
  <c r="I139" i="8" s="1"/>
  <c r="B140" i="8" a="1"/>
  <c r="B140" i="8" s="1"/>
  <c r="C140" i="8" a="1"/>
  <c r="C140" i="8" s="1"/>
  <c r="D140" i="8" a="1"/>
  <c r="D140" i="8" s="1"/>
  <c r="E140" i="8" a="1"/>
  <c r="E140" i="8" s="1"/>
  <c r="F140" i="8" a="1"/>
  <c r="F140" i="8" s="1"/>
  <c r="G140" i="8" a="1"/>
  <c r="G140" i="8" s="1"/>
  <c r="H140" i="8" a="1"/>
  <c r="H140" i="8" s="1"/>
  <c r="I140" i="8" a="1"/>
  <c r="I140" i="8" s="1"/>
  <c r="B141" i="8" a="1"/>
  <c r="B141" i="8" s="1"/>
  <c r="C141" i="8" a="1"/>
  <c r="C141" i="8" s="1"/>
  <c r="D141" i="8" a="1"/>
  <c r="D141" i="8" s="1"/>
  <c r="E141" i="8" a="1"/>
  <c r="E141" i="8" s="1"/>
  <c r="F141" i="8" a="1"/>
  <c r="F141" i="8" s="1"/>
  <c r="G141" i="8" a="1"/>
  <c r="G141" i="8" s="1"/>
  <c r="H141" i="8" a="1"/>
  <c r="H141" i="8" s="1"/>
  <c r="I141" i="8" a="1"/>
  <c r="I141" i="8" s="1"/>
  <c r="B142" i="8" a="1"/>
  <c r="B142" i="8" s="1"/>
  <c r="C142" i="8" a="1"/>
  <c r="C142" i="8" s="1"/>
  <c r="D142" i="8" a="1"/>
  <c r="D142" i="8" s="1"/>
  <c r="E142" i="8" a="1"/>
  <c r="E142" i="8" s="1"/>
  <c r="F142" i="8" a="1"/>
  <c r="F142" i="8" s="1"/>
  <c r="G142" i="8" a="1"/>
  <c r="G142" i="8" s="1"/>
  <c r="H142" i="8" a="1"/>
  <c r="H142" i="8" s="1"/>
  <c r="I142" i="8" a="1"/>
  <c r="I142" i="8" s="1"/>
  <c r="B143" i="8" a="1"/>
  <c r="B143" i="8" s="1"/>
  <c r="C143" i="8" a="1"/>
  <c r="C143" i="8" s="1"/>
  <c r="D143" i="8" a="1"/>
  <c r="D143" i="8" s="1"/>
  <c r="E143" i="8" a="1"/>
  <c r="E143" i="8" s="1"/>
  <c r="F143" i="8" a="1"/>
  <c r="F143" i="8" s="1"/>
  <c r="G143" i="8" a="1"/>
  <c r="G143" i="8" s="1"/>
  <c r="H143" i="8" a="1"/>
  <c r="H143" i="8" s="1"/>
  <c r="I143" i="8" a="1"/>
  <c r="I143" i="8" s="1"/>
  <c r="B144" i="8" a="1"/>
  <c r="B144" i="8" s="1"/>
  <c r="C144" i="8" a="1"/>
  <c r="C144" i="8" s="1"/>
  <c r="D144" i="8" a="1"/>
  <c r="D144" i="8" s="1"/>
  <c r="E144" i="8" a="1"/>
  <c r="E144" i="8" s="1"/>
  <c r="F144" i="8" a="1"/>
  <c r="F144" i="8" s="1"/>
  <c r="G144" i="8" a="1"/>
  <c r="G144" i="8" s="1"/>
  <c r="H144" i="8" a="1"/>
  <c r="H144" i="8" s="1"/>
  <c r="I144" i="8" a="1"/>
  <c r="I144" i="8" s="1"/>
  <c r="B145" i="8" a="1"/>
  <c r="B145" i="8" s="1"/>
  <c r="C145" i="8" a="1"/>
  <c r="C145" i="8" s="1"/>
  <c r="D145" i="8" a="1"/>
  <c r="D145" i="8" s="1"/>
  <c r="E145" i="8" a="1"/>
  <c r="E145" i="8" s="1"/>
  <c r="F145" i="8" a="1"/>
  <c r="F145" i="8" s="1"/>
  <c r="G145" i="8" a="1"/>
  <c r="G145" i="8" s="1"/>
  <c r="H145" i="8" a="1"/>
  <c r="H145" i="8" s="1"/>
  <c r="I145" i="8" a="1"/>
  <c r="I145" i="8" s="1"/>
  <c r="B146" i="8" a="1"/>
  <c r="B146" i="8" s="1"/>
  <c r="C146" i="8" a="1"/>
  <c r="C146" i="8" s="1"/>
  <c r="D146" i="8" a="1"/>
  <c r="D146" i="8" s="1"/>
  <c r="E146" i="8" a="1"/>
  <c r="E146" i="8" s="1"/>
  <c r="F146" i="8" a="1"/>
  <c r="F146" i="8" s="1"/>
  <c r="G146" i="8" a="1"/>
  <c r="G146" i="8" s="1"/>
  <c r="H146" i="8" a="1"/>
  <c r="H146" i="8" s="1"/>
  <c r="I146" i="8" a="1"/>
  <c r="I146" i="8" s="1"/>
  <c r="B147" i="8" a="1"/>
  <c r="B147" i="8" s="1"/>
  <c r="C147" i="8" a="1"/>
  <c r="C147" i="8" s="1"/>
  <c r="D147" i="8" a="1"/>
  <c r="D147" i="8" s="1"/>
  <c r="E147" i="8" a="1"/>
  <c r="E147" i="8" s="1"/>
  <c r="F147" i="8" a="1"/>
  <c r="F147" i="8" s="1"/>
  <c r="G147" i="8" a="1"/>
  <c r="G147" i="8" s="1"/>
  <c r="H147" i="8" a="1"/>
  <c r="H147" i="8" s="1"/>
  <c r="I147" i="8" a="1"/>
  <c r="I147" i="8" s="1"/>
  <c r="B148" i="8" a="1"/>
  <c r="B148" i="8" s="1"/>
  <c r="C148" i="8" a="1"/>
  <c r="C148" i="8" s="1"/>
  <c r="D148" i="8" a="1"/>
  <c r="D148" i="8" s="1"/>
  <c r="E148" i="8" a="1"/>
  <c r="E148" i="8" s="1"/>
  <c r="F148" i="8" a="1"/>
  <c r="F148" i="8" s="1"/>
  <c r="G148" i="8" a="1"/>
  <c r="G148" i="8" s="1"/>
  <c r="H148" i="8" a="1"/>
  <c r="H148" i="8" s="1"/>
  <c r="I148" i="8" a="1"/>
  <c r="I148" i="8" s="1"/>
  <c r="B149" i="8" a="1"/>
  <c r="B149" i="8" s="1"/>
  <c r="C149" i="8" a="1"/>
  <c r="C149" i="8" s="1"/>
  <c r="D149" i="8" a="1"/>
  <c r="D149" i="8" s="1"/>
  <c r="E149" i="8" a="1"/>
  <c r="E149" i="8" s="1"/>
  <c r="F149" i="8" a="1"/>
  <c r="F149" i="8" s="1"/>
  <c r="G149" i="8" a="1"/>
  <c r="G149" i="8" s="1"/>
  <c r="H149" i="8" a="1"/>
  <c r="H149" i="8" s="1"/>
  <c r="I149" i="8" a="1"/>
  <c r="I149" i="8" s="1"/>
  <c r="B150" i="8" a="1"/>
  <c r="B150" i="8" s="1"/>
  <c r="C150" i="8" a="1"/>
  <c r="C150" i="8" s="1"/>
  <c r="D150" i="8" a="1"/>
  <c r="D150" i="8" s="1"/>
  <c r="E150" i="8" a="1"/>
  <c r="E150" i="8" s="1"/>
  <c r="F150" i="8" a="1"/>
  <c r="F150" i="8" s="1"/>
  <c r="G150" i="8" a="1"/>
  <c r="G150" i="8" s="1"/>
  <c r="H150" i="8" a="1"/>
  <c r="H150" i="8" s="1"/>
  <c r="I150" i="8" a="1"/>
  <c r="I150" i="8" s="1"/>
  <c r="B151" i="8" a="1"/>
  <c r="B151" i="8" s="1"/>
  <c r="C151" i="8" a="1"/>
  <c r="C151" i="8" s="1"/>
  <c r="D151" i="8" a="1"/>
  <c r="D151" i="8" s="1"/>
  <c r="E151" i="8" a="1"/>
  <c r="E151" i="8" s="1"/>
  <c r="F151" i="8" a="1"/>
  <c r="F151" i="8" s="1"/>
  <c r="G151" i="8" a="1"/>
  <c r="G151" i="8" s="1"/>
  <c r="H151" i="8" a="1"/>
  <c r="H151" i="8" s="1"/>
  <c r="I151" i="8" a="1"/>
  <c r="I151" i="8" s="1"/>
  <c r="B152" i="8" a="1"/>
  <c r="B152" i="8" s="1"/>
  <c r="C152" i="8" a="1"/>
  <c r="C152" i="8" s="1"/>
  <c r="D152" i="8" a="1"/>
  <c r="D152" i="8" s="1"/>
  <c r="E152" i="8" a="1"/>
  <c r="E152" i="8" s="1"/>
  <c r="F152" i="8" a="1"/>
  <c r="F152" i="8" s="1"/>
  <c r="G152" i="8" a="1"/>
  <c r="G152" i="8" s="1"/>
  <c r="H152" i="8" a="1"/>
  <c r="H152" i="8" s="1"/>
  <c r="I152" i="8" a="1"/>
  <c r="I152" i="8" s="1"/>
  <c r="B153" i="8" a="1"/>
  <c r="B153" i="8" s="1"/>
  <c r="C153" i="8" a="1"/>
  <c r="C153" i="8" s="1"/>
  <c r="D153" i="8" a="1"/>
  <c r="D153" i="8" s="1"/>
  <c r="E153" i="8" a="1"/>
  <c r="E153" i="8" s="1"/>
  <c r="F153" i="8" a="1"/>
  <c r="F153" i="8" s="1"/>
  <c r="G153" i="8" a="1"/>
  <c r="G153" i="8" s="1"/>
  <c r="H153" i="8" a="1"/>
  <c r="H153" i="8" s="1"/>
  <c r="I153" i="8" a="1"/>
  <c r="I153" i="8" s="1"/>
  <c r="B154" i="8" a="1"/>
  <c r="B154" i="8" s="1"/>
  <c r="C154" i="8" a="1"/>
  <c r="C154" i="8" s="1"/>
  <c r="D154" i="8" a="1"/>
  <c r="D154" i="8" s="1"/>
  <c r="E154" i="8" a="1"/>
  <c r="E154" i="8" s="1"/>
  <c r="F154" i="8" a="1"/>
  <c r="F154" i="8" s="1"/>
  <c r="G154" i="8" a="1"/>
  <c r="G154" i="8" s="1"/>
  <c r="H154" i="8" a="1"/>
  <c r="H154" i="8" s="1"/>
  <c r="I154" i="8" a="1"/>
  <c r="I154" i="8" s="1"/>
  <c r="B155" i="8" a="1"/>
  <c r="B155" i="8" s="1"/>
  <c r="C155" i="8" a="1"/>
  <c r="C155" i="8" s="1"/>
  <c r="D155" i="8" a="1"/>
  <c r="D155" i="8" s="1"/>
  <c r="E155" i="8" a="1"/>
  <c r="E155" i="8" s="1"/>
  <c r="F155" i="8" a="1"/>
  <c r="F155" i="8" s="1"/>
  <c r="G155" i="8" a="1"/>
  <c r="G155" i="8" s="1"/>
  <c r="H155" i="8" a="1"/>
  <c r="H155" i="8" s="1"/>
  <c r="I155" i="8" a="1"/>
  <c r="I155" i="8" s="1"/>
  <c r="B156" i="8" a="1"/>
  <c r="B156" i="8" s="1"/>
  <c r="C156" i="8" a="1"/>
  <c r="C156" i="8" s="1"/>
  <c r="D156" i="8" a="1"/>
  <c r="D156" i="8" s="1"/>
  <c r="E156" i="8" a="1"/>
  <c r="E156" i="8" s="1"/>
  <c r="F156" i="8" a="1"/>
  <c r="F156" i="8" s="1"/>
  <c r="G156" i="8" a="1"/>
  <c r="G156" i="8" s="1"/>
  <c r="H156" i="8" a="1"/>
  <c r="H156" i="8" s="1"/>
  <c r="I156" i="8" a="1"/>
  <c r="I156" i="8" s="1"/>
  <c r="B157" i="8" a="1"/>
  <c r="B157" i="8" s="1"/>
  <c r="C157" i="8" a="1"/>
  <c r="C157" i="8" s="1"/>
  <c r="D157" i="8" a="1"/>
  <c r="D157" i="8" s="1"/>
  <c r="E157" i="8" a="1"/>
  <c r="E157" i="8" s="1"/>
  <c r="F157" i="8" a="1"/>
  <c r="F157" i="8" s="1"/>
  <c r="G157" i="8" a="1"/>
  <c r="G157" i="8" s="1"/>
  <c r="H157" i="8" a="1"/>
  <c r="H157" i="8" s="1"/>
  <c r="I157" i="8" a="1"/>
  <c r="I157" i="8" s="1"/>
  <c r="B158" i="8" a="1"/>
  <c r="B158" i="8" s="1"/>
  <c r="C158" i="8" a="1"/>
  <c r="C158" i="8" s="1"/>
  <c r="D158" i="8" a="1"/>
  <c r="D158" i="8" s="1"/>
  <c r="E158" i="8" a="1"/>
  <c r="E158" i="8" s="1"/>
  <c r="F158" i="8" a="1"/>
  <c r="F158" i="8" s="1"/>
  <c r="G158" i="8" a="1"/>
  <c r="G158" i="8" s="1"/>
  <c r="H158" i="8" a="1"/>
  <c r="H158" i="8" s="1"/>
  <c r="I158" i="8" a="1"/>
  <c r="I158" i="8" s="1"/>
  <c r="B159" i="8" a="1"/>
  <c r="B159" i="8" s="1"/>
  <c r="C159" i="8" a="1"/>
  <c r="C159" i="8" s="1"/>
  <c r="D159" i="8" a="1"/>
  <c r="D159" i="8" s="1"/>
  <c r="E159" i="8" a="1"/>
  <c r="E159" i="8" s="1"/>
  <c r="F159" i="8" a="1"/>
  <c r="F159" i="8" s="1"/>
  <c r="G159" i="8" a="1"/>
  <c r="G159" i="8" s="1"/>
  <c r="H159" i="8" a="1"/>
  <c r="H159" i="8" s="1"/>
  <c r="I159" i="8" a="1"/>
  <c r="I159" i="8" s="1"/>
  <c r="B160" i="8" a="1"/>
  <c r="B160" i="8" s="1"/>
  <c r="C160" i="8" a="1"/>
  <c r="C160" i="8" s="1"/>
  <c r="D160" i="8" a="1"/>
  <c r="D160" i="8" s="1"/>
  <c r="E160" i="8" a="1"/>
  <c r="E160" i="8" s="1"/>
  <c r="F160" i="8" a="1"/>
  <c r="F160" i="8" s="1"/>
  <c r="G160" i="8" a="1"/>
  <c r="G160" i="8" s="1"/>
  <c r="H160" i="8" a="1"/>
  <c r="H160" i="8" s="1"/>
  <c r="I160" i="8" a="1"/>
  <c r="I160" i="8" s="1"/>
  <c r="B161" i="8" a="1"/>
  <c r="B161" i="8" s="1"/>
  <c r="C161" i="8" a="1"/>
  <c r="C161" i="8" s="1"/>
  <c r="D161" i="8" a="1"/>
  <c r="D161" i="8" s="1"/>
  <c r="E161" i="8" a="1"/>
  <c r="E161" i="8" s="1"/>
  <c r="F161" i="8" a="1"/>
  <c r="F161" i="8" s="1"/>
  <c r="G161" i="8" a="1"/>
  <c r="G161" i="8" s="1"/>
  <c r="H161" i="8" a="1"/>
  <c r="H161" i="8" s="1"/>
  <c r="I161" i="8" a="1"/>
  <c r="I161" i="8" s="1"/>
  <c r="B162" i="8" a="1"/>
  <c r="B162" i="8" s="1"/>
  <c r="C162" i="8" a="1"/>
  <c r="C162" i="8" s="1"/>
  <c r="D162" i="8" a="1"/>
  <c r="D162" i="8" s="1"/>
  <c r="E162" i="8" a="1"/>
  <c r="E162" i="8" s="1"/>
  <c r="F162" i="8" a="1"/>
  <c r="F162" i="8" s="1"/>
  <c r="G162" i="8" a="1"/>
  <c r="G162" i="8" s="1"/>
  <c r="H162" i="8" a="1"/>
  <c r="H162" i="8" s="1"/>
  <c r="I162" i="8" a="1"/>
  <c r="I162" i="8" s="1"/>
  <c r="B163" i="8" a="1"/>
  <c r="B163" i="8" s="1"/>
  <c r="C163" i="8" a="1"/>
  <c r="C163" i="8" s="1"/>
  <c r="D163" i="8" a="1"/>
  <c r="D163" i="8" s="1"/>
  <c r="E163" i="8" a="1"/>
  <c r="E163" i="8" s="1"/>
  <c r="F163" i="8" a="1"/>
  <c r="F163" i="8" s="1"/>
  <c r="G163" i="8" a="1"/>
  <c r="G163" i="8" s="1"/>
  <c r="H163" i="8" a="1"/>
  <c r="H163" i="8" s="1"/>
  <c r="I163" i="8" a="1"/>
  <c r="I163" i="8" s="1"/>
  <c r="B164" i="8" a="1"/>
  <c r="B164" i="8" s="1"/>
  <c r="C164" i="8" a="1"/>
  <c r="C164" i="8" s="1"/>
  <c r="D164" i="8" a="1"/>
  <c r="D164" i="8" s="1"/>
  <c r="E164" i="8" a="1"/>
  <c r="E164" i="8" s="1"/>
  <c r="F164" i="8" a="1"/>
  <c r="F164" i="8" s="1"/>
  <c r="G164" i="8" a="1"/>
  <c r="G164" i="8" s="1"/>
  <c r="H164" i="8" a="1"/>
  <c r="H164" i="8" s="1"/>
  <c r="I164" i="8" a="1"/>
  <c r="I164" i="8" s="1"/>
  <c r="B165" i="8" a="1"/>
  <c r="B165" i="8" s="1"/>
  <c r="C165" i="8" a="1"/>
  <c r="C165" i="8" s="1"/>
  <c r="D165" i="8" a="1"/>
  <c r="D165" i="8" s="1"/>
  <c r="E165" i="8" a="1"/>
  <c r="E165" i="8" s="1"/>
  <c r="F165" i="8" a="1"/>
  <c r="F165" i="8" s="1"/>
  <c r="G165" i="8" a="1"/>
  <c r="G165" i="8" s="1"/>
  <c r="H165" i="8" a="1"/>
  <c r="H165" i="8" s="1"/>
  <c r="I165" i="8" a="1"/>
  <c r="I165" i="8" s="1"/>
  <c r="B166" i="8" a="1"/>
  <c r="B166" i="8" s="1"/>
  <c r="C166" i="8" a="1"/>
  <c r="C166" i="8" s="1"/>
  <c r="D166" i="8" a="1"/>
  <c r="D166" i="8" s="1"/>
  <c r="E166" i="8" a="1"/>
  <c r="E166" i="8" s="1"/>
  <c r="F166" i="8" a="1"/>
  <c r="F166" i="8" s="1"/>
  <c r="G166" i="8" a="1"/>
  <c r="G166" i="8" s="1"/>
  <c r="H166" i="8" a="1"/>
  <c r="H166" i="8" s="1"/>
  <c r="I166" i="8" a="1"/>
  <c r="I166" i="8" s="1"/>
  <c r="B167" i="8" a="1"/>
  <c r="B167" i="8" s="1"/>
  <c r="C167" i="8" a="1"/>
  <c r="C167" i="8" s="1"/>
  <c r="D167" i="8" a="1"/>
  <c r="D167" i="8" s="1"/>
  <c r="E167" i="8" a="1"/>
  <c r="E167" i="8" s="1"/>
  <c r="F167" i="8" a="1"/>
  <c r="F167" i="8" s="1"/>
  <c r="G167" i="8" a="1"/>
  <c r="G167" i="8" s="1"/>
  <c r="H167" i="8" a="1"/>
  <c r="H167" i="8" s="1"/>
  <c r="I167" i="8" a="1"/>
  <c r="I167" i="8" s="1"/>
  <c r="B168" i="8" a="1"/>
  <c r="B168" i="8" s="1"/>
  <c r="C168" i="8" a="1"/>
  <c r="C168" i="8" s="1"/>
  <c r="D168" i="8" a="1"/>
  <c r="D168" i="8" s="1"/>
  <c r="E168" i="8" a="1"/>
  <c r="E168" i="8" s="1"/>
  <c r="F168" i="8" a="1"/>
  <c r="F168" i="8" s="1"/>
  <c r="G168" i="8" a="1"/>
  <c r="G168" i="8" s="1"/>
  <c r="H168" i="8" a="1"/>
  <c r="H168" i="8" s="1"/>
  <c r="I168" i="8" a="1"/>
  <c r="I168" i="8" s="1"/>
  <c r="B169" i="8" a="1"/>
  <c r="B169" i="8" s="1"/>
  <c r="C169" i="8" a="1"/>
  <c r="C169" i="8" s="1"/>
  <c r="D169" i="8" a="1"/>
  <c r="D169" i="8" s="1"/>
  <c r="E169" i="8" a="1"/>
  <c r="E169" i="8" s="1"/>
  <c r="F169" i="8" a="1"/>
  <c r="F169" i="8" s="1"/>
  <c r="G169" i="8" a="1"/>
  <c r="G169" i="8" s="1"/>
  <c r="H169" i="8" a="1"/>
  <c r="H169" i="8" s="1"/>
  <c r="I169" i="8" a="1"/>
  <c r="I169" i="8" s="1"/>
  <c r="B170" i="8" a="1"/>
  <c r="B170" i="8" s="1"/>
  <c r="C170" i="8" a="1"/>
  <c r="C170" i="8" s="1"/>
  <c r="D170" i="8" a="1"/>
  <c r="D170" i="8" s="1"/>
  <c r="E170" i="8" a="1"/>
  <c r="E170" i="8" s="1"/>
  <c r="F170" i="8" a="1"/>
  <c r="F170" i="8" s="1"/>
  <c r="G170" i="8" a="1"/>
  <c r="G170" i="8" s="1"/>
  <c r="H170" i="8" a="1"/>
  <c r="H170" i="8" s="1"/>
  <c r="I170" i="8" a="1"/>
  <c r="I170" i="8" s="1"/>
  <c r="B171" i="8" a="1"/>
  <c r="B171" i="8" s="1"/>
  <c r="C171" i="8" a="1"/>
  <c r="C171" i="8" s="1"/>
  <c r="D171" i="8" a="1"/>
  <c r="D171" i="8" s="1"/>
  <c r="E171" i="8" a="1"/>
  <c r="E171" i="8" s="1"/>
  <c r="F171" i="8" a="1"/>
  <c r="F171" i="8" s="1"/>
  <c r="G171" i="8" a="1"/>
  <c r="G171" i="8" s="1"/>
  <c r="H171" i="8" a="1"/>
  <c r="H171" i="8" s="1"/>
  <c r="I171" i="8" a="1"/>
  <c r="I171" i="8" s="1"/>
  <c r="B172" i="8" a="1"/>
  <c r="B172" i="8" s="1"/>
  <c r="C172" i="8" a="1"/>
  <c r="C172" i="8" s="1"/>
  <c r="D172" i="8" a="1"/>
  <c r="D172" i="8" s="1"/>
  <c r="E172" i="8" a="1"/>
  <c r="E172" i="8" s="1"/>
  <c r="F172" i="8" a="1"/>
  <c r="F172" i="8" s="1"/>
  <c r="G172" i="8" a="1"/>
  <c r="G172" i="8" s="1"/>
  <c r="H172" i="8" a="1"/>
  <c r="H172" i="8" s="1"/>
  <c r="I172" i="8" a="1"/>
  <c r="I172" i="8" s="1"/>
  <c r="B173" i="8" a="1"/>
  <c r="B173" i="8" s="1"/>
  <c r="C173" i="8" a="1"/>
  <c r="C173" i="8" s="1"/>
  <c r="D173" i="8" a="1"/>
  <c r="D173" i="8" s="1"/>
  <c r="E173" i="8" a="1"/>
  <c r="E173" i="8" s="1"/>
  <c r="F173" i="8" a="1"/>
  <c r="F173" i="8" s="1"/>
  <c r="G173" i="8" a="1"/>
  <c r="G173" i="8" s="1"/>
  <c r="H173" i="8" a="1"/>
  <c r="H173" i="8" s="1"/>
  <c r="I173" i="8" a="1"/>
  <c r="I173" i="8" s="1"/>
  <c r="B174" i="8" a="1"/>
  <c r="B174" i="8" s="1"/>
  <c r="C174" i="8" a="1"/>
  <c r="C174" i="8" s="1"/>
  <c r="D174" i="8" a="1"/>
  <c r="D174" i="8" s="1"/>
  <c r="E174" i="8" a="1"/>
  <c r="E174" i="8" s="1"/>
  <c r="F174" i="8" a="1"/>
  <c r="F174" i="8" s="1"/>
  <c r="G174" i="8" a="1"/>
  <c r="G174" i="8" s="1"/>
  <c r="H174" i="8" a="1"/>
  <c r="H174" i="8" s="1"/>
  <c r="I174" i="8" a="1"/>
  <c r="I174" i="8" s="1"/>
  <c r="B175" i="8" a="1"/>
  <c r="B175" i="8" s="1"/>
  <c r="C175" i="8" a="1"/>
  <c r="C175" i="8" s="1"/>
  <c r="D175" i="8" a="1"/>
  <c r="D175" i="8" s="1"/>
  <c r="E175" i="8" a="1"/>
  <c r="E175" i="8" s="1"/>
  <c r="F175" i="8" a="1"/>
  <c r="F175" i="8" s="1"/>
  <c r="G175" i="8" a="1"/>
  <c r="G175" i="8" s="1"/>
  <c r="H175" i="8" a="1"/>
  <c r="H175" i="8" s="1"/>
  <c r="I175" i="8" a="1"/>
  <c r="I175" i="8" s="1"/>
  <c r="B176" i="8" a="1"/>
  <c r="B176" i="8" s="1"/>
  <c r="C176" i="8" a="1"/>
  <c r="C176" i="8" s="1"/>
  <c r="D176" i="8" a="1"/>
  <c r="D176" i="8" s="1"/>
  <c r="E176" i="8" a="1"/>
  <c r="E176" i="8" s="1"/>
  <c r="F176" i="8" a="1"/>
  <c r="F176" i="8" s="1"/>
  <c r="G176" i="8" a="1"/>
  <c r="G176" i="8" s="1"/>
  <c r="H176" i="8" a="1"/>
  <c r="H176" i="8" s="1"/>
  <c r="I176" i="8" a="1"/>
  <c r="I176" i="8" s="1"/>
  <c r="B177" i="8" a="1"/>
  <c r="B177" i="8" s="1"/>
  <c r="C177" i="8" a="1"/>
  <c r="C177" i="8" s="1"/>
  <c r="D177" i="8" a="1"/>
  <c r="D177" i="8" s="1"/>
  <c r="E177" i="8" a="1"/>
  <c r="E177" i="8" s="1"/>
  <c r="F177" i="8" a="1"/>
  <c r="F177" i="8" s="1"/>
  <c r="G177" i="8" a="1"/>
  <c r="G177" i="8" s="1"/>
  <c r="H177" i="8" a="1"/>
  <c r="H177" i="8" s="1"/>
  <c r="I177" i="8" a="1"/>
  <c r="I177" i="8" s="1"/>
  <c r="B178" i="8" a="1"/>
  <c r="B178" i="8" s="1"/>
  <c r="C178" i="8" a="1"/>
  <c r="C178" i="8" s="1"/>
  <c r="D178" i="8" a="1"/>
  <c r="D178" i="8" s="1"/>
  <c r="E178" i="8" a="1"/>
  <c r="E178" i="8" s="1"/>
  <c r="F178" i="8" a="1"/>
  <c r="F178" i="8" s="1"/>
  <c r="G178" i="8" a="1"/>
  <c r="G178" i="8" s="1"/>
  <c r="H178" i="8" a="1"/>
  <c r="H178" i="8" s="1"/>
  <c r="I178" i="8" a="1"/>
  <c r="I178" i="8" s="1"/>
  <c r="B179" i="8" a="1"/>
  <c r="B179" i="8" s="1"/>
  <c r="C179" i="8" a="1"/>
  <c r="C179" i="8" s="1"/>
  <c r="D179" i="8" a="1"/>
  <c r="D179" i="8" s="1"/>
  <c r="E179" i="8" a="1"/>
  <c r="E179" i="8" s="1"/>
  <c r="F179" i="8" a="1"/>
  <c r="F179" i="8" s="1"/>
  <c r="G179" i="8" a="1"/>
  <c r="G179" i="8" s="1"/>
  <c r="H179" i="8" a="1"/>
  <c r="H179" i="8" s="1"/>
  <c r="I179" i="8" a="1"/>
  <c r="I179" i="8" s="1"/>
  <c r="B180" i="8" a="1"/>
  <c r="B180" i="8" s="1"/>
  <c r="C180" i="8" a="1"/>
  <c r="C180" i="8" s="1"/>
  <c r="D180" i="8" a="1"/>
  <c r="D180" i="8" s="1"/>
  <c r="E180" i="8" a="1"/>
  <c r="E180" i="8" s="1"/>
  <c r="F180" i="8" a="1"/>
  <c r="F180" i="8" s="1"/>
  <c r="G180" i="8" a="1"/>
  <c r="G180" i="8" s="1"/>
  <c r="H180" i="8" a="1"/>
  <c r="H180" i="8" s="1"/>
  <c r="I180" i="8" a="1"/>
  <c r="I180" i="8" s="1"/>
  <c r="B181" i="8" a="1"/>
  <c r="B181" i="8" s="1"/>
  <c r="C181" i="8" a="1"/>
  <c r="C181" i="8" s="1"/>
  <c r="D181" i="8" a="1"/>
  <c r="D181" i="8" s="1"/>
  <c r="E181" i="8" a="1"/>
  <c r="E181" i="8" s="1"/>
  <c r="F181" i="8" a="1"/>
  <c r="F181" i="8" s="1"/>
  <c r="G181" i="8" a="1"/>
  <c r="G181" i="8" s="1"/>
  <c r="H181" i="8" a="1"/>
  <c r="H181" i="8" s="1"/>
  <c r="I181" i="8" a="1"/>
  <c r="I181" i="8" s="1"/>
  <c r="B182" i="8" a="1"/>
  <c r="B182" i="8" s="1"/>
  <c r="C182" i="8" a="1"/>
  <c r="C182" i="8" s="1"/>
  <c r="D182" i="8" a="1"/>
  <c r="D182" i="8" s="1"/>
  <c r="E182" i="8" a="1"/>
  <c r="E182" i="8" s="1"/>
  <c r="F182" i="8" a="1"/>
  <c r="F182" i="8" s="1"/>
  <c r="G182" i="8" a="1"/>
  <c r="G182" i="8" s="1"/>
  <c r="H182" i="8" a="1"/>
  <c r="H182" i="8" s="1"/>
  <c r="I182" i="8" a="1"/>
  <c r="I182" i="8" s="1"/>
  <c r="B183" i="8" a="1"/>
  <c r="B183" i="8" s="1"/>
  <c r="C183" i="8" a="1"/>
  <c r="C183" i="8" s="1"/>
  <c r="D183" i="8" a="1"/>
  <c r="D183" i="8" s="1"/>
  <c r="E183" i="8" a="1"/>
  <c r="E183" i="8" s="1"/>
  <c r="F183" i="8" a="1"/>
  <c r="F183" i="8" s="1"/>
  <c r="G183" i="8" a="1"/>
  <c r="G183" i="8" s="1"/>
  <c r="H183" i="8" a="1"/>
  <c r="H183" i="8" s="1"/>
  <c r="I183" i="8" a="1"/>
  <c r="I183" i="8" s="1"/>
  <c r="B184" i="8" a="1"/>
  <c r="B184" i="8" s="1"/>
  <c r="C184" i="8" a="1"/>
  <c r="C184" i="8" s="1"/>
  <c r="D184" i="8" a="1"/>
  <c r="D184" i="8" s="1"/>
  <c r="E184" i="8" a="1"/>
  <c r="E184" i="8" s="1"/>
  <c r="F184" i="8" a="1"/>
  <c r="F184" i="8" s="1"/>
  <c r="G184" i="8" a="1"/>
  <c r="G184" i="8" s="1"/>
  <c r="H184" i="8" a="1"/>
  <c r="H184" i="8" s="1"/>
  <c r="I184" i="8" a="1"/>
  <c r="I184" i="8" s="1"/>
  <c r="B185" i="8" a="1"/>
  <c r="B185" i="8" s="1"/>
  <c r="C185" i="8" a="1"/>
  <c r="C185" i="8" s="1"/>
  <c r="D185" i="8" a="1"/>
  <c r="D185" i="8" s="1"/>
  <c r="E185" i="8" a="1"/>
  <c r="E185" i="8" s="1"/>
  <c r="F185" i="8" a="1"/>
  <c r="F185" i="8" s="1"/>
  <c r="G185" i="8" a="1"/>
  <c r="G185" i="8" s="1"/>
  <c r="H185" i="8" a="1"/>
  <c r="H185" i="8" s="1"/>
  <c r="I185" i="8" a="1"/>
  <c r="I185" i="8" s="1"/>
  <c r="B186" i="8" a="1"/>
  <c r="B186" i="8" s="1"/>
  <c r="C186" i="8" a="1"/>
  <c r="C186" i="8" s="1"/>
  <c r="D186" i="8" a="1"/>
  <c r="D186" i="8" s="1"/>
  <c r="E186" i="8" a="1"/>
  <c r="E186" i="8" s="1"/>
  <c r="F186" i="8" a="1"/>
  <c r="F186" i="8" s="1"/>
  <c r="G186" i="8" a="1"/>
  <c r="G186" i="8" s="1"/>
  <c r="H186" i="8" a="1"/>
  <c r="H186" i="8" s="1"/>
  <c r="I186" i="8" a="1"/>
  <c r="I186" i="8" s="1"/>
  <c r="B187" i="8" a="1"/>
  <c r="B187" i="8" s="1"/>
  <c r="C187" i="8" a="1"/>
  <c r="C187" i="8" s="1"/>
  <c r="D187" i="8" a="1"/>
  <c r="D187" i="8" s="1"/>
  <c r="E187" i="8" a="1"/>
  <c r="E187" i="8" s="1"/>
  <c r="F187" i="8" a="1"/>
  <c r="F187" i="8" s="1"/>
  <c r="G187" i="8" a="1"/>
  <c r="G187" i="8" s="1"/>
  <c r="H187" i="8" a="1"/>
  <c r="H187" i="8" s="1"/>
  <c r="I187" i="8" a="1"/>
  <c r="I187" i="8" s="1"/>
  <c r="B188" i="8" a="1"/>
  <c r="B188" i="8" s="1"/>
  <c r="C188" i="8" a="1"/>
  <c r="C188" i="8" s="1"/>
  <c r="D188" i="8" a="1"/>
  <c r="D188" i="8" s="1"/>
  <c r="E188" i="8" a="1"/>
  <c r="E188" i="8" s="1"/>
  <c r="F188" i="8" a="1"/>
  <c r="F188" i="8" s="1"/>
  <c r="G188" i="8" a="1"/>
  <c r="G188" i="8" s="1"/>
  <c r="H188" i="8" a="1"/>
  <c r="H188" i="8" s="1"/>
  <c r="I188" i="8" a="1"/>
  <c r="I188" i="8" s="1"/>
  <c r="B189" i="8" a="1"/>
  <c r="B189" i="8" s="1"/>
  <c r="C189" i="8" a="1"/>
  <c r="C189" i="8" s="1"/>
  <c r="D189" i="8" a="1"/>
  <c r="D189" i="8" s="1"/>
  <c r="E189" i="8" a="1"/>
  <c r="E189" i="8" s="1"/>
  <c r="F189" i="8" a="1"/>
  <c r="F189" i="8" s="1"/>
  <c r="G189" i="8" a="1"/>
  <c r="G189" i="8" s="1"/>
  <c r="H189" i="8" a="1"/>
  <c r="H189" i="8" s="1"/>
  <c r="I189" i="8" a="1"/>
  <c r="I189" i="8" s="1"/>
  <c r="B190" i="8" a="1"/>
  <c r="B190" i="8" s="1"/>
  <c r="C190" i="8" a="1"/>
  <c r="C190" i="8" s="1"/>
  <c r="D190" i="8" a="1"/>
  <c r="D190" i="8" s="1"/>
  <c r="E190" i="8" a="1"/>
  <c r="E190" i="8" s="1"/>
  <c r="F190" i="8" a="1"/>
  <c r="F190" i="8" s="1"/>
  <c r="G190" i="8" a="1"/>
  <c r="G190" i="8" s="1"/>
  <c r="H190" i="8" a="1"/>
  <c r="H190" i="8" s="1"/>
  <c r="I190" i="8" a="1"/>
  <c r="I190" i="8" s="1"/>
  <c r="B191" i="8" a="1"/>
  <c r="B191" i="8" s="1"/>
  <c r="C191" i="8" a="1"/>
  <c r="C191" i="8" s="1"/>
  <c r="D191" i="8" a="1"/>
  <c r="D191" i="8" s="1"/>
  <c r="E191" i="8" a="1"/>
  <c r="E191" i="8" s="1"/>
  <c r="F191" i="8" a="1"/>
  <c r="F191" i="8" s="1"/>
  <c r="G191" i="8" a="1"/>
  <c r="G191" i="8" s="1"/>
  <c r="H191" i="8" a="1"/>
  <c r="H191" i="8" s="1"/>
  <c r="I191" i="8" a="1"/>
  <c r="I191" i="8" s="1"/>
  <c r="B192" i="8" a="1"/>
  <c r="B192" i="8" s="1"/>
  <c r="C192" i="8" a="1"/>
  <c r="C192" i="8" s="1"/>
  <c r="D192" i="8" a="1"/>
  <c r="D192" i="8" s="1"/>
  <c r="E192" i="8" a="1"/>
  <c r="E192" i="8" s="1"/>
  <c r="F192" i="8" a="1"/>
  <c r="F192" i="8" s="1"/>
  <c r="G192" i="8" a="1"/>
  <c r="G192" i="8" s="1"/>
  <c r="H192" i="8" a="1"/>
  <c r="H192" i="8" s="1"/>
  <c r="I192" i="8" a="1"/>
  <c r="I192" i="8" s="1"/>
  <c r="B193" i="8" a="1"/>
  <c r="B193" i="8" s="1"/>
  <c r="C193" i="8" a="1"/>
  <c r="C193" i="8" s="1"/>
  <c r="D193" i="8" a="1"/>
  <c r="D193" i="8" s="1"/>
  <c r="E193" i="8" a="1"/>
  <c r="E193" i="8" s="1"/>
  <c r="F193" i="8" a="1"/>
  <c r="F193" i="8" s="1"/>
  <c r="G193" i="8" a="1"/>
  <c r="G193" i="8" s="1"/>
  <c r="H193" i="8" a="1"/>
  <c r="H193" i="8" s="1"/>
  <c r="I193" i="8" a="1"/>
  <c r="I193" i="8" s="1"/>
  <c r="B194" i="8" a="1"/>
  <c r="B194" i="8" s="1"/>
  <c r="C194" i="8" a="1"/>
  <c r="C194" i="8" s="1"/>
  <c r="D194" i="8" a="1"/>
  <c r="D194" i="8" s="1"/>
  <c r="E194" i="8" a="1"/>
  <c r="E194" i="8" s="1"/>
  <c r="F194" i="8" a="1"/>
  <c r="F194" i="8" s="1"/>
  <c r="G194" i="8" a="1"/>
  <c r="G194" i="8" s="1"/>
  <c r="H194" i="8" a="1"/>
  <c r="H194" i="8" s="1"/>
  <c r="I194" i="8" a="1"/>
  <c r="I194" i="8" s="1"/>
  <c r="B195" i="8" a="1"/>
  <c r="B195" i="8" s="1"/>
  <c r="C195" i="8" a="1"/>
  <c r="C195" i="8" s="1"/>
  <c r="D195" i="8" a="1"/>
  <c r="D195" i="8" s="1"/>
  <c r="E195" i="8" a="1"/>
  <c r="E195" i="8" s="1"/>
  <c r="F195" i="8" a="1"/>
  <c r="F195" i="8" s="1"/>
  <c r="G195" i="8" a="1"/>
  <c r="G195" i="8" s="1"/>
  <c r="H195" i="8" a="1"/>
  <c r="H195" i="8" s="1"/>
  <c r="I195" i="8" a="1"/>
  <c r="I195" i="8" s="1"/>
  <c r="B196" i="8" a="1"/>
  <c r="B196" i="8" s="1"/>
  <c r="C196" i="8" a="1"/>
  <c r="C196" i="8" s="1"/>
  <c r="D196" i="8" a="1"/>
  <c r="D196" i="8" s="1"/>
  <c r="E196" i="8" a="1"/>
  <c r="E196" i="8" s="1"/>
  <c r="F196" i="8" a="1"/>
  <c r="F196" i="8" s="1"/>
  <c r="G196" i="8" a="1"/>
  <c r="G196" i="8" s="1"/>
  <c r="H196" i="8" a="1"/>
  <c r="H196" i="8" s="1"/>
  <c r="I196" i="8" a="1"/>
  <c r="I196" i="8" s="1"/>
  <c r="B197" i="8" a="1"/>
  <c r="B197" i="8" s="1"/>
  <c r="C197" i="8" a="1"/>
  <c r="C197" i="8" s="1"/>
  <c r="D197" i="8" a="1"/>
  <c r="D197" i="8" s="1"/>
  <c r="E197" i="8" a="1"/>
  <c r="E197" i="8" s="1"/>
  <c r="F197" i="8" a="1"/>
  <c r="F197" i="8" s="1"/>
  <c r="G197" i="8" a="1"/>
  <c r="G197" i="8" s="1"/>
  <c r="H197" i="8" a="1"/>
  <c r="H197" i="8" s="1"/>
  <c r="I197" i="8" a="1"/>
  <c r="I197" i="8" s="1"/>
  <c r="B198" i="8" a="1"/>
  <c r="B198" i="8" s="1"/>
  <c r="C198" i="8" a="1"/>
  <c r="C198" i="8" s="1"/>
  <c r="D198" i="8" a="1"/>
  <c r="D198" i="8" s="1"/>
  <c r="E198" i="8" a="1"/>
  <c r="E198" i="8" s="1"/>
  <c r="F198" i="8" a="1"/>
  <c r="F198" i="8" s="1"/>
  <c r="G198" i="8" a="1"/>
  <c r="G198" i="8" s="1"/>
  <c r="H198" i="8" a="1"/>
  <c r="H198" i="8" s="1"/>
  <c r="I198" i="8" a="1"/>
  <c r="I198" i="8" s="1"/>
  <c r="B199" i="8" a="1"/>
  <c r="B199" i="8" s="1"/>
  <c r="C199" i="8" a="1"/>
  <c r="C199" i="8" s="1"/>
  <c r="D199" i="8" a="1"/>
  <c r="D199" i="8" s="1"/>
  <c r="E199" i="8" a="1"/>
  <c r="E199" i="8" s="1"/>
  <c r="F199" i="8" a="1"/>
  <c r="F199" i="8" s="1"/>
  <c r="G199" i="8" a="1"/>
  <c r="G199" i="8" s="1"/>
  <c r="H199" i="8" a="1"/>
  <c r="H199" i="8" s="1"/>
  <c r="I199" i="8" a="1"/>
  <c r="I199" i="8" s="1"/>
  <c r="B200" i="8" a="1"/>
  <c r="B200" i="8" s="1"/>
  <c r="C200" i="8" a="1"/>
  <c r="C200" i="8" s="1"/>
  <c r="D200" i="8" a="1"/>
  <c r="D200" i="8" s="1"/>
  <c r="E200" i="8" a="1"/>
  <c r="E200" i="8" s="1"/>
  <c r="F200" i="8" a="1"/>
  <c r="F200" i="8" s="1"/>
  <c r="G200" i="8" a="1"/>
  <c r="G200" i="8" s="1"/>
  <c r="H200" i="8" a="1"/>
  <c r="H200" i="8" s="1"/>
  <c r="I200" i="8" a="1"/>
  <c r="I200" i="8" s="1"/>
  <c r="B201" i="8" a="1"/>
  <c r="B201" i="8" s="1"/>
  <c r="C201" i="8" a="1"/>
  <c r="C201" i="8" s="1"/>
  <c r="D201" i="8" a="1"/>
  <c r="D201" i="8" s="1"/>
  <c r="E201" i="8" a="1"/>
  <c r="E201" i="8" s="1"/>
  <c r="F201" i="8" a="1"/>
  <c r="F201" i="8" s="1"/>
  <c r="G201" i="8" a="1"/>
  <c r="G201" i="8" s="1"/>
  <c r="H201" i="8" a="1"/>
  <c r="H201" i="8" s="1"/>
  <c r="I201" i="8" a="1"/>
  <c r="I201" i="8" s="1"/>
  <c r="B202" i="8" a="1"/>
  <c r="B202" i="8" s="1"/>
  <c r="C202" i="8" a="1"/>
  <c r="C202" i="8" s="1"/>
  <c r="D202" i="8" a="1"/>
  <c r="D202" i="8" s="1"/>
  <c r="E202" i="8" a="1"/>
  <c r="E202" i="8" s="1"/>
  <c r="F202" i="8" a="1"/>
  <c r="F202" i="8" s="1"/>
  <c r="G202" i="8" a="1"/>
  <c r="G202" i="8" s="1"/>
  <c r="H202" i="8" a="1"/>
  <c r="H202" i="8" s="1"/>
  <c r="I202" i="8" a="1"/>
  <c r="I202" i="8" s="1"/>
  <c r="B203" i="8" a="1"/>
  <c r="B203" i="8" s="1"/>
  <c r="C203" i="8" a="1"/>
  <c r="C203" i="8" s="1"/>
  <c r="D203" i="8" a="1"/>
  <c r="D203" i="8" s="1"/>
  <c r="E203" i="8" a="1"/>
  <c r="E203" i="8" s="1"/>
  <c r="F203" i="8" a="1"/>
  <c r="F203" i="8" s="1"/>
  <c r="G203" i="8" a="1"/>
  <c r="G203" i="8" s="1"/>
  <c r="H203" i="8" a="1"/>
  <c r="H203" i="8" s="1"/>
  <c r="I203" i="8" a="1"/>
  <c r="I203" i="8" s="1"/>
  <c r="B204" i="8" a="1"/>
  <c r="B204" i="8" s="1"/>
  <c r="C204" i="8" a="1"/>
  <c r="C204" i="8" s="1"/>
  <c r="D204" i="8" a="1"/>
  <c r="D204" i="8" s="1"/>
  <c r="E204" i="8" a="1"/>
  <c r="E204" i="8" s="1"/>
  <c r="F204" i="8" a="1"/>
  <c r="F204" i="8" s="1"/>
  <c r="G204" i="8" a="1"/>
  <c r="G204" i="8" s="1"/>
  <c r="H204" i="8" a="1"/>
  <c r="H204" i="8" s="1"/>
  <c r="I204" i="8" a="1"/>
  <c r="I204" i="8" s="1"/>
  <c r="B205" i="8" a="1"/>
  <c r="B205" i="8" s="1"/>
  <c r="C205" i="8" a="1"/>
  <c r="C205" i="8" s="1"/>
  <c r="D205" i="8" a="1"/>
  <c r="D205" i="8" s="1"/>
  <c r="E205" i="8" a="1"/>
  <c r="E205" i="8" s="1"/>
  <c r="F205" i="8" a="1"/>
  <c r="F205" i="8" s="1"/>
  <c r="G205" i="8" a="1"/>
  <c r="G205" i="8" s="1"/>
  <c r="H205" i="8" a="1"/>
  <c r="H205" i="8" s="1"/>
  <c r="I205" i="8" a="1"/>
  <c r="I205" i="8" s="1"/>
  <c r="B206" i="8" a="1"/>
  <c r="B206" i="8" s="1"/>
  <c r="C206" i="8" a="1"/>
  <c r="C206" i="8" s="1"/>
  <c r="D206" i="8" a="1"/>
  <c r="D206" i="8" s="1"/>
  <c r="E206" i="8" a="1"/>
  <c r="E206" i="8" s="1"/>
  <c r="F206" i="8" a="1"/>
  <c r="F206" i="8" s="1"/>
  <c r="G206" i="8" a="1"/>
  <c r="G206" i="8" s="1"/>
  <c r="H206" i="8" a="1"/>
  <c r="H206" i="8" s="1"/>
  <c r="I206" i="8" a="1"/>
  <c r="I206" i="8" s="1"/>
  <c r="B207" i="8" a="1"/>
  <c r="B207" i="8" s="1"/>
  <c r="C207" i="8" a="1"/>
  <c r="C207" i="8" s="1"/>
  <c r="D207" i="8" a="1"/>
  <c r="D207" i="8" s="1"/>
  <c r="E207" i="8" a="1"/>
  <c r="E207" i="8" s="1"/>
  <c r="F207" i="8" a="1"/>
  <c r="F207" i="8" s="1"/>
  <c r="G207" i="8" a="1"/>
  <c r="G207" i="8" s="1"/>
  <c r="H207" i="8" a="1"/>
  <c r="H207" i="8" s="1"/>
  <c r="I207" i="8" a="1"/>
  <c r="I207" i="8" s="1"/>
  <c r="B208" i="8" a="1"/>
  <c r="B208" i="8" s="1"/>
  <c r="C208" i="8" a="1"/>
  <c r="C208" i="8" s="1"/>
  <c r="D208" i="8" a="1"/>
  <c r="D208" i="8" s="1"/>
  <c r="E208" i="8" a="1"/>
  <c r="E208" i="8" s="1"/>
  <c r="F208" i="8" a="1"/>
  <c r="F208" i="8" s="1"/>
  <c r="G208" i="8" a="1"/>
  <c r="G208" i="8" s="1"/>
  <c r="H208" i="8" a="1"/>
  <c r="H208" i="8" s="1"/>
  <c r="I208" i="8" a="1"/>
  <c r="I208" i="8" s="1"/>
  <c r="B209" i="8" a="1"/>
  <c r="B209" i="8" s="1"/>
  <c r="C209" i="8" a="1"/>
  <c r="C209" i="8" s="1"/>
  <c r="D209" i="8" a="1"/>
  <c r="D209" i="8" s="1"/>
  <c r="E209" i="8" a="1"/>
  <c r="E209" i="8" s="1"/>
  <c r="F209" i="8" a="1"/>
  <c r="F209" i="8" s="1"/>
  <c r="G209" i="8" a="1"/>
  <c r="G209" i="8" s="1"/>
  <c r="H209" i="8" a="1"/>
  <c r="H209" i="8" s="1"/>
  <c r="I209" i="8" a="1"/>
  <c r="I209" i="8" s="1"/>
  <c r="B210" i="8" a="1"/>
  <c r="B210" i="8" s="1"/>
  <c r="C210" i="8" a="1"/>
  <c r="C210" i="8" s="1"/>
  <c r="D210" i="8" a="1"/>
  <c r="D210" i="8" s="1"/>
  <c r="E210" i="8" a="1"/>
  <c r="E210" i="8" s="1"/>
  <c r="F210" i="8" a="1"/>
  <c r="F210" i="8" s="1"/>
  <c r="G210" i="8" a="1"/>
  <c r="G210" i="8" s="1"/>
  <c r="H210" i="8" a="1"/>
  <c r="H210" i="8" s="1"/>
  <c r="I210" i="8" a="1"/>
  <c r="I210" i="8" s="1"/>
  <c r="B211" i="8" a="1"/>
  <c r="B211" i="8" s="1"/>
  <c r="C211" i="8" a="1"/>
  <c r="C211" i="8" s="1"/>
  <c r="D211" i="8" a="1"/>
  <c r="D211" i="8" s="1"/>
  <c r="E211" i="8" a="1"/>
  <c r="E211" i="8" s="1"/>
  <c r="F211" i="8" a="1"/>
  <c r="F211" i="8" s="1"/>
  <c r="G211" i="8" a="1"/>
  <c r="G211" i="8" s="1"/>
  <c r="H211" i="8" a="1"/>
  <c r="H211" i="8" s="1"/>
  <c r="I211" i="8" a="1"/>
  <c r="I211" i="8" s="1"/>
  <c r="B212" i="8" a="1"/>
  <c r="B212" i="8" s="1"/>
  <c r="C212" i="8" a="1"/>
  <c r="C212" i="8" s="1"/>
  <c r="D212" i="8" a="1"/>
  <c r="D212" i="8" s="1"/>
  <c r="E212" i="8" a="1"/>
  <c r="E212" i="8" s="1"/>
  <c r="F212" i="8" a="1"/>
  <c r="F212" i="8" s="1"/>
  <c r="G212" i="8" a="1"/>
  <c r="G212" i="8" s="1"/>
  <c r="H212" i="8" a="1"/>
  <c r="H212" i="8" s="1"/>
  <c r="I212" i="8" a="1"/>
  <c r="I212" i="8" s="1"/>
  <c r="B213" i="8" a="1"/>
  <c r="B213" i="8" s="1"/>
  <c r="C213" i="8" a="1"/>
  <c r="C213" i="8" s="1"/>
  <c r="D213" i="8" a="1"/>
  <c r="D213" i="8" s="1"/>
  <c r="E213" i="8" a="1"/>
  <c r="E213" i="8" s="1"/>
  <c r="F213" i="8" a="1"/>
  <c r="F213" i="8" s="1"/>
  <c r="G213" i="8" a="1"/>
  <c r="G213" i="8" s="1"/>
  <c r="H213" i="8" a="1"/>
  <c r="H213" i="8" s="1"/>
  <c r="I213" i="8" a="1"/>
  <c r="I213" i="8" s="1"/>
  <c r="B214" i="8" a="1"/>
  <c r="B214" i="8" s="1"/>
  <c r="C214" i="8" a="1"/>
  <c r="C214" i="8" s="1"/>
  <c r="D214" i="8" a="1"/>
  <c r="D214" i="8" s="1"/>
  <c r="E214" i="8" a="1"/>
  <c r="E214" i="8" s="1"/>
  <c r="F214" i="8" a="1"/>
  <c r="F214" i="8" s="1"/>
  <c r="G214" i="8" a="1"/>
  <c r="G214" i="8" s="1"/>
  <c r="H214" i="8" a="1"/>
  <c r="H214" i="8" s="1"/>
  <c r="I214" i="8" a="1"/>
  <c r="I214" i="8" s="1"/>
  <c r="B215" i="8" a="1"/>
  <c r="B215" i="8" s="1"/>
  <c r="C215" i="8" a="1"/>
  <c r="C215" i="8" s="1"/>
  <c r="D215" i="8" a="1"/>
  <c r="D215" i="8" s="1"/>
  <c r="E215" i="8" a="1"/>
  <c r="E215" i="8" s="1"/>
  <c r="F215" i="8" a="1"/>
  <c r="F215" i="8" s="1"/>
  <c r="G215" i="8" a="1"/>
  <c r="G215" i="8" s="1"/>
  <c r="H215" i="8" a="1"/>
  <c r="H215" i="8" s="1"/>
  <c r="I215" i="8" a="1"/>
  <c r="I215" i="8" s="1"/>
  <c r="B216" i="8" a="1"/>
  <c r="B216" i="8" s="1"/>
  <c r="C216" i="8" a="1"/>
  <c r="C216" i="8" s="1"/>
  <c r="D216" i="8" a="1"/>
  <c r="D216" i="8" s="1"/>
  <c r="E216" i="8" a="1"/>
  <c r="E216" i="8" s="1"/>
  <c r="F216" i="8" a="1"/>
  <c r="F216" i="8" s="1"/>
  <c r="G216" i="8" a="1"/>
  <c r="G216" i="8" s="1"/>
  <c r="H216" i="8" a="1"/>
  <c r="H216" i="8" s="1"/>
  <c r="I216" i="8" a="1"/>
  <c r="I216" i="8" s="1"/>
  <c r="B217" i="8" a="1"/>
  <c r="B217" i="8" s="1"/>
  <c r="C217" i="8" a="1"/>
  <c r="C217" i="8" s="1"/>
  <c r="D217" i="8" a="1"/>
  <c r="D217" i="8" s="1"/>
  <c r="E217" i="8" a="1"/>
  <c r="E217" i="8" s="1"/>
  <c r="F217" i="8" a="1"/>
  <c r="F217" i="8" s="1"/>
  <c r="G217" i="8" a="1"/>
  <c r="G217" i="8" s="1"/>
  <c r="H217" i="8" a="1"/>
  <c r="H217" i="8" s="1"/>
  <c r="I217" i="8" a="1"/>
  <c r="I217" i="8" s="1"/>
  <c r="B218" i="8" a="1"/>
  <c r="B218" i="8" s="1"/>
  <c r="C218" i="8" a="1"/>
  <c r="C218" i="8" s="1"/>
  <c r="D218" i="8" a="1"/>
  <c r="D218" i="8" s="1"/>
  <c r="E218" i="8" a="1"/>
  <c r="E218" i="8" s="1"/>
  <c r="F218" i="8" a="1"/>
  <c r="F218" i="8" s="1"/>
  <c r="G218" i="8" a="1"/>
  <c r="G218" i="8" s="1"/>
  <c r="H218" i="8" a="1"/>
  <c r="H218" i="8" s="1"/>
  <c r="I218" i="8" a="1"/>
  <c r="I218" i="8" s="1"/>
  <c r="B219" i="8" a="1"/>
  <c r="B219" i="8" s="1"/>
  <c r="C219" i="8" a="1"/>
  <c r="C219" i="8" s="1"/>
  <c r="D219" i="8" a="1"/>
  <c r="D219" i="8" s="1"/>
  <c r="E219" i="8" a="1"/>
  <c r="E219" i="8" s="1"/>
  <c r="F219" i="8" a="1"/>
  <c r="F219" i="8" s="1"/>
  <c r="G219" i="8" a="1"/>
  <c r="G219" i="8" s="1"/>
  <c r="H219" i="8" a="1"/>
  <c r="H219" i="8" s="1"/>
  <c r="I219" i="8" a="1"/>
  <c r="I219" i="8" s="1"/>
  <c r="B220" i="8" a="1"/>
  <c r="B220" i="8" s="1"/>
  <c r="C220" i="8" a="1"/>
  <c r="C220" i="8" s="1"/>
  <c r="D220" i="8" a="1"/>
  <c r="D220" i="8" s="1"/>
  <c r="E220" i="8" a="1"/>
  <c r="E220" i="8" s="1"/>
  <c r="F220" i="8" a="1"/>
  <c r="F220" i="8" s="1"/>
  <c r="G220" i="8" a="1"/>
  <c r="G220" i="8" s="1"/>
  <c r="H220" i="8" a="1"/>
  <c r="H220" i="8" s="1"/>
  <c r="I220" i="8" a="1"/>
  <c r="I220" i="8" s="1"/>
  <c r="B221" i="8" a="1"/>
  <c r="B221" i="8" s="1"/>
  <c r="C221" i="8" a="1"/>
  <c r="C221" i="8" s="1"/>
  <c r="D221" i="8" a="1"/>
  <c r="D221" i="8" s="1"/>
  <c r="E221" i="8" a="1"/>
  <c r="E221" i="8" s="1"/>
  <c r="F221" i="8" a="1"/>
  <c r="F221" i="8" s="1"/>
  <c r="G221" i="8" a="1"/>
  <c r="G221" i="8" s="1"/>
  <c r="H221" i="8" a="1"/>
  <c r="H221" i="8" s="1"/>
  <c r="I221" i="8" a="1"/>
  <c r="I221" i="8" s="1"/>
  <c r="B222" i="8" a="1"/>
  <c r="B222" i="8" s="1"/>
  <c r="C222" i="8" a="1"/>
  <c r="C222" i="8" s="1"/>
  <c r="D222" i="8" a="1"/>
  <c r="D222" i="8" s="1"/>
  <c r="E222" i="8" a="1"/>
  <c r="E222" i="8" s="1"/>
  <c r="F222" i="8" a="1"/>
  <c r="F222" i="8" s="1"/>
  <c r="G222" i="8" a="1"/>
  <c r="G222" i="8" s="1"/>
  <c r="H222" i="8" a="1"/>
  <c r="H222" i="8" s="1"/>
  <c r="I222" i="8" a="1"/>
  <c r="I222" i="8" s="1"/>
  <c r="B223" i="8" a="1"/>
  <c r="B223" i="8" s="1"/>
  <c r="C223" i="8" a="1"/>
  <c r="C223" i="8" s="1"/>
  <c r="D223" i="8" a="1"/>
  <c r="D223" i="8" s="1"/>
  <c r="E223" i="8" a="1"/>
  <c r="E223" i="8" s="1"/>
  <c r="F223" i="8" a="1"/>
  <c r="F223" i="8" s="1"/>
  <c r="G223" i="8" a="1"/>
  <c r="G223" i="8" s="1"/>
  <c r="H223" i="8" a="1"/>
  <c r="H223" i="8" s="1"/>
  <c r="I223" i="8" a="1"/>
  <c r="I223" i="8" s="1"/>
  <c r="B224" i="8" a="1"/>
  <c r="B224" i="8" s="1"/>
  <c r="C224" i="8" a="1"/>
  <c r="C224" i="8" s="1"/>
  <c r="D224" i="8" a="1"/>
  <c r="D224" i="8" s="1"/>
  <c r="E224" i="8" a="1"/>
  <c r="E224" i="8" s="1"/>
  <c r="F224" i="8" a="1"/>
  <c r="F224" i="8" s="1"/>
  <c r="G224" i="8" a="1"/>
  <c r="G224" i="8" s="1"/>
  <c r="H224" i="8" a="1"/>
  <c r="H224" i="8" s="1"/>
  <c r="I224" i="8" a="1"/>
  <c r="I224" i="8" s="1"/>
  <c r="B225" i="8" a="1"/>
  <c r="B225" i="8" s="1"/>
  <c r="C225" i="8" a="1"/>
  <c r="C225" i="8" s="1"/>
  <c r="D225" i="8" a="1"/>
  <c r="D225" i="8" s="1"/>
  <c r="E225" i="8" a="1"/>
  <c r="E225" i="8" s="1"/>
  <c r="F225" i="8" a="1"/>
  <c r="F225" i="8" s="1"/>
  <c r="G225" i="8" a="1"/>
  <c r="G225" i="8" s="1"/>
  <c r="H225" i="8" a="1"/>
  <c r="H225" i="8" s="1"/>
  <c r="I225" i="8" a="1"/>
  <c r="I225" i="8" s="1"/>
  <c r="B226" i="8" a="1"/>
  <c r="B226" i="8" s="1"/>
  <c r="C226" i="8" a="1"/>
  <c r="C226" i="8" s="1"/>
  <c r="D226" i="8" a="1"/>
  <c r="D226" i="8" s="1"/>
  <c r="E226" i="8" a="1"/>
  <c r="E226" i="8" s="1"/>
  <c r="F226" i="8" a="1"/>
  <c r="F226" i="8" s="1"/>
  <c r="G226" i="8" a="1"/>
  <c r="G226" i="8" s="1"/>
  <c r="H226" i="8" a="1"/>
  <c r="H226" i="8" s="1"/>
  <c r="I226" i="8" a="1"/>
  <c r="I226" i="8" s="1"/>
  <c r="B227" i="8" a="1"/>
  <c r="B227" i="8" s="1"/>
  <c r="C227" i="8" a="1"/>
  <c r="C227" i="8" s="1"/>
  <c r="D227" i="8" a="1"/>
  <c r="D227" i="8" s="1"/>
  <c r="E227" i="8" a="1"/>
  <c r="E227" i="8" s="1"/>
  <c r="F227" i="8" a="1"/>
  <c r="F227" i="8" s="1"/>
  <c r="G227" i="8" a="1"/>
  <c r="G227" i="8" s="1"/>
  <c r="H227" i="8" a="1"/>
  <c r="H227" i="8" s="1"/>
  <c r="I227" i="8" a="1"/>
  <c r="I227" i="8" s="1"/>
  <c r="B228" i="8" a="1"/>
  <c r="B228" i="8" s="1"/>
  <c r="C228" i="8" a="1"/>
  <c r="C228" i="8" s="1"/>
  <c r="D228" i="8" a="1"/>
  <c r="D228" i="8" s="1"/>
  <c r="E228" i="8" a="1"/>
  <c r="E228" i="8" s="1"/>
  <c r="F228" i="8" a="1"/>
  <c r="F228" i="8" s="1"/>
  <c r="G228" i="8" a="1"/>
  <c r="G228" i="8" s="1"/>
  <c r="H228" i="8" a="1"/>
  <c r="H228" i="8" s="1"/>
  <c r="I228" i="8" a="1"/>
  <c r="I228" i="8" s="1"/>
  <c r="B229" i="8" a="1"/>
  <c r="B229" i="8" s="1"/>
  <c r="C229" i="8" a="1"/>
  <c r="C229" i="8" s="1"/>
  <c r="D229" i="8" a="1"/>
  <c r="D229" i="8" s="1"/>
  <c r="E229" i="8" a="1"/>
  <c r="E229" i="8" s="1"/>
  <c r="F229" i="8" a="1"/>
  <c r="F229" i="8" s="1"/>
  <c r="G229" i="8" a="1"/>
  <c r="G229" i="8" s="1"/>
  <c r="H229" i="8" a="1"/>
  <c r="H229" i="8" s="1"/>
  <c r="I229" i="8" a="1"/>
  <c r="I229" i="8" s="1"/>
  <c r="B230" i="8" a="1"/>
  <c r="B230" i="8" s="1"/>
  <c r="C230" i="8" a="1"/>
  <c r="C230" i="8" s="1"/>
  <c r="D230" i="8" a="1"/>
  <c r="D230" i="8" s="1"/>
  <c r="E230" i="8" a="1"/>
  <c r="E230" i="8" s="1"/>
  <c r="F230" i="8" a="1"/>
  <c r="F230" i="8" s="1"/>
  <c r="G230" i="8" a="1"/>
  <c r="G230" i="8" s="1"/>
  <c r="H230" i="8" a="1"/>
  <c r="H230" i="8" s="1"/>
  <c r="I230" i="8" a="1"/>
  <c r="I230" i="8" s="1"/>
  <c r="B231" i="8" a="1"/>
  <c r="B231" i="8" s="1"/>
  <c r="C231" i="8" a="1"/>
  <c r="C231" i="8" s="1"/>
  <c r="D231" i="8" a="1"/>
  <c r="D231" i="8" s="1"/>
  <c r="E231" i="8" a="1"/>
  <c r="E231" i="8" s="1"/>
  <c r="F231" i="8" a="1"/>
  <c r="F231" i="8" s="1"/>
  <c r="G231" i="8" a="1"/>
  <c r="G231" i="8" s="1"/>
  <c r="H231" i="8" a="1"/>
  <c r="H231" i="8" s="1"/>
  <c r="I231" i="8" a="1"/>
  <c r="I231" i="8" s="1"/>
  <c r="B232" i="8" a="1"/>
  <c r="B232" i="8" s="1"/>
  <c r="C232" i="8" a="1"/>
  <c r="C232" i="8" s="1"/>
  <c r="D232" i="8" a="1"/>
  <c r="D232" i="8" s="1"/>
  <c r="E232" i="8" a="1"/>
  <c r="E232" i="8" s="1"/>
  <c r="F232" i="8" a="1"/>
  <c r="F232" i="8" s="1"/>
  <c r="G232" i="8" a="1"/>
  <c r="G232" i="8" s="1"/>
  <c r="H232" i="8" a="1"/>
  <c r="H232" i="8" s="1"/>
  <c r="I232" i="8" a="1"/>
  <c r="I232" i="8" s="1"/>
  <c r="B233" i="8" a="1"/>
  <c r="B233" i="8" s="1"/>
  <c r="C233" i="8" a="1"/>
  <c r="C233" i="8" s="1"/>
  <c r="D233" i="8" a="1"/>
  <c r="D233" i="8" s="1"/>
  <c r="E233" i="8" a="1"/>
  <c r="E233" i="8" s="1"/>
  <c r="F233" i="8" a="1"/>
  <c r="F233" i="8" s="1"/>
  <c r="G233" i="8" a="1"/>
  <c r="G233" i="8" s="1"/>
  <c r="H233" i="8" a="1"/>
  <c r="H233" i="8" s="1"/>
  <c r="I233" i="8" a="1"/>
  <c r="I233" i="8" s="1"/>
  <c r="B234" i="8" a="1"/>
  <c r="B234" i="8" s="1"/>
  <c r="C234" i="8" a="1"/>
  <c r="C234" i="8" s="1"/>
  <c r="D234" i="8" a="1"/>
  <c r="D234" i="8" s="1"/>
  <c r="E234" i="8" a="1"/>
  <c r="E234" i="8" s="1"/>
  <c r="F234" i="8" a="1"/>
  <c r="F234" i="8" s="1"/>
  <c r="G234" i="8" a="1"/>
  <c r="G234" i="8" s="1"/>
  <c r="H234" i="8" a="1"/>
  <c r="H234" i="8" s="1"/>
  <c r="I234" i="8" a="1"/>
  <c r="I234" i="8" s="1"/>
  <c r="B235" i="8" a="1"/>
  <c r="B235" i="8" s="1"/>
  <c r="C235" i="8" a="1"/>
  <c r="C235" i="8" s="1"/>
  <c r="D235" i="8" a="1"/>
  <c r="D235" i="8" s="1"/>
  <c r="E235" i="8" a="1"/>
  <c r="E235" i="8" s="1"/>
  <c r="F235" i="8" a="1"/>
  <c r="F235" i="8" s="1"/>
  <c r="G235" i="8" a="1"/>
  <c r="G235" i="8" s="1"/>
  <c r="H235" i="8" a="1"/>
  <c r="H235" i="8" s="1"/>
  <c r="I235" i="8" a="1"/>
  <c r="I235" i="8" s="1"/>
  <c r="B236" i="8" a="1"/>
  <c r="B236" i="8" s="1"/>
  <c r="C236" i="8" a="1"/>
  <c r="C236" i="8" s="1"/>
  <c r="D236" i="8" a="1"/>
  <c r="D236" i="8" s="1"/>
  <c r="E236" i="8" a="1"/>
  <c r="E236" i="8" s="1"/>
  <c r="F236" i="8" a="1"/>
  <c r="F236" i="8" s="1"/>
  <c r="G236" i="8" a="1"/>
  <c r="G236" i="8" s="1"/>
  <c r="H236" i="8" a="1"/>
  <c r="H236" i="8" s="1"/>
  <c r="I236" i="8" a="1"/>
  <c r="I236" i="8" s="1"/>
  <c r="B237" i="8" a="1"/>
  <c r="B237" i="8" s="1"/>
  <c r="C237" i="8" a="1"/>
  <c r="C237" i="8" s="1"/>
  <c r="D237" i="8" a="1"/>
  <c r="D237" i="8" s="1"/>
  <c r="E237" i="8" a="1"/>
  <c r="E237" i="8" s="1"/>
  <c r="F237" i="8" a="1"/>
  <c r="F237" i="8" s="1"/>
  <c r="G237" i="8" a="1"/>
  <c r="G237" i="8" s="1"/>
  <c r="H237" i="8" a="1"/>
  <c r="H237" i="8" s="1"/>
  <c r="I237" i="8" a="1"/>
  <c r="I237" i="8" s="1"/>
  <c r="B238" i="8" a="1"/>
  <c r="B238" i="8" s="1"/>
  <c r="C238" i="8" a="1"/>
  <c r="C238" i="8" s="1"/>
  <c r="D238" i="8" a="1"/>
  <c r="D238" i="8" s="1"/>
  <c r="E238" i="8" a="1"/>
  <c r="E238" i="8" s="1"/>
  <c r="F238" i="8" a="1"/>
  <c r="F238" i="8" s="1"/>
  <c r="G238" i="8" a="1"/>
  <c r="G238" i="8" s="1"/>
  <c r="H238" i="8" a="1"/>
  <c r="H238" i="8" s="1"/>
  <c r="I238" i="8" a="1"/>
  <c r="I238" i="8" s="1"/>
  <c r="B239" i="8" a="1"/>
  <c r="B239" i="8" s="1"/>
  <c r="C239" i="8" a="1"/>
  <c r="C239" i="8" s="1"/>
  <c r="D239" i="8" a="1"/>
  <c r="D239" i="8" s="1"/>
  <c r="E239" i="8" a="1"/>
  <c r="E239" i="8" s="1"/>
  <c r="F239" i="8" a="1"/>
  <c r="F239" i="8" s="1"/>
  <c r="G239" i="8" a="1"/>
  <c r="G239" i="8" s="1"/>
  <c r="H239" i="8" a="1"/>
  <c r="H239" i="8" s="1"/>
  <c r="I239" i="8" a="1"/>
  <c r="I239" i="8" s="1"/>
  <c r="B240" i="8" a="1"/>
  <c r="B240" i="8" s="1"/>
  <c r="C240" i="8" a="1"/>
  <c r="C240" i="8" s="1"/>
  <c r="D240" i="8" a="1"/>
  <c r="D240" i="8" s="1"/>
  <c r="E240" i="8" a="1"/>
  <c r="E240" i="8" s="1"/>
  <c r="F240" i="8" a="1"/>
  <c r="F240" i="8" s="1"/>
  <c r="G240" i="8" a="1"/>
  <c r="G240" i="8" s="1"/>
  <c r="H240" i="8" a="1"/>
  <c r="H240" i="8" s="1"/>
  <c r="I240" i="8" a="1"/>
  <c r="I240" i="8" s="1"/>
  <c r="B241" i="8" a="1"/>
  <c r="B241" i="8" s="1"/>
  <c r="C241" i="8" a="1"/>
  <c r="C241" i="8" s="1"/>
  <c r="D241" i="8" a="1"/>
  <c r="D241" i="8" s="1"/>
  <c r="E241" i="8" a="1"/>
  <c r="E241" i="8" s="1"/>
  <c r="F241" i="8" a="1"/>
  <c r="F241" i="8" s="1"/>
  <c r="G241" i="8" a="1"/>
  <c r="G241" i="8" s="1"/>
  <c r="H241" i="8" a="1"/>
  <c r="H241" i="8" s="1"/>
  <c r="I241" i="8" a="1"/>
  <c r="I241" i="8" s="1"/>
  <c r="B242" i="8" a="1"/>
  <c r="B242" i="8" s="1"/>
  <c r="C242" i="8" a="1"/>
  <c r="C242" i="8" s="1"/>
  <c r="D242" i="8" a="1"/>
  <c r="D242" i="8" s="1"/>
  <c r="E242" i="8" a="1"/>
  <c r="E242" i="8" s="1"/>
  <c r="F242" i="8" a="1"/>
  <c r="F242" i="8" s="1"/>
  <c r="G242" i="8" a="1"/>
  <c r="G242" i="8" s="1"/>
  <c r="H242" i="8" a="1"/>
  <c r="H242" i="8" s="1"/>
  <c r="I242" i="8" a="1"/>
  <c r="I242" i="8" s="1"/>
  <c r="B243" i="8" a="1"/>
  <c r="B243" i="8" s="1"/>
  <c r="C243" i="8" a="1"/>
  <c r="C243" i="8" s="1"/>
  <c r="D243" i="8" a="1"/>
  <c r="D243" i="8" s="1"/>
  <c r="E243" i="8" a="1"/>
  <c r="E243" i="8" s="1"/>
  <c r="F243" i="8" a="1"/>
  <c r="F243" i="8" s="1"/>
  <c r="G243" i="8" a="1"/>
  <c r="G243" i="8" s="1"/>
  <c r="H243" i="8" a="1"/>
  <c r="H243" i="8" s="1"/>
  <c r="I243" i="8" a="1"/>
  <c r="I243" i="8" s="1"/>
  <c r="B244" i="8" a="1"/>
  <c r="B244" i="8" s="1"/>
  <c r="C244" i="8" a="1"/>
  <c r="C244" i="8" s="1"/>
  <c r="D244" i="8" a="1"/>
  <c r="D244" i="8" s="1"/>
  <c r="E244" i="8" a="1"/>
  <c r="E244" i="8" s="1"/>
  <c r="F244" i="8" a="1"/>
  <c r="F244" i="8" s="1"/>
  <c r="G244" i="8" a="1"/>
  <c r="G244" i="8" s="1"/>
  <c r="H244" i="8" a="1"/>
  <c r="H244" i="8" s="1"/>
  <c r="I244" i="8" a="1"/>
  <c r="I244" i="8" s="1"/>
  <c r="B245" i="8" a="1"/>
  <c r="B245" i="8" s="1"/>
  <c r="C245" i="8" a="1"/>
  <c r="C245" i="8" s="1"/>
  <c r="D245" i="8" a="1"/>
  <c r="D245" i="8" s="1"/>
  <c r="E245" i="8" a="1"/>
  <c r="E245" i="8" s="1"/>
  <c r="F245" i="8" a="1"/>
  <c r="F245" i="8" s="1"/>
  <c r="G245" i="8" a="1"/>
  <c r="G245" i="8" s="1"/>
  <c r="H245" i="8" a="1"/>
  <c r="H245" i="8" s="1"/>
  <c r="I245" i="8" a="1"/>
  <c r="I245" i="8" s="1"/>
  <c r="B246" i="8" a="1"/>
  <c r="B246" i="8" s="1"/>
  <c r="C246" i="8" a="1"/>
  <c r="C246" i="8" s="1"/>
  <c r="D246" i="8" a="1"/>
  <c r="D246" i="8" s="1"/>
  <c r="E246" i="8" a="1"/>
  <c r="E246" i="8" s="1"/>
  <c r="F246" i="8" a="1"/>
  <c r="F246" i="8" s="1"/>
  <c r="G246" i="8" a="1"/>
  <c r="G246" i="8" s="1"/>
  <c r="H246" i="8" a="1"/>
  <c r="H246" i="8" s="1"/>
  <c r="I246" i="8" a="1"/>
  <c r="I246" i="8" s="1"/>
  <c r="B247" i="8" a="1"/>
  <c r="B247" i="8" s="1"/>
  <c r="C247" i="8" a="1"/>
  <c r="C247" i="8" s="1"/>
  <c r="D247" i="8" a="1"/>
  <c r="D247" i="8" s="1"/>
  <c r="E247" i="8" a="1"/>
  <c r="E247" i="8" s="1"/>
  <c r="F247" i="8" a="1"/>
  <c r="F247" i="8" s="1"/>
  <c r="G247" i="8" a="1"/>
  <c r="G247" i="8" s="1"/>
  <c r="H247" i="8" a="1"/>
  <c r="H247" i="8" s="1"/>
  <c r="I247" i="8" a="1"/>
  <c r="I247" i="8" s="1"/>
  <c r="B248" i="8" a="1"/>
  <c r="B248" i="8" s="1"/>
  <c r="C248" i="8" a="1"/>
  <c r="C248" i="8" s="1"/>
  <c r="D248" i="8" a="1"/>
  <c r="D248" i="8" s="1"/>
  <c r="E248" i="8" a="1"/>
  <c r="E248" i="8" s="1"/>
  <c r="F248" i="8" a="1"/>
  <c r="F248" i="8" s="1"/>
  <c r="G248" i="8" a="1"/>
  <c r="G248" i="8" s="1"/>
  <c r="H248" i="8" a="1"/>
  <c r="H248" i="8" s="1"/>
  <c r="I248" i="8" a="1"/>
  <c r="I248" i="8" s="1"/>
  <c r="B249" i="8" a="1"/>
  <c r="B249" i="8" s="1"/>
  <c r="C249" i="8" a="1"/>
  <c r="C249" i="8" s="1"/>
  <c r="D249" i="8" a="1"/>
  <c r="D249" i="8" s="1"/>
  <c r="E249" i="8" a="1"/>
  <c r="E249" i="8" s="1"/>
  <c r="F249" i="8" a="1"/>
  <c r="F249" i="8" s="1"/>
  <c r="G249" i="8" a="1"/>
  <c r="G249" i="8" s="1"/>
  <c r="H249" i="8" a="1"/>
  <c r="H249" i="8" s="1"/>
  <c r="I249" i="8" a="1"/>
  <c r="I249" i="8" s="1"/>
  <c r="B250" i="8" a="1"/>
  <c r="B250" i="8" s="1"/>
  <c r="C250" i="8" a="1"/>
  <c r="C250" i="8" s="1"/>
  <c r="D250" i="8" a="1"/>
  <c r="D250" i="8" s="1"/>
  <c r="E250" i="8" a="1"/>
  <c r="E250" i="8" s="1"/>
  <c r="F250" i="8" a="1"/>
  <c r="F250" i="8" s="1"/>
  <c r="G250" i="8" a="1"/>
  <c r="G250" i="8" s="1"/>
  <c r="H250" i="8" a="1"/>
  <c r="H250" i="8" s="1"/>
  <c r="I250" i="8" a="1"/>
  <c r="I250" i="8" s="1"/>
  <c r="S11" i="8" a="1"/>
  <c r="S11" i="8" s="1"/>
  <c r="R11" i="8" a="1"/>
  <c r="R11" i="8" s="1"/>
  <c r="I11" i="8" a="1"/>
  <c r="I11" i="8" s="1"/>
  <c r="H11" i="8" a="1"/>
  <c r="H11" i="8" s="1"/>
  <c r="G11" i="8" a="1"/>
  <c r="G11" i="8" s="1"/>
  <c r="F11" i="8" a="1"/>
  <c r="F11" i="8" s="1"/>
  <c r="E11" i="8" a="1"/>
  <c r="E11" i="8" s="1"/>
  <c r="D11" i="8" a="1"/>
  <c r="D11" i="8" s="1"/>
  <c r="C11" i="8" a="1"/>
  <c r="C11" i="8" s="1"/>
  <c r="B11" i="8" a="1"/>
  <c r="B11" i="8" s="1"/>
  <c r="O12" i="8" a="1"/>
  <c r="O12" i="8" s="1"/>
  <c r="O13" i="8" a="1"/>
  <c r="O13" i="8" s="1"/>
  <c r="O14" i="8" a="1"/>
  <c r="O14" i="8" s="1"/>
  <c r="O15" i="8" a="1"/>
  <c r="O15" i="8" s="1"/>
  <c r="O16" i="8" a="1"/>
  <c r="O16" i="8" s="1"/>
  <c r="O17" i="8" a="1"/>
  <c r="O17" i="8" s="1"/>
  <c r="O18" i="8" a="1"/>
  <c r="O18" i="8" s="1"/>
  <c r="O19" i="8" a="1"/>
  <c r="O19" i="8" s="1"/>
  <c r="O20" i="8" a="1"/>
  <c r="O20" i="8" s="1"/>
  <c r="O21" i="8" a="1"/>
  <c r="O21" i="8" s="1"/>
  <c r="O22" i="8" a="1"/>
  <c r="O22" i="8" s="1"/>
  <c r="O23" i="8" a="1"/>
  <c r="O23" i="8" s="1"/>
  <c r="O24" i="8" a="1"/>
  <c r="O24" i="8" s="1"/>
  <c r="O25" i="8" a="1"/>
  <c r="O25" i="8" s="1"/>
  <c r="O26" i="8" a="1"/>
  <c r="O26" i="8" s="1"/>
  <c r="O27" i="8" a="1"/>
  <c r="O27" i="8" s="1"/>
  <c r="O28" i="8" a="1"/>
  <c r="O28" i="8" s="1"/>
  <c r="O29" i="8" a="1"/>
  <c r="O29" i="8" s="1"/>
  <c r="O30" i="8" a="1"/>
  <c r="O30" i="8" s="1"/>
  <c r="O31" i="8" a="1"/>
  <c r="O31" i="8" s="1"/>
  <c r="O32" i="8" a="1"/>
  <c r="O32" i="8" s="1"/>
  <c r="O33" i="8" a="1"/>
  <c r="O33" i="8" s="1"/>
  <c r="O34" i="8" a="1"/>
  <c r="O34" i="8" s="1"/>
  <c r="O35" i="8" a="1"/>
  <c r="O35" i="8" s="1"/>
  <c r="O36" i="8" a="1"/>
  <c r="O36" i="8" s="1"/>
  <c r="O37" i="8" a="1"/>
  <c r="O37" i="8" s="1"/>
  <c r="O38" i="8" a="1"/>
  <c r="O38" i="8" s="1"/>
  <c r="O39" i="8" a="1"/>
  <c r="O39" i="8" s="1"/>
  <c r="O40" i="8" a="1"/>
  <c r="O40" i="8" s="1"/>
  <c r="O41" i="8" a="1"/>
  <c r="O41" i="8" s="1"/>
  <c r="O42" i="8" a="1"/>
  <c r="O42" i="8" s="1"/>
  <c r="O43" i="8" a="1"/>
  <c r="O43" i="8" s="1"/>
  <c r="O44" i="8" a="1"/>
  <c r="O44" i="8" s="1"/>
  <c r="O45" i="8" a="1"/>
  <c r="O45" i="8" s="1"/>
  <c r="O46" i="8" a="1"/>
  <c r="O46" i="8" s="1"/>
  <c r="O47" i="8" a="1"/>
  <c r="O47" i="8" s="1"/>
  <c r="O48" i="8" a="1"/>
  <c r="O48" i="8" s="1"/>
  <c r="O49" i="8" a="1"/>
  <c r="O49" i="8" s="1"/>
  <c r="O50" i="8" a="1"/>
  <c r="O50" i="8" s="1"/>
  <c r="O51" i="8" a="1"/>
  <c r="O51" i="8" s="1"/>
  <c r="O52" i="8" a="1"/>
  <c r="O52" i="8" s="1"/>
  <c r="O53" i="8" a="1"/>
  <c r="O53" i="8" s="1"/>
  <c r="O54" i="8" a="1"/>
  <c r="O54" i="8" s="1"/>
  <c r="O55" i="8" a="1"/>
  <c r="O55" i="8" s="1"/>
  <c r="O56" i="8" a="1"/>
  <c r="O56" i="8" s="1"/>
  <c r="O57" i="8" a="1"/>
  <c r="O57" i="8" s="1"/>
  <c r="O58" i="8" a="1"/>
  <c r="O58" i="8" s="1"/>
  <c r="O59" i="8" a="1"/>
  <c r="O59" i="8" s="1"/>
  <c r="O60" i="8" a="1"/>
  <c r="O60" i="8" s="1"/>
  <c r="O61" i="8" a="1"/>
  <c r="O61" i="8" s="1"/>
  <c r="O62" i="8" a="1"/>
  <c r="O62" i="8" s="1"/>
  <c r="O63" i="8" a="1"/>
  <c r="O63" i="8" s="1"/>
  <c r="O64" i="8" a="1"/>
  <c r="O64" i="8" s="1"/>
  <c r="O65" i="8" a="1"/>
  <c r="O65" i="8" s="1"/>
  <c r="O66" i="8" a="1"/>
  <c r="O66" i="8" s="1"/>
  <c r="O67" i="8" a="1"/>
  <c r="O67" i="8" s="1"/>
  <c r="O68" i="8" a="1"/>
  <c r="O68" i="8" s="1"/>
  <c r="O69" i="8" a="1"/>
  <c r="O69" i="8" s="1"/>
  <c r="O70" i="8" a="1"/>
  <c r="O70" i="8" s="1"/>
  <c r="O71" i="8" a="1"/>
  <c r="O71" i="8" s="1"/>
  <c r="O72" i="8" a="1"/>
  <c r="O72" i="8" s="1"/>
  <c r="O73" i="8" a="1"/>
  <c r="O73" i="8" s="1"/>
  <c r="O74" i="8" a="1"/>
  <c r="O74" i="8" s="1"/>
  <c r="O75" i="8" a="1"/>
  <c r="O75" i="8" s="1"/>
  <c r="O76" i="8" a="1"/>
  <c r="O76" i="8" s="1"/>
  <c r="O77" i="8" a="1"/>
  <c r="O77" i="8" s="1"/>
  <c r="O78" i="8" a="1"/>
  <c r="O78" i="8" s="1"/>
  <c r="O79" i="8" a="1"/>
  <c r="O79" i="8" s="1"/>
  <c r="O80" i="8" a="1"/>
  <c r="O80" i="8" s="1"/>
  <c r="O81" i="8" a="1"/>
  <c r="O81" i="8" s="1"/>
  <c r="O82" i="8" a="1"/>
  <c r="O82" i="8" s="1"/>
  <c r="O83" i="8" a="1"/>
  <c r="O83" i="8" s="1"/>
  <c r="O84" i="8" a="1"/>
  <c r="O84" i="8" s="1"/>
  <c r="O85" i="8" a="1"/>
  <c r="O85" i="8" s="1"/>
  <c r="O86" i="8" a="1"/>
  <c r="O86" i="8" s="1"/>
  <c r="O87" i="8" a="1"/>
  <c r="O87" i="8" s="1"/>
  <c r="O88" i="8" a="1"/>
  <c r="O88" i="8" s="1"/>
  <c r="O89" i="8" a="1"/>
  <c r="O89" i="8" s="1"/>
  <c r="O90" i="8" a="1"/>
  <c r="O90" i="8" s="1"/>
  <c r="O91" i="8" a="1"/>
  <c r="O91" i="8" s="1"/>
  <c r="O92" i="8" a="1"/>
  <c r="O92" i="8" s="1"/>
  <c r="O93" i="8" a="1"/>
  <c r="O93" i="8" s="1"/>
  <c r="O94" i="8" a="1"/>
  <c r="O94" i="8" s="1"/>
  <c r="O95" i="8" a="1"/>
  <c r="O95" i="8" s="1"/>
  <c r="O96" i="8" a="1"/>
  <c r="O96" i="8" s="1"/>
  <c r="O97" i="8" a="1"/>
  <c r="O97" i="8" s="1"/>
  <c r="O98" i="8" a="1"/>
  <c r="O98" i="8" s="1"/>
  <c r="O99" i="8" a="1"/>
  <c r="O99" i="8" s="1"/>
  <c r="O100" i="8" a="1"/>
  <c r="O100" i="8" s="1"/>
  <c r="O101" i="8" a="1"/>
  <c r="O101" i="8" s="1"/>
  <c r="O102" i="8" a="1"/>
  <c r="O102" i="8" s="1"/>
  <c r="O103" i="8" a="1"/>
  <c r="O103" i="8" s="1"/>
  <c r="O104" i="8" a="1"/>
  <c r="O104" i="8" s="1"/>
  <c r="O105" i="8" a="1"/>
  <c r="O105" i="8" s="1"/>
  <c r="O106" i="8" a="1"/>
  <c r="O106" i="8" s="1"/>
  <c r="O107" i="8" a="1"/>
  <c r="O107" i="8" s="1"/>
  <c r="O108" i="8" a="1"/>
  <c r="O108" i="8" s="1"/>
  <c r="O109" i="8" a="1"/>
  <c r="O109" i="8" s="1"/>
  <c r="O110" i="8" a="1"/>
  <c r="O110" i="8" s="1"/>
  <c r="O111" i="8" a="1"/>
  <c r="O111" i="8" s="1"/>
  <c r="O112" i="8" a="1"/>
  <c r="O112" i="8" s="1"/>
  <c r="O113" i="8" a="1"/>
  <c r="O113" i="8" s="1"/>
  <c r="O114" i="8" a="1"/>
  <c r="O114" i="8" s="1"/>
  <c r="O115" i="8" a="1"/>
  <c r="O115" i="8" s="1"/>
  <c r="O116" i="8" a="1"/>
  <c r="O116" i="8" s="1"/>
  <c r="O117" i="8" a="1"/>
  <c r="O117" i="8" s="1"/>
  <c r="O118" i="8" a="1"/>
  <c r="O118" i="8" s="1"/>
  <c r="O119" i="8" a="1"/>
  <c r="O119" i="8" s="1"/>
  <c r="O120" i="8" a="1"/>
  <c r="O120" i="8" s="1"/>
  <c r="O121" i="8" a="1"/>
  <c r="O121" i="8" s="1"/>
  <c r="O122" i="8" a="1"/>
  <c r="O122" i="8" s="1"/>
  <c r="O123" i="8" a="1"/>
  <c r="O123" i="8" s="1"/>
  <c r="O124" i="8" a="1"/>
  <c r="O124" i="8" s="1"/>
  <c r="O125" i="8" a="1"/>
  <c r="O125" i="8" s="1"/>
  <c r="O126" i="8" a="1"/>
  <c r="O126" i="8" s="1"/>
  <c r="O127" i="8" a="1"/>
  <c r="O127" i="8" s="1"/>
  <c r="O128" i="8" a="1"/>
  <c r="O128" i="8" s="1"/>
  <c r="O129" i="8" a="1"/>
  <c r="O129" i="8" s="1"/>
  <c r="O130" i="8" a="1"/>
  <c r="O130" i="8" s="1"/>
  <c r="O131" i="8" a="1"/>
  <c r="O131" i="8" s="1"/>
  <c r="O132" i="8" a="1"/>
  <c r="O132" i="8" s="1"/>
  <c r="O133" i="8" a="1"/>
  <c r="O133" i="8" s="1"/>
  <c r="O134" i="8" a="1"/>
  <c r="O134" i="8" s="1"/>
  <c r="O135" i="8" a="1"/>
  <c r="O135" i="8" s="1"/>
  <c r="O136" i="8" a="1"/>
  <c r="O136" i="8" s="1"/>
  <c r="O137" i="8" a="1"/>
  <c r="O137" i="8" s="1"/>
  <c r="O138" i="8" a="1"/>
  <c r="O138" i="8" s="1"/>
  <c r="O139" i="8" a="1"/>
  <c r="O139" i="8" s="1"/>
  <c r="O140" i="8" a="1"/>
  <c r="O140" i="8" s="1"/>
  <c r="O141" i="8" a="1"/>
  <c r="O141" i="8" s="1"/>
  <c r="O142" i="8" a="1"/>
  <c r="O142" i="8" s="1"/>
  <c r="O143" i="8" a="1"/>
  <c r="O143" i="8" s="1"/>
  <c r="O144" i="8" a="1"/>
  <c r="O144" i="8" s="1"/>
  <c r="O145" i="8" a="1"/>
  <c r="O145" i="8" s="1"/>
  <c r="O146" i="8" a="1"/>
  <c r="O146" i="8" s="1"/>
  <c r="O147" i="8" a="1"/>
  <c r="O147" i="8" s="1"/>
  <c r="O148" i="8" a="1"/>
  <c r="O148" i="8" s="1"/>
  <c r="O149" i="8" a="1"/>
  <c r="O149" i="8" s="1"/>
  <c r="O150" i="8" a="1"/>
  <c r="O150" i="8" s="1"/>
  <c r="O151" i="8" a="1"/>
  <c r="O151" i="8" s="1"/>
  <c r="O152" i="8" a="1"/>
  <c r="O152" i="8" s="1"/>
  <c r="O153" i="8" a="1"/>
  <c r="O153" i="8" s="1"/>
  <c r="O154" i="8" a="1"/>
  <c r="O154" i="8" s="1"/>
  <c r="O155" i="8" a="1"/>
  <c r="O155" i="8" s="1"/>
  <c r="O156" i="8" a="1"/>
  <c r="O156" i="8" s="1"/>
  <c r="O157" i="8" a="1"/>
  <c r="O157" i="8" s="1"/>
  <c r="O158" i="8" a="1"/>
  <c r="O158" i="8" s="1"/>
  <c r="O159" i="8" a="1"/>
  <c r="O159" i="8" s="1"/>
  <c r="O160" i="8" a="1"/>
  <c r="O160" i="8" s="1"/>
  <c r="O161" i="8" a="1"/>
  <c r="O161" i="8" s="1"/>
  <c r="O162" i="8" a="1"/>
  <c r="O162" i="8" s="1"/>
  <c r="O163" i="8" a="1"/>
  <c r="O163" i="8" s="1"/>
  <c r="O164" i="8" a="1"/>
  <c r="O164" i="8" s="1"/>
  <c r="O165" i="8" a="1"/>
  <c r="O165" i="8" s="1"/>
  <c r="O166" i="8" a="1"/>
  <c r="O166" i="8" s="1"/>
  <c r="O167" i="8" a="1"/>
  <c r="O167" i="8" s="1"/>
  <c r="O168" i="8" a="1"/>
  <c r="O168" i="8" s="1"/>
  <c r="O169" i="8" a="1"/>
  <c r="O169" i="8" s="1"/>
  <c r="O170" i="8" a="1"/>
  <c r="O170" i="8" s="1"/>
  <c r="O171" i="8" a="1"/>
  <c r="O171" i="8" s="1"/>
  <c r="O172" i="8" a="1"/>
  <c r="O172" i="8" s="1"/>
  <c r="O173" i="8" a="1"/>
  <c r="O173" i="8" s="1"/>
  <c r="O174" i="8" a="1"/>
  <c r="O174" i="8" s="1"/>
  <c r="O175" i="8" a="1"/>
  <c r="O175" i="8" s="1"/>
  <c r="O176" i="8" a="1"/>
  <c r="O176" i="8" s="1"/>
  <c r="O177" i="8" a="1"/>
  <c r="O177" i="8" s="1"/>
  <c r="O178" i="8" a="1"/>
  <c r="O178" i="8" s="1"/>
  <c r="O179" i="8" a="1"/>
  <c r="O179" i="8" s="1"/>
  <c r="O180" i="8" a="1"/>
  <c r="O180" i="8" s="1"/>
  <c r="O181" i="8" a="1"/>
  <c r="O181" i="8" s="1"/>
  <c r="O182" i="8" a="1"/>
  <c r="O182" i="8" s="1"/>
  <c r="O183" i="8" a="1"/>
  <c r="O183" i="8" s="1"/>
  <c r="O184" i="8" a="1"/>
  <c r="O184" i="8" s="1"/>
  <c r="O185" i="8" a="1"/>
  <c r="O185" i="8" s="1"/>
  <c r="O186" i="8" a="1"/>
  <c r="O186" i="8" s="1"/>
  <c r="O187" i="8" a="1"/>
  <c r="O187" i="8" s="1"/>
  <c r="O188" i="8" a="1"/>
  <c r="O188" i="8" s="1"/>
  <c r="O189" i="8" a="1"/>
  <c r="O189" i="8" s="1"/>
  <c r="O190" i="8" a="1"/>
  <c r="O190" i="8" s="1"/>
  <c r="O191" i="8" a="1"/>
  <c r="O191" i="8" s="1"/>
  <c r="O192" i="8" a="1"/>
  <c r="O192" i="8" s="1"/>
  <c r="O193" i="8" a="1"/>
  <c r="O193" i="8" s="1"/>
  <c r="O194" i="8" a="1"/>
  <c r="O194" i="8" s="1"/>
  <c r="O195" i="8" a="1"/>
  <c r="O195" i="8" s="1"/>
  <c r="O196" i="8" a="1"/>
  <c r="O196" i="8" s="1"/>
  <c r="O197" i="8" a="1"/>
  <c r="O197" i="8" s="1"/>
  <c r="O198" i="8" a="1"/>
  <c r="O198" i="8" s="1"/>
  <c r="O199" i="8" a="1"/>
  <c r="O199" i="8" s="1"/>
  <c r="O200" i="8" a="1"/>
  <c r="O200" i="8" s="1"/>
  <c r="O201" i="8" a="1"/>
  <c r="O201" i="8" s="1"/>
  <c r="O202" i="8" a="1"/>
  <c r="O202" i="8" s="1"/>
  <c r="O203" i="8" a="1"/>
  <c r="O203" i="8" s="1"/>
  <c r="O204" i="8" a="1"/>
  <c r="O204" i="8" s="1"/>
  <c r="O205" i="8" a="1"/>
  <c r="O205" i="8" s="1"/>
  <c r="O206" i="8" a="1"/>
  <c r="O206" i="8" s="1"/>
  <c r="O207" i="8" a="1"/>
  <c r="O207" i="8" s="1"/>
  <c r="O208" i="8" a="1"/>
  <c r="O208" i="8" s="1"/>
  <c r="O209" i="8" a="1"/>
  <c r="O209" i="8" s="1"/>
  <c r="O210" i="8" a="1"/>
  <c r="O210" i="8" s="1"/>
  <c r="O211" i="8" a="1"/>
  <c r="O211" i="8" s="1"/>
  <c r="O212" i="8" a="1"/>
  <c r="O212" i="8" s="1"/>
  <c r="O213" i="8" a="1"/>
  <c r="O213" i="8" s="1"/>
  <c r="O214" i="8" a="1"/>
  <c r="O214" i="8" s="1"/>
  <c r="O215" i="8" a="1"/>
  <c r="O215" i="8" s="1"/>
  <c r="O216" i="8" a="1"/>
  <c r="O216" i="8" s="1"/>
  <c r="O217" i="8" a="1"/>
  <c r="O217" i="8" s="1"/>
  <c r="O218" i="8" a="1"/>
  <c r="O218" i="8" s="1"/>
  <c r="O219" i="8" a="1"/>
  <c r="O219" i="8" s="1"/>
  <c r="O220" i="8" a="1"/>
  <c r="O220" i="8" s="1"/>
  <c r="O221" i="8" a="1"/>
  <c r="O221" i="8" s="1"/>
  <c r="O222" i="8" a="1"/>
  <c r="O222" i="8" s="1"/>
  <c r="O223" i="8" a="1"/>
  <c r="O223" i="8" s="1"/>
  <c r="O224" i="8" a="1"/>
  <c r="O224" i="8" s="1"/>
  <c r="O225" i="8" a="1"/>
  <c r="O225" i="8" s="1"/>
  <c r="O226" i="8" a="1"/>
  <c r="O226" i="8" s="1"/>
  <c r="O227" i="8" a="1"/>
  <c r="O227" i="8" s="1"/>
  <c r="O228" i="8" a="1"/>
  <c r="O228" i="8" s="1"/>
  <c r="O229" i="8" a="1"/>
  <c r="O229" i="8" s="1"/>
  <c r="O230" i="8" a="1"/>
  <c r="O230" i="8" s="1"/>
  <c r="O231" i="8" a="1"/>
  <c r="O231" i="8" s="1"/>
  <c r="O232" i="8" a="1"/>
  <c r="O232" i="8" s="1"/>
  <c r="O233" i="8" a="1"/>
  <c r="O233" i="8" s="1"/>
  <c r="O234" i="8" a="1"/>
  <c r="O234" i="8" s="1"/>
  <c r="O235" i="8" a="1"/>
  <c r="O235" i="8" s="1"/>
  <c r="O236" i="8" a="1"/>
  <c r="O236" i="8" s="1"/>
  <c r="O237" i="8" a="1"/>
  <c r="O237" i="8" s="1"/>
  <c r="O238" i="8" a="1"/>
  <c r="O238" i="8" s="1"/>
  <c r="O239" i="8" a="1"/>
  <c r="O239" i="8" s="1"/>
  <c r="O240" i="8" a="1"/>
  <c r="O240" i="8" s="1"/>
  <c r="O241" i="8" a="1"/>
  <c r="O241" i="8" s="1"/>
  <c r="O242" i="8" a="1"/>
  <c r="O242" i="8" s="1"/>
  <c r="O243" i="8" a="1"/>
  <c r="O243" i="8" s="1"/>
  <c r="O244" i="8" a="1"/>
  <c r="O244" i="8" s="1"/>
  <c r="O245" i="8" a="1"/>
  <c r="O245" i="8" s="1"/>
  <c r="O246" i="8" a="1"/>
  <c r="O246" i="8" s="1"/>
  <c r="O247" i="8" a="1"/>
  <c r="O247" i="8" s="1"/>
  <c r="O248" i="8" a="1"/>
  <c r="O248" i="8" s="1"/>
  <c r="O249" i="8" a="1"/>
  <c r="O249" i="8" s="1"/>
  <c r="O250" i="8" a="1"/>
  <c r="O250" i="8" s="1"/>
  <c r="O11" i="8" a="1"/>
  <c r="O11" i="8" s="1"/>
  <c r="AJ48" i="8" l="1" a="1"/>
  <c r="AJ48" i="8" s="1"/>
  <c r="AJ47" i="8" a="1"/>
  <c r="AJ47" i="8" s="1"/>
  <c r="AJ43" i="8" a="1"/>
  <c r="AJ43" i="8" s="1"/>
  <c r="AJ41" i="8" a="1"/>
  <c r="AJ41" i="8" s="1"/>
  <c r="AJ40" i="8" a="1"/>
  <c r="AJ40" i="8" s="1"/>
  <c r="AJ39" i="8" a="1"/>
  <c r="AJ39" i="8" s="1"/>
  <c r="AJ32" i="8" a="1"/>
  <c r="AJ32" i="8" s="1"/>
  <c r="AJ31" i="8" a="1"/>
  <c r="AJ31" i="8" s="1"/>
  <c r="AJ25" i="8" a="1"/>
  <c r="AJ25" i="8" s="1"/>
  <c r="AJ24" i="8" a="1"/>
  <c r="AJ24" i="8" s="1"/>
  <c r="AJ23" i="8" a="1"/>
  <c r="AJ23" i="8" s="1"/>
  <c r="AJ19" i="8" a="1"/>
  <c r="AJ19" i="8" s="1"/>
  <c r="AJ17" i="8" a="1"/>
  <c r="AJ17" i="8" s="1"/>
  <c r="AJ16" i="8" a="1"/>
  <c r="AJ16" i="8" s="1"/>
  <c r="AJ15" i="8" a="1"/>
  <c r="AJ15" i="8" s="1"/>
  <c r="AJ52" i="8" a="1"/>
  <c r="AJ52" i="8" s="1"/>
  <c r="AJ53" i="8" a="1"/>
  <c r="AJ53" i="8" s="1"/>
  <c r="AJ54" i="8" a="1"/>
  <c r="AJ54" i="8" s="1"/>
  <c r="AJ55" i="8" a="1"/>
  <c r="AJ55" i="8" s="1"/>
  <c r="AJ56" i="8" a="1"/>
  <c r="AJ56" i="8" s="1"/>
  <c r="AJ57" i="8" a="1"/>
  <c r="AJ57" i="8" s="1"/>
  <c r="AJ58" i="8" a="1"/>
  <c r="AJ58" i="8" s="1"/>
  <c r="AJ59" i="8" a="1"/>
  <c r="AJ59" i="8" s="1"/>
  <c r="AJ60" i="8" a="1"/>
  <c r="AJ60" i="8" s="1"/>
  <c r="AJ61" i="8" a="1"/>
  <c r="AJ61" i="8" s="1"/>
  <c r="AJ62" i="8" a="1"/>
  <c r="AJ62" i="8" s="1"/>
  <c r="AJ63" i="8" a="1"/>
  <c r="AJ63" i="8" s="1"/>
  <c r="AJ64" i="8" a="1"/>
  <c r="AJ64" i="8" s="1"/>
  <c r="AJ65" i="8" a="1"/>
  <c r="AJ65" i="8" s="1"/>
  <c r="AJ66" i="8" a="1"/>
  <c r="AJ66" i="8" s="1"/>
  <c r="AJ67" i="8" a="1"/>
  <c r="AJ67" i="8" s="1"/>
  <c r="AJ68" i="8" a="1"/>
  <c r="AJ68" i="8" s="1"/>
  <c r="AJ69" i="8" a="1"/>
  <c r="AJ69" i="8" s="1"/>
  <c r="AJ70" i="8" a="1"/>
  <c r="AJ70" i="8" s="1"/>
  <c r="AJ71" i="8" a="1"/>
  <c r="AJ71" i="8" s="1"/>
  <c r="AJ72" i="8" a="1"/>
  <c r="AJ72" i="8" s="1"/>
  <c r="AJ73" i="8" a="1"/>
  <c r="AJ73" i="8" s="1"/>
  <c r="AJ74" i="8" a="1"/>
  <c r="AJ74" i="8" s="1"/>
  <c r="AJ75" i="8" a="1"/>
  <c r="AJ75" i="8" s="1"/>
  <c r="AJ76" i="8" a="1"/>
  <c r="AJ76" i="8" s="1"/>
  <c r="AJ77" i="8" a="1"/>
  <c r="AJ77" i="8" s="1"/>
  <c r="AJ78" i="8" a="1"/>
  <c r="AJ78" i="8" s="1"/>
  <c r="AJ79" i="8" a="1"/>
  <c r="AJ79" i="8" s="1"/>
  <c r="AJ80" i="8" a="1"/>
  <c r="AJ80" i="8" s="1"/>
  <c r="AJ81" i="8" a="1"/>
  <c r="AJ81" i="8" s="1"/>
  <c r="AJ82" i="8" a="1"/>
  <c r="AJ82" i="8" s="1"/>
  <c r="AJ83" i="8" a="1"/>
  <c r="AJ83" i="8" s="1"/>
  <c r="AJ84" i="8" a="1"/>
  <c r="AJ84" i="8" s="1"/>
  <c r="AJ85" i="8" a="1"/>
  <c r="AJ85" i="8" s="1"/>
  <c r="AJ86" i="8" a="1"/>
  <c r="AJ86" i="8" s="1"/>
  <c r="AJ87" i="8" a="1"/>
  <c r="AJ87" i="8" s="1"/>
  <c r="AJ88" i="8" a="1"/>
  <c r="AJ88" i="8" s="1"/>
  <c r="AJ89" i="8" a="1"/>
  <c r="AJ89" i="8" s="1"/>
  <c r="AJ90" i="8" a="1"/>
  <c r="AJ90" i="8" s="1"/>
  <c r="AJ91" i="8" a="1"/>
  <c r="AJ91" i="8" s="1"/>
  <c r="AJ92" i="8" a="1"/>
  <c r="AJ92" i="8" s="1"/>
  <c r="AJ93" i="8" a="1"/>
  <c r="AJ93" i="8" s="1"/>
  <c r="AJ94" i="8" a="1"/>
  <c r="AJ94" i="8" s="1"/>
  <c r="AJ95" i="8" a="1"/>
  <c r="AJ95" i="8" s="1"/>
  <c r="AJ96" i="8" a="1"/>
  <c r="AJ96" i="8" s="1"/>
  <c r="AJ97" i="8" a="1"/>
  <c r="AJ97" i="8" s="1"/>
  <c r="AJ98" i="8" a="1"/>
  <c r="AJ98" i="8" s="1"/>
  <c r="AJ99" i="8" a="1"/>
  <c r="AJ99" i="8" s="1"/>
  <c r="AJ100" i="8" a="1"/>
  <c r="AJ100" i="8" s="1"/>
  <c r="AJ101" i="8" a="1"/>
  <c r="AJ101" i="8" s="1"/>
  <c r="AJ102" i="8" a="1"/>
  <c r="AJ102" i="8" s="1"/>
  <c r="AJ103" i="8" a="1"/>
  <c r="AJ103" i="8" s="1"/>
  <c r="AJ104" i="8" a="1"/>
  <c r="AJ104" i="8" s="1"/>
  <c r="AJ105" i="8" a="1"/>
  <c r="AJ105" i="8" s="1"/>
  <c r="AJ106" i="8" a="1"/>
  <c r="AJ106" i="8" s="1"/>
  <c r="AJ107" i="8" a="1"/>
  <c r="AJ107" i="8" s="1"/>
  <c r="AJ108" i="8" a="1"/>
  <c r="AJ108" i="8" s="1"/>
  <c r="AJ109" i="8" a="1"/>
  <c r="AJ109" i="8" s="1"/>
  <c r="AJ110" i="8" a="1"/>
  <c r="AJ110" i="8" s="1"/>
  <c r="AJ111" i="8" a="1"/>
  <c r="AJ111" i="8" s="1"/>
  <c r="AJ112" i="8" a="1"/>
  <c r="AJ112" i="8" s="1"/>
  <c r="AJ113" i="8" a="1"/>
  <c r="AJ113" i="8" s="1"/>
  <c r="AJ114" i="8" a="1"/>
  <c r="AJ114" i="8" s="1"/>
  <c r="AJ115" i="8" a="1"/>
  <c r="AJ115" i="8" s="1"/>
  <c r="AJ116" i="8" a="1"/>
  <c r="AJ116" i="8" s="1"/>
  <c r="AJ117" i="8" a="1"/>
  <c r="AJ117" i="8" s="1"/>
  <c r="AJ118" i="8" a="1"/>
  <c r="AJ118" i="8" s="1"/>
  <c r="AJ119" i="8" a="1"/>
  <c r="AJ119" i="8" s="1"/>
  <c r="AJ120" i="8" a="1"/>
  <c r="AJ120" i="8" s="1"/>
  <c r="AJ121" i="8" a="1"/>
  <c r="AJ121" i="8" s="1"/>
  <c r="AJ122" i="8" a="1"/>
  <c r="AJ122" i="8" s="1"/>
  <c r="AJ123" i="8" a="1"/>
  <c r="AJ123" i="8" s="1"/>
  <c r="AJ124" i="8" a="1"/>
  <c r="AJ124" i="8" s="1"/>
  <c r="AJ125" i="8" a="1"/>
  <c r="AJ125" i="8" s="1"/>
  <c r="AJ126" i="8" a="1"/>
  <c r="AJ126" i="8" s="1"/>
  <c r="AJ127" i="8" a="1"/>
  <c r="AJ127" i="8" s="1"/>
  <c r="AJ128" i="8" a="1"/>
  <c r="AJ128" i="8" s="1"/>
  <c r="AJ129" i="8" a="1"/>
  <c r="AJ129" i="8" s="1"/>
  <c r="AJ130" i="8" a="1"/>
  <c r="AJ130" i="8" s="1"/>
  <c r="AJ131" i="8" a="1"/>
  <c r="AJ131" i="8" s="1"/>
  <c r="AJ132" i="8" a="1"/>
  <c r="AJ132" i="8" s="1"/>
  <c r="AJ133" i="8" a="1"/>
  <c r="AJ133" i="8" s="1"/>
  <c r="AJ134" i="8" a="1"/>
  <c r="AJ134" i="8" s="1"/>
  <c r="AJ135" i="8" a="1"/>
  <c r="AJ135" i="8" s="1"/>
  <c r="AJ136" i="8" a="1"/>
  <c r="AJ136" i="8" s="1"/>
  <c r="AJ137" i="8" a="1"/>
  <c r="AJ137" i="8" s="1"/>
  <c r="AJ138" i="8" a="1"/>
  <c r="AJ138" i="8" s="1"/>
  <c r="AJ139" i="8" a="1"/>
  <c r="AJ139" i="8" s="1"/>
  <c r="AJ140" i="8" a="1"/>
  <c r="AJ140" i="8" s="1"/>
  <c r="AJ141" i="8" a="1"/>
  <c r="AJ141" i="8" s="1"/>
  <c r="AJ142" i="8" a="1"/>
  <c r="AJ142" i="8" s="1"/>
  <c r="AJ143" i="8" a="1"/>
  <c r="AJ143" i="8" s="1"/>
  <c r="AJ144" i="8" a="1"/>
  <c r="AJ144" i="8" s="1"/>
  <c r="AJ145" i="8" a="1"/>
  <c r="AJ145" i="8" s="1"/>
  <c r="AJ146" i="8" a="1"/>
  <c r="AJ146" i="8" s="1"/>
  <c r="AJ147" i="8" a="1"/>
  <c r="AJ147" i="8" s="1"/>
  <c r="AJ148" i="8" a="1"/>
  <c r="AJ148" i="8" s="1"/>
  <c r="AJ149" i="8" a="1"/>
  <c r="AJ149" i="8" s="1"/>
  <c r="AJ150" i="8" a="1"/>
  <c r="AJ150" i="8" s="1"/>
  <c r="AJ151" i="8" a="1"/>
  <c r="AJ151" i="8" s="1"/>
  <c r="AJ152" i="8" a="1"/>
  <c r="AJ152" i="8" s="1"/>
  <c r="AJ153" i="8" a="1"/>
  <c r="AJ153" i="8" s="1"/>
  <c r="AJ154" i="8" a="1"/>
  <c r="AJ154" i="8" s="1"/>
  <c r="AJ155" i="8" a="1"/>
  <c r="AJ155" i="8" s="1"/>
  <c r="AJ156" i="8" a="1"/>
  <c r="AJ156" i="8" s="1"/>
  <c r="AJ157" i="8" a="1"/>
  <c r="AJ157" i="8" s="1"/>
  <c r="AJ158" i="8" a="1"/>
  <c r="AJ158" i="8" s="1"/>
  <c r="AJ159" i="8" a="1"/>
  <c r="AJ159" i="8" s="1"/>
  <c r="AJ160" i="8" a="1"/>
  <c r="AJ160" i="8" s="1"/>
  <c r="AJ161" i="8" a="1"/>
  <c r="AJ161" i="8" s="1"/>
  <c r="AJ162" i="8" a="1"/>
  <c r="AJ162" i="8" s="1"/>
  <c r="AJ163" i="8" a="1"/>
  <c r="AJ163" i="8" s="1"/>
  <c r="AJ164" i="8" a="1"/>
  <c r="AJ164" i="8" s="1"/>
  <c r="AJ165" i="8" a="1"/>
  <c r="AJ165" i="8" s="1"/>
  <c r="AJ166" i="8" a="1"/>
  <c r="AJ166" i="8" s="1"/>
  <c r="AJ167" i="8" a="1"/>
  <c r="AJ167" i="8" s="1"/>
  <c r="AJ168" i="8" a="1"/>
  <c r="AJ168" i="8" s="1"/>
  <c r="AJ169" i="8" a="1"/>
  <c r="AJ169" i="8" s="1"/>
  <c r="AJ170" i="8" a="1"/>
  <c r="AJ170" i="8" s="1"/>
  <c r="AJ171" i="8" a="1"/>
  <c r="AJ171" i="8" s="1"/>
  <c r="AJ172" i="8" a="1"/>
  <c r="AJ172" i="8" s="1"/>
  <c r="AJ173" i="8" a="1"/>
  <c r="AJ173" i="8" s="1"/>
  <c r="AJ174" i="8" a="1"/>
  <c r="AJ174" i="8" s="1"/>
  <c r="AJ175" i="8" a="1"/>
  <c r="AJ175" i="8" s="1"/>
  <c r="AJ176" i="8" a="1"/>
  <c r="AJ176" i="8" s="1"/>
  <c r="AJ177" i="8" a="1"/>
  <c r="AJ177" i="8" s="1"/>
  <c r="AJ178" i="8" a="1"/>
  <c r="AJ178" i="8" s="1"/>
  <c r="AJ179" i="8" a="1"/>
  <c r="AJ179" i="8" s="1"/>
  <c r="AJ180" i="8" a="1"/>
  <c r="AJ180" i="8" s="1"/>
  <c r="AJ181" i="8" a="1"/>
  <c r="AJ181" i="8" s="1"/>
  <c r="AJ182" i="8" a="1"/>
  <c r="AJ182" i="8" s="1"/>
  <c r="AJ183" i="8" a="1"/>
  <c r="AJ183" i="8" s="1"/>
  <c r="AJ184" i="8" a="1"/>
  <c r="AJ184" i="8" s="1"/>
  <c r="AJ185" i="8" a="1"/>
  <c r="AJ185" i="8" s="1"/>
  <c r="AJ186" i="8" a="1"/>
  <c r="AJ186" i="8" s="1"/>
  <c r="AJ187" i="8" a="1"/>
  <c r="AJ187" i="8" s="1"/>
  <c r="AJ188" i="8" a="1"/>
  <c r="AJ188" i="8" s="1"/>
  <c r="AJ189" i="8" a="1"/>
  <c r="AJ189" i="8" s="1"/>
  <c r="AJ190" i="8" a="1"/>
  <c r="AJ190" i="8" s="1"/>
  <c r="AJ191" i="8" a="1"/>
  <c r="AJ191" i="8" s="1"/>
  <c r="AJ192" i="8" a="1"/>
  <c r="AJ192" i="8" s="1"/>
  <c r="AJ193" i="8" a="1"/>
  <c r="AJ193" i="8" s="1"/>
  <c r="AJ194" i="8" a="1"/>
  <c r="AJ194" i="8" s="1"/>
  <c r="AJ195" i="8" a="1"/>
  <c r="AJ195" i="8" s="1"/>
  <c r="AJ196" i="8" a="1"/>
  <c r="AJ196" i="8" s="1"/>
  <c r="AJ197" i="8" a="1"/>
  <c r="AJ197" i="8" s="1"/>
  <c r="AJ198" i="8" a="1"/>
  <c r="AJ198" i="8" s="1"/>
  <c r="AJ199" i="8" a="1"/>
  <c r="AJ199" i="8" s="1"/>
  <c r="AJ200" i="8" a="1"/>
  <c r="AJ200" i="8" s="1"/>
  <c r="AJ201" i="8" a="1"/>
  <c r="AJ201" i="8" s="1"/>
  <c r="AJ202" i="8" a="1"/>
  <c r="AJ202" i="8" s="1"/>
  <c r="AJ203" i="8" a="1"/>
  <c r="AJ203" i="8" s="1"/>
  <c r="AJ204" i="8" a="1"/>
  <c r="AJ204" i="8" s="1"/>
  <c r="AJ205" i="8" a="1"/>
  <c r="AJ205" i="8" s="1"/>
  <c r="AJ206" i="8" a="1"/>
  <c r="AJ206" i="8" s="1"/>
  <c r="AJ207" i="8" a="1"/>
  <c r="AJ207" i="8" s="1"/>
  <c r="AJ208" i="8" a="1"/>
  <c r="AJ208" i="8" s="1"/>
  <c r="AJ209" i="8" a="1"/>
  <c r="AJ209" i="8" s="1"/>
  <c r="AJ210" i="8" a="1"/>
  <c r="AJ210" i="8" s="1"/>
  <c r="AJ211" i="8" a="1"/>
  <c r="AJ211" i="8" s="1"/>
  <c r="AJ212" i="8" a="1"/>
  <c r="AJ212" i="8" s="1"/>
  <c r="AJ213" i="8" a="1"/>
  <c r="AJ213" i="8" s="1"/>
  <c r="AJ214" i="8" a="1"/>
  <c r="AJ214" i="8" s="1"/>
  <c r="AJ215" i="8" a="1"/>
  <c r="AJ215" i="8" s="1"/>
  <c r="AJ216" i="8" a="1"/>
  <c r="AJ216" i="8" s="1"/>
  <c r="AJ217" i="8" a="1"/>
  <c r="AJ217" i="8" s="1"/>
  <c r="AJ218" i="8" a="1"/>
  <c r="AJ218" i="8" s="1"/>
  <c r="AJ219" i="8" a="1"/>
  <c r="AJ219" i="8" s="1"/>
  <c r="AJ220" i="8" a="1"/>
  <c r="AJ220" i="8" s="1"/>
  <c r="AJ221" i="8" a="1"/>
  <c r="AJ221" i="8" s="1"/>
  <c r="AJ222" i="8" a="1"/>
  <c r="AJ222" i="8" s="1"/>
  <c r="AJ223" i="8" a="1"/>
  <c r="AJ223" i="8" s="1"/>
  <c r="AJ224" i="8" a="1"/>
  <c r="AJ224" i="8" s="1"/>
  <c r="AJ225" i="8" a="1"/>
  <c r="AJ225" i="8" s="1"/>
  <c r="AJ226" i="8" a="1"/>
  <c r="AJ226" i="8" s="1"/>
  <c r="AJ227" i="8" a="1"/>
  <c r="AJ227" i="8" s="1"/>
  <c r="AJ228" i="8" a="1"/>
  <c r="AJ228" i="8" s="1"/>
  <c r="AJ229" i="8" a="1"/>
  <c r="AJ229" i="8" s="1"/>
  <c r="AJ230" i="8" a="1"/>
  <c r="AJ230" i="8" s="1"/>
  <c r="AJ231" i="8" a="1"/>
  <c r="AJ231" i="8" s="1"/>
  <c r="AJ232" i="8" a="1"/>
  <c r="AJ232" i="8" s="1"/>
  <c r="AJ233" i="8" a="1"/>
  <c r="AJ233" i="8" s="1"/>
  <c r="AJ234" i="8" a="1"/>
  <c r="AJ234" i="8" s="1"/>
  <c r="AJ235" i="8" a="1"/>
  <c r="AJ235" i="8" s="1"/>
  <c r="AJ236" i="8" a="1"/>
  <c r="AJ236" i="8" s="1"/>
  <c r="AJ237" i="8" a="1"/>
  <c r="AJ237" i="8" s="1"/>
  <c r="AJ238" i="8" a="1"/>
  <c r="AJ238" i="8" s="1"/>
  <c r="AJ239" i="8" a="1"/>
  <c r="AJ239" i="8" s="1"/>
  <c r="AJ240" i="8" a="1"/>
  <c r="AJ240" i="8" s="1"/>
  <c r="AJ241" i="8" a="1"/>
  <c r="AJ241" i="8" s="1"/>
  <c r="AJ242" i="8" a="1"/>
  <c r="AJ242" i="8" s="1"/>
  <c r="AJ243" i="8" a="1"/>
  <c r="AJ243" i="8" s="1"/>
  <c r="AJ244" i="8" a="1"/>
  <c r="AJ244" i="8" s="1"/>
  <c r="AJ245" i="8" a="1"/>
  <c r="AJ245" i="8" s="1"/>
  <c r="AJ246" i="8" a="1"/>
  <c r="AJ246" i="8" s="1"/>
  <c r="AJ247" i="8" a="1"/>
  <c r="AJ247" i="8" s="1"/>
  <c r="AJ248" i="8" a="1"/>
  <c r="AJ248" i="8" s="1"/>
  <c r="AJ249" i="8" a="1"/>
  <c r="AJ249" i="8" s="1"/>
  <c r="AJ250" i="8" a="1"/>
  <c r="AJ250" i="8" s="1"/>
  <c r="AJ22" i="8" l="1" a="1"/>
  <c r="AJ22" i="8" s="1"/>
  <c r="AJ34" i="8" a="1"/>
  <c r="AJ34" i="8" s="1"/>
  <c r="AJ11" i="8" a="1"/>
  <c r="AJ11" i="8" s="1"/>
  <c r="AJ18" i="8" a="1"/>
  <c r="AJ18" i="8" s="1"/>
  <c r="AJ28" i="8" a="1"/>
  <c r="AJ28" i="8" s="1"/>
  <c r="AJ49" i="8" a="1"/>
  <c r="AJ49" i="8" s="1"/>
  <c r="AJ51" i="8" a="1"/>
  <c r="AJ51" i="8" s="1"/>
  <c r="AJ33" i="8" a="1"/>
  <c r="AJ33" i="8" s="1"/>
  <c r="AJ35" i="8" a="1"/>
  <c r="AJ35" i="8" s="1"/>
  <c r="AJ14" i="8" a="1"/>
  <c r="AJ14" i="8" s="1"/>
  <c r="AJ27" i="8" a="1"/>
  <c r="AJ27" i="8" s="1"/>
  <c r="AH30" i="8" a="1"/>
  <c r="AH30" i="8" s="1"/>
  <c r="AH30" i="11" s="1" a="1"/>
  <c r="AH30" i="11" s="1"/>
  <c r="AJ38" i="8" a="1"/>
  <c r="AJ38" i="8" s="1"/>
  <c r="AJ46" i="8" a="1"/>
  <c r="AJ46" i="8" s="1"/>
  <c r="AJ12" i="8" a="1"/>
  <c r="AJ12" i="8" s="1"/>
  <c r="AJ13" i="8" a="1"/>
  <c r="AJ13" i="8" s="1"/>
  <c r="AJ20" i="8" a="1"/>
  <c r="AJ20" i="8" s="1"/>
  <c r="AJ21" i="8" a="1"/>
  <c r="AJ21" i="8" s="1"/>
  <c r="AJ29" i="8" a="1"/>
  <c r="AJ29" i="8" s="1"/>
  <c r="AI36" i="8" a="1"/>
  <c r="AI36" i="8" s="1"/>
  <c r="AI36" i="11" s="1" a="1"/>
  <c r="AI36" i="11" s="1"/>
  <c r="AJ37" i="8" a="1"/>
  <c r="AJ37" i="8" s="1"/>
  <c r="AJ44" i="8" a="1"/>
  <c r="AJ44" i="8" s="1"/>
  <c r="AJ45" i="8" a="1"/>
  <c r="AJ45" i="8" s="1"/>
  <c r="AJ26" i="8" a="1"/>
  <c r="AJ26" i="8" s="1"/>
  <c r="AJ42" i="8" a="1"/>
  <c r="AJ42" i="8" s="1"/>
  <c r="AJ50" i="8" a="1"/>
  <c r="AJ50" i="8" s="1"/>
  <c r="AP12" i="8" a="1"/>
  <c r="AP12" i="8" s="1"/>
  <c r="AP12" i="11" s="1" a="1"/>
  <c r="AP12" i="11" s="1"/>
  <c r="AP13" i="8" a="1"/>
  <c r="AP13" i="8" s="1"/>
  <c r="AP13" i="11" s="1" a="1"/>
  <c r="AP13" i="11" s="1"/>
  <c r="AP14" i="8" a="1"/>
  <c r="AP14" i="8" s="1"/>
  <c r="AP14" i="11" s="1" a="1"/>
  <c r="AP14" i="11" s="1"/>
  <c r="AP15" i="8" a="1"/>
  <c r="AP15" i="8" s="1"/>
  <c r="AP15" i="11" s="1" a="1"/>
  <c r="AP15" i="11" s="1"/>
  <c r="AP16" i="8" a="1"/>
  <c r="AP16" i="8" s="1"/>
  <c r="AP16" i="11" s="1" a="1"/>
  <c r="AP16" i="11" s="1"/>
  <c r="AP17" i="8" a="1"/>
  <c r="AP17" i="8" s="1"/>
  <c r="AP17" i="11" s="1" a="1"/>
  <c r="AP17" i="11" s="1"/>
  <c r="AP18" i="8" a="1"/>
  <c r="AP18" i="8" s="1"/>
  <c r="AP18" i="11" s="1" a="1"/>
  <c r="AP18" i="11" s="1"/>
  <c r="AP19" i="8" a="1"/>
  <c r="AP19" i="8" s="1"/>
  <c r="AP19" i="11" s="1" a="1"/>
  <c r="AP19" i="11" s="1"/>
  <c r="AP20" i="8" a="1"/>
  <c r="AP20" i="8" s="1"/>
  <c r="AP20" i="11" s="1" a="1"/>
  <c r="AP20" i="11" s="1"/>
  <c r="AP21" i="8" a="1"/>
  <c r="AP21" i="8" s="1"/>
  <c r="AP21" i="11" s="1" a="1"/>
  <c r="AP21" i="11" s="1"/>
  <c r="AP22" i="8" a="1"/>
  <c r="AP22" i="8" s="1"/>
  <c r="AP22" i="11" s="1" a="1"/>
  <c r="AP22" i="11" s="1"/>
  <c r="AP23" i="8" a="1"/>
  <c r="AP23" i="8" s="1"/>
  <c r="AP23" i="11" s="1" a="1"/>
  <c r="AP23" i="11" s="1"/>
  <c r="AP24" i="8" a="1"/>
  <c r="AP24" i="8" s="1"/>
  <c r="AP24" i="11" s="1" a="1"/>
  <c r="AP24" i="11" s="1"/>
  <c r="AP25" i="8" a="1"/>
  <c r="AP25" i="8" s="1"/>
  <c r="AP25" i="11" s="1" a="1"/>
  <c r="AP25" i="11" s="1"/>
  <c r="AP26" i="8" a="1"/>
  <c r="AP26" i="8" s="1"/>
  <c r="AP26" i="11" s="1" a="1"/>
  <c r="AP26" i="11" s="1"/>
  <c r="AP27" i="8" a="1"/>
  <c r="AP27" i="8" s="1"/>
  <c r="AP27" i="11" s="1" a="1"/>
  <c r="AP27" i="11" s="1"/>
  <c r="AP28" i="8" a="1"/>
  <c r="AP28" i="8" s="1"/>
  <c r="AP28" i="11" s="1" a="1"/>
  <c r="AP28" i="11" s="1"/>
  <c r="AP29" i="8" a="1"/>
  <c r="AP29" i="8" s="1"/>
  <c r="AP29" i="11" s="1" a="1"/>
  <c r="AP29" i="11" s="1"/>
  <c r="AP30" i="8" a="1"/>
  <c r="AP30" i="8" s="1"/>
  <c r="AP30" i="11" s="1" a="1"/>
  <c r="AP30" i="11" s="1"/>
  <c r="AP31" i="8" a="1"/>
  <c r="AP31" i="8" s="1"/>
  <c r="AP31" i="11" s="1" a="1"/>
  <c r="AP31" i="11" s="1"/>
  <c r="AP32" i="8" a="1"/>
  <c r="AP32" i="8" s="1"/>
  <c r="AP32" i="11" s="1" a="1"/>
  <c r="AP32" i="11" s="1"/>
  <c r="AP33" i="8" a="1"/>
  <c r="AP33" i="8" s="1"/>
  <c r="AP33" i="11" s="1" a="1"/>
  <c r="AP33" i="11" s="1"/>
  <c r="AP34" i="8" a="1"/>
  <c r="AP34" i="8" s="1"/>
  <c r="AP34" i="11" s="1" a="1"/>
  <c r="AP34" i="11" s="1"/>
  <c r="AP35" i="8" a="1"/>
  <c r="AP35" i="8" s="1"/>
  <c r="AP35" i="11" s="1" a="1"/>
  <c r="AP35" i="11" s="1"/>
  <c r="AP36" i="8" a="1"/>
  <c r="AP36" i="8" s="1"/>
  <c r="AP36" i="11" s="1" a="1"/>
  <c r="AP36" i="11" s="1"/>
  <c r="AP37" i="8" a="1"/>
  <c r="AP37" i="8" s="1"/>
  <c r="AP37" i="11" s="1" a="1"/>
  <c r="AP37" i="11" s="1"/>
  <c r="AP38" i="8" a="1"/>
  <c r="AP38" i="8" s="1"/>
  <c r="AP38" i="11" s="1" a="1"/>
  <c r="AP38" i="11" s="1"/>
  <c r="AP39" i="8" a="1"/>
  <c r="AP39" i="8" s="1"/>
  <c r="AP39" i="11" s="1" a="1"/>
  <c r="AP39" i="11" s="1"/>
  <c r="AP40" i="8" a="1"/>
  <c r="AP40" i="8" s="1"/>
  <c r="AP40" i="11" s="1" a="1"/>
  <c r="AP40" i="11" s="1"/>
  <c r="AP41" i="8" a="1"/>
  <c r="AP41" i="8" s="1"/>
  <c r="AP41" i="11" s="1" a="1"/>
  <c r="AP41" i="11" s="1"/>
  <c r="AP42" i="8" a="1"/>
  <c r="AP42" i="8" s="1"/>
  <c r="AP42" i="11" s="1" a="1"/>
  <c r="AP42" i="11" s="1"/>
  <c r="AP43" i="8" a="1"/>
  <c r="AP43" i="8" s="1"/>
  <c r="AP43" i="11" s="1" a="1"/>
  <c r="AP43" i="11" s="1"/>
  <c r="AP44" i="8" a="1"/>
  <c r="AP44" i="8" s="1"/>
  <c r="AP44" i="11" s="1" a="1"/>
  <c r="AP44" i="11" s="1"/>
  <c r="AP45" i="8" a="1"/>
  <c r="AP45" i="8" s="1"/>
  <c r="AP45" i="11" s="1" a="1"/>
  <c r="AP45" i="11" s="1"/>
  <c r="AP46" i="8" a="1"/>
  <c r="AP46" i="8" s="1"/>
  <c r="AP46" i="11" s="1" a="1"/>
  <c r="AP46" i="11" s="1"/>
  <c r="AP47" i="8" a="1"/>
  <c r="AP47" i="8" s="1"/>
  <c r="AP47" i="11" s="1" a="1"/>
  <c r="AP47" i="11" s="1"/>
  <c r="AP48" i="8" a="1"/>
  <c r="AP48" i="8" s="1"/>
  <c r="AP48" i="11" s="1" a="1"/>
  <c r="AP48" i="11" s="1"/>
  <c r="AP49" i="8" a="1"/>
  <c r="AP49" i="8" s="1"/>
  <c r="AP49" i="11" s="1" a="1"/>
  <c r="AP49" i="11" s="1"/>
  <c r="AP50" i="8" a="1"/>
  <c r="AP50" i="8" s="1"/>
  <c r="AP50" i="11" s="1" a="1"/>
  <c r="AP50" i="11" s="1"/>
  <c r="AP51" i="8" a="1"/>
  <c r="AP51" i="8" s="1"/>
  <c r="AP51" i="11" s="1" a="1"/>
  <c r="AP51" i="11" s="1"/>
  <c r="AP52" i="8" a="1"/>
  <c r="AP52" i="8" s="1"/>
  <c r="AP52" i="11" s="1" a="1"/>
  <c r="AP52" i="11" s="1"/>
  <c r="AP53" i="8" a="1"/>
  <c r="AP53" i="8" s="1"/>
  <c r="AP53" i="11" s="1" a="1"/>
  <c r="AP53" i="11" s="1"/>
  <c r="AP54" i="8" a="1"/>
  <c r="AP54" i="8" s="1"/>
  <c r="AP54" i="11" s="1" a="1"/>
  <c r="AP54" i="11" s="1"/>
  <c r="AP55" i="8" a="1"/>
  <c r="AP55" i="8" s="1"/>
  <c r="AP55" i="11" s="1" a="1"/>
  <c r="AP55" i="11" s="1"/>
  <c r="AP56" i="8" a="1"/>
  <c r="AP56" i="8" s="1"/>
  <c r="AP56" i="11" s="1" a="1"/>
  <c r="AP56" i="11" s="1"/>
  <c r="AP57" i="8" a="1"/>
  <c r="AP57" i="8" s="1"/>
  <c r="AP57" i="11" s="1" a="1"/>
  <c r="AP57" i="11" s="1"/>
  <c r="AP58" i="8" a="1"/>
  <c r="AP58" i="8" s="1"/>
  <c r="AP58" i="11" s="1" a="1"/>
  <c r="AP58" i="11" s="1"/>
  <c r="AP59" i="8" a="1"/>
  <c r="AP59" i="8" s="1"/>
  <c r="AP59" i="11" s="1" a="1"/>
  <c r="AP59" i="11" s="1"/>
  <c r="AP60" i="8" a="1"/>
  <c r="AP60" i="8" s="1"/>
  <c r="AP60" i="11" s="1" a="1"/>
  <c r="AP60" i="11" s="1"/>
  <c r="AP61" i="8" a="1"/>
  <c r="AP61" i="8" s="1"/>
  <c r="AP61" i="11" s="1" a="1"/>
  <c r="AP61" i="11" s="1"/>
  <c r="AP62" i="8" a="1"/>
  <c r="AP62" i="8" s="1"/>
  <c r="AP62" i="11" s="1" a="1"/>
  <c r="AP62" i="11" s="1"/>
  <c r="AP63" i="8" a="1"/>
  <c r="AP63" i="8" s="1"/>
  <c r="AP63" i="11" s="1" a="1"/>
  <c r="AP63" i="11" s="1"/>
  <c r="AP64" i="8" a="1"/>
  <c r="AP64" i="8" s="1"/>
  <c r="AP64" i="11" s="1" a="1"/>
  <c r="AP64" i="11" s="1"/>
  <c r="AP65" i="8" a="1"/>
  <c r="AP65" i="8" s="1"/>
  <c r="AP65" i="11" s="1" a="1"/>
  <c r="AP65" i="11" s="1"/>
  <c r="AP66" i="8" a="1"/>
  <c r="AP66" i="8" s="1"/>
  <c r="AP66" i="11" s="1" a="1"/>
  <c r="AP66" i="11" s="1"/>
  <c r="AP67" i="8" a="1"/>
  <c r="AP67" i="8" s="1"/>
  <c r="AP67" i="11" s="1" a="1"/>
  <c r="AP67" i="11" s="1"/>
  <c r="AP68" i="8" a="1"/>
  <c r="AP68" i="8" s="1"/>
  <c r="AP68" i="11" s="1" a="1"/>
  <c r="AP68" i="11" s="1"/>
  <c r="AP69" i="8" a="1"/>
  <c r="AP69" i="8" s="1"/>
  <c r="AP69" i="11" s="1" a="1"/>
  <c r="AP69" i="11" s="1"/>
  <c r="AP70" i="8" a="1"/>
  <c r="AP70" i="8" s="1"/>
  <c r="AP70" i="11" s="1" a="1"/>
  <c r="AP70" i="11" s="1"/>
  <c r="AP71" i="8" a="1"/>
  <c r="AP71" i="8" s="1"/>
  <c r="AP71" i="11" s="1" a="1"/>
  <c r="AP71" i="11" s="1"/>
  <c r="AP72" i="8" a="1"/>
  <c r="AP72" i="8" s="1"/>
  <c r="AP72" i="11" s="1" a="1"/>
  <c r="AP72" i="11" s="1"/>
  <c r="AP73" i="8" a="1"/>
  <c r="AP73" i="8" s="1"/>
  <c r="AP73" i="11" s="1" a="1"/>
  <c r="AP73" i="11" s="1"/>
  <c r="AP74" i="8" a="1"/>
  <c r="AP74" i="8" s="1"/>
  <c r="AP74" i="11" s="1" a="1"/>
  <c r="AP74" i="11" s="1"/>
  <c r="AP75" i="8" a="1"/>
  <c r="AP75" i="8" s="1"/>
  <c r="AP75" i="11" s="1" a="1"/>
  <c r="AP75" i="11" s="1"/>
  <c r="AP76" i="8" a="1"/>
  <c r="AP76" i="8" s="1"/>
  <c r="AP76" i="11" s="1" a="1"/>
  <c r="AP76" i="11" s="1"/>
  <c r="AP77" i="8" a="1"/>
  <c r="AP77" i="8" s="1"/>
  <c r="AP77" i="11" s="1" a="1"/>
  <c r="AP77" i="11" s="1"/>
  <c r="AP78" i="8" a="1"/>
  <c r="AP78" i="8" s="1"/>
  <c r="AP78" i="11" s="1" a="1"/>
  <c r="AP78" i="11" s="1"/>
  <c r="AP79" i="8" a="1"/>
  <c r="AP79" i="8" s="1"/>
  <c r="AP79" i="11" s="1" a="1"/>
  <c r="AP79" i="11" s="1"/>
  <c r="AP80" i="8" a="1"/>
  <c r="AP80" i="8" s="1"/>
  <c r="AP80" i="11" s="1" a="1"/>
  <c r="AP80" i="11" s="1"/>
  <c r="AP81" i="8" a="1"/>
  <c r="AP81" i="8" s="1"/>
  <c r="AP81" i="11" s="1" a="1"/>
  <c r="AP81" i="11" s="1"/>
  <c r="AP82" i="8" a="1"/>
  <c r="AP82" i="8" s="1"/>
  <c r="AP82" i="11" s="1" a="1"/>
  <c r="AP82" i="11" s="1"/>
  <c r="AP83" i="8" a="1"/>
  <c r="AP83" i="8" s="1"/>
  <c r="AP83" i="11" s="1" a="1"/>
  <c r="AP83" i="11" s="1"/>
  <c r="AP84" i="8" a="1"/>
  <c r="AP84" i="8" s="1"/>
  <c r="AP84" i="11" s="1" a="1"/>
  <c r="AP84" i="11" s="1"/>
  <c r="AP85" i="8" a="1"/>
  <c r="AP85" i="8" s="1"/>
  <c r="AP85" i="11" s="1" a="1"/>
  <c r="AP85" i="11" s="1"/>
  <c r="AP86" i="8" a="1"/>
  <c r="AP86" i="8" s="1"/>
  <c r="AP86" i="11" s="1" a="1"/>
  <c r="AP86" i="11" s="1"/>
  <c r="AP87" i="8" a="1"/>
  <c r="AP87" i="8" s="1"/>
  <c r="AP87" i="11" s="1" a="1"/>
  <c r="AP87" i="11" s="1"/>
  <c r="AP88" i="8" a="1"/>
  <c r="AP88" i="8" s="1"/>
  <c r="AP88" i="11" s="1" a="1"/>
  <c r="AP88" i="11" s="1"/>
  <c r="AP89" i="8" a="1"/>
  <c r="AP89" i="8" s="1"/>
  <c r="AP89" i="11" s="1" a="1"/>
  <c r="AP89" i="11" s="1"/>
  <c r="AP90" i="8" a="1"/>
  <c r="AP90" i="8" s="1"/>
  <c r="AP90" i="11" s="1" a="1"/>
  <c r="AP90" i="11" s="1"/>
  <c r="AP91" i="8" a="1"/>
  <c r="AP91" i="8" s="1"/>
  <c r="AP91" i="11" s="1" a="1"/>
  <c r="AP91" i="11" s="1"/>
  <c r="AP92" i="8" a="1"/>
  <c r="AP92" i="8" s="1"/>
  <c r="AP92" i="11" s="1" a="1"/>
  <c r="AP92" i="11" s="1"/>
  <c r="AP93" i="8" a="1"/>
  <c r="AP93" i="8" s="1"/>
  <c r="AP93" i="11" s="1" a="1"/>
  <c r="AP93" i="11" s="1"/>
  <c r="AP94" i="8" a="1"/>
  <c r="AP94" i="8" s="1"/>
  <c r="AP94" i="11" s="1" a="1"/>
  <c r="AP94" i="11" s="1"/>
  <c r="AP95" i="8" a="1"/>
  <c r="AP95" i="8" s="1"/>
  <c r="AP95" i="11" s="1" a="1"/>
  <c r="AP95" i="11" s="1"/>
  <c r="AP96" i="8" a="1"/>
  <c r="AP96" i="8" s="1"/>
  <c r="AP96" i="11" s="1" a="1"/>
  <c r="AP96" i="11" s="1"/>
  <c r="AP97" i="8" a="1"/>
  <c r="AP97" i="8" s="1"/>
  <c r="AP97" i="11" s="1" a="1"/>
  <c r="AP97" i="11" s="1"/>
  <c r="AP98" i="8" a="1"/>
  <c r="AP98" i="8" s="1"/>
  <c r="AP98" i="11" s="1" a="1"/>
  <c r="AP98" i="11" s="1"/>
  <c r="AP99" i="8" a="1"/>
  <c r="AP99" i="8" s="1"/>
  <c r="AP99" i="11" s="1" a="1"/>
  <c r="AP99" i="11" s="1"/>
  <c r="AP100" i="8" a="1"/>
  <c r="AP100" i="8" s="1"/>
  <c r="AP100" i="11" s="1" a="1"/>
  <c r="AP100" i="11" s="1"/>
  <c r="AP101" i="8" a="1"/>
  <c r="AP101" i="8" s="1"/>
  <c r="AP101" i="11" s="1" a="1"/>
  <c r="AP101" i="11" s="1"/>
  <c r="AP102" i="8" a="1"/>
  <c r="AP102" i="8" s="1"/>
  <c r="AP102" i="11" s="1" a="1"/>
  <c r="AP102" i="11" s="1"/>
  <c r="AP103" i="8" a="1"/>
  <c r="AP103" i="8" s="1"/>
  <c r="AP103" i="11" s="1" a="1"/>
  <c r="AP103" i="11" s="1"/>
  <c r="AP104" i="8" a="1"/>
  <c r="AP104" i="8" s="1"/>
  <c r="AP104" i="11" s="1" a="1"/>
  <c r="AP104" i="11" s="1"/>
  <c r="AP105" i="8" a="1"/>
  <c r="AP105" i="8" s="1"/>
  <c r="AP105" i="11" s="1" a="1"/>
  <c r="AP105" i="11" s="1"/>
  <c r="AP106" i="8" a="1"/>
  <c r="AP106" i="8" s="1"/>
  <c r="AP106" i="11" s="1" a="1"/>
  <c r="AP106" i="11" s="1"/>
  <c r="AP107" i="8" a="1"/>
  <c r="AP107" i="8" s="1"/>
  <c r="AP107" i="11" s="1" a="1"/>
  <c r="AP107" i="11" s="1"/>
  <c r="AP108" i="8" a="1"/>
  <c r="AP108" i="8" s="1"/>
  <c r="AP108" i="11" s="1" a="1"/>
  <c r="AP108" i="11" s="1"/>
  <c r="AP109" i="8" a="1"/>
  <c r="AP109" i="8" s="1"/>
  <c r="AP109" i="11" s="1" a="1"/>
  <c r="AP109" i="11" s="1"/>
  <c r="AP110" i="8" a="1"/>
  <c r="AP110" i="8" s="1"/>
  <c r="AP110" i="11" s="1" a="1"/>
  <c r="AP110" i="11" s="1"/>
  <c r="AP111" i="8" a="1"/>
  <c r="AP111" i="8" s="1"/>
  <c r="AP111" i="11" s="1" a="1"/>
  <c r="AP111" i="11" s="1"/>
  <c r="AP112" i="8" a="1"/>
  <c r="AP112" i="8" s="1"/>
  <c r="AP112" i="11" s="1" a="1"/>
  <c r="AP112" i="11" s="1"/>
  <c r="AP113" i="8" a="1"/>
  <c r="AP113" i="8" s="1"/>
  <c r="AP113" i="11" s="1" a="1"/>
  <c r="AP113" i="11" s="1"/>
  <c r="AP114" i="8" a="1"/>
  <c r="AP114" i="8" s="1"/>
  <c r="AP114" i="11" s="1" a="1"/>
  <c r="AP114" i="11" s="1"/>
  <c r="AP115" i="8" a="1"/>
  <c r="AP115" i="8" s="1"/>
  <c r="AP115" i="11" s="1" a="1"/>
  <c r="AP115" i="11" s="1"/>
  <c r="AP116" i="8" a="1"/>
  <c r="AP116" i="8" s="1"/>
  <c r="AP116" i="11" s="1" a="1"/>
  <c r="AP116" i="11" s="1"/>
  <c r="AP117" i="8" a="1"/>
  <c r="AP117" i="8" s="1"/>
  <c r="AP117" i="11" s="1" a="1"/>
  <c r="AP117" i="11" s="1"/>
  <c r="AP118" i="8" a="1"/>
  <c r="AP118" i="8" s="1"/>
  <c r="AP118" i="11" s="1" a="1"/>
  <c r="AP118" i="11" s="1"/>
  <c r="AP119" i="8" a="1"/>
  <c r="AP119" i="8" s="1"/>
  <c r="AP119" i="11" s="1" a="1"/>
  <c r="AP119" i="11" s="1"/>
  <c r="AP120" i="8" a="1"/>
  <c r="AP120" i="8" s="1"/>
  <c r="AP120" i="11" s="1" a="1"/>
  <c r="AP120" i="11" s="1"/>
  <c r="AP121" i="8" a="1"/>
  <c r="AP121" i="8" s="1"/>
  <c r="AP121" i="11" s="1" a="1"/>
  <c r="AP121" i="11" s="1"/>
  <c r="AP122" i="8" a="1"/>
  <c r="AP122" i="8" s="1"/>
  <c r="AP122" i="11" s="1" a="1"/>
  <c r="AP122" i="11" s="1"/>
  <c r="AP123" i="8" a="1"/>
  <c r="AP123" i="8" s="1"/>
  <c r="AP123" i="11" s="1" a="1"/>
  <c r="AP123" i="11" s="1"/>
  <c r="AP124" i="8" a="1"/>
  <c r="AP124" i="8" s="1"/>
  <c r="AP124" i="11" s="1" a="1"/>
  <c r="AP124" i="11" s="1"/>
  <c r="AP125" i="8" a="1"/>
  <c r="AP125" i="8" s="1"/>
  <c r="AP125" i="11" s="1" a="1"/>
  <c r="AP125" i="11" s="1"/>
  <c r="AP126" i="8" a="1"/>
  <c r="AP126" i="8" s="1"/>
  <c r="AP126" i="11" s="1" a="1"/>
  <c r="AP126" i="11" s="1"/>
  <c r="AP127" i="8" a="1"/>
  <c r="AP127" i="8" s="1"/>
  <c r="AP127" i="11" s="1" a="1"/>
  <c r="AP127" i="11" s="1"/>
  <c r="AP128" i="8" a="1"/>
  <c r="AP128" i="8" s="1"/>
  <c r="AP128" i="11" s="1" a="1"/>
  <c r="AP128" i="11" s="1"/>
  <c r="AP129" i="8" a="1"/>
  <c r="AP129" i="8" s="1"/>
  <c r="AP129" i="11" s="1" a="1"/>
  <c r="AP129" i="11" s="1"/>
  <c r="AP130" i="8" a="1"/>
  <c r="AP130" i="8" s="1"/>
  <c r="AP130" i="11" s="1" a="1"/>
  <c r="AP130" i="11" s="1"/>
  <c r="AP131" i="8" a="1"/>
  <c r="AP131" i="8" s="1"/>
  <c r="AP131" i="11" s="1" a="1"/>
  <c r="AP131" i="11" s="1"/>
  <c r="AP132" i="8" a="1"/>
  <c r="AP132" i="8" s="1"/>
  <c r="AP132" i="11" s="1" a="1"/>
  <c r="AP132" i="11" s="1"/>
  <c r="AP133" i="8" a="1"/>
  <c r="AP133" i="8" s="1"/>
  <c r="AP133" i="11" s="1" a="1"/>
  <c r="AP133" i="11" s="1"/>
  <c r="AP134" i="8" a="1"/>
  <c r="AP134" i="8" s="1"/>
  <c r="AP134" i="11" s="1" a="1"/>
  <c r="AP134" i="11" s="1"/>
  <c r="AP135" i="8" a="1"/>
  <c r="AP135" i="8" s="1"/>
  <c r="AP135" i="11" s="1" a="1"/>
  <c r="AP135" i="11" s="1"/>
  <c r="AP136" i="8" a="1"/>
  <c r="AP136" i="8" s="1"/>
  <c r="AP136" i="11" s="1" a="1"/>
  <c r="AP136" i="11" s="1"/>
  <c r="AP137" i="8" a="1"/>
  <c r="AP137" i="8" s="1"/>
  <c r="AP137" i="11" s="1" a="1"/>
  <c r="AP137" i="11" s="1"/>
  <c r="AP138" i="8" a="1"/>
  <c r="AP138" i="8" s="1"/>
  <c r="AP138" i="11" s="1" a="1"/>
  <c r="AP138" i="11" s="1"/>
  <c r="AP139" i="8" a="1"/>
  <c r="AP139" i="8" s="1"/>
  <c r="AP139" i="11" s="1" a="1"/>
  <c r="AP139" i="11" s="1"/>
  <c r="AP140" i="8" a="1"/>
  <c r="AP140" i="8" s="1"/>
  <c r="AP140" i="11" s="1" a="1"/>
  <c r="AP140" i="11" s="1"/>
  <c r="AP141" i="8" a="1"/>
  <c r="AP141" i="8" s="1"/>
  <c r="AP141" i="11" s="1" a="1"/>
  <c r="AP141" i="11" s="1"/>
  <c r="AP142" i="8" a="1"/>
  <c r="AP142" i="8" s="1"/>
  <c r="AP142" i="11" s="1" a="1"/>
  <c r="AP142" i="11" s="1"/>
  <c r="AP143" i="8" a="1"/>
  <c r="AP143" i="8" s="1"/>
  <c r="AP143" i="11" s="1" a="1"/>
  <c r="AP143" i="11" s="1"/>
  <c r="AP144" i="8" a="1"/>
  <c r="AP144" i="8" s="1"/>
  <c r="AP144" i="11" s="1" a="1"/>
  <c r="AP144" i="11" s="1"/>
  <c r="AP145" i="8" a="1"/>
  <c r="AP145" i="8" s="1"/>
  <c r="AP145" i="11" s="1" a="1"/>
  <c r="AP145" i="11" s="1"/>
  <c r="AP146" i="8" a="1"/>
  <c r="AP146" i="8" s="1"/>
  <c r="AP146" i="11" s="1" a="1"/>
  <c r="AP146" i="11" s="1"/>
  <c r="AP147" i="8" a="1"/>
  <c r="AP147" i="8" s="1"/>
  <c r="AP147" i="11" s="1" a="1"/>
  <c r="AP147" i="11" s="1"/>
  <c r="AP148" i="8" a="1"/>
  <c r="AP148" i="8" s="1"/>
  <c r="AP148" i="11" s="1" a="1"/>
  <c r="AP148" i="11" s="1"/>
  <c r="AP149" i="8" a="1"/>
  <c r="AP149" i="8" s="1"/>
  <c r="AP149" i="11" s="1" a="1"/>
  <c r="AP149" i="11" s="1"/>
  <c r="AP150" i="8" a="1"/>
  <c r="AP150" i="8" s="1"/>
  <c r="AP150" i="11" s="1" a="1"/>
  <c r="AP150" i="11" s="1"/>
  <c r="AP151" i="8" a="1"/>
  <c r="AP151" i="8" s="1"/>
  <c r="AP151" i="11" s="1" a="1"/>
  <c r="AP151" i="11" s="1"/>
  <c r="AP152" i="8" a="1"/>
  <c r="AP152" i="8" s="1"/>
  <c r="AP152" i="11" s="1" a="1"/>
  <c r="AP152" i="11" s="1"/>
  <c r="AP153" i="8" a="1"/>
  <c r="AP153" i="8" s="1"/>
  <c r="AP153" i="11" s="1" a="1"/>
  <c r="AP153" i="11" s="1"/>
  <c r="AP154" i="8" a="1"/>
  <c r="AP154" i="8" s="1"/>
  <c r="AP154" i="11" s="1" a="1"/>
  <c r="AP154" i="11" s="1"/>
  <c r="AP155" i="8" a="1"/>
  <c r="AP155" i="8" s="1"/>
  <c r="AP155" i="11" s="1" a="1"/>
  <c r="AP155" i="11" s="1"/>
  <c r="AP156" i="8" a="1"/>
  <c r="AP156" i="8" s="1"/>
  <c r="AP156" i="11" s="1" a="1"/>
  <c r="AP156" i="11" s="1"/>
  <c r="AP157" i="8" a="1"/>
  <c r="AP157" i="8" s="1"/>
  <c r="AP157" i="11" s="1" a="1"/>
  <c r="AP157" i="11" s="1"/>
  <c r="AP158" i="8" a="1"/>
  <c r="AP158" i="8" s="1"/>
  <c r="AP158" i="11" s="1" a="1"/>
  <c r="AP158" i="11" s="1"/>
  <c r="AP159" i="8" a="1"/>
  <c r="AP159" i="8" s="1"/>
  <c r="AP159" i="11" s="1" a="1"/>
  <c r="AP159" i="11" s="1"/>
  <c r="AP160" i="8" a="1"/>
  <c r="AP160" i="8" s="1"/>
  <c r="AP160" i="11" s="1" a="1"/>
  <c r="AP160" i="11" s="1"/>
  <c r="AP161" i="8" a="1"/>
  <c r="AP161" i="8" s="1"/>
  <c r="AP161" i="11" s="1" a="1"/>
  <c r="AP161" i="11" s="1"/>
  <c r="AP162" i="8" a="1"/>
  <c r="AP162" i="8" s="1"/>
  <c r="AP162" i="11" s="1" a="1"/>
  <c r="AP162" i="11" s="1"/>
  <c r="AP163" i="8" a="1"/>
  <c r="AP163" i="8" s="1"/>
  <c r="AP163" i="11" s="1" a="1"/>
  <c r="AP163" i="11" s="1"/>
  <c r="AP164" i="8" a="1"/>
  <c r="AP164" i="8" s="1"/>
  <c r="AP164" i="11" s="1" a="1"/>
  <c r="AP164" i="11" s="1"/>
  <c r="AP165" i="8" a="1"/>
  <c r="AP165" i="8" s="1"/>
  <c r="AP165" i="11" s="1" a="1"/>
  <c r="AP165" i="11" s="1"/>
  <c r="AP166" i="8" a="1"/>
  <c r="AP166" i="8" s="1"/>
  <c r="AP166" i="11" s="1" a="1"/>
  <c r="AP166" i="11" s="1"/>
  <c r="AP167" i="8" a="1"/>
  <c r="AP167" i="8" s="1"/>
  <c r="AP167" i="11" s="1" a="1"/>
  <c r="AP167" i="11" s="1"/>
  <c r="AP168" i="8" a="1"/>
  <c r="AP168" i="8" s="1"/>
  <c r="AP168" i="11" s="1" a="1"/>
  <c r="AP168" i="11" s="1"/>
  <c r="AP169" i="8" a="1"/>
  <c r="AP169" i="8" s="1"/>
  <c r="AP169" i="11" s="1" a="1"/>
  <c r="AP169" i="11" s="1"/>
  <c r="AP170" i="8" a="1"/>
  <c r="AP170" i="8" s="1"/>
  <c r="AP170" i="11" s="1" a="1"/>
  <c r="AP170" i="11" s="1"/>
  <c r="AP171" i="8" a="1"/>
  <c r="AP171" i="8" s="1"/>
  <c r="AP171" i="11" s="1" a="1"/>
  <c r="AP171" i="11" s="1"/>
  <c r="AP172" i="8" a="1"/>
  <c r="AP172" i="8" s="1"/>
  <c r="AP172" i="11" s="1" a="1"/>
  <c r="AP172" i="11" s="1"/>
  <c r="AP173" i="8" a="1"/>
  <c r="AP173" i="8" s="1"/>
  <c r="AP173" i="11" s="1" a="1"/>
  <c r="AP173" i="11" s="1"/>
  <c r="AP174" i="8" a="1"/>
  <c r="AP174" i="8" s="1"/>
  <c r="AP174" i="11" s="1" a="1"/>
  <c r="AP174" i="11" s="1"/>
  <c r="AP175" i="8" a="1"/>
  <c r="AP175" i="8" s="1"/>
  <c r="AP175" i="11" s="1" a="1"/>
  <c r="AP175" i="11" s="1"/>
  <c r="AP176" i="8" a="1"/>
  <c r="AP176" i="8" s="1"/>
  <c r="AP176" i="11" s="1" a="1"/>
  <c r="AP176" i="11" s="1"/>
  <c r="AP177" i="8" a="1"/>
  <c r="AP177" i="8" s="1"/>
  <c r="AP177" i="11" s="1" a="1"/>
  <c r="AP177" i="11" s="1"/>
  <c r="AP178" i="8" a="1"/>
  <c r="AP178" i="8" s="1"/>
  <c r="AP178" i="11" s="1" a="1"/>
  <c r="AP178" i="11" s="1"/>
  <c r="AP179" i="8" a="1"/>
  <c r="AP179" i="8" s="1"/>
  <c r="AP179" i="11" s="1" a="1"/>
  <c r="AP179" i="11" s="1"/>
  <c r="AP180" i="8" a="1"/>
  <c r="AP180" i="8" s="1"/>
  <c r="AP180" i="11" s="1" a="1"/>
  <c r="AP180" i="11" s="1"/>
  <c r="AP181" i="8" a="1"/>
  <c r="AP181" i="8" s="1"/>
  <c r="AP181" i="11" s="1" a="1"/>
  <c r="AP181" i="11" s="1"/>
  <c r="AP182" i="8" a="1"/>
  <c r="AP182" i="8" s="1"/>
  <c r="AP182" i="11" s="1" a="1"/>
  <c r="AP182" i="11" s="1"/>
  <c r="AP183" i="8" a="1"/>
  <c r="AP183" i="8" s="1"/>
  <c r="AP183" i="11" s="1" a="1"/>
  <c r="AP183" i="11" s="1"/>
  <c r="AP184" i="8" a="1"/>
  <c r="AP184" i="8" s="1"/>
  <c r="AP184" i="11" s="1" a="1"/>
  <c r="AP184" i="11" s="1"/>
  <c r="AP185" i="8" a="1"/>
  <c r="AP185" i="8" s="1"/>
  <c r="AP185" i="11" s="1" a="1"/>
  <c r="AP185" i="11" s="1"/>
  <c r="AP186" i="8" a="1"/>
  <c r="AP186" i="8" s="1"/>
  <c r="AP186" i="11" s="1" a="1"/>
  <c r="AP186" i="11" s="1"/>
  <c r="AP187" i="8" a="1"/>
  <c r="AP187" i="8" s="1"/>
  <c r="AP187" i="11" s="1" a="1"/>
  <c r="AP187" i="11" s="1"/>
  <c r="AP188" i="8" a="1"/>
  <c r="AP188" i="8" s="1"/>
  <c r="AP188" i="11" s="1" a="1"/>
  <c r="AP188" i="11" s="1"/>
  <c r="AP189" i="8" a="1"/>
  <c r="AP189" i="8" s="1"/>
  <c r="AP189" i="11" s="1" a="1"/>
  <c r="AP189" i="11" s="1"/>
  <c r="AP190" i="8" a="1"/>
  <c r="AP190" i="8" s="1"/>
  <c r="AP190" i="11" s="1" a="1"/>
  <c r="AP190" i="11" s="1"/>
  <c r="AP191" i="8" a="1"/>
  <c r="AP191" i="8" s="1"/>
  <c r="AP191" i="11" s="1" a="1"/>
  <c r="AP191" i="11" s="1"/>
  <c r="AP192" i="8" a="1"/>
  <c r="AP192" i="8" s="1"/>
  <c r="AP192" i="11" s="1" a="1"/>
  <c r="AP192" i="11" s="1"/>
  <c r="AP193" i="8" a="1"/>
  <c r="AP193" i="8" s="1"/>
  <c r="AP193" i="11" s="1" a="1"/>
  <c r="AP193" i="11" s="1"/>
  <c r="AP194" i="8" a="1"/>
  <c r="AP194" i="8" s="1"/>
  <c r="AP194" i="11" s="1" a="1"/>
  <c r="AP194" i="11" s="1"/>
  <c r="AP195" i="8" a="1"/>
  <c r="AP195" i="8" s="1"/>
  <c r="AP195" i="11" s="1" a="1"/>
  <c r="AP195" i="11" s="1"/>
  <c r="AP196" i="8" a="1"/>
  <c r="AP196" i="8" s="1"/>
  <c r="AP196" i="11" s="1" a="1"/>
  <c r="AP196" i="11" s="1"/>
  <c r="AP197" i="8" a="1"/>
  <c r="AP197" i="8" s="1"/>
  <c r="AP197" i="11" s="1" a="1"/>
  <c r="AP197" i="11" s="1"/>
  <c r="AP198" i="8" a="1"/>
  <c r="AP198" i="8" s="1"/>
  <c r="AP198" i="11" s="1" a="1"/>
  <c r="AP198" i="11" s="1"/>
  <c r="AP199" i="8" a="1"/>
  <c r="AP199" i="8" s="1"/>
  <c r="AP199" i="11" s="1" a="1"/>
  <c r="AP199" i="11" s="1"/>
  <c r="AP200" i="8" a="1"/>
  <c r="AP200" i="8" s="1"/>
  <c r="AP200" i="11" s="1" a="1"/>
  <c r="AP200" i="11" s="1"/>
  <c r="AP201" i="8" a="1"/>
  <c r="AP201" i="8" s="1"/>
  <c r="AP201" i="11" s="1" a="1"/>
  <c r="AP201" i="11" s="1"/>
  <c r="AP202" i="8" a="1"/>
  <c r="AP202" i="8" s="1"/>
  <c r="AP202" i="11" s="1" a="1"/>
  <c r="AP202" i="11" s="1"/>
  <c r="AP203" i="8" a="1"/>
  <c r="AP203" i="8" s="1"/>
  <c r="AP203" i="11" s="1" a="1"/>
  <c r="AP203" i="11" s="1"/>
  <c r="AP204" i="8" a="1"/>
  <c r="AP204" i="8" s="1"/>
  <c r="AP204" i="11" s="1" a="1"/>
  <c r="AP204" i="11" s="1"/>
  <c r="AP205" i="8" a="1"/>
  <c r="AP205" i="8" s="1"/>
  <c r="AP205" i="11" s="1" a="1"/>
  <c r="AP205" i="11" s="1"/>
  <c r="AP206" i="8" a="1"/>
  <c r="AP206" i="8" s="1"/>
  <c r="AP206" i="11" s="1" a="1"/>
  <c r="AP206" i="11" s="1"/>
  <c r="AP207" i="8" a="1"/>
  <c r="AP207" i="8" s="1"/>
  <c r="AP207" i="11" s="1" a="1"/>
  <c r="AP207" i="11" s="1"/>
  <c r="AP208" i="8" a="1"/>
  <c r="AP208" i="8" s="1"/>
  <c r="AP208" i="11" s="1" a="1"/>
  <c r="AP208" i="11" s="1"/>
  <c r="AP209" i="8" a="1"/>
  <c r="AP209" i="8" s="1"/>
  <c r="AP209" i="11" s="1" a="1"/>
  <c r="AP209" i="11" s="1"/>
  <c r="AP210" i="8" a="1"/>
  <c r="AP210" i="8" s="1"/>
  <c r="AP210" i="11" s="1" a="1"/>
  <c r="AP210" i="11" s="1"/>
  <c r="AP211" i="8" a="1"/>
  <c r="AP211" i="8" s="1"/>
  <c r="AP211" i="11" s="1" a="1"/>
  <c r="AP211" i="11" s="1"/>
  <c r="AP212" i="8" a="1"/>
  <c r="AP212" i="8" s="1"/>
  <c r="AP212" i="11" s="1" a="1"/>
  <c r="AP212" i="11" s="1"/>
  <c r="AP213" i="8" a="1"/>
  <c r="AP213" i="8" s="1"/>
  <c r="AP213" i="11" s="1" a="1"/>
  <c r="AP213" i="11" s="1"/>
  <c r="AP214" i="8" a="1"/>
  <c r="AP214" i="8" s="1"/>
  <c r="AP214" i="11" s="1" a="1"/>
  <c r="AP214" i="11" s="1"/>
  <c r="AP215" i="8" a="1"/>
  <c r="AP215" i="8" s="1"/>
  <c r="AP215" i="11" s="1" a="1"/>
  <c r="AP215" i="11" s="1"/>
  <c r="AP216" i="8" a="1"/>
  <c r="AP216" i="8" s="1"/>
  <c r="AP216" i="11" s="1" a="1"/>
  <c r="AP216" i="11" s="1"/>
  <c r="AP217" i="8" a="1"/>
  <c r="AP217" i="8" s="1"/>
  <c r="AP217" i="11" s="1" a="1"/>
  <c r="AP217" i="11" s="1"/>
  <c r="AP218" i="8" a="1"/>
  <c r="AP218" i="8" s="1"/>
  <c r="AP218" i="11" s="1" a="1"/>
  <c r="AP218" i="11" s="1"/>
  <c r="AP219" i="8" a="1"/>
  <c r="AP219" i="8" s="1"/>
  <c r="AP219" i="11" s="1" a="1"/>
  <c r="AP219" i="11" s="1"/>
  <c r="AP220" i="8" a="1"/>
  <c r="AP220" i="8" s="1"/>
  <c r="AP220" i="11" s="1" a="1"/>
  <c r="AP220" i="11" s="1"/>
  <c r="AP221" i="8" a="1"/>
  <c r="AP221" i="8" s="1"/>
  <c r="AP221" i="11" s="1" a="1"/>
  <c r="AP221" i="11" s="1"/>
  <c r="AP222" i="8" a="1"/>
  <c r="AP222" i="8" s="1"/>
  <c r="AP222" i="11" s="1" a="1"/>
  <c r="AP222" i="11" s="1"/>
  <c r="AP223" i="8" a="1"/>
  <c r="AP223" i="8" s="1"/>
  <c r="AP223" i="11" s="1" a="1"/>
  <c r="AP223" i="11" s="1"/>
  <c r="AP224" i="8" a="1"/>
  <c r="AP224" i="8" s="1"/>
  <c r="AP224" i="11" s="1" a="1"/>
  <c r="AP224" i="11" s="1"/>
  <c r="AP225" i="8" a="1"/>
  <c r="AP225" i="8" s="1"/>
  <c r="AP225" i="11" s="1" a="1"/>
  <c r="AP225" i="11" s="1"/>
  <c r="AP226" i="8" a="1"/>
  <c r="AP226" i="8" s="1"/>
  <c r="AP226" i="11" s="1" a="1"/>
  <c r="AP226" i="11" s="1"/>
  <c r="AP227" i="8" a="1"/>
  <c r="AP227" i="8" s="1"/>
  <c r="AP227" i="11" s="1" a="1"/>
  <c r="AP227" i="11" s="1"/>
  <c r="AP228" i="8" a="1"/>
  <c r="AP228" i="8" s="1"/>
  <c r="AP228" i="11" s="1" a="1"/>
  <c r="AP228" i="11" s="1"/>
  <c r="AP229" i="8" a="1"/>
  <c r="AP229" i="8" s="1"/>
  <c r="AP229" i="11" s="1" a="1"/>
  <c r="AP229" i="11" s="1"/>
  <c r="AP230" i="8" a="1"/>
  <c r="AP230" i="8" s="1"/>
  <c r="AP230" i="11" s="1" a="1"/>
  <c r="AP230" i="11" s="1"/>
  <c r="AP231" i="8" a="1"/>
  <c r="AP231" i="8" s="1"/>
  <c r="AP231" i="11" s="1" a="1"/>
  <c r="AP231" i="11" s="1"/>
  <c r="AP232" i="8" a="1"/>
  <c r="AP232" i="8" s="1"/>
  <c r="AP232" i="11" s="1" a="1"/>
  <c r="AP232" i="11" s="1"/>
  <c r="AP233" i="8" a="1"/>
  <c r="AP233" i="8" s="1"/>
  <c r="AP233" i="11" s="1" a="1"/>
  <c r="AP233" i="11" s="1"/>
  <c r="AP234" i="8" a="1"/>
  <c r="AP234" i="8" s="1"/>
  <c r="AP234" i="11" s="1" a="1"/>
  <c r="AP234" i="11" s="1"/>
  <c r="AP235" i="8" a="1"/>
  <c r="AP235" i="8" s="1"/>
  <c r="AP235" i="11" s="1" a="1"/>
  <c r="AP235" i="11" s="1"/>
  <c r="AP236" i="8" a="1"/>
  <c r="AP236" i="8" s="1"/>
  <c r="AP236" i="11" s="1" a="1"/>
  <c r="AP236" i="11" s="1"/>
  <c r="AP237" i="8" a="1"/>
  <c r="AP237" i="8" s="1"/>
  <c r="AP237" i="11" s="1" a="1"/>
  <c r="AP237" i="11" s="1"/>
  <c r="AP238" i="8" a="1"/>
  <c r="AP238" i="8" s="1"/>
  <c r="AP238" i="11" s="1" a="1"/>
  <c r="AP238" i="11" s="1"/>
  <c r="AP239" i="8" a="1"/>
  <c r="AP239" i="8" s="1"/>
  <c r="AP239" i="11" s="1" a="1"/>
  <c r="AP239" i="11" s="1"/>
  <c r="AP240" i="8" a="1"/>
  <c r="AP240" i="8" s="1"/>
  <c r="AP240" i="11" s="1" a="1"/>
  <c r="AP240" i="11" s="1"/>
  <c r="AP241" i="8" a="1"/>
  <c r="AP241" i="8" s="1"/>
  <c r="AP241" i="11" s="1" a="1"/>
  <c r="AP241" i="11" s="1"/>
  <c r="AP242" i="8" a="1"/>
  <c r="AP242" i="8" s="1"/>
  <c r="AP242" i="11" s="1" a="1"/>
  <c r="AP242" i="11" s="1"/>
  <c r="AP243" i="8" a="1"/>
  <c r="AP243" i="8" s="1"/>
  <c r="AP243" i="11" s="1" a="1"/>
  <c r="AP243" i="11" s="1"/>
  <c r="AP244" i="8" a="1"/>
  <c r="AP244" i="8" s="1"/>
  <c r="AP244" i="11" s="1" a="1"/>
  <c r="AP244" i="11" s="1"/>
  <c r="AP245" i="8" a="1"/>
  <c r="AP245" i="8" s="1"/>
  <c r="AP245" i="11" s="1" a="1"/>
  <c r="AP245" i="11" s="1"/>
  <c r="AP246" i="8" a="1"/>
  <c r="AP246" i="8" s="1"/>
  <c r="AP246" i="11" s="1" a="1"/>
  <c r="AP246" i="11" s="1"/>
  <c r="AP247" i="8" a="1"/>
  <c r="AP247" i="8" s="1"/>
  <c r="AP247" i="11" s="1" a="1"/>
  <c r="AP247" i="11" s="1"/>
  <c r="AP248" i="8" a="1"/>
  <c r="AP248" i="8" s="1"/>
  <c r="AP248" i="11" s="1" a="1"/>
  <c r="AP248" i="11" s="1"/>
  <c r="AP249" i="8" a="1"/>
  <c r="AP249" i="8" s="1"/>
  <c r="AP249" i="11" s="1" a="1"/>
  <c r="AP249" i="11" s="1"/>
  <c r="AP250" i="8" a="1"/>
  <c r="AP250" i="8" s="1"/>
  <c r="AP250" i="11" s="1" a="1"/>
  <c r="AP250" i="11" s="1"/>
  <c r="AO12" i="8" a="1"/>
  <c r="AO12" i="8" s="1"/>
  <c r="AO13" i="8" a="1"/>
  <c r="AO13" i="8" s="1"/>
  <c r="AO14" i="8" a="1"/>
  <c r="AO14" i="8" s="1"/>
  <c r="AO15" i="8" a="1"/>
  <c r="AO15" i="8" s="1"/>
  <c r="AO16" i="8" a="1"/>
  <c r="AO16" i="8" s="1"/>
  <c r="AO17" i="8" a="1"/>
  <c r="AO17" i="8" s="1"/>
  <c r="AO18" i="8" a="1"/>
  <c r="AO18" i="8" s="1"/>
  <c r="AO19" i="8" a="1"/>
  <c r="AO19" i="8" s="1"/>
  <c r="AO20" i="8" a="1"/>
  <c r="AO20" i="8" s="1"/>
  <c r="AO21" i="8" a="1"/>
  <c r="AO21" i="8" s="1"/>
  <c r="AO22" i="8" a="1"/>
  <c r="AO22" i="8" s="1"/>
  <c r="AO23" i="8" a="1"/>
  <c r="AO23" i="8" s="1"/>
  <c r="AO24" i="8" a="1"/>
  <c r="AO24" i="8" s="1"/>
  <c r="AO25" i="8" a="1"/>
  <c r="AO25" i="8" s="1"/>
  <c r="AO26" i="8" a="1"/>
  <c r="AO26" i="8" s="1"/>
  <c r="AO27" i="8" a="1"/>
  <c r="AO27" i="8" s="1"/>
  <c r="AO28" i="8" a="1"/>
  <c r="AO28" i="8" s="1"/>
  <c r="AO29" i="8" a="1"/>
  <c r="AO29" i="8" s="1"/>
  <c r="AO30" i="8" a="1"/>
  <c r="AO30" i="8" s="1"/>
  <c r="AO31" i="8" a="1"/>
  <c r="AO31" i="8" s="1"/>
  <c r="AO32" i="8" a="1"/>
  <c r="AO32" i="8" s="1"/>
  <c r="AO33" i="8" a="1"/>
  <c r="AO33" i="8" s="1"/>
  <c r="AO34" i="8" a="1"/>
  <c r="AO34" i="8" s="1"/>
  <c r="AO35" i="8" a="1"/>
  <c r="AO35" i="8" s="1"/>
  <c r="AO36" i="8" a="1"/>
  <c r="AO36" i="8" s="1"/>
  <c r="AO37" i="8" a="1"/>
  <c r="AO37" i="8" s="1"/>
  <c r="AO38" i="8" a="1"/>
  <c r="AO38" i="8" s="1"/>
  <c r="AO39" i="8" a="1"/>
  <c r="AO39" i="8" s="1"/>
  <c r="AO40" i="8" a="1"/>
  <c r="AO40" i="8" s="1"/>
  <c r="AO41" i="8" a="1"/>
  <c r="AO41" i="8" s="1"/>
  <c r="AO42" i="8" a="1"/>
  <c r="AO42" i="8" s="1"/>
  <c r="AO43" i="8" a="1"/>
  <c r="AO43" i="8" s="1"/>
  <c r="AO44" i="8" a="1"/>
  <c r="AO44" i="8" s="1"/>
  <c r="AO45" i="8" a="1"/>
  <c r="AO45" i="8" s="1"/>
  <c r="AO46" i="8" a="1"/>
  <c r="AO46" i="8" s="1"/>
  <c r="AO47" i="8" a="1"/>
  <c r="AO47" i="8" s="1"/>
  <c r="AO48" i="8" a="1"/>
  <c r="AO48" i="8" s="1"/>
  <c r="AO49" i="8" a="1"/>
  <c r="AO49" i="8" s="1"/>
  <c r="AO50" i="8" a="1"/>
  <c r="AO50" i="8" s="1"/>
  <c r="AO51" i="8" a="1"/>
  <c r="AO51" i="8" s="1"/>
  <c r="AO52" i="8" a="1"/>
  <c r="AO52" i="8" s="1"/>
  <c r="AO53" i="8" a="1"/>
  <c r="AO53" i="8" s="1"/>
  <c r="AO54" i="8" a="1"/>
  <c r="AO54" i="8" s="1"/>
  <c r="AO55" i="8" a="1"/>
  <c r="AO55" i="8" s="1"/>
  <c r="AO56" i="8" a="1"/>
  <c r="AO56" i="8" s="1"/>
  <c r="AO57" i="8" a="1"/>
  <c r="AO57" i="8" s="1"/>
  <c r="AO58" i="8" a="1"/>
  <c r="AO58" i="8" s="1"/>
  <c r="AO59" i="8" a="1"/>
  <c r="AO59" i="8" s="1"/>
  <c r="AO60" i="8" a="1"/>
  <c r="AO60" i="8" s="1"/>
  <c r="AO61" i="8" a="1"/>
  <c r="AO61" i="8" s="1"/>
  <c r="AO62" i="8" a="1"/>
  <c r="AO62" i="8" s="1"/>
  <c r="AO63" i="8" a="1"/>
  <c r="AO63" i="8" s="1"/>
  <c r="AO64" i="8" a="1"/>
  <c r="AO64" i="8" s="1"/>
  <c r="AO65" i="8" a="1"/>
  <c r="AO65" i="8" s="1"/>
  <c r="AO66" i="8" a="1"/>
  <c r="AO66" i="8" s="1"/>
  <c r="AO67" i="8" a="1"/>
  <c r="AO67" i="8" s="1"/>
  <c r="AO68" i="8" a="1"/>
  <c r="AO68" i="8" s="1"/>
  <c r="AO69" i="8" a="1"/>
  <c r="AO69" i="8" s="1"/>
  <c r="AO70" i="8" a="1"/>
  <c r="AO70" i="8" s="1"/>
  <c r="AO71" i="8" a="1"/>
  <c r="AO71" i="8" s="1"/>
  <c r="AO72" i="8" a="1"/>
  <c r="AO72" i="8" s="1"/>
  <c r="AO73" i="8" a="1"/>
  <c r="AO73" i="8" s="1"/>
  <c r="AO74" i="8" a="1"/>
  <c r="AO74" i="8" s="1"/>
  <c r="AO75" i="8" a="1"/>
  <c r="AO75" i="8" s="1"/>
  <c r="AO76" i="8" a="1"/>
  <c r="AO76" i="8" s="1"/>
  <c r="AO77" i="8" a="1"/>
  <c r="AO77" i="8" s="1"/>
  <c r="AO78" i="8" a="1"/>
  <c r="AO78" i="8" s="1"/>
  <c r="AO79" i="8" a="1"/>
  <c r="AO79" i="8" s="1"/>
  <c r="AO80" i="8" a="1"/>
  <c r="AO80" i="8" s="1"/>
  <c r="AO81" i="8" a="1"/>
  <c r="AO81" i="8" s="1"/>
  <c r="AO82" i="8" a="1"/>
  <c r="AO82" i="8" s="1"/>
  <c r="AO83" i="8" a="1"/>
  <c r="AO83" i="8" s="1"/>
  <c r="AO84" i="8" a="1"/>
  <c r="AO84" i="8" s="1"/>
  <c r="AO85" i="8" a="1"/>
  <c r="AO85" i="8" s="1"/>
  <c r="AO86" i="8" a="1"/>
  <c r="AO86" i="8" s="1"/>
  <c r="AO87" i="8" a="1"/>
  <c r="AO87" i="8" s="1"/>
  <c r="AO88" i="8" a="1"/>
  <c r="AO88" i="8" s="1"/>
  <c r="AO89" i="8" a="1"/>
  <c r="AO89" i="8" s="1"/>
  <c r="AO90" i="8" a="1"/>
  <c r="AO90" i="8" s="1"/>
  <c r="AO91" i="8" a="1"/>
  <c r="AO91" i="8" s="1"/>
  <c r="AO92" i="8" a="1"/>
  <c r="AO92" i="8" s="1"/>
  <c r="AO93" i="8" a="1"/>
  <c r="AO93" i="8" s="1"/>
  <c r="AO94" i="8" a="1"/>
  <c r="AO94" i="8" s="1"/>
  <c r="AO95" i="8" a="1"/>
  <c r="AO95" i="8" s="1"/>
  <c r="AO96" i="8" a="1"/>
  <c r="AO96" i="8" s="1"/>
  <c r="AO97" i="8" a="1"/>
  <c r="AO97" i="8" s="1"/>
  <c r="AO98" i="8" a="1"/>
  <c r="AO98" i="8" s="1"/>
  <c r="AO99" i="8" a="1"/>
  <c r="AO99" i="8" s="1"/>
  <c r="AO100" i="8" a="1"/>
  <c r="AO100" i="8" s="1"/>
  <c r="AO101" i="8" a="1"/>
  <c r="AO101" i="8" s="1"/>
  <c r="AO102" i="8" a="1"/>
  <c r="AO102" i="8" s="1"/>
  <c r="AO103" i="8" a="1"/>
  <c r="AO103" i="8" s="1"/>
  <c r="AO104" i="8" a="1"/>
  <c r="AO104" i="8" s="1"/>
  <c r="AO105" i="8" a="1"/>
  <c r="AO105" i="8" s="1"/>
  <c r="AO106" i="8" a="1"/>
  <c r="AO106" i="8" s="1"/>
  <c r="AO107" i="8" a="1"/>
  <c r="AO107" i="8" s="1"/>
  <c r="AO108" i="8" a="1"/>
  <c r="AO108" i="8" s="1"/>
  <c r="AO109" i="8" a="1"/>
  <c r="AO109" i="8" s="1"/>
  <c r="AO110" i="8" a="1"/>
  <c r="AO110" i="8" s="1"/>
  <c r="AO111" i="8" a="1"/>
  <c r="AO111" i="8" s="1"/>
  <c r="AO112" i="8" a="1"/>
  <c r="AO112" i="8" s="1"/>
  <c r="AO113" i="8" a="1"/>
  <c r="AO113" i="8" s="1"/>
  <c r="AO114" i="8" a="1"/>
  <c r="AO114" i="8" s="1"/>
  <c r="AO115" i="8" a="1"/>
  <c r="AO115" i="8" s="1"/>
  <c r="AO116" i="8" a="1"/>
  <c r="AO116" i="8" s="1"/>
  <c r="AO117" i="8" a="1"/>
  <c r="AO117" i="8" s="1"/>
  <c r="AO118" i="8" a="1"/>
  <c r="AO118" i="8" s="1"/>
  <c r="AO119" i="8" a="1"/>
  <c r="AO119" i="8" s="1"/>
  <c r="AO120" i="8" a="1"/>
  <c r="AO120" i="8" s="1"/>
  <c r="AO121" i="8" a="1"/>
  <c r="AO121" i="8" s="1"/>
  <c r="AO122" i="8" a="1"/>
  <c r="AO122" i="8" s="1"/>
  <c r="AO123" i="8" a="1"/>
  <c r="AO123" i="8" s="1"/>
  <c r="AO124" i="8" a="1"/>
  <c r="AO124" i="8" s="1"/>
  <c r="AO125" i="8" a="1"/>
  <c r="AO125" i="8" s="1"/>
  <c r="AO126" i="8" a="1"/>
  <c r="AO126" i="8" s="1"/>
  <c r="AO127" i="8" a="1"/>
  <c r="AO127" i="8" s="1"/>
  <c r="AO128" i="8" a="1"/>
  <c r="AO128" i="8" s="1"/>
  <c r="AO129" i="8" a="1"/>
  <c r="AO129" i="8" s="1"/>
  <c r="AO130" i="8" a="1"/>
  <c r="AO130" i="8" s="1"/>
  <c r="AO131" i="8" a="1"/>
  <c r="AO131" i="8" s="1"/>
  <c r="AO132" i="8" a="1"/>
  <c r="AO132" i="8" s="1"/>
  <c r="AO133" i="8" a="1"/>
  <c r="AO133" i="8" s="1"/>
  <c r="AO134" i="8" a="1"/>
  <c r="AO134" i="8" s="1"/>
  <c r="AO135" i="8" a="1"/>
  <c r="AO135" i="8" s="1"/>
  <c r="AO136" i="8" a="1"/>
  <c r="AO136" i="8" s="1"/>
  <c r="AO137" i="8" a="1"/>
  <c r="AO137" i="8" s="1"/>
  <c r="AO138" i="8" a="1"/>
  <c r="AO138" i="8" s="1"/>
  <c r="AO139" i="8" a="1"/>
  <c r="AO139" i="8" s="1"/>
  <c r="AO140" i="8" a="1"/>
  <c r="AO140" i="8" s="1"/>
  <c r="AO141" i="8" a="1"/>
  <c r="AO141" i="8" s="1"/>
  <c r="AO142" i="8" a="1"/>
  <c r="AO142" i="8" s="1"/>
  <c r="AO143" i="8" a="1"/>
  <c r="AO143" i="8" s="1"/>
  <c r="AO144" i="8" a="1"/>
  <c r="AO144" i="8" s="1"/>
  <c r="AO145" i="8" a="1"/>
  <c r="AO145" i="8" s="1"/>
  <c r="AO146" i="8" a="1"/>
  <c r="AO146" i="8" s="1"/>
  <c r="AO147" i="8" a="1"/>
  <c r="AO147" i="8" s="1"/>
  <c r="AO148" i="8" a="1"/>
  <c r="AO148" i="8" s="1"/>
  <c r="AO149" i="8" a="1"/>
  <c r="AO149" i="8" s="1"/>
  <c r="AO150" i="8" a="1"/>
  <c r="AO150" i="8" s="1"/>
  <c r="AO151" i="8" a="1"/>
  <c r="AO151" i="8" s="1"/>
  <c r="AO152" i="8" a="1"/>
  <c r="AO152" i="8" s="1"/>
  <c r="AO153" i="8" a="1"/>
  <c r="AO153" i="8" s="1"/>
  <c r="AO154" i="8" a="1"/>
  <c r="AO154" i="8" s="1"/>
  <c r="AO155" i="8" a="1"/>
  <c r="AO155" i="8" s="1"/>
  <c r="AO156" i="8" a="1"/>
  <c r="AO156" i="8" s="1"/>
  <c r="AO157" i="8" a="1"/>
  <c r="AO157" i="8" s="1"/>
  <c r="AO158" i="8" a="1"/>
  <c r="AO158" i="8" s="1"/>
  <c r="AO159" i="8" a="1"/>
  <c r="AO159" i="8" s="1"/>
  <c r="AO160" i="8" a="1"/>
  <c r="AO160" i="8" s="1"/>
  <c r="AO161" i="8" a="1"/>
  <c r="AO161" i="8" s="1"/>
  <c r="AO162" i="8" a="1"/>
  <c r="AO162" i="8" s="1"/>
  <c r="AO163" i="8" a="1"/>
  <c r="AO163" i="8" s="1"/>
  <c r="AO164" i="8" a="1"/>
  <c r="AO164" i="8" s="1"/>
  <c r="AO165" i="8" a="1"/>
  <c r="AO165" i="8" s="1"/>
  <c r="AO166" i="8" a="1"/>
  <c r="AO166" i="8" s="1"/>
  <c r="AO167" i="8" a="1"/>
  <c r="AO167" i="8" s="1"/>
  <c r="AO168" i="8" a="1"/>
  <c r="AO168" i="8" s="1"/>
  <c r="AO169" i="8" a="1"/>
  <c r="AO169" i="8" s="1"/>
  <c r="AO170" i="8" a="1"/>
  <c r="AO170" i="8" s="1"/>
  <c r="AO171" i="8" a="1"/>
  <c r="AO171" i="8" s="1"/>
  <c r="AO172" i="8" a="1"/>
  <c r="AO172" i="8" s="1"/>
  <c r="AO173" i="8" a="1"/>
  <c r="AO173" i="8" s="1"/>
  <c r="AO174" i="8" a="1"/>
  <c r="AO174" i="8" s="1"/>
  <c r="AO175" i="8" a="1"/>
  <c r="AO175" i="8" s="1"/>
  <c r="AO176" i="8" a="1"/>
  <c r="AO176" i="8" s="1"/>
  <c r="AO177" i="8" a="1"/>
  <c r="AO177" i="8" s="1"/>
  <c r="AO178" i="8" a="1"/>
  <c r="AO178" i="8" s="1"/>
  <c r="AO179" i="8" a="1"/>
  <c r="AO179" i="8" s="1"/>
  <c r="AO180" i="8" a="1"/>
  <c r="AO180" i="8" s="1"/>
  <c r="AO181" i="8" a="1"/>
  <c r="AO181" i="8" s="1"/>
  <c r="AO182" i="8" a="1"/>
  <c r="AO182" i="8" s="1"/>
  <c r="AO183" i="8" a="1"/>
  <c r="AO183" i="8" s="1"/>
  <c r="AO184" i="8" a="1"/>
  <c r="AO184" i="8" s="1"/>
  <c r="AO185" i="8" a="1"/>
  <c r="AO185" i="8" s="1"/>
  <c r="AO186" i="8" a="1"/>
  <c r="AO186" i="8" s="1"/>
  <c r="AO187" i="8" a="1"/>
  <c r="AO187" i="8" s="1"/>
  <c r="AO188" i="8" a="1"/>
  <c r="AO188" i="8" s="1"/>
  <c r="AO189" i="8" a="1"/>
  <c r="AO189" i="8" s="1"/>
  <c r="AO190" i="8" a="1"/>
  <c r="AO190" i="8" s="1"/>
  <c r="AO191" i="8" a="1"/>
  <c r="AO191" i="8" s="1"/>
  <c r="AO192" i="8" a="1"/>
  <c r="AO192" i="8" s="1"/>
  <c r="AO193" i="8" a="1"/>
  <c r="AO193" i="8" s="1"/>
  <c r="AO194" i="8" a="1"/>
  <c r="AO194" i="8" s="1"/>
  <c r="AO195" i="8" a="1"/>
  <c r="AO195" i="8" s="1"/>
  <c r="AO196" i="8" a="1"/>
  <c r="AO196" i="8" s="1"/>
  <c r="AO197" i="8" a="1"/>
  <c r="AO197" i="8" s="1"/>
  <c r="AO198" i="8" a="1"/>
  <c r="AO198" i="8" s="1"/>
  <c r="AO199" i="8" a="1"/>
  <c r="AO199" i="8" s="1"/>
  <c r="AO200" i="8" a="1"/>
  <c r="AO200" i="8" s="1"/>
  <c r="AO201" i="8" a="1"/>
  <c r="AO201" i="8" s="1"/>
  <c r="AO202" i="8" a="1"/>
  <c r="AO202" i="8" s="1"/>
  <c r="AO203" i="8" a="1"/>
  <c r="AO203" i="8" s="1"/>
  <c r="AO204" i="8" a="1"/>
  <c r="AO204" i="8" s="1"/>
  <c r="AO205" i="8" a="1"/>
  <c r="AO205" i="8" s="1"/>
  <c r="AO206" i="8" a="1"/>
  <c r="AO206" i="8" s="1"/>
  <c r="AO207" i="8" a="1"/>
  <c r="AO207" i="8" s="1"/>
  <c r="AO208" i="8" a="1"/>
  <c r="AO208" i="8" s="1"/>
  <c r="AO209" i="8" a="1"/>
  <c r="AO209" i="8" s="1"/>
  <c r="AO210" i="8" a="1"/>
  <c r="AO210" i="8" s="1"/>
  <c r="AO211" i="8" a="1"/>
  <c r="AO211" i="8" s="1"/>
  <c r="AO212" i="8" a="1"/>
  <c r="AO212" i="8" s="1"/>
  <c r="AO213" i="8" a="1"/>
  <c r="AO213" i="8" s="1"/>
  <c r="AO214" i="8" a="1"/>
  <c r="AO214" i="8" s="1"/>
  <c r="AO215" i="8" a="1"/>
  <c r="AO215" i="8" s="1"/>
  <c r="AO216" i="8" a="1"/>
  <c r="AO216" i="8" s="1"/>
  <c r="AO217" i="8" a="1"/>
  <c r="AO217" i="8" s="1"/>
  <c r="AO218" i="8" a="1"/>
  <c r="AO218" i="8" s="1"/>
  <c r="AO219" i="8" a="1"/>
  <c r="AO219" i="8" s="1"/>
  <c r="AO220" i="8" a="1"/>
  <c r="AO220" i="8" s="1"/>
  <c r="AO221" i="8" a="1"/>
  <c r="AO221" i="8" s="1"/>
  <c r="AO222" i="8" a="1"/>
  <c r="AO222" i="8" s="1"/>
  <c r="AO223" i="8" a="1"/>
  <c r="AO223" i="8" s="1"/>
  <c r="AO224" i="8" a="1"/>
  <c r="AO224" i="8" s="1"/>
  <c r="AO225" i="8" a="1"/>
  <c r="AO225" i="8" s="1"/>
  <c r="AO226" i="8" a="1"/>
  <c r="AO226" i="8" s="1"/>
  <c r="AO227" i="8" a="1"/>
  <c r="AO227" i="8" s="1"/>
  <c r="AO228" i="8" a="1"/>
  <c r="AO228" i="8" s="1"/>
  <c r="AO229" i="8" a="1"/>
  <c r="AO229" i="8" s="1"/>
  <c r="AO230" i="8" a="1"/>
  <c r="AO230" i="8" s="1"/>
  <c r="AO231" i="8" a="1"/>
  <c r="AO231" i="8" s="1"/>
  <c r="AO232" i="8" a="1"/>
  <c r="AO232" i="8" s="1"/>
  <c r="AO233" i="8" a="1"/>
  <c r="AO233" i="8" s="1"/>
  <c r="AO234" i="8" a="1"/>
  <c r="AO234" i="8" s="1"/>
  <c r="AO235" i="8" a="1"/>
  <c r="AO235" i="8" s="1"/>
  <c r="AO236" i="8" a="1"/>
  <c r="AO236" i="8" s="1"/>
  <c r="AO237" i="8" a="1"/>
  <c r="AO237" i="8" s="1"/>
  <c r="AO238" i="8" a="1"/>
  <c r="AO238" i="8" s="1"/>
  <c r="AO239" i="8" a="1"/>
  <c r="AO239" i="8" s="1"/>
  <c r="AO240" i="8" a="1"/>
  <c r="AO240" i="8" s="1"/>
  <c r="AO241" i="8" a="1"/>
  <c r="AO241" i="8" s="1"/>
  <c r="AO242" i="8" a="1"/>
  <c r="AO242" i="8" s="1"/>
  <c r="AO243" i="8" a="1"/>
  <c r="AO243" i="8" s="1"/>
  <c r="AO244" i="8" a="1"/>
  <c r="AO244" i="8" s="1"/>
  <c r="AO245" i="8" a="1"/>
  <c r="AO245" i="8" s="1"/>
  <c r="AO246" i="8" a="1"/>
  <c r="AO246" i="8" s="1"/>
  <c r="AO247" i="8" a="1"/>
  <c r="AO247" i="8" s="1"/>
  <c r="AO248" i="8" a="1"/>
  <c r="AO248" i="8" s="1"/>
  <c r="AO249" i="8" a="1"/>
  <c r="AO249" i="8" s="1"/>
  <c r="AO250" i="8" a="1"/>
  <c r="AO250" i="8" s="1"/>
  <c r="AN12" i="8" a="1"/>
  <c r="AN12" i="8" s="1"/>
  <c r="AN13" i="8" a="1"/>
  <c r="AN13" i="8" s="1"/>
  <c r="AN14" i="8" a="1"/>
  <c r="AN14" i="8" s="1"/>
  <c r="AN15" i="8" a="1"/>
  <c r="AN15" i="8" s="1"/>
  <c r="AN16" i="8" a="1"/>
  <c r="AN16" i="8" s="1"/>
  <c r="AN17" i="8" a="1"/>
  <c r="AN17" i="8" s="1"/>
  <c r="AN18" i="8" a="1"/>
  <c r="AN18" i="8" s="1"/>
  <c r="AN19" i="8" a="1"/>
  <c r="AN19" i="8" s="1"/>
  <c r="AN20" i="8" a="1"/>
  <c r="AN20" i="8" s="1"/>
  <c r="AN21" i="8" a="1"/>
  <c r="AN21" i="8" s="1"/>
  <c r="AN22" i="8" a="1"/>
  <c r="AN22" i="8" s="1"/>
  <c r="AN23" i="8" a="1"/>
  <c r="AN23" i="8" s="1"/>
  <c r="AN24" i="8" a="1"/>
  <c r="AN24" i="8" s="1"/>
  <c r="AN25" i="8" a="1"/>
  <c r="AN25" i="8" s="1"/>
  <c r="AN26" i="8" a="1"/>
  <c r="AN26" i="8" s="1"/>
  <c r="AN27" i="8" a="1"/>
  <c r="AN27" i="8" s="1"/>
  <c r="AN28" i="8" a="1"/>
  <c r="AN28" i="8" s="1"/>
  <c r="AN29" i="8" a="1"/>
  <c r="AN29" i="8" s="1"/>
  <c r="AN30" i="8" a="1"/>
  <c r="AN30" i="8" s="1"/>
  <c r="AN31" i="8" a="1"/>
  <c r="AN31" i="8" s="1"/>
  <c r="AN32" i="8" a="1"/>
  <c r="AN32" i="8" s="1"/>
  <c r="AN33" i="8" a="1"/>
  <c r="AN33" i="8" s="1"/>
  <c r="AN34" i="8" a="1"/>
  <c r="AN34" i="8" s="1"/>
  <c r="AN35" i="8" a="1"/>
  <c r="AN35" i="8" s="1"/>
  <c r="AN36" i="8" a="1"/>
  <c r="AN36" i="8" s="1"/>
  <c r="AN37" i="8" a="1"/>
  <c r="AN37" i="8" s="1"/>
  <c r="AN38" i="8" a="1"/>
  <c r="AN38" i="8" s="1"/>
  <c r="AN39" i="8" a="1"/>
  <c r="AN39" i="8" s="1"/>
  <c r="AN40" i="8" a="1"/>
  <c r="AN40" i="8" s="1"/>
  <c r="AN41" i="8" a="1"/>
  <c r="AN41" i="8" s="1"/>
  <c r="AN42" i="8" a="1"/>
  <c r="AN42" i="8" s="1"/>
  <c r="AN43" i="8" a="1"/>
  <c r="AN43" i="8" s="1"/>
  <c r="AN44" i="8" a="1"/>
  <c r="AN44" i="8" s="1"/>
  <c r="AN45" i="8" a="1"/>
  <c r="AN45" i="8" s="1"/>
  <c r="AN46" i="8" a="1"/>
  <c r="AN46" i="8" s="1"/>
  <c r="AN47" i="8" a="1"/>
  <c r="AN47" i="8" s="1"/>
  <c r="AN48" i="8" a="1"/>
  <c r="AN48" i="8" s="1"/>
  <c r="AN49" i="8" a="1"/>
  <c r="AN49" i="8" s="1"/>
  <c r="AN50" i="8" a="1"/>
  <c r="AN50" i="8" s="1"/>
  <c r="AN51" i="8" a="1"/>
  <c r="AN51" i="8" s="1"/>
  <c r="AN52" i="8" a="1"/>
  <c r="AN52" i="8" s="1"/>
  <c r="AN53" i="8" a="1"/>
  <c r="AN53" i="8" s="1"/>
  <c r="AN54" i="8" a="1"/>
  <c r="AN54" i="8" s="1"/>
  <c r="AN55" i="8" a="1"/>
  <c r="AN55" i="8" s="1"/>
  <c r="AN56" i="8" a="1"/>
  <c r="AN56" i="8" s="1"/>
  <c r="AN57" i="8" a="1"/>
  <c r="AN57" i="8" s="1"/>
  <c r="AN58" i="8" a="1"/>
  <c r="AN58" i="8" s="1"/>
  <c r="AN59" i="8" a="1"/>
  <c r="AN59" i="8" s="1"/>
  <c r="AN60" i="8" a="1"/>
  <c r="AN60" i="8" s="1"/>
  <c r="AN61" i="8" a="1"/>
  <c r="AN61" i="8" s="1"/>
  <c r="AN62" i="8" a="1"/>
  <c r="AN62" i="8" s="1"/>
  <c r="AN63" i="8" a="1"/>
  <c r="AN63" i="8" s="1"/>
  <c r="AN64" i="8" a="1"/>
  <c r="AN64" i="8" s="1"/>
  <c r="AN65" i="8" a="1"/>
  <c r="AN65" i="8" s="1"/>
  <c r="AN66" i="8" a="1"/>
  <c r="AN66" i="8" s="1"/>
  <c r="AN67" i="8" a="1"/>
  <c r="AN67" i="8" s="1"/>
  <c r="AN68" i="8" a="1"/>
  <c r="AN68" i="8" s="1"/>
  <c r="AN69" i="8" a="1"/>
  <c r="AN69" i="8" s="1"/>
  <c r="AN70" i="8" a="1"/>
  <c r="AN70" i="8" s="1"/>
  <c r="AN71" i="8" a="1"/>
  <c r="AN71" i="8" s="1"/>
  <c r="AN72" i="8" a="1"/>
  <c r="AN72" i="8" s="1"/>
  <c r="AN73" i="8" a="1"/>
  <c r="AN73" i="8" s="1"/>
  <c r="AN74" i="8" a="1"/>
  <c r="AN74" i="8" s="1"/>
  <c r="AN75" i="8" a="1"/>
  <c r="AN75" i="8" s="1"/>
  <c r="AN76" i="8" a="1"/>
  <c r="AN76" i="8" s="1"/>
  <c r="AN77" i="8" a="1"/>
  <c r="AN77" i="8" s="1"/>
  <c r="AN78" i="8" a="1"/>
  <c r="AN78" i="8" s="1"/>
  <c r="AN79" i="8" a="1"/>
  <c r="AN79" i="8" s="1"/>
  <c r="AN80" i="8" a="1"/>
  <c r="AN80" i="8" s="1"/>
  <c r="AN81" i="8" a="1"/>
  <c r="AN81" i="8" s="1"/>
  <c r="AN82" i="8" a="1"/>
  <c r="AN82" i="8" s="1"/>
  <c r="AN83" i="8" a="1"/>
  <c r="AN83" i="8" s="1"/>
  <c r="AN84" i="8" a="1"/>
  <c r="AN84" i="8" s="1"/>
  <c r="AN85" i="8" a="1"/>
  <c r="AN85" i="8" s="1"/>
  <c r="AN86" i="8" a="1"/>
  <c r="AN86" i="8" s="1"/>
  <c r="AN87" i="8" a="1"/>
  <c r="AN87" i="8" s="1"/>
  <c r="AN88" i="8" a="1"/>
  <c r="AN88" i="8" s="1"/>
  <c r="AN89" i="8" a="1"/>
  <c r="AN89" i="8" s="1"/>
  <c r="AN90" i="8" a="1"/>
  <c r="AN90" i="8" s="1"/>
  <c r="AN91" i="8" a="1"/>
  <c r="AN91" i="8" s="1"/>
  <c r="AN92" i="8" a="1"/>
  <c r="AN92" i="8" s="1"/>
  <c r="AN93" i="8" a="1"/>
  <c r="AN93" i="8" s="1"/>
  <c r="AN94" i="8" a="1"/>
  <c r="AN94" i="8" s="1"/>
  <c r="AN95" i="8" a="1"/>
  <c r="AN95" i="8" s="1"/>
  <c r="AN96" i="8" a="1"/>
  <c r="AN96" i="8" s="1"/>
  <c r="AN97" i="8" a="1"/>
  <c r="AN97" i="8" s="1"/>
  <c r="AN98" i="8" a="1"/>
  <c r="AN98" i="8" s="1"/>
  <c r="AN99" i="8" a="1"/>
  <c r="AN99" i="8" s="1"/>
  <c r="AN100" i="8" a="1"/>
  <c r="AN100" i="8" s="1"/>
  <c r="AN101" i="8" a="1"/>
  <c r="AN101" i="8" s="1"/>
  <c r="AN102" i="8" a="1"/>
  <c r="AN102" i="8" s="1"/>
  <c r="AN103" i="8" a="1"/>
  <c r="AN103" i="8" s="1"/>
  <c r="AN104" i="8" a="1"/>
  <c r="AN104" i="8" s="1"/>
  <c r="AN105" i="8" a="1"/>
  <c r="AN105" i="8" s="1"/>
  <c r="AN106" i="8" a="1"/>
  <c r="AN106" i="8" s="1"/>
  <c r="AN107" i="8" a="1"/>
  <c r="AN107" i="8" s="1"/>
  <c r="AN108" i="8" a="1"/>
  <c r="AN108" i="8" s="1"/>
  <c r="AN109" i="8" a="1"/>
  <c r="AN109" i="8" s="1"/>
  <c r="AN110" i="8" a="1"/>
  <c r="AN110" i="8" s="1"/>
  <c r="AN111" i="8" a="1"/>
  <c r="AN111" i="8" s="1"/>
  <c r="AN112" i="8" a="1"/>
  <c r="AN112" i="8" s="1"/>
  <c r="AN113" i="8" a="1"/>
  <c r="AN113" i="8" s="1"/>
  <c r="AN114" i="8" a="1"/>
  <c r="AN114" i="8" s="1"/>
  <c r="AN115" i="8" a="1"/>
  <c r="AN115" i="8" s="1"/>
  <c r="AN116" i="8" a="1"/>
  <c r="AN116" i="8" s="1"/>
  <c r="AN117" i="8" a="1"/>
  <c r="AN117" i="8" s="1"/>
  <c r="AN118" i="8" a="1"/>
  <c r="AN118" i="8" s="1"/>
  <c r="AN119" i="8" a="1"/>
  <c r="AN119" i="8" s="1"/>
  <c r="AN120" i="8" a="1"/>
  <c r="AN120" i="8" s="1"/>
  <c r="AN121" i="8" a="1"/>
  <c r="AN121" i="8" s="1"/>
  <c r="AN122" i="8" a="1"/>
  <c r="AN122" i="8" s="1"/>
  <c r="AN123" i="8" a="1"/>
  <c r="AN123" i="8" s="1"/>
  <c r="AN124" i="8" a="1"/>
  <c r="AN124" i="8" s="1"/>
  <c r="AN125" i="8" a="1"/>
  <c r="AN125" i="8" s="1"/>
  <c r="AN126" i="8" a="1"/>
  <c r="AN126" i="8" s="1"/>
  <c r="AN127" i="8" a="1"/>
  <c r="AN127" i="8" s="1"/>
  <c r="AN128" i="8" a="1"/>
  <c r="AN128" i="8" s="1"/>
  <c r="AN129" i="8" a="1"/>
  <c r="AN129" i="8" s="1"/>
  <c r="AN130" i="8" a="1"/>
  <c r="AN130" i="8" s="1"/>
  <c r="AN131" i="8" a="1"/>
  <c r="AN131" i="8" s="1"/>
  <c r="AN132" i="8" a="1"/>
  <c r="AN132" i="8" s="1"/>
  <c r="AN133" i="8" a="1"/>
  <c r="AN133" i="8" s="1"/>
  <c r="AN134" i="8" a="1"/>
  <c r="AN134" i="8" s="1"/>
  <c r="AN135" i="8" a="1"/>
  <c r="AN135" i="8" s="1"/>
  <c r="AN136" i="8" a="1"/>
  <c r="AN136" i="8" s="1"/>
  <c r="AN137" i="8" a="1"/>
  <c r="AN137" i="8" s="1"/>
  <c r="AN138" i="8" a="1"/>
  <c r="AN138" i="8" s="1"/>
  <c r="AN139" i="8" a="1"/>
  <c r="AN139" i="8" s="1"/>
  <c r="AN140" i="8" a="1"/>
  <c r="AN140" i="8" s="1"/>
  <c r="AN141" i="8" a="1"/>
  <c r="AN141" i="8" s="1"/>
  <c r="AN142" i="8" a="1"/>
  <c r="AN142" i="8" s="1"/>
  <c r="AN143" i="8" a="1"/>
  <c r="AN143" i="8" s="1"/>
  <c r="AN144" i="8" a="1"/>
  <c r="AN144" i="8" s="1"/>
  <c r="AN145" i="8" a="1"/>
  <c r="AN145" i="8" s="1"/>
  <c r="AN146" i="8" a="1"/>
  <c r="AN146" i="8" s="1"/>
  <c r="AN147" i="8" a="1"/>
  <c r="AN147" i="8" s="1"/>
  <c r="AN148" i="8" a="1"/>
  <c r="AN148" i="8" s="1"/>
  <c r="AN149" i="8" a="1"/>
  <c r="AN149" i="8" s="1"/>
  <c r="AN150" i="8" a="1"/>
  <c r="AN150" i="8" s="1"/>
  <c r="AN151" i="8" a="1"/>
  <c r="AN151" i="8" s="1"/>
  <c r="AN152" i="8" a="1"/>
  <c r="AN152" i="8" s="1"/>
  <c r="AN153" i="8" a="1"/>
  <c r="AN153" i="8" s="1"/>
  <c r="AN154" i="8" a="1"/>
  <c r="AN154" i="8" s="1"/>
  <c r="AN155" i="8" a="1"/>
  <c r="AN155" i="8" s="1"/>
  <c r="AN156" i="8" a="1"/>
  <c r="AN156" i="8" s="1"/>
  <c r="AN157" i="8" a="1"/>
  <c r="AN157" i="8" s="1"/>
  <c r="AN158" i="8" a="1"/>
  <c r="AN158" i="8" s="1"/>
  <c r="AN159" i="8" a="1"/>
  <c r="AN159" i="8" s="1"/>
  <c r="AN160" i="8" a="1"/>
  <c r="AN160" i="8" s="1"/>
  <c r="AN161" i="8" a="1"/>
  <c r="AN161" i="8" s="1"/>
  <c r="AN162" i="8" a="1"/>
  <c r="AN162" i="8" s="1"/>
  <c r="AN163" i="8" a="1"/>
  <c r="AN163" i="8" s="1"/>
  <c r="AN164" i="8" a="1"/>
  <c r="AN164" i="8" s="1"/>
  <c r="AN165" i="8" a="1"/>
  <c r="AN165" i="8" s="1"/>
  <c r="AN166" i="8" a="1"/>
  <c r="AN166" i="8" s="1"/>
  <c r="AN167" i="8" a="1"/>
  <c r="AN167" i="8" s="1"/>
  <c r="AN168" i="8" a="1"/>
  <c r="AN168" i="8" s="1"/>
  <c r="AN169" i="8" a="1"/>
  <c r="AN169" i="8" s="1"/>
  <c r="AN170" i="8" a="1"/>
  <c r="AN170" i="8" s="1"/>
  <c r="AN171" i="8" a="1"/>
  <c r="AN171" i="8" s="1"/>
  <c r="AN172" i="8" a="1"/>
  <c r="AN172" i="8" s="1"/>
  <c r="AN173" i="8" a="1"/>
  <c r="AN173" i="8" s="1"/>
  <c r="AN174" i="8" a="1"/>
  <c r="AN174" i="8" s="1"/>
  <c r="AN175" i="8" a="1"/>
  <c r="AN175" i="8" s="1"/>
  <c r="AN176" i="8" a="1"/>
  <c r="AN176" i="8" s="1"/>
  <c r="AN177" i="8" a="1"/>
  <c r="AN177" i="8" s="1"/>
  <c r="AN178" i="8" a="1"/>
  <c r="AN178" i="8" s="1"/>
  <c r="AN179" i="8" a="1"/>
  <c r="AN179" i="8" s="1"/>
  <c r="AN180" i="8" a="1"/>
  <c r="AN180" i="8" s="1"/>
  <c r="AN181" i="8" a="1"/>
  <c r="AN181" i="8" s="1"/>
  <c r="AN182" i="8" a="1"/>
  <c r="AN182" i="8" s="1"/>
  <c r="AN183" i="8" a="1"/>
  <c r="AN183" i="8" s="1"/>
  <c r="AN184" i="8" a="1"/>
  <c r="AN184" i="8" s="1"/>
  <c r="AN185" i="8" a="1"/>
  <c r="AN185" i="8" s="1"/>
  <c r="AN186" i="8" a="1"/>
  <c r="AN186" i="8" s="1"/>
  <c r="AN187" i="8" a="1"/>
  <c r="AN187" i="8" s="1"/>
  <c r="AN188" i="8" a="1"/>
  <c r="AN188" i="8" s="1"/>
  <c r="AN189" i="8" a="1"/>
  <c r="AN189" i="8" s="1"/>
  <c r="AN190" i="8" a="1"/>
  <c r="AN190" i="8" s="1"/>
  <c r="AN191" i="8" a="1"/>
  <c r="AN191" i="8" s="1"/>
  <c r="AN192" i="8" a="1"/>
  <c r="AN192" i="8" s="1"/>
  <c r="AN193" i="8" a="1"/>
  <c r="AN193" i="8" s="1"/>
  <c r="AN194" i="8" a="1"/>
  <c r="AN194" i="8" s="1"/>
  <c r="AN195" i="8" a="1"/>
  <c r="AN195" i="8" s="1"/>
  <c r="AN196" i="8" a="1"/>
  <c r="AN196" i="8" s="1"/>
  <c r="AN197" i="8" a="1"/>
  <c r="AN197" i="8" s="1"/>
  <c r="AN198" i="8" a="1"/>
  <c r="AN198" i="8" s="1"/>
  <c r="AN199" i="8" a="1"/>
  <c r="AN199" i="8" s="1"/>
  <c r="AN200" i="8" a="1"/>
  <c r="AN200" i="8" s="1"/>
  <c r="AN201" i="8" a="1"/>
  <c r="AN201" i="8" s="1"/>
  <c r="AN202" i="8" a="1"/>
  <c r="AN202" i="8" s="1"/>
  <c r="AN203" i="8" a="1"/>
  <c r="AN203" i="8" s="1"/>
  <c r="AN204" i="8" a="1"/>
  <c r="AN204" i="8" s="1"/>
  <c r="AN205" i="8" a="1"/>
  <c r="AN205" i="8" s="1"/>
  <c r="AN206" i="8" a="1"/>
  <c r="AN206" i="8" s="1"/>
  <c r="AN207" i="8" a="1"/>
  <c r="AN207" i="8" s="1"/>
  <c r="AN208" i="8" a="1"/>
  <c r="AN208" i="8" s="1"/>
  <c r="AN209" i="8" a="1"/>
  <c r="AN209" i="8" s="1"/>
  <c r="AN210" i="8" a="1"/>
  <c r="AN210" i="8" s="1"/>
  <c r="AN211" i="8" a="1"/>
  <c r="AN211" i="8" s="1"/>
  <c r="AN212" i="8" a="1"/>
  <c r="AN212" i="8" s="1"/>
  <c r="AN213" i="8" a="1"/>
  <c r="AN213" i="8" s="1"/>
  <c r="AN214" i="8" a="1"/>
  <c r="AN214" i="8" s="1"/>
  <c r="AN215" i="8" a="1"/>
  <c r="AN215" i="8" s="1"/>
  <c r="AN216" i="8" a="1"/>
  <c r="AN216" i="8" s="1"/>
  <c r="AN217" i="8" a="1"/>
  <c r="AN217" i="8" s="1"/>
  <c r="AN218" i="8" a="1"/>
  <c r="AN218" i="8" s="1"/>
  <c r="AN219" i="8" a="1"/>
  <c r="AN219" i="8" s="1"/>
  <c r="AN220" i="8" a="1"/>
  <c r="AN220" i="8" s="1"/>
  <c r="AN221" i="8" a="1"/>
  <c r="AN221" i="8" s="1"/>
  <c r="AN222" i="8" a="1"/>
  <c r="AN222" i="8" s="1"/>
  <c r="AN223" i="8" a="1"/>
  <c r="AN223" i="8" s="1"/>
  <c r="AN224" i="8" a="1"/>
  <c r="AN224" i="8" s="1"/>
  <c r="AN225" i="8" a="1"/>
  <c r="AN225" i="8" s="1"/>
  <c r="AN226" i="8" a="1"/>
  <c r="AN226" i="8" s="1"/>
  <c r="AN227" i="8" a="1"/>
  <c r="AN227" i="8" s="1"/>
  <c r="AN228" i="8" a="1"/>
  <c r="AN228" i="8" s="1"/>
  <c r="AN229" i="8" a="1"/>
  <c r="AN229" i="8" s="1"/>
  <c r="AN230" i="8" a="1"/>
  <c r="AN230" i="8" s="1"/>
  <c r="AN231" i="8" a="1"/>
  <c r="AN231" i="8" s="1"/>
  <c r="AN232" i="8" a="1"/>
  <c r="AN232" i="8" s="1"/>
  <c r="AN233" i="8" a="1"/>
  <c r="AN233" i="8" s="1"/>
  <c r="AN234" i="8" a="1"/>
  <c r="AN234" i="8" s="1"/>
  <c r="AN235" i="8" a="1"/>
  <c r="AN235" i="8" s="1"/>
  <c r="AN236" i="8" a="1"/>
  <c r="AN236" i="8" s="1"/>
  <c r="AN237" i="8" a="1"/>
  <c r="AN237" i="8" s="1"/>
  <c r="AN238" i="8" a="1"/>
  <c r="AN238" i="8" s="1"/>
  <c r="AN239" i="8" a="1"/>
  <c r="AN239" i="8" s="1"/>
  <c r="AN240" i="8" a="1"/>
  <c r="AN240" i="8" s="1"/>
  <c r="AN241" i="8" a="1"/>
  <c r="AN241" i="8" s="1"/>
  <c r="AN242" i="8" a="1"/>
  <c r="AN242" i="8" s="1"/>
  <c r="AN243" i="8" a="1"/>
  <c r="AN243" i="8" s="1"/>
  <c r="AN244" i="8" a="1"/>
  <c r="AN244" i="8" s="1"/>
  <c r="AN245" i="8" a="1"/>
  <c r="AN245" i="8" s="1"/>
  <c r="AN246" i="8" a="1"/>
  <c r="AN246" i="8" s="1"/>
  <c r="AN247" i="8" a="1"/>
  <c r="AN247" i="8" s="1"/>
  <c r="AN248" i="8" a="1"/>
  <c r="AN248" i="8" s="1"/>
  <c r="AN249" i="8" a="1"/>
  <c r="AN249" i="8" s="1"/>
  <c r="AN250" i="8" a="1"/>
  <c r="AN250" i="8" s="1"/>
  <c r="AM12" i="8" a="1"/>
  <c r="AM12" i="8" s="1"/>
  <c r="AM13" i="8" a="1"/>
  <c r="AM13" i="8" s="1"/>
  <c r="AM14" i="8" a="1"/>
  <c r="AM14" i="8" s="1"/>
  <c r="AM15" i="8" a="1"/>
  <c r="AM15" i="8" s="1"/>
  <c r="AM16" i="8" a="1"/>
  <c r="AM16" i="8" s="1"/>
  <c r="AM17" i="8" a="1"/>
  <c r="AM17" i="8" s="1"/>
  <c r="AM18" i="8" a="1"/>
  <c r="AM18" i="8" s="1"/>
  <c r="AM19" i="8" a="1"/>
  <c r="AM19" i="8" s="1"/>
  <c r="AM20" i="8" a="1"/>
  <c r="AM20" i="8" s="1"/>
  <c r="AM21" i="8" a="1"/>
  <c r="AM21" i="8" s="1"/>
  <c r="AM22" i="8" a="1"/>
  <c r="AM22" i="8" s="1"/>
  <c r="AM23" i="8" a="1"/>
  <c r="AM23" i="8" s="1"/>
  <c r="AM24" i="8" a="1"/>
  <c r="AM24" i="8" s="1"/>
  <c r="AM25" i="8" a="1"/>
  <c r="AM25" i="8" s="1"/>
  <c r="AM26" i="8" a="1"/>
  <c r="AM26" i="8" s="1"/>
  <c r="AM27" i="8" a="1"/>
  <c r="AM27" i="8" s="1"/>
  <c r="AM28" i="8" a="1"/>
  <c r="AM28" i="8" s="1"/>
  <c r="AM29" i="8" a="1"/>
  <c r="AM29" i="8" s="1"/>
  <c r="AM30" i="8" a="1"/>
  <c r="AM30" i="8" s="1"/>
  <c r="AM31" i="8" a="1"/>
  <c r="AM31" i="8" s="1"/>
  <c r="AM32" i="8" a="1"/>
  <c r="AM32" i="8" s="1"/>
  <c r="AM33" i="8" a="1"/>
  <c r="AM33" i="8" s="1"/>
  <c r="AM34" i="8" a="1"/>
  <c r="AM34" i="8" s="1"/>
  <c r="AM35" i="8" a="1"/>
  <c r="AM35" i="8" s="1"/>
  <c r="AM36" i="8" a="1"/>
  <c r="AM36" i="8" s="1"/>
  <c r="AM37" i="8" a="1"/>
  <c r="AM37" i="8" s="1"/>
  <c r="AM38" i="8" a="1"/>
  <c r="AM38" i="8" s="1"/>
  <c r="AM39" i="8" a="1"/>
  <c r="AM39" i="8" s="1"/>
  <c r="AM40" i="8" a="1"/>
  <c r="AM40" i="8" s="1"/>
  <c r="AM41" i="8" a="1"/>
  <c r="AM41" i="8" s="1"/>
  <c r="AM42" i="8" a="1"/>
  <c r="AM42" i="8" s="1"/>
  <c r="AM43" i="8" a="1"/>
  <c r="AM43" i="8" s="1"/>
  <c r="AM44" i="8" a="1"/>
  <c r="AM44" i="8" s="1"/>
  <c r="AM45" i="8" a="1"/>
  <c r="AM45" i="8" s="1"/>
  <c r="AM46" i="8" a="1"/>
  <c r="AM46" i="8" s="1"/>
  <c r="AM47" i="8" a="1"/>
  <c r="AM47" i="8" s="1"/>
  <c r="AM48" i="8" a="1"/>
  <c r="AM48" i="8" s="1"/>
  <c r="AM49" i="8" a="1"/>
  <c r="AM49" i="8" s="1"/>
  <c r="AM50" i="8" a="1"/>
  <c r="AM50" i="8" s="1"/>
  <c r="AM51" i="8" a="1"/>
  <c r="AM51" i="8" s="1"/>
  <c r="AM52" i="8" a="1"/>
  <c r="AM52" i="8" s="1"/>
  <c r="AM53" i="8" a="1"/>
  <c r="AM53" i="8" s="1"/>
  <c r="AM54" i="8" a="1"/>
  <c r="AM54" i="8" s="1"/>
  <c r="AM55" i="8" a="1"/>
  <c r="AM55" i="8" s="1"/>
  <c r="AM56" i="8" a="1"/>
  <c r="AM56" i="8" s="1"/>
  <c r="AM57" i="8" a="1"/>
  <c r="AM57" i="8" s="1"/>
  <c r="AM58" i="8" a="1"/>
  <c r="AM58" i="8" s="1"/>
  <c r="AM59" i="8" a="1"/>
  <c r="AM59" i="8" s="1"/>
  <c r="AM60" i="8" a="1"/>
  <c r="AM60" i="8" s="1"/>
  <c r="AM61" i="8" a="1"/>
  <c r="AM61" i="8" s="1"/>
  <c r="AM62" i="8" a="1"/>
  <c r="AM62" i="8" s="1"/>
  <c r="AM63" i="8" a="1"/>
  <c r="AM63" i="8" s="1"/>
  <c r="AM64" i="8" a="1"/>
  <c r="AM64" i="8" s="1"/>
  <c r="AM65" i="8" a="1"/>
  <c r="AM65" i="8" s="1"/>
  <c r="AM66" i="8" a="1"/>
  <c r="AM66" i="8" s="1"/>
  <c r="AM67" i="8" a="1"/>
  <c r="AM67" i="8" s="1"/>
  <c r="AM68" i="8" a="1"/>
  <c r="AM68" i="8" s="1"/>
  <c r="AM69" i="8" a="1"/>
  <c r="AM69" i="8" s="1"/>
  <c r="AM70" i="8" a="1"/>
  <c r="AM70" i="8" s="1"/>
  <c r="AM71" i="8" a="1"/>
  <c r="AM71" i="8" s="1"/>
  <c r="AM72" i="8" a="1"/>
  <c r="AM72" i="8" s="1"/>
  <c r="AM73" i="8" a="1"/>
  <c r="AM73" i="8" s="1"/>
  <c r="AM74" i="8" a="1"/>
  <c r="AM74" i="8" s="1"/>
  <c r="AM75" i="8" a="1"/>
  <c r="AM75" i="8" s="1"/>
  <c r="AM76" i="8" a="1"/>
  <c r="AM76" i="8" s="1"/>
  <c r="AM77" i="8" a="1"/>
  <c r="AM77" i="8" s="1"/>
  <c r="AM78" i="8" a="1"/>
  <c r="AM78" i="8" s="1"/>
  <c r="AM79" i="8" a="1"/>
  <c r="AM79" i="8" s="1"/>
  <c r="AM80" i="8" a="1"/>
  <c r="AM80" i="8" s="1"/>
  <c r="AM81" i="8" a="1"/>
  <c r="AM81" i="8" s="1"/>
  <c r="AM82" i="8" a="1"/>
  <c r="AM82" i="8" s="1"/>
  <c r="AM83" i="8" a="1"/>
  <c r="AM83" i="8" s="1"/>
  <c r="AM84" i="8" a="1"/>
  <c r="AM84" i="8" s="1"/>
  <c r="AM85" i="8" a="1"/>
  <c r="AM85" i="8" s="1"/>
  <c r="AM86" i="8" a="1"/>
  <c r="AM86" i="8" s="1"/>
  <c r="AM87" i="8" a="1"/>
  <c r="AM87" i="8" s="1"/>
  <c r="AM88" i="8" a="1"/>
  <c r="AM88" i="8" s="1"/>
  <c r="AM89" i="8" a="1"/>
  <c r="AM89" i="8" s="1"/>
  <c r="AM90" i="8" a="1"/>
  <c r="AM90" i="8" s="1"/>
  <c r="AM91" i="8" a="1"/>
  <c r="AM91" i="8" s="1"/>
  <c r="AM92" i="8" a="1"/>
  <c r="AM92" i="8" s="1"/>
  <c r="AM93" i="8" a="1"/>
  <c r="AM93" i="8" s="1"/>
  <c r="AM94" i="8" a="1"/>
  <c r="AM94" i="8" s="1"/>
  <c r="AM95" i="8" a="1"/>
  <c r="AM95" i="8" s="1"/>
  <c r="AM96" i="8" a="1"/>
  <c r="AM96" i="8" s="1"/>
  <c r="AM97" i="8" a="1"/>
  <c r="AM97" i="8" s="1"/>
  <c r="AM98" i="8" a="1"/>
  <c r="AM98" i="8" s="1"/>
  <c r="AM99" i="8" a="1"/>
  <c r="AM99" i="8" s="1"/>
  <c r="AM100" i="8" a="1"/>
  <c r="AM100" i="8" s="1"/>
  <c r="AM101" i="8" a="1"/>
  <c r="AM101" i="8" s="1"/>
  <c r="AM102" i="8" a="1"/>
  <c r="AM102" i="8" s="1"/>
  <c r="AM103" i="8" a="1"/>
  <c r="AM103" i="8" s="1"/>
  <c r="AM104" i="8" a="1"/>
  <c r="AM104" i="8" s="1"/>
  <c r="AM105" i="8" a="1"/>
  <c r="AM105" i="8" s="1"/>
  <c r="AM106" i="8" a="1"/>
  <c r="AM106" i="8" s="1"/>
  <c r="AM107" i="8" a="1"/>
  <c r="AM107" i="8" s="1"/>
  <c r="AM108" i="8" a="1"/>
  <c r="AM108" i="8" s="1"/>
  <c r="AM109" i="8" a="1"/>
  <c r="AM109" i="8" s="1"/>
  <c r="AM110" i="8" a="1"/>
  <c r="AM110" i="8" s="1"/>
  <c r="AM111" i="8" a="1"/>
  <c r="AM111" i="8" s="1"/>
  <c r="AM112" i="8" a="1"/>
  <c r="AM112" i="8" s="1"/>
  <c r="AM113" i="8" a="1"/>
  <c r="AM113" i="8" s="1"/>
  <c r="AM114" i="8" a="1"/>
  <c r="AM114" i="8" s="1"/>
  <c r="AM115" i="8" a="1"/>
  <c r="AM115" i="8" s="1"/>
  <c r="AM116" i="8" a="1"/>
  <c r="AM116" i="8" s="1"/>
  <c r="AM117" i="8" a="1"/>
  <c r="AM117" i="8" s="1"/>
  <c r="AM118" i="8" a="1"/>
  <c r="AM118" i="8" s="1"/>
  <c r="AM119" i="8" a="1"/>
  <c r="AM119" i="8" s="1"/>
  <c r="AM120" i="8" a="1"/>
  <c r="AM120" i="8" s="1"/>
  <c r="AM121" i="8" a="1"/>
  <c r="AM121" i="8" s="1"/>
  <c r="AM122" i="8" a="1"/>
  <c r="AM122" i="8" s="1"/>
  <c r="AM123" i="8" a="1"/>
  <c r="AM123" i="8" s="1"/>
  <c r="AM124" i="8" a="1"/>
  <c r="AM124" i="8" s="1"/>
  <c r="AM125" i="8" a="1"/>
  <c r="AM125" i="8" s="1"/>
  <c r="AM126" i="8" a="1"/>
  <c r="AM126" i="8" s="1"/>
  <c r="AM127" i="8" a="1"/>
  <c r="AM127" i="8" s="1"/>
  <c r="AM128" i="8" a="1"/>
  <c r="AM128" i="8" s="1"/>
  <c r="AM129" i="8" a="1"/>
  <c r="AM129" i="8" s="1"/>
  <c r="AM130" i="8" a="1"/>
  <c r="AM130" i="8" s="1"/>
  <c r="AM131" i="8" a="1"/>
  <c r="AM131" i="8" s="1"/>
  <c r="AM132" i="8" a="1"/>
  <c r="AM132" i="8" s="1"/>
  <c r="AM133" i="8" a="1"/>
  <c r="AM133" i="8" s="1"/>
  <c r="AM134" i="8" a="1"/>
  <c r="AM134" i="8" s="1"/>
  <c r="AM135" i="8" a="1"/>
  <c r="AM135" i="8" s="1"/>
  <c r="AM136" i="8" a="1"/>
  <c r="AM136" i="8" s="1"/>
  <c r="AM137" i="8" a="1"/>
  <c r="AM137" i="8" s="1"/>
  <c r="AM138" i="8" a="1"/>
  <c r="AM138" i="8" s="1"/>
  <c r="AM139" i="8" a="1"/>
  <c r="AM139" i="8" s="1"/>
  <c r="AM140" i="8" a="1"/>
  <c r="AM140" i="8" s="1"/>
  <c r="AM141" i="8" a="1"/>
  <c r="AM141" i="8" s="1"/>
  <c r="AM142" i="8" a="1"/>
  <c r="AM142" i="8" s="1"/>
  <c r="AM143" i="8" a="1"/>
  <c r="AM143" i="8" s="1"/>
  <c r="AM144" i="8" a="1"/>
  <c r="AM144" i="8" s="1"/>
  <c r="AM145" i="8" a="1"/>
  <c r="AM145" i="8" s="1"/>
  <c r="AM146" i="8" a="1"/>
  <c r="AM146" i="8" s="1"/>
  <c r="AM147" i="8" a="1"/>
  <c r="AM147" i="8" s="1"/>
  <c r="AM148" i="8" a="1"/>
  <c r="AM148" i="8" s="1"/>
  <c r="AM149" i="8" a="1"/>
  <c r="AM149" i="8" s="1"/>
  <c r="AM150" i="8" a="1"/>
  <c r="AM150" i="8" s="1"/>
  <c r="AM151" i="8" a="1"/>
  <c r="AM151" i="8" s="1"/>
  <c r="AM152" i="8" a="1"/>
  <c r="AM152" i="8" s="1"/>
  <c r="AM153" i="8" a="1"/>
  <c r="AM153" i="8" s="1"/>
  <c r="AM154" i="8" a="1"/>
  <c r="AM154" i="8" s="1"/>
  <c r="AM155" i="8" a="1"/>
  <c r="AM155" i="8" s="1"/>
  <c r="AM156" i="8" a="1"/>
  <c r="AM156" i="8" s="1"/>
  <c r="AM157" i="8" a="1"/>
  <c r="AM157" i="8" s="1"/>
  <c r="AM158" i="8" a="1"/>
  <c r="AM158" i="8" s="1"/>
  <c r="AM159" i="8" a="1"/>
  <c r="AM159" i="8" s="1"/>
  <c r="AM160" i="8" a="1"/>
  <c r="AM160" i="8" s="1"/>
  <c r="AM161" i="8" a="1"/>
  <c r="AM161" i="8" s="1"/>
  <c r="AM162" i="8" a="1"/>
  <c r="AM162" i="8" s="1"/>
  <c r="AM163" i="8" a="1"/>
  <c r="AM163" i="8" s="1"/>
  <c r="AM164" i="8" a="1"/>
  <c r="AM164" i="8" s="1"/>
  <c r="AM165" i="8" a="1"/>
  <c r="AM165" i="8" s="1"/>
  <c r="AM166" i="8" a="1"/>
  <c r="AM166" i="8" s="1"/>
  <c r="AM167" i="8" a="1"/>
  <c r="AM167" i="8" s="1"/>
  <c r="AM168" i="8" a="1"/>
  <c r="AM168" i="8" s="1"/>
  <c r="AM169" i="8" a="1"/>
  <c r="AM169" i="8" s="1"/>
  <c r="AM170" i="8" a="1"/>
  <c r="AM170" i="8" s="1"/>
  <c r="AM171" i="8" a="1"/>
  <c r="AM171" i="8" s="1"/>
  <c r="AM172" i="8" a="1"/>
  <c r="AM172" i="8" s="1"/>
  <c r="AM173" i="8" a="1"/>
  <c r="AM173" i="8" s="1"/>
  <c r="AM174" i="8" a="1"/>
  <c r="AM174" i="8" s="1"/>
  <c r="AM175" i="8" a="1"/>
  <c r="AM175" i="8" s="1"/>
  <c r="AM176" i="8" a="1"/>
  <c r="AM176" i="8" s="1"/>
  <c r="AM177" i="8" a="1"/>
  <c r="AM177" i="8" s="1"/>
  <c r="AM178" i="8" a="1"/>
  <c r="AM178" i="8" s="1"/>
  <c r="AM179" i="8" a="1"/>
  <c r="AM179" i="8" s="1"/>
  <c r="AM180" i="8" a="1"/>
  <c r="AM180" i="8" s="1"/>
  <c r="AM181" i="8" a="1"/>
  <c r="AM181" i="8" s="1"/>
  <c r="AM182" i="8" a="1"/>
  <c r="AM182" i="8" s="1"/>
  <c r="AM183" i="8" a="1"/>
  <c r="AM183" i="8" s="1"/>
  <c r="AM184" i="8" a="1"/>
  <c r="AM184" i="8" s="1"/>
  <c r="AM185" i="8" a="1"/>
  <c r="AM185" i="8" s="1"/>
  <c r="AM186" i="8" a="1"/>
  <c r="AM186" i="8" s="1"/>
  <c r="AM187" i="8" a="1"/>
  <c r="AM187" i="8" s="1"/>
  <c r="AM188" i="8" a="1"/>
  <c r="AM188" i="8" s="1"/>
  <c r="AM189" i="8" a="1"/>
  <c r="AM189" i="8" s="1"/>
  <c r="AM190" i="8" a="1"/>
  <c r="AM190" i="8" s="1"/>
  <c r="AM191" i="8" a="1"/>
  <c r="AM191" i="8" s="1"/>
  <c r="AM192" i="8" a="1"/>
  <c r="AM192" i="8" s="1"/>
  <c r="AM193" i="8" a="1"/>
  <c r="AM193" i="8" s="1"/>
  <c r="AM194" i="8" a="1"/>
  <c r="AM194" i="8" s="1"/>
  <c r="AM195" i="8" a="1"/>
  <c r="AM195" i="8" s="1"/>
  <c r="AM196" i="8" a="1"/>
  <c r="AM196" i="8" s="1"/>
  <c r="AM197" i="8" a="1"/>
  <c r="AM197" i="8" s="1"/>
  <c r="AM198" i="8" a="1"/>
  <c r="AM198" i="8" s="1"/>
  <c r="AM199" i="8" a="1"/>
  <c r="AM199" i="8" s="1"/>
  <c r="AM200" i="8" a="1"/>
  <c r="AM200" i="8" s="1"/>
  <c r="AM201" i="8" a="1"/>
  <c r="AM201" i="8" s="1"/>
  <c r="AM202" i="8" a="1"/>
  <c r="AM202" i="8" s="1"/>
  <c r="AM203" i="8" a="1"/>
  <c r="AM203" i="8" s="1"/>
  <c r="AM204" i="8" a="1"/>
  <c r="AM204" i="8" s="1"/>
  <c r="AM205" i="8" a="1"/>
  <c r="AM205" i="8" s="1"/>
  <c r="AM206" i="8" a="1"/>
  <c r="AM206" i="8" s="1"/>
  <c r="AM207" i="8" a="1"/>
  <c r="AM207" i="8" s="1"/>
  <c r="AM208" i="8" a="1"/>
  <c r="AM208" i="8" s="1"/>
  <c r="AM209" i="8" a="1"/>
  <c r="AM209" i="8" s="1"/>
  <c r="AM210" i="8" a="1"/>
  <c r="AM210" i="8" s="1"/>
  <c r="AM211" i="8" a="1"/>
  <c r="AM211" i="8" s="1"/>
  <c r="AM212" i="8" a="1"/>
  <c r="AM212" i="8" s="1"/>
  <c r="AM213" i="8" a="1"/>
  <c r="AM213" i="8" s="1"/>
  <c r="AM214" i="8" a="1"/>
  <c r="AM214" i="8" s="1"/>
  <c r="AM215" i="8" a="1"/>
  <c r="AM215" i="8" s="1"/>
  <c r="AM216" i="8" a="1"/>
  <c r="AM216" i="8" s="1"/>
  <c r="AM217" i="8" a="1"/>
  <c r="AM217" i="8" s="1"/>
  <c r="AM218" i="8" a="1"/>
  <c r="AM218" i="8" s="1"/>
  <c r="AM219" i="8" a="1"/>
  <c r="AM219" i="8" s="1"/>
  <c r="AM220" i="8" a="1"/>
  <c r="AM220" i="8" s="1"/>
  <c r="AM221" i="8" a="1"/>
  <c r="AM221" i="8" s="1"/>
  <c r="AM222" i="8" a="1"/>
  <c r="AM222" i="8" s="1"/>
  <c r="AM223" i="8" a="1"/>
  <c r="AM223" i="8" s="1"/>
  <c r="AM224" i="8" a="1"/>
  <c r="AM224" i="8" s="1"/>
  <c r="AM225" i="8" a="1"/>
  <c r="AM225" i="8" s="1"/>
  <c r="AM226" i="8" a="1"/>
  <c r="AM226" i="8" s="1"/>
  <c r="AM227" i="8" a="1"/>
  <c r="AM227" i="8" s="1"/>
  <c r="AM228" i="8" a="1"/>
  <c r="AM228" i="8" s="1"/>
  <c r="AM229" i="8" a="1"/>
  <c r="AM229" i="8" s="1"/>
  <c r="AM230" i="8" a="1"/>
  <c r="AM230" i="8" s="1"/>
  <c r="AM231" i="8" a="1"/>
  <c r="AM231" i="8" s="1"/>
  <c r="AM232" i="8" a="1"/>
  <c r="AM232" i="8" s="1"/>
  <c r="AM233" i="8" a="1"/>
  <c r="AM233" i="8" s="1"/>
  <c r="AM234" i="8" a="1"/>
  <c r="AM234" i="8" s="1"/>
  <c r="AM235" i="8" a="1"/>
  <c r="AM235" i="8" s="1"/>
  <c r="AM236" i="8" a="1"/>
  <c r="AM236" i="8" s="1"/>
  <c r="AM237" i="8" a="1"/>
  <c r="AM237" i="8" s="1"/>
  <c r="AM238" i="8" a="1"/>
  <c r="AM238" i="8" s="1"/>
  <c r="AM239" i="8" a="1"/>
  <c r="AM239" i="8" s="1"/>
  <c r="AM240" i="8" a="1"/>
  <c r="AM240" i="8" s="1"/>
  <c r="AM241" i="8" a="1"/>
  <c r="AM241" i="8" s="1"/>
  <c r="AM242" i="8" a="1"/>
  <c r="AM242" i="8" s="1"/>
  <c r="AM243" i="8" a="1"/>
  <c r="AM243" i="8" s="1"/>
  <c r="AM244" i="8" a="1"/>
  <c r="AM244" i="8" s="1"/>
  <c r="AM245" i="8" a="1"/>
  <c r="AM245" i="8" s="1"/>
  <c r="AM246" i="8" a="1"/>
  <c r="AM246" i="8" s="1"/>
  <c r="AM247" i="8" a="1"/>
  <c r="AM247" i="8" s="1"/>
  <c r="AM248" i="8" a="1"/>
  <c r="AM248" i="8" s="1"/>
  <c r="AM249" i="8" a="1"/>
  <c r="AM249" i="8" s="1"/>
  <c r="AM250" i="8" a="1"/>
  <c r="AM250" i="8" s="1"/>
  <c r="AL12" i="8" a="1"/>
  <c r="AL12" i="8" s="1"/>
  <c r="AL13" i="8" a="1"/>
  <c r="AL13" i="8" s="1"/>
  <c r="AL14" i="8" a="1"/>
  <c r="AL14" i="8" s="1"/>
  <c r="AL15" i="8" a="1"/>
  <c r="AL15" i="8" s="1"/>
  <c r="AL16" i="8" a="1"/>
  <c r="AL16" i="8" s="1"/>
  <c r="AL17" i="8" a="1"/>
  <c r="AL17" i="8" s="1"/>
  <c r="AL18" i="8" a="1"/>
  <c r="AL18" i="8" s="1"/>
  <c r="AL19" i="8" a="1"/>
  <c r="AL19" i="8" s="1"/>
  <c r="AL20" i="8" a="1"/>
  <c r="AL20" i="8" s="1"/>
  <c r="AL21" i="8" a="1"/>
  <c r="AL21" i="8" s="1"/>
  <c r="AL22" i="8" a="1"/>
  <c r="AL22" i="8" s="1"/>
  <c r="AL23" i="8" a="1"/>
  <c r="AL23" i="8" s="1"/>
  <c r="AL24" i="8" a="1"/>
  <c r="AL24" i="8" s="1"/>
  <c r="AL25" i="8" a="1"/>
  <c r="AL25" i="8" s="1"/>
  <c r="AL26" i="8" a="1"/>
  <c r="AL26" i="8" s="1"/>
  <c r="AL27" i="8" a="1"/>
  <c r="AL27" i="8" s="1"/>
  <c r="AL28" i="8" a="1"/>
  <c r="AL28" i="8" s="1"/>
  <c r="AL29" i="8" a="1"/>
  <c r="AL29" i="8" s="1"/>
  <c r="AL30" i="8" a="1"/>
  <c r="AL30" i="8" s="1"/>
  <c r="AL31" i="8" a="1"/>
  <c r="AL31" i="8" s="1"/>
  <c r="AL32" i="8" a="1"/>
  <c r="AL32" i="8" s="1"/>
  <c r="AL33" i="8" a="1"/>
  <c r="AL33" i="8" s="1"/>
  <c r="AL34" i="8" a="1"/>
  <c r="AL34" i="8" s="1"/>
  <c r="AL35" i="8" a="1"/>
  <c r="AL35" i="8" s="1"/>
  <c r="AL36" i="8" a="1"/>
  <c r="AL36" i="8" s="1"/>
  <c r="AL37" i="8" a="1"/>
  <c r="AL37" i="8" s="1"/>
  <c r="AL38" i="8" a="1"/>
  <c r="AL38" i="8" s="1"/>
  <c r="AL39" i="8" a="1"/>
  <c r="AL39" i="8" s="1"/>
  <c r="AL40" i="8" a="1"/>
  <c r="AL40" i="8" s="1"/>
  <c r="AL41" i="8" a="1"/>
  <c r="AL41" i="8" s="1"/>
  <c r="AL42" i="8" a="1"/>
  <c r="AL42" i="8" s="1"/>
  <c r="AL43" i="8" a="1"/>
  <c r="AL43" i="8" s="1"/>
  <c r="AL44" i="8" a="1"/>
  <c r="AL44" i="8" s="1"/>
  <c r="AL45" i="8" a="1"/>
  <c r="AL45" i="8" s="1"/>
  <c r="AL46" i="8" a="1"/>
  <c r="AL46" i="8" s="1"/>
  <c r="AL47" i="8" a="1"/>
  <c r="AL47" i="8" s="1"/>
  <c r="AL48" i="8" a="1"/>
  <c r="AL48" i="8" s="1"/>
  <c r="AL49" i="8" a="1"/>
  <c r="AL49" i="8" s="1"/>
  <c r="AL50" i="8" a="1"/>
  <c r="AL50" i="8" s="1"/>
  <c r="AL51" i="8" a="1"/>
  <c r="AL51" i="8" s="1"/>
  <c r="AL52" i="8" a="1"/>
  <c r="AL52" i="8" s="1"/>
  <c r="AL53" i="8" a="1"/>
  <c r="AL53" i="8" s="1"/>
  <c r="AL54" i="8" a="1"/>
  <c r="AL54" i="8" s="1"/>
  <c r="AL55" i="8" a="1"/>
  <c r="AL55" i="8" s="1"/>
  <c r="AL56" i="8" a="1"/>
  <c r="AL56" i="8" s="1"/>
  <c r="AL57" i="8" a="1"/>
  <c r="AL57" i="8" s="1"/>
  <c r="AL58" i="8" a="1"/>
  <c r="AL58" i="8" s="1"/>
  <c r="AL59" i="8" a="1"/>
  <c r="AL59" i="8" s="1"/>
  <c r="AL60" i="8" a="1"/>
  <c r="AL60" i="8" s="1"/>
  <c r="AL61" i="8" a="1"/>
  <c r="AL61" i="8" s="1"/>
  <c r="AL62" i="8" a="1"/>
  <c r="AL62" i="8" s="1"/>
  <c r="AL63" i="8" a="1"/>
  <c r="AL63" i="8" s="1"/>
  <c r="AL64" i="8" a="1"/>
  <c r="AL64" i="8" s="1"/>
  <c r="AL65" i="8" a="1"/>
  <c r="AL65" i="8" s="1"/>
  <c r="AL66" i="8" a="1"/>
  <c r="AL66" i="8" s="1"/>
  <c r="AL67" i="8" a="1"/>
  <c r="AL67" i="8" s="1"/>
  <c r="AL68" i="8" a="1"/>
  <c r="AL68" i="8" s="1"/>
  <c r="AL69" i="8" a="1"/>
  <c r="AL69" i="8" s="1"/>
  <c r="AL70" i="8" a="1"/>
  <c r="AL70" i="8" s="1"/>
  <c r="AL71" i="8" a="1"/>
  <c r="AL71" i="8" s="1"/>
  <c r="AL72" i="8" a="1"/>
  <c r="AL72" i="8" s="1"/>
  <c r="AL73" i="8" a="1"/>
  <c r="AL73" i="8" s="1"/>
  <c r="AL74" i="8" a="1"/>
  <c r="AL74" i="8" s="1"/>
  <c r="AL75" i="8" a="1"/>
  <c r="AL75" i="8" s="1"/>
  <c r="AL76" i="8" a="1"/>
  <c r="AL76" i="8" s="1"/>
  <c r="AL77" i="8" a="1"/>
  <c r="AL77" i="8" s="1"/>
  <c r="AL78" i="8" a="1"/>
  <c r="AL78" i="8" s="1"/>
  <c r="AL79" i="8" a="1"/>
  <c r="AL79" i="8" s="1"/>
  <c r="AL80" i="8" a="1"/>
  <c r="AL80" i="8" s="1"/>
  <c r="AL81" i="8" a="1"/>
  <c r="AL81" i="8" s="1"/>
  <c r="AL82" i="8" a="1"/>
  <c r="AL82" i="8" s="1"/>
  <c r="AL83" i="8" a="1"/>
  <c r="AL83" i="8" s="1"/>
  <c r="AL84" i="8" a="1"/>
  <c r="AL84" i="8" s="1"/>
  <c r="AL85" i="8" a="1"/>
  <c r="AL85" i="8" s="1"/>
  <c r="AL86" i="8" a="1"/>
  <c r="AL86" i="8" s="1"/>
  <c r="AL87" i="8" a="1"/>
  <c r="AL87" i="8" s="1"/>
  <c r="AL88" i="8" a="1"/>
  <c r="AL88" i="8" s="1"/>
  <c r="AL89" i="8" a="1"/>
  <c r="AL89" i="8" s="1"/>
  <c r="AL90" i="8" a="1"/>
  <c r="AL90" i="8" s="1"/>
  <c r="AL91" i="8" a="1"/>
  <c r="AL91" i="8" s="1"/>
  <c r="AL92" i="8" a="1"/>
  <c r="AL92" i="8" s="1"/>
  <c r="AL93" i="8" a="1"/>
  <c r="AL93" i="8" s="1"/>
  <c r="AL94" i="8" a="1"/>
  <c r="AL94" i="8" s="1"/>
  <c r="AL95" i="8" a="1"/>
  <c r="AL95" i="8" s="1"/>
  <c r="AL96" i="8" a="1"/>
  <c r="AL96" i="8" s="1"/>
  <c r="AL97" i="8" a="1"/>
  <c r="AL97" i="8" s="1"/>
  <c r="AL98" i="8" a="1"/>
  <c r="AL98" i="8" s="1"/>
  <c r="AL99" i="8" a="1"/>
  <c r="AL99" i="8" s="1"/>
  <c r="AL100" i="8" a="1"/>
  <c r="AL100" i="8" s="1"/>
  <c r="AL101" i="8" a="1"/>
  <c r="AL101" i="8" s="1"/>
  <c r="AL102" i="8" a="1"/>
  <c r="AL102" i="8" s="1"/>
  <c r="AL103" i="8" a="1"/>
  <c r="AL103" i="8" s="1"/>
  <c r="AL104" i="8" a="1"/>
  <c r="AL104" i="8" s="1"/>
  <c r="AL105" i="8" a="1"/>
  <c r="AL105" i="8" s="1"/>
  <c r="AL106" i="8" a="1"/>
  <c r="AL106" i="8" s="1"/>
  <c r="AL107" i="8" a="1"/>
  <c r="AL107" i="8" s="1"/>
  <c r="AL108" i="8" a="1"/>
  <c r="AL108" i="8" s="1"/>
  <c r="AL109" i="8" a="1"/>
  <c r="AL109" i="8" s="1"/>
  <c r="AL110" i="8" a="1"/>
  <c r="AL110" i="8" s="1"/>
  <c r="AL111" i="8" a="1"/>
  <c r="AL111" i="8" s="1"/>
  <c r="AL112" i="8" a="1"/>
  <c r="AL112" i="8" s="1"/>
  <c r="AL113" i="8" a="1"/>
  <c r="AL113" i="8" s="1"/>
  <c r="AL114" i="8" a="1"/>
  <c r="AL114" i="8" s="1"/>
  <c r="AL115" i="8" a="1"/>
  <c r="AL115" i="8" s="1"/>
  <c r="AL116" i="8" a="1"/>
  <c r="AL116" i="8" s="1"/>
  <c r="AL117" i="8" a="1"/>
  <c r="AL117" i="8" s="1"/>
  <c r="AL118" i="8" a="1"/>
  <c r="AL118" i="8" s="1"/>
  <c r="AL119" i="8" a="1"/>
  <c r="AL119" i="8" s="1"/>
  <c r="AL120" i="8" a="1"/>
  <c r="AL120" i="8" s="1"/>
  <c r="AL121" i="8" a="1"/>
  <c r="AL121" i="8" s="1"/>
  <c r="AL122" i="8" a="1"/>
  <c r="AL122" i="8" s="1"/>
  <c r="AL123" i="8" a="1"/>
  <c r="AL123" i="8" s="1"/>
  <c r="AL124" i="8" a="1"/>
  <c r="AL124" i="8" s="1"/>
  <c r="AL125" i="8" a="1"/>
  <c r="AL125" i="8" s="1"/>
  <c r="AL126" i="8" a="1"/>
  <c r="AL126" i="8" s="1"/>
  <c r="AL127" i="8" a="1"/>
  <c r="AL127" i="8" s="1"/>
  <c r="AL128" i="8" a="1"/>
  <c r="AL128" i="8" s="1"/>
  <c r="AL129" i="8" a="1"/>
  <c r="AL129" i="8" s="1"/>
  <c r="AL130" i="8" a="1"/>
  <c r="AL130" i="8" s="1"/>
  <c r="AL131" i="8" a="1"/>
  <c r="AL131" i="8" s="1"/>
  <c r="AL132" i="8" a="1"/>
  <c r="AL132" i="8" s="1"/>
  <c r="AL133" i="8" a="1"/>
  <c r="AL133" i="8" s="1"/>
  <c r="AL134" i="8" a="1"/>
  <c r="AL134" i="8" s="1"/>
  <c r="AL135" i="8" a="1"/>
  <c r="AL135" i="8" s="1"/>
  <c r="AL136" i="8" a="1"/>
  <c r="AL136" i="8" s="1"/>
  <c r="AL137" i="8" a="1"/>
  <c r="AL137" i="8" s="1"/>
  <c r="AL138" i="8" a="1"/>
  <c r="AL138" i="8" s="1"/>
  <c r="AL139" i="8" a="1"/>
  <c r="AL139" i="8" s="1"/>
  <c r="AL140" i="8" a="1"/>
  <c r="AL140" i="8" s="1"/>
  <c r="AL141" i="8" a="1"/>
  <c r="AL141" i="8" s="1"/>
  <c r="AL142" i="8" a="1"/>
  <c r="AL142" i="8" s="1"/>
  <c r="AL143" i="8" a="1"/>
  <c r="AL143" i="8" s="1"/>
  <c r="AL144" i="8" a="1"/>
  <c r="AL144" i="8" s="1"/>
  <c r="AL145" i="8" a="1"/>
  <c r="AL145" i="8" s="1"/>
  <c r="AL146" i="8" a="1"/>
  <c r="AL146" i="8" s="1"/>
  <c r="AL147" i="8" a="1"/>
  <c r="AL147" i="8" s="1"/>
  <c r="AL148" i="8" a="1"/>
  <c r="AL148" i="8" s="1"/>
  <c r="AL149" i="8" a="1"/>
  <c r="AL149" i="8" s="1"/>
  <c r="AL150" i="8" a="1"/>
  <c r="AL150" i="8" s="1"/>
  <c r="AL151" i="8" a="1"/>
  <c r="AL151" i="8" s="1"/>
  <c r="AL152" i="8" a="1"/>
  <c r="AL152" i="8" s="1"/>
  <c r="AL153" i="8" a="1"/>
  <c r="AL153" i="8" s="1"/>
  <c r="AL154" i="8" a="1"/>
  <c r="AL154" i="8" s="1"/>
  <c r="AL155" i="8" a="1"/>
  <c r="AL155" i="8" s="1"/>
  <c r="AL156" i="8" a="1"/>
  <c r="AL156" i="8" s="1"/>
  <c r="AL157" i="8" a="1"/>
  <c r="AL157" i="8" s="1"/>
  <c r="AL158" i="8" a="1"/>
  <c r="AL158" i="8" s="1"/>
  <c r="AL159" i="8" a="1"/>
  <c r="AL159" i="8" s="1"/>
  <c r="AL160" i="8" a="1"/>
  <c r="AL160" i="8" s="1"/>
  <c r="AL161" i="8" a="1"/>
  <c r="AL161" i="8" s="1"/>
  <c r="AL162" i="8" a="1"/>
  <c r="AL162" i="8" s="1"/>
  <c r="AL163" i="8" a="1"/>
  <c r="AL163" i="8" s="1"/>
  <c r="AL164" i="8" a="1"/>
  <c r="AL164" i="8" s="1"/>
  <c r="AL165" i="8" a="1"/>
  <c r="AL165" i="8" s="1"/>
  <c r="AL166" i="8" a="1"/>
  <c r="AL166" i="8" s="1"/>
  <c r="AL167" i="8" a="1"/>
  <c r="AL167" i="8" s="1"/>
  <c r="AL168" i="8" a="1"/>
  <c r="AL168" i="8" s="1"/>
  <c r="AL169" i="8" a="1"/>
  <c r="AL169" i="8" s="1"/>
  <c r="AL170" i="8" a="1"/>
  <c r="AL170" i="8" s="1"/>
  <c r="AL171" i="8" a="1"/>
  <c r="AL171" i="8" s="1"/>
  <c r="AL172" i="8" a="1"/>
  <c r="AL172" i="8" s="1"/>
  <c r="AL173" i="8" a="1"/>
  <c r="AL173" i="8" s="1"/>
  <c r="AL174" i="8" a="1"/>
  <c r="AL174" i="8" s="1"/>
  <c r="AL175" i="8" a="1"/>
  <c r="AL175" i="8" s="1"/>
  <c r="AL176" i="8" a="1"/>
  <c r="AL176" i="8" s="1"/>
  <c r="AL177" i="8" a="1"/>
  <c r="AL177" i="8" s="1"/>
  <c r="AL178" i="8" a="1"/>
  <c r="AL178" i="8" s="1"/>
  <c r="AL179" i="8" a="1"/>
  <c r="AL179" i="8" s="1"/>
  <c r="AL180" i="8" a="1"/>
  <c r="AL180" i="8" s="1"/>
  <c r="AL181" i="8" a="1"/>
  <c r="AL181" i="8" s="1"/>
  <c r="AL182" i="8" a="1"/>
  <c r="AL182" i="8" s="1"/>
  <c r="AL183" i="8" a="1"/>
  <c r="AL183" i="8" s="1"/>
  <c r="AL184" i="8" a="1"/>
  <c r="AL184" i="8" s="1"/>
  <c r="AL185" i="8" a="1"/>
  <c r="AL185" i="8" s="1"/>
  <c r="AL186" i="8" a="1"/>
  <c r="AL186" i="8" s="1"/>
  <c r="AL187" i="8" a="1"/>
  <c r="AL187" i="8" s="1"/>
  <c r="AL188" i="8" a="1"/>
  <c r="AL188" i="8" s="1"/>
  <c r="AL189" i="8" a="1"/>
  <c r="AL189" i="8" s="1"/>
  <c r="AL190" i="8" a="1"/>
  <c r="AL190" i="8" s="1"/>
  <c r="AL191" i="8" a="1"/>
  <c r="AL191" i="8" s="1"/>
  <c r="AL192" i="8" a="1"/>
  <c r="AL192" i="8" s="1"/>
  <c r="AL193" i="8" a="1"/>
  <c r="AL193" i="8" s="1"/>
  <c r="AL194" i="8" a="1"/>
  <c r="AL194" i="8" s="1"/>
  <c r="AL195" i="8" a="1"/>
  <c r="AL195" i="8" s="1"/>
  <c r="AL196" i="8" a="1"/>
  <c r="AL196" i="8" s="1"/>
  <c r="AL197" i="8" a="1"/>
  <c r="AL197" i="8" s="1"/>
  <c r="AL198" i="8" a="1"/>
  <c r="AL198" i="8" s="1"/>
  <c r="AL199" i="8" a="1"/>
  <c r="AL199" i="8" s="1"/>
  <c r="AL200" i="8" a="1"/>
  <c r="AL200" i="8" s="1"/>
  <c r="AL201" i="8" a="1"/>
  <c r="AL201" i="8" s="1"/>
  <c r="AL202" i="8" a="1"/>
  <c r="AL202" i="8" s="1"/>
  <c r="AL203" i="8" a="1"/>
  <c r="AL203" i="8" s="1"/>
  <c r="AL204" i="8" a="1"/>
  <c r="AL204" i="8" s="1"/>
  <c r="AL205" i="8" a="1"/>
  <c r="AL205" i="8" s="1"/>
  <c r="AL206" i="8" a="1"/>
  <c r="AL206" i="8" s="1"/>
  <c r="AL207" i="8" a="1"/>
  <c r="AL207" i="8" s="1"/>
  <c r="AL208" i="8" a="1"/>
  <c r="AL208" i="8" s="1"/>
  <c r="AL209" i="8" a="1"/>
  <c r="AL209" i="8" s="1"/>
  <c r="AL210" i="8" a="1"/>
  <c r="AL210" i="8" s="1"/>
  <c r="AL211" i="8" a="1"/>
  <c r="AL211" i="8" s="1"/>
  <c r="AL212" i="8" a="1"/>
  <c r="AL212" i="8" s="1"/>
  <c r="AL213" i="8" a="1"/>
  <c r="AL213" i="8" s="1"/>
  <c r="AL214" i="8" a="1"/>
  <c r="AL214" i="8" s="1"/>
  <c r="AL215" i="8" a="1"/>
  <c r="AL215" i="8" s="1"/>
  <c r="AL216" i="8" a="1"/>
  <c r="AL216" i="8" s="1"/>
  <c r="AL217" i="8" a="1"/>
  <c r="AL217" i="8" s="1"/>
  <c r="AL218" i="8" a="1"/>
  <c r="AL218" i="8" s="1"/>
  <c r="AL219" i="8" a="1"/>
  <c r="AL219" i="8" s="1"/>
  <c r="AL220" i="8" a="1"/>
  <c r="AL220" i="8" s="1"/>
  <c r="AL221" i="8" a="1"/>
  <c r="AL221" i="8" s="1"/>
  <c r="AL222" i="8" a="1"/>
  <c r="AL222" i="8" s="1"/>
  <c r="AL223" i="8" a="1"/>
  <c r="AL223" i="8" s="1"/>
  <c r="AL224" i="8" a="1"/>
  <c r="AL224" i="8" s="1"/>
  <c r="AL225" i="8" a="1"/>
  <c r="AL225" i="8" s="1"/>
  <c r="AL226" i="8" a="1"/>
  <c r="AL226" i="8" s="1"/>
  <c r="AL227" i="8" a="1"/>
  <c r="AL227" i="8" s="1"/>
  <c r="AL228" i="8" a="1"/>
  <c r="AL228" i="8" s="1"/>
  <c r="AL229" i="8" a="1"/>
  <c r="AL229" i="8" s="1"/>
  <c r="AL230" i="8" a="1"/>
  <c r="AL230" i="8" s="1"/>
  <c r="AL231" i="8" a="1"/>
  <c r="AL231" i="8" s="1"/>
  <c r="AL232" i="8" a="1"/>
  <c r="AL232" i="8" s="1"/>
  <c r="AL233" i="8" a="1"/>
  <c r="AL233" i="8" s="1"/>
  <c r="AL234" i="8" a="1"/>
  <c r="AL234" i="8" s="1"/>
  <c r="AL235" i="8" a="1"/>
  <c r="AL235" i="8" s="1"/>
  <c r="AL236" i="8" a="1"/>
  <c r="AL236" i="8" s="1"/>
  <c r="AL237" i="8" a="1"/>
  <c r="AL237" i="8" s="1"/>
  <c r="AL238" i="8" a="1"/>
  <c r="AL238" i="8" s="1"/>
  <c r="AL239" i="8" a="1"/>
  <c r="AL239" i="8" s="1"/>
  <c r="AL240" i="8" a="1"/>
  <c r="AL240" i="8" s="1"/>
  <c r="AL241" i="8" a="1"/>
  <c r="AL241" i="8" s="1"/>
  <c r="AL242" i="8" a="1"/>
  <c r="AL242" i="8" s="1"/>
  <c r="AL243" i="8" a="1"/>
  <c r="AL243" i="8" s="1"/>
  <c r="AL244" i="8" a="1"/>
  <c r="AL244" i="8" s="1"/>
  <c r="AL245" i="8" a="1"/>
  <c r="AL245" i="8" s="1"/>
  <c r="AL246" i="8" a="1"/>
  <c r="AL246" i="8" s="1"/>
  <c r="AL247" i="8" a="1"/>
  <c r="AL247" i="8" s="1"/>
  <c r="AL248" i="8" a="1"/>
  <c r="AL248" i="8" s="1"/>
  <c r="AL249" i="8" a="1"/>
  <c r="AL249" i="8" s="1"/>
  <c r="AL250" i="8" a="1"/>
  <c r="AL250" i="8" s="1"/>
  <c r="AK12" i="8" a="1"/>
  <c r="AK12" i="8" s="1"/>
  <c r="AK13" i="8" a="1"/>
  <c r="AK13" i="8" s="1"/>
  <c r="AK14" i="8" a="1"/>
  <c r="AK14" i="8" s="1"/>
  <c r="AK15" i="8" a="1"/>
  <c r="AK15" i="8" s="1"/>
  <c r="AK16" i="8" a="1"/>
  <c r="AK16" i="8" s="1"/>
  <c r="AK17" i="8" a="1"/>
  <c r="AK17" i="8" s="1"/>
  <c r="AK18" i="8" a="1"/>
  <c r="AK18" i="8" s="1"/>
  <c r="AK19" i="8" a="1"/>
  <c r="AK19" i="8" s="1"/>
  <c r="AK20" i="8" a="1"/>
  <c r="AK20" i="8" s="1"/>
  <c r="AK21" i="8" a="1"/>
  <c r="AK21" i="8" s="1"/>
  <c r="AK22" i="8" a="1"/>
  <c r="AK22" i="8" s="1"/>
  <c r="AK23" i="8" a="1"/>
  <c r="AK23" i="8" s="1"/>
  <c r="AK24" i="8" a="1"/>
  <c r="AK24" i="8" s="1"/>
  <c r="AK25" i="8" a="1"/>
  <c r="AK25" i="8" s="1"/>
  <c r="AK26" i="8" a="1"/>
  <c r="AK26" i="8" s="1"/>
  <c r="AK27" i="8" a="1"/>
  <c r="AK27" i="8" s="1"/>
  <c r="AK28" i="8" a="1"/>
  <c r="AK28" i="8" s="1"/>
  <c r="AK29" i="8" a="1"/>
  <c r="AK29" i="8" s="1"/>
  <c r="AK30" i="8" a="1"/>
  <c r="AK30" i="8" s="1"/>
  <c r="AK31" i="8" a="1"/>
  <c r="AK31" i="8" s="1"/>
  <c r="AK32" i="8" a="1"/>
  <c r="AK32" i="8" s="1"/>
  <c r="AK33" i="8" a="1"/>
  <c r="AK33" i="8" s="1"/>
  <c r="AK34" i="8" a="1"/>
  <c r="AK34" i="8" s="1"/>
  <c r="AK35" i="8" a="1"/>
  <c r="AK35" i="8" s="1"/>
  <c r="AK36" i="8" a="1"/>
  <c r="AK36" i="8" s="1"/>
  <c r="AK37" i="8" a="1"/>
  <c r="AK37" i="8" s="1"/>
  <c r="AK38" i="8" a="1"/>
  <c r="AK38" i="8" s="1"/>
  <c r="AK39" i="8" a="1"/>
  <c r="AK39" i="8" s="1"/>
  <c r="AK40" i="8" a="1"/>
  <c r="AK40" i="8" s="1"/>
  <c r="AK41" i="8" a="1"/>
  <c r="AK41" i="8" s="1"/>
  <c r="AK42" i="8" a="1"/>
  <c r="AK42" i="8" s="1"/>
  <c r="AK43" i="8" a="1"/>
  <c r="AK43" i="8" s="1"/>
  <c r="AK44" i="8" a="1"/>
  <c r="AK44" i="8" s="1"/>
  <c r="AK45" i="8" a="1"/>
  <c r="AK45" i="8" s="1"/>
  <c r="AK46" i="8" a="1"/>
  <c r="AK46" i="8" s="1"/>
  <c r="AK47" i="8" a="1"/>
  <c r="AK47" i="8" s="1"/>
  <c r="AK48" i="8" a="1"/>
  <c r="AK48" i="8" s="1"/>
  <c r="AK49" i="8" a="1"/>
  <c r="AK49" i="8" s="1"/>
  <c r="AK50" i="8" a="1"/>
  <c r="AK50" i="8" s="1"/>
  <c r="AK51" i="8" a="1"/>
  <c r="AK51" i="8" s="1"/>
  <c r="AK52" i="8" a="1"/>
  <c r="AK52" i="8" s="1"/>
  <c r="AK53" i="8" a="1"/>
  <c r="AK53" i="8" s="1"/>
  <c r="AK54" i="8" a="1"/>
  <c r="AK54" i="8" s="1"/>
  <c r="AK55" i="8" a="1"/>
  <c r="AK55" i="8" s="1"/>
  <c r="AK56" i="8" a="1"/>
  <c r="AK56" i="8" s="1"/>
  <c r="AK57" i="8" a="1"/>
  <c r="AK57" i="8" s="1"/>
  <c r="AK58" i="8" a="1"/>
  <c r="AK58" i="8" s="1"/>
  <c r="AK59" i="8" a="1"/>
  <c r="AK59" i="8" s="1"/>
  <c r="AK60" i="8" a="1"/>
  <c r="AK60" i="8" s="1"/>
  <c r="AK61" i="8" a="1"/>
  <c r="AK61" i="8" s="1"/>
  <c r="AK62" i="8" a="1"/>
  <c r="AK62" i="8" s="1"/>
  <c r="AK63" i="8" a="1"/>
  <c r="AK63" i="8" s="1"/>
  <c r="AK64" i="8" a="1"/>
  <c r="AK64" i="8" s="1"/>
  <c r="AK65" i="8" a="1"/>
  <c r="AK65" i="8" s="1"/>
  <c r="AK66" i="8" a="1"/>
  <c r="AK66" i="8" s="1"/>
  <c r="AK67" i="8" a="1"/>
  <c r="AK67" i="8" s="1"/>
  <c r="AK68" i="8" a="1"/>
  <c r="AK68" i="8" s="1"/>
  <c r="AK69" i="8" a="1"/>
  <c r="AK69" i="8" s="1"/>
  <c r="AK70" i="8" a="1"/>
  <c r="AK70" i="8" s="1"/>
  <c r="AK71" i="8" a="1"/>
  <c r="AK71" i="8" s="1"/>
  <c r="AK72" i="8" a="1"/>
  <c r="AK72" i="8" s="1"/>
  <c r="AK73" i="8" a="1"/>
  <c r="AK73" i="8" s="1"/>
  <c r="AK74" i="8" a="1"/>
  <c r="AK74" i="8" s="1"/>
  <c r="AK75" i="8" a="1"/>
  <c r="AK75" i="8" s="1"/>
  <c r="AK76" i="8" a="1"/>
  <c r="AK76" i="8" s="1"/>
  <c r="AK77" i="8" a="1"/>
  <c r="AK77" i="8" s="1"/>
  <c r="AK78" i="8" a="1"/>
  <c r="AK78" i="8" s="1"/>
  <c r="AK79" i="8" a="1"/>
  <c r="AK79" i="8" s="1"/>
  <c r="AK80" i="8" a="1"/>
  <c r="AK80" i="8" s="1"/>
  <c r="AK81" i="8" a="1"/>
  <c r="AK81" i="8" s="1"/>
  <c r="AK82" i="8" a="1"/>
  <c r="AK82" i="8" s="1"/>
  <c r="AK83" i="8" a="1"/>
  <c r="AK83" i="8" s="1"/>
  <c r="AK84" i="8" a="1"/>
  <c r="AK84" i="8" s="1"/>
  <c r="AK85" i="8" a="1"/>
  <c r="AK85" i="8" s="1"/>
  <c r="AK86" i="8" a="1"/>
  <c r="AK86" i="8" s="1"/>
  <c r="AK87" i="8" a="1"/>
  <c r="AK87" i="8" s="1"/>
  <c r="AK88" i="8" a="1"/>
  <c r="AK88" i="8" s="1"/>
  <c r="AK89" i="8" a="1"/>
  <c r="AK89" i="8" s="1"/>
  <c r="AK90" i="8" a="1"/>
  <c r="AK90" i="8" s="1"/>
  <c r="AK91" i="8" a="1"/>
  <c r="AK91" i="8" s="1"/>
  <c r="AK92" i="8" a="1"/>
  <c r="AK92" i="8" s="1"/>
  <c r="AK93" i="8" a="1"/>
  <c r="AK93" i="8" s="1"/>
  <c r="AK94" i="8" a="1"/>
  <c r="AK94" i="8" s="1"/>
  <c r="AK95" i="8" a="1"/>
  <c r="AK95" i="8" s="1"/>
  <c r="AK96" i="8" a="1"/>
  <c r="AK96" i="8" s="1"/>
  <c r="AK97" i="8" a="1"/>
  <c r="AK97" i="8" s="1"/>
  <c r="AK98" i="8" a="1"/>
  <c r="AK98" i="8" s="1"/>
  <c r="AK99" i="8" a="1"/>
  <c r="AK99" i="8" s="1"/>
  <c r="AK100" i="8" a="1"/>
  <c r="AK100" i="8" s="1"/>
  <c r="AK101" i="8" a="1"/>
  <c r="AK101" i="8" s="1"/>
  <c r="AK102" i="8" a="1"/>
  <c r="AK102" i="8" s="1"/>
  <c r="AK103" i="8" a="1"/>
  <c r="AK103" i="8" s="1"/>
  <c r="AK104" i="8" a="1"/>
  <c r="AK104" i="8" s="1"/>
  <c r="AK105" i="8" a="1"/>
  <c r="AK105" i="8" s="1"/>
  <c r="AK106" i="8" a="1"/>
  <c r="AK106" i="8" s="1"/>
  <c r="AK107" i="8" a="1"/>
  <c r="AK107" i="8" s="1"/>
  <c r="AK108" i="8" a="1"/>
  <c r="AK108" i="8" s="1"/>
  <c r="AK109" i="8" a="1"/>
  <c r="AK109" i="8" s="1"/>
  <c r="AK110" i="8" a="1"/>
  <c r="AK110" i="8" s="1"/>
  <c r="AK111" i="8" a="1"/>
  <c r="AK111" i="8" s="1"/>
  <c r="AK112" i="8" a="1"/>
  <c r="AK112" i="8" s="1"/>
  <c r="AK113" i="8" a="1"/>
  <c r="AK113" i="8" s="1"/>
  <c r="AK114" i="8" a="1"/>
  <c r="AK114" i="8" s="1"/>
  <c r="AK115" i="8" a="1"/>
  <c r="AK115" i="8" s="1"/>
  <c r="AK116" i="8" a="1"/>
  <c r="AK116" i="8" s="1"/>
  <c r="AK117" i="8" a="1"/>
  <c r="AK117" i="8" s="1"/>
  <c r="AK118" i="8" a="1"/>
  <c r="AK118" i="8" s="1"/>
  <c r="AK119" i="8" a="1"/>
  <c r="AK119" i="8" s="1"/>
  <c r="AK120" i="8" a="1"/>
  <c r="AK120" i="8" s="1"/>
  <c r="AK121" i="8" a="1"/>
  <c r="AK121" i="8" s="1"/>
  <c r="AK122" i="8" a="1"/>
  <c r="AK122" i="8" s="1"/>
  <c r="AK123" i="8" a="1"/>
  <c r="AK123" i="8" s="1"/>
  <c r="AK124" i="8" a="1"/>
  <c r="AK124" i="8" s="1"/>
  <c r="AK125" i="8" a="1"/>
  <c r="AK125" i="8" s="1"/>
  <c r="AK126" i="8" a="1"/>
  <c r="AK126" i="8" s="1"/>
  <c r="AK127" i="8" a="1"/>
  <c r="AK127" i="8" s="1"/>
  <c r="AK128" i="8" a="1"/>
  <c r="AK128" i="8" s="1"/>
  <c r="AK129" i="8" a="1"/>
  <c r="AK129" i="8" s="1"/>
  <c r="AK130" i="8" a="1"/>
  <c r="AK130" i="8" s="1"/>
  <c r="AK131" i="8" a="1"/>
  <c r="AK131" i="8" s="1"/>
  <c r="AK132" i="8" a="1"/>
  <c r="AK132" i="8" s="1"/>
  <c r="AK133" i="8" a="1"/>
  <c r="AK133" i="8" s="1"/>
  <c r="AK134" i="8" a="1"/>
  <c r="AK134" i="8" s="1"/>
  <c r="AK135" i="8" a="1"/>
  <c r="AK135" i="8" s="1"/>
  <c r="AK136" i="8" a="1"/>
  <c r="AK136" i="8" s="1"/>
  <c r="AK137" i="8" a="1"/>
  <c r="AK137" i="8" s="1"/>
  <c r="AK138" i="8" a="1"/>
  <c r="AK138" i="8" s="1"/>
  <c r="AK139" i="8" a="1"/>
  <c r="AK139" i="8" s="1"/>
  <c r="AK140" i="8" a="1"/>
  <c r="AK140" i="8" s="1"/>
  <c r="AK141" i="8" a="1"/>
  <c r="AK141" i="8" s="1"/>
  <c r="AK142" i="8" a="1"/>
  <c r="AK142" i="8" s="1"/>
  <c r="AK143" i="8" a="1"/>
  <c r="AK143" i="8" s="1"/>
  <c r="AK144" i="8" a="1"/>
  <c r="AK144" i="8" s="1"/>
  <c r="AK145" i="8" a="1"/>
  <c r="AK145" i="8" s="1"/>
  <c r="AK146" i="8" a="1"/>
  <c r="AK146" i="8" s="1"/>
  <c r="AK147" i="8" a="1"/>
  <c r="AK147" i="8" s="1"/>
  <c r="AK148" i="8" a="1"/>
  <c r="AK148" i="8" s="1"/>
  <c r="AK149" i="8" a="1"/>
  <c r="AK149" i="8" s="1"/>
  <c r="AK150" i="8" a="1"/>
  <c r="AK150" i="8" s="1"/>
  <c r="AK151" i="8" a="1"/>
  <c r="AK151" i="8" s="1"/>
  <c r="AK152" i="8" a="1"/>
  <c r="AK152" i="8" s="1"/>
  <c r="AK153" i="8" a="1"/>
  <c r="AK153" i="8" s="1"/>
  <c r="AK154" i="8" a="1"/>
  <c r="AK154" i="8" s="1"/>
  <c r="AK155" i="8" a="1"/>
  <c r="AK155" i="8" s="1"/>
  <c r="AK156" i="8" a="1"/>
  <c r="AK156" i="8" s="1"/>
  <c r="AK157" i="8" a="1"/>
  <c r="AK157" i="8" s="1"/>
  <c r="AK158" i="8" a="1"/>
  <c r="AK158" i="8" s="1"/>
  <c r="AK159" i="8" a="1"/>
  <c r="AK159" i="8" s="1"/>
  <c r="AK160" i="8" a="1"/>
  <c r="AK160" i="8" s="1"/>
  <c r="AK161" i="8" a="1"/>
  <c r="AK161" i="8" s="1"/>
  <c r="AK162" i="8" a="1"/>
  <c r="AK162" i="8" s="1"/>
  <c r="AK163" i="8" a="1"/>
  <c r="AK163" i="8" s="1"/>
  <c r="AK164" i="8" a="1"/>
  <c r="AK164" i="8" s="1"/>
  <c r="AK165" i="8" a="1"/>
  <c r="AK165" i="8" s="1"/>
  <c r="AK166" i="8" a="1"/>
  <c r="AK166" i="8" s="1"/>
  <c r="AK167" i="8" a="1"/>
  <c r="AK167" i="8" s="1"/>
  <c r="AK168" i="8" a="1"/>
  <c r="AK168" i="8" s="1"/>
  <c r="AK169" i="8" a="1"/>
  <c r="AK169" i="8" s="1"/>
  <c r="AK170" i="8" a="1"/>
  <c r="AK170" i="8" s="1"/>
  <c r="AK171" i="8" a="1"/>
  <c r="AK171" i="8" s="1"/>
  <c r="AK172" i="8" a="1"/>
  <c r="AK172" i="8" s="1"/>
  <c r="AK173" i="8" a="1"/>
  <c r="AK173" i="8" s="1"/>
  <c r="AK174" i="8" a="1"/>
  <c r="AK174" i="8" s="1"/>
  <c r="AK175" i="8" a="1"/>
  <c r="AK175" i="8" s="1"/>
  <c r="AK176" i="8" a="1"/>
  <c r="AK176" i="8" s="1"/>
  <c r="AK177" i="8" a="1"/>
  <c r="AK177" i="8" s="1"/>
  <c r="AK178" i="8" a="1"/>
  <c r="AK178" i="8" s="1"/>
  <c r="AK179" i="8" a="1"/>
  <c r="AK179" i="8" s="1"/>
  <c r="AK180" i="8" a="1"/>
  <c r="AK180" i="8" s="1"/>
  <c r="AK181" i="8" a="1"/>
  <c r="AK181" i="8" s="1"/>
  <c r="AK182" i="8" a="1"/>
  <c r="AK182" i="8" s="1"/>
  <c r="AK183" i="8" a="1"/>
  <c r="AK183" i="8" s="1"/>
  <c r="AK184" i="8" a="1"/>
  <c r="AK184" i="8" s="1"/>
  <c r="AK185" i="8" a="1"/>
  <c r="AK185" i="8" s="1"/>
  <c r="AK186" i="8" a="1"/>
  <c r="AK186" i="8" s="1"/>
  <c r="AK187" i="8" a="1"/>
  <c r="AK187" i="8" s="1"/>
  <c r="AK188" i="8" a="1"/>
  <c r="AK188" i="8" s="1"/>
  <c r="AK189" i="8" a="1"/>
  <c r="AK189" i="8" s="1"/>
  <c r="AK190" i="8" a="1"/>
  <c r="AK190" i="8" s="1"/>
  <c r="AK191" i="8" a="1"/>
  <c r="AK191" i="8" s="1"/>
  <c r="AK192" i="8" a="1"/>
  <c r="AK192" i="8" s="1"/>
  <c r="AK193" i="8" a="1"/>
  <c r="AK193" i="8" s="1"/>
  <c r="AK194" i="8" a="1"/>
  <c r="AK194" i="8" s="1"/>
  <c r="AK195" i="8" a="1"/>
  <c r="AK195" i="8" s="1"/>
  <c r="AK196" i="8" a="1"/>
  <c r="AK196" i="8" s="1"/>
  <c r="AK197" i="8" a="1"/>
  <c r="AK197" i="8" s="1"/>
  <c r="AK198" i="8" a="1"/>
  <c r="AK198" i="8" s="1"/>
  <c r="AK199" i="8" a="1"/>
  <c r="AK199" i="8" s="1"/>
  <c r="AK200" i="8" a="1"/>
  <c r="AK200" i="8" s="1"/>
  <c r="AK201" i="8" a="1"/>
  <c r="AK201" i="8" s="1"/>
  <c r="AK202" i="8" a="1"/>
  <c r="AK202" i="8" s="1"/>
  <c r="AK203" i="8" a="1"/>
  <c r="AK203" i="8" s="1"/>
  <c r="AK204" i="8" a="1"/>
  <c r="AK204" i="8" s="1"/>
  <c r="AK205" i="8" a="1"/>
  <c r="AK205" i="8" s="1"/>
  <c r="AK206" i="8" a="1"/>
  <c r="AK206" i="8" s="1"/>
  <c r="AK207" i="8" a="1"/>
  <c r="AK207" i="8" s="1"/>
  <c r="AK208" i="8" a="1"/>
  <c r="AK208" i="8" s="1"/>
  <c r="AK209" i="8" a="1"/>
  <c r="AK209" i="8" s="1"/>
  <c r="AK210" i="8" a="1"/>
  <c r="AK210" i="8" s="1"/>
  <c r="AK211" i="8" a="1"/>
  <c r="AK211" i="8" s="1"/>
  <c r="AK212" i="8" a="1"/>
  <c r="AK212" i="8" s="1"/>
  <c r="AK213" i="8" a="1"/>
  <c r="AK213" i="8" s="1"/>
  <c r="AK214" i="8" a="1"/>
  <c r="AK214" i="8" s="1"/>
  <c r="AK215" i="8" a="1"/>
  <c r="AK215" i="8" s="1"/>
  <c r="AK216" i="8" a="1"/>
  <c r="AK216" i="8" s="1"/>
  <c r="AK217" i="8" a="1"/>
  <c r="AK217" i="8" s="1"/>
  <c r="AK218" i="8" a="1"/>
  <c r="AK218" i="8" s="1"/>
  <c r="AK219" i="8" a="1"/>
  <c r="AK219" i="8" s="1"/>
  <c r="AK220" i="8" a="1"/>
  <c r="AK220" i="8" s="1"/>
  <c r="AK221" i="8" a="1"/>
  <c r="AK221" i="8" s="1"/>
  <c r="AK222" i="8" a="1"/>
  <c r="AK222" i="8" s="1"/>
  <c r="AK223" i="8" a="1"/>
  <c r="AK223" i="8" s="1"/>
  <c r="AK224" i="8" a="1"/>
  <c r="AK224" i="8" s="1"/>
  <c r="AK225" i="8" a="1"/>
  <c r="AK225" i="8" s="1"/>
  <c r="AK226" i="8" a="1"/>
  <c r="AK226" i="8" s="1"/>
  <c r="AK227" i="8" a="1"/>
  <c r="AK227" i="8" s="1"/>
  <c r="AK228" i="8" a="1"/>
  <c r="AK228" i="8" s="1"/>
  <c r="AK229" i="8" a="1"/>
  <c r="AK229" i="8" s="1"/>
  <c r="AK230" i="8" a="1"/>
  <c r="AK230" i="8" s="1"/>
  <c r="AK231" i="8" a="1"/>
  <c r="AK231" i="8" s="1"/>
  <c r="AK232" i="8" a="1"/>
  <c r="AK232" i="8" s="1"/>
  <c r="AK233" i="8" a="1"/>
  <c r="AK233" i="8" s="1"/>
  <c r="AK234" i="8" a="1"/>
  <c r="AK234" i="8" s="1"/>
  <c r="AK235" i="8" a="1"/>
  <c r="AK235" i="8" s="1"/>
  <c r="AK236" i="8" a="1"/>
  <c r="AK236" i="8" s="1"/>
  <c r="AK237" i="8" a="1"/>
  <c r="AK237" i="8" s="1"/>
  <c r="AK238" i="8" a="1"/>
  <c r="AK238" i="8" s="1"/>
  <c r="AK239" i="8" a="1"/>
  <c r="AK239" i="8" s="1"/>
  <c r="AK240" i="8" a="1"/>
  <c r="AK240" i="8" s="1"/>
  <c r="AK241" i="8" a="1"/>
  <c r="AK241" i="8" s="1"/>
  <c r="AK242" i="8" a="1"/>
  <c r="AK242" i="8" s="1"/>
  <c r="AK243" i="8" a="1"/>
  <c r="AK243" i="8" s="1"/>
  <c r="AK244" i="8" a="1"/>
  <c r="AK244" i="8" s="1"/>
  <c r="AK245" i="8" a="1"/>
  <c r="AK245" i="8" s="1"/>
  <c r="AK246" i="8" a="1"/>
  <c r="AK246" i="8" s="1"/>
  <c r="AK247" i="8" a="1"/>
  <c r="AK247" i="8" s="1"/>
  <c r="AK248" i="8" a="1"/>
  <c r="AK248" i="8" s="1"/>
  <c r="AK249" i="8" a="1"/>
  <c r="AK249" i="8" s="1"/>
  <c r="AK250" i="8" a="1"/>
  <c r="AK250" i="8" s="1"/>
  <c r="AI12" i="8" a="1"/>
  <c r="AI12" i="8" s="1"/>
  <c r="AI12" i="11" s="1" a="1"/>
  <c r="AI12" i="11" s="1"/>
  <c r="AI13" i="8" a="1"/>
  <c r="AI13" i="8" s="1"/>
  <c r="AI13" i="11" s="1" a="1"/>
  <c r="AI13" i="11" s="1"/>
  <c r="AI14" i="8" a="1"/>
  <c r="AI14" i="8" s="1"/>
  <c r="AI14" i="11" s="1" a="1"/>
  <c r="AI14" i="11" s="1"/>
  <c r="AI15" i="8" a="1"/>
  <c r="AI15" i="8" s="1"/>
  <c r="AI15" i="11" s="1" a="1"/>
  <c r="AI15" i="11" s="1"/>
  <c r="AI16" i="8" a="1"/>
  <c r="AI16" i="8" s="1"/>
  <c r="AI16" i="11" s="1" a="1"/>
  <c r="AI16" i="11" s="1"/>
  <c r="AI17" i="8" a="1"/>
  <c r="AI17" i="8" s="1"/>
  <c r="AI17" i="11" s="1" a="1"/>
  <c r="AI17" i="11" s="1"/>
  <c r="AI18" i="8" a="1"/>
  <c r="AI18" i="8" s="1"/>
  <c r="AI18" i="11" s="1" a="1"/>
  <c r="AI18" i="11" s="1"/>
  <c r="AI19" i="8" a="1"/>
  <c r="AI19" i="8" s="1"/>
  <c r="AI19" i="11" s="1" a="1"/>
  <c r="AI19" i="11" s="1"/>
  <c r="AI20" i="8" a="1"/>
  <c r="AI20" i="8" s="1"/>
  <c r="AI20" i="11" s="1" a="1"/>
  <c r="AI20" i="11" s="1"/>
  <c r="AI21" i="8" a="1"/>
  <c r="AI21" i="8" s="1"/>
  <c r="AI21" i="11" s="1" a="1"/>
  <c r="AI21" i="11" s="1"/>
  <c r="AI22" i="8" a="1"/>
  <c r="AI22" i="8" s="1"/>
  <c r="AI22" i="11" s="1" a="1"/>
  <c r="AI22" i="11" s="1"/>
  <c r="AI23" i="8" a="1"/>
  <c r="AI23" i="8" s="1"/>
  <c r="AI23" i="11" s="1" a="1"/>
  <c r="AI23" i="11" s="1"/>
  <c r="AI24" i="8" a="1"/>
  <c r="AI24" i="8" s="1"/>
  <c r="AI24" i="11" s="1" a="1"/>
  <c r="AI24" i="11" s="1"/>
  <c r="AI25" i="8" a="1"/>
  <c r="AI25" i="8" s="1"/>
  <c r="AI25" i="11" s="1" a="1"/>
  <c r="AI25" i="11" s="1"/>
  <c r="AI26" i="8" a="1"/>
  <c r="AI26" i="8" s="1"/>
  <c r="AI26" i="11" s="1" a="1"/>
  <c r="AI26" i="11" s="1"/>
  <c r="AI27" i="8" a="1"/>
  <c r="AI27" i="8" s="1"/>
  <c r="AI27" i="11" s="1" a="1"/>
  <c r="AI27" i="11" s="1"/>
  <c r="AI28" i="8" a="1"/>
  <c r="AI28" i="8" s="1"/>
  <c r="AI28" i="11" s="1" a="1"/>
  <c r="AI28" i="11" s="1"/>
  <c r="AI29" i="8" a="1"/>
  <c r="AI29" i="8" s="1"/>
  <c r="AI29" i="11" s="1" a="1"/>
  <c r="AI29" i="11" s="1"/>
  <c r="AI30" i="8" a="1"/>
  <c r="AI30" i="8" s="1"/>
  <c r="AI30" i="11" s="1" a="1"/>
  <c r="AI30" i="11" s="1"/>
  <c r="AI31" i="8" a="1"/>
  <c r="AI31" i="8" s="1"/>
  <c r="AI31" i="11" s="1" a="1"/>
  <c r="AI31" i="11" s="1"/>
  <c r="AI32" i="8" a="1"/>
  <c r="AI32" i="8" s="1"/>
  <c r="AI32" i="11" s="1" a="1"/>
  <c r="AI32" i="11" s="1"/>
  <c r="AI33" i="8" a="1"/>
  <c r="AI33" i="8" s="1"/>
  <c r="AI33" i="11" s="1" a="1"/>
  <c r="AI33" i="11" s="1"/>
  <c r="AI34" i="8" a="1"/>
  <c r="AI34" i="8" s="1"/>
  <c r="AI34" i="11" s="1" a="1"/>
  <c r="AI34" i="11" s="1"/>
  <c r="AI35" i="8" a="1"/>
  <c r="AI35" i="8" s="1"/>
  <c r="AI35" i="11" s="1" a="1"/>
  <c r="AI35" i="11" s="1"/>
  <c r="AI37" i="8" a="1"/>
  <c r="AI37" i="8" s="1"/>
  <c r="AI37" i="11" s="1" a="1"/>
  <c r="AI37" i="11" s="1"/>
  <c r="AI38" i="8" a="1"/>
  <c r="AI38" i="8" s="1"/>
  <c r="AI38" i="11" s="1" a="1"/>
  <c r="AI38" i="11" s="1"/>
  <c r="AI39" i="8" a="1"/>
  <c r="AI39" i="8" s="1"/>
  <c r="AI39" i="11" s="1" a="1"/>
  <c r="AI39" i="11" s="1"/>
  <c r="AI40" i="8" a="1"/>
  <c r="AI40" i="8" s="1"/>
  <c r="AI40" i="11" s="1" a="1"/>
  <c r="AI40" i="11" s="1"/>
  <c r="AI41" i="8" a="1"/>
  <c r="AI41" i="8" s="1"/>
  <c r="AI41" i="11" s="1" a="1"/>
  <c r="AI41" i="11" s="1"/>
  <c r="AI43" i="8" a="1"/>
  <c r="AI43" i="8" s="1"/>
  <c r="AI43" i="11" s="1" a="1"/>
  <c r="AI43" i="11" s="1"/>
  <c r="AI44" i="8" a="1"/>
  <c r="AI44" i="8" s="1"/>
  <c r="AI44" i="11" s="1" a="1"/>
  <c r="AI44" i="11" s="1"/>
  <c r="AI45" i="8" a="1"/>
  <c r="AI45" i="8" s="1"/>
  <c r="AI45" i="11" s="1" a="1"/>
  <c r="AI45" i="11" s="1"/>
  <c r="AI46" i="8" a="1"/>
  <c r="AI46" i="8" s="1"/>
  <c r="AI46" i="11" s="1" a="1"/>
  <c r="AI46" i="11" s="1"/>
  <c r="AI47" i="8" a="1"/>
  <c r="AI47" i="8" s="1"/>
  <c r="AI47" i="11" s="1" a="1"/>
  <c r="AI47" i="11" s="1"/>
  <c r="AI48" i="8" a="1"/>
  <c r="AI48" i="8" s="1"/>
  <c r="AI48" i="11" s="1" a="1"/>
  <c r="AI48" i="11" s="1"/>
  <c r="AI49" i="8" a="1"/>
  <c r="AI49" i="8" s="1"/>
  <c r="AI49" i="11" s="1" a="1"/>
  <c r="AI49" i="11" s="1"/>
  <c r="AI51" i="8" a="1"/>
  <c r="AI51" i="8" s="1"/>
  <c r="AI51" i="11" s="1" a="1"/>
  <c r="AI51" i="11" s="1"/>
  <c r="AI52" i="8" a="1"/>
  <c r="AI52" i="8" s="1"/>
  <c r="AI52" i="11" s="1" a="1"/>
  <c r="AI52" i="11" s="1"/>
  <c r="AI53" i="8" a="1"/>
  <c r="AI53" i="8" s="1"/>
  <c r="AI53" i="11" s="1" a="1"/>
  <c r="AI53" i="11" s="1"/>
  <c r="AI54" i="8" a="1"/>
  <c r="AI54" i="8" s="1"/>
  <c r="AI54" i="11" s="1" a="1"/>
  <c r="AI54" i="11" s="1"/>
  <c r="AI55" i="8" a="1"/>
  <c r="AI55" i="8" s="1"/>
  <c r="AI55" i="11" s="1" a="1"/>
  <c r="AI55" i="11" s="1"/>
  <c r="AI56" i="8" a="1"/>
  <c r="AI56" i="8" s="1"/>
  <c r="AI56" i="11" s="1" a="1"/>
  <c r="AI56" i="11" s="1"/>
  <c r="AI57" i="8" a="1"/>
  <c r="AI57" i="8" s="1"/>
  <c r="AI57" i="11" s="1" a="1"/>
  <c r="AI57" i="11" s="1"/>
  <c r="AI58" i="8" a="1"/>
  <c r="AI58" i="8" s="1"/>
  <c r="AI58" i="11" s="1" a="1"/>
  <c r="AI58" i="11" s="1"/>
  <c r="AI59" i="8" a="1"/>
  <c r="AI59" i="8" s="1"/>
  <c r="AI59" i="11" s="1" a="1"/>
  <c r="AI59" i="11" s="1"/>
  <c r="AI60" i="8" a="1"/>
  <c r="AI60" i="8" s="1"/>
  <c r="AI60" i="11" s="1" a="1"/>
  <c r="AI60" i="11" s="1"/>
  <c r="AI61" i="8" a="1"/>
  <c r="AI61" i="8" s="1"/>
  <c r="AI61" i="11" s="1" a="1"/>
  <c r="AI61" i="11" s="1"/>
  <c r="AI62" i="8" a="1"/>
  <c r="AI62" i="8" s="1"/>
  <c r="AI62" i="11" s="1" a="1"/>
  <c r="AI62" i="11" s="1"/>
  <c r="AI63" i="8" a="1"/>
  <c r="AI63" i="8" s="1"/>
  <c r="AI63" i="11" s="1" a="1"/>
  <c r="AI63" i="11" s="1"/>
  <c r="AI64" i="8" a="1"/>
  <c r="AI64" i="8" s="1"/>
  <c r="AI64" i="11" s="1" a="1"/>
  <c r="AI64" i="11" s="1"/>
  <c r="AI65" i="8" a="1"/>
  <c r="AI65" i="8" s="1"/>
  <c r="AI65" i="11" s="1" a="1"/>
  <c r="AI65" i="11" s="1"/>
  <c r="AI66" i="8" a="1"/>
  <c r="AI66" i="8" s="1"/>
  <c r="AI66" i="11" s="1" a="1"/>
  <c r="AI66" i="11" s="1"/>
  <c r="AI67" i="8" a="1"/>
  <c r="AI67" i="8" s="1"/>
  <c r="AI67" i="11" s="1" a="1"/>
  <c r="AI67" i="11" s="1"/>
  <c r="AI68" i="8" a="1"/>
  <c r="AI68" i="8" s="1"/>
  <c r="AI68" i="11" s="1" a="1"/>
  <c r="AI68" i="11" s="1"/>
  <c r="AI69" i="8" a="1"/>
  <c r="AI69" i="8" s="1"/>
  <c r="AI69" i="11" s="1" a="1"/>
  <c r="AI69" i="11" s="1"/>
  <c r="AI70" i="8" a="1"/>
  <c r="AI70" i="8" s="1"/>
  <c r="AI70" i="11" s="1" a="1"/>
  <c r="AI70" i="11" s="1"/>
  <c r="AI71" i="8" a="1"/>
  <c r="AI71" i="8" s="1"/>
  <c r="AI71" i="11" s="1" a="1"/>
  <c r="AI71" i="11" s="1"/>
  <c r="AI72" i="8" a="1"/>
  <c r="AI72" i="8" s="1"/>
  <c r="AI72" i="11" s="1" a="1"/>
  <c r="AI72" i="11" s="1"/>
  <c r="AI73" i="8" a="1"/>
  <c r="AI73" i="8" s="1"/>
  <c r="AI73" i="11" s="1" a="1"/>
  <c r="AI73" i="11" s="1"/>
  <c r="AI74" i="8" a="1"/>
  <c r="AI74" i="8" s="1"/>
  <c r="AI74" i="11" s="1" a="1"/>
  <c r="AI74" i="11" s="1"/>
  <c r="AI75" i="8" a="1"/>
  <c r="AI75" i="8" s="1"/>
  <c r="AI75" i="11" s="1" a="1"/>
  <c r="AI75" i="11" s="1"/>
  <c r="AI76" i="8" a="1"/>
  <c r="AI76" i="8" s="1"/>
  <c r="AI76" i="11" s="1" a="1"/>
  <c r="AI76" i="11" s="1"/>
  <c r="AI77" i="8" a="1"/>
  <c r="AI77" i="8" s="1"/>
  <c r="AI77" i="11" s="1" a="1"/>
  <c r="AI77" i="11" s="1"/>
  <c r="AI78" i="8" a="1"/>
  <c r="AI78" i="8" s="1"/>
  <c r="AI78" i="11" s="1" a="1"/>
  <c r="AI78" i="11" s="1"/>
  <c r="AI79" i="8" a="1"/>
  <c r="AI79" i="8" s="1"/>
  <c r="AI79" i="11" s="1" a="1"/>
  <c r="AI79" i="11" s="1"/>
  <c r="AI80" i="8" a="1"/>
  <c r="AI80" i="8" s="1"/>
  <c r="AI80" i="11" s="1" a="1"/>
  <c r="AI80" i="11" s="1"/>
  <c r="AI81" i="8" a="1"/>
  <c r="AI81" i="8" s="1"/>
  <c r="AI81" i="11" s="1" a="1"/>
  <c r="AI81" i="11" s="1"/>
  <c r="AI82" i="8" a="1"/>
  <c r="AI82" i="8" s="1"/>
  <c r="AI82" i="11" s="1" a="1"/>
  <c r="AI82" i="11" s="1"/>
  <c r="AI83" i="8" a="1"/>
  <c r="AI83" i="8" s="1"/>
  <c r="AI83" i="11" s="1" a="1"/>
  <c r="AI83" i="11" s="1"/>
  <c r="AI84" i="8" a="1"/>
  <c r="AI84" i="8" s="1"/>
  <c r="AI84" i="11" s="1" a="1"/>
  <c r="AI84" i="11" s="1"/>
  <c r="AI85" i="8" a="1"/>
  <c r="AI85" i="8" s="1"/>
  <c r="AI85" i="11" s="1" a="1"/>
  <c r="AI85" i="11" s="1"/>
  <c r="AI86" i="8" a="1"/>
  <c r="AI86" i="8" s="1"/>
  <c r="AI86" i="11" s="1" a="1"/>
  <c r="AI86" i="11" s="1"/>
  <c r="AI87" i="8" a="1"/>
  <c r="AI87" i="8" s="1"/>
  <c r="AI87" i="11" s="1" a="1"/>
  <c r="AI87" i="11" s="1"/>
  <c r="AI88" i="8" a="1"/>
  <c r="AI88" i="8" s="1"/>
  <c r="AI88" i="11" s="1" a="1"/>
  <c r="AI88" i="11" s="1"/>
  <c r="AI89" i="8" a="1"/>
  <c r="AI89" i="8" s="1"/>
  <c r="AI89" i="11" s="1" a="1"/>
  <c r="AI89" i="11" s="1"/>
  <c r="AI90" i="8" a="1"/>
  <c r="AI90" i="8" s="1"/>
  <c r="AI90" i="11" s="1" a="1"/>
  <c r="AI90" i="11" s="1"/>
  <c r="AI91" i="8" a="1"/>
  <c r="AI91" i="8" s="1"/>
  <c r="AI91" i="11" s="1" a="1"/>
  <c r="AI91" i="11" s="1"/>
  <c r="AI92" i="8" a="1"/>
  <c r="AI92" i="8" s="1"/>
  <c r="AI92" i="11" s="1" a="1"/>
  <c r="AI92" i="11" s="1"/>
  <c r="AI93" i="8" a="1"/>
  <c r="AI93" i="8" s="1"/>
  <c r="AI93" i="11" s="1" a="1"/>
  <c r="AI93" i="11" s="1"/>
  <c r="AI94" i="8" a="1"/>
  <c r="AI94" i="8" s="1"/>
  <c r="AI94" i="11" s="1" a="1"/>
  <c r="AI94" i="11" s="1"/>
  <c r="AI95" i="8" a="1"/>
  <c r="AI95" i="8" s="1"/>
  <c r="AI95" i="11" s="1" a="1"/>
  <c r="AI95" i="11" s="1"/>
  <c r="AI96" i="8" a="1"/>
  <c r="AI96" i="8" s="1"/>
  <c r="AI96" i="11" s="1" a="1"/>
  <c r="AI96" i="11" s="1"/>
  <c r="AI97" i="8" a="1"/>
  <c r="AI97" i="8" s="1"/>
  <c r="AI97" i="11" s="1" a="1"/>
  <c r="AI97" i="11" s="1"/>
  <c r="AI98" i="8" a="1"/>
  <c r="AI98" i="8" s="1"/>
  <c r="AI98" i="11" s="1" a="1"/>
  <c r="AI98" i="11" s="1"/>
  <c r="AI99" i="8" a="1"/>
  <c r="AI99" i="8" s="1"/>
  <c r="AI99" i="11" s="1" a="1"/>
  <c r="AI99" i="11" s="1"/>
  <c r="AI100" i="8" a="1"/>
  <c r="AI100" i="8" s="1"/>
  <c r="AI100" i="11" s="1" a="1"/>
  <c r="AI100" i="11" s="1"/>
  <c r="AI101" i="8" a="1"/>
  <c r="AI101" i="8" s="1"/>
  <c r="AI101" i="11" s="1" a="1"/>
  <c r="AI101" i="11" s="1"/>
  <c r="AI102" i="8" a="1"/>
  <c r="AI102" i="8" s="1"/>
  <c r="AI102" i="11" s="1" a="1"/>
  <c r="AI102" i="11" s="1"/>
  <c r="AI103" i="8" a="1"/>
  <c r="AI103" i="8" s="1"/>
  <c r="AI103" i="11" s="1" a="1"/>
  <c r="AI103" i="11" s="1"/>
  <c r="AI104" i="8" a="1"/>
  <c r="AI104" i="8" s="1"/>
  <c r="AI104" i="11" s="1" a="1"/>
  <c r="AI104" i="11" s="1"/>
  <c r="AI105" i="8" a="1"/>
  <c r="AI105" i="8" s="1"/>
  <c r="AI105" i="11" s="1" a="1"/>
  <c r="AI105" i="11" s="1"/>
  <c r="AI106" i="8" a="1"/>
  <c r="AI106" i="8" s="1"/>
  <c r="AI106" i="11" s="1" a="1"/>
  <c r="AI106" i="11" s="1"/>
  <c r="AI107" i="8" a="1"/>
  <c r="AI107" i="8" s="1"/>
  <c r="AI107" i="11" s="1" a="1"/>
  <c r="AI107" i="11" s="1"/>
  <c r="AI108" i="8" a="1"/>
  <c r="AI108" i="8" s="1"/>
  <c r="AI108" i="11" s="1" a="1"/>
  <c r="AI108" i="11" s="1"/>
  <c r="AI109" i="8" a="1"/>
  <c r="AI109" i="8" s="1"/>
  <c r="AI109" i="11" s="1" a="1"/>
  <c r="AI109" i="11" s="1"/>
  <c r="AI110" i="8" a="1"/>
  <c r="AI110" i="8" s="1"/>
  <c r="AI110" i="11" s="1" a="1"/>
  <c r="AI110" i="11" s="1"/>
  <c r="AI111" i="8" a="1"/>
  <c r="AI111" i="8" s="1"/>
  <c r="AI111" i="11" s="1" a="1"/>
  <c r="AI111" i="11" s="1"/>
  <c r="AI112" i="8" a="1"/>
  <c r="AI112" i="8" s="1"/>
  <c r="AI112" i="11" s="1" a="1"/>
  <c r="AI112" i="11" s="1"/>
  <c r="AI113" i="8" a="1"/>
  <c r="AI113" i="8" s="1"/>
  <c r="AI113" i="11" s="1" a="1"/>
  <c r="AI113" i="11" s="1"/>
  <c r="AI114" i="8" a="1"/>
  <c r="AI114" i="8" s="1"/>
  <c r="AI114" i="11" s="1" a="1"/>
  <c r="AI114" i="11" s="1"/>
  <c r="AI115" i="8" a="1"/>
  <c r="AI115" i="8" s="1"/>
  <c r="AI115" i="11" s="1" a="1"/>
  <c r="AI115" i="11" s="1"/>
  <c r="AI116" i="8" a="1"/>
  <c r="AI116" i="8" s="1"/>
  <c r="AI116" i="11" s="1" a="1"/>
  <c r="AI116" i="11" s="1"/>
  <c r="AI117" i="8" a="1"/>
  <c r="AI117" i="8" s="1"/>
  <c r="AI117" i="11" s="1" a="1"/>
  <c r="AI117" i="11" s="1"/>
  <c r="AI118" i="8" a="1"/>
  <c r="AI118" i="8" s="1"/>
  <c r="AI118" i="11" s="1" a="1"/>
  <c r="AI118" i="11" s="1"/>
  <c r="AI119" i="8" a="1"/>
  <c r="AI119" i="8" s="1"/>
  <c r="AI119" i="11" s="1" a="1"/>
  <c r="AI119" i="11" s="1"/>
  <c r="AI120" i="8" a="1"/>
  <c r="AI120" i="8" s="1"/>
  <c r="AI120" i="11" s="1" a="1"/>
  <c r="AI120" i="11" s="1"/>
  <c r="AI121" i="8" a="1"/>
  <c r="AI121" i="8" s="1"/>
  <c r="AI121" i="11" s="1" a="1"/>
  <c r="AI121" i="11" s="1"/>
  <c r="AI122" i="8" a="1"/>
  <c r="AI122" i="8" s="1"/>
  <c r="AI122" i="11" s="1" a="1"/>
  <c r="AI122" i="11" s="1"/>
  <c r="AI123" i="8" a="1"/>
  <c r="AI123" i="8" s="1"/>
  <c r="AI123" i="11" s="1" a="1"/>
  <c r="AI123" i="11" s="1"/>
  <c r="AI124" i="8" a="1"/>
  <c r="AI124" i="8" s="1"/>
  <c r="AI124" i="11" s="1" a="1"/>
  <c r="AI124" i="11" s="1"/>
  <c r="AI125" i="8" a="1"/>
  <c r="AI125" i="8" s="1"/>
  <c r="AI125" i="11" s="1" a="1"/>
  <c r="AI125" i="11" s="1"/>
  <c r="AI126" i="8" a="1"/>
  <c r="AI126" i="8" s="1"/>
  <c r="AI126" i="11" s="1" a="1"/>
  <c r="AI126" i="11" s="1"/>
  <c r="AI127" i="8" a="1"/>
  <c r="AI127" i="8" s="1"/>
  <c r="AI127" i="11" s="1" a="1"/>
  <c r="AI127" i="11" s="1"/>
  <c r="AI128" i="8" a="1"/>
  <c r="AI128" i="8" s="1"/>
  <c r="AI128" i="11" s="1" a="1"/>
  <c r="AI128" i="11" s="1"/>
  <c r="AI129" i="8" a="1"/>
  <c r="AI129" i="8" s="1"/>
  <c r="AI129" i="11" s="1" a="1"/>
  <c r="AI129" i="11" s="1"/>
  <c r="AI130" i="8" a="1"/>
  <c r="AI130" i="8" s="1"/>
  <c r="AI130" i="11" s="1" a="1"/>
  <c r="AI130" i="11" s="1"/>
  <c r="AI131" i="8" a="1"/>
  <c r="AI131" i="8" s="1"/>
  <c r="AI131" i="11" s="1" a="1"/>
  <c r="AI131" i="11" s="1"/>
  <c r="AI132" i="8" a="1"/>
  <c r="AI132" i="8" s="1"/>
  <c r="AI132" i="11" s="1" a="1"/>
  <c r="AI132" i="11" s="1"/>
  <c r="AI133" i="8" a="1"/>
  <c r="AI133" i="8" s="1"/>
  <c r="AI133" i="11" s="1" a="1"/>
  <c r="AI133" i="11" s="1"/>
  <c r="AI134" i="8" a="1"/>
  <c r="AI134" i="8" s="1"/>
  <c r="AI134" i="11" s="1" a="1"/>
  <c r="AI134" i="11" s="1"/>
  <c r="AI135" i="8" a="1"/>
  <c r="AI135" i="8" s="1"/>
  <c r="AI135" i="11" s="1" a="1"/>
  <c r="AI135" i="11" s="1"/>
  <c r="AI136" i="8" a="1"/>
  <c r="AI136" i="8" s="1"/>
  <c r="AI136" i="11" s="1" a="1"/>
  <c r="AI136" i="11" s="1"/>
  <c r="AI137" i="8" a="1"/>
  <c r="AI137" i="8" s="1"/>
  <c r="AI137" i="11" s="1" a="1"/>
  <c r="AI137" i="11" s="1"/>
  <c r="AI138" i="8" a="1"/>
  <c r="AI138" i="8" s="1"/>
  <c r="AI138" i="11" s="1" a="1"/>
  <c r="AI138" i="11" s="1"/>
  <c r="AI139" i="8" a="1"/>
  <c r="AI139" i="8" s="1"/>
  <c r="AI139" i="11" s="1" a="1"/>
  <c r="AI139" i="11" s="1"/>
  <c r="AI140" i="8" a="1"/>
  <c r="AI140" i="8" s="1"/>
  <c r="AI140" i="11" s="1" a="1"/>
  <c r="AI140" i="11" s="1"/>
  <c r="AI141" i="8" a="1"/>
  <c r="AI141" i="8" s="1"/>
  <c r="AI141" i="11" s="1" a="1"/>
  <c r="AI141" i="11" s="1"/>
  <c r="AI142" i="8" a="1"/>
  <c r="AI142" i="8" s="1"/>
  <c r="AI142" i="11" s="1" a="1"/>
  <c r="AI142" i="11" s="1"/>
  <c r="AI143" i="8" a="1"/>
  <c r="AI143" i="8" s="1"/>
  <c r="AI143" i="11" s="1" a="1"/>
  <c r="AI143" i="11" s="1"/>
  <c r="AI144" i="8" a="1"/>
  <c r="AI144" i="8" s="1"/>
  <c r="AI144" i="11" s="1" a="1"/>
  <c r="AI144" i="11" s="1"/>
  <c r="AI145" i="8" a="1"/>
  <c r="AI145" i="8" s="1"/>
  <c r="AI145" i="11" s="1" a="1"/>
  <c r="AI145" i="11" s="1"/>
  <c r="AI146" i="8" a="1"/>
  <c r="AI146" i="8" s="1"/>
  <c r="AI146" i="11" s="1" a="1"/>
  <c r="AI146" i="11" s="1"/>
  <c r="AI147" i="8" a="1"/>
  <c r="AI147" i="8" s="1"/>
  <c r="AI147" i="11" s="1" a="1"/>
  <c r="AI147" i="11" s="1"/>
  <c r="AI148" i="8" a="1"/>
  <c r="AI148" i="8" s="1"/>
  <c r="AI148" i="11" s="1" a="1"/>
  <c r="AI148" i="11" s="1"/>
  <c r="AI149" i="8" a="1"/>
  <c r="AI149" i="8" s="1"/>
  <c r="AI149" i="11" s="1" a="1"/>
  <c r="AI149" i="11" s="1"/>
  <c r="AI150" i="8" a="1"/>
  <c r="AI150" i="8" s="1"/>
  <c r="AI150" i="11" s="1" a="1"/>
  <c r="AI150" i="11" s="1"/>
  <c r="AI151" i="8" a="1"/>
  <c r="AI151" i="8" s="1"/>
  <c r="AI151" i="11" s="1" a="1"/>
  <c r="AI151" i="11" s="1"/>
  <c r="AI152" i="8" a="1"/>
  <c r="AI152" i="8" s="1"/>
  <c r="AI152" i="11" s="1" a="1"/>
  <c r="AI152" i="11" s="1"/>
  <c r="AI153" i="8" a="1"/>
  <c r="AI153" i="8" s="1"/>
  <c r="AI153" i="11" s="1" a="1"/>
  <c r="AI153" i="11" s="1"/>
  <c r="AI154" i="8" a="1"/>
  <c r="AI154" i="8" s="1"/>
  <c r="AI154" i="11" s="1" a="1"/>
  <c r="AI154" i="11" s="1"/>
  <c r="AI155" i="8" a="1"/>
  <c r="AI155" i="8" s="1"/>
  <c r="AI155" i="11" s="1" a="1"/>
  <c r="AI155" i="11" s="1"/>
  <c r="AI156" i="8" a="1"/>
  <c r="AI156" i="8" s="1"/>
  <c r="AI156" i="11" s="1" a="1"/>
  <c r="AI156" i="11" s="1"/>
  <c r="AI157" i="8" a="1"/>
  <c r="AI157" i="8" s="1"/>
  <c r="AI157" i="11" s="1" a="1"/>
  <c r="AI157" i="11" s="1"/>
  <c r="AI158" i="8" a="1"/>
  <c r="AI158" i="8" s="1"/>
  <c r="AI158" i="11" s="1" a="1"/>
  <c r="AI158" i="11" s="1"/>
  <c r="AI159" i="8" a="1"/>
  <c r="AI159" i="8" s="1"/>
  <c r="AI159" i="11" s="1" a="1"/>
  <c r="AI159" i="11" s="1"/>
  <c r="AI160" i="8" a="1"/>
  <c r="AI160" i="8" s="1"/>
  <c r="AI160" i="11" s="1" a="1"/>
  <c r="AI160" i="11" s="1"/>
  <c r="AI161" i="8" a="1"/>
  <c r="AI161" i="8" s="1"/>
  <c r="AI161" i="11" s="1" a="1"/>
  <c r="AI161" i="11" s="1"/>
  <c r="AI162" i="8" a="1"/>
  <c r="AI162" i="8" s="1"/>
  <c r="AI162" i="11" s="1" a="1"/>
  <c r="AI162" i="11" s="1"/>
  <c r="AI163" i="8" a="1"/>
  <c r="AI163" i="8" s="1"/>
  <c r="AI163" i="11" s="1" a="1"/>
  <c r="AI163" i="11" s="1"/>
  <c r="AI164" i="8" a="1"/>
  <c r="AI164" i="8" s="1"/>
  <c r="AI164" i="11" s="1" a="1"/>
  <c r="AI164" i="11" s="1"/>
  <c r="AI165" i="8" a="1"/>
  <c r="AI165" i="8" s="1"/>
  <c r="AI165" i="11" s="1" a="1"/>
  <c r="AI165" i="11" s="1"/>
  <c r="AI166" i="8" a="1"/>
  <c r="AI166" i="8" s="1"/>
  <c r="AI166" i="11" s="1" a="1"/>
  <c r="AI166" i="11" s="1"/>
  <c r="AI167" i="8" a="1"/>
  <c r="AI167" i="8" s="1"/>
  <c r="AI167" i="11" s="1" a="1"/>
  <c r="AI167" i="11" s="1"/>
  <c r="AI168" i="8" a="1"/>
  <c r="AI168" i="8" s="1"/>
  <c r="AI168" i="11" s="1" a="1"/>
  <c r="AI168" i="11" s="1"/>
  <c r="AI169" i="8" a="1"/>
  <c r="AI169" i="8" s="1"/>
  <c r="AI169" i="11" s="1" a="1"/>
  <c r="AI169" i="11" s="1"/>
  <c r="AI170" i="8" a="1"/>
  <c r="AI170" i="8" s="1"/>
  <c r="AI170" i="11" s="1" a="1"/>
  <c r="AI170" i="11" s="1"/>
  <c r="AI171" i="8" a="1"/>
  <c r="AI171" i="8" s="1"/>
  <c r="AI171" i="11" s="1" a="1"/>
  <c r="AI171" i="11" s="1"/>
  <c r="AI172" i="8" a="1"/>
  <c r="AI172" i="8" s="1"/>
  <c r="AI172" i="11" s="1" a="1"/>
  <c r="AI172" i="11" s="1"/>
  <c r="AI173" i="8" a="1"/>
  <c r="AI173" i="8" s="1"/>
  <c r="AI173" i="11" s="1" a="1"/>
  <c r="AI173" i="11" s="1"/>
  <c r="AI174" i="8" a="1"/>
  <c r="AI174" i="8" s="1"/>
  <c r="AI174" i="11" s="1" a="1"/>
  <c r="AI174" i="11" s="1"/>
  <c r="AI175" i="8" a="1"/>
  <c r="AI175" i="8" s="1"/>
  <c r="AI175" i="11" s="1" a="1"/>
  <c r="AI175" i="11" s="1"/>
  <c r="AI176" i="8" a="1"/>
  <c r="AI176" i="8" s="1"/>
  <c r="AI176" i="11" s="1" a="1"/>
  <c r="AI176" i="11" s="1"/>
  <c r="AI177" i="8" a="1"/>
  <c r="AI177" i="8" s="1"/>
  <c r="AI177" i="11" s="1" a="1"/>
  <c r="AI177" i="11" s="1"/>
  <c r="AI178" i="8" a="1"/>
  <c r="AI178" i="8" s="1"/>
  <c r="AI178" i="11" s="1" a="1"/>
  <c r="AI178" i="11" s="1"/>
  <c r="AI179" i="8" a="1"/>
  <c r="AI179" i="8" s="1"/>
  <c r="AI179" i="11" s="1" a="1"/>
  <c r="AI179" i="11" s="1"/>
  <c r="AI180" i="8" a="1"/>
  <c r="AI180" i="8" s="1"/>
  <c r="AI180" i="11" s="1" a="1"/>
  <c r="AI180" i="11" s="1"/>
  <c r="AI181" i="8" a="1"/>
  <c r="AI181" i="8" s="1"/>
  <c r="AI181" i="11" s="1" a="1"/>
  <c r="AI181" i="11" s="1"/>
  <c r="AI182" i="8" a="1"/>
  <c r="AI182" i="8" s="1"/>
  <c r="AI182" i="11" s="1" a="1"/>
  <c r="AI182" i="11" s="1"/>
  <c r="AI183" i="8" a="1"/>
  <c r="AI183" i="8" s="1"/>
  <c r="AI183" i="11" s="1" a="1"/>
  <c r="AI183" i="11" s="1"/>
  <c r="AI184" i="8" a="1"/>
  <c r="AI184" i="8" s="1"/>
  <c r="AI184" i="11" s="1" a="1"/>
  <c r="AI184" i="11" s="1"/>
  <c r="AI185" i="8" a="1"/>
  <c r="AI185" i="8" s="1"/>
  <c r="AI185" i="11" s="1" a="1"/>
  <c r="AI185" i="11" s="1"/>
  <c r="AI186" i="8" a="1"/>
  <c r="AI186" i="8" s="1"/>
  <c r="AI186" i="11" s="1" a="1"/>
  <c r="AI186" i="11" s="1"/>
  <c r="AI187" i="8" a="1"/>
  <c r="AI187" i="8" s="1"/>
  <c r="AI187" i="11" s="1" a="1"/>
  <c r="AI187" i="11" s="1"/>
  <c r="AI188" i="8" a="1"/>
  <c r="AI188" i="8" s="1"/>
  <c r="AI188" i="11" s="1" a="1"/>
  <c r="AI188" i="11" s="1"/>
  <c r="AI189" i="8" a="1"/>
  <c r="AI189" i="8" s="1"/>
  <c r="AI189" i="11" s="1" a="1"/>
  <c r="AI189" i="11" s="1"/>
  <c r="AI190" i="8" a="1"/>
  <c r="AI190" i="8" s="1"/>
  <c r="AI190" i="11" s="1" a="1"/>
  <c r="AI190" i="11" s="1"/>
  <c r="AI191" i="8" a="1"/>
  <c r="AI191" i="8" s="1"/>
  <c r="AI191" i="11" s="1" a="1"/>
  <c r="AI191" i="11" s="1"/>
  <c r="AI192" i="8" a="1"/>
  <c r="AI192" i="8" s="1"/>
  <c r="AI192" i="11" s="1" a="1"/>
  <c r="AI192" i="11" s="1"/>
  <c r="AI193" i="8" a="1"/>
  <c r="AI193" i="8" s="1"/>
  <c r="AI193" i="11" s="1" a="1"/>
  <c r="AI193" i="11" s="1"/>
  <c r="AI194" i="8" a="1"/>
  <c r="AI194" i="8" s="1"/>
  <c r="AI194" i="11" s="1" a="1"/>
  <c r="AI194" i="11" s="1"/>
  <c r="AI195" i="8" a="1"/>
  <c r="AI195" i="8" s="1"/>
  <c r="AI195" i="11" s="1" a="1"/>
  <c r="AI195" i="11" s="1"/>
  <c r="AI196" i="8" a="1"/>
  <c r="AI196" i="8" s="1"/>
  <c r="AI196" i="11" s="1" a="1"/>
  <c r="AI196" i="11" s="1"/>
  <c r="AI197" i="8" a="1"/>
  <c r="AI197" i="8" s="1"/>
  <c r="AI197" i="11" s="1" a="1"/>
  <c r="AI197" i="11" s="1"/>
  <c r="AI198" i="8" a="1"/>
  <c r="AI198" i="8" s="1"/>
  <c r="AI198" i="11" s="1" a="1"/>
  <c r="AI198" i="11" s="1"/>
  <c r="AI199" i="8" a="1"/>
  <c r="AI199" i="8" s="1"/>
  <c r="AI199" i="11" s="1" a="1"/>
  <c r="AI199" i="11" s="1"/>
  <c r="AI200" i="8" a="1"/>
  <c r="AI200" i="8" s="1"/>
  <c r="AI200" i="11" s="1" a="1"/>
  <c r="AI200" i="11" s="1"/>
  <c r="AI201" i="8" a="1"/>
  <c r="AI201" i="8" s="1"/>
  <c r="AI201" i="11" s="1" a="1"/>
  <c r="AI201" i="11" s="1"/>
  <c r="AI202" i="8" a="1"/>
  <c r="AI202" i="8" s="1"/>
  <c r="AI202" i="11" s="1" a="1"/>
  <c r="AI202" i="11" s="1"/>
  <c r="AI203" i="8" a="1"/>
  <c r="AI203" i="8" s="1"/>
  <c r="AI203" i="11" s="1" a="1"/>
  <c r="AI203" i="11" s="1"/>
  <c r="AI204" i="8" a="1"/>
  <c r="AI204" i="8" s="1"/>
  <c r="AI204" i="11" s="1" a="1"/>
  <c r="AI204" i="11" s="1"/>
  <c r="AI205" i="8" a="1"/>
  <c r="AI205" i="8" s="1"/>
  <c r="AI205" i="11" s="1" a="1"/>
  <c r="AI205" i="11" s="1"/>
  <c r="AI206" i="8" a="1"/>
  <c r="AI206" i="8" s="1"/>
  <c r="AI206" i="11" s="1" a="1"/>
  <c r="AI206" i="11" s="1"/>
  <c r="AI207" i="8" a="1"/>
  <c r="AI207" i="8" s="1"/>
  <c r="AI207" i="11" s="1" a="1"/>
  <c r="AI207" i="11" s="1"/>
  <c r="AI208" i="8" a="1"/>
  <c r="AI208" i="8" s="1"/>
  <c r="AI208" i="11" s="1" a="1"/>
  <c r="AI208" i="11" s="1"/>
  <c r="AI209" i="8" a="1"/>
  <c r="AI209" i="8" s="1"/>
  <c r="AI209" i="11" s="1" a="1"/>
  <c r="AI209" i="11" s="1"/>
  <c r="AI210" i="8" a="1"/>
  <c r="AI210" i="8" s="1"/>
  <c r="AI210" i="11" s="1" a="1"/>
  <c r="AI210" i="11" s="1"/>
  <c r="AI211" i="8" a="1"/>
  <c r="AI211" i="8" s="1"/>
  <c r="AI211" i="11" s="1" a="1"/>
  <c r="AI211" i="11" s="1"/>
  <c r="AI212" i="8" a="1"/>
  <c r="AI212" i="8" s="1"/>
  <c r="AI212" i="11" s="1" a="1"/>
  <c r="AI212" i="11" s="1"/>
  <c r="AI213" i="8" a="1"/>
  <c r="AI213" i="8" s="1"/>
  <c r="AI213" i="11" s="1" a="1"/>
  <c r="AI213" i="11" s="1"/>
  <c r="AI214" i="8" a="1"/>
  <c r="AI214" i="8" s="1"/>
  <c r="AI214" i="11" s="1" a="1"/>
  <c r="AI214" i="11" s="1"/>
  <c r="AI215" i="8" a="1"/>
  <c r="AI215" i="8" s="1"/>
  <c r="AI215" i="11" s="1" a="1"/>
  <c r="AI215" i="11" s="1"/>
  <c r="AI216" i="8" a="1"/>
  <c r="AI216" i="8" s="1"/>
  <c r="AI216" i="11" s="1" a="1"/>
  <c r="AI216" i="11" s="1"/>
  <c r="AI217" i="8" a="1"/>
  <c r="AI217" i="8" s="1"/>
  <c r="AI217" i="11" s="1" a="1"/>
  <c r="AI217" i="11" s="1"/>
  <c r="AI218" i="8" a="1"/>
  <c r="AI218" i="8" s="1"/>
  <c r="AI218" i="11" s="1" a="1"/>
  <c r="AI218" i="11" s="1"/>
  <c r="AI219" i="8" a="1"/>
  <c r="AI219" i="8" s="1"/>
  <c r="AI219" i="11" s="1" a="1"/>
  <c r="AI219" i="11" s="1"/>
  <c r="AI220" i="8" a="1"/>
  <c r="AI220" i="8" s="1"/>
  <c r="AI220" i="11" s="1" a="1"/>
  <c r="AI220" i="11" s="1"/>
  <c r="AI221" i="8" a="1"/>
  <c r="AI221" i="8" s="1"/>
  <c r="AI221" i="11" s="1" a="1"/>
  <c r="AI221" i="11" s="1"/>
  <c r="AI222" i="8" a="1"/>
  <c r="AI222" i="8" s="1"/>
  <c r="AI222" i="11" s="1" a="1"/>
  <c r="AI222" i="11" s="1"/>
  <c r="AI223" i="8" a="1"/>
  <c r="AI223" i="8" s="1"/>
  <c r="AI223" i="11" s="1" a="1"/>
  <c r="AI223" i="11" s="1"/>
  <c r="AI224" i="8" a="1"/>
  <c r="AI224" i="8" s="1"/>
  <c r="AI224" i="11" s="1" a="1"/>
  <c r="AI224" i="11" s="1"/>
  <c r="AI225" i="8" a="1"/>
  <c r="AI225" i="8" s="1"/>
  <c r="AI225" i="11" s="1" a="1"/>
  <c r="AI225" i="11" s="1"/>
  <c r="AI226" i="8" a="1"/>
  <c r="AI226" i="8" s="1"/>
  <c r="AI226" i="11" s="1" a="1"/>
  <c r="AI226" i="11" s="1"/>
  <c r="AI227" i="8" a="1"/>
  <c r="AI227" i="8" s="1"/>
  <c r="AI227" i="11" s="1" a="1"/>
  <c r="AI227" i="11" s="1"/>
  <c r="AI228" i="8" a="1"/>
  <c r="AI228" i="8" s="1"/>
  <c r="AI228" i="11" s="1" a="1"/>
  <c r="AI228" i="11" s="1"/>
  <c r="AI229" i="8" a="1"/>
  <c r="AI229" i="8" s="1"/>
  <c r="AI229" i="11" s="1" a="1"/>
  <c r="AI229" i="11" s="1"/>
  <c r="AI230" i="8" a="1"/>
  <c r="AI230" i="8" s="1"/>
  <c r="AI230" i="11" s="1" a="1"/>
  <c r="AI230" i="11" s="1"/>
  <c r="AI231" i="8" a="1"/>
  <c r="AI231" i="8" s="1"/>
  <c r="AI231" i="11" s="1" a="1"/>
  <c r="AI231" i="11" s="1"/>
  <c r="AI232" i="8" a="1"/>
  <c r="AI232" i="8" s="1"/>
  <c r="AI232" i="11" s="1" a="1"/>
  <c r="AI232" i="11" s="1"/>
  <c r="AI233" i="8" a="1"/>
  <c r="AI233" i="8" s="1"/>
  <c r="AI233" i="11" s="1" a="1"/>
  <c r="AI233" i="11" s="1"/>
  <c r="AI234" i="8" a="1"/>
  <c r="AI234" i="8" s="1"/>
  <c r="AI234" i="11" s="1" a="1"/>
  <c r="AI234" i="11" s="1"/>
  <c r="AI235" i="8" a="1"/>
  <c r="AI235" i="8" s="1"/>
  <c r="AI235" i="11" s="1" a="1"/>
  <c r="AI235" i="11" s="1"/>
  <c r="AI236" i="8" a="1"/>
  <c r="AI236" i="8" s="1"/>
  <c r="AI236" i="11" s="1" a="1"/>
  <c r="AI236" i="11" s="1"/>
  <c r="AI237" i="8" a="1"/>
  <c r="AI237" i="8" s="1"/>
  <c r="AI237" i="11" s="1" a="1"/>
  <c r="AI237" i="11" s="1"/>
  <c r="AI238" i="8" a="1"/>
  <c r="AI238" i="8" s="1"/>
  <c r="AI238" i="11" s="1" a="1"/>
  <c r="AI238" i="11" s="1"/>
  <c r="AI239" i="8" a="1"/>
  <c r="AI239" i="8" s="1"/>
  <c r="AI239" i="11" s="1" a="1"/>
  <c r="AI239" i="11" s="1"/>
  <c r="AI240" i="8" a="1"/>
  <c r="AI240" i="8" s="1"/>
  <c r="AI240" i="11" s="1" a="1"/>
  <c r="AI240" i="11" s="1"/>
  <c r="AI241" i="8" a="1"/>
  <c r="AI241" i="8" s="1"/>
  <c r="AI241" i="11" s="1" a="1"/>
  <c r="AI241" i="11" s="1"/>
  <c r="AI242" i="8" a="1"/>
  <c r="AI242" i="8" s="1"/>
  <c r="AI242" i="11" s="1" a="1"/>
  <c r="AI242" i="11" s="1"/>
  <c r="AI243" i="8" a="1"/>
  <c r="AI243" i="8" s="1"/>
  <c r="AI243" i="11" s="1" a="1"/>
  <c r="AI243" i="11" s="1"/>
  <c r="AI244" i="8" a="1"/>
  <c r="AI244" i="8" s="1"/>
  <c r="AI244" i="11" s="1" a="1"/>
  <c r="AI244" i="11" s="1"/>
  <c r="AI245" i="8" a="1"/>
  <c r="AI245" i="8" s="1"/>
  <c r="AI245" i="11" s="1" a="1"/>
  <c r="AI245" i="11" s="1"/>
  <c r="AI246" i="8" a="1"/>
  <c r="AI246" i="8" s="1"/>
  <c r="AI246" i="11" s="1" a="1"/>
  <c r="AI246" i="11" s="1"/>
  <c r="AI247" i="8" a="1"/>
  <c r="AI247" i="8" s="1"/>
  <c r="AI247" i="11" s="1" a="1"/>
  <c r="AI247" i="11" s="1"/>
  <c r="AI248" i="8" a="1"/>
  <c r="AI248" i="8" s="1"/>
  <c r="AI248" i="11" s="1" a="1"/>
  <c r="AI248" i="11" s="1"/>
  <c r="AI249" i="8" a="1"/>
  <c r="AI249" i="8" s="1"/>
  <c r="AI249" i="11" s="1" a="1"/>
  <c r="AI249" i="11" s="1"/>
  <c r="AI250" i="8" a="1"/>
  <c r="AI250" i="8" s="1"/>
  <c r="AI250" i="11" s="1" a="1"/>
  <c r="AI250" i="11" s="1"/>
  <c r="AH12" i="8" a="1"/>
  <c r="AH12" i="8" s="1"/>
  <c r="AH12" i="11" s="1" a="1"/>
  <c r="AH12" i="11" s="1"/>
  <c r="AH13" i="8" a="1"/>
  <c r="AH13" i="8" s="1"/>
  <c r="AH13" i="11" s="1" a="1"/>
  <c r="AH13" i="11" s="1"/>
  <c r="AH14" i="8" a="1"/>
  <c r="AH14" i="8" s="1"/>
  <c r="AH14" i="11" s="1" a="1"/>
  <c r="AH14" i="11" s="1"/>
  <c r="AH15" i="8" a="1"/>
  <c r="AH15" i="8" s="1"/>
  <c r="AH15" i="11" s="1" a="1"/>
  <c r="AH15" i="11" s="1"/>
  <c r="AH16" i="8" a="1"/>
  <c r="AH16" i="8" s="1"/>
  <c r="AH16" i="11" s="1" a="1"/>
  <c r="AH16" i="11" s="1"/>
  <c r="AH17" i="8" a="1"/>
  <c r="AH17" i="8" s="1"/>
  <c r="AH17" i="11" s="1" a="1"/>
  <c r="AH17" i="11" s="1"/>
  <c r="AH18" i="8" a="1"/>
  <c r="AH18" i="8" s="1"/>
  <c r="AH18" i="11" s="1" a="1"/>
  <c r="AH18" i="11" s="1"/>
  <c r="AH19" i="8" a="1"/>
  <c r="AH19" i="8" s="1"/>
  <c r="AH19" i="11" s="1" a="1"/>
  <c r="AH19" i="11" s="1"/>
  <c r="AH20" i="8" a="1"/>
  <c r="AH20" i="8" s="1"/>
  <c r="AH20" i="11" s="1" a="1"/>
  <c r="AH20" i="11" s="1"/>
  <c r="AH21" i="8" a="1"/>
  <c r="AH21" i="8" s="1"/>
  <c r="AH21" i="11" s="1" a="1"/>
  <c r="AH21" i="11" s="1"/>
  <c r="AH22" i="8" a="1"/>
  <c r="AH22" i="8" s="1"/>
  <c r="AH22" i="11" s="1" a="1"/>
  <c r="AH22" i="11" s="1"/>
  <c r="AH23" i="8" a="1"/>
  <c r="AH23" i="8" s="1"/>
  <c r="AH23" i="11" s="1" a="1"/>
  <c r="AH23" i="11" s="1"/>
  <c r="AH24" i="8" a="1"/>
  <c r="AH24" i="8" s="1"/>
  <c r="AH24" i="11" s="1" a="1"/>
  <c r="AH24" i="11" s="1"/>
  <c r="AH25" i="8" a="1"/>
  <c r="AH25" i="8" s="1"/>
  <c r="AH25" i="11" s="1" a="1"/>
  <c r="AH25" i="11" s="1"/>
  <c r="AH26" i="8" a="1"/>
  <c r="AH26" i="8" s="1"/>
  <c r="AH26" i="11" s="1" a="1"/>
  <c r="AH26" i="11" s="1"/>
  <c r="AH27" i="8" a="1"/>
  <c r="AH27" i="8" s="1"/>
  <c r="AH27" i="11" s="1" a="1"/>
  <c r="AH27" i="11" s="1"/>
  <c r="AH28" i="8" a="1"/>
  <c r="AH28" i="8" s="1"/>
  <c r="AH28" i="11" s="1" a="1"/>
  <c r="AH28" i="11" s="1"/>
  <c r="AH29" i="8" a="1"/>
  <c r="AH29" i="8" s="1"/>
  <c r="AH29" i="11" s="1" a="1"/>
  <c r="AH29" i="11" s="1"/>
  <c r="AH31" i="8" a="1"/>
  <c r="AH31" i="8" s="1"/>
  <c r="AH31" i="11" s="1" a="1"/>
  <c r="AH31" i="11" s="1"/>
  <c r="AH32" i="8" a="1"/>
  <c r="AH32" i="8" s="1"/>
  <c r="AH32" i="11" s="1" a="1"/>
  <c r="AH32" i="11" s="1"/>
  <c r="AH33" i="8" a="1"/>
  <c r="AH33" i="8" s="1"/>
  <c r="AH33" i="11" s="1" a="1"/>
  <c r="AH33" i="11" s="1"/>
  <c r="AH34" i="8" a="1"/>
  <c r="AH34" i="8" s="1"/>
  <c r="AH34" i="11" s="1" a="1"/>
  <c r="AH34" i="11" s="1"/>
  <c r="AH35" i="8" a="1"/>
  <c r="AH35" i="8" s="1"/>
  <c r="AH35" i="11" s="1" a="1"/>
  <c r="AH35" i="11" s="1"/>
  <c r="AH36" i="8" a="1"/>
  <c r="AH36" i="8" s="1"/>
  <c r="AH36" i="11" s="1" a="1"/>
  <c r="AH36" i="11" s="1"/>
  <c r="AH37" i="8" a="1"/>
  <c r="AH37" i="8" s="1"/>
  <c r="AH37" i="11" s="1" a="1"/>
  <c r="AH37" i="11" s="1"/>
  <c r="AH39" i="8" a="1"/>
  <c r="AH39" i="8" s="1"/>
  <c r="AH39" i="11" s="1" a="1"/>
  <c r="AH39" i="11" s="1"/>
  <c r="AH40" i="8" a="1"/>
  <c r="AH40" i="8" s="1"/>
  <c r="AH40" i="11" s="1" a="1"/>
  <c r="AH40" i="11" s="1"/>
  <c r="AH41" i="8" a="1"/>
  <c r="AH41" i="8" s="1"/>
  <c r="AH41" i="11" s="1" a="1"/>
  <c r="AH41" i="11" s="1"/>
  <c r="AH42" i="8" a="1"/>
  <c r="AH42" i="8" s="1"/>
  <c r="AH42" i="11" s="1" a="1"/>
  <c r="AH42" i="11" s="1"/>
  <c r="AH43" i="8" a="1"/>
  <c r="AH43" i="8" s="1"/>
  <c r="AH43" i="11" s="1" a="1"/>
  <c r="AH43" i="11" s="1"/>
  <c r="AH44" i="8" a="1"/>
  <c r="AH44" i="8" s="1"/>
  <c r="AH44" i="11" s="1" a="1"/>
  <c r="AH44" i="11" s="1"/>
  <c r="AH45" i="8" a="1"/>
  <c r="AH45" i="8" s="1"/>
  <c r="AH45" i="11" s="1" a="1"/>
  <c r="AH45" i="11" s="1"/>
  <c r="AH46" i="8" a="1"/>
  <c r="AH46" i="8" s="1"/>
  <c r="AH46" i="11" s="1" a="1"/>
  <c r="AH46" i="11" s="1"/>
  <c r="AH47" i="8" a="1"/>
  <c r="AH47" i="8" s="1"/>
  <c r="AH47" i="11" s="1" a="1"/>
  <c r="AH47" i="11" s="1"/>
  <c r="AH48" i="8" a="1"/>
  <c r="AH48" i="8" s="1"/>
  <c r="AH48" i="11" s="1" a="1"/>
  <c r="AH48" i="11" s="1"/>
  <c r="AH49" i="8" a="1"/>
  <c r="AH49" i="8" s="1"/>
  <c r="AH49" i="11" s="1" a="1"/>
  <c r="AH49" i="11" s="1"/>
  <c r="AH50" i="8" a="1"/>
  <c r="AH50" i="8" s="1"/>
  <c r="AH50" i="11" s="1" a="1"/>
  <c r="AH50" i="11" s="1"/>
  <c r="AH51" i="8" a="1"/>
  <c r="AH51" i="8" s="1"/>
  <c r="AH51" i="11" s="1" a="1"/>
  <c r="AH51" i="11" s="1"/>
  <c r="AH52" i="8" a="1"/>
  <c r="AH52" i="8" s="1"/>
  <c r="AH52" i="11" s="1" a="1"/>
  <c r="AH52" i="11" s="1"/>
  <c r="AH53" i="8" a="1"/>
  <c r="AH53" i="8" s="1"/>
  <c r="AH53" i="11" s="1" a="1"/>
  <c r="AH53" i="11" s="1"/>
  <c r="AH54" i="8" a="1"/>
  <c r="AH54" i="8" s="1"/>
  <c r="AH54" i="11" s="1" a="1"/>
  <c r="AH54" i="11" s="1"/>
  <c r="AH55" i="8" a="1"/>
  <c r="AH55" i="8" s="1"/>
  <c r="AH55" i="11" s="1" a="1"/>
  <c r="AH55" i="11" s="1"/>
  <c r="AH56" i="8" a="1"/>
  <c r="AH56" i="8" s="1"/>
  <c r="AH56" i="11" s="1" a="1"/>
  <c r="AH56" i="11" s="1"/>
  <c r="AH57" i="8" a="1"/>
  <c r="AH57" i="8" s="1"/>
  <c r="AH57" i="11" s="1" a="1"/>
  <c r="AH57" i="11" s="1"/>
  <c r="AH58" i="8" a="1"/>
  <c r="AH58" i="8" s="1"/>
  <c r="AH58" i="11" s="1" a="1"/>
  <c r="AH58" i="11" s="1"/>
  <c r="AH59" i="8" a="1"/>
  <c r="AH59" i="8" s="1"/>
  <c r="AH59" i="11" s="1" a="1"/>
  <c r="AH59" i="11" s="1"/>
  <c r="AH60" i="8" a="1"/>
  <c r="AH60" i="8" s="1"/>
  <c r="AH60" i="11" s="1" a="1"/>
  <c r="AH60" i="11" s="1"/>
  <c r="AH61" i="8" a="1"/>
  <c r="AH61" i="8" s="1"/>
  <c r="AH61" i="11" s="1" a="1"/>
  <c r="AH61" i="11" s="1"/>
  <c r="AH62" i="8" a="1"/>
  <c r="AH62" i="8" s="1"/>
  <c r="AH62" i="11" s="1" a="1"/>
  <c r="AH62" i="11" s="1"/>
  <c r="AH63" i="8" a="1"/>
  <c r="AH63" i="8" s="1"/>
  <c r="AH63" i="11" s="1" a="1"/>
  <c r="AH63" i="11" s="1"/>
  <c r="AH64" i="8" a="1"/>
  <c r="AH64" i="8" s="1"/>
  <c r="AH64" i="11" s="1" a="1"/>
  <c r="AH64" i="11" s="1"/>
  <c r="AH65" i="8" a="1"/>
  <c r="AH65" i="8" s="1"/>
  <c r="AH65" i="11" s="1" a="1"/>
  <c r="AH65" i="11" s="1"/>
  <c r="AH66" i="8" a="1"/>
  <c r="AH66" i="8" s="1"/>
  <c r="AH66" i="11" s="1" a="1"/>
  <c r="AH66" i="11" s="1"/>
  <c r="AH67" i="8" a="1"/>
  <c r="AH67" i="8" s="1"/>
  <c r="AH67" i="11" s="1" a="1"/>
  <c r="AH67" i="11" s="1"/>
  <c r="AH68" i="8" a="1"/>
  <c r="AH68" i="8" s="1"/>
  <c r="AH68" i="11" s="1" a="1"/>
  <c r="AH68" i="11" s="1"/>
  <c r="AH69" i="8" a="1"/>
  <c r="AH69" i="8" s="1"/>
  <c r="AH69" i="11" s="1" a="1"/>
  <c r="AH69" i="11" s="1"/>
  <c r="AH70" i="8" a="1"/>
  <c r="AH70" i="8" s="1"/>
  <c r="AH70" i="11" s="1" a="1"/>
  <c r="AH70" i="11" s="1"/>
  <c r="AH71" i="8" a="1"/>
  <c r="AH71" i="8" s="1"/>
  <c r="AH71" i="11" s="1" a="1"/>
  <c r="AH71" i="11" s="1"/>
  <c r="AH72" i="8" a="1"/>
  <c r="AH72" i="8" s="1"/>
  <c r="AH72" i="11" s="1" a="1"/>
  <c r="AH72" i="11" s="1"/>
  <c r="AH73" i="8" a="1"/>
  <c r="AH73" i="8" s="1"/>
  <c r="AH73" i="11" s="1" a="1"/>
  <c r="AH73" i="11" s="1"/>
  <c r="AH74" i="8" a="1"/>
  <c r="AH74" i="8" s="1"/>
  <c r="AH74" i="11" s="1" a="1"/>
  <c r="AH74" i="11" s="1"/>
  <c r="AH75" i="8" a="1"/>
  <c r="AH75" i="8" s="1"/>
  <c r="AH75" i="11" s="1" a="1"/>
  <c r="AH75" i="11" s="1"/>
  <c r="AH76" i="8" a="1"/>
  <c r="AH76" i="8" s="1"/>
  <c r="AH76" i="11" s="1" a="1"/>
  <c r="AH76" i="11" s="1"/>
  <c r="AH77" i="8" a="1"/>
  <c r="AH77" i="8" s="1"/>
  <c r="AH77" i="11" s="1" a="1"/>
  <c r="AH77" i="11" s="1"/>
  <c r="AH78" i="8" a="1"/>
  <c r="AH78" i="8" s="1"/>
  <c r="AH78" i="11" s="1" a="1"/>
  <c r="AH78" i="11" s="1"/>
  <c r="AH79" i="8" a="1"/>
  <c r="AH79" i="8" s="1"/>
  <c r="AH79" i="11" s="1" a="1"/>
  <c r="AH79" i="11" s="1"/>
  <c r="AH80" i="8" a="1"/>
  <c r="AH80" i="8" s="1"/>
  <c r="AH80" i="11" s="1" a="1"/>
  <c r="AH80" i="11" s="1"/>
  <c r="AH81" i="8" a="1"/>
  <c r="AH81" i="8" s="1"/>
  <c r="AH81" i="11" s="1" a="1"/>
  <c r="AH81" i="11" s="1"/>
  <c r="AH82" i="8" a="1"/>
  <c r="AH82" i="8" s="1"/>
  <c r="AH82" i="11" s="1" a="1"/>
  <c r="AH82" i="11" s="1"/>
  <c r="AH83" i="8" a="1"/>
  <c r="AH83" i="8" s="1"/>
  <c r="AH83" i="11" s="1" a="1"/>
  <c r="AH83" i="11" s="1"/>
  <c r="AH84" i="8" a="1"/>
  <c r="AH84" i="8" s="1"/>
  <c r="AH84" i="11" s="1" a="1"/>
  <c r="AH84" i="11" s="1"/>
  <c r="AH85" i="8" a="1"/>
  <c r="AH85" i="8" s="1"/>
  <c r="AH85" i="11" s="1" a="1"/>
  <c r="AH85" i="11" s="1"/>
  <c r="AH86" i="8" a="1"/>
  <c r="AH86" i="8" s="1"/>
  <c r="AH86" i="11" s="1" a="1"/>
  <c r="AH86" i="11" s="1"/>
  <c r="AH87" i="8" a="1"/>
  <c r="AH87" i="8" s="1"/>
  <c r="AH87" i="11" s="1" a="1"/>
  <c r="AH87" i="11" s="1"/>
  <c r="AH88" i="8" a="1"/>
  <c r="AH88" i="8" s="1"/>
  <c r="AH88" i="11" s="1" a="1"/>
  <c r="AH88" i="11" s="1"/>
  <c r="AH89" i="8" a="1"/>
  <c r="AH89" i="8" s="1"/>
  <c r="AH89" i="11" s="1" a="1"/>
  <c r="AH89" i="11" s="1"/>
  <c r="AH90" i="8" a="1"/>
  <c r="AH90" i="8" s="1"/>
  <c r="AH90" i="11" s="1" a="1"/>
  <c r="AH90" i="11" s="1"/>
  <c r="AH91" i="8" a="1"/>
  <c r="AH91" i="8" s="1"/>
  <c r="AH91" i="11" s="1" a="1"/>
  <c r="AH91" i="11" s="1"/>
  <c r="AH92" i="8" a="1"/>
  <c r="AH92" i="8" s="1"/>
  <c r="AH92" i="11" s="1" a="1"/>
  <c r="AH92" i="11" s="1"/>
  <c r="AH93" i="8" a="1"/>
  <c r="AH93" i="8" s="1"/>
  <c r="AH93" i="11" s="1" a="1"/>
  <c r="AH93" i="11" s="1"/>
  <c r="AH94" i="8" a="1"/>
  <c r="AH94" i="8" s="1"/>
  <c r="AH94" i="11" s="1" a="1"/>
  <c r="AH94" i="11" s="1"/>
  <c r="AH95" i="8" a="1"/>
  <c r="AH95" i="8" s="1"/>
  <c r="AH95" i="11" s="1" a="1"/>
  <c r="AH95" i="11" s="1"/>
  <c r="AH96" i="8" a="1"/>
  <c r="AH96" i="8" s="1"/>
  <c r="AH96" i="11" s="1" a="1"/>
  <c r="AH96" i="11" s="1"/>
  <c r="AH97" i="8" a="1"/>
  <c r="AH97" i="8" s="1"/>
  <c r="AH97" i="11" s="1" a="1"/>
  <c r="AH97" i="11" s="1"/>
  <c r="AH98" i="8" a="1"/>
  <c r="AH98" i="8" s="1"/>
  <c r="AH98" i="11" s="1" a="1"/>
  <c r="AH98" i="11" s="1"/>
  <c r="AH99" i="8" a="1"/>
  <c r="AH99" i="8" s="1"/>
  <c r="AH99" i="11" s="1" a="1"/>
  <c r="AH99" i="11" s="1"/>
  <c r="AH100" i="8" a="1"/>
  <c r="AH100" i="8" s="1"/>
  <c r="AH100" i="11" s="1" a="1"/>
  <c r="AH100" i="11" s="1"/>
  <c r="AH101" i="8" a="1"/>
  <c r="AH101" i="8" s="1"/>
  <c r="AH101" i="11" s="1" a="1"/>
  <c r="AH101" i="11" s="1"/>
  <c r="AH102" i="8" a="1"/>
  <c r="AH102" i="8" s="1"/>
  <c r="AH102" i="11" s="1" a="1"/>
  <c r="AH102" i="11" s="1"/>
  <c r="AH103" i="8" a="1"/>
  <c r="AH103" i="8" s="1"/>
  <c r="AH103" i="11" s="1" a="1"/>
  <c r="AH103" i="11" s="1"/>
  <c r="AH104" i="8" a="1"/>
  <c r="AH104" i="8" s="1"/>
  <c r="AH104" i="11" s="1" a="1"/>
  <c r="AH104" i="11" s="1"/>
  <c r="AH105" i="8" a="1"/>
  <c r="AH105" i="8" s="1"/>
  <c r="AH105" i="11" s="1" a="1"/>
  <c r="AH105" i="11" s="1"/>
  <c r="AH106" i="8" a="1"/>
  <c r="AH106" i="8" s="1"/>
  <c r="AH106" i="11" s="1" a="1"/>
  <c r="AH106" i="11" s="1"/>
  <c r="AH107" i="8" a="1"/>
  <c r="AH107" i="8" s="1"/>
  <c r="AH107" i="11" s="1" a="1"/>
  <c r="AH107" i="11" s="1"/>
  <c r="AH108" i="8" a="1"/>
  <c r="AH108" i="8" s="1"/>
  <c r="AH108" i="11" s="1" a="1"/>
  <c r="AH108" i="11" s="1"/>
  <c r="AH109" i="8" a="1"/>
  <c r="AH109" i="8" s="1"/>
  <c r="AH109" i="11" s="1" a="1"/>
  <c r="AH109" i="11" s="1"/>
  <c r="AH110" i="8" a="1"/>
  <c r="AH110" i="8" s="1"/>
  <c r="AH110" i="11" s="1" a="1"/>
  <c r="AH110" i="11" s="1"/>
  <c r="AH111" i="8" a="1"/>
  <c r="AH111" i="8" s="1"/>
  <c r="AH111" i="11" s="1" a="1"/>
  <c r="AH111" i="11" s="1"/>
  <c r="AH112" i="8" a="1"/>
  <c r="AH112" i="8" s="1"/>
  <c r="AH112" i="11" s="1" a="1"/>
  <c r="AH112" i="11" s="1"/>
  <c r="AH113" i="8" a="1"/>
  <c r="AH113" i="8" s="1"/>
  <c r="AH113" i="11" s="1" a="1"/>
  <c r="AH113" i="11" s="1"/>
  <c r="AH114" i="8" a="1"/>
  <c r="AH114" i="8" s="1"/>
  <c r="AH114" i="11" s="1" a="1"/>
  <c r="AH114" i="11" s="1"/>
  <c r="AH115" i="8" a="1"/>
  <c r="AH115" i="8" s="1"/>
  <c r="AH115" i="11" s="1" a="1"/>
  <c r="AH115" i="11" s="1"/>
  <c r="AH116" i="8" a="1"/>
  <c r="AH116" i="8" s="1"/>
  <c r="AH116" i="11" s="1" a="1"/>
  <c r="AH116" i="11" s="1"/>
  <c r="AH117" i="8" a="1"/>
  <c r="AH117" i="8" s="1"/>
  <c r="AH117" i="11" s="1" a="1"/>
  <c r="AH117" i="11" s="1"/>
  <c r="AH118" i="8" a="1"/>
  <c r="AH118" i="8" s="1"/>
  <c r="AH118" i="11" s="1" a="1"/>
  <c r="AH118" i="11" s="1"/>
  <c r="AH119" i="8" a="1"/>
  <c r="AH119" i="8" s="1"/>
  <c r="AH119" i="11" s="1" a="1"/>
  <c r="AH119" i="11" s="1"/>
  <c r="AH120" i="8" a="1"/>
  <c r="AH120" i="8" s="1"/>
  <c r="AH120" i="11" s="1" a="1"/>
  <c r="AH120" i="11" s="1"/>
  <c r="AH121" i="8" a="1"/>
  <c r="AH121" i="8" s="1"/>
  <c r="AH121" i="11" s="1" a="1"/>
  <c r="AH121" i="11" s="1"/>
  <c r="AH122" i="8" a="1"/>
  <c r="AH122" i="8" s="1"/>
  <c r="AH122" i="11" s="1" a="1"/>
  <c r="AH122" i="11" s="1"/>
  <c r="AH123" i="8" a="1"/>
  <c r="AH123" i="8" s="1"/>
  <c r="AH123" i="11" s="1" a="1"/>
  <c r="AH123" i="11" s="1"/>
  <c r="AH124" i="8" a="1"/>
  <c r="AH124" i="8" s="1"/>
  <c r="AH124" i="11" s="1" a="1"/>
  <c r="AH124" i="11" s="1"/>
  <c r="AH125" i="8" a="1"/>
  <c r="AH125" i="8" s="1"/>
  <c r="AH125" i="11" s="1" a="1"/>
  <c r="AH125" i="11" s="1"/>
  <c r="AH126" i="8" a="1"/>
  <c r="AH126" i="8" s="1"/>
  <c r="AH126" i="11" s="1" a="1"/>
  <c r="AH126" i="11" s="1"/>
  <c r="AH127" i="8" a="1"/>
  <c r="AH127" i="8" s="1"/>
  <c r="AH127" i="11" s="1" a="1"/>
  <c r="AH127" i="11" s="1"/>
  <c r="AH128" i="8" a="1"/>
  <c r="AH128" i="8" s="1"/>
  <c r="AH128" i="11" s="1" a="1"/>
  <c r="AH128" i="11" s="1"/>
  <c r="AH129" i="8" a="1"/>
  <c r="AH129" i="8" s="1"/>
  <c r="AH129" i="11" s="1" a="1"/>
  <c r="AH129" i="11" s="1"/>
  <c r="AH130" i="8" a="1"/>
  <c r="AH130" i="8" s="1"/>
  <c r="AH130" i="11" s="1" a="1"/>
  <c r="AH130" i="11" s="1"/>
  <c r="AH131" i="8" a="1"/>
  <c r="AH131" i="8" s="1"/>
  <c r="AH131" i="11" s="1" a="1"/>
  <c r="AH131" i="11" s="1"/>
  <c r="AH132" i="8" a="1"/>
  <c r="AH132" i="8" s="1"/>
  <c r="AH132" i="11" s="1" a="1"/>
  <c r="AH132" i="11" s="1"/>
  <c r="AH133" i="8" a="1"/>
  <c r="AH133" i="8" s="1"/>
  <c r="AH133" i="11" s="1" a="1"/>
  <c r="AH133" i="11" s="1"/>
  <c r="AH134" i="8" a="1"/>
  <c r="AH134" i="8" s="1"/>
  <c r="AH134" i="11" s="1" a="1"/>
  <c r="AH134" i="11" s="1"/>
  <c r="AH135" i="8" a="1"/>
  <c r="AH135" i="8" s="1"/>
  <c r="AH135" i="11" s="1" a="1"/>
  <c r="AH135" i="11" s="1"/>
  <c r="AH136" i="8" a="1"/>
  <c r="AH136" i="8" s="1"/>
  <c r="AH136" i="11" s="1" a="1"/>
  <c r="AH136" i="11" s="1"/>
  <c r="AH137" i="8" a="1"/>
  <c r="AH137" i="8" s="1"/>
  <c r="AH137" i="11" s="1" a="1"/>
  <c r="AH137" i="11" s="1"/>
  <c r="AH138" i="8" a="1"/>
  <c r="AH138" i="8" s="1"/>
  <c r="AH138" i="11" s="1" a="1"/>
  <c r="AH138" i="11" s="1"/>
  <c r="AH139" i="8" a="1"/>
  <c r="AH139" i="8" s="1"/>
  <c r="AH139" i="11" s="1" a="1"/>
  <c r="AH139" i="11" s="1"/>
  <c r="AH140" i="8" a="1"/>
  <c r="AH140" i="8" s="1"/>
  <c r="AH140" i="11" s="1" a="1"/>
  <c r="AH140" i="11" s="1"/>
  <c r="AH141" i="8" a="1"/>
  <c r="AH141" i="8" s="1"/>
  <c r="AH141" i="11" s="1" a="1"/>
  <c r="AH141" i="11" s="1"/>
  <c r="AH142" i="8" a="1"/>
  <c r="AH142" i="8" s="1"/>
  <c r="AH142" i="11" s="1" a="1"/>
  <c r="AH142" i="11" s="1"/>
  <c r="AH143" i="8" a="1"/>
  <c r="AH143" i="8" s="1"/>
  <c r="AH143" i="11" s="1" a="1"/>
  <c r="AH143" i="11" s="1"/>
  <c r="AH144" i="8" a="1"/>
  <c r="AH144" i="8" s="1"/>
  <c r="AH144" i="11" s="1" a="1"/>
  <c r="AH144" i="11" s="1"/>
  <c r="AH145" i="8" a="1"/>
  <c r="AH145" i="8" s="1"/>
  <c r="AH145" i="11" s="1" a="1"/>
  <c r="AH145" i="11" s="1"/>
  <c r="AH146" i="8" a="1"/>
  <c r="AH146" i="8" s="1"/>
  <c r="AH146" i="11" s="1" a="1"/>
  <c r="AH146" i="11" s="1"/>
  <c r="AH147" i="8" a="1"/>
  <c r="AH147" i="8" s="1"/>
  <c r="AH147" i="11" s="1" a="1"/>
  <c r="AH147" i="11" s="1"/>
  <c r="AH148" i="8" a="1"/>
  <c r="AH148" i="8" s="1"/>
  <c r="AH148" i="11" s="1" a="1"/>
  <c r="AH148" i="11" s="1"/>
  <c r="AH149" i="8" a="1"/>
  <c r="AH149" i="8" s="1"/>
  <c r="AH149" i="11" s="1" a="1"/>
  <c r="AH149" i="11" s="1"/>
  <c r="AH150" i="8" a="1"/>
  <c r="AH150" i="8" s="1"/>
  <c r="AH150" i="11" s="1" a="1"/>
  <c r="AH150" i="11" s="1"/>
  <c r="AH151" i="8" a="1"/>
  <c r="AH151" i="8" s="1"/>
  <c r="AH151" i="11" s="1" a="1"/>
  <c r="AH151" i="11" s="1"/>
  <c r="AH152" i="8" a="1"/>
  <c r="AH152" i="8" s="1"/>
  <c r="AH152" i="11" s="1" a="1"/>
  <c r="AH152" i="11" s="1"/>
  <c r="AH153" i="8" a="1"/>
  <c r="AH153" i="8" s="1"/>
  <c r="AH153" i="11" s="1" a="1"/>
  <c r="AH153" i="11" s="1"/>
  <c r="AH154" i="8" a="1"/>
  <c r="AH154" i="8" s="1"/>
  <c r="AH154" i="11" s="1" a="1"/>
  <c r="AH154" i="11" s="1"/>
  <c r="AH155" i="8" a="1"/>
  <c r="AH155" i="8" s="1"/>
  <c r="AH155" i="11" s="1" a="1"/>
  <c r="AH155" i="11" s="1"/>
  <c r="AH156" i="8" a="1"/>
  <c r="AH156" i="8" s="1"/>
  <c r="AH156" i="11" s="1" a="1"/>
  <c r="AH156" i="11" s="1"/>
  <c r="AH157" i="8" a="1"/>
  <c r="AH157" i="8" s="1"/>
  <c r="AH157" i="11" s="1" a="1"/>
  <c r="AH157" i="11" s="1"/>
  <c r="AH158" i="8" a="1"/>
  <c r="AH158" i="8" s="1"/>
  <c r="AH158" i="11" s="1" a="1"/>
  <c r="AH158" i="11" s="1"/>
  <c r="AH159" i="8" a="1"/>
  <c r="AH159" i="8" s="1"/>
  <c r="AH159" i="11" s="1" a="1"/>
  <c r="AH159" i="11" s="1"/>
  <c r="AH160" i="8" a="1"/>
  <c r="AH160" i="8" s="1"/>
  <c r="AH160" i="11" s="1" a="1"/>
  <c r="AH160" i="11" s="1"/>
  <c r="AH161" i="8" a="1"/>
  <c r="AH161" i="8" s="1"/>
  <c r="AH161" i="11" s="1" a="1"/>
  <c r="AH161" i="11" s="1"/>
  <c r="AH162" i="8" a="1"/>
  <c r="AH162" i="8" s="1"/>
  <c r="AH162" i="11" s="1" a="1"/>
  <c r="AH162" i="11" s="1"/>
  <c r="AH163" i="8" a="1"/>
  <c r="AH163" i="8" s="1"/>
  <c r="AH163" i="11" s="1" a="1"/>
  <c r="AH163" i="11" s="1"/>
  <c r="AH164" i="8" a="1"/>
  <c r="AH164" i="8" s="1"/>
  <c r="AH164" i="11" s="1" a="1"/>
  <c r="AH164" i="11" s="1"/>
  <c r="AH165" i="8" a="1"/>
  <c r="AH165" i="8" s="1"/>
  <c r="AH165" i="11" s="1" a="1"/>
  <c r="AH165" i="11" s="1"/>
  <c r="AH166" i="8" a="1"/>
  <c r="AH166" i="8" s="1"/>
  <c r="AH166" i="11" s="1" a="1"/>
  <c r="AH166" i="11" s="1"/>
  <c r="AH167" i="8" a="1"/>
  <c r="AH167" i="8" s="1"/>
  <c r="AH167" i="11" s="1" a="1"/>
  <c r="AH167" i="11" s="1"/>
  <c r="AH168" i="8" a="1"/>
  <c r="AH168" i="8" s="1"/>
  <c r="AH168" i="11" s="1" a="1"/>
  <c r="AH168" i="11" s="1"/>
  <c r="AH169" i="8" a="1"/>
  <c r="AH169" i="8" s="1"/>
  <c r="AH169" i="11" s="1" a="1"/>
  <c r="AH169" i="11" s="1"/>
  <c r="AH170" i="8" a="1"/>
  <c r="AH170" i="8" s="1"/>
  <c r="AH170" i="11" s="1" a="1"/>
  <c r="AH170" i="11" s="1"/>
  <c r="AH171" i="8" a="1"/>
  <c r="AH171" i="8" s="1"/>
  <c r="AH171" i="11" s="1" a="1"/>
  <c r="AH171" i="11" s="1"/>
  <c r="AH172" i="8" a="1"/>
  <c r="AH172" i="8" s="1"/>
  <c r="AH172" i="11" s="1" a="1"/>
  <c r="AH172" i="11" s="1"/>
  <c r="AH173" i="8" a="1"/>
  <c r="AH173" i="8" s="1"/>
  <c r="AH173" i="11" s="1" a="1"/>
  <c r="AH173" i="11" s="1"/>
  <c r="AH174" i="8" a="1"/>
  <c r="AH174" i="8" s="1"/>
  <c r="AH174" i="11" s="1" a="1"/>
  <c r="AH174" i="11" s="1"/>
  <c r="AH175" i="8" a="1"/>
  <c r="AH175" i="8" s="1"/>
  <c r="AH175" i="11" s="1" a="1"/>
  <c r="AH175" i="11" s="1"/>
  <c r="AH176" i="8" a="1"/>
  <c r="AH176" i="8" s="1"/>
  <c r="AH176" i="11" s="1" a="1"/>
  <c r="AH176" i="11" s="1"/>
  <c r="AH177" i="8" a="1"/>
  <c r="AH177" i="8" s="1"/>
  <c r="AH177" i="11" s="1" a="1"/>
  <c r="AH177" i="11" s="1"/>
  <c r="AH178" i="8" a="1"/>
  <c r="AH178" i="8" s="1"/>
  <c r="AH178" i="11" s="1" a="1"/>
  <c r="AH178" i="11" s="1"/>
  <c r="AH179" i="8" a="1"/>
  <c r="AH179" i="8" s="1"/>
  <c r="AH179" i="11" s="1" a="1"/>
  <c r="AH179" i="11" s="1"/>
  <c r="AH180" i="8" a="1"/>
  <c r="AH180" i="8" s="1"/>
  <c r="AH180" i="11" s="1" a="1"/>
  <c r="AH180" i="11" s="1"/>
  <c r="AH181" i="8" a="1"/>
  <c r="AH181" i="8" s="1"/>
  <c r="AH181" i="11" s="1" a="1"/>
  <c r="AH181" i="11" s="1"/>
  <c r="AH182" i="8" a="1"/>
  <c r="AH182" i="8" s="1"/>
  <c r="AH182" i="11" s="1" a="1"/>
  <c r="AH182" i="11" s="1"/>
  <c r="AH183" i="8" a="1"/>
  <c r="AH183" i="8" s="1"/>
  <c r="AH183" i="11" s="1" a="1"/>
  <c r="AH183" i="11" s="1"/>
  <c r="AH184" i="8" a="1"/>
  <c r="AH184" i="8" s="1"/>
  <c r="AH184" i="11" s="1" a="1"/>
  <c r="AH184" i="11" s="1"/>
  <c r="AH185" i="8" a="1"/>
  <c r="AH185" i="8" s="1"/>
  <c r="AH185" i="11" s="1" a="1"/>
  <c r="AH185" i="11" s="1"/>
  <c r="AH186" i="8" a="1"/>
  <c r="AH186" i="8" s="1"/>
  <c r="AH186" i="11" s="1" a="1"/>
  <c r="AH186" i="11" s="1"/>
  <c r="AH187" i="8" a="1"/>
  <c r="AH187" i="8" s="1"/>
  <c r="AH187" i="11" s="1" a="1"/>
  <c r="AH187" i="11" s="1"/>
  <c r="AH188" i="8" a="1"/>
  <c r="AH188" i="8" s="1"/>
  <c r="AH188" i="11" s="1" a="1"/>
  <c r="AH188" i="11" s="1"/>
  <c r="AH189" i="8" a="1"/>
  <c r="AH189" i="8" s="1"/>
  <c r="AH189" i="11" s="1" a="1"/>
  <c r="AH189" i="11" s="1"/>
  <c r="AH190" i="8" a="1"/>
  <c r="AH190" i="8" s="1"/>
  <c r="AH190" i="11" s="1" a="1"/>
  <c r="AH190" i="11" s="1"/>
  <c r="AH191" i="8" a="1"/>
  <c r="AH191" i="8" s="1"/>
  <c r="AH191" i="11" s="1" a="1"/>
  <c r="AH191" i="11" s="1"/>
  <c r="AH192" i="8" a="1"/>
  <c r="AH192" i="8" s="1"/>
  <c r="AH192" i="11" s="1" a="1"/>
  <c r="AH192" i="11" s="1"/>
  <c r="AH193" i="8" a="1"/>
  <c r="AH193" i="8" s="1"/>
  <c r="AH193" i="11" s="1" a="1"/>
  <c r="AH193" i="11" s="1"/>
  <c r="AH194" i="8" a="1"/>
  <c r="AH194" i="8" s="1"/>
  <c r="AH194" i="11" s="1" a="1"/>
  <c r="AH194" i="11" s="1"/>
  <c r="AH195" i="8" a="1"/>
  <c r="AH195" i="8" s="1"/>
  <c r="AH195" i="11" s="1" a="1"/>
  <c r="AH195" i="11" s="1"/>
  <c r="AH196" i="8" a="1"/>
  <c r="AH196" i="8" s="1"/>
  <c r="AH196" i="11" s="1" a="1"/>
  <c r="AH196" i="11" s="1"/>
  <c r="AH197" i="8" a="1"/>
  <c r="AH197" i="8" s="1"/>
  <c r="AH197" i="11" s="1" a="1"/>
  <c r="AH197" i="11" s="1"/>
  <c r="AH198" i="8" a="1"/>
  <c r="AH198" i="8" s="1"/>
  <c r="AH198" i="11" s="1" a="1"/>
  <c r="AH198" i="11" s="1"/>
  <c r="AH199" i="8" a="1"/>
  <c r="AH199" i="8" s="1"/>
  <c r="AH199" i="11" s="1" a="1"/>
  <c r="AH199" i="11" s="1"/>
  <c r="AH200" i="8" a="1"/>
  <c r="AH200" i="8" s="1"/>
  <c r="AH200" i="11" s="1" a="1"/>
  <c r="AH200" i="11" s="1"/>
  <c r="AH201" i="8" a="1"/>
  <c r="AH201" i="8" s="1"/>
  <c r="AH201" i="11" s="1" a="1"/>
  <c r="AH201" i="11" s="1"/>
  <c r="AH202" i="8" a="1"/>
  <c r="AH202" i="8" s="1"/>
  <c r="AH202" i="11" s="1" a="1"/>
  <c r="AH202" i="11" s="1"/>
  <c r="AH203" i="8" a="1"/>
  <c r="AH203" i="8" s="1"/>
  <c r="AH203" i="11" s="1" a="1"/>
  <c r="AH203" i="11" s="1"/>
  <c r="AH204" i="8" a="1"/>
  <c r="AH204" i="8" s="1"/>
  <c r="AH204" i="11" s="1" a="1"/>
  <c r="AH204" i="11" s="1"/>
  <c r="AH205" i="8" a="1"/>
  <c r="AH205" i="8" s="1"/>
  <c r="AH205" i="11" s="1" a="1"/>
  <c r="AH205" i="11" s="1"/>
  <c r="AH206" i="8" a="1"/>
  <c r="AH206" i="8" s="1"/>
  <c r="AH206" i="11" s="1" a="1"/>
  <c r="AH206" i="11" s="1"/>
  <c r="AH207" i="8" a="1"/>
  <c r="AH207" i="8" s="1"/>
  <c r="AH207" i="11" s="1" a="1"/>
  <c r="AH207" i="11" s="1"/>
  <c r="AH208" i="8" a="1"/>
  <c r="AH208" i="8" s="1"/>
  <c r="AH208" i="11" s="1" a="1"/>
  <c r="AH208" i="11" s="1"/>
  <c r="AH209" i="8" a="1"/>
  <c r="AH209" i="8" s="1"/>
  <c r="AH209" i="11" s="1" a="1"/>
  <c r="AH209" i="11" s="1"/>
  <c r="AH210" i="8" a="1"/>
  <c r="AH210" i="8" s="1"/>
  <c r="AH210" i="11" s="1" a="1"/>
  <c r="AH210" i="11" s="1"/>
  <c r="AH211" i="8" a="1"/>
  <c r="AH211" i="8" s="1"/>
  <c r="AH211" i="11" s="1" a="1"/>
  <c r="AH211" i="11" s="1"/>
  <c r="AH212" i="8" a="1"/>
  <c r="AH212" i="8" s="1"/>
  <c r="AH212" i="11" s="1" a="1"/>
  <c r="AH212" i="11" s="1"/>
  <c r="AH213" i="8" a="1"/>
  <c r="AH213" i="8" s="1"/>
  <c r="AH213" i="11" s="1" a="1"/>
  <c r="AH213" i="11" s="1"/>
  <c r="AH214" i="8" a="1"/>
  <c r="AH214" i="8" s="1"/>
  <c r="AH214" i="11" s="1" a="1"/>
  <c r="AH214" i="11" s="1"/>
  <c r="AH215" i="8" a="1"/>
  <c r="AH215" i="8" s="1"/>
  <c r="AH215" i="11" s="1" a="1"/>
  <c r="AH215" i="11" s="1"/>
  <c r="AH216" i="8" a="1"/>
  <c r="AH216" i="8" s="1"/>
  <c r="AH216" i="11" s="1" a="1"/>
  <c r="AH216" i="11" s="1"/>
  <c r="AH217" i="8" a="1"/>
  <c r="AH217" i="8" s="1"/>
  <c r="AH217" i="11" s="1" a="1"/>
  <c r="AH217" i="11" s="1"/>
  <c r="AH218" i="8" a="1"/>
  <c r="AH218" i="8" s="1"/>
  <c r="AH218" i="11" s="1" a="1"/>
  <c r="AH218" i="11" s="1"/>
  <c r="AH219" i="8" a="1"/>
  <c r="AH219" i="8" s="1"/>
  <c r="AH219" i="11" s="1" a="1"/>
  <c r="AH219" i="11" s="1"/>
  <c r="AH220" i="8" a="1"/>
  <c r="AH220" i="8" s="1"/>
  <c r="AH220" i="11" s="1" a="1"/>
  <c r="AH220" i="11" s="1"/>
  <c r="AH221" i="8" a="1"/>
  <c r="AH221" i="8" s="1"/>
  <c r="AH221" i="11" s="1" a="1"/>
  <c r="AH221" i="11" s="1"/>
  <c r="AH222" i="8" a="1"/>
  <c r="AH222" i="8" s="1"/>
  <c r="AH222" i="11" s="1" a="1"/>
  <c r="AH222" i="11" s="1"/>
  <c r="AH223" i="8" a="1"/>
  <c r="AH223" i="8" s="1"/>
  <c r="AH223" i="11" s="1" a="1"/>
  <c r="AH223" i="11" s="1"/>
  <c r="AH224" i="8" a="1"/>
  <c r="AH224" i="8" s="1"/>
  <c r="AH224" i="11" s="1" a="1"/>
  <c r="AH224" i="11" s="1"/>
  <c r="AH225" i="8" a="1"/>
  <c r="AH225" i="8" s="1"/>
  <c r="AH225" i="11" s="1" a="1"/>
  <c r="AH225" i="11" s="1"/>
  <c r="AH226" i="8" a="1"/>
  <c r="AH226" i="8" s="1"/>
  <c r="AH226" i="11" s="1" a="1"/>
  <c r="AH226" i="11" s="1"/>
  <c r="AH227" i="8" a="1"/>
  <c r="AH227" i="8" s="1"/>
  <c r="AH227" i="11" s="1" a="1"/>
  <c r="AH227" i="11" s="1"/>
  <c r="AH228" i="8" a="1"/>
  <c r="AH228" i="8" s="1"/>
  <c r="AH228" i="11" s="1" a="1"/>
  <c r="AH228" i="11" s="1"/>
  <c r="AH229" i="8" a="1"/>
  <c r="AH229" i="8" s="1"/>
  <c r="AH229" i="11" s="1" a="1"/>
  <c r="AH229" i="11" s="1"/>
  <c r="AH230" i="8" a="1"/>
  <c r="AH230" i="8" s="1"/>
  <c r="AH230" i="11" s="1" a="1"/>
  <c r="AH230" i="11" s="1"/>
  <c r="AH231" i="8" a="1"/>
  <c r="AH231" i="8" s="1"/>
  <c r="AH231" i="11" s="1" a="1"/>
  <c r="AH231" i="11" s="1"/>
  <c r="AH232" i="8" a="1"/>
  <c r="AH232" i="8" s="1"/>
  <c r="AH232" i="11" s="1" a="1"/>
  <c r="AH232" i="11" s="1"/>
  <c r="AH233" i="8" a="1"/>
  <c r="AH233" i="8" s="1"/>
  <c r="AH233" i="11" s="1" a="1"/>
  <c r="AH233" i="11" s="1"/>
  <c r="AH234" i="8" a="1"/>
  <c r="AH234" i="8" s="1"/>
  <c r="AH234" i="11" s="1" a="1"/>
  <c r="AH234" i="11" s="1"/>
  <c r="AH235" i="8" a="1"/>
  <c r="AH235" i="8" s="1"/>
  <c r="AH235" i="11" s="1" a="1"/>
  <c r="AH235" i="11" s="1"/>
  <c r="AH236" i="8" a="1"/>
  <c r="AH236" i="8" s="1"/>
  <c r="AH236" i="11" s="1" a="1"/>
  <c r="AH236" i="11" s="1"/>
  <c r="AH237" i="8" a="1"/>
  <c r="AH237" i="8" s="1"/>
  <c r="AH237" i="11" s="1" a="1"/>
  <c r="AH237" i="11" s="1"/>
  <c r="AH238" i="8" a="1"/>
  <c r="AH238" i="8" s="1"/>
  <c r="AH238" i="11" s="1" a="1"/>
  <c r="AH238" i="11" s="1"/>
  <c r="AH239" i="8" a="1"/>
  <c r="AH239" i="8" s="1"/>
  <c r="AH239" i="11" s="1" a="1"/>
  <c r="AH239" i="11" s="1"/>
  <c r="AH240" i="8" a="1"/>
  <c r="AH240" i="8" s="1"/>
  <c r="AH240" i="11" s="1" a="1"/>
  <c r="AH240" i="11" s="1"/>
  <c r="AH241" i="8" a="1"/>
  <c r="AH241" i="8" s="1"/>
  <c r="AH241" i="11" s="1" a="1"/>
  <c r="AH241" i="11" s="1"/>
  <c r="AH242" i="8" a="1"/>
  <c r="AH242" i="8" s="1"/>
  <c r="AH242" i="11" s="1" a="1"/>
  <c r="AH242" i="11" s="1"/>
  <c r="AH243" i="8" a="1"/>
  <c r="AH243" i="8" s="1"/>
  <c r="AH243" i="11" s="1" a="1"/>
  <c r="AH243" i="11" s="1"/>
  <c r="AH244" i="8" a="1"/>
  <c r="AH244" i="8" s="1"/>
  <c r="AH244" i="11" s="1" a="1"/>
  <c r="AH244" i="11" s="1"/>
  <c r="AH245" i="8" a="1"/>
  <c r="AH245" i="8" s="1"/>
  <c r="AH245" i="11" s="1" a="1"/>
  <c r="AH245" i="11" s="1"/>
  <c r="AH246" i="8" a="1"/>
  <c r="AH246" i="8" s="1"/>
  <c r="AH246" i="11" s="1" a="1"/>
  <c r="AH246" i="11" s="1"/>
  <c r="AH247" i="8" a="1"/>
  <c r="AH247" i="8" s="1"/>
  <c r="AH247" i="11" s="1" a="1"/>
  <c r="AH247" i="11" s="1"/>
  <c r="AH248" i="8" a="1"/>
  <c r="AH248" i="8" s="1"/>
  <c r="AH248" i="11" s="1" a="1"/>
  <c r="AH248" i="11" s="1"/>
  <c r="AH249" i="8" a="1"/>
  <c r="AH249" i="8" s="1"/>
  <c r="AH249" i="11" s="1" a="1"/>
  <c r="AH249" i="11" s="1"/>
  <c r="AH250" i="8" a="1"/>
  <c r="AH250" i="8" s="1"/>
  <c r="AH250" i="11" s="1" a="1"/>
  <c r="AH250" i="11" s="1"/>
  <c r="AG12" i="8" a="1"/>
  <c r="AG12" i="8" s="1"/>
  <c r="AG12" i="11" s="1" a="1"/>
  <c r="AG12" i="11" s="1"/>
  <c r="AG13" i="8" a="1"/>
  <c r="AG13" i="8" s="1"/>
  <c r="AG13" i="11" s="1" a="1"/>
  <c r="AG13" i="11" s="1"/>
  <c r="AG14" i="8" a="1"/>
  <c r="AG14" i="8" s="1"/>
  <c r="AG14" i="11" s="1" a="1"/>
  <c r="AG14" i="11" s="1"/>
  <c r="AG15" i="8" a="1"/>
  <c r="AG15" i="8" s="1"/>
  <c r="AG15" i="11" s="1" a="1"/>
  <c r="AG15" i="11" s="1"/>
  <c r="AG16" i="8" a="1"/>
  <c r="AG16" i="8" s="1"/>
  <c r="AG16" i="11" s="1" a="1"/>
  <c r="AG16" i="11" s="1"/>
  <c r="AG17" i="8" a="1"/>
  <c r="AG17" i="8" s="1"/>
  <c r="AG17" i="11" s="1" a="1"/>
  <c r="AG17" i="11" s="1"/>
  <c r="AG18" i="8" a="1"/>
  <c r="AG18" i="8" s="1"/>
  <c r="AG18" i="11" s="1" a="1"/>
  <c r="AG18" i="11" s="1"/>
  <c r="AG19" i="8" a="1"/>
  <c r="AG19" i="8" s="1"/>
  <c r="AG19" i="11" s="1" a="1"/>
  <c r="AG19" i="11" s="1"/>
  <c r="AG20" i="8" a="1"/>
  <c r="AG20" i="8" s="1"/>
  <c r="AG20" i="11" s="1" a="1"/>
  <c r="AG20" i="11" s="1"/>
  <c r="AG21" i="8" a="1"/>
  <c r="AG21" i="8" s="1"/>
  <c r="AG21" i="11" s="1" a="1"/>
  <c r="AG21" i="11" s="1"/>
  <c r="AG22" i="8" a="1"/>
  <c r="AG22" i="8" s="1"/>
  <c r="AG22" i="11" s="1" a="1"/>
  <c r="AG22" i="11" s="1"/>
  <c r="AG23" i="8" a="1"/>
  <c r="AG23" i="8" s="1"/>
  <c r="AG23" i="11" s="1" a="1"/>
  <c r="AG23" i="11" s="1"/>
  <c r="AG24" i="8" a="1"/>
  <c r="AG24" i="8" s="1"/>
  <c r="AG24" i="11" s="1" a="1"/>
  <c r="AG24" i="11" s="1"/>
  <c r="AG25" i="8" a="1"/>
  <c r="AG25" i="8" s="1"/>
  <c r="AG25" i="11" s="1" a="1"/>
  <c r="AG25" i="11" s="1"/>
  <c r="AG26" i="8" a="1"/>
  <c r="AG26" i="8" s="1"/>
  <c r="AG26" i="11" s="1" a="1"/>
  <c r="AG26" i="11" s="1"/>
  <c r="AG27" i="8" a="1"/>
  <c r="AG27" i="8" s="1"/>
  <c r="AG27" i="11" s="1" a="1"/>
  <c r="AG27" i="11" s="1"/>
  <c r="AG28" i="8" a="1"/>
  <c r="AG28" i="8" s="1"/>
  <c r="AG28" i="11" s="1" a="1"/>
  <c r="AG28" i="11" s="1"/>
  <c r="AG29" i="8" a="1"/>
  <c r="AG29" i="8" s="1"/>
  <c r="AG29" i="11" s="1" a="1"/>
  <c r="AG29" i="11" s="1"/>
  <c r="AG30" i="8" a="1"/>
  <c r="AG30" i="8" s="1"/>
  <c r="AG30" i="11" s="1" a="1"/>
  <c r="AG30" i="11" s="1"/>
  <c r="AG31" i="8" a="1"/>
  <c r="AG31" i="8" s="1"/>
  <c r="AG31" i="11" s="1" a="1"/>
  <c r="AG31" i="11" s="1"/>
  <c r="AG32" i="8" a="1"/>
  <c r="AG32" i="8" s="1"/>
  <c r="AG32" i="11" s="1" a="1"/>
  <c r="AG32" i="11" s="1"/>
  <c r="AG33" i="8" a="1"/>
  <c r="AG33" i="8" s="1"/>
  <c r="AG33" i="11" s="1" a="1"/>
  <c r="AG33" i="11" s="1"/>
  <c r="AG34" i="8" a="1"/>
  <c r="AG34" i="8" s="1"/>
  <c r="AG34" i="11" s="1" a="1"/>
  <c r="AG34" i="11" s="1"/>
  <c r="AG35" i="8" a="1"/>
  <c r="AG35" i="8" s="1"/>
  <c r="AG35" i="11" s="1" a="1"/>
  <c r="AG35" i="11" s="1"/>
  <c r="AG36" i="8" a="1"/>
  <c r="AG36" i="8" s="1"/>
  <c r="AG36" i="11" s="1" a="1"/>
  <c r="AG36" i="11" s="1"/>
  <c r="AG37" i="8" a="1"/>
  <c r="AG37" i="8" s="1"/>
  <c r="AG37" i="11" s="1" a="1"/>
  <c r="AG37" i="11" s="1"/>
  <c r="AG38" i="8" a="1"/>
  <c r="AG38" i="8" s="1"/>
  <c r="AG38" i="11" s="1" a="1"/>
  <c r="AG38" i="11" s="1"/>
  <c r="AG39" i="8" a="1"/>
  <c r="AG39" i="8" s="1"/>
  <c r="AG39" i="11" s="1" a="1"/>
  <c r="AG39" i="11" s="1"/>
  <c r="AG40" i="8" a="1"/>
  <c r="AG40" i="8" s="1"/>
  <c r="AG40" i="11" s="1" a="1"/>
  <c r="AG40" i="11" s="1"/>
  <c r="AG41" i="8" a="1"/>
  <c r="AG41" i="8" s="1"/>
  <c r="AG41" i="11" s="1" a="1"/>
  <c r="AG41" i="11" s="1"/>
  <c r="AG42" i="8" a="1"/>
  <c r="AG42" i="8" s="1"/>
  <c r="AG42" i="11" s="1" a="1"/>
  <c r="AG42" i="11" s="1"/>
  <c r="AG43" i="8" a="1"/>
  <c r="AG43" i="8" s="1"/>
  <c r="AG43" i="11" s="1" a="1"/>
  <c r="AG43" i="11" s="1"/>
  <c r="AG44" i="8" a="1"/>
  <c r="AG44" i="8" s="1"/>
  <c r="AG44" i="11" s="1" a="1"/>
  <c r="AG44" i="11" s="1"/>
  <c r="AG45" i="8" a="1"/>
  <c r="AG45" i="8" s="1"/>
  <c r="AG45" i="11" s="1" a="1"/>
  <c r="AG45" i="11" s="1"/>
  <c r="AG46" i="8" a="1"/>
  <c r="AG46" i="8" s="1"/>
  <c r="AG46" i="11" s="1" a="1"/>
  <c r="AG46" i="11" s="1"/>
  <c r="AG47" i="8" a="1"/>
  <c r="AG47" i="8" s="1"/>
  <c r="AG47" i="11" s="1" a="1"/>
  <c r="AG47" i="11" s="1"/>
  <c r="AG48" i="8" a="1"/>
  <c r="AG48" i="8" s="1"/>
  <c r="AG48" i="11" s="1" a="1"/>
  <c r="AG48" i="11" s="1"/>
  <c r="AG49" i="8" a="1"/>
  <c r="AG49" i="8" s="1"/>
  <c r="AG49" i="11" s="1" a="1"/>
  <c r="AG49" i="11" s="1"/>
  <c r="AG50" i="8" a="1"/>
  <c r="AG50" i="8" s="1"/>
  <c r="AG50" i="11" s="1" a="1"/>
  <c r="AG50" i="11" s="1"/>
  <c r="AG51" i="8" a="1"/>
  <c r="AG51" i="8" s="1"/>
  <c r="AG51" i="11" s="1" a="1"/>
  <c r="AG51" i="11" s="1"/>
  <c r="AG52" i="8" a="1"/>
  <c r="AG52" i="8" s="1"/>
  <c r="AG52" i="11" s="1" a="1"/>
  <c r="AG52" i="11" s="1"/>
  <c r="AG53" i="8" a="1"/>
  <c r="AG53" i="8" s="1"/>
  <c r="AG53" i="11" s="1" a="1"/>
  <c r="AG53" i="11" s="1"/>
  <c r="AG54" i="8" a="1"/>
  <c r="AG54" i="8" s="1"/>
  <c r="AG54" i="11" s="1" a="1"/>
  <c r="AG54" i="11" s="1"/>
  <c r="AG55" i="8" a="1"/>
  <c r="AG55" i="8" s="1"/>
  <c r="AG55" i="11" s="1" a="1"/>
  <c r="AG55" i="11" s="1"/>
  <c r="AG56" i="8" a="1"/>
  <c r="AG56" i="8" s="1"/>
  <c r="AG56" i="11" s="1" a="1"/>
  <c r="AG56" i="11" s="1"/>
  <c r="AG57" i="8" a="1"/>
  <c r="AG57" i="8" s="1"/>
  <c r="AG57" i="11" s="1" a="1"/>
  <c r="AG57" i="11" s="1"/>
  <c r="AG58" i="8" a="1"/>
  <c r="AG58" i="8" s="1"/>
  <c r="AG58" i="11" s="1" a="1"/>
  <c r="AG58" i="11" s="1"/>
  <c r="AG59" i="8" a="1"/>
  <c r="AG59" i="8" s="1"/>
  <c r="AG59" i="11" s="1" a="1"/>
  <c r="AG59" i="11" s="1"/>
  <c r="AG60" i="8" a="1"/>
  <c r="AG60" i="8" s="1"/>
  <c r="AG60" i="11" s="1" a="1"/>
  <c r="AG60" i="11" s="1"/>
  <c r="AG61" i="8" a="1"/>
  <c r="AG61" i="8" s="1"/>
  <c r="AG61" i="11" s="1" a="1"/>
  <c r="AG61" i="11" s="1"/>
  <c r="AG62" i="8" a="1"/>
  <c r="AG62" i="8" s="1"/>
  <c r="AG62" i="11" s="1" a="1"/>
  <c r="AG62" i="11" s="1"/>
  <c r="AG63" i="8" a="1"/>
  <c r="AG63" i="8" s="1"/>
  <c r="AG63" i="11" s="1" a="1"/>
  <c r="AG63" i="11" s="1"/>
  <c r="AG64" i="8" a="1"/>
  <c r="AG64" i="8" s="1"/>
  <c r="AG64" i="11" s="1" a="1"/>
  <c r="AG64" i="11" s="1"/>
  <c r="AG65" i="8" a="1"/>
  <c r="AG65" i="8" s="1"/>
  <c r="AG65" i="11" s="1" a="1"/>
  <c r="AG65" i="11" s="1"/>
  <c r="AG66" i="8" a="1"/>
  <c r="AG66" i="8" s="1"/>
  <c r="AG66" i="11" s="1" a="1"/>
  <c r="AG66" i="11" s="1"/>
  <c r="AG67" i="8" a="1"/>
  <c r="AG67" i="8" s="1"/>
  <c r="AG67" i="11" s="1" a="1"/>
  <c r="AG67" i="11" s="1"/>
  <c r="AG68" i="8" a="1"/>
  <c r="AG68" i="8" s="1"/>
  <c r="AG68" i="11" s="1" a="1"/>
  <c r="AG68" i="11" s="1"/>
  <c r="AG69" i="8" a="1"/>
  <c r="AG69" i="8" s="1"/>
  <c r="AG69" i="11" s="1" a="1"/>
  <c r="AG69" i="11" s="1"/>
  <c r="AG70" i="8" a="1"/>
  <c r="AG70" i="8" s="1"/>
  <c r="AG70" i="11" s="1" a="1"/>
  <c r="AG70" i="11" s="1"/>
  <c r="AG71" i="8" a="1"/>
  <c r="AG71" i="8" s="1"/>
  <c r="AG71" i="11" s="1" a="1"/>
  <c r="AG71" i="11" s="1"/>
  <c r="AG72" i="8" a="1"/>
  <c r="AG72" i="8" s="1"/>
  <c r="AG72" i="11" s="1" a="1"/>
  <c r="AG72" i="11" s="1"/>
  <c r="AG73" i="8" a="1"/>
  <c r="AG73" i="8" s="1"/>
  <c r="AG73" i="11" s="1" a="1"/>
  <c r="AG73" i="11" s="1"/>
  <c r="AG74" i="8" a="1"/>
  <c r="AG74" i="8" s="1"/>
  <c r="AG74" i="11" s="1" a="1"/>
  <c r="AG74" i="11" s="1"/>
  <c r="AG75" i="8" a="1"/>
  <c r="AG75" i="8" s="1"/>
  <c r="AG75" i="11" s="1" a="1"/>
  <c r="AG75" i="11" s="1"/>
  <c r="AG76" i="8" a="1"/>
  <c r="AG76" i="8" s="1"/>
  <c r="AG76" i="11" s="1" a="1"/>
  <c r="AG76" i="11" s="1"/>
  <c r="AG77" i="8" a="1"/>
  <c r="AG77" i="8" s="1"/>
  <c r="AG77" i="11" s="1" a="1"/>
  <c r="AG77" i="11" s="1"/>
  <c r="AG78" i="8" a="1"/>
  <c r="AG78" i="8" s="1"/>
  <c r="AG78" i="11" s="1" a="1"/>
  <c r="AG78" i="11" s="1"/>
  <c r="AG79" i="8" a="1"/>
  <c r="AG79" i="8" s="1"/>
  <c r="AG79" i="11" s="1" a="1"/>
  <c r="AG79" i="11" s="1"/>
  <c r="AG80" i="8" a="1"/>
  <c r="AG80" i="8" s="1"/>
  <c r="AG80" i="11" s="1" a="1"/>
  <c r="AG80" i="11" s="1"/>
  <c r="AG81" i="8" a="1"/>
  <c r="AG81" i="8" s="1"/>
  <c r="AG81" i="11" s="1" a="1"/>
  <c r="AG81" i="11" s="1"/>
  <c r="AG82" i="8" a="1"/>
  <c r="AG82" i="8" s="1"/>
  <c r="AG82" i="11" s="1" a="1"/>
  <c r="AG82" i="11" s="1"/>
  <c r="AG83" i="8" a="1"/>
  <c r="AG83" i="8" s="1"/>
  <c r="AG83" i="11" s="1" a="1"/>
  <c r="AG83" i="11" s="1"/>
  <c r="AG84" i="8" a="1"/>
  <c r="AG84" i="8" s="1"/>
  <c r="AG84" i="11" s="1" a="1"/>
  <c r="AG84" i="11" s="1"/>
  <c r="AG85" i="8" a="1"/>
  <c r="AG85" i="8" s="1"/>
  <c r="AG85" i="11" s="1" a="1"/>
  <c r="AG85" i="11" s="1"/>
  <c r="AG86" i="8" a="1"/>
  <c r="AG86" i="8" s="1"/>
  <c r="AG86" i="11" s="1" a="1"/>
  <c r="AG86" i="11" s="1"/>
  <c r="AG87" i="8" a="1"/>
  <c r="AG87" i="8" s="1"/>
  <c r="AG87" i="11" s="1" a="1"/>
  <c r="AG87" i="11" s="1"/>
  <c r="AG88" i="8" a="1"/>
  <c r="AG88" i="8" s="1"/>
  <c r="AG88" i="11" s="1" a="1"/>
  <c r="AG88" i="11" s="1"/>
  <c r="AG89" i="8" a="1"/>
  <c r="AG89" i="8" s="1"/>
  <c r="AG89" i="11" s="1" a="1"/>
  <c r="AG89" i="11" s="1"/>
  <c r="AG90" i="8" a="1"/>
  <c r="AG90" i="8" s="1"/>
  <c r="AG90" i="11" s="1" a="1"/>
  <c r="AG90" i="11" s="1"/>
  <c r="AG91" i="8" a="1"/>
  <c r="AG91" i="8" s="1"/>
  <c r="AG91" i="11" s="1" a="1"/>
  <c r="AG91" i="11" s="1"/>
  <c r="AG92" i="8" a="1"/>
  <c r="AG92" i="8" s="1"/>
  <c r="AG92" i="11" s="1" a="1"/>
  <c r="AG92" i="11" s="1"/>
  <c r="AG93" i="8" a="1"/>
  <c r="AG93" i="8" s="1"/>
  <c r="AG93" i="11" s="1" a="1"/>
  <c r="AG93" i="11" s="1"/>
  <c r="AG94" i="8" a="1"/>
  <c r="AG94" i="8" s="1"/>
  <c r="AG94" i="11" s="1" a="1"/>
  <c r="AG94" i="11" s="1"/>
  <c r="AG95" i="8" a="1"/>
  <c r="AG95" i="8" s="1"/>
  <c r="AG95" i="11" s="1" a="1"/>
  <c r="AG95" i="11" s="1"/>
  <c r="AG96" i="8" a="1"/>
  <c r="AG96" i="8" s="1"/>
  <c r="AG96" i="11" s="1" a="1"/>
  <c r="AG96" i="11" s="1"/>
  <c r="AG97" i="8" a="1"/>
  <c r="AG97" i="8" s="1"/>
  <c r="AG97" i="11" s="1" a="1"/>
  <c r="AG97" i="11" s="1"/>
  <c r="AG98" i="8" a="1"/>
  <c r="AG98" i="8" s="1"/>
  <c r="AG98" i="11" s="1" a="1"/>
  <c r="AG98" i="11" s="1"/>
  <c r="AG99" i="8" a="1"/>
  <c r="AG99" i="8" s="1"/>
  <c r="AG99" i="11" s="1" a="1"/>
  <c r="AG99" i="11" s="1"/>
  <c r="AG100" i="8" a="1"/>
  <c r="AG100" i="8" s="1"/>
  <c r="AG100" i="11" s="1" a="1"/>
  <c r="AG100" i="11" s="1"/>
  <c r="AG101" i="8" a="1"/>
  <c r="AG101" i="8" s="1"/>
  <c r="AG101" i="11" s="1" a="1"/>
  <c r="AG101" i="11" s="1"/>
  <c r="AG102" i="8" a="1"/>
  <c r="AG102" i="8" s="1"/>
  <c r="AG102" i="11" s="1" a="1"/>
  <c r="AG102" i="11" s="1"/>
  <c r="AG103" i="8" a="1"/>
  <c r="AG103" i="8" s="1"/>
  <c r="AG103" i="11" s="1" a="1"/>
  <c r="AG103" i="11" s="1"/>
  <c r="AG104" i="8" a="1"/>
  <c r="AG104" i="8" s="1"/>
  <c r="AG104" i="11" s="1" a="1"/>
  <c r="AG104" i="11" s="1"/>
  <c r="AG105" i="8" a="1"/>
  <c r="AG105" i="8" s="1"/>
  <c r="AG105" i="11" s="1" a="1"/>
  <c r="AG105" i="11" s="1"/>
  <c r="AG106" i="8" a="1"/>
  <c r="AG106" i="8" s="1"/>
  <c r="AG106" i="11" s="1" a="1"/>
  <c r="AG106" i="11" s="1"/>
  <c r="AG107" i="8" a="1"/>
  <c r="AG107" i="8" s="1"/>
  <c r="AG107" i="11" s="1" a="1"/>
  <c r="AG107" i="11" s="1"/>
  <c r="AG108" i="8" a="1"/>
  <c r="AG108" i="8" s="1"/>
  <c r="AG108" i="11" s="1" a="1"/>
  <c r="AG108" i="11" s="1"/>
  <c r="AG109" i="8" a="1"/>
  <c r="AG109" i="8" s="1"/>
  <c r="AG109" i="11" s="1" a="1"/>
  <c r="AG109" i="11" s="1"/>
  <c r="AG110" i="8" a="1"/>
  <c r="AG110" i="8" s="1"/>
  <c r="AG110" i="11" s="1" a="1"/>
  <c r="AG110" i="11" s="1"/>
  <c r="AG111" i="8" a="1"/>
  <c r="AG111" i="8" s="1"/>
  <c r="AG111" i="11" s="1" a="1"/>
  <c r="AG111" i="11" s="1"/>
  <c r="AG112" i="8" a="1"/>
  <c r="AG112" i="8" s="1"/>
  <c r="AG112" i="11" s="1" a="1"/>
  <c r="AG112" i="11" s="1"/>
  <c r="AG113" i="8" a="1"/>
  <c r="AG113" i="8" s="1"/>
  <c r="AG113" i="11" s="1" a="1"/>
  <c r="AG113" i="11" s="1"/>
  <c r="AG114" i="8" a="1"/>
  <c r="AG114" i="8" s="1"/>
  <c r="AG114" i="11" s="1" a="1"/>
  <c r="AG114" i="11" s="1"/>
  <c r="AG115" i="8" a="1"/>
  <c r="AG115" i="8" s="1"/>
  <c r="AG115" i="11" s="1" a="1"/>
  <c r="AG115" i="11" s="1"/>
  <c r="AG116" i="8" a="1"/>
  <c r="AG116" i="8" s="1"/>
  <c r="AG116" i="11" s="1" a="1"/>
  <c r="AG116" i="11" s="1"/>
  <c r="AG117" i="8" a="1"/>
  <c r="AG117" i="8" s="1"/>
  <c r="AG117" i="11" s="1" a="1"/>
  <c r="AG117" i="11" s="1"/>
  <c r="AG118" i="8" a="1"/>
  <c r="AG118" i="8" s="1"/>
  <c r="AG118" i="11" s="1" a="1"/>
  <c r="AG118" i="11" s="1"/>
  <c r="AG119" i="8" a="1"/>
  <c r="AG119" i="8" s="1"/>
  <c r="AG119" i="11" s="1" a="1"/>
  <c r="AG119" i="11" s="1"/>
  <c r="AG120" i="8" a="1"/>
  <c r="AG120" i="8" s="1"/>
  <c r="AG120" i="11" s="1" a="1"/>
  <c r="AG120" i="11" s="1"/>
  <c r="AG121" i="8" a="1"/>
  <c r="AG121" i="8" s="1"/>
  <c r="AG121" i="11" s="1" a="1"/>
  <c r="AG121" i="11" s="1"/>
  <c r="AG122" i="8" a="1"/>
  <c r="AG122" i="8" s="1"/>
  <c r="AG122" i="11" s="1" a="1"/>
  <c r="AG122" i="11" s="1"/>
  <c r="AG123" i="8" a="1"/>
  <c r="AG123" i="8" s="1"/>
  <c r="AG123" i="11" s="1" a="1"/>
  <c r="AG123" i="11" s="1"/>
  <c r="AG124" i="8" a="1"/>
  <c r="AG124" i="8" s="1"/>
  <c r="AG124" i="11" s="1" a="1"/>
  <c r="AG124" i="11" s="1"/>
  <c r="AG125" i="8" a="1"/>
  <c r="AG125" i="8" s="1"/>
  <c r="AG125" i="11" s="1" a="1"/>
  <c r="AG125" i="11" s="1"/>
  <c r="AG126" i="8" a="1"/>
  <c r="AG126" i="8" s="1"/>
  <c r="AG126" i="11" s="1" a="1"/>
  <c r="AG126" i="11" s="1"/>
  <c r="AG127" i="8" a="1"/>
  <c r="AG127" i="8" s="1"/>
  <c r="AG127" i="11" s="1" a="1"/>
  <c r="AG127" i="11" s="1"/>
  <c r="AG128" i="8" a="1"/>
  <c r="AG128" i="8" s="1"/>
  <c r="AG128" i="11" s="1" a="1"/>
  <c r="AG128" i="11" s="1"/>
  <c r="AG129" i="8" a="1"/>
  <c r="AG129" i="8" s="1"/>
  <c r="AG129" i="11" s="1" a="1"/>
  <c r="AG129" i="11" s="1"/>
  <c r="AG130" i="8" a="1"/>
  <c r="AG130" i="8" s="1"/>
  <c r="AG130" i="11" s="1" a="1"/>
  <c r="AG130" i="11" s="1"/>
  <c r="AG131" i="8" a="1"/>
  <c r="AG131" i="8" s="1"/>
  <c r="AG131" i="11" s="1" a="1"/>
  <c r="AG131" i="11" s="1"/>
  <c r="AG132" i="8" a="1"/>
  <c r="AG132" i="8" s="1"/>
  <c r="AG132" i="11" s="1" a="1"/>
  <c r="AG132" i="11" s="1"/>
  <c r="AG133" i="8" a="1"/>
  <c r="AG133" i="8" s="1"/>
  <c r="AG133" i="11" s="1" a="1"/>
  <c r="AG133" i="11" s="1"/>
  <c r="AG134" i="8" a="1"/>
  <c r="AG134" i="8" s="1"/>
  <c r="AG134" i="11" s="1" a="1"/>
  <c r="AG134" i="11" s="1"/>
  <c r="AG135" i="8" a="1"/>
  <c r="AG135" i="8" s="1"/>
  <c r="AG135" i="11" s="1" a="1"/>
  <c r="AG135" i="11" s="1"/>
  <c r="AG136" i="8" a="1"/>
  <c r="AG136" i="8" s="1"/>
  <c r="AG136" i="11" s="1" a="1"/>
  <c r="AG136" i="11" s="1"/>
  <c r="AG137" i="8" a="1"/>
  <c r="AG137" i="8" s="1"/>
  <c r="AG137" i="11" s="1" a="1"/>
  <c r="AG137" i="11" s="1"/>
  <c r="AG138" i="8" a="1"/>
  <c r="AG138" i="8" s="1"/>
  <c r="AG138" i="11" s="1" a="1"/>
  <c r="AG138" i="11" s="1"/>
  <c r="AG139" i="8" a="1"/>
  <c r="AG139" i="8" s="1"/>
  <c r="AG139" i="11" s="1" a="1"/>
  <c r="AG139" i="11" s="1"/>
  <c r="AG140" i="8" a="1"/>
  <c r="AG140" i="8" s="1"/>
  <c r="AG140" i="11" s="1" a="1"/>
  <c r="AG140" i="11" s="1"/>
  <c r="AG141" i="8" a="1"/>
  <c r="AG141" i="8" s="1"/>
  <c r="AG141" i="11" s="1" a="1"/>
  <c r="AG141" i="11" s="1"/>
  <c r="AG142" i="8" a="1"/>
  <c r="AG142" i="8" s="1"/>
  <c r="AG142" i="11" s="1" a="1"/>
  <c r="AG142" i="11" s="1"/>
  <c r="AG143" i="8" a="1"/>
  <c r="AG143" i="8" s="1"/>
  <c r="AG143" i="11" s="1" a="1"/>
  <c r="AG143" i="11" s="1"/>
  <c r="AG144" i="8" a="1"/>
  <c r="AG144" i="8" s="1"/>
  <c r="AG144" i="11" s="1" a="1"/>
  <c r="AG144" i="11" s="1"/>
  <c r="AG145" i="8" a="1"/>
  <c r="AG145" i="8" s="1"/>
  <c r="AG145" i="11" s="1" a="1"/>
  <c r="AG145" i="11" s="1"/>
  <c r="AG146" i="8" a="1"/>
  <c r="AG146" i="8" s="1"/>
  <c r="AG146" i="11" s="1" a="1"/>
  <c r="AG146" i="11" s="1"/>
  <c r="AG147" i="8" a="1"/>
  <c r="AG147" i="8" s="1"/>
  <c r="AG147" i="11" s="1" a="1"/>
  <c r="AG147" i="11" s="1"/>
  <c r="AG148" i="8" a="1"/>
  <c r="AG148" i="8" s="1"/>
  <c r="AG148" i="11" s="1" a="1"/>
  <c r="AG148" i="11" s="1"/>
  <c r="AG149" i="8" a="1"/>
  <c r="AG149" i="8" s="1"/>
  <c r="AG149" i="11" s="1" a="1"/>
  <c r="AG149" i="11" s="1"/>
  <c r="AG150" i="8" a="1"/>
  <c r="AG150" i="8" s="1"/>
  <c r="AG150" i="11" s="1" a="1"/>
  <c r="AG150" i="11" s="1"/>
  <c r="AG151" i="8" a="1"/>
  <c r="AG151" i="8" s="1"/>
  <c r="AG151" i="11" s="1" a="1"/>
  <c r="AG151" i="11" s="1"/>
  <c r="AG152" i="8" a="1"/>
  <c r="AG152" i="8" s="1"/>
  <c r="AG152" i="11" s="1" a="1"/>
  <c r="AG152" i="11" s="1"/>
  <c r="AG153" i="8" a="1"/>
  <c r="AG153" i="8" s="1"/>
  <c r="AG153" i="11" s="1" a="1"/>
  <c r="AG153" i="11" s="1"/>
  <c r="AG154" i="8" a="1"/>
  <c r="AG154" i="8" s="1"/>
  <c r="AG154" i="11" s="1" a="1"/>
  <c r="AG154" i="11" s="1"/>
  <c r="AG155" i="8" a="1"/>
  <c r="AG155" i="8" s="1"/>
  <c r="AG155" i="11" s="1" a="1"/>
  <c r="AG155" i="11" s="1"/>
  <c r="AG156" i="8" a="1"/>
  <c r="AG156" i="8" s="1"/>
  <c r="AG156" i="11" s="1" a="1"/>
  <c r="AG156" i="11" s="1"/>
  <c r="AG157" i="8" a="1"/>
  <c r="AG157" i="8" s="1"/>
  <c r="AG157" i="11" s="1" a="1"/>
  <c r="AG157" i="11" s="1"/>
  <c r="AG158" i="8" a="1"/>
  <c r="AG158" i="8" s="1"/>
  <c r="AG158" i="11" s="1" a="1"/>
  <c r="AG158" i="11" s="1"/>
  <c r="AG159" i="8" a="1"/>
  <c r="AG159" i="8" s="1"/>
  <c r="AG159" i="11" s="1" a="1"/>
  <c r="AG159" i="11" s="1"/>
  <c r="AG160" i="8" a="1"/>
  <c r="AG160" i="8" s="1"/>
  <c r="AG160" i="11" s="1" a="1"/>
  <c r="AG160" i="11" s="1"/>
  <c r="AG161" i="8" a="1"/>
  <c r="AG161" i="8" s="1"/>
  <c r="AG161" i="11" s="1" a="1"/>
  <c r="AG161" i="11" s="1"/>
  <c r="AG162" i="8" a="1"/>
  <c r="AG162" i="8" s="1"/>
  <c r="AG162" i="11" s="1" a="1"/>
  <c r="AG162" i="11" s="1"/>
  <c r="AG163" i="8" a="1"/>
  <c r="AG163" i="8" s="1"/>
  <c r="AG163" i="11" s="1" a="1"/>
  <c r="AG163" i="11" s="1"/>
  <c r="AG164" i="8" a="1"/>
  <c r="AG164" i="8" s="1"/>
  <c r="AG164" i="11" s="1" a="1"/>
  <c r="AG164" i="11" s="1"/>
  <c r="AG165" i="8" a="1"/>
  <c r="AG165" i="8" s="1"/>
  <c r="AG165" i="11" s="1" a="1"/>
  <c r="AG165" i="11" s="1"/>
  <c r="AG166" i="8" a="1"/>
  <c r="AG166" i="8" s="1"/>
  <c r="AG166" i="11" s="1" a="1"/>
  <c r="AG166" i="11" s="1"/>
  <c r="AG167" i="8" a="1"/>
  <c r="AG167" i="8" s="1"/>
  <c r="AG167" i="11" s="1" a="1"/>
  <c r="AG167" i="11" s="1"/>
  <c r="AG168" i="8" a="1"/>
  <c r="AG168" i="8" s="1"/>
  <c r="AG168" i="11" s="1" a="1"/>
  <c r="AG168" i="11" s="1"/>
  <c r="AG169" i="8" a="1"/>
  <c r="AG169" i="8" s="1"/>
  <c r="AG169" i="11" s="1" a="1"/>
  <c r="AG169" i="11" s="1"/>
  <c r="AG170" i="8" a="1"/>
  <c r="AG170" i="8" s="1"/>
  <c r="AG170" i="11" s="1" a="1"/>
  <c r="AG170" i="11" s="1"/>
  <c r="AG171" i="8" a="1"/>
  <c r="AG171" i="8" s="1"/>
  <c r="AG171" i="11" s="1" a="1"/>
  <c r="AG171" i="11" s="1"/>
  <c r="AG172" i="8" a="1"/>
  <c r="AG172" i="8" s="1"/>
  <c r="AG172" i="11" s="1" a="1"/>
  <c r="AG172" i="11" s="1"/>
  <c r="AG173" i="8" a="1"/>
  <c r="AG173" i="8" s="1"/>
  <c r="AG173" i="11" s="1" a="1"/>
  <c r="AG173" i="11" s="1"/>
  <c r="AG174" i="8" a="1"/>
  <c r="AG174" i="8" s="1"/>
  <c r="AG174" i="11" s="1" a="1"/>
  <c r="AG174" i="11" s="1"/>
  <c r="AG175" i="8" a="1"/>
  <c r="AG175" i="8" s="1"/>
  <c r="AG175" i="11" s="1" a="1"/>
  <c r="AG175" i="11" s="1"/>
  <c r="AG176" i="8" a="1"/>
  <c r="AG176" i="8" s="1"/>
  <c r="AG176" i="11" s="1" a="1"/>
  <c r="AG176" i="11" s="1"/>
  <c r="AG177" i="8" a="1"/>
  <c r="AG177" i="8" s="1"/>
  <c r="AG177" i="11" s="1" a="1"/>
  <c r="AG177" i="11" s="1"/>
  <c r="AG178" i="8" a="1"/>
  <c r="AG178" i="8" s="1"/>
  <c r="AG178" i="11" s="1" a="1"/>
  <c r="AG178" i="11" s="1"/>
  <c r="AG179" i="8" a="1"/>
  <c r="AG179" i="8" s="1"/>
  <c r="AG179" i="11" s="1" a="1"/>
  <c r="AG179" i="11" s="1"/>
  <c r="AG180" i="8" a="1"/>
  <c r="AG180" i="8" s="1"/>
  <c r="AG180" i="11" s="1" a="1"/>
  <c r="AG180" i="11" s="1"/>
  <c r="AG181" i="8" a="1"/>
  <c r="AG181" i="8" s="1"/>
  <c r="AG181" i="11" s="1" a="1"/>
  <c r="AG181" i="11" s="1"/>
  <c r="AG182" i="8" a="1"/>
  <c r="AG182" i="8" s="1"/>
  <c r="AG182" i="11" s="1" a="1"/>
  <c r="AG182" i="11" s="1"/>
  <c r="AG183" i="8" a="1"/>
  <c r="AG183" i="8" s="1"/>
  <c r="AG183" i="11" s="1" a="1"/>
  <c r="AG183" i="11" s="1"/>
  <c r="AG184" i="8" a="1"/>
  <c r="AG184" i="8" s="1"/>
  <c r="AG184" i="11" s="1" a="1"/>
  <c r="AG184" i="11" s="1"/>
  <c r="AG185" i="8" a="1"/>
  <c r="AG185" i="8" s="1"/>
  <c r="AG185" i="11" s="1" a="1"/>
  <c r="AG185" i="11" s="1"/>
  <c r="AG186" i="8" a="1"/>
  <c r="AG186" i="8" s="1"/>
  <c r="AG186" i="11" s="1" a="1"/>
  <c r="AG186" i="11" s="1"/>
  <c r="AG187" i="8" a="1"/>
  <c r="AG187" i="8" s="1"/>
  <c r="AG187" i="11" s="1" a="1"/>
  <c r="AG187" i="11" s="1"/>
  <c r="AG188" i="8" a="1"/>
  <c r="AG188" i="8" s="1"/>
  <c r="AG188" i="11" s="1" a="1"/>
  <c r="AG188" i="11" s="1"/>
  <c r="AG189" i="8" a="1"/>
  <c r="AG189" i="8" s="1"/>
  <c r="AG189" i="11" s="1" a="1"/>
  <c r="AG189" i="11" s="1"/>
  <c r="AG190" i="8" a="1"/>
  <c r="AG190" i="8" s="1"/>
  <c r="AG190" i="11" s="1" a="1"/>
  <c r="AG190" i="11" s="1"/>
  <c r="AG191" i="8" a="1"/>
  <c r="AG191" i="8" s="1"/>
  <c r="AG191" i="11" s="1" a="1"/>
  <c r="AG191" i="11" s="1"/>
  <c r="AG192" i="8" a="1"/>
  <c r="AG192" i="8" s="1"/>
  <c r="AG192" i="11" s="1" a="1"/>
  <c r="AG192" i="11" s="1"/>
  <c r="AG193" i="8" a="1"/>
  <c r="AG193" i="8" s="1"/>
  <c r="AG193" i="11" s="1" a="1"/>
  <c r="AG193" i="11" s="1"/>
  <c r="AG194" i="8" a="1"/>
  <c r="AG194" i="8" s="1"/>
  <c r="AG194" i="11" s="1" a="1"/>
  <c r="AG194" i="11" s="1"/>
  <c r="AG195" i="8" a="1"/>
  <c r="AG195" i="8" s="1"/>
  <c r="AG195" i="11" s="1" a="1"/>
  <c r="AG195" i="11" s="1"/>
  <c r="AG196" i="8" a="1"/>
  <c r="AG196" i="8" s="1"/>
  <c r="AG196" i="11" s="1" a="1"/>
  <c r="AG196" i="11" s="1"/>
  <c r="AG197" i="8" a="1"/>
  <c r="AG197" i="8" s="1"/>
  <c r="AG197" i="11" s="1" a="1"/>
  <c r="AG197" i="11" s="1"/>
  <c r="AG198" i="8" a="1"/>
  <c r="AG198" i="8" s="1"/>
  <c r="AG198" i="11" s="1" a="1"/>
  <c r="AG198" i="11" s="1"/>
  <c r="AG199" i="8" a="1"/>
  <c r="AG199" i="8" s="1"/>
  <c r="AG199" i="11" s="1" a="1"/>
  <c r="AG199" i="11" s="1"/>
  <c r="AG200" i="8" a="1"/>
  <c r="AG200" i="8" s="1"/>
  <c r="AG200" i="11" s="1" a="1"/>
  <c r="AG200" i="11" s="1"/>
  <c r="AG201" i="8" a="1"/>
  <c r="AG201" i="8" s="1"/>
  <c r="AG201" i="11" s="1" a="1"/>
  <c r="AG201" i="11" s="1"/>
  <c r="AG202" i="8" a="1"/>
  <c r="AG202" i="8" s="1"/>
  <c r="AG202" i="11" s="1" a="1"/>
  <c r="AG202" i="11" s="1"/>
  <c r="AG203" i="8" a="1"/>
  <c r="AG203" i="8" s="1"/>
  <c r="AG203" i="11" s="1" a="1"/>
  <c r="AG203" i="11" s="1"/>
  <c r="AG204" i="8" a="1"/>
  <c r="AG204" i="8" s="1"/>
  <c r="AG204" i="11" s="1" a="1"/>
  <c r="AG204" i="11" s="1"/>
  <c r="AG205" i="8" a="1"/>
  <c r="AG205" i="8" s="1"/>
  <c r="AG205" i="11" s="1" a="1"/>
  <c r="AG205" i="11" s="1"/>
  <c r="AG206" i="8" a="1"/>
  <c r="AG206" i="8" s="1"/>
  <c r="AG206" i="11" s="1" a="1"/>
  <c r="AG206" i="11" s="1"/>
  <c r="AG207" i="8" a="1"/>
  <c r="AG207" i="8" s="1"/>
  <c r="AG207" i="11" s="1" a="1"/>
  <c r="AG207" i="11" s="1"/>
  <c r="AG208" i="8" a="1"/>
  <c r="AG208" i="8" s="1"/>
  <c r="AG208" i="11" s="1" a="1"/>
  <c r="AG208" i="11" s="1"/>
  <c r="AG209" i="8" a="1"/>
  <c r="AG209" i="8" s="1"/>
  <c r="AG209" i="11" s="1" a="1"/>
  <c r="AG209" i="11" s="1"/>
  <c r="AG210" i="8" a="1"/>
  <c r="AG210" i="8" s="1"/>
  <c r="AG210" i="11" s="1" a="1"/>
  <c r="AG210" i="11" s="1"/>
  <c r="AG211" i="8" a="1"/>
  <c r="AG211" i="8" s="1"/>
  <c r="AG211" i="11" s="1" a="1"/>
  <c r="AG211" i="11" s="1"/>
  <c r="AG212" i="8" a="1"/>
  <c r="AG212" i="8" s="1"/>
  <c r="AG212" i="11" s="1" a="1"/>
  <c r="AG212" i="11" s="1"/>
  <c r="AG213" i="8" a="1"/>
  <c r="AG213" i="8" s="1"/>
  <c r="AG213" i="11" s="1" a="1"/>
  <c r="AG213" i="11" s="1"/>
  <c r="AG214" i="8" a="1"/>
  <c r="AG214" i="8" s="1"/>
  <c r="AG214" i="11" s="1" a="1"/>
  <c r="AG214" i="11" s="1"/>
  <c r="AG215" i="8" a="1"/>
  <c r="AG215" i="8" s="1"/>
  <c r="AG215" i="11" s="1" a="1"/>
  <c r="AG215" i="11" s="1"/>
  <c r="AG216" i="8" a="1"/>
  <c r="AG216" i="8" s="1"/>
  <c r="AG216" i="11" s="1" a="1"/>
  <c r="AG216" i="11" s="1"/>
  <c r="AG217" i="8" a="1"/>
  <c r="AG217" i="8" s="1"/>
  <c r="AG217" i="11" s="1" a="1"/>
  <c r="AG217" i="11" s="1"/>
  <c r="AG218" i="8" a="1"/>
  <c r="AG218" i="8" s="1"/>
  <c r="AG218" i="11" s="1" a="1"/>
  <c r="AG218" i="11" s="1"/>
  <c r="AG219" i="8" a="1"/>
  <c r="AG219" i="8" s="1"/>
  <c r="AG219" i="11" s="1" a="1"/>
  <c r="AG219" i="11" s="1"/>
  <c r="AG220" i="8" a="1"/>
  <c r="AG220" i="8" s="1"/>
  <c r="AG220" i="11" s="1" a="1"/>
  <c r="AG220" i="11" s="1"/>
  <c r="AG221" i="8" a="1"/>
  <c r="AG221" i="8" s="1"/>
  <c r="AG221" i="11" s="1" a="1"/>
  <c r="AG221" i="11" s="1"/>
  <c r="AG222" i="8" a="1"/>
  <c r="AG222" i="8" s="1"/>
  <c r="AG222" i="11" s="1" a="1"/>
  <c r="AG222" i="11" s="1"/>
  <c r="AG223" i="8" a="1"/>
  <c r="AG223" i="8" s="1"/>
  <c r="AG223" i="11" s="1" a="1"/>
  <c r="AG223" i="11" s="1"/>
  <c r="AG224" i="8" a="1"/>
  <c r="AG224" i="8" s="1"/>
  <c r="AG224" i="11" s="1" a="1"/>
  <c r="AG224" i="11" s="1"/>
  <c r="AG225" i="8" a="1"/>
  <c r="AG225" i="8" s="1"/>
  <c r="AG225" i="11" s="1" a="1"/>
  <c r="AG225" i="11" s="1"/>
  <c r="AG226" i="8" a="1"/>
  <c r="AG226" i="8" s="1"/>
  <c r="AG226" i="11" s="1" a="1"/>
  <c r="AG226" i="11" s="1"/>
  <c r="AG227" i="8" a="1"/>
  <c r="AG227" i="8" s="1"/>
  <c r="AG227" i="11" s="1" a="1"/>
  <c r="AG227" i="11" s="1"/>
  <c r="AG228" i="8" a="1"/>
  <c r="AG228" i="8" s="1"/>
  <c r="AG228" i="11" s="1" a="1"/>
  <c r="AG228" i="11" s="1"/>
  <c r="AG229" i="8" a="1"/>
  <c r="AG229" i="8" s="1"/>
  <c r="AG229" i="11" s="1" a="1"/>
  <c r="AG229" i="11" s="1"/>
  <c r="AG230" i="8" a="1"/>
  <c r="AG230" i="8" s="1"/>
  <c r="AG230" i="11" s="1" a="1"/>
  <c r="AG230" i="11" s="1"/>
  <c r="AG231" i="8" a="1"/>
  <c r="AG231" i="8" s="1"/>
  <c r="AG231" i="11" s="1" a="1"/>
  <c r="AG231" i="11" s="1"/>
  <c r="AG232" i="8" a="1"/>
  <c r="AG232" i="8" s="1"/>
  <c r="AG232" i="11" s="1" a="1"/>
  <c r="AG232" i="11" s="1"/>
  <c r="AG233" i="8" a="1"/>
  <c r="AG233" i="8" s="1"/>
  <c r="AG233" i="11" s="1" a="1"/>
  <c r="AG233" i="11" s="1"/>
  <c r="AG234" i="8" a="1"/>
  <c r="AG234" i="8" s="1"/>
  <c r="AG234" i="11" s="1" a="1"/>
  <c r="AG234" i="11" s="1"/>
  <c r="AG235" i="8" a="1"/>
  <c r="AG235" i="8" s="1"/>
  <c r="AG235" i="11" s="1" a="1"/>
  <c r="AG235" i="11" s="1"/>
  <c r="AG236" i="8" a="1"/>
  <c r="AG236" i="8" s="1"/>
  <c r="AG236" i="11" s="1" a="1"/>
  <c r="AG236" i="11" s="1"/>
  <c r="AG237" i="8" a="1"/>
  <c r="AG237" i="8" s="1"/>
  <c r="AG237" i="11" s="1" a="1"/>
  <c r="AG237" i="11" s="1"/>
  <c r="AG238" i="8" a="1"/>
  <c r="AG238" i="8" s="1"/>
  <c r="AG238" i="11" s="1" a="1"/>
  <c r="AG238" i="11" s="1"/>
  <c r="AG239" i="8" a="1"/>
  <c r="AG239" i="8" s="1"/>
  <c r="AG239" i="11" s="1" a="1"/>
  <c r="AG239" i="11" s="1"/>
  <c r="AG240" i="8" a="1"/>
  <c r="AG240" i="8" s="1"/>
  <c r="AG240" i="11" s="1" a="1"/>
  <c r="AG240" i="11" s="1"/>
  <c r="AG241" i="8" a="1"/>
  <c r="AG241" i="8" s="1"/>
  <c r="AG241" i="11" s="1" a="1"/>
  <c r="AG241" i="11" s="1"/>
  <c r="AG242" i="8" a="1"/>
  <c r="AG242" i="8" s="1"/>
  <c r="AG242" i="11" s="1" a="1"/>
  <c r="AG242" i="11" s="1"/>
  <c r="AG243" i="8" a="1"/>
  <c r="AG243" i="8" s="1"/>
  <c r="AG243" i="11" s="1" a="1"/>
  <c r="AG243" i="11" s="1"/>
  <c r="AG244" i="8" a="1"/>
  <c r="AG244" i="8" s="1"/>
  <c r="AG244" i="11" s="1" a="1"/>
  <c r="AG244" i="11" s="1"/>
  <c r="AG245" i="8" a="1"/>
  <c r="AG245" i="8" s="1"/>
  <c r="AG245" i="11" s="1" a="1"/>
  <c r="AG245" i="11" s="1"/>
  <c r="AG246" i="8" a="1"/>
  <c r="AG246" i="8" s="1"/>
  <c r="AG246" i="11" s="1" a="1"/>
  <c r="AG246" i="11" s="1"/>
  <c r="AG247" i="8" a="1"/>
  <c r="AG247" i="8" s="1"/>
  <c r="AG247" i="11" s="1" a="1"/>
  <c r="AG247" i="11" s="1"/>
  <c r="AG248" i="8" a="1"/>
  <c r="AG248" i="8" s="1"/>
  <c r="AG248" i="11" s="1" a="1"/>
  <c r="AG248" i="11" s="1"/>
  <c r="AG249" i="8" a="1"/>
  <c r="AG249" i="8" s="1"/>
  <c r="AG249" i="11" s="1" a="1"/>
  <c r="AG249" i="11" s="1"/>
  <c r="AG250" i="8" a="1"/>
  <c r="AG250" i="8" s="1"/>
  <c r="AG250" i="11" s="1" a="1"/>
  <c r="AG250" i="11" s="1"/>
  <c r="AF12" i="8" a="1"/>
  <c r="AF12" i="8" s="1"/>
  <c r="AF13" i="8" a="1"/>
  <c r="AF13" i="8" s="1"/>
  <c r="AF14" i="8" a="1"/>
  <c r="AF14" i="8" s="1"/>
  <c r="AF15" i="8" a="1"/>
  <c r="AF15" i="8" s="1"/>
  <c r="AF16" i="8" a="1"/>
  <c r="AF16" i="8" s="1"/>
  <c r="AF17" i="8" a="1"/>
  <c r="AF17" i="8" s="1"/>
  <c r="AF18" i="8" a="1"/>
  <c r="AF18" i="8" s="1"/>
  <c r="AF19" i="8" a="1"/>
  <c r="AF19" i="8" s="1"/>
  <c r="AF20" i="8" a="1"/>
  <c r="AF20" i="8" s="1"/>
  <c r="AF21" i="8" a="1"/>
  <c r="AF21" i="8" s="1"/>
  <c r="AF22" i="8" a="1"/>
  <c r="AF22" i="8" s="1"/>
  <c r="AF23" i="8" a="1"/>
  <c r="AF23" i="8" s="1"/>
  <c r="AF24" i="8" a="1"/>
  <c r="AF24" i="8" s="1"/>
  <c r="AF25" i="8" a="1"/>
  <c r="AF25" i="8" s="1"/>
  <c r="AF26" i="8" a="1"/>
  <c r="AF26" i="8" s="1"/>
  <c r="AF27" i="8" a="1"/>
  <c r="AF27" i="8" s="1"/>
  <c r="AF28" i="8" a="1"/>
  <c r="AF28" i="8" s="1"/>
  <c r="AF29" i="8" a="1"/>
  <c r="AF29" i="8" s="1"/>
  <c r="AF30" i="8" a="1"/>
  <c r="AF30" i="8" s="1"/>
  <c r="AF31" i="8" a="1"/>
  <c r="AF31" i="8" s="1"/>
  <c r="AF32" i="8" a="1"/>
  <c r="AF32" i="8" s="1"/>
  <c r="AF33" i="8" a="1"/>
  <c r="AF33" i="8" s="1"/>
  <c r="AF34" i="8" a="1"/>
  <c r="AF34" i="8" s="1"/>
  <c r="AF35" i="8" a="1"/>
  <c r="AF35" i="8" s="1"/>
  <c r="AF36" i="8" a="1"/>
  <c r="AF36" i="8" s="1"/>
  <c r="AF37" i="8" a="1"/>
  <c r="AF37" i="8" s="1"/>
  <c r="AF38" i="8" a="1"/>
  <c r="AF38" i="8" s="1"/>
  <c r="AF39" i="8" a="1"/>
  <c r="AF39" i="8" s="1"/>
  <c r="AF40" i="8" a="1"/>
  <c r="AF40" i="8" s="1"/>
  <c r="AF41" i="8" a="1"/>
  <c r="AF41" i="8" s="1"/>
  <c r="AF42" i="8" a="1"/>
  <c r="AF42" i="8" s="1"/>
  <c r="AF43" i="8" a="1"/>
  <c r="AF43" i="8" s="1"/>
  <c r="AF44" i="8" a="1"/>
  <c r="AF44" i="8" s="1"/>
  <c r="AF45" i="8" a="1"/>
  <c r="AF45" i="8" s="1"/>
  <c r="AF46" i="8" a="1"/>
  <c r="AF46" i="8" s="1"/>
  <c r="AF47" i="8" a="1"/>
  <c r="AF47" i="8" s="1"/>
  <c r="AF48" i="8" a="1"/>
  <c r="AF48" i="8" s="1"/>
  <c r="AF49" i="8" a="1"/>
  <c r="AF49" i="8" s="1"/>
  <c r="AF50" i="8" a="1"/>
  <c r="AF50" i="8" s="1"/>
  <c r="AF51" i="8" a="1"/>
  <c r="AF51" i="8" s="1"/>
  <c r="AF52" i="8" a="1"/>
  <c r="AF52" i="8" s="1"/>
  <c r="AF53" i="8" a="1"/>
  <c r="AF53" i="8" s="1"/>
  <c r="AF54" i="8" a="1"/>
  <c r="AF54" i="8" s="1"/>
  <c r="AF55" i="8" a="1"/>
  <c r="AF55" i="8" s="1"/>
  <c r="AF56" i="8" a="1"/>
  <c r="AF56" i="8" s="1"/>
  <c r="AF57" i="8" a="1"/>
  <c r="AF57" i="8" s="1"/>
  <c r="AF58" i="8" a="1"/>
  <c r="AF58" i="8" s="1"/>
  <c r="AF59" i="8" a="1"/>
  <c r="AF59" i="8" s="1"/>
  <c r="AF60" i="8" a="1"/>
  <c r="AF60" i="8" s="1"/>
  <c r="AF61" i="8" a="1"/>
  <c r="AF61" i="8" s="1"/>
  <c r="AF62" i="8" a="1"/>
  <c r="AF62" i="8" s="1"/>
  <c r="AF63" i="8" a="1"/>
  <c r="AF63" i="8" s="1"/>
  <c r="AF64" i="8" a="1"/>
  <c r="AF64" i="8" s="1"/>
  <c r="AF65" i="8" a="1"/>
  <c r="AF65" i="8" s="1"/>
  <c r="AF66" i="8" a="1"/>
  <c r="AF66" i="8" s="1"/>
  <c r="AF67" i="8" a="1"/>
  <c r="AF67" i="8" s="1"/>
  <c r="AF68" i="8" a="1"/>
  <c r="AF68" i="8" s="1"/>
  <c r="AF69" i="8" a="1"/>
  <c r="AF69" i="8" s="1"/>
  <c r="AF70" i="8" a="1"/>
  <c r="AF70" i="8" s="1"/>
  <c r="AF71" i="8" a="1"/>
  <c r="AF71" i="8" s="1"/>
  <c r="AF72" i="8" a="1"/>
  <c r="AF72" i="8" s="1"/>
  <c r="AF73" i="8" a="1"/>
  <c r="AF73" i="8" s="1"/>
  <c r="AF74" i="8" a="1"/>
  <c r="AF74" i="8" s="1"/>
  <c r="AF75" i="8" a="1"/>
  <c r="AF75" i="8" s="1"/>
  <c r="AF76" i="8" a="1"/>
  <c r="AF76" i="8" s="1"/>
  <c r="AF77" i="8" a="1"/>
  <c r="AF77" i="8" s="1"/>
  <c r="AF78" i="8" a="1"/>
  <c r="AF78" i="8" s="1"/>
  <c r="AF79" i="8" a="1"/>
  <c r="AF79" i="8" s="1"/>
  <c r="AF80" i="8" a="1"/>
  <c r="AF80" i="8" s="1"/>
  <c r="AF81" i="8" a="1"/>
  <c r="AF81" i="8" s="1"/>
  <c r="AF82" i="8" a="1"/>
  <c r="AF82" i="8" s="1"/>
  <c r="AF83" i="8" a="1"/>
  <c r="AF83" i="8" s="1"/>
  <c r="AF84" i="8" a="1"/>
  <c r="AF84" i="8" s="1"/>
  <c r="AF85" i="8" a="1"/>
  <c r="AF85" i="8" s="1"/>
  <c r="AF86" i="8" a="1"/>
  <c r="AF86" i="8" s="1"/>
  <c r="AF87" i="8" a="1"/>
  <c r="AF87" i="8" s="1"/>
  <c r="AF88" i="8" a="1"/>
  <c r="AF88" i="8" s="1"/>
  <c r="AF89" i="8" a="1"/>
  <c r="AF89" i="8" s="1"/>
  <c r="AF90" i="8" a="1"/>
  <c r="AF90" i="8" s="1"/>
  <c r="AF91" i="8" a="1"/>
  <c r="AF91" i="8" s="1"/>
  <c r="AF92" i="8" a="1"/>
  <c r="AF92" i="8" s="1"/>
  <c r="AF93" i="8" a="1"/>
  <c r="AF93" i="8" s="1"/>
  <c r="AF94" i="8" a="1"/>
  <c r="AF94" i="8" s="1"/>
  <c r="AF95" i="8" a="1"/>
  <c r="AF95" i="8" s="1"/>
  <c r="AF96" i="8" a="1"/>
  <c r="AF96" i="8" s="1"/>
  <c r="AF97" i="8" a="1"/>
  <c r="AF97" i="8" s="1"/>
  <c r="AF98" i="8" a="1"/>
  <c r="AF98" i="8" s="1"/>
  <c r="AF99" i="8" a="1"/>
  <c r="AF99" i="8" s="1"/>
  <c r="AF100" i="8" a="1"/>
  <c r="AF100" i="8" s="1"/>
  <c r="AF101" i="8" a="1"/>
  <c r="AF101" i="8" s="1"/>
  <c r="AF102" i="8" a="1"/>
  <c r="AF102" i="8" s="1"/>
  <c r="AF103" i="8" a="1"/>
  <c r="AF103" i="8" s="1"/>
  <c r="AF104" i="8" a="1"/>
  <c r="AF104" i="8" s="1"/>
  <c r="AF105" i="8" a="1"/>
  <c r="AF105" i="8" s="1"/>
  <c r="AF106" i="8" a="1"/>
  <c r="AF106" i="8" s="1"/>
  <c r="AF107" i="8" a="1"/>
  <c r="AF107" i="8" s="1"/>
  <c r="AF108" i="8" a="1"/>
  <c r="AF108" i="8" s="1"/>
  <c r="AF109" i="8" a="1"/>
  <c r="AF109" i="8" s="1"/>
  <c r="AF110" i="8" a="1"/>
  <c r="AF110" i="8" s="1"/>
  <c r="AF111" i="8" a="1"/>
  <c r="AF111" i="8" s="1"/>
  <c r="AF112" i="8" a="1"/>
  <c r="AF112" i="8" s="1"/>
  <c r="AF113" i="8" a="1"/>
  <c r="AF113" i="8" s="1"/>
  <c r="AF114" i="8" a="1"/>
  <c r="AF114" i="8" s="1"/>
  <c r="AF115" i="8" a="1"/>
  <c r="AF115" i="8" s="1"/>
  <c r="AF116" i="8" a="1"/>
  <c r="AF116" i="8" s="1"/>
  <c r="AF117" i="8" a="1"/>
  <c r="AF117" i="8" s="1"/>
  <c r="AF118" i="8" a="1"/>
  <c r="AF118" i="8" s="1"/>
  <c r="AF119" i="8" a="1"/>
  <c r="AF119" i="8" s="1"/>
  <c r="AF120" i="8" a="1"/>
  <c r="AF120" i="8" s="1"/>
  <c r="AF121" i="8" a="1"/>
  <c r="AF121" i="8" s="1"/>
  <c r="AF122" i="8" a="1"/>
  <c r="AF122" i="8" s="1"/>
  <c r="AF123" i="8" a="1"/>
  <c r="AF123" i="8" s="1"/>
  <c r="AF124" i="8" a="1"/>
  <c r="AF124" i="8" s="1"/>
  <c r="AF125" i="8" a="1"/>
  <c r="AF125" i="8" s="1"/>
  <c r="AF126" i="8" a="1"/>
  <c r="AF126" i="8" s="1"/>
  <c r="AF127" i="8" a="1"/>
  <c r="AF127" i="8" s="1"/>
  <c r="AF128" i="8" a="1"/>
  <c r="AF128" i="8" s="1"/>
  <c r="AF129" i="8" a="1"/>
  <c r="AF129" i="8" s="1"/>
  <c r="AF130" i="8" a="1"/>
  <c r="AF130" i="8" s="1"/>
  <c r="AF131" i="8" a="1"/>
  <c r="AF131" i="8" s="1"/>
  <c r="AF132" i="8" a="1"/>
  <c r="AF132" i="8" s="1"/>
  <c r="AF133" i="8" a="1"/>
  <c r="AF133" i="8" s="1"/>
  <c r="AF134" i="8" a="1"/>
  <c r="AF134" i="8" s="1"/>
  <c r="AF135" i="8" a="1"/>
  <c r="AF135" i="8" s="1"/>
  <c r="AF136" i="8" a="1"/>
  <c r="AF136" i="8" s="1"/>
  <c r="AF137" i="8" a="1"/>
  <c r="AF137" i="8" s="1"/>
  <c r="AF138" i="8" a="1"/>
  <c r="AF138" i="8" s="1"/>
  <c r="AF139" i="8" a="1"/>
  <c r="AF139" i="8" s="1"/>
  <c r="AF140" i="8" a="1"/>
  <c r="AF140" i="8" s="1"/>
  <c r="AF141" i="8" a="1"/>
  <c r="AF141" i="8" s="1"/>
  <c r="AF142" i="8" a="1"/>
  <c r="AF142" i="8" s="1"/>
  <c r="AF143" i="8" a="1"/>
  <c r="AF143" i="8" s="1"/>
  <c r="AF144" i="8" a="1"/>
  <c r="AF144" i="8" s="1"/>
  <c r="AF145" i="8" a="1"/>
  <c r="AF145" i="8" s="1"/>
  <c r="AF146" i="8" a="1"/>
  <c r="AF146" i="8" s="1"/>
  <c r="AF147" i="8" a="1"/>
  <c r="AF147" i="8" s="1"/>
  <c r="AF148" i="8" a="1"/>
  <c r="AF148" i="8" s="1"/>
  <c r="AF149" i="8" a="1"/>
  <c r="AF149" i="8" s="1"/>
  <c r="AF150" i="8" a="1"/>
  <c r="AF150" i="8" s="1"/>
  <c r="AF151" i="8" a="1"/>
  <c r="AF151" i="8" s="1"/>
  <c r="AF152" i="8" a="1"/>
  <c r="AF152" i="8" s="1"/>
  <c r="AF153" i="8" a="1"/>
  <c r="AF153" i="8" s="1"/>
  <c r="AF154" i="8" a="1"/>
  <c r="AF154" i="8" s="1"/>
  <c r="AF155" i="8" a="1"/>
  <c r="AF155" i="8" s="1"/>
  <c r="AF156" i="8" a="1"/>
  <c r="AF156" i="8" s="1"/>
  <c r="AF157" i="8" a="1"/>
  <c r="AF157" i="8" s="1"/>
  <c r="AF158" i="8" a="1"/>
  <c r="AF158" i="8" s="1"/>
  <c r="AF159" i="8" a="1"/>
  <c r="AF159" i="8" s="1"/>
  <c r="AF160" i="8" a="1"/>
  <c r="AF160" i="8" s="1"/>
  <c r="AF161" i="8" a="1"/>
  <c r="AF161" i="8" s="1"/>
  <c r="AF162" i="8" a="1"/>
  <c r="AF162" i="8" s="1"/>
  <c r="AF163" i="8" a="1"/>
  <c r="AF163" i="8" s="1"/>
  <c r="AF164" i="8" a="1"/>
  <c r="AF164" i="8" s="1"/>
  <c r="AF165" i="8" a="1"/>
  <c r="AF165" i="8" s="1"/>
  <c r="AF166" i="8" a="1"/>
  <c r="AF166" i="8" s="1"/>
  <c r="AF167" i="8" a="1"/>
  <c r="AF167" i="8" s="1"/>
  <c r="AF168" i="8" a="1"/>
  <c r="AF168" i="8" s="1"/>
  <c r="AF169" i="8" a="1"/>
  <c r="AF169" i="8" s="1"/>
  <c r="AF170" i="8" a="1"/>
  <c r="AF170" i="8" s="1"/>
  <c r="AF171" i="8" a="1"/>
  <c r="AF171" i="8" s="1"/>
  <c r="AF172" i="8" a="1"/>
  <c r="AF172" i="8" s="1"/>
  <c r="AF173" i="8" a="1"/>
  <c r="AF173" i="8" s="1"/>
  <c r="AF174" i="8" a="1"/>
  <c r="AF174" i="8" s="1"/>
  <c r="AF175" i="8" a="1"/>
  <c r="AF175" i="8" s="1"/>
  <c r="AF176" i="8" a="1"/>
  <c r="AF176" i="8" s="1"/>
  <c r="AF177" i="8" a="1"/>
  <c r="AF177" i="8" s="1"/>
  <c r="AF178" i="8" a="1"/>
  <c r="AF178" i="8" s="1"/>
  <c r="AF179" i="8" a="1"/>
  <c r="AF179" i="8" s="1"/>
  <c r="AF180" i="8" a="1"/>
  <c r="AF180" i="8" s="1"/>
  <c r="AF181" i="8" a="1"/>
  <c r="AF181" i="8" s="1"/>
  <c r="AF182" i="8" a="1"/>
  <c r="AF182" i="8" s="1"/>
  <c r="AF183" i="8" a="1"/>
  <c r="AF183" i="8" s="1"/>
  <c r="AF184" i="8" a="1"/>
  <c r="AF184" i="8" s="1"/>
  <c r="AF185" i="8" a="1"/>
  <c r="AF185" i="8" s="1"/>
  <c r="AF186" i="8" a="1"/>
  <c r="AF186" i="8" s="1"/>
  <c r="AF187" i="8" a="1"/>
  <c r="AF187" i="8" s="1"/>
  <c r="AF188" i="8" a="1"/>
  <c r="AF188" i="8" s="1"/>
  <c r="AF189" i="8" a="1"/>
  <c r="AF189" i="8" s="1"/>
  <c r="AF190" i="8" a="1"/>
  <c r="AF190" i="8" s="1"/>
  <c r="AF191" i="8" a="1"/>
  <c r="AF191" i="8" s="1"/>
  <c r="AF192" i="8" a="1"/>
  <c r="AF192" i="8" s="1"/>
  <c r="AF193" i="8" a="1"/>
  <c r="AF193" i="8" s="1"/>
  <c r="AF194" i="8" a="1"/>
  <c r="AF194" i="8" s="1"/>
  <c r="AF195" i="8" a="1"/>
  <c r="AF195" i="8" s="1"/>
  <c r="AF196" i="8" a="1"/>
  <c r="AF196" i="8" s="1"/>
  <c r="AF197" i="8" a="1"/>
  <c r="AF197" i="8" s="1"/>
  <c r="AF198" i="8" a="1"/>
  <c r="AF198" i="8" s="1"/>
  <c r="AF199" i="8" a="1"/>
  <c r="AF199" i="8" s="1"/>
  <c r="AF200" i="8" a="1"/>
  <c r="AF200" i="8" s="1"/>
  <c r="AF201" i="8" a="1"/>
  <c r="AF201" i="8" s="1"/>
  <c r="AF202" i="8" a="1"/>
  <c r="AF202" i="8" s="1"/>
  <c r="AF203" i="8" a="1"/>
  <c r="AF203" i="8" s="1"/>
  <c r="AF204" i="8" a="1"/>
  <c r="AF204" i="8" s="1"/>
  <c r="AF205" i="8" a="1"/>
  <c r="AF205" i="8" s="1"/>
  <c r="AF206" i="8" a="1"/>
  <c r="AF206" i="8" s="1"/>
  <c r="AF207" i="8" a="1"/>
  <c r="AF207" i="8" s="1"/>
  <c r="AF208" i="8" a="1"/>
  <c r="AF208" i="8" s="1"/>
  <c r="AF209" i="8" a="1"/>
  <c r="AF209" i="8" s="1"/>
  <c r="AF210" i="8" a="1"/>
  <c r="AF210" i="8" s="1"/>
  <c r="AF211" i="8" a="1"/>
  <c r="AF211" i="8" s="1"/>
  <c r="AF212" i="8" a="1"/>
  <c r="AF212" i="8" s="1"/>
  <c r="AF213" i="8" a="1"/>
  <c r="AF213" i="8" s="1"/>
  <c r="AF214" i="8" a="1"/>
  <c r="AF214" i="8" s="1"/>
  <c r="AF215" i="8" a="1"/>
  <c r="AF215" i="8" s="1"/>
  <c r="AF216" i="8" a="1"/>
  <c r="AF216" i="8" s="1"/>
  <c r="AF217" i="8" a="1"/>
  <c r="AF217" i="8" s="1"/>
  <c r="AF218" i="8" a="1"/>
  <c r="AF218" i="8" s="1"/>
  <c r="AF219" i="8" a="1"/>
  <c r="AF219" i="8" s="1"/>
  <c r="AF220" i="8" a="1"/>
  <c r="AF220" i="8" s="1"/>
  <c r="AF221" i="8" a="1"/>
  <c r="AF221" i="8" s="1"/>
  <c r="AF222" i="8" a="1"/>
  <c r="AF222" i="8" s="1"/>
  <c r="AF223" i="8" a="1"/>
  <c r="AF223" i="8" s="1"/>
  <c r="AF224" i="8" a="1"/>
  <c r="AF224" i="8" s="1"/>
  <c r="AF225" i="8" a="1"/>
  <c r="AF225" i="8" s="1"/>
  <c r="AF226" i="8" a="1"/>
  <c r="AF226" i="8" s="1"/>
  <c r="AF227" i="8" a="1"/>
  <c r="AF227" i="8" s="1"/>
  <c r="AF228" i="8" a="1"/>
  <c r="AF228" i="8" s="1"/>
  <c r="AF229" i="8" a="1"/>
  <c r="AF229" i="8" s="1"/>
  <c r="AF230" i="8" a="1"/>
  <c r="AF230" i="8" s="1"/>
  <c r="AF231" i="8" a="1"/>
  <c r="AF231" i="8" s="1"/>
  <c r="AF232" i="8" a="1"/>
  <c r="AF232" i="8" s="1"/>
  <c r="AF233" i="8" a="1"/>
  <c r="AF233" i="8" s="1"/>
  <c r="AF234" i="8" a="1"/>
  <c r="AF234" i="8" s="1"/>
  <c r="AF235" i="8" a="1"/>
  <c r="AF235" i="8" s="1"/>
  <c r="AF236" i="8" a="1"/>
  <c r="AF236" i="8" s="1"/>
  <c r="AF237" i="8" a="1"/>
  <c r="AF237" i="8" s="1"/>
  <c r="AF238" i="8" a="1"/>
  <c r="AF238" i="8" s="1"/>
  <c r="AF239" i="8" a="1"/>
  <c r="AF239" i="8" s="1"/>
  <c r="AF240" i="8" a="1"/>
  <c r="AF240" i="8" s="1"/>
  <c r="AF241" i="8" a="1"/>
  <c r="AF241" i="8" s="1"/>
  <c r="AF242" i="8" a="1"/>
  <c r="AF242" i="8" s="1"/>
  <c r="AF243" i="8" a="1"/>
  <c r="AF243" i="8" s="1"/>
  <c r="AF244" i="8" a="1"/>
  <c r="AF244" i="8" s="1"/>
  <c r="AF245" i="8" a="1"/>
  <c r="AF245" i="8" s="1"/>
  <c r="AF246" i="8" a="1"/>
  <c r="AF246" i="8" s="1"/>
  <c r="AF247" i="8" a="1"/>
  <c r="AF247" i="8" s="1"/>
  <c r="AF248" i="8" a="1"/>
  <c r="AF248" i="8" s="1"/>
  <c r="AF249" i="8" a="1"/>
  <c r="AF249" i="8" s="1"/>
  <c r="AF250" i="8" a="1"/>
  <c r="AF250" i="8" s="1"/>
  <c r="AE12" i="8" a="1"/>
  <c r="AE12" i="8" s="1"/>
  <c r="AE13" i="8" a="1"/>
  <c r="AE13" i="8" s="1"/>
  <c r="AE14" i="8" a="1"/>
  <c r="AE14" i="8" s="1"/>
  <c r="AE15" i="8" a="1"/>
  <c r="AE15" i="8" s="1"/>
  <c r="AE16" i="8" a="1"/>
  <c r="AE16" i="8" s="1"/>
  <c r="AE17" i="8" a="1"/>
  <c r="AE17" i="8" s="1"/>
  <c r="AE18" i="8" a="1"/>
  <c r="AE18" i="8" s="1"/>
  <c r="AE19" i="8" a="1"/>
  <c r="AE19" i="8" s="1"/>
  <c r="AE20" i="8" a="1"/>
  <c r="AE20" i="8" s="1"/>
  <c r="AE21" i="8" a="1"/>
  <c r="AE21" i="8" s="1"/>
  <c r="AE22" i="8" a="1"/>
  <c r="AE22" i="8" s="1"/>
  <c r="AE23" i="8" a="1"/>
  <c r="AE23" i="8" s="1"/>
  <c r="AE24" i="8" a="1"/>
  <c r="AE24" i="8" s="1"/>
  <c r="AE25" i="8" a="1"/>
  <c r="AE25" i="8" s="1"/>
  <c r="AE26" i="8" a="1"/>
  <c r="AE26" i="8" s="1"/>
  <c r="AE27" i="8" a="1"/>
  <c r="AE27" i="8" s="1"/>
  <c r="AE28" i="8" a="1"/>
  <c r="AE28" i="8" s="1"/>
  <c r="AE29" i="8" a="1"/>
  <c r="AE29" i="8" s="1"/>
  <c r="AE30" i="8" a="1"/>
  <c r="AE30" i="8" s="1"/>
  <c r="AE31" i="8" a="1"/>
  <c r="AE31" i="8" s="1"/>
  <c r="AE32" i="8" a="1"/>
  <c r="AE32" i="8" s="1"/>
  <c r="AE33" i="8" a="1"/>
  <c r="AE33" i="8" s="1"/>
  <c r="AE34" i="8" a="1"/>
  <c r="AE34" i="8" s="1"/>
  <c r="AE35" i="8" a="1"/>
  <c r="AE35" i="8" s="1"/>
  <c r="AE36" i="8" a="1"/>
  <c r="AE36" i="8" s="1"/>
  <c r="AE37" i="8" a="1"/>
  <c r="AE37" i="8" s="1"/>
  <c r="AE38" i="8" a="1"/>
  <c r="AE38" i="8" s="1"/>
  <c r="AE39" i="8" a="1"/>
  <c r="AE39" i="8" s="1"/>
  <c r="AE40" i="8" a="1"/>
  <c r="AE40" i="8" s="1"/>
  <c r="AE41" i="8" a="1"/>
  <c r="AE41" i="8" s="1"/>
  <c r="AE42" i="8" a="1"/>
  <c r="AE42" i="8" s="1"/>
  <c r="AE43" i="8" a="1"/>
  <c r="AE43" i="8" s="1"/>
  <c r="AE44" i="8" a="1"/>
  <c r="AE44" i="8" s="1"/>
  <c r="AE45" i="8" a="1"/>
  <c r="AE45" i="8" s="1"/>
  <c r="AE46" i="8" a="1"/>
  <c r="AE46" i="8" s="1"/>
  <c r="AE47" i="8" a="1"/>
  <c r="AE47" i="8" s="1"/>
  <c r="AE48" i="8" a="1"/>
  <c r="AE48" i="8" s="1"/>
  <c r="AE49" i="8" a="1"/>
  <c r="AE49" i="8" s="1"/>
  <c r="AE50" i="8" a="1"/>
  <c r="AE50" i="8" s="1"/>
  <c r="AE51" i="8" a="1"/>
  <c r="AE51" i="8" s="1"/>
  <c r="AE52" i="8" a="1"/>
  <c r="AE52" i="8" s="1"/>
  <c r="AE53" i="8" a="1"/>
  <c r="AE53" i="8" s="1"/>
  <c r="AE54" i="8" a="1"/>
  <c r="AE54" i="8" s="1"/>
  <c r="AE55" i="8" a="1"/>
  <c r="AE55" i="8" s="1"/>
  <c r="AE56" i="8" a="1"/>
  <c r="AE56" i="8" s="1"/>
  <c r="AE57" i="8" a="1"/>
  <c r="AE57" i="8" s="1"/>
  <c r="AE58" i="8" a="1"/>
  <c r="AE58" i="8" s="1"/>
  <c r="AE59" i="8" a="1"/>
  <c r="AE59" i="8" s="1"/>
  <c r="AE60" i="8" a="1"/>
  <c r="AE60" i="8" s="1"/>
  <c r="AE61" i="8" a="1"/>
  <c r="AE61" i="8" s="1"/>
  <c r="AE62" i="8" a="1"/>
  <c r="AE62" i="8" s="1"/>
  <c r="AE63" i="8" a="1"/>
  <c r="AE63" i="8" s="1"/>
  <c r="AE64" i="8" a="1"/>
  <c r="AE64" i="8" s="1"/>
  <c r="AE65" i="8" a="1"/>
  <c r="AE65" i="8" s="1"/>
  <c r="AE66" i="8" a="1"/>
  <c r="AE66" i="8" s="1"/>
  <c r="AE67" i="8" a="1"/>
  <c r="AE67" i="8" s="1"/>
  <c r="AE68" i="8" a="1"/>
  <c r="AE68" i="8" s="1"/>
  <c r="AE69" i="8" a="1"/>
  <c r="AE69" i="8" s="1"/>
  <c r="AE70" i="8" a="1"/>
  <c r="AE70" i="8" s="1"/>
  <c r="AE71" i="8" a="1"/>
  <c r="AE71" i="8" s="1"/>
  <c r="AE72" i="8" a="1"/>
  <c r="AE72" i="8" s="1"/>
  <c r="AE73" i="8" a="1"/>
  <c r="AE73" i="8" s="1"/>
  <c r="AE74" i="8" a="1"/>
  <c r="AE74" i="8" s="1"/>
  <c r="AE75" i="8" a="1"/>
  <c r="AE75" i="8" s="1"/>
  <c r="AE76" i="8" a="1"/>
  <c r="AE76" i="8" s="1"/>
  <c r="AE77" i="8" a="1"/>
  <c r="AE77" i="8" s="1"/>
  <c r="AE78" i="8" a="1"/>
  <c r="AE78" i="8" s="1"/>
  <c r="AE79" i="8" a="1"/>
  <c r="AE79" i="8" s="1"/>
  <c r="AE80" i="8" a="1"/>
  <c r="AE80" i="8" s="1"/>
  <c r="AE81" i="8" a="1"/>
  <c r="AE81" i="8" s="1"/>
  <c r="AE82" i="8" a="1"/>
  <c r="AE82" i="8" s="1"/>
  <c r="AE83" i="8" a="1"/>
  <c r="AE83" i="8" s="1"/>
  <c r="AE84" i="8" a="1"/>
  <c r="AE84" i="8" s="1"/>
  <c r="AE85" i="8" a="1"/>
  <c r="AE85" i="8" s="1"/>
  <c r="AE86" i="8" a="1"/>
  <c r="AE86" i="8" s="1"/>
  <c r="AE87" i="8" a="1"/>
  <c r="AE87" i="8" s="1"/>
  <c r="AE88" i="8" a="1"/>
  <c r="AE88" i="8" s="1"/>
  <c r="AE89" i="8" a="1"/>
  <c r="AE89" i="8" s="1"/>
  <c r="AE90" i="8" a="1"/>
  <c r="AE90" i="8" s="1"/>
  <c r="AE91" i="8" a="1"/>
  <c r="AE91" i="8" s="1"/>
  <c r="AE92" i="8" a="1"/>
  <c r="AE92" i="8" s="1"/>
  <c r="AE93" i="8" a="1"/>
  <c r="AE93" i="8" s="1"/>
  <c r="AE94" i="8" a="1"/>
  <c r="AE94" i="8" s="1"/>
  <c r="AE95" i="8" a="1"/>
  <c r="AE95" i="8" s="1"/>
  <c r="AE96" i="8" a="1"/>
  <c r="AE96" i="8" s="1"/>
  <c r="AE97" i="8" a="1"/>
  <c r="AE97" i="8" s="1"/>
  <c r="AE98" i="8" a="1"/>
  <c r="AE98" i="8" s="1"/>
  <c r="AE99" i="8" a="1"/>
  <c r="AE99" i="8" s="1"/>
  <c r="AE100" i="8" a="1"/>
  <c r="AE100" i="8" s="1"/>
  <c r="AE101" i="8" a="1"/>
  <c r="AE101" i="8" s="1"/>
  <c r="AE102" i="8" a="1"/>
  <c r="AE102" i="8" s="1"/>
  <c r="AE103" i="8" a="1"/>
  <c r="AE103" i="8" s="1"/>
  <c r="AE104" i="8" a="1"/>
  <c r="AE104" i="8" s="1"/>
  <c r="AE105" i="8" a="1"/>
  <c r="AE105" i="8" s="1"/>
  <c r="AE106" i="8" a="1"/>
  <c r="AE106" i="8" s="1"/>
  <c r="AE107" i="8" a="1"/>
  <c r="AE107" i="8" s="1"/>
  <c r="AE108" i="8" a="1"/>
  <c r="AE108" i="8" s="1"/>
  <c r="AE109" i="8" a="1"/>
  <c r="AE109" i="8" s="1"/>
  <c r="AE110" i="8" a="1"/>
  <c r="AE110" i="8" s="1"/>
  <c r="AE111" i="8" a="1"/>
  <c r="AE111" i="8" s="1"/>
  <c r="AE112" i="8" a="1"/>
  <c r="AE112" i="8" s="1"/>
  <c r="AE113" i="8" a="1"/>
  <c r="AE113" i="8" s="1"/>
  <c r="AE114" i="8" a="1"/>
  <c r="AE114" i="8" s="1"/>
  <c r="AE115" i="8" a="1"/>
  <c r="AE115" i="8" s="1"/>
  <c r="AE116" i="8" a="1"/>
  <c r="AE116" i="8" s="1"/>
  <c r="AE117" i="8" a="1"/>
  <c r="AE117" i="8" s="1"/>
  <c r="AE118" i="8" a="1"/>
  <c r="AE118" i="8" s="1"/>
  <c r="AE119" i="8" a="1"/>
  <c r="AE119" i="8" s="1"/>
  <c r="AE120" i="8" a="1"/>
  <c r="AE120" i="8" s="1"/>
  <c r="AE121" i="8" a="1"/>
  <c r="AE121" i="8" s="1"/>
  <c r="AE122" i="8" a="1"/>
  <c r="AE122" i="8" s="1"/>
  <c r="AE123" i="8" a="1"/>
  <c r="AE123" i="8" s="1"/>
  <c r="AE124" i="8" a="1"/>
  <c r="AE124" i="8" s="1"/>
  <c r="AE125" i="8" a="1"/>
  <c r="AE125" i="8" s="1"/>
  <c r="AE126" i="8" a="1"/>
  <c r="AE126" i="8" s="1"/>
  <c r="AE127" i="8" a="1"/>
  <c r="AE127" i="8" s="1"/>
  <c r="AE128" i="8" a="1"/>
  <c r="AE128" i="8" s="1"/>
  <c r="AE129" i="8" a="1"/>
  <c r="AE129" i="8" s="1"/>
  <c r="AE130" i="8" a="1"/>
  <c r="AE130" i="8" s="1"/>
  <c r="AE131" i="8" a="1"/>
  <c r="AE131" i="8" s="1"/>
  <c r="AE132" i="8" a="1"/>
  <c r="AE132" i="8" s="1"/>
  <c r="AE133" i="8" a="1"/>
  <c r="AE133" i="8" s="1"/>
  <c r="AE134" i="8" a="1"/>
  <c r="AE134" i="8" s="1"/>
  <c r="AE135" i="8" a="1"/>
  <c r="AE135" i="8" s="1"/>
  <c r="AE136" i="8" a="1"/>
  <c r="AE136" i="8" s="1"/>
  <c r="AE137" i="8" a="1"/>
  <c r="AE137" i="8" s="1"/>
  <c r="AE138" i="8" a="1"/>
  <c r="AE138" i="8" s="1"/>
  <c r="AE139" i="8" a="1"/>
  <c r="AE139" i="8" s="1"/>
  <c r="AE140" i="8" a="1"/>
  <c r="AE140" i="8" s="1"/>
  <c r="AE141" i="8" a="1"/>
  <c r="AE141" i="8" s="1"/>
  <c r="AE142" i="8" a="1"/>
  <c r="AE142" i="8" s="1"/>
  <c r="AE143" i="8" a="1"/>
  <c r="AE143" i="8" s="1"/>
  <c r="AE144" i="8" a="1"/>
  <c r="AE144" i="8" s="1"/>
  <c r="AE145" i="8" a="1"/>
  <c r="AE145" i="8" s="1"/>
  <c r="AE146" i="8" a="1"/>
  <c r="AE146" i="8" s="1"/>
  <c r="AE147" i="8" a="1"/>
  <c r="AE147" i="8" s="1"/>
  <c r="AE148" i="8" a="1"/>
  <c r="AE148" i="8" s="1"/>
  <c r="AE149" i="8" a="1"/>
  <c r="AE149" i="8" s="1"/>
  <c r="AE150" i="8" a="1"/>
  <c r="AE150" i="8" s="1"/>
  <c r="AE151" i="8" a="1"/>
  <c r="AE151" i="8" s="1"/>
  <c r="AE152" i="8" a="1"/>
  <c r="AE152" i="8" s="1"/>
  <c r="AE153" i="8" a="1"/>
  <c r="AE153" i="8" s="1"/>
  <c r="AE154" i="8" a="1"/>
  <c r="AE154" i="8" s="1"/>
  <c r="AE155" i="8" a="1"/>
  <c r="AE155" i="8" s="1"/>
  <c r="AE156" i="8" a="1"/>
  <c r="AE156" i="8" s="1"/>
  <c r="AE157" i="8" a="1"/>
  <c r="AE157" i="8" s="1"/>
  <c r="AE158" i="8" a="1"/>
  <c r="AE158" i="8" s="1"/>
  <c r="AE159" i="8" a="1"/>
  <c r="AE159" i="8" s="1"/>
  <c r="AE160" i="8" a="1"/>
  <c r="AE160" i="8" s="1"/>
  <c r="AE161" i="8" a="1"/>
  <c r="AE161" i="8" s="1"/>
  <c r="AE162" i="8" a="1"/>
  <c r="AE162" i="8" s="1"/>
  <c r="AE163" i="8" a="1"/>
  <c r="AE163" i="8" s="1"/>
  <c r="AE164" i="8" a="1"/>
  <c r="AE164" i="8" s="1"/>
  <c r="AE165" i="8" a="1"/>
  <c r="AE165" i="8" s="1"/>
  <c r="AE166" i="8" a="1"/>
  <c r="AE166" i="8" s="1"/>
  <c r="AE167" i="8" a="1"/>
  <c r="AE167" i="8" s="1"/>
  <c r="AE168" i="8" a="1"/>
  <c r="AE168" i="8" s="1"/>
  <c r="AE169" i="8" a="1"/>
  <c r="AE169" i="8" s="1"/>
  <c r="AE170" i="8" a="1"/>
  <c r="AE170" i="8" s="1"/>
  <c r="AE171" i="8" a="1"/>
  <c r="AE171" i="8" s="1"/>
  <c r="AE172" i="8" a="1"/>
  <c r="AE172" i="8" s="1"/>
  <c r="AE173" i="8" a="1"/>
  <c r="AE173" i="8" s="1"/>
  <c r="AE174" i="8" a="1"/>
  <c r="AE174" i="8" s="1"/>
  <c r="AE175" i="8" a="1"/>
  <c r="AE175" i="8" s="1"/>
  <c r="AE176" i="8" a="1"/>
  <c r="AE176" i="8" s="1"/>
  <c r="AE177" i="8" a="1"/>
  <c r="AE177" i="8" s="1"/>
  <c r="AE178" i="8" a="1"/>
  <c r="AE178" i="8" s="1"/>
  <c r="AE179" i="8" a="1"/>
  <c r="AE179" i="8" s="1"/>
  <c r="AE180" i="8" a="1"/>
  <c r="AE180" i="8" s="1"/>
  <c r="AE181" i="8" a="1"/>
  <c r="AE181" i="8" s="1"/>
  <c r="AE182" i="8" a="1"/>
  <c r="AE182" i="8" s="1"/>
  <c r="AE183" i="8" a="1"/>
  <c r="AE183" i="8" s="1"/>
  <c r="AE184" i="8" a="1"/>
  <c r="AE184" i="8" s="1"/>
  <c r="AE185" i="8" a="1"/>
  <c r="AE185" i="8" s="1"/>
  <c r="AE186" i="8" a="1"/>
  <c r="AE186" i="8" s="1"/>
  <c r="AE187" i="8" a="1"/>
  <c r="AE187" i="8" s="1"/>
  <c r="AE188" i="8" a="1"/>
  <c r="AE188" i="8" s="1"/>
  <c r="AE189" i="8" a="1"/>
  <c r="AE189" i="8" s="1"/>
  <c r="AE190" i="8" a="1"/>
  <c r="AE190" i="8" s="1"/>
  <c r="AE191" i="8" a="1"/>
  <c r="AE191" i="8" s="1"/>
  <c r="AE192" i="8" a="1"/>
  <c r="AE192" i="8" s="1"/>
  <c r="AE193" i="8" a="1"/>
  <c r="AE193" i="8" s="1"/>
  <c r="AE194" i="8" a="1"/>
  <c r="AE194" i="8" s="1"/>
  <c r="AE195" i="8" a="1"/>
  <c r="AE195" i="8" s="1"/>
  <c r="AE196" i="8" a="1"/>
  <c r="AE196" i="8" s="1"/>
  <c r="AE197" i="8" a="1"/>
  <c r="AE197" i="8" s="1"/>
  <c r="AE198" i="8" a="1"/>
  <c r="AE198" i="8" s="1"/>
  <c r="AE199" i="8" a="1"/>
  <c r="AE199" i="8" s="1"/>
  <c r="AE200" i="8" a="1"/>
  <c r="AE200" i="8" s="1"/>
  <c r="AE201" i="8" a="1"/>
  <c r="AE201" i="8" s="1"/>
  <c r="AE202" i="8" a="1"/>
  <c r="AE202" i="8" s="1"/>
  <c r="AE203" i="8" a="1"/>
  <c r="AE203" i="8" s="1"/>
  <c r="AE204" i="8" a="1"/>
  <c r="AE204" i="8" s="1"/>
  <c r="AE205" i="8" a="1"/>
  <c r="AE205" i="8" s="1"/>
  <c r="AE206" i="8" a="1"/>
  <c r="AE206" i="8" s="1"/>
  <c r="AE207" i="8" a="1"/>
  <c r="AE207" i="8" s="1"/>
  <c r="AE208" i="8" a="1"/>
  <c r="AE208" i="8" s="1"/>
  <c r="AE209" i="8" a="1"/>
  <c r="AE209" i="8" s="1"/>
  <c r="AE210" i="8" a="1"/>
  <c r="AE210" i="8" s="1"/>
  <c r="AE211" i="8" a="1"/>
  <c r="AE211" i="8" s="1"/>
  <c r="AE212" i="8" a="1"/>
  <c r="AE212" i="8" s="1"/>
  <c r="AE213" i="8" a="1"/>
  <c r="AE213" i="8" s="1"/>
  <c r="AE214" i="8" a="1"/>
  <c r="AE214" i="8" s="1"/>
  <c r="AE215" i="8" a="1"/>
  <c r="AE215" i="8" s="1"/>
  <c r="AE216" i="8" a="1"/>
  <c r="AE216" i="8" s="1"/>
  <c r="AE217" i="8" a="1"/>
  <c r="AE217" i="8" s="1"/>
  <c r="AE218" i="8" a="1"/>
  <c r="AE218" i="8" s="1"/>
  <c r="AE219" i="8" a="1"/>
  <c r="AE219" i="8" s="1"/>
  <c r="AE220" i="8" a="1"/>
  <c r="AE220" i="8" s="1"/>
  <c r="AE221" i="8" a="1"/>
  <c r="AE221" i="8" s="1"/>
  <c r="AE222" i="8" a="1"/>
  <c r="AE222" i="8" s="1"/>
  <c r="AE223" i="8" a="1"/>
  <c r="AE223" i="8" s="1"/>
  <c r="AE224" i="8" a="1"/>
  <c r="AE224" i="8" s="1"/>
  <c r="AE225" i="8" a="1"/>
  <c r="AE225" i="8" s="1"/>
  <c r="AE226" i="8" a="1"/>
  <c r="AE226" i="8" s="1"/>
  <c r="AE227" i="8" a="1"/>
  <c r="AE227" i="8" s="1"/>
  <c r="AE228" i="8" a="1"/>
  <c r="AE228" i="8" s="1"/>
  <c r="AE229" i="8" a="1"/>
  <c r="AE229" i="8" s="1"/>
  <c r="AE230" i="8" a="1"/>
  <c r="AE230" i="8" s="1"/>
  <c r="AE231" i="8" a="1"/>
  <c r="AE231" i="8" s="1"/>
  <c r="AE232" i="8" a="1"/>
  <c r="AE232" i="8" s="1"/>
  <c r="AE233" i="8" a="1"/>
  <c r="AE233" i="8" s="1"/>
  <c r="AE234" i="8" a="1"/>
  <c r="AE234" i="8" s="1"/>
  <c r="AE235" i="8" a="1"/>
  <c r="AE235" i="8" s="1"/>
  <c r="AE236" i="8" a="1"/>
  <c r="AE236" i="8" s="1"/>
  <c r="AE237" i="8" a="1"/>
  <c r="AE237" i="8" s="1"/>
  <c r="AE238" i="8" a="1"/>
  <c r="AE238" i="8" s="1"/>
  <c r="AE239" i="8" a="1"/>
  <c r="AE239" i="8" s="1"/>
  <c r="AE240" i="8" a="1"/>
  <c r="AE240" i="8" s="1"/>
  <c r="AE241" i="8" a="1"/>
  <c r="AE241" i="8" s="1"/>
  <c r="AE242" i="8" a="1"/>
  <c r="AE242" i="8" s="1"/>
  <c r="AE243" i="8" a="1"/>
  <c r="AE243" i="8" s="1"/>
  <c r="AE244" i="8" a="1"/>
  <c r="AE244" i="8" s="1"/>
  <c r="AE245" i="8" a="1"/>
  <c r="AE245" i="8" s="1"/>
  <c r="AE246" i="8" a="1"/>
  <c r="AE246" i="8" s="1"/>
  <c r="AE247" i="8" a="1"/>
  <c r="AE247" i="8" s="1"/>
  <c r="AE248" i="8" a="1"/>
  <c r="AE248" i="8" s="1"/>
  <c r="AE249" i="8" a="1"/>
  <c r="AE249" i="8" s="1"/>
  <c r="AE250" i="8" a="1"/>
  <c r="AE250" i="8" s="1"/>
  <c r="AD12" i="8" a="1"/>
  <c r="AD12" i="8" s="1"/>
  <c r="AD13" i="8" a="1"/>
  <c r="AD13" i="8" s="1"/>
  <c r="AD14" i="8" a="1"/>
  <c r="AD14" i="8" s="1"/>
  <c r="AD15" i="8" a="1"/>
  <c r="AD15" i="8" s="1"/>
  <c r="AD16" i="8" a="1"/>
  <c r="AD16" i="8" s="1"/>
  <c r="AD17" i="8" a="1"/>
  <c r="AD17" i="8" s="1"/>
  <c r="AD18" i="8" a="1"/>
  <c r="AD18" i="8" s="1"/>
  <c r="AD19" i="8" a="1"/>
  <c r="AD19" i="8" s="1"/>
  <c r="AD20" i="8" a="1"/>
  <c r="AD20" i="8" s="1"/>
  <c r="AD21" i="8" a="1"/>
  <c r="AD21" i="8" s="1"/>
  <c r="AD22" i="8" a="1"/>
  <c r="AD22" i="8" s="1"/>
  <c r="AD23" i="8" a="1"/>
  <c r="AD23" i="8" s="1"/>
  <c r="AD24" i="8" a="1"/>
  <c r="AD24" i="8" s="1"/>
  <c r="AD25" i="8" a="1"/>
  <c r="AD25" i="8" s="1"/>
  <c r="AD26" i="8" a="1"/>
  <c r="AD26" i="8" s="1"/>
  <c r="AD27" i="8" a="1"/>
  <c r="AD27" i="8" s="1"/>
  <c r="AD28" i="8" a="1"/>
  <c r="AD28" i="8" s="1"/>
  <c r="AD29" i="8" a="1"/>
  <c r="AD29" i="8" s="1"/>
  <c r="AD30" i="8" a="1"/>
  <c r="AD30" i="8" s="1"/>
  <c r="AD31" i="8" a="1"/>
  <c r="AD31" i="8" s="1"/>
  <c r="AD32" i="8" a="1"/>
  <c r="AD32" i="8" s="1"/>
  <c r="AD33" i="8" a="1"/>
  <c r="AD33" i="8" s="1"/>
  <c r="AD34" i="8" a="1"/>
  <c r="AD34" i="8" s="1"/>
  <c r="AD35" i="8" a="1"/>
  <c r="AD35" i="8" s="1"/>
  <c r="AD36" i="8" a="1"/>
  <c r="AD36" i="8" s="1"/>
  <c r="AD37" i="8" a="1"/>
  <c r="AD37" i="8" s="1"/>
  <c r="AD38" i="8" a="1"/>
  <c r="AD38" i="8" s="1"/>
  <c r="AD39" i="8" a="1"/>
  <c r="AD39" i="8" s="1"/>
  <c r="AD40" i="8" a="1"/>
  <c r="AD40" i="8" s="1"/>
  <c r="AD41" i="8" a="1"/>
  <c r="AD41" i="8" s="1"/>
  <c r="AD42" i="8" a="1"/>
  <c r="AD42" i="8" s="1"/>
  <c r="AD43" i="8" a="1"/>
  <c r="AD43" i="8" s="1"/>
  <c r="AD44" i="8" a="1"/>
  <c r="AD44" i="8" s="1"/>
  <c r="AD45" i="8" a="1"/>
  <c r="AD45" i="8" s="1"/>
  <c r="AD46" i="8" a="1"/>
  <c r="AD46" i="8" s="1"/>
  <c r="AD47" i="8" a="1"/>
  <c r="AD47" i="8" s="1"/>
  <c r="AD48" i="8" a="1"/>
  <c r="AD48" i="8" s="1"/>
  <c r="AD49" i="8" a="1"/>
  <c r="AD49" i="8" s="1"/>
  <c r="AD50" i="8" a="1"/>
  <c r="AD50" i="8" s="1"/>
  <c r="AD51" i="8" a="1"/>
  <c r="AD51" i="8" s="1"/>
  <c r="AD52" i="8" a="1"/>
  <c r="AD52" i="8" s="1"/>
  <c r="AD53" i="8" a="1"/>
  <c r="AD53" i="8" s="1"/>
  <c r="AD54" i="8" a="1"/>
  <c r="AD54" i="8" s="1"/>
  <c r="AD55" i="8" a="1"/>
  <c r="AD55" i="8" s="1"/>
  <c r="AD56" i="8" a="1"/>
  <c r="AD56" i="8" s="1"/>
  <c r="AD57" i="8" a="1"/>
  <c r="AD57" i="8" s="1"/>
  <c r="AD58" i="8" a="1"/>
  <c r="AD58" i="8" s="1"/>
  <c r="AD59" i="8" a="1"/>
  <c r="AD59" i="8" s="1"/>
  <c r="AD60" i="8" a="1"/>
  <c r="AD60" i="8" s="1"/>
  <c r="AD61" i="8" a="1"/>
  <c r="AD61" i="8" s="1"/>
  <c r="AD62" i="8" a="1"/>
  <c r="AD62" i="8" s="1"/>
  <c r="AD63" i="8" a="1"/>
  <c r="AD63" i="8" s="1"/>
  <c r="AD64" i="8" a="1"/>
  <c r="AD64" i="8" s="1"/>
  <c r="AD65" i="8" a="1"/>
  <c r="AD65" i="8" s="1"/>
  <c r="AD66" i="8" a="1"/>
  <c r="AD66" i="8" s="1"/>
  <c r="AD67" i="8" a="1"/>
  <c r="AD67" i="8" s="1"/>
  <c r="AD68" i="8" a="1"/>
  <c r="AD68" i="8" s="1"/>
  <c r="AD69" i="8" a="1"/>
  <c r="AD69" i="8" s="1"/>
  <c r="AD70" i="8" a="1"/>
  <c r="AD70" i="8" s="1"/>
  <c r="AD71" i="8" a="1"/>
  <c r="AD71" i="8" s="1"/>
  <c r="AD72" i="8" a="1"/>
  <c r="AD72" i="8" s="1"/>
  <c r="AD73" i="8" a="1"/>
  <c r="AD73" i="8" s="1"/>
  <c r="AD74" i="8" a="1"/>
  <c r="AD74" i="8" s="1"/>
  <c r="AD75" i="8" a="1"/>
  <c r="AD75" i="8" s="1"/>
  <c r="AD76" i="8" a="1"/>
  <c r="AD76" i="8" s="1"/>
  <c r="AD77" i="8" a="1"/>
  <c r="AD77" i="8" s="1"/>
  <c r="AD78" i="8" a="1"/>
  <c r="AD78" i="8" s="1"/>
  <c r="AD79" i="8" a="1"/>
  <c r="AD79" i="8" s="1"/>
  <c r="AD80" i="8" a="1"/>
  <c r="AD80" i="8" s="1"/>
  <c r="AD81" i="8" a="1"/>
  <c r="AD81" i="8" s="1"/>
  <c r="AD82" i="8" a="1"/>
  <c r="AD82" i="8" s="1"/>
  <c r="AD83" i="8" a="1"/>
  <c r="AD83" i="8" s="1"/>
  <c r="AD84" i="8" a="1"/>
  <c r="AD84" i="8" s="1"/>
  <c r="AD85" i="8" a="1"/>
  <c r="AD85" i="8" s="1"/>
  <c r="AD86" i="8" a="1"/>
  <c r="AD86" i="8" s="1"/>
  <c r="AD87" i="8" a="1"/>
  <c r="AD87" i="8" s="1"/>
  <c r="AD88" i="8" a="1"/>
  <c r="AD88" i="8" s="1"/>
  <c r="AD89" i="8" a="1"/>
  <c r="AD89" i="8" s="1"/>
  <c r="AD90" i="8" a="1"/>
  <c r="AD90" i="8" s="1"/>
  <c r="AD91" i="8" a="1"/>
  <c r="AD91" i="8" s="1"/>
  <c r="AD92" i="8" a="1"/>
  <c r="AD92" i="8" s="1"/>
  <c r="AD93" i="8" a="1"/>
  <c r="AD93" i="8" s="1"/>
  <c r="AD94" i="8" a="1"/>
  <c r="AD94" i="8" s="1"/>
  <c r="AD95" i="8" a="1"/>
  <c r="AD95" i="8" s="1"/>
  <c r="AD96" i="8" a="1"/>
  <c r="AD96" i="8" s="1"/>
  <c r="AD97" i="8" a="1"/>
  <c r="AD97" i="8" s="1"/>
  <c r="AD98" i="8" a="1"/>
  <c r="AD98" i="8" s="1"/>
  <c r="AD99" i="8" a="1"/>
  <c r="AD99" i="8" s="1"/>
  <c r="AD100" i="8" a="1"/>
  <c r="AD100" i="8" s="1"/>
  <c r="AD101" i="8" a="1"/>
  <c r="AD101" i="8" s="1"/>
  <c r="AD102" i="8" a="1"/>
  <c r="AD102" i="8" s="1"/>
  <c r="AD103" i="8" a="1"/>
  <c r="AD103" i="8" s="1"/>
  <c r="AD104" i="8" a="1"/>
  <c r="AD104" i="8" s="1"/>
  <c r="AD105" i="8" a="1"/>
  <c r="AD105" i="8" s="1"/>
  <c r="AD106" i="8" a="1"/>
  <c r="AD106" i="8" s="1"/>
  <c r="AD107" i="8" a="1"/>
  <c r="AD107" i="8" s="1"/>
  <c r="AD108" i="8" a="1"/>
  <c r="AD108" i="8" s="1"/>
  <c r="AD109" i="8" a="1"/>
  <c r="AD109" i="8" s="1"/>
  <c r="AD110" i="8" a="1"/>
  <c r="AD110" i="8" s="1"/>
  <c r="AD111" i="8" a="1"/>
  <c r="AD111" i="8" s="1"/>
  <c r="AD112" i="8" a="1"/>
  <c r="AD112" i="8" s="1"/>
  <c r="AD113" i="8" a="1"/>
  <c r="AD113" i="8" s="1"/>
  <c r="AD114" i="8" a="1"/>
  <c r="AD114" i="8" s="1"/>
  <c r="AD115" i="8" a="1"/>
  <c r="AD115" i="8" s="1"/>
  <c r="AD116" i="8" a="1"/>
  <c r="AD116" i="8" s="1"/>
  <c r="AD117" i="8" a="1"/>
  <c r="AD117" i="8" s="1"/>
  <c r="AD118" i="8" a="1"/>
  <c r="AD118" i="8" s="1"/>
  <c r="AD119" i="8" a="1"/>
  <c r="AD119" i="8" s="1"/>
  <c r="AD120" i="8" a="1"/>
  <c r="AD120" i="8" s="1"/>
  <c r="AD121" i="8" a="1"/>
  <c r="AD121" i="8" s="1"/>
  <c r="AD122" i="8" a="1"/>
  <c r="AD122" i="8" s="1"/>
  <c r="AD123" i="8" a="1"/>
  <c r="AD123" i="8" s="1"/>
  <c r="AD124" i="8" a="1"/>
  <c r="AD124" i="8" s="1"/>
  <c r="AD125" i="8" a="1"/>
  <c r="AD125" i="8" s="1"/>
  <c r="AD126" i="8" a="1"/>
  <c r="AD126" i="8" s="1"/>
  <c r="AD127" i="8" a="1"/>
  <c r="AD127" i="8" s="1"/>
  <c r="AD128" i="8" a="1"/>
  <c r="AD128" i="8" s="1"/>
  <c r="AD129" i="8" a="1"/>
  <c r="AD129" i="8" s="1"/>
  <c r="AD130" i="8" a="1"/>
  <c r="AD130" i="8" s="1"/>
  <c r="AD131" i="8" a="1"/>
  <c r="AD131" i="8" s="1"/>
  <c r="AD132" i="8" a="1"/>
  <c r="AD132" i="8" s="1"/>
  <c r="AD133" i="8" a="1"/>
  <c r="AD133" i="8" s="1"/>
  <c r="AD134" i="8" a="1"/>
  <c r="AD134" i="8" s="1"/>
  <c r="AD135" i="8" a="1"/>
  <c r="AD135" i="8" s="1"/>
  <c r="AD136" i="8" a="1"/>
  <c r="AD136" i="8" s="1"/>
  <c r="AD137" i="8" a="1"/>
  <c r="AD137" i="8" s="1"/>
  <c r="AD138" i="8" a="1"/>
  <c r="AD138" i="8" s="1"/>
  <c r="AD139" i="8" a="1"/>
  <c r="AD139" i="8" s="1"/>
  <c r="AD140" i="8" a="1"/>
  <c r="AD140" i="8" s="1"/>
  <c r="AD141" i="8" a="1"/>
  <c r="AD141" i="8" s="1"/>
  <c r="AD142" i="8" a="1"/>
  <c r="AD142" i="8" s="1"/>
  <c r="AD143" i="8" a="1"/>
  <c r="AD143" i="8" s="1"/>
  <c r="AD144" i="8" a="1"/>
  <c r="AD144" i="8" s="1"/>
  <c r="AD145" i="8" a="1"/>
  <c r="AD145" i="8" s="1"/>
  <c r="AD146" i="8" a="1"/>
  <c r="AD146" i="8" s="1"/>
  <c r="AD147" i="8" a="1"/>
  <c r="AD147" i="8" s="1"/>
  <c r="AD148" i="8" a="1"/>
  <c r="AD148" i="8" s="1"/>
  <c r="AD149" i="8" a="1"/>
  <c r="AD149" i="8" s="1"/>
  <c r="AD150" i="8" a="1"/>
  <c r="AD150" i="8" s="1"/>
  <c r="AD151" i="8" a="1"/>
  <c r="AD151" i="8" s="1"/>
  <c r="AD152" i="8" a="1"/>
  <c r="AD152" i="8" s="1"/>
  <c r="AD153" i="8" a="1"/>
  <c r="AD153" i="8" s="1"/>
  <c r="AD154" i="8" a="1"/>
  <c r="AD154" i="8" s="1"/>
  <c r="AD155" i="8" a="1"/>
  <c r="AD155" i="8" s="1"/>
  <c r="AD156" i="8" a="1"/>
  <c r="AD156" i="8" s="1"/>
  <c r="AD157" i="8" a="1"/>
  <c r="AD157" i="8" s="1"/>
  <c r="AD158" i="8" a="1"/>
  <c r="AD158" i="8" s="1"/>
  <c r="AD159" i="8" a="1"/>
  <c r="AD159" i="8" s="1"/>
  <c r="AD160" i="8" a="1"/>
  <c r="AD160" i="8" s="1"/>
  <c r="AD161" i="8" a="1"/>
  <c r="AD161" i="8" s="1"/>
  <c r="AD162" i="8" a="1"/>
  <c r="AD162" i="8" s="1"/>
  <c r="AD163" i="8" a="1"/>
  <c r="AD163" i="8" s="1"/>
  <c r="AD164" i="8" a="1"/>
  <c r="AD164" i="8" s="1"/>
  <c r="AD165" i="8" a="1"/>
  <c r="AD165" i="8" s="1"/>
  <c r="AD166" i="8" a="1"/>
  <c r="AD166" i="8" s="1"/>
  <c r="AD167" i="8" a="1"/>
  <c r="AD167" i="8" s="1"/>
  <c r="AD168" i="8" a="1"/>
  <c r="AD168" i="8" s="1"/>
  <c r="AD169" i="8" a="1"/>
  <c r="AD169" i="8" s="1"/>
  <c r="AD170" i="8" a="1"/>
  <c r="AD170" i="8" s="1"/>
  <c r="AD171" i="8" a="1"/>
  <c r="AD171" i="8" s="1"/>
  <c r="AD172" i="8" a="1"/>
  <c r="AD172" i="8" s="1"/>
  <c r="AD173" i="8" a="1"/>
  <c r="AD173" i="8" s="1"/>
  <c r="AD174" i="8" a="1"/>
  <c r="AD174" i="8" s="1"/>
  <c r="AD175" i="8" a="1"/>
  <c r="AD175" i="8" s="1"/>
  <c r="AD176" i="8" a="1"/>
  <c r="AD176" i="8" s="1"/>
  <c r="AD177" i="8" a="1"/>
  <c r="AD177" i="8" s="1"/>
  <c r="AD178" i="8" a="1"/>
  <c r="AD178" i="8" s="1"/>
  <c r="AD179" i="8" a="1"/>
  <c r="AD179" i="8" s="1"/>
  <c r="AD180" i="8" a="1"/>
  <c r="AD180" i="8" s="1"/>
  <c r="AD181" i="8" a="1"/>
  <c r="AD181" i="8" s="1"/>
  <c r="AD182" i="8" a="1"/>
  <c r="AD182" i="8" s="1"/>
  <c r="AD183" i="8" a="1"/>
  <c r="AD183" i="8" s="1"/>
  <c r="AD184" i="8" a="1"/>
  <c r="AD184" i="8" s="1"/>
  <c r="AD185" i="8" a="1"/>
  <c r="AD185" i="8" s="1"/>
  <c r="AD186" i="8" a="1"/>
  <c r="AD186" i="8" s="1"/>
  <c r="AD187" i="8" a="1"/>
  <c r="AD187" i="8" s="1"/>
  <c r="AD188" i="8" a="1"/>
  <c r="AD188" i="8" s="1"/>
  <c r="AD189" i="8" a="1"/>
  <c r="AD189" i="8" s="1"/>
  <c r="AD190" i="8" a="1"/>
  <c r="AD190" i="8" s="1"/>
  <c r="AD191" i="8" a="1"/>
  <c r="AD191" i="8" s="1"/>
  <c r="AD192" i="8" a="1"/>
  <c r="AD192" i="8" s="1"/>
  <c r="AD193" i="8" a="1"/>
  <c r="AD193" i="8" s="1"/>
  <c r="AD194" i="8" a="1"/>
  <c r="AD194" i="8" s="1"/>
  <c r="AD195" i="8" a="1"/>
  <c r="AD195" i="8" s="1"/>
  <c r="AD196" i="8" a="1"/>
  <c r="AD196" i="8" s="1"/>
  <c r="AD197" i="8" a="1"/>
  <c r="AD197" i="8" s="1"/>
  <c r="AD198" i="8" a="1"/>
  <c r="AD198" i="8" s="1"/>
  <c r="AD199" i="8" a="1"/>
  <c r="AD199" i="8" s="1"/>
  <c r="AD200" i="8" a="1"/>
  <c r="AD200" i="8" s="1"/>
  <c r="AD201" i="8" a="1"/>
  <c r="AD201" i="8" s="1"/>
  <c r="AD202" i="8" a="1"/>
  <c r="AD202" i="8" s="1"/>
  <c r="AD203" i="8" a="1"/>
  <c r="AD203" i="8" s="1"/>
  <c r="AD204" i="8" a="1"/>
  <c r="AD204" i="8" s="1"/>
  <c r="AD205" i="8" a="1"/>
  <c r="AD205" i="8" s="1"/>
  <c r="AD206" i="8" a="1"/>
  <c r="AD206" i="8" s="1"/>
  <c r="AD207" i="8" a="1"/>
  <c r="AD207" i="8" s="1"/>
  <c r="AD208" i="8" a="1"/>
  <c r="AD208" i="8" s="1"/>
  <c r="AD209" i="8" a="1"/>
  <c r="AD209" i="8" s="1"/>
  <c r="AD210" i="8" a="1"/>
  <c r="AD210" i="8" s="1"/>
  <c r="AD211" i="8" a="1"/>
  <c r="AD211" i="8" s="1"/>
  <c r="AD212" i="8" a="1"/>
  <c r="AD212" i="8" s="1"/>
  <c r="AD213" i="8" a="1"/>
  <c r="AD213" i="8" s="1"/>
  <c r="AD214" i="8" a="1"/>
  <c r="AD214" i="8" s="1"/>
  <c r="AD215" i="8" a="1"/>
  <c r="AD215" i="8" s="1"/>
  <c r="AD216" i="8" a="1"/>
  <c r="AD216" i="8" s="1"/>
  <c r="AD217" i="8" a="1"/>
  <c r="AD217" i="8" s="1"/>
  <c r="AD218" i="8" a="1"/>
  <c r="AD218" i="8" s="1"/>
  <c r="AD219" i="8" a="1"/>
  <c r="AD219" i="8" s="1"/>
  <c r="AD220" i="8" a="1"/>
  <c r="AD220" i="8" s="1"/>
  <c r="AD221" i="8" a="1"/>
  <c r="AD221" i="8" s="1"/>
  <c r="AD222" i="8" a="1"/>
  <c r="AD222" i="8" s="1"/>
  <c r="AD223" i="8" a="1"/>
  <c r="AD223" i="8" s="1"/>
  <c r="AD224" i="8" a="1"/>
  <c r="AD224" i="8" s="1"/>
  <c r="AD225" i="8" a="1"/>
  <c r="AD225" i="8" s="1"/>
  <c r="AD226" i="8" a="1"/>
  <c r="AD226" i="8" s="1"/>
  <c r="AD227" i="8" a="1"/>
  <c r="AD227" i="8" s="1"/>
  <c r="AD228" i="8" a="1"/>
  <c r="AD228" i="8" s="1"/>
  <c r="AD229" i="8" a="1"/>
  <c r="AD229" i="8" s="1"/>
  <c r="AD230" i="8" a="1"/>
  <c r="AD230" i="8" s="1"/>
  <c r="AD231" i="8" a="1"/>
  <c r="AD231" i="8" s="1"/>
  <c r="AD232" i="8" a="1"/>
  <c r="AD232" i="8" s="1"/>
  <c r="AD233" i="8" a="1"/>
  <c r="AD233" i="8" s="1"/>
  <c r="AD234" i="8" a="1"/>
  <c r="AD234" i="8" s="1"/>
  <c r="AD235" i="8" a="1"/>
  <c r="AD235" i="8" s="1"/>
  <c r="AD236" i="8" a="1"/>
  <c r="AD236" i="8" s="1"/>
  <c r="AD237" i="8" a="1"/>
  <c r="AD237" i="8" s="1"/>
  <c r="AD238" i="8" a="1"/>
  <c r="AD238" i="8" s="1"/>
  <c r="AD239" i="8" a="1"/>
  <c r="AD239" i="8" s="1"/>
  <c r="AD240" i="8" a="1"/>
  <c r="AD240" i="8" s="1"/>
  <c r="AD241" i="8" a="1"/>
  <c r="AD241" i="8" s="1"/>
  <c r="AD242" i="8" a="1"/>
  <c r="AD242" i="8" s="1"/>
  <c r="AD243" i="8" a="1"/>
  <c r="AD243" i="8" s="1"/>
  <c r="AD244" i="8" a="1"/>
  <c r="AD244" i="8" s="1"/>
  <c r="AD245" i="8" a="1"/>
  <c r="AD245" i="8" s="1"/>
  <c r="AD246" i="8" a="1"/>
  <c r="AD246" i="8" s="1"/>
  <c r="AD247" i="8" a="1"/>
  <c r="AD247" i="8" s="1"/>
  <c r="AD248" i="8" a="1"/>
  <c r="AD248" i="8" s="1"/>
  <c r="AD249" i="8" a="1"/>
  <c r="AD249" i="8" s="1"/>
  <c r="AD250" i="8" a="1"/>
  <c r="AD250" i="8" s="1"/>
  <c r="AC12" i="8" a="1"/>
  <c r="AC12" i="8" s="1"/>
  <c r="AC13" i="8" a="1"/>
  <c r="AC13" i="8" s="1"/>
  <c r="AC14" i="8" a="1"/>
  <c r="AC14" i="8" s="1"/>
  <c r="AC15" i="8" a="1"/>
  <c r="AC15" i="8" s="1"/>
  <c r="AC16" i="8" a="1"/>
  <c r="AC16" i="8" s="1"/>
  <c r="AC17" i="8" a="1"/>
  <c r="AC17" i="8" s="1"/>
  <c r="AC18" i="8" a="1"/>
  <c r="AC18" i="8" s="1"/>
  <c r="AC19" i="8" a="1"/>
  <c r="AC19" i="8" s="1"/>
  <c r="AC20" i="8" a="1"/>
  <c r="AC20" i="8" s="1"/>
  <c r="AC21" i="8" a="1"/>
  <c r="AC21" i="8" s="1"/>
  <c r="AC22" i="8" a="1"/>
  <c r="AC22" i="8" s="1"/>
  <c r="AC23" i="8" a="1"/>
  <c r="AC23" i="8" s="1"/>
  <c r="AC24" i="8" a="1"/>
  <c r="AC24" i="8" s="1"/>
  <c r="AC25" i="8" a="1"/>
  <c r="AC25" i="8" s="1"/>
  <c r="AC26" i="8" a="1"/>
  <c r="AC26" i="8" s="1"/>
  <c r="AC27" i="8" a="1"/>
  <c r="AC27" i="8" s="1"/>
  <c r="AC28" i="8" a="1"/>
  <c r="AC28" i="8" s="1"/>
  <c r="AC29" i="8" a="1"/>
  <c r="AC29" i="8" s="1"/>
  <c r="AC30" i="8" a="1"/>
  <c r="AC30" i="8" s="1"/>
  <c r="AC31" i="8" a="1"/>
  <c r="AC31" i="8" s="1"/>
  <c r="AC32" i="8" a="1"/>
  <c r="AC32" i="8" s="1"/>
  <c r="AC33" i="8" a="1"/>
  <c r="AC33" i="8" s="1"/>
  <c r="AC34" i="8" a="1"/>
  <c r="AC34" i="8" s="1"/>
  <c r="AC35" i="8" a="1"/>
  <c r="AC35" i="8" s="1"/>
  <c r="AC36" i="8" a="1"/>
  <c r="AC36" i="8" s="1"/>
  <c r="AC37" i="8" a="1"/>
  <c r="AC37" i="8" s="1"/>
  <c r="AC38" i="8" a="1"/>
  <c r="AC38" i="8" s="1"/>
  <c r="AC39" i="8" a="1"/>
  <c r="AC39" i="8" s="1"/>
  <c r="AC40" i="8" a="1"/>
  <c r="AC40" i="8" s="1"/>
  <c r="AC41" i="8" a="1"/>
  <c r="AC41" i="8" s="1"/>
  <c r="AC42" i="8" a="1"/>
  <c r="AC42" i="8" s="1"/>
  <c r="AC43" i="8" a="1"/>
  <c r="AC43" i="8" s="1"/>
  <c r="AC44" i="8" a="1"/>
  <c r="AC44" i="8" s="1"/>
  <c r="AC45" i="8" a="1"/>
  <c r="AC45" i="8" s="1"/>
  <c r="AC46" i="8" a="1"/>
  <c r="AC46" i="8" s="1"/>
  <c r="AC47" i="8" a="1"/>
  <c r="AC47" i="8" s="1"/>
  <c r="AC48" i="8" a="1"/>
  <c r="AC48" i="8" s="1"/>
  <c r="AC49" i="8" a="1"/>
  <c r="AC49" i="8" s="1"/>
  <c r="AC50" i="8" a="1"/>
  <c r="AC50" i="8" s="1"/>
  <c r="AC51" i="8" a="1"/>
  <c r="AC51" i="8" s="1"/>
  <c r="AC52" i="8" a="1"/>
  <c r="AC52" i="8" s="1"/>
  <c r="AC53" i="8" a="1"/>
  <c r="AC53" i="8" s="1"/>
  <c r="AC54" i="8" a="1"/>
  <c r="AC54" i="8" s="1"/>
  <c r="AC55" i="8" a="1"/>
  <c r="AC55" i="8" s="1"/>
  <c r="AC56" i="8" a="1"/>
  <c r="AC56" i="8" s="1"/>
  <c r="AC57" i="8" a="1"/>
  <c r="AC57" i="8" s="1"/>
  <c r="AC58" i="8" a="1"/>
  <c r="AC58" i="8" s="1"/>
  <c r="AC59" i="8" a="1"/>
  <c r="AC59" i="8" s="1"/>
  <c r="AC60" i="8" a="1"/>
  <c r="AC60" i="8" s="1"/>
  <c r="AC61" i="8" a="1"/>
  <c r="AC61" i="8" s="1"/>
  <c r="AC62" i="8" a="1"/>
  <c r="AC62" i="8" s="1"/>
  <c r="AC63" i="8" a="1"/>
  <c r="AC63" i="8" s="1"/>
  <c r="AC64" i="8" a="1"/>
  <c r="AC64" i="8" s="1"/>
  <c r="AC65" i="8" a="1"/>
  <c r="AC65" i="8" s="1"/>
  <c r="AC66" i="8" a="1"/>
  <c r="AC66" i="8" s="1"/>
  <c r="AC67" i="8" a="1"/>
  <c r="AC67" i="8" s="1"/>
  <c r="AC68" i="8" a="1"/>
  <c r="AC68" i="8" s="1"/>
  <c r="AC69" i="8" a="1"/>
  <c r="AC69" i="8" s="1"/>
  <c r="AC70" i="8" a="1"/>
  <c r="AC70" i="8" s="1"/>
  <c r="AC71" i="8" a="1"/>
  <c r="AC71" i="8" s="1"/>
  <c r="AC72" i="8" a="1"/>
  <c r="AC72" i="8" s="1"/>
  <c r="AC73" i="8" a="1"/>
  <c r="AC73" i="8" s="1"/>
  <c r="AC74" i="8" a="1"/>
  <c r="AC74" i="8" s="1"/>
  <c r="AC75" i="8" a="1"/>
  <c r="AC75" i="8" s="1"/>
  <c r="AC76" i="8" a="1"/>
  <c r="AC76" i="8" s="1"/>
  <c r="AC77" i="8" a="1"/>
  <c r="AC77" i="8" s="1"/>
  <c r="AC78" i="8" a="1"/>
  <c r="AC78" i="8" s="1"/>
  <c r="AC79" i="8" a="1"/>
  <c r="AC79" i="8" s="1"/>
  <c r="AC80" i="8" a="1"/>
  <c r="AC80" i="8" s="1"/>
  <c r="AC81" i="8" a="1"/>
  <c r="AC81" i="8" s="1"/>
  <c r="AC82" i="8" a="1"/>
  <c r="AC82" i="8" s="1"/>
  <c r="AC83" i="8" a="1"/>
  <c r="AC83" i="8" s="1"/>
  <c r="AC84" i="8" a="1"/>
  <c r="AC84" i="8" s="1"/>
  <c r="AC85" i="8" a="1"/>
  <c r="AC85" i="8" s="1"/>
  <c r="AC86" i="8" a="1"/>
  <c r="AC86" i="8" s="1"/>
  <c r="AC87" i="8" a="1"/>
  <c r="AC87" i="8" s="1"/>
  <c r="AC88" i="8" a="1"/>
  <c r="AC88" i="8" s="1"/>
  <c r="AC89" i="8" a="1"/>
  <c r="AC89" i="8" s="1"/>
  <c r="AC90" i="8" a="1"/>
  <c r="AC90" i="8" s="1"/>
  <c r="AC91" i="8" a="1"/>
  <c r="AC91" i="8" s="1"/>
  <c r="AC92" i="8" a="1"/>
  <c r="AC92" i="8" s="1"/>
  <c r="AC93" i="8" a="1"/>
  <c r="AC93" i="8" s="1"/>
  <c r="AC94" i="8" a="1"/>
  <c r="AC94" i="8" s="1"/>
  <c r="AC95" i="8" a="1"/>
  <c r="AC95" i="8" s="1"/>
  <c r="AC96" i="8" a="1"/>
  <c r="AC96" i="8" s="1"/>
  <c r="AC97" i="8" a="1"/>
  <c r="AC97" i="8" s="1"/>
  <c r="AC98" i="8" a="1"/>
  <c r="AC98" i="8" s="1"/>
  <c r="AC99" i="8" a="1"/>
  <c r="AC99" i="8" s="1"/>
  <c r="AC100" i="8" a="1"/>
  <c r="AC100" i="8" s="1"/>
  <c r="AC101" i="8" a="1"/>
  <c r="AC101" i="8" s="1"/>
  <c r="AC102" i="8" a="1"/>
  <c r="AC102" i="8" s="1"/>
  <c r="AC103" i="8" a="1"/>
  <c r="AC103" i="8" s="1"/>
  <c r="AC104" i="8" a="1"/>
  <c r="AC104" i="8" s="1"/>
  <c r="AC105" i="8" a="1"/>
  <c r="AC105" i="8" s="1"/>
  <c r="AC106" i="8" a="1"/>
  <c r="AC106" i="8" s="1"/>
  <c r="AC107" i="8" a="1"/>
  <c r="AC107" i="8" s="1"/>
  <c r="AC108" i="8" a="1"/>
  <c r="AC108" i="8" s="1"/>
  <c r="AC109" i="8" a="1"/>
  <c r="AC109" i="8" s="1"/>
  <c r="AC110" i="8" a="1"/>
  <c r="AC110" i="8" s="1"/>
  <c r="AC111" i="8" a="1"/>
  <c r="AC111" i="8" s="1"/>
  <c r="AC112" i="8" a="1"/>
  <c r="AC112" i="8" s="1"/>
  <c r="AC113" i="8" a="1"/>
  <c r="AC113" i="8" s="1"/>
  <c r="AC114" i="8" a="1"/>
  <c r="AC114" i="8" s="1"/>
  <c r="AC115" i="8" a="1"/>
  <c r="AC115" i="8" s="1"/>
  <c r="AC116" i="8" a="1"/>
  <c r="AC116" i="8" s="1"/>
  <c r="AC117" i="8" a="1"/>
  <c r="AC117" i="8" s="1"/>
  <c r="AC118" i="8" a="1"/>
  <c r="AC118" i="8" s="1"/>
  <c r="AC119" i="8" a="1"/>
  <c r="AC119" i="8" s="1"/>
  <c r="AC120" i="8" a="1"/>
  <c r="AC120" i="8" s="1"/>
  <c r="AC121" i="8" a="1"/>
  <c r="AC121" i="8" s="1"/>
  <c r="AC122" i="8" a="1"/>
  <c r="AC122" i="8" s="1"/>
  <c r="AC123" i="8" a="1"/>
  <c r="AC123" i="8" s="1"/>
  <c r="AC124" i="8" a="1"/>
  <c r="AC124" i="8" s="1"/>
  <c r="AC125" i="8" a="1"/>
  <c r="AC125" i="8" s="1"/>
  <c r="AC126" i="8" a="1"/>
  <c r="AC126" i="8" s="1"/>
  <c r="AC127" i="8" a="1"/>
  <c r="AC127" i="8" s="1"/>
  <c r="AC128" i="8" a="1"/>
  <c r="AC128" i="8" s="1"/>
  <c r="AC129" i="8" a="1"/>
  <c r="AC129" i="8" s="1"/>
  <c r="AC130" i="8" a="1"/>
  <c r="AC130" i="8" s="1"/>
  <c r="AC131" i="8" a="1"/>
  <c r="AC131" i="8" s="1"/>
  <c r="AC132" i="8" a="1"/>
  <c r="AC132" i="8" s="1"/>
  <c r="AC133" i="8" a="1"/>
  <c r="AC133" i="8" s="1"/>
  <c r="AC134" i="8" a="1"/>
  <c r="AC134" i="8" s="1"/>
  <c r="AC135" i="8" a="1"/>
  <c r="AC135" i="8" s="1"/>
  <c r="AC136" i="8" a="1"/>
  <c r="AC136" i="8" s="1"/>
  <c r="AC137" i="8" a="1"/>
  <c r="AC137" i="8" s="1"/>
  <c r="AC138" i="8" a="1"/>
  <c r="AC138" i="8" s="1"/>
  <c r="AC139" i="8" a="1"/>
  <c r="AC139" i="8" s="1"/>
  <c r="AC140" i="8" a="1"/>
  <c r="AC140" i="8" s="1"/>
  <c r="AC141" i="8" a="1"/>
  <c r="AC141" i="8" s="1"/>
  <c r="AC142" i="8" a="1"/>
  <c r="AC142" i="8" s="1"/>
  <c r="AC143" i="8" a="1"/>
  <c r="AC143" i="8" s="1"/>
  <c r="AC144" i="8" a="1"/>
  <c r="AC144" i="8" s="1"/>
  <c r="AC145" i="8" a="1"/>
  <c r="AC145" i="8" s="1"/>
  <c r="AC146" i="8" a="1"/>
  <c r="AC146" i="8" s="1"/>
  <c r="AC147" i="8" a="1"/>
  <c r="AC147" i="8" s="1"/>
  <c r="AC148" i="8" a="1"/>
  <c r="AC148" i="8" s="1"/>
  <c r="AC149" i="8" a="1"/>
  <c r="AC149" i="8" s="1"/>
  <c r="AC150" i="8" a="1"/>
  <c r="AC150" i="8" s="1"/>
  <c r="AC151" i="8" a="1"/>
  <c r="AC151" i="8" s="1"/>
  <c r="AC152" i="8" a="1"/>
  <c r="AC152" i="8" s="1"/>
  <c r="AC153" i="8" a="1"/>
  <c r="AC153" i="8" s="1"/>
  <c r="AC154" i="8" a="1"/>
  <c r="AC154" i="8" s="1"/>
  <c r="AC155" i="8" a="1"/>
  <c r="AC155" i="8" s="1"/>
  <c r="AC156" i="8" a="1"/>
  <c r="AC156" i="8" s="1"/>
  <c r="AC157" i="8" a="1"/>
  <c r="AC157" i="8" s="1"/>
  <c r="AC158" i="8" a="1"/>
  <c r="AC158" i="8" s="1"/>
  <c r="AC159" i="8" a="1"/>
  <c r="AC159" i="8" s="1"/>
  <c r="AC160" i="8" a="1"/>
  <c r="AC160" i="8" s="1"/>
  <c r="AC161" i="8" a="1"/>
  <c r="AC161" i="8" s="1"/>
  <c r="AC162" i="8" a="1"/>
  <c r="AC162" i="8" s="1"/>
  <c r="AC163" i="8" a="1"/>
  <c r="AC163" i="8" s="1"/>
  <c r="AC164" i="8" a="1"/>
  <c r="AC164" i="8" s="1"/>
  <c r="AC165" i="8" a="1"/>
  <c r="AC165" i="8" s="1"/>
  <c r="AC166" i="8" a="1"/>
  <c r="AC166" i="8" s="1"/>
  <c r="AC167" i="8" a="1"/>
  <c r="AC167" i="8" s="1"/>
  <c r="AC168" i="8" a="1"/>
  <c r="AC168" i="8" s="1"/>
  <c r="AC169" i="8" a="1"/>
  <c r="AC169" i="8" s="1"/>
  <c r="AC170" i="8" a="1"/>
  <c r="AC170" i="8" s="1"/>
  <c r="AC171" i="8" a="1"/>
  <c r="AC171" i="8" s="1"/>
  <c r="AC172" i="8" a="1"/>
  <c r="AC172" i="8" s="1"/>
  <c r="AC173" i="8" a="1"/>
  <c r="AC173" i="8" s="1"/>
  <c r="AC174" i="8" a="1"/>
  <c r="AC174" i="8" s="1"/>
  <c r="AC175" i="8" a="1"/>
  <c r="AC175" i="8" s="1"/>
  <c r="AC176" i="8" a="1"/>
  <c r="AC176" i="8" s="1"/>
  <c r="AC177" i="8" a="1"/>
  <c r="AC177" i="8" s="1"/>
  <c r="AC178" i="8" a="1"/>
  <c r="AC178" i="8" s="1"/>
  <c r="AC179" i="8" a="1"/>
  <c r="AC179" i="8" s="1"/>
  <c r="AC180" i="8" a="1"/>
  <c r="AC180" i="8" s="1"/>
  <c r="AC181" i="8" a="1"/>
  <c r="AC181" i="8" s="1"/>
  <c r="AC182" i="8" a="1"/>
  <c r="AC182" i="8" s="1"/>
  <c r="AC183" i="8" a="1"/>
  <c r="AC183" i="8" s="1"/>
  <c r="AC184" i="8" a="1"/>
  <c r="AC184" i="8" s="1"/>
  <c r="AC185" i="8" a="1"/>
  <c r="AC185" i="8" s="1"/>
  <c r="AC186" i="8" a="1"/>
  <c r="AC186" i="8" s="1"/>
  <c r="AC187" i="8" a="1"/>
  <c r="AC187" i="8" s="1"/>
  <c r="AC188" i="8" a="1"/>
  <c r="AC188" i="8" s="1"/>
  <c r="AC189" i="8" a="1"/>
  <c r="AC189" i="8" s="1"/>
  <c r="AC190" i="8" a="1"/>
  <c r="AC190" i="8" s="1"/>
  <c r="AC191" i="8" a="1"/>
  <c r="AC191" i="8" s="1"/>
  <c r="AC192" i="8" a="1"/>
  <c r="AC192" i="8" s="1"/>
  <c r="AC193" i="8" a="1"/>
  <c r="AC193" i="8" s="1"/>
  <c r="AC194" i="8" a="1"/>
  <c r="AC194" i="8" s="1"/>
  <c r="AC195" i="8" a="1"/>
  <c r="AC195" i="8" s="1"/>
  <c r="AC196" i="8" a="1"/>
  <c r="AC196" i="8" s="1"/>
  <c r="AC197" i="8" a="1"/>
  <c r="AC197" i="8" s="1"/>
  <c r="AC198" i="8" a="1"/>
  <c r="AC198" i="8" s="1"/>
  <c r="AC199" i="8" a="1"/>
  <c r="AC199" i="8" s="1"/>
  <c r="AC200" i="8" a="1"/>
  <c r="AC200" i="8" s="1"/>
  <c r="AC201" i="8" a="1"/>
  <c r="AC201" i="8" s="1"/>
  <c r="AC202" i="8" a="1"/>
  <c r="AC202" i="8" s="1"/>
  <c r="AC203" i="8" a="1"/>
  <c r="AC203" i="8" s="1"/>
  <c r="AC204" i="8" a="1"/>
  <c r="AC204" i="8" s="1"/>
  <c r="AC205" i="8" a="1"/>
  <c r="AC205" i="8" s="1"/>
  <c r="AC206" i="8" a="1"/>
  <c r="AC206" i="8" s="1"/>
  <c r="AC207" i="8" a="1"/>
  <c r="AC207" i="8" s="1"/>
  <c r="AC208" i="8" a="1"/>
  <c r="AC208" i="8" s="1"/>
  <c r="AC209" i="8" a="1"/>
  <c r="AC209" i="8" s="1"/>
  <c r="AC210" i="8" a="1"/>
  <c r="AC210" i="8" s="1"/>
  <c r="AC211" i="8" a="1"/>
  <c r="AC211" i="8" s="1"/>
  <c r="AC212" i="8" a="1"/>
  <c r="AC212" i="8" s="1"/>
  <c r="AC213" i="8" a="1"/>
  <c r="AC213" i="8" s="1"/>
  <c r="AC214" i="8" a="1"/>
  <c r="AC214" i="8" s="1"/>
  <c r="AC215" i="8" a="1"/>
  <c r="AC215" i="8" s="1"/>
  <c r="AC216" i="8" a="1"/>
  <c r="AC216" i="8" s="1"/>
  <c r="AC217" i="8" a="1"/>
  <c r="AC217" i="8" s="1"/>
  <c r="AC218" i="8" a="1"/>
  <c r="AC218" i="8" s="1"/>
  <c r="AC219" i="8" a="1"/>
  <c r="AC219" i="8" s="1"/>
  <c r="AC220" i="8" a="1"/>
  <c r="AC220" i="8" s="1"/>
  <c r="AC221" i="8" a="1"/>
  <c r="AC221" i="8" s="1"/>
  <c r="AC222" i="8" a="1"/>
  <c r="AC222" i="8" s="1"/>
  <c r="AC223" i="8" a="1"/>
  <c r="AC223" i="8" s="1"/>
  <c r="AC224" i="8" a="1"/>
  <c r="AC224" i="8" s="1"/>
  <c r="AC225" i="8" a="1"/>
  <c r="AC225" i="8" s="1"/>
  <c r="AC226" i="8" a="1"/>
  <c r="AC226" i="8" s="1"/>
  <c r="AC227" i="8" a="1"/>
  <c r="AC227" i="8" s="1"/>
  <c r="AC228" i="8" a="1"/>
  <c r="AC228" i="8" s="1"/>
  <c r="AC229" i="8" a="1"/>
  <c r="AC229" i="8" s="1"/>
  <c r="AC230" i="8" a="1"/>
  <c r="AC230" i="8" s="1"/>
  <c r="AC231" i="8" a="1"/>
  <c r="AC231" i="8" s="1"/>
  <c r="AC232" i="8" a="1"/>
  <c r="AC232" i="8" s="1"/>
  <c r="AC233" i="8" a="1"/>
  <c r="AC233" i="8" s="1"/>
  <c r="AC234" i="8" a="1"/>
  <c r="AC234" i="8" s="1"/>
  <c r="AC235" i="8" a="1"/>
  <c r="AC235" i="8" s="1"/>
  <c r="AC236" i="8" a="1"/>
  <c r="AC236" i="8" s="1"/>
  <c r="AC237" i="8" a="1"/>
  <c r="AC237" i="8" s="1"/>
  <c r="AC238" i="8" a="1"/>
  <c r="AC238" i="8" s="1"/>
  <c r="AC239" i="8" a="1"/>
  <c r="AC239" i="8" s="1"/>
  <c r="AC240" i="8" a="1"/>
  <c r="AC240" i="8" s="1"/>
  <c r="AC241" i="8" a="1"/>
  <c r="AC241" i="8" s="1"/>
  <c r="AC242" i="8" a="1"/>
  <c r="AC242" i="8" s="1"/>
  <c r="AC243" i="8" a="1"/>
  <c r="AC243" i="8" s="1"/>
  <c r="AC244" i="8" a="1"/>
  <c r="AC244" i="8" s="1"/>
  <c r="AC245" i="8" a="1"/>
  <c r="AC245" i="8" s="1"/>
  <c r="AC246" i="8" a="1"/>
  <c r="AC246" i="8" s="1"/>
  <c r="AC247" i="8" a="1"/>
  <c r="AC247" i="8" s="1"/>
  <c r="AC248" i="8" a="1"/>
  <c r="AC248" i="8" s="1"/>
  <c r="AC249" i="8" a="1"/>
  <c r="AC249" i="8" s="1"/>
  <c r="AC250" i="8" a="1"/>
  <c r="AC250" i="8" s="1"/>
  <c r="AB12" i="8" a="1"/>
  <c r="AB12" i="8" s="1"/>
  <c r="AB13" i="8" a="1"/>
  <c r="AB13" i="8" s="1"/>
  <c r="AB14" i="8" a="1"/>
  <c r="AB14" i="8" s="1"/>
  <c r="AB15" i="8" a="1"/>
  <c r="AB15" i="8" s="1"/>
  <c r="AB16" i="8" a="1"/>
  <c r="AB16" i="8" s="1"/>
  <c r="AB17" i="8" a="1"/>
  <c r="AB17" i="8" s="1"/>
  <c r="AB18" i="8" a="1"/>
  <c r="AB18" i="8" s="1"/>
  <c r="AB19" i="8" a="1"/>
  <c r="AB19" i="8" s="1"/>
  <c r="AB20" i="8" a="1"/>
  <c r="AB20" i="8" s="1"/>
  <c r="AB21" i="8" a="1"/>
  <c r="AB21" i="8" s="1"/>
  <c r="AB22" i="8" a="1"/>
  <c r="AB22" i="8" s="1"/>
  <c r="AB23" i="8" a="1"/>
  <c r="AB23" i="8" s="1"/>
  <c r="AB24" i="8" a="1"/>
  <c r="AB24" i="8" s="1"/>
  <c r="AB25" i="8" a="1"/>
  <c r="AB25" i="8" s="1"/>
  <c r="AB26" i="8" a="1"/>
  <c r="AB26" i="8" s="1"/>
  <c r="AB27" i="8" a="1"/>
  <c r="AB27" i="8" s="1"/>
  <c r="AB28" i="8" a="1"/>
  <c r="AB28" i="8" s="1"/>
  <c r="AB29" i="8" a="1"/>
  <c r="AB29" i="8" s="1"/>
  <c r="AB30" i="8" a="1"/>
  <c r="AB30" i="8" s="1"/>
  <c r="AB31" i="8" a="1"/>
  <c r="AB31" i="8" s="1"/>
  <c r="AB32" i="8" a="1"/>
  <c r="AB32" i="8" s="1"/>
  <c r="AB33" i="8" a="1"/>
  <c r="AB33" i="8" s="1"/>
  <c r="AB34" i="8" a="1"/>
  <c r="AB34" i="8" s="1"/>
  <c r="AB35" i="8" a="1"/>
  <c r="AB35" i="8" s="1"/>
  <c r="AB36" i="8" a="1"/>
  <c r="AB36" i="8" s="1"/>
  <c r="AB37" i="8" a="1"/>
  <c r="AB37" i="8" s="1"/>
  <c r="AB38" i="8" a="1"/>
  <c r="AB38" i="8" s="1"/>
  <c r="AB39" i="8" a="1"/>
  <c r="AB39" i="8" s="1"/>
  <c r="AB40" i="8" a="1"/>
  <c r="AB40" i="8" s="1"/>
  <c r="AB41" i="8" a="1"/>
  <c r="AB41" i="8" s="1"/>
  <c r="AB42" i="8" a="1"/>
  <c r="AB42" i="8" s="1"/>
  <c r="AB43" i="8" a="1"/>
  <c r="AB43" i="8" s="1"/>
  <c r="AB44" i="8" a="1"/>
  <c r="AB44" i="8" s="1"/>
  <c r="AB45" i="8" a="1"/>
  <c r="AB45" i="8" s="1"/>
  <c r="AB46" i="8" a="1"/>
  <c r="AB46" i="8" s="1"/>
  <c r="AB47" i="8" a="1"/>
  <c r="AB47" i="8" s="1"/>
  <c r="AB48" i="8" a="1"/>
  <c r="AB48" i="8" s="1"/>
  <c r="AB49" i="8" a="1"/>
  <c r="AB49" i="8" s="1"/>
  <c r="AB50" i="8" a="1"/>
  <c r="AB50" i="8" s="1"/>
  <c r="AB51" i="8" a="1"/>
  <c r="AB51" i="8" s="1"/>
  <c r="AB52" i="8" a="1"/>
  <c r="AB52" i="8" s="1"/>
  <c r="AB53" i="8" a="1"/>
  <c r="AB53" i="8" s="1"/>
  <c r="AB54" i="8" a="1"/>
  <c r="AB54" i="8" s="1"/>
  <c r="AB55" i="8" a="1"/>
  <c r="AB55" i="8" s="1"/>
  <c r="AB56" i="8" a="1"/>
  <c r="AB56" i="8" s="1"/>
  <c r="AB57" i="8" a="1"/>
  <c r="AB57" i="8" s="1"/>
  <c r="AB58" i="8" a="1"/>
  <c r="AB58" i="8" s="1"/>
  <c r="AB59" i="8" a="1"/>
  <c r="AB59" i="8" s="1"/>
  <c r="AB60" i="8" a="1"/>
  <c r="AB60" i="8" s="1"/>
  <c r="AB61" i="8" a="1"/>
  <c r="AB61" i="8" s="1"/>
  <c r="AB62" i="8" a="1"/>
  <c r="AB62" i="8" s="1"/>
  <c r="AB63" i="8" a="1"/>
  <c r="AB63" i="8" s="1"/>
  <c r="AB64" i="8" a="1"/>
  <c r="AB64" i="8" s="1"/>
  <c r="AB65" i="8" a="1"/>
  <c r="AB65" i="8" s="1"/>
  <c r="AB66" i="8" a="1"/>
  <c r="AB66" i="8" s="1"/>
  <c r="AB67" i="8" a="1"/>
  <c r="AB67" i="8" s="1"/>
  <c r="AB68" i="8" a="1"/>
  <c r="AB68" i="8" s="1"/>
  <c r="AB69" i="8" a="1"/>
  <c r="AB69" i="8" s="1"/>
  <c r="AB70" i="8" a="1"/>
  <c r="AB70" i="8" s="1"/>
  <c r="AB71" i="8" a="1"/>
  <c r="AB71" i="8" s="1"/>
  <c r="AB72" i="8" a="1"/>
  <c r="AB72" i="8" s="1"/>
  <c r="AB73" i="8" a="1"/>
  <c r="AB73" i="8" s="1"/>
  <c r="AB74" i="8" a="1"/>
  <c r="AB74" i="8" s="1"/>
  <c r="AB75" i="8" a="1"/>
  <c r="AB75" i="8" s="1"/>
  <c r="AB76" i="8" a="1"/>
  <c r="AB76" i="8" s="1"/>
  <c r="AB77" i="8" a="1"/>
  <c r="AB77" i="8" s="1"/>
  <c r="AB78" i="8" a="1"/>
  <c r="AB78" i="8" s="1"/>
  <c r="AB79" i="8" a="1"/>
  <c r="AB79" i="8" s="1"/>
  <c r="AB80" i="8" a="1"/>
  <c r="AB80" i="8" s="1"/>
  <c r="AB81" i="8" a="1"/>
  <c r="AB81" i="8" s="1"/>
  <c r="AB82" i="8" a="1"/>
  <c r="AB82" i="8" s="1"/>
  <c r="AB83" i="8" a="1"/>
  <c r="AB83" i="8" s="1"/>
  <c r="AB84" i="8" a="1"/>
  <c r="AB84" i="8" s="1"/>
  <c r="AB85" i="8" a="1"/>
  <c r="AB85" i="8" s="1"/>
  <c r="AB86" i="8" a="1"/>
  <c r="AB86" i="8" s="1"/>
  <c r="AB87" i="8" a="1"/>
  <c r="AB87" i="8" s="1"/>
  <c r="AB88" i="8" a="1"/>
  <c r="AB88" i="8" s="1"/>
  <c r="AB89" i="8" a="1"/>
  <c r="AB89" i="8" s="1"/>
  <c r="AB90" i="8" a="1"/>
  <c r="AB90" i="8" s="1"/>
  <c r="AB91" i="8" a="1"/>
  <c r="AB91" i="8" s="1"/>
  <c r="AB92" i="8" a="1"/>
  <c r="AB92" i="8" s="1"/>
  <c r="AB93" i="8" a="1"/>
  <c r="AB93" i="8" s="1"/>
  <c r="AB94" i="8" a="1"/>
  <c r="AB94" i="8" s="1"/>
  <c r="AB95" i="8" a="1"/>
  <c r="AB95" i="8" s="1"/>
  <c r="AB96" i="8" a="1"/>
  <c r="AB96" i="8" s="1"/>
  <c r="AB97" i="8" a="1"/>
  <c r="AB97" i="8" s="1"/>
  <c r="AB98" i="8" a="1"/>
  <c r="AB98" i="8" s="1"/>
  <c r="AB99" i="8" a="1"/>
  <c r="AB99" i="8" s="1"/>
  <c r="AB100" i="8" a="1"/>
  <c r="AB100" i="8" s="1"/>
  <c r="AB101" i="8" a="1"/>
  <c r="AB101" i="8" s="1"/>
  <c r="AB102" i="8" a="1"/>
  <c r="AB102" i="8" s="1"/>
  <c r="AB103" i="8" a="1"/>
  <c r="AB103" i="8" s="1"/>
  <c r="AB104" i="8" a="1"/>
  <c r="AB104" i="8" s="1"/>
  <c r="AB105" i="8" a="1"/>
  <c r="AB105" i="8" s="1"/>
  <c r="AB106" i="8" a="1"/>
  <c r="AB106" i="8" s="1"/>
  <c r="AB107" i="8" a="1"/>
  <c r="AB107" i="8" s="1"/>
  <c r="AB108" i="8" a="1"/>
  <c r="AB108" i="8" s="1"/>
  <c r="AB109" i="8" a="1"/>
  <c r="AB109" i="8" s="1"/>
  <c r="AB110" i="8" a="1"/>
  <c r="AB110" i="8" s="1"/>
  <c r="AB111" i="8" a="1"/>
  <c r="AB111" i="8" s="1"/>
  <c r="AB112" i="8" a="1"/>
  <c r="AB112" i="8" s="1"/>
  <c r="AB113" i="8" a="1"/>
  <c r="AB113" i="8" s="1"/>
  <c r="AB114" i="8" a="1"/>
  <c r="AB114" i="8" s="1"/>
  <c r="AB115" i="8" a="1"/>
  <c r="AB115" i="8" s="1"/>
  <c r="AB116" i="8" a="1"/>
  <c r="AB116" i="8" s="1"/>
  <c r="AB117" i="8" a="1"/>
  <c r="AB117" i="8" s="1"/>
  <c r="AB118" i="8" a="1"/>
  <c r="AB118" i="8" s="1"/>
  <c r="AB119" i="8" a="1"/>
  <c r="AB119" i="8" s="1"/>
  <c r="AB120" i="8" a="1"/>
  <c r="AB120" i="8" s="1"/>
  <c r="AB121" i="8" a="1"/>
  <c r="AB121" i="8" s="1"/>
  <c r="AB122" i="8" a="1"/>
  <c r="AB122" i="8" s="1"/>
  <c r="AB123" i="8" a="1"/>
  <c r="AB123" i="8" s="1"/>
  <c r="AB124" i="8" a="1"/>
  <c r="AB124" i="8" s="1"/>
  <c r="AB125" i="8" a="1"/>
  <c r="AB125" i="8" s="1"/>
  <c r="AB126" i="8" a="1"/>
  <c r="AB126" i="8" s="1"/>
  <c r="AB127" i="8" a="1"/>
  <c r="AB127" i="8" s="1"/>
  <c r="AB128" i="8" a="1"/>
  <c r="AB128" i="8" s="1"/>
  <c r="AB129" i="8" a="1"/>
  <c r="AB129" i="8" s="1"/>
  <c r="AB130" i="8" a="1"/>
  <c r="AB130" i="8" s="1"/>
  <c r="AB131" i="8" a="1"/>
  <c r="AB131" i="8" s="1"/>
  <c r="AB132" i="8" a="1"/>
  <c r="AB132" i="8" s="1"/>
  <c r="AB133" i="8" a="1"/>
  <c r="AB133" i="8" s="1"/>
  <c r="AB134" i="8" a="1"/>
  <c r="AB134" i="8" s="1"/>
  <c r="AB135" i="8" a="1"/>
  <c r="AB135" i="8" s="1"/>
  <c r="AB136" i="8" a="1"/>
  <c r="AB136" i="8" s="1"/>
  <c r="AB137" i="8" a="1"/>
  <c r="AB137" i="8" s="1"/>
  <c r="AB138" i="8" a="1"/>
  <c r="AB138" i="8" s="1"/>
  <c r="AB139" i="8" a="1"/>
  <c r="AB139" i="8" s="1"/>
  <c r="AB140" i="8" a="1"/>
  <c r="AB140" i="8" s="1"/>
  <c r="AB141" i="8" a="1"/>
  <c r="AB141" i="8" s="1"/>
  <c r="AB142" i="8" a="1"/>
  <c r="AB142" i="8" s="1"/>
  <c r="AB143" i="8" a="1"/>
  <c r="AB143" i="8" s="1"/>
  <c r="AB144" i="8" a="1"/>
  <c r="AB144" i="8" s="1"/>
  <c r="AB145" i="8" a="1"/>
  <c r="AB145" i="8" s="1"/>
  <c r="AB146" i="8" a="1"/>
  <c r="AB146" i="8" s="1"/>
  <c r="AB147" i="8" a="1"/>
  <c r="AB147" i="8" s="1"/>
  <c r="AB148" i="8" a="1"/>
  <c r="AB148" i="8" s="1"/>
  <c r="AB149" i="8" a="1"/>
  <c r="AB149" i="8" s="1"/>
  <c r="AB150" i="8" a="1"/>
  <c r="AB150" i="8" s="1"/>
  <c r="AB151" i="8" a="1"/>
  <c r="AB151" i="8" s="1"/>
  <c r="AB152" i="8" a="1"/>
  <c r="AB152" i="8" s="1"/>
  <c r="AB153" i="8" a="1"/>
  <c r="AB153" i="8" s="1"/>
  <c r="AB154" i="8" a="1"/>
  <c r="AB154" i="8" s="1"/>
  <c r="AB155" i="8" a="1"/>
  <c r="AB155" i="8" s="1"/>
  <c r="AB156" i="8" a="1"/>
  <c r="AB156" i="8" s="1"/>
  <c r="AB157" i="8" a="1"/>
  <c r="AB157" i="8" s="1"/>
  <c r="AB158" i="8" a="1"/>
  <c r="AB158" i="8" s="1"/>
  <c r="AB159" i="8" a="1"/>
  <c r="AB159" i="8" s="1"/>
  <c r="AB160" i="8" a="1"/>
  <c r="AB160" i="8" s="1"/>
  <c r="AB161" i="8" a="1"/>
  <c r="AB161" i="8" s="1"/>
  <c r="AB162" i="8" a="1"/>
  <c r="AB162" i="8" s="1"/>
  <c r="AB163" i="8" a="1"/>
  <c r="AB163" i="8" s="1"/>
  <c r="AB164" i="8" a="1"/>
  <c r="AB164" i="8" s="1"/>
  <c r="AB165" i="8" a="1"/>
  <c r="AB165" i="8" s="1"/>
  <c r="AB166" i="8" a="1"/>
  <c r="AB166" i="8" s="1"/>
  <c r="AB167" i="8" a="1"/>
  <c r="AB167" i="8" s="1"/>
  <c r="AB168" i="8" a="1"/>
  <c r="AB168" i="8" s="1"/>
  <c r="AB169" i="8" a="1"/>
  <c r="AB169" i="8" s="1"/>
  <c r="AB170" i="8" a="1"/>
  <c r="AB170" i="8" s="1"/>
  <c r="AB171" i="8" a="1"/>
  <c r="AB171" i="8" s="1"/>
  <c r="AB172" i="8" a="1"/>
  <c r="AB172" i="8" s="1"/>
  <c r="AB173" i="8" a="1"/>
  <c r="AB173" i="8" s="1"/>
  <c r="AB174" i="8" a="1"/>
  <c r="AB174" i="8" s="1"/>
  <c r="AB175" i="8" a="1"/>
  <c r="AB175" i="8" s="1"/>
  <c r="AB176" i="8" a="1"/>
  <c r="AB176" i="8" s="1"/>
  <c r="AB177" i="8" a="1"/>
  <c r="AB177" i="8" s="1"/>
  <c r="AB178" i="8" a="1"/>
  <c r="AB178" i="8" s="1"/>
  <c r="AB179" i="8" a="1"/>
  <c r="AB179" i="8" s="1"/>
  <c r="AB180" i="8" a="1"/>
  <c r="AB180" i="8" s="1"/>
  <c r="AB181" i="8" a="1"/>
  <c r="AB181" i="8" s="1"/>
  <c r="AB182" i="8" a="1"/>
  <c r="AB182" i="8" s="1"/>
  <c r="AB183" i="8" a="1"/>
  <c r="AB183" i="8" s="1"/>
  <c r="AB184" i="8" a="1"/>
  <c r="AB184" i="8" s="1"/>
  <c r="AB185" i="8" a="1"/>
  <c r="AB185" i="8" s="1"/>
  <c r="AB186" i="8" a="1"/>
  <c r="AB186" i="8" s="1"/>
  <c r="AB187" i="8" a="1"/>
  <c r="AB187" i="8" s="1"/>
  <c r="AB188" i="8" a="1"/>
  <c r="AB188" i="8" s="1"/>
  <c r="AB189" i="8" a="1"/>
  <c r="AB189" i="8" s="1"/>
  <c r="AB190" i="8" a="1"/>
  <c r="AB190" i="8" s="1"/>
  <c r="AB191" i="8" a="1"/>
  <c r="AB191" i="8" s="1"/>
  <c r="AB192" i="8" a="1"/>
  <c r="AB192" i="8" s="1"/>
  <c r="AB193" i="8" a="1"/>
  <c r="AB193" i="8" s="1"/>
  <c r="AB194" i="8" a="1"/>
  <c r="AB194" i="8" s="1"/>
  <c r="AB195" i="8" a="1"/>
  <c r="AB195" i="8" s="1"/>
  <c r="AB196" i="8" a="1"/>
  <c r="AB196" i="8" s="1"/>
  <c r="AB197" i="8" a="1"/>
  <c r="AB197" i="8" s="1"/>
  <c r="AB198" i="8" a="1"/>
  <c r="AB198" i="8" s="1"/>
  <c r="AB199" i="8" a="1"/>
  <c r="AB199" i="8" s="1"/>
  <c r="AB200" i="8" a="1"/>
  <c r="AB200" i="8" s="1"/>
  <c r="AB201" i="8" a="1"/>
  <c r="AB201" i="8" s="1"/>
  <c r="AB202" i="8" a="1"/>
  <c r="AB202" i="8" s="1"/>
  <c r="AB203" i="8" a="1"/>
  <c r="AB203" i="8" s="1"/>
  <c r="AB204" i="8" a="1"/>
  <c r="AB204" i="8" s="1"/>
  <c r="AB205" i="8" a="1"/>
  <c r="AB205" i="8" s="1"/>
  <c r="AB206" i="8" a="1"/>
  <c r="AB206" i="8" s="1"/>
  <c r="AB207" i="8" a="1"/>
  <c r="AB207" i="8" s="1"/>
  <c r="AB208" i="8" a="1"/>
  <c r="AB208" i="8" s="1"/>
  <c r="AB209" i="8" a="1"/>
  <c r="AB209" i="8" s="1"/>
  <c r="AB210" i="8" a="1"/>
  <c r="AB210" i="8" s="1"/>
  <c r="AB211" i="8" a="1"/>
  <c r="AB211" i="8" s="1"/>
  <c r="AB212" i="8" a="1"/>
  <c r="AB212" i="8" s="1"/>
  <c r="AB213" i="8" a="1"/>
  <c r="AB213" i="8" s="1"/>
  <c r="AB214" i="8" a="1"/>
  <c r="AB214" i="8" s="1"/>
  <c r="AB215" i="8" a="1"/>
  <c r="AB215" i="8" s="1"/>
  <c r="AB216" i="8" a="1"/>
  <c r="AB216" i="8" s="1"/>
  <c r="AB217" i="8" a="1"/>
  <c r="AB217" i="8" s="1"/>
  <c r="AB218" i="8" a="1"/>
  <c r="AB218" i="8" s="1"/>
  <c r="AB219" i="8" a="1"/>
  <c r="AB219" i="8" s="1"/>
  <c r="AB220" i="8" a="1"/>
  <c r="AB220" i="8" s="1"/>
  <c r="AB221" i="8" a="1"/>
  <c r="AB221" i="8" s="1"/>
  <c r="AB222" i="8" a="1"/>
  <c r="AB222" i="8" s="1"/>
  <c r="AB223" i="8" a="1"/>
  <c r="AB223" i="8" s="1"/>
  <c r="AB224" i="8" a="1"/>
  <c r="AB224" i="8" s="1"/>
  <c r="AB225" i="8" a="1"/>
  <c r="AB225" i="8" s="1"/>
  <c r="AB226" i="8" a="1"/>
  <c r="AB226" i="8" s="1"/>
  <c r="AB227" i="8" a="1"/>
  <c r="AB227" i="8" s="1"/>
  <c r="AB228" i="8" a="1"/>
  <c r="AB228" i="8" s="1"/>
  <c r="AB229" i="8" a="1"/>
  <c r="AB229" i="8" s="1"/>
  <c r="AB230" i="8" a="1"/>
  <c r="AB230" i="8" s="1"/>
  <c r="AB231" i="8" a="1"/>
  <c r="AB231" i="8" s="1"/>
  <c r="AB232" i="8" a="1"/>
  <c r="AB232" i="8" s="1"/>
  <c r="AB233" i="8" a="1"/>
  <c r="AB233" i="8" s="1"/>
  <c r="AB234" i="8" a="1"/>
  <c r="AB234" i="8" s="1"/>
  <c r="AB235" i="8" a="1"/>
  <c r="AB235" i="8" s="1"/>
  <c r="AB236" i="8" a="1"/>
  <c r="AB236" i="8" s="1"/>
  <c r="AB237" i="8" a="1"/>
  <c r="AB237" i="8" s="1"/>
  <c r="AB238" i="8" a="1"/>
  <c r="AB238" i="8" s="1"/>
  <c r="AB239" i="8" a="1"/>
  <c r="AB239" i="8" s="1"/>
  <c r="AB240" i="8" a="1"/>
  <c r="AB240" i="8" s="1"/>
  <c r="AB241" i="8" a="1"/>
  <c r="AB241" i="8" s="1"/>
  <c r="AB242" i="8" a="1"/>
  <c r="AB242" i="8" s="1"/>
  <c r="AB243" i="8" a="1"/>
  <c r="AB243" i="8" s="1"/>
  <c r="AB244" i="8" a="1"/>
  <c r="AB244" i="8" s="1"/>
  <c r="AB245" i="8" a="1"/>
  <c r="AB245" i="8" s="1"/>
  <c r="AB246" i="8" a="1"/>
  <c r="AB246" i="8" s="1"/>
  <c r="AB247" i="8" a="1"/>
  <c r="AB247" i="8" s="1"/>
  <c r="AB248" i="8" a="1"/>
  <c r="AB248" i="8" s="1"/>
  <c r="AB249" i="8" a="1"/>
  <c r="AB249" i="8" s="1"/>
  <c r="AB250" i="8" a="1"/>
  <c r="AB250" i="8" s="1"/>
  <c r="AA12" i="8" a="1"/>
  <c r="AA12" i="8" s="1"/>
  <c r="AA13" i="8" a="1"/>
  <c r="AA13" i="8" s="1"/>
  <c r="AA14" i="8" a="1"/>
  <c r="AA14" i="8" s="1"/>
  <c r="AA15" i="8" a="1"/>
  <c r="AA15" i="8" s="1"/>
  <c r="AA16" i="8" a="1"/>
  <c r="AA16" i="8" s="1"/>
  <c r="AA17" i="8" a="1"/>
  <c r="AA17" i="8" s="1"/>
  <c r="AA18" i="8" a="1"/>
  <c r="AA18" i="8" s="1"/>
  <c r="AA19" i="8" a="1"/>
  <c r="AA19" i="8" s="1"/>
  <c r="AA20" i="8" a="1"/>
  <c r="AA20" i="8" s="1"/>
  <c r="AA21" i="8" a="1"/>
  <c r="AA21" i="8" s="1"/>
  <c r="AA22" i="8" a="1"/>
  <c r="AA22" i="8" s="1"/>
  <c r="AA23" i="8" a="1"/>
  <c r="AA23" i="8" s="1"/>
  <c r="AA24" i="8" a="1"/>
  <c r="AA24" i="8" s="1"/>
  <c r="AA25" i="8" a="1"/>
  <c r="AA25" i="8" s="1"/>
  <c r="AA26" i="8" a="1"/>
  <c r="AA26" i="8" s="1"/>
  <c r="AA27" i="8" a="1"/>
  <c r="AA27" i="8" s="1"/>
  <c r="AA28" i="8" a="1"/>
  <c r="AA28" i="8" s="1"/>
  <c r="AA29" i="8" a="1"/>
  <c r="AA29" i="8" s="1"/>
  <c r="AA30" i="8" a="1"/>
  <c r="AA30" i="8" s="1"/>
  <c r="AA31" i="8" a="1"/>
  <c r="AA31" i="8" s="1"/>
  <c r="AA32" i="8" a="1"/>
  <c r="AA32" i="8" s="1"/>
  <c r="AA33" i="8" a="1"/>
  <c r="AA33" i="8" s="1"/>
  <c r="AA34" i="8" a="1"/>
  <c r="AA34" i="8" s="1"/>
  <c r="AA35" i="8" a="1"/>
  <c r="AA35" i="8" s="1"/>
  <c r="AA36" i="8" a="1"/>
  <c r="AA36" i="8" s="1"/>
  <c r="AA37" i="8" a="1"/>
  <c r="AA37" i="8" s="1"/>
  <c r="AA38" i="8" a="1"/>
  <c r="AA38" i="8" s="1"/>
  <c r="AA39" i="8" a="1"/>
  <c r="AA39" i="8" s="1"/>
  <c r="AA40" i="8" a="1"/>
  <c r="AA40" i="8" s="1"/>
  <c r="AA41" i="8" a="1"/>
  <c r="AA41" i="8" s="1"/>
  <c r="AA42" i="8" a="1"/>
  <c r="AA42" i="8" s="1"/>
  <c r="AA43" i="8" a="1"/>
  <c r="AA43" i="8" s="1"/>
  <c r="AA44" i="8" a="1"/>
  <c r="AA44" i="8" s="1"/>
  <c r="AA45" i="8" a="1"/>
  <c r="AA45" i="8" s="1"/>
  <c r="AA46" i="8" a="1"/>
  <c r="AA46" i="8" s="1"/>
  <c r="AA47" i="8" a="1"/>
  <c r="AA47" i="8" s="1"/>
  <c r="AA48" i="8" a="1"/>
  <c r="AA48" i="8" s="1"/>
  <c r="AA49" i="8" a="1"/>
  <c r="AA49" i="8" s="1"/>
  <c r="AA50" i="8" a="1"/>
  <c r="AA50" i="8" s="1"/>
  <c r="AA51" i="8" a="1"/>
  <c r="AA51" i="8" s="1"/>
  <c r="AA52" i="8" a="1"/>
  <c r="AA52" i="8" s="1"/>
  <c r="AA53" i="8" a="1"/>
  <c r="AA53" i="8" s="1"/>
  <c r="AA54" i="8" a="1"/>
  <c r="AA54" i="8" s="1"/>
  <c r="AA55" i="8" a="1"/>
  <c r="AA55" i="8" s="1"/>
  <c r="AA56" i="8" a="1"/>
  <c r="AA56" i="8" s="1"/>
  <c r="AA57" i="8" a="1"/>
  <c r="AA57" i="8" s="1"/>
  <c r="AA58" i="8" a="1"/>
  <c r="AA58" i="8" s="1"/>
  <c r="AA59" i="8" a="1"/>
  <c r="AA59" i="8" s="1"/>
  <c r="AA60" i="8" a="1"/>
  <c r="AA60" i="8" s="1"/>
  <c r="AA61" i="8" a="1"/>
  <c r="AA61" i="8" s="1"/>
  <c r="AA62" i="8" a="1"/>
  <c r="AA62" i="8" s="1"/>
  <c r="AA63" i="8" a="1"/>
  <c r="AA63" i="8" s="1"/>
  <c r="AA64" i="8" a="1"/>
  <c r="AA64" i="8" s="1"/>
  <c r="AA65" i="8" a="1"/>
  <c r="AA65" i="8" s="1"/>
  <c r="AA66" i="8" a="1"/>
  <c r="AA66" i="8" s="1"/>
  <c r="AA67" i="8" a="1"/>
  <c r="AA67" i="8" s="1"/>
  <c r="AA68" i="8" a="1"/>
  <c r="AA68" i="8" s="1"/>
  <c r="AA69" i="8" a="1"/>
  <c r="AA69" i="8" s="1"/>
  <c r="AA70" i="8" a="1"/>
  <c r="AA70" i="8" s="1"/>
  <c r="AA71" i="8" a="1"/>
  <c r="AA71" i="8" s="1"/>
  <c r="AA72" i="8" a="1"/>
  <c r="AA72" i="8" s="1"/>
  <c r="AA73" i="8" a="1"/>
  <c r="AA73" i="8" s="1"/>
  <c r="AA74" i="8" a="1"/>
  <c r="AA74" i="8" s="1"/>
  <c r="AA75" i="8" a="1"/>
  <c r="AA75" i="8" s="1"/>
  <c r="AA76" i="8" a="1"/>
  <c r="AA76" i="8" s="1"/>
  <c r="AA77" i="8" a="1"/>
  <c r="AA77" i="8" s="1"/>
  <c r="AA78" i="8" a="1"/>
  <c r="AA78" i="8" s="1"/>
  <c r="AA79" i="8" a="1"/>
  <c r="AA79" i="8" s="1"/>
  <c r="AA80" i="8" a="1"/>
  <c r="AA80" i="8" s="1"/>
  <c r="AA81" i="8" a="1"/>
  <c r="AA81" i="8" s="1"/>
  <c r="AA82" i="8" a="1"/>
  <c r="AA82" i="8" s="1"/>
  <c r="AA83" i="8" a="1"/>
  <c r="AA83" i="8" s="1"/>
  <c r="AA84" i="8" a="1"/>
  <c r="AA84" i="8" s="1"/>
  <c r="AA85" i="8" a="1"/>
  <c r="AA85" i="8" s="1"/>
  <c r="AA86" i="8" a="1"/>
  <c r="AA86" i="8" s="1"/>
  <c r="AA87" i="8" a="1"/>
  <c r="AA87" i="8" s="1"/>
  <c r="AA88" i="8" a="1"/>
  <c r="AA88" i="8" s="1"/>
  <c r="AA89" i="8" a="1"/>
  <c r="AA89" i="8" s="1"/>
  <c r="AA90" i="8" a="1"/>
  <c r="AA90" i="8" s="1"/>
  <c r="AA91" i="8" a="1"/>
  <c r="AA91" i="8" s="1"/>
  <c r="AA92" i="8" a="1"/>
  <c r="AA92" i="8" s="1"/>
  <c r="AA93" i="8" a="1"/>
  <c r="AA93" i="8" s="1"/>
  <c r="AA94" i="8" a="1"/>
  <c r="AA94" i="8" s="1"/>
  <c r="AA95" i="8" a="1"/>
  <c r="AA95" i="8" s="1"/>
  <c r="AA96" i="8" a="1"/>
  <c r="AA96" i="8" s="1"/>
  <c r="AA97" i="8" a="1"/>
  <c r="AA97" i="8" s="1"/>
  <c r="AA98" i="8" a="1"/>
  <c r="AA98" i="8" s="1"/>
  <c r="AA99" i="8" a="1"/>
  <c r="AA99" i="8" s="1"/>
  <c r="AA100" i="8" a="1"/>
  <c r="AA100" i="8" s="1"/>
  <c r="AA101" i="8" a="1"/>
  <c r="AA101" i="8" s="1"/>
  <c r="AA102" i="8" a="1"/>
  <c r="AA102" i="8" s="1"/>
  <c r="AA103" i="8" a="1"/>
  <c r="AA103" i="8" s="1"/>
  <c r="AA104" i="8" a="1"/>
  <c r="AA104" i="8" s="1"/>
  <c r="AA105" i="8" a="1"/>
  <c r="AA105" i="8" s="1"/>
  <c r="AA106" i="8" a="1"/>
  <c r="AA106" i="8" s="1"/>
  <c r="AA107" i="8" a="1"/>
  <c r="AA107" i="8" s="1"/>
  <c r="AA108" i="8" a="1"/>
  <c r="AA108" i="8" s="1"/>
  <c r="AA109" i="8" a="1"/>
  <c r="AA109" i="8" s="1"/>
  <c r="AA110" i="8" a="1"/>
  <c r="AA110" i="8" s="1"/>
  <c r="AA111" i="8" a="1"/>
  <c r="AA111" i="8" s="1"/>
  <c r="AA112" i="8" a="1"/>
  <c r="AA112" i="8" s="1"/>
  <c r="AA113" i="8" a="1"/>
  <c r="AA113" i="8" s="1"/>
  <c r="AA114" i="8" a="1"/>
  <c r="AA114" i="8" s="1"/>
  <c r="AA115" i="8" a="1"/>
  <c r="AA115" i="8" s="1"/>
  <c r="AA116" i="8" a="1"/>
  <c r="AA116" i="8" s="1"/>
  <c r="AA117" i="8" a="1"/>
  <c r="AA117" i="8" s="1"/>
  <c r="AA118" i="8" a="1"/>
  <c r="AA118" i="8" s="1"/>
  <c r="AA119" i="8" a="1"/>
  <c r="AA119" i="8" s="1"/>
  <c r="AA120" i="8" a="1"/>
  <c r="AA120" i="8" s="1"/>
  <c r="AA121" i="8" a="1"/>
  <c r="AA121" i="8" s="1"/>
  <c r="AA122" i="8" a="1"/>
  <c r="AA122" i="8" s="1"/>
  <c r="AA123" i="8" a="1"/>
  <c r="AA123" i="8" s="1"/>
  <c r="AA124" i="8" a="1"/>
  <c r="AA124" i="8" s="1"/>
  <c r="AA125" i="8" a="1"/>
  <c r="AA125" i="8" s="1"/>
  <c r="AA126" i="8" a="1"/>
  <c r="AA126" i="8" s="1"/>
  <c r="AA127" i="8" a="1"/>
  <c r="AA127" i="8" s="1"/>
  <c r="AA128" i="8" a="1"/>
  <c r="AA128" i="8" s="1"/>
  <c r="AA129" i="8" a="1"/>
  <c r="AA129" i="8" s="1"/>
  <c r="AA130" i="8" a="1"/>
  <c r="AA130" i="8" s="1"/>
  <c r="AA131" i="8" a="1"/>
  <c r="AA131" i="8" s="1"/>
  <c r="AA132" i="8" a="1"/>
  <c r="AA132" i="8" s="1"/>
  <c r="AA133" i="8" a="1"/>
  <c r="AA133" i="8" s="1"/>
  <c r="AA134" i="8" a="1"/>
  <c r="AA134" i="8" s="1"/>
  <c r="AA135" i="8" a="1"/>
  <c r="AA135" i="8" s="1"/>
  <c r="AA136" i="8" a="1"/>
  <c r="AA136" i="8" s="1"/>
  <c r="AA137" i="8" a="1"/>
  <c r="AA137" i="8" s="1"/>
  <c r="AA138" i="8" a="1"/>
  <c r="AA138" i="8" s="1"/>
  <c r="AA139" i="8" a="1"/>
  <c r="AA139" i="8" s="1"/>
  <c r="AA140" i="8" a="1"/>
  <c r="AA140" i="8" s="1"/>
  <c r="AA141" i="8" a="1"/>
  <c r="AA141" i="8" s="1"/>
  <c r="AA142" i="8" a="1"/>
  <c r="AA142" i="8" s="1"/>
  <c r="AA143" i="8" a="1"/>
  <c r="AA143" i="8" s="1"/>
  <c r="AA144" i="8" a="1"/>
  <c r="AA144" i="8" s="1"/>
  <c r="AA145" i="8" a="1"/>
  <c r="AA145" i="8" s="1"/>
  <c r="AA146" i="8" a="1"/>
  <c r="AA146" i="8" s="1"/>
  <c r="AA147" i="8" a="1"/>
  <c r="AA147" i="8" s="1"/>
  <c r="AA148" i="8" a="1"/>
  <c r="AA148" i="8" s="1"/>
  <c r="AA149" i="8" a="1"/>
  <c r="AA149" i="8" s="1"/>
  <c r="AA150" i="8" a="1"/>
  <c r="AA150" i="8" s="1"/>
  <c r="AA151" i="8" a="1"/>
  <c r="AA151" i="8" s="1"/>
  <c r="AA152" i="8" a="1"/>
  <c r="AA152" i="8" s="1"/>
  <c r="AA153" i="8" a="1"/>
  <c r="AA153" i="8" s="1"/>
  <c r="AA154" i="8" a="1"/>
  <c r="AA154" i="8" s="1"/>
  <c r="AA155" i="8" a="1"/>
  <c r="AA155" i="8" s="1"/>
  <c r="AA156" i="8" a="1"/>
  <c r="AA156" i="8" s="1"/>
  <c r="AA157" i="8" a="1"/>
  <c r="AA157" i="8" s="1"/>
  <c r="AA158" i="8" a="1"/>
  <c r="AA158" i="8" s="1"/>
  <c r="AA159" i="8" a="1"/>
  <c r="AA159" i="8" s="1"/>
  <c r="AA160" i="8" a="1"/>
  <c r="AA160" i="8" s="1"/>
  <c r="AA161" i="8" a="1"/>
  <c r="AA161" i="8" s="1"/>
  <c r="AA162" i="8" a="1"/>
  <c r="AA162" i="8" s="1"/>
  <c r="AA163" i="8" a="1"/>
  <c r="AA163" i="8" s="1"/>
  <c r="AA164" i="8" a="1"/>
  <c r="AA164" i="8" s="1"/>
  <c r="AA165" i="8" a="1"/>
  <c r="AA165" i="8" s="1"/>
  <c r="AA166" i="8" a="1"/>
  <c r="AA166" i="8" s="1"/>
  <c r="AA167" i="8" a="1"/>
  <c r="AA167" i="8" s="1"/>
  <c r="AA168" i="8" a="1"/>
  <c r="AA168" i="8" s="1"/>
  <c r="AA169" i="8" a="1"/>
  <c r="AA169" i="8" s="1"/>
  <c r="AA170" i="8" a="1"/>
  <c r="AA170" i="8" s="1"/>
  <c r="AA171" i="8" a="1"/>
  <c r="AA171" i="8" s="1"/>
  <c r="AA172" i="8" a="1"/>
  <c r="AA172" i="8" s="1"/>
  <c r="AA173" i="8" a="1"/>
  <c r="AA173" i="8" s="1"/>
  <c r="AA174" i="8" a="1"/>
  <c r="AA174" i="8" s="1"/>
  <c r="AA175" i="8" a="1"/>
  <c r="AA175" i="8" s="1"/>
  <c r="AA176" i="8" a="1"/>
  <c r="AA176" i="8" s="1"/>
  <c r="AA177" i="8" a="1"/>
  <c r="AA177" i="8" s="1"/>
  <c r="AA178" i="8" a="1"/>
  <c r="AA178" i="8" s="1"/>
  <c r="AA179" i="8" a="1"/>
  <c r="AA179" i="8" s="1"/>
  <c r="AA180" i="8" a="1"/>
  <c r="AA180" i="8" s="1"/>
  <c r="AA181" i="8" a="1"/>
  <c r="AA181" i="8" s="1"/>
  <c r="AA182" i="8" a="1"/>
  <c r="AA182" i="8" s="1"/>
  <c r="AA183" i="8" a="1"/>
  <c r="AA183" i="8" s="1"/>
  <c r="AA184" i="8" a="1"/>
  <c r="AA184" i="8" s="1"/>
  <c r="AA185" i="8" a="1"/>
  <c r="AA185" i="8" s="1"/>
  <c r="AA186" i="8" a="1"/>
  <c r="AA186" i="8" s="1"/>
  <c r="AA187" i="8" a="1"/>
  <c r="AA187" i="8" s="1"/>
  <c r="AA188" i="8" a="1"/>
  <c r="AA188" i="8" s="1"/>
  <c r="AA189" i="8" a="1"/>
  <c r="AA189" i="8" s="1"/>
  <c r="AA190" i="8" a="1"/>
  <c r="AA190" i="8" s="1"/>
  <c r="AA191" i="8" a="1"/>
  <c r="AA191" i="8" s="1"/>
  <c r="AA192" i="8" a="1"/>
  <c r="AA192" i="8" s="1"/>
  <c r="AA193" i="8" a="1"/>
  <c r="AA193" i="8" s="1"/>
  <c r="AA194" i="8" a="1"/>
  <c r="AA194" i="8" s="1"/>
  <c r="AA195" i="8" a="1"/>
  <c r="AA195" i="8" s="1"/>
  <c r="AA196" i="8" a="1"/>
  <c r="AA196" i="8" s="1"/>
  <c r="AA197" i="8" a="1"/>
  <c r="AA197" i="8" s="1"/>
  <c r="AA198" i="8" a="1"/>
  <c r="AA198" i="8" s="1"/>
  <c r="AA199" i="8" a="1"/>
  <c r="AA199" i="8" s="1"/>
  <c r="AA200" i="8" a="1"/>
  <c r="AA200" i="8" s="1"/>
  <c r="AA201" i="8" a="1"/>
  <c r="AA201" i="8" s="1"/>
  <c r="AA202" i="8" a="1"/>
  <c r="AA202" i="8" s="1"/>
  <c r="AA203" i="8" a="1"/>
  <c r="AA203" i="8" s="1"/>
  <c r="AA204" i="8" a="1"/>
  <c r="AA204" i="8" s="1"/>
  <c r="AA205" i="8" a="1"/>
  <c r="AA205" i="8" s="1"/>
  <c r="AA206" i="8" a="1"/>
  <c r="AA206" i="8" s="1"/>
  <c r="AA207" i="8" a="1"/>
  <c r="AA207" i="8" s="1"/>
  <c r="AA208" i="8" a="1"/>
  <c r="AA208" i="8" s="1"/>
  <c r="AA209" i="8" a="1"/>
  <c r="AA209" i="8" s="1"/>
  <c r="AA210" i="8" a="1"/>
  <c r="AA210" i="8" s="1"/>
  <c r="AA211" i="8" a="1"/>
  <c r="AA211" i="8" s="1"/>
  <c r="AA212" i="8" a="1"/>
  <c r="AA212" i="8" s="1"/>
  <c r="AA213" i="8" a="1"/>
  <c r="AA213" i="8" s="1"/>
  <c r="AA214" i="8" a="1"/>
  <c r="AA214" i="8" s="1"/>
  <c r="AA215" i="8" a="1"/>
  <c r="AA215" i="8" s="1"/>
  <c r="AA216" i="8" a="1"/>
  <c r="AA216" i="8" s="1"/>
  <c r="AA217" i="8" a="1"/>
  <c r="AA217" i="8" s="1"/>
  <c r="AA218" i="8" a="1"/>
  <c r="AA218" i="8" s="1"/>
  <c r="AA219" i="8" a="1"/>
  <c r="AA219" i="8" s="1"/>
  <c r="AA220" i="8" a="1"/>
  <c r="AA220" i="8" s="1"/>
  <c r="AA221" i="8" a="1"/>
  <c r="AA221" i="8" s="1"/>
  <c r="AA222" i="8" a="1"/>
  <c r="AA222" i="8" s="1"/>
  <c r="AA223" i="8" a="1"/>
  <c r="AA223" i="8" s="1"/>
  <c r="AA224" i="8" a="1"/>
  <c r="AA224" i="8" s="1"/>
  <c r="AA225" i="8" a="1"/>
  <c r="AA225" i="8" s="1"/>
  <c r="AA226" i="8" a="1"/>
  <c r="AA226" i="8" s="1"/>
  <c r="AA227" i="8" a="1"/>
  <c r="AA227" i="8" s="1"/>
  <c r="AA228" i="8" a="1"/>
  <c r="AA228" i="8" s="1"/>
  <c r="AA229" i="8" a="1"/>
  <c r="AA229" i="8" s="1"/>
  <c r="AA230" i="8" a="1"/>
  <c r="AA230" i="8" s="1"/>
  <c r="AA231" i="8" a="1"/>
  <c r="AA231" i="8" s="1"/>
  <c r="AA232" i="8" a="1"/>
  <c r="AA232" i="8" s="1"/>
  <c r="AA233" i="8" a="1"/>
  <c r="AA233" i="8" s="1"/>
  <c r="AA234" i="8" a="1"/>
  <c r="AA234" i="8" s="1"/>
  <c r="AA235" i="8" a="1"/>
  <c r="AA235" i="8" s="1"/>
  <c r="AA236" i="8" a="1"/>
  <c r="AA236" i="8" s="1"/>
  <c r="AA237" i="8" a="1"/>
  <c r="AA237" i="8" s="1"/>
  <c r="AA238" i="8" a="1"/>
  <c r="AA238" i="8" s="1"/>
  <c r="AA239" i="8" a="1"/>
  <c r="AA239" i="8" s="1"/>
  <c r="AA240" i="8" a="1"/>
  <c r="AA240" i="8" s="1"/>
  <c r="AA241" i="8" a="1"/>
  <c r="AA241" i="8" s="1"/>
  <c r="AA242" i="8" a="1"/>
  <c r="AA242" i="8" s="1"/>
  <c r="AA243" i="8" a="1"/>
  <c r="AA243" i="8" s="1"/>
  <c r="AA244" i="8" a="1"/>
  <c r="AA244" i="8" s="1"/>
  <c r="AA245" i="8" a="1"/>
  <c r="AA245" i="8" s="1"/>
  <c r="AA246" i="8" a="1"/>
  <c r="AA246" i="8" s="1"/>
  <c r="AA247" i="8" a="1"/>
  <c r="AA247" i="8" s="1"/>
  <c r="AA248" i="8" a="1"/>
  <c r="AA248" i="8" s="1"/>
  <c r="AA249" i="8" a="1"/>
  <c r="AA249" i="8" s="1"/>
  <c r="AA250" i="8" a="1"/>
  <c r="AA250" i="8" s="1"/>
  <c r="Z12" i="8" a="1"/>
  <c r="Z12" i="8" s="1"/>
  <c r="Z12" i="11" s="1" a="1"/>
  <c r="Z12" i="11" s="1"/>
  <c r="Z13" i="8" a="1"/>
  <c r="Z13" i="8" s="1"/>
  <c r="Z13" i="11" s="1" a="1"/>
  <c r="Z13" i="11" s="1"/>
  <c r="Z14" i="8" a="1"/>
  <c r="Z14" i="8" s="1"/>
  <c r="Z14" i="11" s="1" a="1"/>
  <c r="Z14" i="11" s="1"/>
  <c r="Z15" i="8" a="1"/>
  <c r="Z15" i="8" s="1"/>
  <c r="Z15" i="11" s="1" a="1"/>
  <c r="Z15" i="11" s="1"/>
  <c r="Z16" i="8" a="1"/>
  <c r="Z16" i="8" s="1"/>
  <c r="Z16" i="11" s="1" a="1"/>
  <c r="Z16" i="11" s="1"/>
  <c r="Z17" i="8" a="1"/>
  <c r="Z17" i="8" s="1"/>
  <c r="Z17" i="11" s="1" a="1"/>
  <c r="Z17" i="11" s="1"/>
  <c r="Z18" i="8" a="1"/>
  <c r="Z18" i="8" s="1"/>
  <c r="Z18" i="11" s="1" a="1"/>
  <c r="Z18" i="11" s="1"/>
  <c r="Z19" i="8" a="1"/>
  <c r="Z19" i="8" s="1"/>
  <c r="Z19" i="11" s="1" a="1"/>
  <c r="Z19" i="11" s="1"/>
  <c r="Z20" i="8" a="1"/>
  <c r="Z20" i="8" s="1"/>
  <c r="Z20" i="11" s="1" a="1"/>
  <c r="Z20" i="11" s="1"/>
  <c r="Z21" i="8" a="1"/>
  <c r="Z21" i="8" s="1"/>
  <c r="Z21" i="11" s="1" a="1"/>
  <c r="Z21" i="11" s="1"/>
  <c r="Z22" i="8" a="1"/>
  <c r="Z22" i="8" s="1"/>
  <c r="Z22" i="11" s="1" a="1"/>
  <c r="Z22" i="11" s="1"/>
  <c r="Z23" i="8" a="1"/>
  <c r="Z23" i="8" s="1"/>
  <c r="Z23" i="11" s="1" a="1"/>
  <c r="Z23" i="11" s="1"/>
  <c r="Z24" i="8" a="1"/>
  <c r="Z24" i="8" s="1"/>
  <c r="Z24" i="11" s="1" a="1"/>
  <c r="Z24" i="11" s="1"/>
  <c r="Z25" i="8" a="1"/>
  <c r="Z25" i="8" s="1"/>
  <c r="Z25" i="11" s="1" a="1"/>
  <c r="Z25" i="11" s="1"/>
  <c r="Z26" i="8" a="1"/>
  <c r="Z26" i="8" s="1"/>
  <c r="Z26" i="11" s="1" a="1"/>
  <c r="Z26" i="11" s="1"/>
  <c r="Z27" i="8" a="1"/>
  <c r="Z27" i="8" s="1"/>
  <c r="Z27" i="11" s="1" a="1"/>
  <c r="Z27" i="11" s="1"/>
  <c r="Z28" i="8" a="1"/>
  <c r="Z28" i="8" s="1"/>
  <c r="Z28" i="11" s="1" a="1"/>
  <c r="Z28" i="11" s="1"/>
  <c r="Z29" i="8" a="1"/>
  <c r="Z29" i="8" s="1"/>
  <c r="Z29" i="11" s="1" a="1"/>
  <c r="Z29" i="11" s="1"/>
  <c r="Z30" i="8" a="1"/>
  <c r="Z30" i="8" s="1"/>
  <c r="Z30" i="11" s="1" a="1"/>
  <c r="Z30" i="11" s="1"/>
  <c r="Z31" i="8" a="1"/>
  <c r="Z31" i="8" s="1"/>
  <c r="Z31" i="11" s="1" a="1"/>
  <c r="Z31" i="11" s="1"/>
  <c r="Z32" i="8" a="1"/>
  <c r="Z32" i="8" s="1"/>
  <c r="Z32" i="11" s="1" a="1"/>
  <c r="Z32" i="11" s="1"/>
  <c r="Z33" i="8" a="1"/>
  <c r="Z33" i="8" s="1"/>
  <c r="Z33" i="11" s="1" a="1"/>
  <c r="Z33" i="11" s="1"/>
  <c r="Z34" i="8" a="1"/>
  <c r="Z34" i="8" s="1"/>
  <c r="Z34" i="11" s="1" a="1"/>
  <c r="Z34" i="11" s="1"/>
  <c r="Z35" i="8" a="1"/>
  <c r="Z35" i="8" s="1"/>
  <c r="Z35" i="11" s="1" a="1"/>
  <c r="Z35" i="11" s="1"/>
  <c r="Z36" i="8" a="1"/>
  <c r="Z36" i="8" s="1"/>
  <c r="Z36" i="11" s="1" a="1"/>
  <c r="Z36" i="11" s="1"/>
  <c r="Z37" i="8" a="1"/>
  <c r="Z37" i="8" s="1"/>
  <c r="Z37" i="11" s="1" a="1"/>
  <c r="Z37" i="11" s="1"/>
  <c r="Z38" i="8" a="1"/>
  <c r="Z38" i="8" s="1"/>
  <c r="Z38" i="11" s="1" a="1"/>
  <c r="Z38" i="11" s="1"/>
  <c r="Z39" i="8" a="1"/>
  <c r="Z39" i="8" s="1"/>
  <c r="Z39" i="11" s="1" a="1"/>
  <c r="Z39" i="11" s="1"/>
  <c r="Z40" i="8" a="1"/>
  <c r="Z40" i="8" s="1"/>
  <c r="Z40" i="11" s="1" a="1"/>
  <c r="Z40" i="11" s="1"/>
  <c r="Z41" i="8" a="1"/>
  <c r="Z41" i="8" s="1"/>
  <c r="Z41" i="11" s="1" a="1"/>
  <c r="Z41" i="11" s="1"/>
  <c r="Z42" i="8" a="1"/>
  <c r="Z42" i="8" s="1"/>
  <c r="Z42" i="11" s="1" a="1"/>
  <c r="Z42" i="11" s="1"/>
  <c r="Z43" i="8" a="1"/>
  <c r="Z43" i="8" s="1"/>
  <c r="Z43" i="11" s="1" a="1"/>
  <c r="Z43" i="11" s="1"/>
  <c r="Z44" i="8" a="1"/>
  <c r="Z44" i="8" s="1"/>
  <c r="Z44" i="11" s="1" a="1"/>
  <c r="Z44" i="11" s="1"/>
  <c r="Z45" i="8" a="1"/>
  <c r="Z45" i="8" s="1"/>
  <c r="Z45" i="11" s="1" a="1"/>
  <c r="Z45" i="11" s="1"/>
  <c r="Z46" i="8" a="1"/>
  <c r="Z46" i="8" s="1"/>
  <c r="Z46" i="11" s="1" a="1"/>
  <c r="Z46" i="11" s="1"/>
  <c r="Z47" i="8" a="1"/>
  <c r="Z47" i="8" s="1"/>
  <c r="Z47" i="11" s="1" a="1"/>
  <c r="Z47" i="11" s="1"/>
  <c r="Z48" i="8" a="1"/>
  <c r="Z48" i="8" s="1"/>
  <c r="Z48" i="11" s="1" a="1"/>
  <c r="Z48" i="11" s="1"/>
  <c r="Z49" i="8" a="1"/>
  <c r="Z49" i="8" s="1"/>
  <c r="Z49" i="11" s="1" a="1"/>
  <c r="Z49" i="11" s="1"/>
  <c r="Z50" i="8" a="1"/>
  <c r="Z50" i="8" s="1"/>
  <c r="Z50" i="11" s="1" a="1"/>
  <c r="Z50" i="11" s="1"/>
  <c r="Z51" i="8" a="1"/>
  <c r="Z51" i="8" s="1"/>
  <c r="Z51" i="11" s="1" a="1"/>
  <c r="Z51" i="11" s="1"/>
  <c r="Z52" i="8" a="1"/>
  <c r="Z52" i="8" s="1"/>
  <c r="Z52" i="11" s="1" a="1"/>
  <c r="Z52" i="11" s="1"/>
  <c r="Z53" i="8" a="1"/>
  <c r="Z53" i="8" s="1"/>
  <c r="Z53" i="11" s="1" a="1"/>
  <c r="Z53" i="11" s="1"/>
  <c r="Z54" i="8" a="1"/>
  <c r="Z54" i="8" s="1"/>
  <c r="Z54" i="11" s="1" a="1"/>
  <c r="Z54" i="11" s="1"/>
  <c r="Z55" i="8" a="1"/>
  <c r="Z55" i="8" s="1"/>
  <c r="Z55" i="11" s="1" a="1"/>
  <c r="Z55" i="11" s="1"/>
  <c r="Z56" i="8" a="1"/>
  <c r="Z56" i="8" s="1"/>
  <c r="Z56" i="11" s="1" a="1"/>
  <c r="Z56" i="11" s="1"/>
  <c r="Z57" i="8" a="1"/>
  <c r="Z57" i="8" s="1"/>
  <c r="Z57" i="11" s="1" a="1"/>
  <c r="Z57" i="11" s="1"/>
  <c r="Z58" i="8" a="1"/>
  <c r="Z58" i="8" s="1"/>
  <c r="Z58" i="11" s="1" a="1"/>
  <c r="Z58" i="11" s="1"/>
  <c r="Z59" i="8" a="1"/>
  <c r="Z59" i="8" s="1"/>
  <c r="Z59" i="11" s="1" a="1"/>
  <c r="Z59" i="11" s="1"/>
  <c r="Z60" i="8" a="1"/>
  <c r="Z60" i="8" s="1"/>
  <c r="Z60" i="11" s="1" a="1"/>
  <c r="Z60" i="11" s="1"/>
  <c r="Z61" i="8" a="1"/>
  <c r="Z61" i="8" s="1"/>
  <c r="Z61" i="11" s="1" a="1"/>
  <c r="Z61" i="11" s="1"/>
  <c r="Z62" i="8" a="1"/>
  <c r="Z62" i="8" s="1"/>
  <c r="Z62" i="11" s="1" a="1"/>
  <c r="Z62" i="11" s="1"/>
  <c r="Z63" i="8" a="1"/>
  <c r="Z63" i="8" s="1"/>
  <c r="Z63" i="11" s="1" a="1"/>
  <c r="Z63" i="11" s="1"/>
  <c r="Z64" i="8" a="1"/>
  <c r="Z64" i="8" s="1"/>
  <c r="Z64" i="11" s="1" a="1"/>
  <c r="Z64" i="11" s="1"/>
  <c r="Z65" i="8" a="1"/>
  <c r="Z65" i="8" s="1"/>
  <c r="Z65" i="11" s="1" a="1"/>
  <c r="Z65" i="11" s="1"/>
  <c r="Z66" i="8" a="1"/>
  <c r="Z66" i="8" s="1"/>
  <c r="Z66" i="11" s="1" a="1"/>
  <c r="Z66" i="11" s="1"/>
  <c r="Z67" i="8" a="1"/>
  <c r="Z67" i="8" s="1"/>
  <c r="Z67" i="11" s="1" a="1"/>
  <c r="Z67" i="11" s="1"/>
  <c r="Z68" i="8" a="1"/>
  <c r="Z68" i="8" s="1"/>
  <c r="Z68" i="11" s="1" a="1"/>
  <c r="Z68" i="11" s="1"/>
  <c r="Z69" i="8" a="1"/>
  <c r="Z69" i="8" s="1"/>
  <c r="Z69" i="11" s="1" a="1"/>
  <c r="Z69" i="11" s="1"/>
  <c r="Z70" i="8" a="1"/>
  <c r="Z70" i="8" s="1"/>
  <c r="Z70" i="11" s="1" a="1"/>
  <c r="Z70" i="11" s="1"/>
  <c r="Z71" i="8" a="1"/>
  <c r="Z71" i="8" s="1"/>
  <c r="Z71" i="11" s="1" a="1"/>
  <c r="Z71" i="11" s="1"/>
  <c r="Z72" i="8" a="1"/>
  <c r="Z72" i="8" s="1"/>
  <c r="Z72" i="11" s="1" a="1"/>
  <c r="Z72" i="11" s="1"/>
  <c r="Z73" i="8" a="1"/>
  <c r="Z73" i="8" s="1"/>
  <c r="Z73" i="11" s="1" a="1"/>
  <c r="Z73" i="11" s="1"/>
  <c r="Z74" i="8" a="1"/>
  <c r="Z74" i="8" s="1"/>
  <c r="Z74" i="11" s="1" a="1"/>
  <c r="Z74" i="11" s="1"/>
  <c r="Z75" i="8" a="1"/>
  <c r="Z75" i="8" s="1"/>
  <c r="Z75" i="11" s="1" a="1"/>
  <c r="Z75" i="11" s="1"/>
  <c r="Z76" i="8" a="1"/>
  <c r="Z76" i="8" s="1"/>
  <c r="Z76" i="11" s="1" a="1"/>
  <c r="Z76" i="11" s="1"/>
  <c r="Z77" i="8" a="1"/>
  <c r="Z77" i="8" s="1"/>
  <c r="Z77" i="11" s="1" a="1"/>
  <c r="Z77" i="11" s="1"/>
  <c r="Z78" i="8" a="1"/>
  <c r="Z78" i="8" s="1"/>
  <c r="Z78" i="11" s="1" a="1"/>
  <c r="Z78" i="11" s="1"/>
  <c r="Z79" i="8" a="1"/>
  <c r="Z79" i="8" s="1"/>
  <c r="Z79" i="11" s="1" a="1"/>
  <c r="Z79" i="11" s="1"/>
  <c r="Z80" i="8" a="1"/>
  <c r="Z80" i="8" s="1"/>
  <c r="Z80" i="11" s="1" a="1"/>
  <c r="Z80" i="11" s="1"/>
  <c r="Z81" i="8" a="1"/>
  <c r="Z81" i="8" s="1"/>
  <c r="Z81" i="11" s="1" a="1"/>
  <c r="Z81" i="11" s="1"/>
  <c r="Z82" i="8" a="1"/>
  <c r="Z82" i="8" s="1"/>
  <c r="Z82" i="11" s="1" a="1"/>
  <c r="Z82" i="11" s="1"/>
  <c r="Z83" i="8" a="1"/>
  <c r="Z83" i="8" s="1"/>
  <c r="Z83" i="11" s="1" a="1"/>
  <c r="Z83" i="11" s="1"/>
  <c r="Z84" i="8" a="1"/>
  <c r="Z84" i="8" s="1"/>
  <c r="Z84" i="11" s="1" a="1"/>
  <c r="Z84" i="11" s="1"/>
  <c r="Z85" i="8" a="1"/>
  <c r="Z85" i="8" s="1"/>
  <c r="Z85" i="11" s="1" a="1"/>
  <c r="Z85" i="11" s="1"/>
  <c r="Z86" i="8" a="1"/>
  <c r="Z86" i="8" s="1"/>
  <c r="Z86" i="11" s="1" a="1"/>
  <c r="Z86" i="11" s="1"/>
  <c r="Z87" i="8" a="1"/>
  <c r="Z87" i="8" s="1"/>
  <c r="Z87" i="11" s="1" a="1"/>
  <c r="Z87" i="11" s="1"/>
  <c r="Z88" i="8" a="1"/>
  <c r="Z88" i="8" s="1"/>
  <c r="Z88" i="11" s="1" a="1"/>
  <c r="Z88" i="11" s="1"/>
  <c r="Z89" i="8" a="1"/>
  <c r="Z89" i="8" s="1"/>
  <c r="Z89" i="11" s="1" a="1"/>
  <c r="Z89" i="11" s="1"/>
  <c r="Z90" i="8" a="1"/>
  <c r="Z90" i="8" s="1"/>
  <c r="Z90" i="11" s="1" a="1"/>
  <c r="Z90" i="11" s="1"/>
  <c r="Z91" i="8" a="1"/>
  <c r="Z91" i="8" s="1"/>
  <c r="Z91" i="11" s="1" a="1"/>
  <c r="Z91" i="11" s="1"/>
  <c r="Z92" i="8" a="1"/>
  <c r="Z92" i="8" s="1"/>
  <c r="Z92" i="11" s="1" a="1"/>
  <c r="Z92" i="11" s="1"/>
  <c r="Z93" i="8" a="1"/>
  <c r="Z93" i="8" s="1"/>
  <c r="Z93" i="11" s="1" a="1"/>
  <c r="Z93" i="11" s="1"/>
  <c r="Z94" i="8" a="1"/>
  <c r="Z94" i="8" s="1"/>
  <c r="Z94" i="11" s="1" a="1"/>
  <c r="Z94" i="11" s="1"/>
  <c r="Z95" i="8" a="1"/>
  <c r="Z95" i="8" s="1"/>
  <c r="Z95" i="11" s="1" a="1"/>
  <c r="Z95" i="11" s="1"/>
  <c r="Z96" i="8" a="1"/>
  <c r="Z96" i="8" s="1"/>
  <c r="Z96" i="11" s="1" a="1"/>
  <c r="Z96" i="11" s="1"/>
  <c r="Z97" i="8" a="1"/>
  <c r="Z97" i="8" s="1"/>
  <c r="Z97" i="11" s="1" a="1"/>
  <c r="Z97" i="11" s="1"/>
  <c r="Z98" i="8" a="1"/>
  <c r="Z98" i="8" s="1"/>
  <c r="Z98" i="11" s="1" a="1"/>
  <c r="Z98" i="11" s="1"/>
  <c r="Z99" i="8" a="1"/>
  <c r="Z99" i="8" s="1"/>
  <c r="Z99" i="11" s="1" a="1"/>
  <c r="Z99" i="11" s="1"/>
  <c r="Z100" i="8" a="1"/>
  <c r="Z100" i="8" s="1"/>
  <c r="Z100" i="11" s="1" a="1"/>
  <c r="Z100" i="11" s="1"/>
  <c r="Z101" i="8" a="1"/>
  <c r="Z101" i="8" s="1"/>
  <c r="Z101" i="11" s="1" a="1"/>
  <c r="Z101" i="11" s="1"/>
  <c r="Z102" i="8" a="1"/>
  <c r="Z102" i="8" s="1"/>
  <c r="Z102" i="11" s="1" a="1"/>
  <c r="Z102" i="11" s="1"/>
  <c r="Z103" i="8" a="1"/>
  <c r="Z103" i="8" s="1"/>
  <c r="Z103" i="11" s="1" a="1"/>
  <c r="Z103" i="11" s="1"/>
  <c r="Z104" i="8" a="1"/>
  <c r="Z104" i="8" s="1"/>
  <c r="Z104" i="11" s="1" a="1"/>
  <c r="Z104" i="11" s="1"/>
  <c r="Z105" i="8" a="1"/>
  <c r="Z105" i="8" s="1"/>
  <c r="Z105" i="11" s="1" a="1"/>
  <c r="Z105" i="11" s="1"/>
  <c r="Z106" i="8" a="1"/>
  <c r="Z106" i="8" s="1"/>
  <c r="Z106" i="11" s="1" a="1"/>
  <c r="Z106" i="11" s="1"/>
  <c r="Z107" i="8" a="1"/>
  <c r="Z107" i="8" s="1"/>
  <c r="Z107" i="11" s="1" a="1"/>
  <c r="Z107" i="11" s="1"/>
  <c r="Z108" i="8" a="1"/>
  <c r="Z108" i="8" s="1"/>
  <c r="Z108" i="11" s="1" a="1"/>
  <c r="Z108" i="11" s="1"/>
  <c r="Z109" i="8" a="1"/>
  <c r="Z109" i="8" s="1"/>
  <c r="Z109" i="11" s="1" a="1"/>
  <c r="Z109" i="11" s="1"/>
  <c r="Z110" i="8" a="1"/>
  <c r="Z110" i="8" s="1"/>
  <c r="Z110" i="11" s="1" a="1"/>
  <c r="Z110" i="11" s="1"/>
  <c r="Z111" i="8" a="1"/>
  <c r="Z111" i="8" s="1"/>
  <c r="Z111" i="11" s="1" a="1"/>
  <c r="Z111" i="11" s="1"/>
  <c r="Z112" i="8" a="1"/>
  <c r="Z112" i="8" s="1"/>
  <c r="Z112" i="11" s="1" a="1"/>
  <c r="Z112" i="11" s="1"/>
  <c r="Z113" i="8" a="1"/>
  <c r="Z113" i="8" s="1"/>
  <c r="Z113" i="11" s="1" a="1"/>
  <c r="Z113" i="11" s="1"/>
  <c r="Z114" i="8" a="1"/>
  <c r="Z114" i="8" s="1"/>
  <c r="Z114" i="11" s="1" a="1"/>
  <c r="Z114" i="11" s="1"/>
  <c r="Z115" i="8" a="1"/>
  <c r="Z115" i="8" s="1"/>
  <c r="Z115" i="11" s="1" a="1"/>
  <c r="Z115" i="11" s="1"/>
  <c r="Z116" i="8" a="1"/>
  <c r="Z116" i="8" s="1"/>
  <c r="Z116" i="11" s="1" a="1"/>
  <c r="Z116" i="11" s="1"/>
  <c r="Z117" i="8" a="1"/>
  <c r="Z117" i="8" s="1"/>
  <c r="Z117" i="11" s="1" a="1"/>
  <c r="Z117" i="11" s="1"/>
  <c r="Z118" i="8" a="1"/>
  <c r="Z118" i="8" s="1"/>
  <c r="Z118" i="11" s="1" a="1"/>
  <c r="Z118" i="11" s="1"/>
  <c r="Z119" i="8" a="1"/>
  <c r="Z119" i="8" s="1"/>
  <c r="Z119" i="11" s="1" a="1"/>
  <c r="Z119" i="11" s="1"/>
  <c r="Z120" i="8" a="1"/>
  <c r="Z120" i="8" s="1"/>
  <c r="Z120" i="11" s="1" a="1"/>
  <c r="Z120" i="11" s="1"/>
  <c r="Z121" i="8" a="1"/>
  <c r="Z121" i="8" s="1"/>
  <c r="Z121" i="11" s="1" a="1"/>
  <c r="Z121" i="11" s="1"/>
  <c r="Z122" i="8" a="1"/>
  <c r="Z122" i="8" s="1"/>
  <c r="Z122" i="11" s="1" a="1"/>
  <c r="Z122" i="11" s="1"/>
  <c r="Z123" i="8" a="1"/>
  <c r="Z123" i="8" s="1"/>
  <c r="Z123" i="11" s="1" a="1"/>
  <c r="Z123" i="11" s="1"/>
  <c r="Z124" i="8" a="1"/>
  <c r="Z124" i="8" s="1"/>
  <c r="Z124" i="11" s="1" a="1"/>
  <c r="Z124" i="11" s="1"/>
  <c r="Z125" i="8" a="1"/>
  <c r="Z125" i="8" s="1"/>
  <c r="Z125" i="11" s="1" a="1"/>
  <c r="Z125" i="11" s="1"/>
  <c r="Z126" i="8" a="1"/>
  <c r="Z126" i="8" s="1"/>
  <c r="Z126" i="11" s="1" a="1"/>
  <c r="Z126" i="11" s="1"/>
  <c r="Z127" i="8" a="1"/>
  <c r="Z127" i="8" s="1"/>
  <c r="Z127" i="11" s="1" a="1"/>
  <c r="Z127" i="11" s="1"/>
  <c r="Z128" i="8" a="1"/>
  <c r="Z128" i="8" s="1"/>
  <c r="Z128" i="11" s="1" a="1"/>
  <c r="Z128" i="11" s="1"/>
  <c r="Z129" i="8" a="1"/>
  <c r="Z129" i="8" s="1"/>
  <c r="Z129" i="11" s="1" a="1"/>
  <c r="Z129" i="11" s="1"/>
  <c r="Z130" i="8" a="1"/>
  <c r="Z130" i="8" s="1"/>
  <c r="Z130" i="11" s="1" a="1"/>
  <c r="Z130" i="11" s="1"/>
  <c r="Z131" i="8" a="1"/>
  <c r="Z131" i="8" s="1"/>
  <c r="Z131" i="11" s="1" a="1"/>
  <c r="Z131" i="11" s="1"/>
  <c r="Z132" i="8" a="1"/>
  <c r="Z132" i="8" s="1"/>
  <c r="Z132" i="11" s="1" a="1"/>
  <c r="Z132" i="11" s="1"/>
  <c r="Z133" i="8" a="1"/>
  <c r="Z133" i="8" s="1"/>
  <c r="Z133" i="11" s="1" a="1"/>
  <c r="Z133" i="11" s="1"/>
  <c r="Z134" i="8" a="1"/>
  <c r="Z134" i="8" s="1"/>
  <c r="Z134" i="11" s="1" a="1"/>
  <c r="Z134" i="11" s="1"/>
  <c r="Z135" i="8" a="1"/>
  <c r="Z135" i="8" s="1"/>
  <c r="Z135" i="11" s="1" a="1"/>
  <c r="Z135" i="11" s="1"/>
  <c r="Z136" i="8" a="1"/>
  <c r="Z136" i="8" s="1"/>
  <c r="Z136" i="11" s="1" a="1"/>
  <c r="Z136" i="11" s="1"/>
  <c r="Z137" i="8" a="1"/>
  <c r="Z137" i="8" s="1"/>
  <c r="Z137" i="11" s="1" a="1"/>
  <c r="Z137" i="11" s="1"/>
  <c r="Z138" i="8" a="1"/>
  <c r="Z138" i="8" s="1"/>
  <c r="Z138" i="11" s="1" a="1"/>
  <c r="Z138" i="11" s="1"/>
  <c r="Z139" i="8" a="1"/>
  <c r="Z139" i="8" s="1"/>
  <c r="Z139" i="11" s="1" a="1"/>
  <c r="Z139" i="11" s="1"/>
  <c r="Z140" i="8" a="1"/>
  <c r="Z140" i="8" s="1"/>
  <c r="Z140" i="11" s="1" a="1"/>
  <c r="Z140" i="11" s="1"/>
  <c r="Z141" i="8" a="1"/>
  <c r="Z141" i="8" s="1"/>
  <c r="Z141" i="11" s="1" a="1"/>
  <c r="Z141" i="11" s="1"/>
  <c r="Z142" i="8" a="1"/>
  <c r="Z142" i="8" s="1"/>
  <c r="Z142" i="11" s="1" a="1"/>
  <c r="Z142" i="11" s="1"/>
  <c r="Z143" i="8" a="1"/>
  <c r="Z143" i="8" s="1"/>
  <c r="Z143" i="11" s="1" a="1"/>
  <c r="Z143" i="11" s="1"/>
  <c r="Z144" i="8" a="1"/>
  <c r="Z144" i="8" s="1"/>
  <c r="Z144" i="11" s="1" a="1"/>
  <c r="Z144" i="11" s="1"/>
  <c r="Z145" i="8" a="1"/>
  <c r="Z145" i="8" s="1"/>
  <c r="Z145" i="11" s="1" a="1"/>
  <c r="Z145" i="11" s="1"/>
  <c r="Z146" i="8" a="1"/>
  <c r="Z146" i="8" s="1"/>
  <c r="Z146" i="11" s="1" a="1"/>
  <c r="Z146" i="11" s="1"/>
  <c r="Z147" i="8" a="1"/>
  <c r="Z147" i="8" s="1"/>
  <c r="Z147" i="11" s="1" a="1"/>
  <c r="Z147" i="11" s="1"/>
  <c r="Z148" i="8" a="1"/>
  <c r="Z148" i="8" s="1"/>
  <c r="Z148" i="11" s="1" a="1"/>
  <c r="Z148" i="11" s="1"/>
  <c r="Z149" i="8" a="1"/>
  <c r="Z149" i="8" s="1"/>
  <c r="Z149" i="11" s="1" a="1"/>
  <c r="Z149" i="11" s="1"/>
  <c r="Z150" i="8" a="1"/>
  <c r="Z150" i="8" s="1"/>
  <c r="Z150" i="11" s="1" a="1"/>
  <c r="Z150" i="11" s="1"/>
  <c r="Z151" i="8" a="1"/>
  <c r="Z151" i="8" s="1"/>
  <c r="Z151" i="11" s="1" a="1"/>
  <c r="Z151" i="11" s="1"/>
  <c r="Z152" i="8" a="1"/>
  <c r="Z152" i="8" s="1"/>
  <c r="Z152" i="11" s="1" a="1"/>
  <c r="Z152" i="11" s="1"/>
  <c r="Z153" i="8" a="1"/>
  <c r="Z153" i="8" s="1"/>
  <c r="Z153" i="11" s="1" a="1"/>
  <c r="Z153" i="11" s="1"/>
  <c r="Z154" i="8" a="1"/>
  <c r="Z154" i="8" s="1"/>
  <c r="Z154" i="11" s="1" a="1"/>
  <c r="Z154" i="11" s="1"/>
  <c r="Z155" i="8" a="1"/>
  <c r="Z155" i="8" s="1"/>
  <c r="Z155" i="11" s="1" a="1"/>
  <c r="Z155" i="11" s="1"/>
  <c r="Z156" i="8" a="1"/>
  <c r="Z156" i="8" s="1"/>
  <c r="Z156" i="11" s="1" a="1"/>
  <c r="Z156" i="11" s="1"/>
  <c r="Z157" i="8" a="1"/>
  <c r="Z157" i="8" s="1"/>
  <c r="Z157" i="11" s="1" a="1"/>
  <c r="Z157" i="11" s="1"/>
  <c r="Z158" i="8" a="1"/>
  <c r="Z158" i="8" s="1"/>
  <c r="Z158" i="11" s="1" a="1"/>
  <c r="Z158" i="11" s="1"/>
  <c r="Z159" i="8" a="1"/>
  <c r="Z159" i="8" s="1"/>
  <c r="Z159" i="11" s="1" a="1"/>
  <c r="Z159" i="11" s="1"/>
  <c r="Z160" i="8" a="1"/>
  <c r="Z160" i="8" s="1"/>
  <c r="Z160" i="11" s="1" a="1"/>
  <c r="Z160" i="11" s="1"/>
  <c r="Z161" i="8" a="1"/>
  <c r="Z161" i="8" s="1"/>
  <c r="Z161" i="11" s="1" a="1"/>
  <c r="Z161" i="11" s="1"/>
  <c r="Z162" i="8" a="1"/>
  <c r="Z162" i="8" s="1"/>
  <c r="Z162" i="11" s="1" a="1"/>
  <c r="Z162" i="11" s="1"/>
  <c r="Z163" i="8" a="1"/>
  <c r="Z163" i="8" s="1"/>
  <c r="Z163" i="11" s="1" a="1"/>
  <c r="Z163" i="11" s="1"/>
  <c r="Z164" i="8" a="1"/>
  <c r="Z164" i="8" s="1"/>
  <c r="Z164" i="11" s="1" a="1"/>
  <c r="Z164" i="11" s="1"/>
  <c r="Z165" i="8" a="1"/>
  <c r="Z165" i="8" s="1"/>
  <c r="Z165" i="11" s="1" a="1"/>
  <c r="Z165" i="11" s="1"/>
  <c r="Z166" i="8" a="1"/>
  <c r="Z166" i="8" s="1"/>
  <c r="Z166" i="11" s="1" a="1"/>
  <c r="Z166" i="11" s="1"/>
  <c r="Z167" i="8" a="1"/>
  <c r="Z167" i="8" s="1"/>
  <c r="Z167" i="11" s="1" a="1"/>
  <c r="Z167" i="11" s="1"/>
  <c r="Z168" i="8" a="1"/>
  <c r="Z168" i="8" s="1"/>
  <c r="Z168" i="11" s="1" a="1"/>
  <c r="Z168" i="11" s="1"/>
  <c r="Z169" i="8" a="1"/>
  <c r="Z169" i="8" s="1"/>
  <c r="Z169" i="11" s="1" a="1"/>
  <c r="Z169" i="11" s="1"/>
  <c r="Z170" i="8" a="1"/>
  <c r="Z170" i="8" s="1"/>
  <c r="Z170" i="11" s="1" a="1"/>
  <c r="Z170" i="11" s="1"/>
  <c r="Z171" i="8" a="1"/>
  <c r="Z171" i="8" s="1"/>
  <c r="Z171" i="11" s="1" a="1"/>
  <c r="Z171" i="11" s="1"/>
  <c r="Z172" i="8" a="1"/>
  <c r="Z172" i="8" s="1"/>
  <c r="Z172" i="11" s="1" a="1"/>
  <c r="Z172" i="11" s="1"/>
  <c r="Z173" i="8" a="1"/>
  <c r="Z173" i="8" s="1"/>
  <c r="Z173" i="11" s="1" a="1"/>
  <c r="Z173" i="11" s="1"/>
  <c r="Z174" i="8" a="1"/>
  <c r="Z174" i="8" s="1"/>
  <c r="Z174" i="11" s="1" a="1"/>
  <c r="Z174" i="11" s="1"/>
  <c r="Z175" i="8" a="1"/>
  <c r="Z175" i="8" s="1"/>
  <c r="Z175" i="11" s="1" a="1"/>
  <c r="Z175" i="11" s="1"/>
  <c r="Z176" i="8" a="1"/>
  <c r="Z176" i="8" s="1"/>
  <c r="Z176" i="11" s="1" a="1"/>
  <c r="Z176" i="11" s="1"/>
  <c r="Z177" i="8" a="1"/>
  <c r="Z177" i="8" s="1"/>
  <c r="Z177" i="11" s="1" a="1"/>
  <c r="Z177" i="11" s="1"/>
  <c r="Z178" i="8" a="1"/>
  <c r="Z178" i="8" s="1"/>
  <c r="Z178" i="11" s="1" a="1"/>
  <c r="Z178" i="11" s="1"/>
  <c r="Z179" i="8" a="1"/>
  <c r="Z179" i="8" s="1"/>
  <c r="Z179" i="11" s="1" a="1"/>
  <c r="Z179" i="11" s="1"/>
  <c r="Z180" i="8" a="1"/>
  <c r="Z180" i="8" s="1"/>
  <c r="Z180" i="11" s="1" a="1"/>
  <c r="Z180" i="11" s="1"/>
  <c r="Z181" i="8" a="1"/>
  <c r="Z181" i="8" s="1"/>
  <c r="Z181" i="11" s="1" a="1"/>
  <c r="Z181" i="11" s="1"/>
  <c r="Z182" i="8" a="1"/>
  <c r="Z182" i="8" s="1"/>
  <c r="Z182" i="11" s="1" a="1"/>
  <c r="Z182" i="11" s="1"/>
  <c r="Z183" i="8" a="1"/>
  <c r="Z183" i="8" s="1"/>
  <c r="Z183" i="11" s="1" a="1"/>
  <c r="Z183" i="11" s="1"/>
  <c r="Z184" i="8" a="1"/>
  <c r="Z184" i="8" s="1"/>
  <c r="Z184" i="11" s="1" a="1"/>
  <c r="Z184" i="11" s="1"/>
  <c r="Z185" i="8" a="1"/>
  <c r="Z185" i="8" s="1"/>
  <c r="Z185" i="11" s="1" a="1"/>
  <c r="Z185" i="11" s="1"/>
  <c r="Z186" i="8" a="1"/>
  <c r="Z186" i="8" s="1"/>
  <c r="Z186" i="11" s="1" a="1"/>
  <c r="Z186" i="11" s="1"/>
  <c r="Z187" i="8" a="1"/>
  <c r="Z187" i="8" s="1"/>
  <c r="Z187" i="11" s="1" a="1"/>
  <c r="Z187" i="11" s="1"/>
  <c r="Z188" i="8" a="1"/>
  <c r="Z188" i="8" s="1"/>
  <c r="Z188" i="11" s="1" a="1"/>
  <c r="Z188" i="11" s="1"/>
  <c r="Z189" i="8" a="1"/>
  <c r="Z189" i="8" s="1"/>
  <c r="Z189" i="11" s="1" a="1"/>
  <c r="Z189" i="11" s="1"/>
  <c r="Z190" i="8" a="1"/>
  <c r="Z190" i="8" s="1"/>
  <c r="Z190" i="11" s="1" a="1"/>
  <c r="Z190" i="11" s="1"/>
  <c r="Z191" i="8" a="1"/>
  <c r="Z191" i="8" s="1"/>
  <c r="Z191" i="11" s="1" a="1"/>
  <c r="Z191" i="11" s="1"/>
  <c r="Z192" i="8" a="1"/>
  <c r="Z192" i="8" s="1"/>
  <c r="Z192" i="11" s="1" a="1"/>
  <c r="Z192" i="11" s="1"/>
  <c r="Z193" i="8" a="1"/>
  <c r="Z193" i="8" s="1"/>
  <c r="Z193" i="11" s="1" a="1"/>
  <c r="Z193" i="11" s="1"/>
  <c r="Z194" i="8" a="1"/>
  <c r="Z194" i="8" s="1"/>
  <c r="Z194" i="11" s="1" a="1"/>
  <c r="Z194" i="11" s="1"/>
  <c r="Z195" i="8" a="1"/>
  <c r="Z195" i="8" s="1"/>
  <c r="Z195" i="11" s="1" a="1"/>
  <c r="Z195" i="11" s="1"/>
  <c r="Z196" i="8" a="1"/>
  <c r="Z196" i="8" s="1"/>
  <c r="Z196" i="11" s="1" a="1"/>
  <c r="Z196" i="11" s="1"/>
  <c r="Z197" i="8" a="1"/>
  <c r="Z197" i="8" s="1"/>
  <c r="Z197" i="11" s="1" a="1"/>
  <c r="Z197" i="11" s="1"/>
  <c r="Z198" i="8" a="1"/>
  <c r="Z198" i="8" s="1"/>
  <c r="Z198" i="11" s="1" a="1"/>
  <c r="Z198" i="11" s="1"/>
  <c r="Z199" i="8" a="1"/>
  <c r="Z199" i="8" s="1"/>
  <c r="Z199" i="11" s="1" a="1"/>
  <c r="Z199" i="11" s="1"/>
  <c r="Z200" i="8" a="1"/>
  <c r="Z200" i="8" s="1"/>
  <c r="Z200" i="11" s="1" a="1"/>
  <c r="Z200" i="11" s="1"/>
  <c r="Z201" i="8" a="1"/>
  <c r="Z201" i="8" s="1"/>
  <c r="Z201" i="11" s="1" a="1"/>
  <c r="Z201" i="11" s="1"/>
  <c r="Z202" i="8" a="1"/>
  <c r="Z202" i="8" s="1"/>
  <c r="Z202" i="11" s="1" a="1"/>
  <c r="Z202" i="11" s="1"/>
  <c r="Z203" i="8" a="1"/>
  <c r="Z203" i="8" s="1"/>
  <c r="Z203" i="11" s="1" a="1"/>
  <c r="Z203" i="11" s="1"/>
  <c r="Z204" i="8" a="1"/>
  <c r="Z204" i="8" s="1"/>
  <c r="Z204" i="11" s="1" a="1"/>
  <c r="Z204" i="11" s="1"/>
  <c r="Z205" i="8" a="1"/>
  <c r="Z205" i="8" s="1"/>
  <c r="Z205" i="11" s="1" a="1"/>
  <c r="Z205" i="11" s="1"/>
  <c r="Z206" i="8" a="1"/>
  <c r="Z206" i="8" s="1"/>
  <c r="Z206" i="11" s="1" a="1"/>
  <c r="Z206" i="11" s="1"/>
  <c r="Z207" i="8" a="1"/>
  <c r="Z207" i="8" s="1"/>
  <c r="Z207" i="11" s="1" a="1"/>
  <c r="Z207" i="11" s="1"/>
  <c r="Z208" i="8" a="1"/>
  <c r="Z208" i="8" s="1"/>
  <c r="Z208" i="11" s="1" a="1"/>
  <c r="Z208" i="11" s="1"/>
  <c r="Z209" i="8" a="1"/>
  <c r="Z209" i="8" s="1"/>
  <c r="Z209" i="11" s="1" a="1"/>
  <c r="Z209" i="11" s="1"/>
  <c r="Z210" i="8" a="1"/>
  <c r="Z210" i="8" s="1"/>
  <c r="Z210" i="11" s="1" a="1"/>
  <c r="Z210" i="11" s="1"/>
  <c r="Z211" i="8" a="1"/>
  <c r="Z211" i="8" s="1"/>
  <c r="Z211" i="11" s="1" a="1"/>
  <c r="Z211" i="11" s="1"/>
  <c r="Z212" i="8" a="1"/>
  <c r="Z212" i="8" s="1"/>
  <c r="Z212" i="11" s="1" a="1"/>
  <c r="Z212" i="11" s="1"/>
  <c r="Z213" i="8" a="1"/>
  <c r="Z213" i="8" s="1"/>
  <c r="Z213" i="11" s="1" a="1"/>
  <c r="Z213" i="11" s="1"/>
  <c r="Z214" i="8" a="1"/>
  <c r="Z214" i="8" s="1"/>
  <c r="Z214" i="11" s="1" a="1"/>
  <c r="Z214" i="11" s="1"/>
  <c r="Z215" i="8" a="1"/>
  <c r="Z215" i="8" s="1"/>
  <c r="Z215" i="11" s="1" a="1"/>
  <c r="Z215" i="11" s="1"/>
  <c r="Z216" i="8" a="1"/>
  <c r="Z216" i="8" s="1"/>
  <c r="Z216" i="11" s="1" a="1"/>
  <c r="Z216" i="11" s="1"/>
  <c r="Z217" i="8" a="1"/>
  <c r="Z217" i="8" s="1"/>
  <c r="Z217" i="11" s="1" a="1"/>
  <c r="Z217" i="11" s="1"/>
  <c r="Z218" i="8" a="1"/>
  <c r="Z218" i="8" s="1"/>
  <c r="Z218" i="11" s="1" a="1"/>
  <c r="Z218" i="11" s="1"/>
  <c r="Z219" i="8" a="1"/>
  <c r="Z219" i="8" s="1"/>
  <c r="Z219" i="11" s="1" a="1"/>
  <c r="Z219" i="11" s="1"/>
  <c r="Z220" i="8" a="1"/>
  <c r="Z220" i="8" s="1"/>
  <c r="Z220" i="11" s="1" a="1"/>
  <c r="Z220" i="11" s="1"/>
  <c r="Z221" i="8" a="1"/>
  <c r="Z221" i="8" s="1"/>
  <c r="Z221" i="11" s="1" a="1"/>
  <c r="Z221" i="11" s="1"/>
  <c r="Z222" i="8" a="1"/>
  <c r="Z222" i="8" s="1"/>
  <c r="Z222" i="11" s="1" a="1"/>
  <c r="Z222" i="11" s="1"/>
  <c r="Z223" i="8" a="1"/>
  <c r="Z223" i="8" s="1"/>
  <c r="Z223" i="11" s="1" a="1"/>
  <c r="Z223" i="11" s="1"/>
  <c r="Z224" i="8" a="1"/>
  <c r="Z224" i="8" s="1"/>
  <c r="Z224" i="11" s="1" a="1"/>
  <c r="Z224" i="11" s="1"/>
  <c r="Z225" i="8" a="1"/>
  <c r="Z225" i="8" s="1"/>
  <c r="Z225" i="11" s="1" a="1"/>
  <c r="Z225" i="11" s="1"/>
  <c r="Z226" i="8" a="1"/>
  <c r="Z226" i="8" s="1"/>
  <c r="Z226" i="11" s="1" a="1"/>
  <c r="Z226" i="11" s="1"/>
  <c r="Z227" i="8" a="1"/>
  <c r="Z227" i="8" s="1"/>
  <c r="Z227" i="11" s="1" a="1"/>
  <c r="Z227" i="11" s="1"/>
  <c r="Z228" i="8" a="1"/>
  <c r="Z228" i="8" s="1"/>
  <c r="Z228" i="11" s="1" a="1"/>
  <c r="Z228" i="11" s="1"/>
  <c r="Z229" i="8" a="1"/>
  <c r="Z229" i="8" s="1"/>
  <c r="Z229" i="11" s="1" a="1"/>
  <c r="Z229" i="11" s="1"/>
  <c r="Z230" i="8" a="1"/>
  <c r="Z230" i="8" s="1"/>
  <c r="Z230" i="11" s="1" a="1"/>
  <c r="Z230" i="11" s="1"/>
  <c r="Z231" i="8" a="1"/>
  <c r="Z231" i="8" s="1"/>
  <c r="Z231" i="11" s="1" a="1"/>
  <c r="Z231" i="11" s="1"/>
  <c r="Z232" i="8" a="1"/>
  <c r="Z232" i="8" s="1"/>
  <c r="Z232" i="11" s="1" a="1"/>
  <c r="Z232" i="11" s="1"/>
  <c r="Z233" i="8" a="1"/>
  <c r="Z233" i="8" s="1"/>
  <c r="Z233" i="11" s="1" a="1"/>
  <c r="Z233" i="11" s="1"/>
  <c r="Z234" i="8" a="1"/>
  <c r="Z234" i="8" s="1"/>
  <c r="Z234" i="11" s="1" a="1"/>
  <c r="Z234" i="11" s="1"/>
  <c r="Z235" i="8" a="1"/>
  <c r="Z235" i="8" s="1"/>
  <c r="Z235" i="11" s="1" a="1"/>
  <c r="Z235" i="11" s="1"/>
  <c r="Z236" i="8" a="1"/>
  <c r="Z236" i="8" s="1"/>
  <c r="Z236" i="11" s="1" a="1"/>
  <c r="Z236" i="11" s="1"/>
  <c r="Z237" i="8" a="1"/>
  <c r="Z237" i="8" s="1"/>
  <c r="Z237" i="11" s="1" a="1"/>
  <c r="Z237" i="11" s="1"/>
  <c r="Z238" i="8" a="1"/>
  <c r="Z238" i="8" s="1"/>
  <c r="Z238" i="11" s="1" a="1"/>
  <c r="Z238" i="11" s="1"/>
  <c r="Z239" i="8" a="1"/>
  <c r="Z239" i="8" s="1"/>
  <c r="Z239" i="11" s="1" a="1"/>
  <c r="Z239" i="11" s="1"/>
  <c r="Z240" i="8" a="1"/>
  <c r="Z240" i="8" s="1"/>
  <c r="Z240" i="11" s="1" a="1"/>
  <c r="Z240" i="11" s="1"/>
  <c r="Z241" i="8" a="1"/>
  <c r="Z241" i="8" s="1"/>
  <c r="Z241" i="11" s="1" a="1"/>
  <c r="Z241" i="11" s="1"/>
  <c r="Z242" i="8" a="1"/>
  <c r="Z242" i="8" s="1"/>
  <c r="Z242" i="11" s="1" a="1"/>
  <c r="Z242" i="11" s="1"/>
  <c r="Z243" i="8" a="1"/>
  <c r="Z243" i="8" s="1"/>
  <c r="Z243" i="11" s="1" a="1"/>
  <c r="Z243" i="11" s="1"/>
  <c r="Z244" i="8" a="1"/>
  <c r="Z244" i="8" s="1"/>
  <c r="Z244" i="11" s="1" a="1"/>
  <c r="Z244" i="11" s="1"/>
  <c r="Z245" i="8" a="1"/>
  <c r="Z245" i="8" s="1"/>
  <c r="Z245" i="11" s="1" a="1"/>
  <c r="Z245" i="11" s="1"/>
  <c r="Z246" i="8" a="1"/>
  <c r="Z246" i="8" s="1"/>
  <c r="Z246" i="11" s="1" a="1"/>
  <c r="Z246" i="11" s="1"/>
  <c r="Z247" i="8" a="1"/>
  <c r="Z247" i="8" s="1"/>
  <c r="Z247" i="11" s="1" a="1"/>
  <c r="Z247" i="11" s="1"/>
  <c r="Z248" i="8" a="1"/>
  <c r="Z248" i="8" s="1"/>
  <c r="Z248" i="11" s="1" a="1"/>
  <c r="Z248" i="11" s="1"/>
  <c r="Z249" i="8" a="1"/>
  <c r="Z249" i="8" s="1"/>
  <c r="Z249" i="11" s="1" a="1"/>
  <c r="Z249" i="11" s="1"/>
  <c r="Z250" i="8" a="1"/>
  <c r="Z250" i="8" s="1"/>
  <c r="Z250" i="11" s="1" a="1"/>
  <c r="Z250" i="11" s="1"/>
  <c r="Y12" i="8" a="1"/>
  <c r="Y12" i="8" s="1"/>
  <c r="Y13" i="8" a="1"/>
  <c r="Y13" i="8" s="1"/>
  <c r="Y14" i="8" a="1"/>
  <c r="Y14" i="8" s="1"/>
  <c r="Y15" i="8" a="1"/>
  <c r="Y15" i="8" s="1"/>
  <c r="Y16" i="8" a="1"/>
  <c r="Y16" i="8" s="1"/>
  <c r="Y17" i="8" a="1"/>
  <c r="Y17" i="8" s="1"/>
  <c r="Y18" i="8" a="1"/>
  <c r="Y18" i="8" s="1"/>
  <c r="Y19" i="8" a="1"/>
  <c r="Y19" i="8" s="1"/>
  <c r="Y20" i="8" a="1"/>
  <c r="Y20" i="8" s="1"/>
  <c r="Y21" i="8" a="1"/>
  <c r="Y21" i="8" s="1"/>
  <c r="Y22" i="8" a="1"/>
  <c r="Y22" i="8" s="1"/>
  <c r="Y23" i="8" a="1"/>
  <c r="Y23" i="8" s="1"/>
  <c r="Y24" i="8" a="1"/>
  <c r="Y24" i="8" s="1"/>
  <c r="Y25" i="8" a="1"/>
  <c r="Y25" i="8" s="1"/>
  <c r="Y26" i="8" a="1"/>
  <c r="Y26" i="8" s="1"/>
  <c r="Y27" i="8" a="1"/>
  <c r="Y27" i="8" s="1"/>
  <c r="Y28" i="8" a="1"/>
  <c r="Y28" i="8" s="1"/>
  <c r="Y29" i="8" a="1"/>
  <c r="Y29" i="8" s="1"/>
  <c r="Y30" i="8" a="1"/>
  <c r="Y30" i="8" s="1"/>
  <c r="Y31" i="8" a="1"/>
  <c r="Y31" i="8" s="1"/>
  <c r="Y32" i="8" a="1"/>
  <c r="Y32" i="8" s="1"/>
  <c r="Y33" i="8" a="1"/>
  <c r="Y33" i="8" s="1"/>
  <c r="Y34" i="8" a="1"/>
  <c r="Y34" i="8" s="1"/>
  <c r="Y35" i="8" a="1"/>
  <c r="Y35" i="8" s="1"/>
  <c r="Y36" i="8" a="1"/>
  <c r="Y36" i="8" s="1"/>
  <c r="Y37" i="8" a="1"/>
  <c r="Y37" i="8" s="1"/>
  <c r="Y38" i="8" a="1"/>
  <c r="Y38" i="8" s="1"/>
  <c r="Y39" i="8" a="1"/>
  <c r="Y39" i="8" s="1"/>
  <c r="Y40" i="8" a="1"/>
  <c r="Y40" i="8" s="1"/>
  <c r="Y41" i="8" a="1"/>
  <c r="Y41" i="8" s="1"/>
  <c r="Y42" i="8" a="1"/>
  <c r="Y42" i="8" s="1"/>
  <c r="Y43" i="8" a="1"/>
  <c r="Y43" i="8" s="1"/>
  <c r="Y44" i="8" a="1"/>
  <c r="Y44" i="8" s="1"/>
  <c r="Y45" i="8" a="1"/>
  <c r="Y45" i="8" s="1"/>
  <c r="Y46" i="8" a="1"/>
  <c r="Y46" i="8" s="1"/>
  <c r="Y47" i="8" a="1"/>
  <c r="Y47" i="8" s="1"/>
  <c r="Y48" i="8" a="1"/>
  <c r="Y48" i="8" s="1"/>
  <c r="Y49" i="8" a="1"/>
  <c r="Y49" i="8" s="1"/>
  <c r="Y50" i="8" a="1"/>
  <c r="Y50" i="8" s="1"/>
  <c r="Y51" i="8" a="1"/>
  <c r="Y51" i="8" s="1"/>
  <c r="Y52" i="8" a="1"/>
  <c r="Y52" i="8" s="1"/>
  <c r="Y53" i="8" a="1"/>
  <c r="Y53" i="8" s="1"/>
  <c r="Y54" i="8" a="1"/>
  <c r="Y54" i="8" s="1"/>
  <c r="Y55" i="8" a="1"/>
  <c r="Y55" i="8" s="1"/>
  <c r="Y56" i="8" a="1"/>
  <c r="Y56" i="8" s="1"/>
  <c r="Y57" i="8" a="1"/>
  <c r="Y57" i="8" s="1"/>
  <c r="Y58" i="8" a="1"/>
  <c r="Y58" i="8" s="1"/>
  <c r="Y59" i="8" a="1"/>
  <c r="Y59" i="8" s="1"/>
  <c r="Y60" i="8" a="1"/>
  <c r="Y60" i="8" s="1"/>
  <c r="Y61" i="8" a="1"/>
  <c r="Y61" i="8" s="1"/>
  <c r="Y62" i="8" a="1"/>
  <c r="Y62" i="8" s="1"/>
  <c r="Y63" i="8" a="1"/>
  <c r="Y63" i="8" s="1"/>
  <c r="Y64" i="8" a="1"/>
  <c r="Y64" i="8" s="1"/>
  <c r="Y65" i="8" a="1"/>
  <c r="Y65" i="8" s="1"/>
  <c r="Y66" i="8" a="1"/>
  <c r="Y66" i="8" s="1"/>
  <c r="Y67" i="8" a="1"/>
  <c r="Y67" i="8" s="1"/>
  <c r="Y68" i="8" a="1"/>
  <c r="Y68" i="8" s="1"/>
  <c r="Y69" i="8" a="1"/>
  <c r="Y69" i="8" s="1"/>
  <c r="Y70" i="8" a="1"/>
  <c r="Y70" i="8" s="1"/>
  <c r="Y71" i="8" a="1"/>
  <c r="Y71" i="8" s="1"/>
  <c r="Y72" i="8" a="1"/>
  <c r="Y72" i="8" s="1"/>
  <c r="Y73" i="8" a="1"/>
  <c r="Y73" i="8" s="1"/>
  <c r="Y74" i="8" a="1"/>
  <c r="Y74" i="8" s="1"/>
  <c r="Y75" i="8" a="1"/>
  <c r="Y75" i="8" s="1"/>
  <c r="Y76" i="8" a="1"/>
  <c r="Y76" i="8" s="1"/>
  <c r="Y77" i="8" a="1"/>
  <c r="Y77" i="8" s="1"/>
  <c r="Y78" i="8" a="1"/>
  <c r="Y78" i="8" s="1"/>
  <c r="Y79" i="8" a="1"/>
  <c r="Y79" i="8" s="1"/>
  <c r="Y80" i="8" a="1"/>
  <c r="Y80" i="8" s="1"/>
  <c r="Y81" i="8" a="1"/>
  <c r="Y81" i="8" s="1"/>
  <c r="Y82" i="8" a="1"/>
  <c r="Y82" i="8" s="1"/>
  <c r="Y83" i="8" a="1"/>
  <c r="Y83" i="8" s="1"/>
  <c r="Y84" i="8" a="1"/>
  <c r="Y84" i="8" s="1"/>
  <c r="Y85" i="8" a="1"/>
  <c r="Y85" i="8" s="1"/>
  <c r="Y86" i="8" a="1"/>
  <c r="Y86" i="8" s="1"/>
  <c r="Y87" i="8" a="1"/>
  <c r="Y87" i="8" s="1"/>
  <c r="Y88" i="8" a="1"/>
  <c r="Y88" i="8" s="1"/>
  <c r="Y89" i="8" a="1"/>
  <c r="Y89" i="8" s="1"/>
  <c r="Y90" i="8" a="1"/>
  <c r="Y90" i="8" s="1"/>
  <c r="Y91" i="8" a="1"/>
  <c r="Y91" i="8" s="1"/>
  <c r="Y92" i="8" a="1"/>
  <c r="Y92" i="8" s="1"/>
  <c r="Y93" i="8" a="1"/>
  <c r="Y93" i="8" s="1"/>
  <c r="Y94" i="8" a="1"/>
  <c r="Y94" i="8" s="1"/>
  <c r="Y95" i="8" a="1"/>
  <c r="Y95" i="8" s="1"/>
  <c r="Y96" i="8" a="1"/>
  <c r="Y96" i="8" s="1"/>
  <c r="Y97" i="8" a="1"/>
  <c r="Y97" i="8" s="1"/>
  <c r="Y98" i="8" a="1"/>
  <c r="Y98" i="8" s="1"/>
  <c r="Y99" i="8" a="1"/>
  <c r="Y99" i="8" s="1"/>
  <c r="Y100" i="8" a="1"/>
  <c r="Y100" i="8" s="1"/>
  <c r="Y101" i="8" a="1"/>
  <c r="Y101" i="8" s="1"/>
  <c r="Y102" i="8" a="1"/>
  <c r="Y102" i="8" s="1"/>
  <c r="Y103" i="8" a="1"/>
  <c r="Y103" i="8" s="1"/>
  <c r="Y104" i="8" a="1"/>
  <c r="Y104" i="8" s="1"/>
  <c r="Y105" i="8" a="1"/>
  <c r="Y105" i="8" s="1"/>
  <c r="Y106" i="8" a="1"/>
  <c r="Y106" i="8" s="1"/>
  <c r="Y107" i="8" a="1"/>
  <c r="Y107" i="8" s="1"/>
  <c r="Y108" i="8" a="1"/>
  <c r="Y108" i="8" s="1"/>
  <c r="Y109" i="8" a="1"/>
  <c r="Y109" i="8" s="1"/>
  <c r="Y110" i="8" a="1"/>
  <c r="Y110" i="8" s="1"/>
  <c r="Y111" i="8" a="1"/>
  <c r="Y111" i="8" s="1"/>
  <c r="Y112" i="8" a="1"/>
  <c r="Y112" i="8" s="1"/>
  <c r="Y113" i="8" a="1"/>
  <c r="Y113" i="8" s="1"/>
  <c r="Y114" i="8" a="1"/>
  <c r="Y114" i="8" s="1"/>
  <c r="Y115" i="8" a="1"/>
  <c r="Y115" i="8" s="1"/>
  <c r="Y116" i="8" a="1"/>
  <c r="Y116" i="8" s="1"/>
  <c r="Y117" i="8" a="1"/>
  <c r="Y117" i="8" s="1"/>
  <c r="Y118" i="8" a="1"/>
  <c r="Y118" i="8" s="1"/>
  <c r="Y119" i="8" a="1"/>
  <c r="Y119" i="8" s="1"/>
  <c r="Y120" i="8" a="1"/>
  <c r="Y120" i="8" s="1"/>
  <c r="Y121" i="8" a="1"/>
  <c r="Y121" i="8" s="1"/>
  <c r="Y122" i="8" a="1"/>
  <c r="Y122" i="8" s="1"/>
  <c r="Y123" i="8" a="1"/>
  <c r="Y123" i="8" s="1"/>
  <c r="Y124" i="8" a="1"/>
  <c r="Y124" i="8" s="1"/>
  <c r="Y125" i="8" a="1"/>
  <c r="Y125" i="8" s="1"/>
  <c r="Y126" i="8" a="1"/>
  <c r="Y126" i="8" s="1"/>
  <c r="Y127" i="8" a="1"/>
  <c r="Y127" i="8" s="1"/>
  <c r="Y128" i="8" a="1"/>
  <c r="Y128" i="8" s="1"/>
  <c r="Y129" i="8" a="1"/>
  <c r="Y129" i="8" s="1"/>
  <c r="Y130" i="8" a="1"/>
  <c r="Y130" i="8" s="1"/>
  <c r="Y131" i="8" a="1"/>
  <c r="Y131" i="8" s="1"/>
  <c r="Y132" i="8" a="1"/>
  <c r="Y132" i="8" s="1"/>
  <c r="Y133" i="8" a="1"/>
  <c r="Y133" i="8" s="1"/>
  <c r="Y134" i="8" a="1"/>
  <c r="Y134" i="8" s="1"/>
  <c r="Y135" i="8" a="1"/>
  <c r="Y135" i="8" s="1"/>
  <c r="Y136" i="8" a="1"/>
  <c r="Y136" i="8" s="1"/>
  <c r="Y137" i="8" a="1"/>
  <c r="Y137" i="8" s="1"/>
  <c r="Y138" i="8" a="1"/>
  <c r="Y138" i="8" s="1"/>
  <c r="Y139" i="8" a="1"/>
  <c r="Y139" i="8" s="1"/>
  <c r="Y140" i="8" a="1"/>
  <c r="Y140" i="8" s="1"/>
  <c r="Y141" i="8" a="1"/>
  <c r="Y141" i="8" s="1"/>
  <c r="Y142" i="8" a="1"/>
  <c r="Y142" i="8" s="1"/>
  <c r="Y143" i="8" a="1"/>
  <c r="Y143" i="8" s="1"/>
  <c r="Y144" i="8" a="1"/>
  <c r="Y144" i="8" s="1"/>
  <c r="Y145" i="8" a="1"/>
  <c r="Y145" i="8" s="1"/>
  <c r="Y146" i="8" a="1"/>
  <c r="Y146" i="8" s="1"/>
  <c r="Y147" i="8" a="1"/>
  <c r="Y147" i="8" s="1"/>
  <c r="Y148" i="8" a="1"/>
  <c r="Y148" i="8" s="1"/>
  <c r="Y149" i="8" a="1"/>
  <c r="Y149" i="8" s="1"/>
  <c r="Y150" i="8" a="1"/>
  <c r="Y150" i="8" s="1"/>
  <c r="Y151" i="8" a="1"/>
  <c r="Y151" i="8" s="1"/>
  <c r="Y152" i="8" a="1"/>
  <c r="Y152" i="8" s="1"/>
  <c r="Y153" i="8" a="1"/>
  <c r="Y153" i="8" s="1"/>
  <c r="Y154" i="8" a="1"/>
  <c r="Y154" i="8" s="1"/>
  <c r="Y155" i="8" a="1"/>
  <c r="Y155" i="8" s="1"/>
  <c r="Y156" i="8" a="1"/>
  <c r="Y156" i="8" s="1"/>
  <c r="Y157" i="8" a="1"/>
  <c r="Y157" i="8" s="1"/>
  <c r="Y158" i="8" a="1"/>
  <c r="Y158" i="8" s="1"/>
  <c r="Y159" i="8" a="1"/>
  <c r="Y159" i="8" s="1"/>
  <c r="Y160" i="8" a="1"/>
  <c r="Y160" i="8" s="1"/>
  <c r="Y161" i="8" a="1"/>
  <c r="Y161" i="8" s="1"/>
  <c r="Y162" i="8" a="1"/>
  <c r="Y162" i="8" s="1"/>
  <c r="Y163" i="8" a="1"/>
  <c r="Y163" i="8" s="1"/>
  <c r="Y164" i="8" a="1"/>
  <c r="Y164" i="8" s="1"/>
  <c r="Y165" i="8" a="1"/>
  <c r="Y165" i="8" s="1"/>
  <c r="Y166" i="8" a="1"/>
  <c r="Y166" i="8" s="1"/>
  <c r="Y167" i="8" a="1"/>
  <c r="Y167" i="8" s="1"/>
  <c r="Y168" i="8" a="1"/>
  <c r="Y168" i="8" s="1"/>
  <c r="Y169" i="8" a="1"/>
  <c r="Y169" i="8" s="1"/>
  <c r="Y170" i="8" a="1"/>
  <c r="Y170" i="8" s="1"/>
  <c r="Y171" i="8" a="1"/>
  <c r="Y171" i="8" s="1"/>
  <c r="Y172" i="8" a="1"/>
  <c r="Y172" i="8" s="1"/>
  <c r="Y173" i="8" a="1"/>
  <c r="Y173" i="8" s="1"/>
  <c r="Y174" i="8" a="1"/>
  <c r="Y174" i="8" s="1"/>
  <c r="Y175" i="8" a="1"/>
  <c r="Y175" i="8" s="1"/>
  <c r="Y176" i="8" a="1"/>
  <c r="Y176" i="8" s="1"/>
  <c r="Y177" i="8" a="1"/>
  <c r="Y177" i="8" s="1"/>
  <c r="Y178" i="8" a="1"/>
  <c r="Y178" i="8" s="1"/>
  <c r="Y179" i="8" a="1"/>
  <c r="Y179" i="8" s="1"/>
  <c r="Y180" i="8" a="1"/>
  <c r="Y180" i="8" s="1"/>
  <c r="Y181" i="8" a="1"/>
  <c r="Y181" i="8" s="1"/>
  <c r="Y182" i="8" a="1"/>
  <c r="Y182" i="8" s="1"/>
  <c r="Y183" i="8" a="1"/>
  <c r="Y183" i="8" s="1"/>
  <c r="Y184" i="8" a="1"/>
  <c r="Y184" i="8" s="1"/>
  <c r="Y185" i="8" a="1"/>
  <c r="Y185" i="8" s="1"/>
  <c r="Y186" i="8" a="1"/>
  <c r="Y186" i="8" s="1"/>
  <c r="Y187" i="8" a="1"/>
  <c r="Y187" i="8" s="1"/>
  <c r="Y188" i="8" a="1"/>
  <c r="Y188" i="8" s="1"/>
  <c r="Y189" i="8" a="1"/>
  <c r="Y189" i="8" s="1"/>
  <c r="Y190" i="8" a="1"/>
  <c r="Y190" i="8" s="1"/>
  <c r="Y191" i="8" a="1"/>
  <c r="Y191" i="8" s="1"/>
  <c r="Y192" i="8" a="1"/>
  <c r="Y192" i="8" s="1"/>
  <c r="Y193" i="8" a="1"/>
  <c r="Y193" i="8" s="1"/>
  <c r="Y194" i="8" a="1"/>
  <c r="Y194" i="8" s="1"/>
  <c r="Y195" i="8" a="1"/>
  <c r="Y195" i="8" s="1"/>
  <c r="Y196" i="8" a="1"/>
  <c r="Y196" i="8" s="1"/>
  <c r="Y197" i="8" a="1"/>
  <c r="Y197" i="8" s="1"/>
  <c r="Y198" i="8" a="1"/>
  <c r="Y198" i="8" s="1"/>
  <c r="Y199" i="8" a="1"/>
  <c r="Y199" i="8" s="1"/>
  <c r="Y200" i="8" a="1"/>
  <c r="Y200" i="8" s="1"/>
  <c r="Y201" i="8" a="1"/>
  <c r="Y201" i="8" s="1"/>
  <c r="Y202" i="8" a="1"/>
  <c r="Y202" i="8" s="1"/>
  <c r="Y203" i="8" a="1"/>
  <c r="Y203" i="8" s="1"/>
  <c r="Y204" i="8" a="1"/>
  <c r="Y204" i="8" s="1"/>
  <c r="Y205" i="8" a="1"/>
  <c r="Y205" i="8" s="1"/>
  <c r="Y206" i="8" a="1"/>
  <c r="Y206" i="8" s="1"/>
  <c r="Y207" i="8" a="1"/>
  <c r="Y207" i="8" s="1"/>
  <c r="Y208" i="8" a="1"/>
  <c r="Y208" i="8" s="1"/>
  <c r="Y209" i="8" a="1"/>
  <c r="Y209" i="8" s="1"/>
  <c r="Y210" i="8" a="1"/>
  <c r="Y210" i="8" s="1"/>
  <c r="Y211" i="8" a="1"/>
  <c r="Y211" i="8" s="1"/>
  <c r="Y212" i="8" a="1"/>
  <c r="Y212" i="8" s="1"/>
  <c r="Y213" i="8" a="1"/>
  <c r="Y213" i="8" s="1"/>
  <c r="Y214" i="8" a="1"/>
  <c r="Y214" i="8" s="1"/>
  <c r="Y215" i="8" a="1"/>
  <c r="Y215" i="8" s="1"/>
  <c r="Y216" i="8" a="1"/>
  <c r="Y216" i="8" s="1"/>
  <c r="Y217" i="8" a="1"/>
  <c r="Y217" i="8" s="1"/>
  <c r="Y218" i="8" a="1"/>
  <c r="Y218" i="8" s="1"/>
  <c r="Y219" i="8" a="1"/>
  <c r="Y219" i="8" s="1"/>
  <c r="Y220" i="8" a="1"/>
  <c r="Y220" i="8" s="1"/>
  <c r="Y221" i="8" a="1"/>
  <c r="Y221" i="8" s="1"/>
  <c r="Y222" i="8" a="1"/>
  <c r="Y222" i="8" s="1"/>
  <c r="Y223" i="8" a="1"/>
  <c r="Y223" i="8" s="1"/>
  <c r="Y224" i="8" a="1"/>
  <c r="Y224" i="8" s="1"/>
  <c r="Y225" i="8" a="1"/>
  <c r="Y225" i="8" s="1"/>
  <c r="Y226" i="8" a="1"/>
  <c r="Y226" i="8" s="1"/>
  <c r="Y227" i="8" a="1"/>
  <c r="Y227" i="8" s="1"/>
  <c r="Y228" i="8" a="1"/>
  <c r="Y228" i="8" s="1"/>
  <c r="Y229" i="8" a="1"/>
  <c r="Y229" i="8" s="1"/>
  <c r="Y230" i="8" a="1"/>
  <c r="Y230" i="8" s="1"/>
  <c r="Y231" i="8" a="1"/>
  <c r="Y231" i="8" s="1"/>
  <c r="Y232" i="8" a="1"/>
  <c r="Y232" i="8" s="1"/>
  <c r="Y233" i="8" a="1"/>
  <c r="Y233" i="8" s="1"/>
  <c r="Y234" i="8" a="1"/>
  <c r="Y234" i="8" s="1"/>
  <c r="Y235" i="8" a="1"/>
  <c r="Y235" i="8" s="1"/>
  <c r="Y236" i="8" a="1"/>
  <c r="Y236" i="8" s="1"/>
  <c r="Y237" i="8" a="1"/>
  <c r="Y237" i="8" s="1"/>
  <c r="Y238" i="8" a="1"/>
  <c r="Y238" i="8" s="1"/>
  <c r="Y239" i="8" a="1"/>
  <c r="Y239" i="8" s="1"/>
  <c r="Y240" i="8" a="1"/>
  <c r="Y240" i="8" s="1"/>
  <c r="Y241" i="8" a="1"/>
  <c r="Y241" i="8" s="1"/>
  <c r="Y242" i="8" a="1"/>
  <c r="Y242" i="8" s="1"/>
  <c r="Y243" i="8" a="1"/>
  <c r="Y243" i="8" s="1"/>
  <c r="Y244" i="8" a="1"/>
  <c r="Y244" i="8" s="1"/>
  <c r="Y245" i="8" a="1"/>
  <c r="Y245" i="8" s="1"/>
  <c r="Y246" i="8" a="1"/>
  <c r="Y246" i="8" s="1"/>
  <c r="Y247" i="8" a="1"/>
  <c r="Y247" i="8" s="1"/>
  <c r="Y248" i="8" a="1"/>
  <c r="Y248" i="8" s="1"/>
  <c r="Y249" i="8" a="1"/>
  <c r="Y249" i="8" s="1"/>
  <c r="Y250" i="8" a="1"/>
  <c r="Y250" i="8" s="1"/>
  <c r="X12" i="8" a="1"/>
  <c r="X12" i="8" s="1"/>
  <c r="X13" i="8" a="1"/>
  <c r="X13" i="8" s="1"/>
  <c r="X14" i="8" a="1"/>
  <c r="X14" i="8" s="1"/>
  <c r="X15" i="8" a="1"/>
  <c r="X15" i="8" s="1"/>
  <c r="X16" i="8" a="1"/>
  <c r="X16" i="8" s="1"/>
  <c r="X17" i="8" a="1"/>
  <c r="X17" i="8" s="1"/>
  <c r="X18" i="8" a="1"/>
  <c r="X18" i="8" s="1"/>
  <c r="X19" i="8" a="1"/>
  <c r="X19" i="8" s="1"/>
  <c r="X20" i="8" a="1"/>
  <c r="X20" i="8" s="1"/>
  <c r="X21" i="8" a="1"/>
  <c r="X21" i="8" s="1"/>
  <c r="X22" i="8" a="1"/>
  <c r="X22" i="8" s="1"/>
  <c r="X23" i="8" a="1"/>
  <c r="X23" i="8" s="1"/>
  <c r="X24" i="8" a="1"/>
  <c r="X24" i="8" s="1"/>
  <c r="X25" i="8" a="1"/>
  <c r="X25" i="8" s="1"/>
  <c r="X26" i="8" a="1"/>
  <c r="X26" i="8" s="1"/>
  <c r="X27" i="8" a="1"/>
  <c r="X27" i="8" s="1"/>
  <c r="X28" i="8" a="1"/>
  <c r="X28" i="8" s="1"/>
  <c r="X29" i="8" a="1"/>
  <c r="X29" i="8" s="1"/>
  <c r="X30" i="8" a="1"/>
  <c r="X30" i="8" s="1"/>
  <c r="X31" i="8" a="1"/>
  <c r="X31" i="8" s="1"/>
  <c r="X32" i="8" a="1"/>
  <c r="X32" i="8" s="1"/>
  <c r="X33" i="8" a="1"/>
  <c r="X33" i="8" s="1"/>
  <c r="X34" i="8" a="1"/>
  <c r="X34" i="8" s="1"/>
  <c r="X35" i="8" a="1"/>
  <c r="X35" i="8" s="1"/>
  <c r="X36" i="8" a="1"/>
  <c r="X36" i="8" s="1"/>
  <c r="X37" i="8" a="1"/>
  <c r="X37" i="8" s="1"/>
  <c r="X38" i="8" a="1"/>
  <c r="X38" i="8" s="1"/>
  <c r="X39" i="8" a="1"/>
  <c r="X39" i="8" s="1"/>
  <c r="X40" i="8" a="1"/>
  <c r="X40" i="8" s="1"/>
  <c r="X41" i="8" a="1"/>
  <c r="X41" i="8" s="1"/>
  <c r="X42" i="8" a="1"/>
  <c r="X42" i="8" s="1"/>
  <c r="X43" i="8" a="1"/>
  <c r="X43" i="8" s="1"/>
  <c r="X44" i="8" a="1"/>
  <c r="X44" i="8" s="1"/>
  <c r="X45" i="8" a="1"/>
  <c r="X45" i="8" s="1"/>
  <c r="X46" i="8" a="1"/>
  <c r="X46" i="8" s="1"/>
  <c r="X47" i="8" a="1"/>
  <c r="X47" i="8" s="1"/>
  <c r="X48" i="8" a="1"/>
  <c r="X48" i="8" s="1"/>
  <c r="X49" i="8" a="1"/>
  <c r="X49" i="8" s="1"/>
  <c r="X50" i="8" a="1"/>
  <c r="X50" i="8" s="1"/>
  <c r="X51" i="8" a="1"/>
  <c r="X51" i="8" s="1"/>
  <c r="X52" i="8" a="1"/>
  <c r="X52" i="8" s="1"/>
  <c r="X53" i="8" a="1"/>
  <c r="X53" i="8" s="1"/>
  <c r="X54" i="8" a="1"/>
  <c r="X54" i="8" s="1"/>
  <c r="X55" i="8" a="1"/>
  <c r="X55" i="8" s="1"/>
  <c r="X56" i="8" a="1"/>
  <c r="X56" i="8" s="1"/>
  <c r="X57" i="8" a="1"/>
  <c r="X57" i="8" s="1"/>
  <c r="X58" i="8" a="1"/>
  <c r="X58" i="8" s="1"/>
  <c r="X59" i="8" a="1"/>
  <c r="X59" i="8" s="1"/>
  <c r="X60" i="8" a="1"/>
  <c r="X60" i="8" s="1"/>
  <c r="X61" i="8" a="1"/>
  <c r="X61" i="8" s="1"/>
  <c r="X62" i="8" a="1"/>
  <c r="X62" i="8" s="1"/>
  <c r="X63" i="8" a="1"/>
  <c r="X63" i="8" s="1"/>
  <c r="X64" i="8" a="1"/>
  <c r="X64" i="8" s="1"/>
  <c r="X65" i="8" a="1"/>
  <c r="X65" i="8" s="1"/>
  <c r="X66" i="8" a="1"/>
  <c r="X66" i="8" s="1"/>
  <c r="X67" i="8" a="1"/>
  <c r="X67" i="8" s="1"/>
  <c r="X68" i="8" a="1"/>
  <c r="X68" i="8" s="1"/>
  <c r="X69" i="8" a="1"/>
  <c r="X69" i="8" s="1"/>
  <c r="X70" i="8" a="1"/>
  <c r="X70" i="8" s="1"/>
  <c r="X71" i="8" a="1"/>
  <c r="X71" i="8" s="1"/>
  <c r="X72" i="8" a="1"/>
  <c r="X72" i="8" s="1"/>
  <c r="X73" i="8" a="1"/>
  <c r="X73" i="8" s="1"/>
  <c r="X74" i="8" a="1"/>
  <c r="X74" i="8" s="1"/>
  <c r="X75" i="8" a="1"/>
  <c r="X75" i="8" s="1"/>
  <c r="X76" i="8" a="1"/>
  <c r="X76" i="8" s="1"/>
  <c r="X77" i="8" a="1"/>
  <c r="X77" i="8" s="1"/>
  <c r="X78" i="8" a="1"/>
  <c r="X78" i="8" s="1"/>
  <c r="X79" i="8" a="1"/>
  <c r="X79" i="8" s="1"/>
  <c r="X80" i="8" a="1"/>
  <c r="X80" i="8" s="1"/>
  <c r="X81" i="8" a="1"/>
  <c r="X81" i="8" s="1"/>
  <c r="X82" i="8" a="1"/>
  <c r="X82" i="8" s="1"/>
  <c r="X83" i="8" a="1"/>
  <c r="X83" i="8" s="1"/>
  <c r="X84" i="8" a="1"/>
  <c r="X84" i="8" s="1"/>
  <c r="X85" i="8" a="1"/>
  <c r="X85" i="8" s="1"/>
  <c r="X86" i="8" a="1"/>
  <c r="X86" i="8" s="1"/>
  <c r="X87" i="8" a="1"/>
  <c r="X87" i="8" s="1"/>
  <c r="X88" i="8" a="1"/>
  <c r="X88" i="8" s="1"/>
  <c r="X89" i="8" a="1"/>
  <c r="X89" i="8" s="1"/>
  <c r="X90" i="8" a="1"/>
  <c r="X90" i="8" s="1"/>
  <c r="X91" i="8" a="1"/>
  <c r="X91" i="8" s="1"/>
  <c r="X92" i="8" a="1"/>
  <c r="X92" i="8" s="1"/>
  <c r="X93" i="8" a="1"/>
  <c r="X93" i="8" s="1"/>
  <c r="X94" i="8" a="1"/>
  <c r="X94" i="8" s="1"/>
  <c r="X95" i="8" a="1"/>
  <c r="X95" i="8" s="1"/>
  <c r="X96" i="8" a="1"/>
  <c r="X96" i="8" s="1"/>
  <c r="X97" i="8" a="1"/>
  <c r="X97" i="8" s="1"/>
  <c r="X98" i="8" a="1"/>
  <c r="X98" i="8" s="1"/>
  <c r="X99" i="8" a="1"/>
  <c r="X99" i="8" s="1"/>
  <c r="X100" i="8" a="1"/>
  <c r="X100" i="8" s="1"/>
  <c r="X101" i="8" a="1"/>
  <c r="X101" i="8" s="1"/>
  <c r="X102" i="8" a="1"/>
  <c r="X102" i="8" s="1"/>
  <c r="X103" i="8" a="1"/>
  <c r="X103" i="8" s="1"/>
  <c r="X104" i="8" a="1"/>
  <c r="X104" i="8" s="1"/>
  <c r="X105" i="8" a="1"/>
  <c r="X105" i="8" s="1"/>
  <c r="X106" i="8" a="1"/>
  <c r="X106" i="8" s="1"/>
  <c r="X107" i="8" a="1"/>
  <c r="X107" i="8" s="1"/>
  <c r="X108" i="8" a="1"/>
  <c r="X108" i="8" s="1"/>
  <c r="X109" i="8" a="1"/>
  <c r="X109" i="8" s="1"/>
  <c r="X110" i="8" a="1"/>
  <c r="X110" i="8" s="1"/>
  <c r="X111" i="8" a="1"/>
  <c r="X111" i="8" s="1"/>
  <c r="X112" i="8" a="1"/>
  <c r="X112" i="8" s="1"/>
  <c r="X113" i="8" a="1"/>
  <c r="X113" i="8" s="1"/>
  <c r="X114" i="8" a="1"/>
  <c r="X114" i="8" s="1"/>
  <c r="X115" i="8" a="1"/>
  <c r="X115" i="8" s="1"/>
  <c r="X116" i="8" a="1"/>
  <c r="X116" i="8" s="1"/>
  <c r="X117" i="8" a="1"/>
  <c r="X117" i="8" s="1"/>
  <c r="X118" i="8" a="1"/>
  <c r="X118" i="8" s="1"/>
  <c r="X119" i="8" a="1"/>
  <c r="X119" i="8" s="1"/>
  <c r="X120" i="8" a="1"/>
  <c r="X120" i="8" s="1"/>
  <c r="X121" i="8" a="1"/>
  <c r="X121" i="8" s="1"/>
  <c r="X122" i="8" a="1"/>
  <c r="X122" i="8" s="1"/>
  <c r="X123" i="8" a="1"/>
  <c r="X123" i="8" s="1"/>
  <c r="X124" i="8" a="1"/>
  <c r="X124" i="8" s="1"/>
  <c r="X125" i="8" a="1"/>
  <c r="X125" i="8" s="1"/>
  <c r="X126" i="8" a="1"/>
  <c r="X126" i="8" s="1"/>
  <c r="X127" i="8" a="1"/>
  <c r="X127" i="8" s="1"/>
  <c r="X128" i="8" a="1"/>
  <c r="X128" i="8" s="1"/>
  <c r="X129" i="8" a="1"/>
  <c r="X129" i="8" s="1"/>
  <c r="X130" i="8" a="1"/>
  <c r="X130" i="8" s="1"/>
  <c r="X131" i="8" a="1"/>
  <c r="X131" i="8" s="1"/>
  <c r="X132" i="8" a="1"/>
  <c r="X132" i="8" s="1"/>
  <c r="X133" i="8" a="1"/>
  <c r="X133" i="8" s="1"/>
  <c r="X134" i="8" a="1"/>
  <c r="X134" i="8" s="1"/>
  <c r="X135" i="8" a="1"/>
  <c r="X135" i="8" s="1"/>
  <c r="X136" i="8" a="1"/>
  <c r="X136" i="8" s="1"/>
  <c r="X137" i="8" a="1"/>
  <c r="X137" i="8" s="1"/>
  <c r="X138" i="8" a="1"/>
  <c r="X138" i="8" s="1"/>
  <c r="X139" i="8" a="1"/>
  <c r="X139" i="8" s="1"/>
  <c r="X140" i="8" a="1"/>
  <c r="X140" i="8" s="1"/>
  <c r="X141" i="8" a="1"/>
  <c r="X141" i="8" s="1"/>
  <c r="X142" i="8" a="1"/>
  <c r="X142" i="8" s="1"/>
  <c r="X143" i="8" a="1"/>
  <c r="X143" i="8" s="1"/>
  <c r="X144" i="8" a="1"/>
  <c r="X144" i="8" s="1"/>
  <c r="X145" i="8" a="1"/>
  <c r="X145" i="8" s="1"/>
  <c r="X146" i="8" a="1"/>
  <c r="X146" i="8" s="1"/>
  <c r="X147" i="8" a="1"/>
  <c r="X147" i="8" s="1"/>
  <c r="X148" i="8" a="1"/>
  <c r="X148" i="8" s="1"/>
  <c r="X149" i="8" a="1"/>
  <c r="X149" i="8" s="1"/>
  <c r="X150" i="8" a="1"/>
  <c r="X150" i="8" s="1"/>
  <c r="X151" i="8" a="1"/>
  <c r="X151" i="8" s="1"/>
  <c r="X152" i="8" a="1"/>
  <c r="X152" i="8" s="1"/>
  <c r="X153" i="8" a="1"/>
  <c r="X153" i="8" s="1"/>
  <c r="X154" i="8" a="1"/>
  <c r="X154" i="8" s="1"/>
  <c r="X155" i="8" a="1"/>
  <c r="X155" i="8" s="1"/>
  <c r="X156" i="8" a="1"/>
  <c r="X156" i="8" s="1"/>
  <c r="X157" i="8" a="1"/>
  <c r="X157" i="8" s="1"/>
  <c r="X158" i="8" a="1"/>
  <c r="X158" i="8" s="1"/>
  <c r="X159" i="8" a="1"/>
  <c r="X159" i="8" s="1"/>
  <c r="X160" i="8" a="1"/>
  <c r="X160" i="8" s="1"/>
  <c r="X161" i="8" a="1"/>
  <c r="X161" i="8" s="1"/>
  <c r="X162" i="8" a="1"/>
  <c r="X162" i="8" s="1"/>
  <c r="X163" i="8" a="1"/>
  <c r="X163" i="8" s="1"/>
  <c r="X164" i="8" a="1"/>
  <c r="X164" i="8" s="1"/>
  <c r="X165" i="8" a="1"/>
  <c r="X165" i="8" s="1"/>
  <c r="X166" i="8" a="1"/>
  <c r="X166" i="8" s="1"/>
  <c r="X167" i="8" a="1"/>
  <c r="X167" i="8" s="1"/>
  <c r="X168" i="8" a="1"/>
  <c r="X168" i="8" s="1"/>
  <c r="X169" i="8" a="1"/>
  <c r="X169" i="8" s="1"/>
  <c r="X170" i="8" a="1"/>
  <c r="X170" i="8" s="1"/>
  <c r="X171" i="8" a="1"/>
  <c r="X171" i="8" s="1"/>
  <c r="X172" i="8" a="1"/>
  <c r="X172" i="8" s="1"/>
  <c r="X173" i="8" a="1"/>
  <c r="X173" i="8" s="1"/>
  <c r="X174" i="8" a="1"/>
  <c r="X174" i="8" s="1"/>
  <c r="X175" i="8" a="1"/>
  <c r="X175" i="8" s="1"/>
  <c r="X176" i="8" a="1"/>
  <c r="X176" i="8" s="1"/>
  <c r="X177" i="8" a="1"/>
  <c r="X177" i="8" s="1"/>
  <c r="X178" i="8" a="1"/>
  <c r="X178" i="8" s="1"/>
  <c r="X179" i="8" a="1"/>
  <c r="X179" i="8" s="1"/>
  <c r="X180" i="8" a="1"/>
  <c r="X180" i="8" s="1"/>
  <c r="X181" i="8" a="1"/>
  <c r="X181" i="8" s="1"/>
  <c r="X182" i="8" a="1"/>
  <c r="X182" i="8" s="1"/>
  <c r="X183" i="8" a="1"/>
  <c r="X183" i="8" s="1"/>
  <c r="X184" i="8" a="1"/>
  <c r="X184" i="8" s="1"/>
  <c r="X185" i="8" a="1"/>
  <c r="X185" i="8" s="1"/>
  <c r="X186" i="8" a="1"/>
  <c r="X186" i="8" s="1"/>
  <c r="X187" i="8" a="1"/>
  <c r="X187" i="8" s="1"/>
  <c r="X188" i="8" a="1"/>
  <c r="X188" i="8" s="1"/>
  <c r="X189" i="8" a="1"/>
  <c r="X189" i="8" s="1"/>
  <c r="X190" i="8" a="1"/>
  <c r="X190" i="8" s="1"/>
  <c r="X191" i="8" a="1"/>
  <c r="X191" i="8" s="1"/>
  <c r="X192" i="8" a="1"/>
  <c r="X192" i="8" s="1"/>
  <c r="X193" i="8" a="1"/>
  <c r="X193" i="8" s="1"/>
  <c r="X194" i="8" a="1"/>
  <c r="X194" i="8" s="1"/>
  <c r="X195" i="8" a="1"/>
  <c r="X195" i="8" s="1"/>
  <c r="X196" i="8" a="1"/>
  <c r="X196" i="8" s="1"/>
  <c r="X197" i="8" a="1"/>
  <c r="X197" i="8" s="1"/>
  <c r="X198" i="8" a="1"/>
  <c r="X198" i="8" s="1"/>
  <c r="X199" i="8" a="1"/>
  <c r="X199" i="8" s="1"/>
  <c r="X200" i="8" a="1"/>
  <c r="X200" i="8" s="1"/>
  <c r="X201" i="8" a="1"/>
  <c r="X201" i="8" s="1"/>
  <c r="X202" i="8" a="1"/>
  <c r="X202" i="8" s="1"/>
  <c r="X203" i="8" a="1"/>
  <c r="X203" i="8" s="1"/>
  <c r="X204" i="8" a="1"/>
  <c r="X204" i="8" s="1"/>
  <c r="X205" i="8" a="1"/>
  <c r="X205" i="8" s="1"/>
  <c r="X206" i="8" a="1"/>
  <c r="X206" i="8" s="1"/>
  <c r="X207" i="8" a="1"/>
  <c r="X207" i="8" s="1"/>
  <c r="X208" i="8" a="1"/>
  <c r="X208" i="8" s="1"/>
  <c r="X209" i="8" a="1"/>
  <c r="X209" i="8" s="1"/>
  <c r="X210" i="8" a="1"/>
  <c r="X210" i="8" s="1"/>
  <c r="X211" i="8" a="1"/>
  <c r="X211" i="8" s="1"/>
  <c r="X212" i="8" a="1"/>
  <c r="X212" i="8" s="1"/>
  <c r="X213" i="8" a="1"/>
  <c r="X213" i="8" s="1"/>
  <c r="X214" i="8" a="1"/>
  <c r="X214" i="8" s="1"/>
  <c r="X215" i="8" a="1"/>
  <c r="X215" i="8" s="1"/>
  <c r="X216" i="8" a="1"/>
  <c r="X216" i="8" s="1"/>
  <c r="X217" i="8" a="1"/>
  <c r="X217" i="8" s="1"/>
  <c r="X218" i="8" a="1"/>
  <c r="X218" i="8" s="1"/>
  <c r="X219" i="8" a="1"/>
  <c r="X219" i="8" s="1"/>
  <c r="X220" i="8" a="1"/>
  <c r="X220" i="8" s="1"/>
  <c r="X221" i="8" a="1"/>
  <c r="X221" i="8" s="1"/>
  <c r="X222" i="8" a="1"/>
  <c r="X222" i="8" s="1"/>
  <c r="X223" i="8" a="1"/>
  <c r="X223" i="8" s="1"/>
  <c r="X224" i="8" a="1"/>
  <c r="X224" i="8" s="1"/>
  <c r="X225" i="8" a="1"/>
  <c r="X225" i="8" s="1"/>
  <c r="X226" i="8" a="1"/>
  <c r="X226" i="8" s="1"/>
  <c r="X227" i="8" a="1"/>
  <c r="X227" i="8" s="1"/>
  <c r="X228" i="8" a="1"/>
  <c r="X228" i="8" s="1"/>
  <c r="X229" i="8" a="1"/>
  <c r="X229" i="8" s="1"/>
  <c r="X230" i="8" a="1"/>
  <c r="X230" i="8" s="1"/>
  <c r="X231" i="8" a="1"/>
  <c r="X231" i="8" s="1"/>
  <c r="X232" i="8" a="1"/>
  <c r="X232" i="8" s="1"/>
  <c r="X233" i="8" a="1"/>
  <c r="X233" i="8" s="1"/>
  <c r="X234" i="8" a="1"/>
  <c r="X234" i="8" s="1"/>
  <c r="X235" i="8" a="1"/>
  <c r="X235" i="8" s="1"/>
  <c r="X236" i="8" a="1"/>
  <c r="X236" i="8" s="1"/>
  <c r="X237" i="8" a="1"/>
  <c r="X237" i="8" s="1"/>
  <c r="X238" i="8" a="1"/>
  <c r="X238" i="8" s="1"/>
  <c r="X239" i="8" a="1"/>
  <c r="X239" i="8" s="1"/>
  <c r="X240" i="8" a="1"/>
  <c r="X240" i="8" s="1"/>
  <c r="X241" i="8" a="1"/>
  <c r="X241" i="8" s="1"/>
  <c r="X242" i="8" a="1"/>
  <c r="X242" i="8" s="1"/>
  <c r="X243" i="8" a="1"/>
  <c r="X243" i="8" s="1"/>
  <c r="X244" i="8" a="1"/>
  <c r="X244" i="8" s="1"/>
  <c r="X245" i="8" a="1"/>
  <c r="X245" i="8" s="1"/>
  <c r="X246" i="8" a="1"/>
  <c r="X246" i="8" s="1"/>
  <c r="X247" i="8" a="1"/>
  <c r="X247" i="8" s="1"/>
  <c r="X248" i="8" a="1"/>
  <c r="X248" i="8" s="1"/>
  <c r="X249" i="8" a="1"/>
  <c r="X249" i="8" s="1"/>
  <c r="X250" i="8" a="1"/>
  <c r="X250" i="8" s="1"/>
  <c r="W12" i="8" a="1"/>
  <c r="W12" i="8" s="1"/>
  <c r="W13" i="8" a="1"/>
  <c r="W13" i="8" s="1"/>
  <c r="W14" i="8" a="1"/>
  <c r="W14" i="8" s="1"/>
  <c r="W15" i="8" a="1"/>
  <c r="W15" i="8" s="1"/>
  <c r="W16" i="8" a="1"/>
  <c r="W16" i="8" s="1"/>
  <c r="W17" i="8" a="1"/>
  <c r="W17" i="8" s="1"/>
  <c r="W18" i="8" a="1"/>
  <c r="W18" i="8" s="1"/>
  <c r="W19" i="8" a="1"/>
  <c r="W19" i="8" s="1"/>
  <c r="W20" i="8" a="1"/>
  <c r="W20" i="8" s="1"/>
  <c r="W21" i="8" a="1"/>
  <c r="W21" i="8" s="1"/>
  <c r="W22" i="8" a="1"/>
  <c r="W22" i="8" s="1"/>
  <c r="W23" i="8" a="1"/>
  <c r="W23" i="8" s="1"/>
  <c r="W24" i="8" a="1"/>
  <c r="W24" i="8" s="1"/>
  <c r="W25" i="8" a="1"/>
  <c r="W25" i="8" s="1"/>
  <c r="W26" i="8" a="1"/>
  <c r="W26" i="8" s="1"/>
  <c r="W27" i="8" a="1"/>
  <c r="W27" i="8" s="1"/>
  <c r="W28" i="8" a="1"/>
  <c r="W28" i="8" s="1"/>
  <c r="W29" i="8" a="1"/>
  <c r="W29" i="8" s="1"/>
  <c r="W30" i="8" a="1"/>
  <c r="W30" i="8" s="1"/>
  <c r="W31" i="8" a="1"/>
  <c r="W31" i="8" s="1"/>
  <c r="W32" i="8" a="1"/>
  <c r="W32" i="8" s="1"/>
  <c r="W33" i="8" a="1"/>
  <c r="W33" i="8" s="1"/>
  <c r="W34" i="8" a="1"/>
  <c r="W34" i="8" s="1"/>
  <c r="W35" i="8" a="1"/>
  <c r="W35" i="8" s="1"/>
  <c r="W36" i="8" a="1"/>
  <c r="W36" i="8" s="1"/>
  <c r="W37" i="8" a="1"/>
  <c r="W37" i="8" s="1"/>
  <c r="W38" i="8" a="1"/>
  <c r="W38" i="8" s="1"/>
  <c r="W39" i="8" a="1"/>
  <c r="W39" i="8" s="1"/>
  <c r="W40" i="8" a="1"/>
  <c r="W40" i="8" s="1"/>
  <c r="W41" i="8" a="1"/>
  <c r="W41" i="8" s="1"/>
  <c r="W42" i="8" a="1"/>
  <c r="W42" i="8" s="1"/>
  <c r="W43" i="8" a="1"/>
  <c r="W43" i="8" s="1"/>
  <c r="W44" i="8" a="1"/>
  <c r="W44" i="8" s="1"/>
  <c r="W45" i="8" a="1"/>
  <c r="W45" i="8" s="1"/>
  <c r="W46" i="8" a="1"/>
  <c r="W46" i="8" s="1"/>
  <c r="W47" i="8" a="1"/>
  <c r="W47" i="8" s="1"/>
  <c r="W48" i="8" a="1"/>
  <c r="W48" i="8" s="1"/>
  <c r="W49" i="8" a="1"/>
  <c r="W49" i="8" s="1"/>
  <c r="W50" i="8" a="1"/>
  <c r="W50" i="8" s="1"/>
  <c r="W51" i="8" a="1"/>
  <c r="W51" i="8" s="1"/>
  <c r="W52" i="8" a="1"/>
  <c r="W52" i="8" s="1"/>
  <c r="W53" i="8" a="1"/>
  <c r="W53" i="8" s="1"/>
  <c r="W54" i="8" a="1"/>
  <c r="W54" i="8" s="1"/>
  <c r="W55" i="8" a="1"/>
  <c r="W55" i="8" s="1"/>
  <c r="W56" i="8" a="1"/>
  <c r="W56" i="8" s="1"/>
  <c r="W57" i="8" a="1"/>
  <c r="W57" i="8" s="1"/>
  <c r="W58" i="8" a="1"/>
  <c r="W58" i="8" s="1"/>
  <c r="W59" i="8" a="1"/>
  <c r="W59" i="8" s="1"/>
  <c r="W60" i="8" a="1"/>
  <c r="W60" i="8" s="1"/>
  <c r="W61" i="8" a="1"/>
  <c r="W61" i="8" s="1"/>
  <c r="W62" i="8" a="1"/>
  <c r="W62" i="8" s="1"/>
  <c r="W63" i="8" a="1"/>
  <c r="W63" i="8" s="1"/>
  <c r="W64" i="8" a="1"/>
  <c r="W64" i="8" s="1"/>
  <c r="W65" i="8" a="1"/>
  <c r="W65" i="8" s="1"/>
  <c r="W66" i="8" a="1"/>
  <c r="W66" i="8" s="1"/>
  <c r="W67" i="8" a="1"/>
  <c r="W67" i="8" s="1"/>
  <c r="W68" i="8" a="1"/>
  <c r="W68" i="8" s="1"/>
  <c r="W69" i="8" a="1"/>
  <c r="W69" i="8" s="1"/>
  <c r="W70" i="8" a="1"/>
  <c r="W70" i="8" s="1"/>
  <c r="W71" i="8" a="1"/>
  <c r="W71" i="8" s="1"/>
  <c r="W72" i="8" a="1"/>
  <c r="W72" i="8" s="1"/>
  <c r="W73" i="8" a="1"/>
  <c r="W73" i="8" s="1"/>
  <c r="W74" i="8" a="1"/>
  <c r="W74" i="8" s="1"/>
  <c r="W75" i="8" a="1"/>
  <c r="W75" i="8" s="1"/>
  <c r="W76" i="8" a="1"/>
  <c r="W76" i="8" s="1"/>
  <c r="W77" i="8" a="1"/>
  <c r="W77" i="8" s="1"/>
  <c r="W78" i="8" a="1"/>
  <c r="W78" i="8" s="1"/>
  <c r="W79" i="8" a="1"/>
  <c r="W79" i="8" s="1"/>
  <c r="W80" i="8" a="1"/>
  <c r="W80" i="8" s="1"/>
  <c r="W81" i="8" a="1"/>
  <c r="W81" i="8" s="1"/>
  <c r="W82" i="8" a="1"/>
  <c r="W82" i="8" s="1"/>
  <c r="W83" i="8" a="1"/>
  <c r="W83" i="8" s="1"/>
  <c r="W84" i="8" a="1"/>
  <c r="W84" i="8" s="1"/>
  <c r="W85" i="8" a="1"/>
  <c r="W85" i="8" s="1"/>
  <c r="W86" i="8" a="1"/>
  <c r="W86" i="8" s="1"/>
  <c r="W87" i="8" a="1"/>
  <c r="W87" i="8" s="1"/>
  <c r="W88" i="8" a="1"/>
  <c r="W88" i="8" s="1"/>
  <c r="W89" i="8" a="1"/>
  <c r="W89" i="8" s="1"/>
  <c r="W90" i="8" a="1"/>
  <c r="W90" i="8" s="1"/>
  <c r="W91" i="8" a="1"/>
  <c r="W91" i="8" s="1"/>
  <c r="W92" i="8" a="1"/>
  <c r="W92" i="8" s="1"/>
  <c r="W93" i="8" a="1"/>
  <c r="W93" i="8" s="1"/>
  <c r="W94" i="8" a="1"/>
  <c r="W94" i="8" s="1"/>
  <c r="W95" i="8" a="1"/>
  <c r="W95" i="8" s="1"/>
  <c r="W96" i="8" a="1"/>
  <c r="W96" i="8" s="1"/>
  <c r="W97" i="8" a="1"/>
  <c r="W97" i="8" s="1"/>
  <c r="W98" i="8" a="1"/>
  <c r="W98" i="8" s="1"/>
  <c r="W99" i="8" a="1"/>
  <c r="W99" i="8" s="1"/>
  <c r="W100" i="8" a="1"/>
  <c r="W100" i="8" s="1"/>
  <c r="W101" i="8" a="1"/>
  <c r="W101" i="8" s="1"/>
  <c r="W102" i="8" a="1"/>
  <c r="W102" i="8" s="1"/>
  <c r="W103" i="8" a="1"/>
  <c r="W103" i="8" s="1"/>
  <c r="W104" i="8" a="1"/>
  <c r="W104" i="8" s="1"/>
  <c r="W105" i="8" a="1"/>
  <c r="W105" i="8" s="1"/>
  <c r="W106" i="8" a="1"/>
  <c r="W106" i="8" s="1"/>
  <c r="W107" i="8" a="1"/>
  <c r="W107" i="8" s="1"/>
  <c r="W108" i="8" a="1"/>
  <c r="W108" i="8" s="1"/>
  <c r="W109" i="8" a="1"/>
  <c r="W109" i="8" s="1"/>
  <c r="W110" i="8" a="1"/>
  <c r="W110" i="8" s="1"/>
  <c r="W111" i="8" a="1"/>
  <c r="W111" i="8" s="1"/>
  <c r="W112" i="8" a="1"/>
  <c r="W112" i="8" s="1"/>
  <c r="W113" i="8" a="1"/>
  <c r="W113" i="8" s="1"/>
  <c r="W114" i="8" a="1"/>
  <c r="W114" i="8" s="1"/>
  <c r="W115" i="8" a="1"/>
  <c r="W115" i="8" s="1"/>
  <c r="W116" i="8" a="1"/>
  <c r="W116" i="8" s="1"/>
  <c r="W117" i="8" a="1"/>
  <c r="W117" i="8" s="1"/>
  <c r="W118" i="8" a="1"/>
  <c r="W118" i="8" s="1"/>
  <c r="W119" i="8" a="1"/>
  <c r="W119" i="8" s="1"/>
  <c r="W120" i="8" a="1"/>
  <c r="W120" i="8" s="1"/>
  <c r="W121" i="8" a="1"/>
  <c r="W121" i="8" s="1"/>
  <c r="W122" i="8" a="1"/>
  <c r="W122" i="8" s="1"/>
  <c r="W123" i="8" a="1"/>
  <c r="W123" i="8" s="1"/>
  <c r="W124" i="8" a="1"/>
  <c r="W124" i="8" s="1"/>
  <c r="W125" i="8" a="1"/>
  <c r="W125" i="8" s="1"/>
  <c r="W126" i="8" a="1"/>
  <c r="W126" i="8" s="1"/>
  <c r="W127" i="8" a="1"/>
  <c r="W127" i="8" s="1"/>
  <c r="W128" i="8" a="1"/>
  <c r="W128" i="8" s="1"/>
  <c r="W129" i="8" a="1"/>
  <c r="W129" i="8" s="1"/>
  <c r="W130" i="8" a="1"/>
  <c r="W130" i="8" s="1"/>
  <c r="W131" i="8" a="1"/>
  <c r="W131" i="8" s="1"/>
  <c r="W132" i="8" a="1"/>
  <c r="W132" i="8" s="1"/>
  <c r="W133" i="8" a="1"/>
  <c r="W133" i="8" s="1"/>
  <c r="W134" i="8" a="1"/>
  <c r="W134" i="8" s="1"/>
  <c r="W135" i="8" a="1"/>
  <c r="W135" i="8" s="1"/>
  <c r="W136" i="8" a="1"/>
  <c r="W136" i="8" s="1"/>
  <c r="W137" i="8" a="1"/>
  <c r="W137" i="8" s="1"/>
  <c r="W138" i="8" a="1"/>
  <c r="W138" i="8" s="1"/>
  <c r="W139" i="8" a="1"/>
  <c r="W139" i="8" s="1"/>
  <c r="W140" i="8" a="1"/>
  <c r="W140" i="8" s="1"/>
  <c r="W141" i="8" a="1"/>
  <c r="W141" i="8" s="1"/>
  <c r="W142" i="8" a="1"/>
  <c r="W142" i="8" s="1"/>
  <c r="W143" i="8" a="1"/>
  <c r="W143" i="8" s="1"/>
  <c r="W144" i="8" a="1"/>
  <c r="W144" i="8" s="1"/>
  <c r="W145" i="8" a="1"/>
  <c r="W145" i="8" s="1"/>
  <c r="W146" i="8" a="1"/>
  <c r="W146" i="8" s="1"/>
  <c r="W147" i="8" a="1"/>
  <c r="W147" i="8" s="1"/>
  <c r="W148" i="8" a="1"/>
  <c r="W148" i="8" s="1"/>
  <c r="W149" i="8" a="1"/>
  <c r="W149" i="8" s="1"/>
  <c r="W150" i="8" a="1"/>
  <c r="W150" i="8" s="1"/>
  <c r="W151" i="8" a="1"/>
  <c r="W151" i="8" s="1"/>
  <c r="W152" i="8" a="1"/>
  <c r="W152" i="8" s="1"/>
  <c r="W153" i="8" a="1"/>
  <c r="W153" i="8" s="1"/>
  <c r="W154" i="8" a="1"/>
  <c r="W154" i="8" s="1"/>
  <c r="W155" i="8" a="1"/>
  <c r="W155" i="8" s="1"/>
  <c r="W156" i="8" a="1"/>
  <c r="W156" i="8" s="1"/>
  <c r="W157" i="8" a="1"/>
  <c r="W157" i="8" s="1"/>
  <c r="W158" i="8" a="1"/>
  <c r="W158" i="8" s="1"/>
  <c r="W159" i="8" a="1"/>
  <c r="W159" i="8" s="1"/>
  <c r="W160" i="8" a="1"/>
  <c r="W160" i="8" s="1"/>
  <c r="W161" i="8" a="1"/>
  <c r="W161" i="8" s="1"/>
  <c r="W162" i="8" a="1"/>
  <c r="W162" i="8" s="1"/>
  <c r="W163" i="8" a="1"/>
  <c r="W163" i="8" s="1"/>
  <c r="W164" i="8" a="1"/>
  <c r="W164" i="8" s="1"/>
  <c r="W165" i="8" a="1"/>
  <c r="W165" i="8" s="1"/>
  <c r="W166" i="8" a="1"/>
  <c r="W166" i="8" s="1"/>
  <c r="W167" i="8" a="1"/>
  <c r="W167" i="8" s="1"/>
  <c r="W168" i="8" a="1"/>
  <c r="W168" i="8" s="1"/>
  <c r="W169" i="8" a="1"/>
  <c r="W169" i="8" s="1"/>
  <c r="W170" i="8" a="1"/>
  <c r="W170" i="8" s="1"/>
  <c r="W171" i="8" a="1"/>
  <c r="W171" i="8" s="1"/>
  <c r="W172" i="8" a="1"/>
  <c r="W172" i="8" s="1"/>
  <c r="W173" i="8" a="1"/>
  <c r="W173" i="8" s="1"/>
  <c r="W174" i="8" a="1"/>
  <c r="W174" i="8" s="1"/>
  <c r="W175" i="8" a="1"/>
  <c r="W175" i="8" s="1"/>
  <c r="W176" i="8" a="1"/>
  <c r="W176" i="8" s="1"/>
  <c r="W177" i="8" a="1"/>
  <c r="W177" i="8" s="1"/>
  <c r="W178" i="8" a="1"/>
  <c r="W178" i="8" s="1"/>
  <c r="W179" i="8" a="1"/>
  <c r="W179" i="8" s="1"/>
  <c r="W180" i="8" a="1"/>
  <c r="W180" i="8" s="1"/>
  <c r="W181" i="8" a="1"/>
  <c r="W181" i="8" s="1"/>
  <c r="W182" i="8" a="1"/>
  <c r="W182" i="8" s="1"/>
  <c r="W183" i="8" a="1"/>
  <c r="W183" i="8" s="1"/>
  <c r="W184" i="8" a="1"/>
  <c r="W184" i="8" s="1"/>
  <c r="W185" i="8" a="1"/>
  <c r="W185" i="8" s="1"/>
  <c r="W186" i="8" a="1"/>
  <c r="W186" i="8" s="1"/>
  <c r="W187" i="8" a="1"/>
  <c r="W187" i="8" s="1"/>
  <c r="W188" i="8" a="1"/>
  <c r="W188" i="8" s="1"/>
  <c r="W189" i="8" a="1"/>
  <c r="W189" i="8" s="1"/>
  <c r="W190" i="8" a="1"/>
  <c r="W190" i="8" s="1"/>
  <c r="W191" i="8" a="1"/>
  <c r="W191" i="8" s="1"/>
  <c r="W192" i="8" a="1"/>
  <c r="W192" i="8" s="1"/>
  <c r="W193" i="8" a="1"/>
  <c r="W193" i="8" s="1"/>
  <c r="W194" i="8" a="1"/>
  <c r="W194" i="8" s="1"/>
  <c r="W195" i="8" a="1"/>
  <c r="W195" i="8" s="1"/>
  <c r="W196" i="8" a="1"/>
  <c r="W196" i="8" s="1"/>
  <c r="W197" i="8" a="1"/>
  <c r="W197" i="8" s="1"/>
  <c r="W198" i="8" a="1"/>
  <c r="W198" i="8" s="1"/>
  <c r="W199" i="8" a="1"/>
  <c r="W199" i="8" s="1"/>
  <c r="W200" i="8" a="1"/>
  <c r="W200" i="8" s="1"/>
  <c r="W201" i="8" a="1"/>
  <c r="W201" i="8" s="1"/>
  <c r="W202" i="8" a="1"/>
  <c r="W202" i="8" s="1"/>
  <c r="W203" i="8" a="1"/>
  <c r="W203" i="8" s="1"/>
  <c r="W204" i="8" a="1"/>
  <c r="W204" i="8" s="1"/>
  <c r="W205" i="8" a="1"/>
  <c r="W205" i="8" s="1"/>
  <c r="W206" i="8" a="1"/>
  <c r="W206" i="8" s="1"/>
  <c r="W207" i="8" a="1"/>
  <c r="W207" i="8" s="1"/>
  <c r="W208" i="8" a="1"/>
  <c r="W208" i="8" s="1"/>
  <c r="W209" i="8" a="1"/>
  <c r="W209" i="8" s="1"/>
  <c r="W210" i="8" a="1"/>
  <c r="W210" i="8" s="1"/>
  <c r="W211" i="8" a="1"/>
  <c r="W211" i="8" s="1"/>
  <c r="W212" i="8" a="1"/>
  <c r="W212" i="8" s="1"/>
  <c r="W213" i="8" a="1"/>
  <c r="W213" i="8" s="1"/>
  <c r="W214" i="8" a="1"/>
  <c r="W214" i="8" s="1"/>
  <c r="W215" i="8" a="1"/>
  <c r="W215" i="8" s="1"/>
  <c r="W216" i="8" a="1"/>
  <c r="W216" i="8" s="1"/>
  <c r="W217" i="8" a="1"/>
  <c r="W217" i="8" s="1"/>
  <c r="W218" i="8" a="1"/>
  <c r="W218" i="8" s="1"/>
  <c r="W219" i="8" a="1"/>
  <c r="W219" i="8" s="1"/>
  <c r="W220" i="8" a="1"/>
  <c r="W220" i="8" s="1"/>
  <c r="W221" i="8" a="1"/>
  <c r="W221" i="8" s="1"/>
  <c r="W222" i="8" a="1"/>
  <c r="W222" i="8" s="1"/>
  <c r="W223" i="8" a="1"/>
  <c r="W223" i="8" s="1"/>
  <c r="W224" i="8" a="1"/>
  <c r="W224" i="8" s="1"/>
  <c r="W225" i="8" a="1"/>
  <c r="W225" i="8" s="1"/>
  <c r="W226" i="8" a="1"/>
  <c r="W226" i="8" s="1"/>
  <c r="W227" i="8" a="1"/>
  <c r="W227" i="8" s="1"/>
  <c r="W228" i="8" a="1"/>
  <c r="W228" i="8" s="1"/>
  <c r="W229" i="8" a="1"/>
  <c r="W229" i="8" s="1"/>
  <c r="W230" i="8" a="1"/>
  <c r="W230" i="8" s="1"/>
  <c r="W231" i="8" a="1"/>
  <c r="W231" i="8" s="1"/>
  <c r="W232" i="8" a="1"/>
  <c r="W232" i="8" s="1"/>
  <c r="W233" i="8" a="1"/>
  <c r="W233" i="8" s="1"/>
  <c r="W234" i="8" a="1"/>
  <c r="W234" i="8" s="1"/>
  <c r="W235" i="8" a="1"/>
  <c r="W235" i="8" s="1"/>
  <c r="W236" i="8" a="1"/>
  <c r="W236" i="8" s="1"/>
  <c r="W237" i="8" a="1"/>
  <c r="W237" i="8" s="1"/>
  <c r="W238" i="8" a="1"/>
  <c r="W238" i="8" s="1"/>
  <c r="W239" i="8" a="1"/>
  <c r="W239" i="8" s="1"/>
  <c r="W240" i="8" a="1"/>
  <c r="W240" i="8" s="1"/>
  <c r="W241" i="8" a="1"/>
  <c r="W241" i="8" s="1"/>
  <c r="W242" i="8" a="1"/>
  <c r="W242" i="8" s="1"/>
  <c r="W243" i="8" a="1"/>
  <c r="W243" i="8" s="1"/>
  <c r="W244" i="8" a="1"/>
  <c r="W244" i="8" s="1"/>
  <c r="W245" i="8" a="1"/>
  <c r="W245" i="8" s="1"/>
  <c r="W246" i="8" a="1"/>
  <c r="W246" i="8" s="1"/>
  <c r="W247" i="8" a="1"/>
  <c r="W247" i="8" s="1"/>
  <c r="W248" i="8" a="1"/>
  <c r="W248" i="8" s="1"/>
  <c r="W249" i="8" a="1"/>
  <c r="W249" i="8" s="1"/>
  <c r="W250" i="8" a="1"/>
  <c r="W250" i="8" s="1"/>
  <c r="W11" i="8" a="1"/>
  <c r="W11" i="8" s="1"/>
  <c r="X11" i="8" a="1"/>
  <c r="X11" i="8" s="1"/>
  <c r="Y11" i="8" a="1"/>
  <c r="Y11" i="8" s="1"/>
  <c r="Z11" i="8" a="1"/>
  <c r="Z11" i="8" s="1"/>
  <c r="Z11" i="11" s="1" a="1"/>
  <c r="Z11" i="11" s="1"/>
  <c r="AA11" i="8" a="1"/>
  <c r="AA11" i="8" s="1"/>
  <c r="AB11" i="8" a="1"/>
  <c r="AB11" i="8" s="1"/>
  <c r="AC11" i="8" a="1"/>
  <c r="AC11" i="8" s="1"/>
  <c r="AD11" i="8" a="1"/>
  <c r="AD11" i="8" s="1"/>
  <c r="AE11" i="8" a="1"/>
  <c r="AE11" i="8" s="1"/>
  <c r="AF11" i="8" a="1"/>
  <c r="AF11" i="8" s="1"/>
  <c r="AG11" i="8" a="1"/>
  <c r="AG11" i="8" s="1"/>
  <c r="AG11" i="11" s="1" a="1"/>
  <c r="AG11" i="11" s="1"/>
  <c r="AH11" i="8" a="1"/>
  <c r="AH11" i="8" s="1"/>
  <c r="AH11" i="11" s="1" a="1"/>
  <c r="AH11" i="11" s="1"/>
  <c r="AI11" i="8" a="1"/>
  <c r="AI11" i="8" s="1"/>
  <c r="AI11" i="11" s="1" a="1"/>
  <c r="AI11" i="11" s="1"/>
  <c r="AK11" i="8" a="1"/>
  <c r="AK11" i="8" s="1"/>
  <c r="AL11" i="8" a="1"/>
  <c r="AL11" i="8" s="1"/>
  <c r="AM11" i="8" a="1"/>
  <c r="AM11" i="8" s="1"/>
  <c r="AN11" i="8" a="1"/>
  <c r="AN11" i="8" s="1"/>
  <c r="AO11" i="8" a="1"/>
  <c r="AO11" i="8" s="1"/>
  <c r="AP11" i="8" a="1"/>
  <c r="AP11" i="8" s="1"/>
  <c r="AP11" i="11" s="1" a="1"/>
  <c r="AP11" i="11" s="1"/>
  <c r="V12" i="8" a="1"/>
  <c r="V12" i="8" s="1"/>
  <c r="V13" i="8" a="1"/>
  <c r="V13" i="8" s="1"/>
  <c r="V14" i="8" a="1"/>
  <c r="V14" i="8" s="1"/>
  <c r="V15" i="8" a="1"/>
  <c r="V15" i="8" s="1"/>
  <c r="V16" i="8" a="1"/>
  <c r="V16" i="8" s="1"/>
  <c r="V17" i="8" a="1"/>
  <c r="V17" i="8" s="1"/>
  <c r="V18" i="8" a="1"/>
  <c r="V18" i="8" s="1"/>
  <c r="V19" i="8" a="1"/>
  <c r="V19" i="8" s="1"/>
  <c r="V20" i="8" a="1"/>
  <c r="V20" i="8" s="1"/>
  <c r="V21" i="8" a="1"/>
  <c r="V21" i="8" s="1"/>
  <c r="V22" i="8" a="1"/>
  <c r="V22" i="8" s="1"/>
  <c r="V23" i="8" a="1"/>
  <c r="V23" i="8" s="1"/>
  <c r="V24" i="8" a="1"/>
  <c r="V24" i="8" s="1"/>
  <c r="V25" i="8" a="1"/>
  <c r="V25" i="8" s="1"/>
  <c r="V26" i="8" a="1"/>
  <c r="V26" i="8" s="1"/>
  <c r="V27" i="8" a="1"/>
  <c r="V27" i="8" s="1"/>
  <c r="V28" i="8" a="1"/>
  <c r="V28" i="8" s="1"/>
  <c r="V29" i="8" a="1"/>
  <c r="V29" i="8" s="1"/>
  <c r="V30" i="8" a="1"/>
  <c r="V30" i="8" s="1"/>
  <c r="V31" i="8" a="1"/>
  <c r="V31" i="8" s="1"/>
  <c r="V32" i="8" a="1"/>
  <c r="V32" i="8" s="1"/>
  <c r="V33" i="8" a="1"/>
  <c r="V33" i="8" s="1"/>
  <c r="V34" i="8" a="1"/>
  <c r="V34" i="8" s="1"/>
  <c r="V35" i="8" a="1"/>
  <c r="V35" i="8" s="1"/>
  <c r="V36" i="8" a="1"/>
  <c r="V36" i="8" s="1"/>
  <c r="V37" i="8" a="1"/>
  <c r="V37" i="8" s="1"/>
  <c r="V38" i="8" a="1"/>
  <c r="V38" i="8" s="1"/>
  <c r="V39" i="8" a="1"/>
  <c r="V39" i="8" s="1"/>
  <c r="V40" i="8" a="1"/>
  <c r="V40" i="8" s="1"/>
  <c r="V41" i="8" a="1"/>
  <c r="V41" i="8" s="1"/>
  <c r="V42" i="8" a="1"/>
  <c r="V42" i="8" s="1"/>
  <c r="V43" i="8" a="1"/>
  <c r="V43" i="8" s="1"/>
  <c r="V44" i="8" a="1"/>
  <c r="V44" i="8" s="1"/>
  <c r="V45" i="8" a="1"/>
  <c r="V45" i="8" s="1"/>
  <c r="V46" i="8" a="1"/>
  <c r="V46" i="8" s="1"/>
  <c r="V47" i="8" a="1"/>
  <c r="V47" i="8" s="1"/>
  <c r="V48" i="8" a="1"/>
  <c r="V48" i="8" s="1"/>
  <c r="V49" i="8" a="1"/>
  <c r="V49" i="8" s="1"/>
  <c r="V50" i="8" a="1"/>
  <c r="V50" i="8" s="1"/>
  <c r="V51" i="8" a="1"/>
  <c r="V51" i="8" s="1"/>
  <c r="V52" i="8" a="1"/>
  <c r="V52" i="8" s="1"/>
  <c r="V53" i="8" a="1"/>
  <c r="V53" i="8" s="1"/>
  <c r="V54" i="8" a="1"/>
  <c r="V54" i="8" s="1"/>
  <c r="V55" i="8" a="1"/>
  <c r="V55" i="8" s="1"/>
  <c r="V56" i="8" a="1"/>
  <c r="V56" i="8" s="1"/>
  <c r="V57" i="8" a="1"/>
  <c r="V57" i="8" s="1"/>
  <c r="V58" i="8" a="1"/>
  <c r="V58" i="8" s="1"/>
  <c r="V59" i="8" a="1"/>
  <c r="V59" i="8" s="1"/>
  <c r="V60" i="8" a="1"/>
  <c r="V60" i="8" s="1"/>
  <c r="V61" i="8" a="1"/>
  <c r="V61" i="8" s="1"/>
  <c r="V62" i="8" a="1"/>
  <c r="V62" i="8" s="1"/>
  <c r="V63" i="8" a="1"/>
  <c r="V63" i="8" s="1"/>
  <c r="V64" i="8" a="1"/>
  <c r="V64" i="8" s="1"/>
  <c r="V65" i="8" a="1"/>
  <c r="V65" i="8" s="1"/>
  <c r="V66" i="8" a="1"/>
  <c r="V66" i="8" s="1"/>
  <c r="V67" i="8" a="1"/>
  <c r="V67" i="8" s="1"/>
  <c r="V68" i="8" a="1"/>
  <c r="V68" i="8" s="1"/>
  <c r="V69" i="8" a="1"/>
  <c r="V69" i="8" s="1"/>
  <c r="V70" i="8" a="1"/>
  <c r="V70" i="8" s="1"/>
  <c r="V71" i="8" a="1"/>
  <c r="V71" i="8" s="1"/>
  <c r="V72" i="8" a="1"/>
  <c r="V72" i="8" s="1"/>
  <c r="V73" i="8" a="1"/>
  <c r="V73" i="8" s="1"/>
  <c r="V74" i="8" a="1"/>
  <c r="V74" i="8" s="1"/>
  <c r="V75" i="8" a="1"/>
  <c r="V75" i="8" s="1"/>
  <c r="V76" i="8" a="1"/>
  <c r="V76" i="8" s="1"/>
  <c r="V77" i="8" a="1"/>
  <c r="V77" i="8" s="1"/>
  <c r="V78" i="8" a="1"/>
  <c r="V78" i="8" s="1"/>
  <c r="V79" i="8" a="1"/>
  <c r="V79" i="8" s="1"/>
  <c r="V80" i="8" a="1"/>
  <c r="V80" i="8" s="1"/>
  <c r="V81" i="8" a="1"/>
  <c r="V81" i="8" s="1"/>
  <c r="V82" i="8" a="1"/>
  <c r="V82" i="8" s="1"/>
  <c r="V83" i="8" a="1"/>
  <c r="V83" i="8" s="1"/>
  <c r="V84" i="8" a="1"/>
  <c r="V84" i="8" s="1"/>
  <c r="V85" i="8" a="1"/>
  <c r="V85" i="8" s="1"/>
  <c r="V86" i="8" a="1"/>
  <c r="V86" i="8" s="1"/>
  <c r="V87" i="8" a="1"/>
  <c r="V87" i="8" s="1"/>
  <c r="V88" i="8" a="1"/>
  <c r="V88" i="8" s="1"/>
  <c r="V89" i="8" a="1"/>
  <c r="V89" i="8" s="1"/>
  <c r="V90" i="8" a="1"/>
  <c r="V90" i="8" s="1"/>
  <c r="V91" i="8" a="1"/>
  <c r="V91" i="8" s="1"/>
  <c r="V92" i="8" a="1"/>
  <c r="V92" i="8" s="1"/>
  <c r="V93" i="8" a="1"/>
  <c r="V93" i="8" s="1"/>
  <c r="V94" i="8" a="1"/>
  <c r="V94" i="8" s="1"/>
  <c r="V95" i="8" a="1"/>
  <c r="V95" i="8" s="1"/>
  <c r="V96" i="8" a="1"/>
  <c r="V96" i="8" s="1"/>
  <c r="V97" i="8" a="1"/>
  <c r="V97" i="8" s="1"/>
  <c r="V98" i="8" a="1"/>
  <c r="V98" i="8" s="1"/>
  <c r="V99" i="8" a="1"/>
  <c r="V99" i="8" s="1"/>
  <c r="V100" i="8" a="1"/>
  <c r="V100" i="8" s="1"/>
  <c r="V101" i="8" a="1"/>
  <c r="V101" i="8" s="1"/>
  <c r="V102" i="8" a="1"/>
  <c r="V102" i="8" s="1"/>
  <c r="V103" i="8" a="1"/>
  <c r="V103" i="8" s="1"/>
  <c r="V104" i="8" a="1"/>
  <c r="V104" i="8" s="1"/>
  <c r="V105" i="8" a="1"/>
  <c r="V105" i="8" s="1"/>
  <c r="V106" i="8" a="1"/>
  <c r="V106" i="8" s="1"/>
  <c r="V107" i="8" a="1"/>
  <c r="V107" i="8" s="1"/>
  <c r="V108" i="8" a="1"/>
  <c r="V108" i="8" s="1"/>
  <c r="V109" i="8" a="1"/>
  <c r="V109" i="8" s="1"/>
  <c r="V110" i="8" a="1"/>
  <c r="V110" i="8" s="1"/>
  <c r="V111" i="8" a="1"/>
  <c r="V111" i="8" s="1"/>
  <c r="V112" i="8" a="1"/>
  <c r="V112" i="8" s="1"/>
  <c r="V113" i="8" a="1"/>
  <c r="V113" i="8" s="1"/>
  <c r="V114" i="8" a="1"/>
  <c r="V114" i="8" s="1"/>
  <c r="V115" i="8" a="1"/>
  <c r="V115" i="8" s="1"/>
  <c r="V116" i="8" a="1"/>
  <c r="V116" i="8" s="1"/>
  <c r="V117" i="8" a="1"/>
  <c r="V117" i="8" s="1"/>
  <c r="V118" i="8" a="1"/>
  <c r="V118" i="8" s="1"/>
  <c r="V119" i="8" a="1"/>
  <c r="V119" i="8" s="1"/>
  <c r="V120" i="8" a="1"/>
  <c r="V120" i="8" s="1"/>
  <c r="V121" i="8" a="1"/>
  <c r="V121" i="8" s="1"/>
  <c r="V122" i="8" a="1"/>
  <c r="V122" i="8" s="1"/>
  <c r="V123" i="8" a="1"/>
  <c r="V123" i="8" s="1"/>
  <c r="V124" i="8" a="1"/>
  <c r="V124" i="8" s="1"/>
  <c r="V125" i="8" a="1"/>
  <c r="V125" i="8" s="1"/>
  <c r="V126" i="8" a="1"/>
  <c r="V126" i="8" s="1"/>
  <c r="V127" i="8" a="1"/>
  <c r="V127" i="8" s="1"/>
  <c r="V128" i="8" a="1"/>
  <c r="V128" i="8" s="1"/>
  <c r="V129" i="8" a="1"/>
  <c r="V129" i="8" s="1"/>
  <c r="V130" i="8" a="1"/>
  <c r="V130" i="8" s="1"/>
  <c r="V131" i="8" a="1"/>
  <c r="V131" i="8" s="1"/>
  <c r="V132" i="8" a="1"/>
  <c r="V132" i="8" s="1"/>
  <c r="V133" i="8" a="1"/>
  <c r="V133" i="8" s="1"/>
  <c r="V134" i="8" a="1"/>
  <c r="V134" i="8" s="1"/>
  <c r="V135" i="8" a="1"/>
  <c r="V135" i="8" s="1"/>
  <c r="V136" i="8" a="1"/>
  <c r="V136" i="8" s="1"/>
  <c r="V137" i="8" a="1"/>
  <c r="V137" i="8" s="1"/>
  <c r="V138" i="8" a="1"/>
  <c r="V138" i="8" s="1"/>
  <c r="V139" i="8" a="1"/>
  <c r="V139" i="8" s="1"/>
  <c r="V140" i="8" a="1"/>
  <c r="V140" i="8" s="1"/>
  <c r="V141" i="8" a="1"/>
  <c r="V141" i="8" s="1"/>
  <c r="V142" i="8" a="1"/>
  <c r="V142" i="8" s="1"/>
  <c r="V143" i="8" a="1"/>
  <c r="V143" i="8" s="1"/>
  <c r="V144" i="8" a="1"/>
  <c r="V144" i="8" s="1"/>
  <c r="V145" i="8" a="1"/>
  <c r="V145" i="8" s="1"/>
  <c r="V146" i="8" a="1"/>
  <c r="V146" i="8" s="1"/>
  <c r="V147" i="8" a="1"/>
  <c r="V147" i="8" s="1"/>
  <c r="V148" i="8" a="1"/>
  <c r="V148" i="8" s="1"/>
  <c r="V149" i="8" a="1"/>
  <c r="V149" i="8" s="1"/>
  <c r="V150" i="8" a="1"/>
  <c r="V150" i="8" s="1"/>
  <c r="V151" i="8" a="1"/>
  <c r="V151" i="8" s="1"/>
  <c r="V152" i="8" a="1"/>
  <c r="V152" i="8" s="1"/>
  <c r="V153" i="8" a="1"/>
  <c r="V153" i="8" s="1"/>
  <c r="V154" i="8" a="1"/>
  <c r="V154" i="8" s="1"/>
  <c r="V155" i="8" a="1"/>
  <c r="V155" i="8" s="1"/>
  <c r="V156" i="8" a="1"/>
  <c r="V156" i="8" s="1"/>
  <c r="V157" i="8" a="1"/>
  <c r="V157" i="8" s="1"/>
  <c r="V158" i="8" a="1"/>
  <c r="V158" i="8" s="1"/>
  <c r="V159" i="8" a="1"/>
  <c r="V159" i="8" s="1"/>
  <c r="V160" i="8" a="1"/>
  <c r="V160" i="8" s="1"/>
  <c r="V161" i="8" a="1"/>
  <c r="V161" i="8" s="1"/>
  <c r="V162" i="8" a="1"/>
  <c r="V162" i="8" s="1"/>
  <c r="V163" i="8" a="1"/>
  <c r="V163" i="8" s="1"/>
  <c r="V164" i="8" a="1"/>
  <c r="V164" i="8" s="1"/>
  <c r="V165" i="8" a="1"/>
  <c r="V165" i="8" s="1"/>
  <c r="V166" i="8" a="1"/>
  <c r="V166" i="8" s="1"/>
  <c r="V167" i="8" a="1"/>
  <c r="V167" i="8" s="1"/>
  <c r="V168" i="8" a="1"/>
  <c r="V168" i="8" s="1"/>
  <c r="V169" i="8" a="1"/>
  <c r="V169" i="8" s="1"/>
  <c r="V170" i="8" a="1"/>
  <c r="V170" i="8" s="1"/>
  <c r="V171" i="8" a="1"/>
  <c r="V171" i="8" s="1"/>
  <c r="V172" i="8" a="1"/>
  <c r="V172" i="8" s="1"/>
  <c r="V173" i="8" a="1"/>
  <c r="V173" i="8" s="1"/>
  <c r="V174" i="8" a="1"/>
  <c r="V174" i="8" s="1"/>
  <c r="V175" i="8" a="1"/>
  <c r="V175" i="8" s="1"/>
  <c r="V176" i="8" a="1"/>
  <c r="V176" i="8" s="1"/>
  <c r="V177" i="8" a="1"/>
  <c r="V177" i="8" s="1"/>
  <c r="V178" i="8" a="1"/>
  <c r="V178" i="8" s="1"/>
  <c r="V179" i="8" a="1"/>
  <c r="V179" i="8" s="1"/>
  <c r="V180" i="8" a="1"/>
  <c r="V180" i="8" s="1"/>
  <c r="V181" i="8" a="1"/>
  <c r="V181" i="8" s="1"/>
  <c r="V182" i="8" a="1"/>
  <c r="V182" i="8" s="1"/>
  <c r="V183" i="8" a="1"/>
  <c r="V183" i="8" s="1"/>
  <c r="V184" i="8" a="1"/>
  <c r="V184" i="8" s="1"/>
  <c r="V185" i="8" a="1"/>
  <c r="V185" i="8" s="1"/>
  <c r="V186" i="8" a="1"/>
  <c r="V186" i="8" s="1"/>
  <c r="V187" i="8" a="1"/>
  <c r="V187" i="8" s="1"/>
  <c r="V188" i="8" a="1"/>
  <c r="V188" i="8" s="1"/>
  <c r="V189" i="8" a="1"/>
  <c r="V189" i="8" s="1"/>
  <c r="V190" i="8" a="1"/>
  <c r="V190" i="8" s="1"/>
  <c r="V191" i="8" a="1"/>
  <c r="V191" i="8" s="1"/>
  <c r="V192" i="8" a="1"/>
  <c r="V192" i="8" s="1"/>
  <c r="V193" i="8" a="1"/>
  <c r="V193" i="8" s="1"/>
  <c r="V194" i="8" a="1"/>
  <c r="V194" i="8" s="1"/>
  <c r="V195" i="8" a="1"/>
  <c r="V195" i="8" s="1"/>
  <c r="V196" i="8" a="1"/>
  <c r="V196" i="8" s="1"/>
  <c r="V197" i="8" a="1"/>
  <c r="V197" i="8" s="1"/>
  <c r="V198" i="8" a="1"/>
  <c r="V198" i="8" s="1"/>
  <c r="V199" i="8" a="1"/>
  <c r="V199" i="8" s="1"/>
  <c r="V200" i="8" a="1"/>
  <c r="V200" i="8" s="1"/>
  <c r="V201" i="8" a="1"/>
  <c r="V201" i="8" s="1"/>
  <c r="V202" i="8" a="1"/>
  <c r="V202" i="8" s="1"/>
  <c r="V203" i="8" a="1"/>
  <c r="V203" i="8" s="1"/>
  <c r="V204" i="8" a="1"/>
  <c r="V204" i="8" s="1"/>
  <c r="V205" i="8" a="1"/>
  <c r="V205" i="8" s="1"/>
  <c r="V206" i="8" a="1"/>
  <c r="V206" i="8" s="1"/>
  <c r="V207" i="8" a="1"/>
  <c r="V207" i="8" s="1"/>
  <c r="V208" i="8" a="1"/>
  <c r="V208" i="8" s="1"/>
  <c r="V209" i="8" a="1"/>
  <c r="V209" i="8" s="1"/>
  <c r="V210" i="8" a="1"/>
  <c r="V210" i="8" s="1"/>
  <c r="V211" i="8" a="1"/>
  <c r="V211" i="8" s="1"/>
  <c r="V212" i="8" a="1"/>
  <c r="V212" i="8" s="1"/>
  <c r="V213" i="8" a="1"/>
  <c r="V213" i="8" s="1"/>
  <c r="V214" i="8" a="1"/>
  <c r="V214" i="8" s="1"/>
  <c r="V215" i="8" a="1"/>
  <c r="V215" i="8" s="1"/>
  <c r="V216" i="8" a="1"/>
  <c r="V216" i="8" s="1"/>
  <c r="V217" i="8" a="1"/>
  <c r="V217" i="8" s="1"/>
  <c r="V218" i="8" a="1"/>
  <c r="V218" i="8" s="1"/>
  <c r="V219" i="8" a="1"/>
  <c r="V219" i="8" s="1"/>
  <c r="V220" i="8" a="1"/>
  <c r="V220" i="8" s="1"/>
  <c r="V221" i="8" a="1"/>
  <c r="V221" i="8" s="1"/>
  <c r="V222" i="8" a="1"/>
  <c r="V222" i="8" s="1"/>
  <c r="V223" i="8" a="1"/>
  <c r="V223" i="8" s="1"/>
  <c r="V224" i="8" a="1"/>
  <c r="V224" i="8" s="1"/>
  <c r="V225" i="8" a="1"/>
  <c r="V225" i="8" s="1"/>
  <c r="V226" i="8" a="1"/>
  <c r="V226" i="8" s="1"/>
  <c r="V227" i="8" a="1"/>
  <c r="V227" i="8" s="1"/>
  <c r="V228" i="8" a="1"/>
  <c r="V228" i="8" s="1"/>
  <c r="V229" i="8" a="1"/>
  <c r="V229" i="8" s="1"/>
  <c r="V230" i="8" a="1"/>
  <c r="V230" i="8" s="1"/>
  <c r="V231" i="8" a="1"/>
  <c r="V231" i="8" s="1"/>
  <c r="V232" i="8" a="1"/>
  <c r="V232" i="8" s="1"/>
  <c r="V233" i="8" a="1"/>
  <c r="V233" i="8" s="1"/>
  <c r="V234" i="8" a="1"/>
  <c r="V234" i="8" s="1"/>
  <c r="V235" i="8" a="1"/>
  <c r="V235" i="8" s="1"/>
  <c r="V236" i="8" a="1"/>
  <c r="V236" i="8" s="1"/>
  <c r="V237" i="8" a="1"/>
  <c r="V237" i="8" s="1"/>
  <c r="V238" i="8" a="1"/>
  <c r="V238" i="8" s="1"/>
  <c r="V239" i="8" a="1"/>
  <c r="V239" i="8" s="1"/>
  <c r="V240" i="8" a="1"/>
  <c r="V240" i="8" s="1"/>
  <c r="V241" i="8" a="1"/>
  <c r="V241" i="8" s="1"/>
  <c r="V242" i="8" a="1"/>
  <c r="V242" i="8" s="1"/>
  <c r="V243" i="8" a="1"/>
  <c r="V243" i="8" s="1"/>
  <c r="V244" i="8" a="1"/>
  <c r="V244" i="8" s="1"/>
  <c r="V245" i="8" a="1"/>
  <c r="V245" i="8" s="1"/>
  <c r="V246" i="8" a="1"/>
  <c r="V246" i="8" s="1"/>
  <c r="V247" i="8" a="1"/>
  <c r="V247" i="8" s="1"/>
  <c r="V248" i="8" a="1"/>
  <c r="V248" i="8" s="1"/>
  <c r="V249" i="8" a="1"/>
  <c r="V249" i="8" s="1"/>
  <c r="V250" i="8" a="1"/>
  <c r="V250" i="8" s="1"/>
  <c r="U12" i="8" a="1"/>
  <c r="U12" i="8" s="1"/>
  <c r="U13" i="8" a="1"/>
  <c r="U13" i="8" s="1"/>
  <c r="U14" i="8" a="1"/>
  <c r="U14" i="8" s="1"/>
  <c r="U15" i="8" a="1"/>
  <c r="U15" i="8" s="1"/>
  <c r="U16" i="8" a="1"/>
  <c r="U16" i="8" s="1"/>
  <c r="U17" i="8" a="1"/>
  <c r="U17" i="8" s="1"/>
  <c r="U18" i="8" a="1"/>
  <c r="U18" i="8" s="1"/>
  <c r="U19" i="8" a="1"/>
  <c r="U19" i="8" s="1"/>
  <c r="U20" i="8" a="1"/>
  <c r="U20" i="8" s="1"/>
  <c r="U21" i="8" a="1"/>
  <c r="U21" i="8" s="1"/>
  <c r="U22" i="8" a="1"/>
  <c r="U22" i="8" s="1"/>
  <c r="U23" i="8" a="1"/>
  <c r="U23" i="8" s="1"/>
  <c r="U24" i="8" a="1"/>
  <c r="U24" i="8" s="1"/>
  <c r="U25" i="8" a="1"/>
  <c r="U25" i="8" s="1"/>
  <c r="U26" i="8" a="1"/>
  <c r="U26" i="8" s="1"/>
  <c r="U27" i="8" a="1"/>
  <c r="U27" i="8" s="1"/>
  <c r="U28" i="8" a="1"/>
  <c r="U28" i="8" s="1"/>
  <c r="U29" i="8" a="1"/>
  <c r="U29" i="8" s="1"/>
  <c r="U30" i="8" a="1"/>
  <c r="U30" i="8" s="1"/>
  <c r="U31" i="8" a="1"/>
  <c r="U31" i="8" s="1"/>
  <c r="U32" i="8" a="1"/>
  <c r="U32" i="8" s="1"/>
  <c r="U33" i="8" a="1"/>
  <c r="U33" i="8" s="1"/>
  <c r="U34" i="8" a="1"/>
  <c r="U34" i="8" s="1"/>
  <c r="U35" i="8" a="1"/>
  <c r="U35" i="8" s="1"/>
  <c r="U36" i="8" a="1"/>
  <c r="U36" i="8" s="1"/>
  <c r="U37" i="8" a="1"/>
  <c r="U37" i="8" s="1"/>
  <c r="U38" i="8" a="1"/>
  <c r="U38" i="8" s="1"/>
  <c r="U39" i="8" a="1"/>
  <c r="U39" i="8" s="1"/>
  <c r="U40" i="8" a="1"/>
  <c r="U40" i="8" s="1"/>
  <c r="U41" i="8" a="1"/>
  <c r="U41" i="8" s="1"/>
  <c r="U42" i="8" a="1"/>
  <c r="U42" i="8" s="1"/>
  <c r="U43" i="8" a="1"/>
  <c r="U43" i="8" s="1"/>
  <c r="U44" i="8" a="1"/>
  <c r="U44" i="8" s="1"/>
  <c r="U45" i="8" a="1"/>
  <c r="U45" i="8" s="1"/>
  <c r="U46" i="8" a="1"/>
  <c r="U46" i="8" s="1"/>
  <c r="U47" i="8" a="1"/>
  <c r="U47" i="8" s="1"/>
  <c r="U48" i="8" a="1"/>
  <c r="U48" i="8" s="1"/>
  <c r="U49" i="8" a="1"/>
  <c r="U49" i="8" s="1"/>
  <c r="U50" i="8" a="1"/>
  <c r="U50" i="8" s="1"/>
  <c r="U51" i="8" a="1"/>
  <c r="U51" i="8" s="1"/>
  <c r="U52" i="8" a="1"/>
  <c r="U52" i="8" s="1"/>
  <c r="U53" i="8" a="1"/>
  <c r="U53" i="8" s="1"/>
  <c r="U54" i="8" a="1"/>
  <c r="U54" i="8" s="1"/>
  <c r="U55" i="8" a="1"/>
  <c r="U55" i="8" s="1"/>
  <c r="U56" i="8" a="1"/>
  <c r="U56" i="8" s="1"/>
  <c r="U57" i="8" a="1"/>
  <c r="U57" i="8" s="1"/>
  <c r="U58" i="8" a="1"/>
  <c r="U58" i="8" s="1"/>
  <c r="U59" i="8" a="1"/>
  <c r="U59" i="8" s="1"/>
  <c r="U60" i="8" a="1"/>
  <c r="U60" i="8" s="1"/>
  <c r="U61" i="8" a="1"/>
  <c r="U61" i="8" s="1"/>
  <c r="U62" i="8" a="1"/>
  <c r="U62" i="8" s="1"/>
  <c r="U63" i="8" a="1"/>
  <c r="U63" i="8" s="1"/>
  <c r="U64" i="8" a="1"/>
  <c r="U64" i="8" s="1"/>
  <c r="U65" i="8" a="1"/>
  <c r="U65" i="8" s="1"/>
  <c r="U66" i="8" a="1"/>
  <c r="U66" i="8" s="1"/>
  <c r="U67" i="8" a="1"/>
  <c r="U67" i="8" s="1"/>
  <c r="U68" i="8" a="1"/>
  <c r="U68" i="8" s="1"/>
  <c r="U69" i="8" a="1"/>
  <c r="U69" i="8" s="1"/>
  <c r="U70" i="8" a="1"/>
  <c r="U70" i="8" s="1"/>
  <c r="U71" i="8" a="1"/>
  <c r="U71" i="8" s="1"/>
  <c r="U72" i="8" a="1"/>
  <c r="U72" i="8" s="1"/>
  <c r="U73" i="8" a="1"/>
  <c r="U73" i="8" s="1"/>
  <c r="U74" i="8" a="1"/>
  <c r="U74" i="8" s="1"/>
  <c r="U75" i="8" a="1"/>
  <c r="U75" i="8" s="1"/>
  <c r="U76" i="8" a="1"/>
  <c r="U76" i="8" s="1"/>
  <c r="U77" i="8" a="1"/>
  <c r="U77" i="8" s="1"/>
  <c r="U78" i="8" a="1"/>
  <c r="U78" i="8" s="1"/>
  <c r="U79" i="8" a="1"/>
  <c r="U79" i="8" s="1"/>
  <c r="U80" i="8" a="1"/>
  <c r="U80" i="8" s="1"/>
  <c r="U81" i="8" a="1"/>
  <c r="U81" i="8" s="1"/>
  <c r="U82" i="8" a="1"/>
  <c r="U82" i="8" s="1"/>
  <c r="U83" i="8" a="1"/>
  <c r="U83" i="8" s="1"/>
  <c r="U84" i="8" a="1"/>
  <c r="U84" i="8" s="1"/>
  <c r="U85" i="8" a="1"/>
  <c r="U85" i="8" s="1"/>
  <c r="U86" i="8" a="1"/>
  <c r="U86" i="8" s="1"/>
  <c r="U87" i="8" a="1"/>
  <c r="U87" i="8" s="1"/>
  <c r="U88" i="8" a="1"/>
  <c r="U88" i="8" s="1"/>
  <c r="U89" i="8" a="1"/>
  <c r="U89" i="8" s="1"/>
  <c r="U90" i="8" a="1"/>
  <c r="U90" i="8" s="1"/>
  <c r="U91" i="8" a="1"/>
  <c r="U91" i="8" s="1"/>
  <c r="U92" i="8" a="1"/>
  <c r="U92" i="8" s="1"/>
  <c r="U93" i="8" a="1"/>
  <c r="U93" i="8" s="1"/>
  <c r="U94" i="8" a="1"/>
  <c r="U94" i="8" s="1"/>
  <c r="U95" i="8" a="1"/>
  <c r="U95" i="8" s="1"/>
  <c r="U96" i="8" a="1"/>
  <c r="U96" i="8" s="1"/>
  <c r="U97" i="8" a="1"/>
  <c r="U97" i="8" s="1"/>
  <c r="U98" i="8" a="1"/>
  <c r="U98" i="8" s="1"/>
  <c r="U99" i="8" a="1"/>
  <c r="U99" i="8" s="1"/>
  <c r="U100" i="8" a="1"/>
  <c r="U100" i="8" s="1"/>
  <c r="U101" i="8" a="1"/>
  <c r="U101" i="8" s="1"/>
  <c r="U102" i="8" a="1"/>
  <c r="U102" i="8" s="1"/>
  <c r="U103" i="8" a="1"/>
  <c r="U103" i="8" s="1"/>
  <c r="U104" i="8" a="1"/>
  <c r="U104" i="8" s="1"/>
  <c r="U105" i="8" a="1"/>
  <c r="U105" i="8" s="1"/>
  <c r="U106" i="8" a="1"/>
  <c r="U106" i="8" s="1"/>
  <c r="U107" i="8" a="1"/>
  <c r="U107" i="8" s="1"/>
  <c r="U108" i="8" a="1"/>
  <c r="U108" i="8" s="1"/>
  <c r="U109" i="8" a="1"/>
  <c r="U109" i="8" s="1"/>
  <c r="U110" i="8" a="1"/>
  <c r="U110" i="8" s="1"/>
  <c r="U111" i="8" a="1"/>
  <c r="U111" i="8" s="1"/>
  <c r="U112" i="8" a="1"/>
  <c r="U112" i="8" s="1"/>
  <c r="U113" i="8" a="1"/>
  <c r="U113" i="8" s="1"/>
  <c r="U114" i="8" a="1"/>
  <c r="U114" i="8" s="1"/>
  <c r="U115" i="8" a="1"/>
  <c r="U115" i="8" s="1"/>
  <c r="U116" i="8" a="1"/>
  <c r="U116" i="8" s="1"/>
  <c r="U117" i="8" a="1"/>
  <c r="U117" i="8" s="1"/>
  <c r="U118" i="8" a="1"/>
  <c r="U118" i="8" s="1"/>
  <c r="U119" i="8" a="1"/>
  <c r="U119" i="8" s="1"/>
  <c r="U120" i="8" a="1"/>
  <c r="U120" i="8" s="1"/>
  <c r="U121" i="8" a="1"/>
  <c r="U121" i="8" s="1"/>
  <c r="U122" i="8" a="1"/>
  <c r="U122" i="8" s="1"/>
  <c r="U123" i="8" a="1"/>
  <c r="U123" i="8" s="1"/>
  <c r="U124" i="8" a="1"/>
  <c r="U124" i="8" s="1"/>
  <c r="U125" i="8" a="1"/>
  <c r="U125" i="8" s="1"/>
  <c r="U126" i="8" a="1"/>
  <c r="U126" i="8" s="1"/>
  <c r="U127" i="8" a="1"/>
  <c r="U127" i="8" s="1"/>
  <c r="U128" i="8" a="1"/>
  <c r="U128" i="8" s="1"/>
  <c r="U129" i="8" a="1"/>
  <c r="U129" i="8" s="1"/>
  <c r="U130" i="8" a="1"/>
  <c r="U130" i="8" s="1"/>
  <c r="U131" i="8" a="1"/>
  <c r="U131" i="8" s="1"/>
  <c r="U132" i="8" a="1"/>
  <c r="U132" i="8" s="1"/>
  <c r="U133" i="8" a="1"/>
  <c r="U133" i="8" s="1"/>
  <c r="U134" i="8" a="1"/>
  <c r="U134" i="8" s="1"/>
  <c r="U135" i="8" a="1"/>
  <c r="U135" i="8" s="1"/>
  <c r="U136" i="8" a="1"/>
  <c r="U136" i="8" s="1"/>
  <c r="U137" i="8" a="1"/>
  <c r="U137" i="8" s="1"/>
  <c r="U138" i="8" a="1"/>
  <c r="U138" i="8" s="1"/>
  <c r="U139" i="8" a="1"/>
  <c r="U139" i="8" s="1"/>
  <c r="U140" i="8" a="1"/>
  <c r="U140" i="8" s="1"/>
  <c r="U141" i="8" a="1"/>
  <c r="U141" i="8" s="1"/>
  <c r="U142" i="8" a="1"/>
  <c r="U142" i="8" s="1"/>
  <c r="U143" i="8" a="1"/>
  <c r="U143" i="8" s="1"/>
  <c r="U144" i="8" a="1"/>
  <c r="U144" i="8" s="1"/>
  <c r="U145" i="8" a="1"/>
  <c r="U145" i="8" s="1"/>
  <c r="U146" i="8" a="1"/>
  <c r="U146" i="8" s="1"/>
  <c r="U147" i="8" a="1"/>
  <c r="U147" i="8" s="1"/>
  <c r="U148" i="8" a="1"/>
  <c r="U148" i="8" s="1"/>
  <c r="U149" i="8" a="1"/>
  <c r="U149" i="8" s="1"/>
  <c r="U150" i="8" a="1"/>
  <c r="U150" i="8" s="1"/>
  <c r="U151" i="8" a="1"/>
  <c r="U151" i="8" s="1"/>
  <c r="U152" i="8" a="1"/>
  <c r="U152" i="8" s="1"/>
  <c r="U153" i="8" a="1"/>
  <c r="U153" i="8" s="1"/>
  <c r="U154" i="8" a="1"/>
  <c r="U154" i="8" s="1"/>
  <c r="U155" i="8" a="1"/>
  <c r="U155" i="8" s="1"/>
  <c r="U156" i="8" a="1"/>
  <c r="U156" i="8" s="1"/>
  <c r="U157" i="8" a="1"/>
  <c r="U157" i="8" s="1"/>
  <c r="U158" i="8" a="1"/>
  <c r="U158" i="8" s="1"/>
  <c r="U159" i="8" a="1"/>
  <c r="U159" i="8" s="1"/>
  <c r="U160" i="8" a="1"/>
  <c r="U160" i="8" s="1"/>
  <c r="U161" i="8" a="1"/>
  <c r="U161" i="8" s="1"/>
  <c r="U162" i="8" a="1"/>
  <c r="U162" i="8" s="1"/>
  <c r="U163" i="8" a="1"/>
  <c r="U163" i="8" s="1"/>
  <c r="U164" i="8" a="1"/>
  <c r="U164" i="8" s="1"/>
  <c r="U165" i="8" a="1"/>
  <c r="U165" i="8" s="1"/>
  <c r="U166" i="8" a="1"/>
  <c r="U166" i="8" s="1"/>
  <c r="U167" i="8" a="1"/>
  <c r="U167" i="8" s="1"/>
  <c r="U168" i="8" a="1"/>
  <c r="U168" i="8" s="1"/>
  <c r="U169" i="8" a="1"/>
  <c r="U169" i="8" s="1"/>
  <c r="U170" i="8" a="1"/>
  <c r="U170" i="8" s="1"/>
  <c r="U171" i="8" a="1"/>
  <c r="U171" i="8" s="1"/>
  <c r="U172" i="8" a="1"/>
  <c r="U172" i="8" s="1"/>
  <c r="U173" i="8" a="1"/>
  <c r="U173" i="8" s="1"/>
  <c r="U174" i="8" a="1"/>
  <c r="U174" i="8" s="1"/>
  <c r="U175" i="8" a="1"/>
  <c r="U175" i="8" s="1"/>
  <c r="U176" i="8" a="1"/>
  <c r="U176" i="8" s="1"/>
  <c r="U177" i="8" a="1"/>
  <c r="U177" i="8" s="1"/>
  <c r="U178" i="8" a="1"/>
  <c r="U178" i="8" s="1"/>
  <c r="U179" i="8" a="1"/>
  <c r="U179" i="8" s="1"/>
  <c r="U180" i="8" a="1"/>
  <c r="U180" i="8" s="1"/>
  <c r="U181" i="8" a="1"/>
  <c r="U181" i="8" s="1"/>
  <c r="U182" i="8" a="1"/>
  <c r="U182" i="8" s="1"/>
  <c r="U183" i="8" a="1"/>
  <c r="U183" i="8" s="1"/>
  <c r="U184" i="8" a="1"/>
  <c r="U184" i="8" s="1"/>
  <c r="U185" i="8" a="1"/>
  <c r="U185" i="8" s="1"/>
  <c r="U186" i="8" a="1"/>
  <c r="U186" i="8" s="1"/>
  <c r="U187" i="8" a="1"/>
  <c r="U187" i="8" s="1"/>
  <c r="U188" i="8" a="1"/>
  <c r="U188" i="8" s="1"/>
  <c r="U189" i="8" a="1"/>
  <c r="U189" i="8" s="1"/>
  <c r="U190" i="8" a="1"/>
  <c r="U190" i="8" s="1"/>
  <c r="U191" i="8" a="1"/>
  <c r="U191" i="8" s="1"/>
  <c r="U192" i="8" a="1"/>
  <c r="U192" i="8" s="1"/>
  <c r="U193" i="8" a="1"/>
  <c r="U193" i="8" s="1"/>
  <c r="U194" i="8" a="1"/>
  <c r="U194" i="8" s="1"/>
  <c r="U195" i="8" a="1"/>
  <c r="U195" i="8" s="1"/>
  <c r="U196" i="8" a="1"/>
  <c r="U196" i="8" s="1"/>
  <c r="U197" i="8" a="1"/>
  <c r="U197" i="8" s="1"/>
  <c r="U198" i="8" a="1"/>
  <c r="U198" i="8" s="1"/>
  <c r="U199" i="8" a="1"/>
  <c r="U199" i="8" s="1"/>
  <c r="U200" i="8" a="1"/>
  <c r="U200" i="8" s="1"/>
  <c r="U201" i="8" a="1"/>
  <c r="U201" i="8" s="1"/>
  <c r="U202" i="8" a="1"/>
  <c r="U202" i="8" s="1"/>
  <c r="U203" i="8" a="1"/>
  <c r="U203" i="8" s="1"/>
  <c r="U204" i="8" a="1"/>
  <c r="U204" i="8" s="1"/>
  <c r="U205" i="8" a="1"/>
  <c r="U205" i="8" s="1"/>
  <c r="U206" i="8" a="1"/>
  <c r="U206" i="8" s="1"/>
  <c r="U207" i="8" a="1"/>
  <c r="U207" i="8" s="1"/>
  <c r="U208" i="8" a="1"/>
  <c r="U208" i="8" s="1"/>
  <c r="U209" i="8" a="1"/>
  <c r="U209" i="8" s="1"/>
  <c r="U210" i="8" a="1"/>
  <c r="U210" i="8" s="1"/>
  <c r="U211" i="8" a="1"/>
  <c r="U211" i="8" s="1"/>
  <c r="U212" i="8" a="1"/>
  <c r="U212" i="8" s="1"/>
  <c r="U213" i="8" a="1"/>
  <c r="U213" i="8" s="1"/>
  <c r="U214" i="8" a="1"/>
  <c r="U214" i="8" s="1"/>
  <c r="U215" i="8" a="1"/>
  <c r="U215" i="8" s="1"/>
  <c r="U216" i="8" a="1"/>
  <c r="U216" i="8" s="1"/>
  <c r="U217" i="8" a="1"/>
  <c r="U217" i="8" s="1"/>
  <c r="U218" i="8" a="1"/>
  <c r="U218" i="8" s="1"/>
  <c r="U219" i="8" a="1"/>
  <c r="U219" i="8" s="1"/>
  <c r="U220" i="8" a="1"/>
  <c r="U220" i="8" s="1"/>
  <c r="U221" i="8" a="1"/>
  <c r="U221" i="8" s="1"/>
  <c r="U222" i="8" a="1"/>
  <c r="U222" i="8" s="1"/>
  <c r="U223" i="8" a="1"/>
  <c r="U223" i="8" s="1"/>
  <c r="U224" i="8" a="1"/>
  <c r="U224" i="8" s="1"/>
  <c r="U225" i="8" a="1"/>
  <c r="U225" i="8" s="1"/>
  <c r="U226" i="8" a="1"/>
  <c r="U226" i="8" s="1"/>
  <c r="U227" i="8" a="1"/>
  <c r="U227" i="8" s="1"/>
  <c r="U228" i="8" a="1"/>
  <c r="U228" i="8" s="1"/>
  <c r="U229" i="8" a="1"/>
  <c r="U229" i="8" s="1"/>
  <c r="U230" i="8" a="1"/>
  <c r="U230" i="8" s="1"/>
  <c r="U231" i="8" a="1"/>
  <c r="U231" i="8" s="1"/>
  <c r="U232" i="8" a="1"/>
  <c r="U232" i="8" s="1"/>
  <c r="U233" i="8" a="1"/>
  <c r="U233" i="8" s="1"/>
  <c r="U234" i="8" a="1"/>
  <c r="U234" i="8" s="1"/>
  <c r="U235" i="8" a="1"/>
  <c r="U235" i="8" s="1"/>
  <c r="U236" i="8" a="1"/>
  <c r="U236" i="8" s="1"/>
  <c r="U237" i="8" a="1"/>
  <c r="U237" i="8" s="1"/>
  <c r="U238" i="8" a="1"/>
  <c r="U238" i="8" s="1"/>
  <c r="U239" i="8" a="1"/>
  <c r="U239" i="8" s="1"/>
  <c r="U240" i="8" a="1"/>
  <c r="U240" i="8" s="1"/>
  <c r="U241" i="8" a="1"/>
  <c r="U241" i="8" s="1"/>
  <c r="U242" i="8" a="1"/>
  <c r="U242" i="8" s="1"/>
  <c r="U243" i="8" a="1"/>
  <c r="U243" i="8" s="1"/>
  <c r="U244" i="8" a="1"/>
  <c r="U244" i="8" s="1"/>
  <c r="U245" i="8" a="1"/>
  <c r="U245" i="8" s="1"/>
  <c r="U246" i="8" a="1"/>
  <c r="U246" i="8" s="1"/>
  <c r="U247" i="8" a="1"/>
  <c r="U247" i="8" s="1"/>
  <c r="U248" i="8" a="1"/>
  <c r="U248" i="8" s="1"/>
  <c r="U249" i="8" a="1"/>
  <c r="U249" i="8" s="1"/>
  <c r="U250" i="8" a="1"/>
  <c r="U250" i="8" s="1"/>
  <c r="T12" i="8" a="1"/>
  <c r="T12" i="8" s="1"/>
  <c r="T13" i="8" a="1"/>
  <c r="T13" i="8" s="1"/>
  <c r="T14" i="8" a="1"/>
  <c r="T14" i="8" s="1"/>
  <c r="T15" i="8" a="1"/>
  <c r="T15" i="8" s="1"/>
  <c r="T16" i="8" a="1"/>
  <c r="T16" i="8" s="1"/>
  <c r="T17" i="8" a="1"/>
  <c r="T17" i="8" s="1"/>
  <c r="T18" i="8" a="1"/>
  <c r="T18" i="8" s="1"/>
  <c r="T19" i="8" a="1"/>
  <c r="T19" i="8" s="1"/>
  <c r="T20" i="8" a="1"/>
  <c r="T20" i="8" s="1"/>
  <c r="T21" i="8" a="1"/>
  <c r="T21" i="8" s="1"/>
  <c r="T22" i="8" a="1"/>
  <c r="T22" i="8" s="1"/>
  <c r="T23" i="8" a="1"/>
  <c r="T23" i="8" s="1"/>
  <c r="T24" i="8" a="1"/>
  <c r="T24" i="8" s="1"/>
  <c r="T25" i="8" a="1"/>
  <c r="T25" i="8" s="1"/>
  <c r="T26" i="8" a="1"/>
  <c r="T26" i="8" s="1"/>
  <c r="T27" i="8" a="1"/>
  <c r="T27" i="8" s="1"/>
  <c r="T28" i="8" a="1"/>
  <c r="T28" i="8" s="1"/>
  <c r="T29" i="8" a="1"/>
  <c r="T29" i="8" s="1"/>
  <c r="T30" i="8" a="1"/>
  <c r="T30" i="8" s="1"/>
  <c r="T31" i="8" a="1"/>
  <c r="T31" i="8" s="1"/>
  <c r="T32" i="8" a="1"/>
  <c r="T32" i="8" s="1"/>
  <c r="T33" i="8" a="1"/>
  <c r="T33" i="8" s="1"/>
  <c r="T34" i="8" a="1"/>
  <c r="T34" i="8" s="1"/>
  <c r="T35" i="8" a="1"/>
  <c r="T35" i="8" s="1"/>
  <c r="T36" i="8" a="1"/>
  <c r="T36" i="8" s="1"/>
  <c r="T37" i="8" a="1"/>
  <c r="T37" i="8" s="1"/>
  <c r="T38" i="8" a="1"/>
  <c r="T38" i="8" s="1"/>
  <c r="T39" i="8" a="1"/>
  <c r="T39" i="8" s="1"/>
  <c r="T40" i="8" a="1"/>
  <c r="T40" i="8" s="1"/>
  <c r="T41" i="8" a="1"/>
  <c r="T41" i="8" s="1"/>
  <c r="T42" i="8" a="1"/>
  <c r="T42" i="8" s="1"/>
  <c r="T43" i="8" a="1"/>
  <c r="T43" i="8" s="1"/>
  <c r="T44" i="8" a="1"/>
  <c r="T44" i="8" s="1"/>
  <c r="T45" i="8" a="1"/>
  <c r="T45" i="8" s="1"/>
  <c r="T46" i="8" a="1"/>
  <c r="T46" i="8" s="1"/>
  <c r="T47" i="8" a="1"/>
  <c r="T47" i="8" s="1"/>
  <c r="T48" i="8" a="1"/>
  <c r="T48" i="8" s="1"/>
  <c r="T49" i="8" a="1"/>
  <c r="T49" i="8" s="1"/>
  <c r="T50" i="8" a="1"/>
  <c r="T50" i="8" s="1"/>
  <c r="T51" i="8" a="1"/>
  <c r="T51" i="8" s="1"/>
  <c r="T52" i="8" a="1"/>
  <c r="T52" i="8" s="1"/>
  <c r="T53" i="8" a="1"/>
  <c r="T53" i="8" s="1"/>
  <c r="T54" i="8" a="1"/>
  <c r="T54" i="8" s="1"/>
  <c r="T55" i="8" a="1"/>
  <c r="T55" i="8" s="1"/>
  <c r="T56" i="8" a="1"/>
  <c r="T56" i="8" s="1"/>
  <c r="T57" i="8" a="1"/>
  <c r="T57" i="8" s="1"/>
  <c r="T58" i="8" a="1"/>
  <c r="T58" i="8" s="1"/>
  <c r="T59" i="8" a="1"/>
  <c r="T59" i="8" s="1"/>
  <c r="T60" i="8" a="1"/>
  <c r="T60" i="8" s="1"/>
  <c r="T61" i="8" a="1"/>
  <c r="T61" i="8" s="1"/>
  <c r="T62" i="8" a="1"/>
  <c r="T62" i="8" s="1"/>
  <c r="T63" i="8" a="1"/>
  <c r="T63" i="8" s="1"/>
  <c r="T64" i="8" a="1"/>
  <c r="T64" i="8" s="1"/>
  <c r="T65" i="8" a="1"/>
  <c r="T65" i="8" s="1"/>
  <c r="T66" i="8" a="1"/>
  <c r="T66" i="8" s="1"/>
  <c r="T67" i="8" a="1"/>
  <c r="T67" i="8" s="1"/>
  <c r="T68" i="8" a="1"/>
  <c r="T68" i="8" s="1"/>
  <c r="T69" i="8" a="1"/>
  <c r="T69" i="8" s="1"/>
  <c r="T70" i="8" a="1"/>
  <c r="T70" i="8" s="1"/>
  <c r="T71" i="8" a="1"/>
  <c r="T71" i="8" s="1"/>
  <c r="T72" i="8" a="1"/>
  <c r="T72" i="8" s="1"/>
  <c r="T73" i="8" a="1"/>
  <c r="T73" i="8" s="1"/>
  <c r="T74" i="8" a="1"/>
  <c r="T74" i="8" s="1"/>
  <c r="T75" i="8" a="1"/>
  <c r="T75" i="8" s="1"/>
  <c r="T76" i="8" a="1"/>
  <c r="T76" i="8" s="1"/>
  <c r="T77" i="8" a="1"/>
  <c r="T77" i="8" s="1"/>
  <c r="T78" i="8" a="1"/>
  <c r="T78" i="8" s="1"/>
  <c r="T79" i="8" a="1"/>
  <c r="T79" i="8" s="1"/>
  <c r="T80" i="8" a="1"/>
  <c r="T80" i="8" s="1"/>
  <c r="T81" i="8" a="1"/>
  <c r="T81" i="8" s="1"/>
  <c r="T82" i="8" a="1"/>
  <c r="T82" i="8" s="1"/>
  <c r="T83" i="8" a="1"/>
  <c r="T83" i="8" s="1"/>
  <c r="T84" i="8" a="1"/>
  <c r="T84" i="8" s="1"/>
  <c r="T85" i="8" a="1"/>
  <c r="T85" i="8" s="1"/>
  <c r="T86" i="8" a="1"/>
  <c r="T86" i="8" s="1"/>
  <c r="T87" i="8" a="1"/>
  <c r="T87" i="8" s="1"/>
  <c r="T88" i="8" a="1"/>
  <c r="T88" i="8" s="1"/>
  <c r="T89" i="8" a="1"/>
  <c r="T89" i="8" s="1"/>
  <c r="T90" i="8" a="1"/>
  <c r="T90" i="8" s="1"/>
  <c r="T91" i="8" a="1"/>
  <c r="T91" i="8" s="1"/>
  <c r="T92" i="8" a="1"/>
  <c r="T92" i="8" s="1"/>
  <c r="T93" i="8" a="1"/>
  <c r="T93" i="8" s="1"/>
  <c r="T94" i="8" a="1"/>
  <c r="T94" i="8" s="1"/>
  <c r="T95" i="8" a="1"/>
  <c r="T95" i="8" s="1"/>
  <c r="T96" i="8" a="1"/>
  <c r="T96" i="8" s="1"/>
  <c r="T97" i="8" a="1"/>
  <c r="T97" i="8" s="1"/>
  <c r="T98" i="8" a="1"/>
  <c r="T98" i="8" s="1"/>
  <c r="T99" i="8" a="1"/>
  <c r="T99" i="8" s="1"/>
  <c r="T100" i="8" a="1"/>
  <c r="T100" i="8" s="1"/>
  <c r="T101" i="8" a="1"/>
  <c r="T101" i="8" s="1"/>
  <c r="T102" i="8" a="1"/>
  <c r="T102" i="8" s="1"/>
  <c r="T103" i="8" a="1"/>
  <c r="T103" i="8" s="1"/>
  <c r="T104" i="8" a="1"/>
  <c r="T104" i="8" s="1"/>
  <c r="T105" i="8" a="1"/>
  <c r="T105" i="8" s="1"/>
  <c r="T106" i="8" a="1"/>
  <c r="T106" i="8" s="1"/>
  <c r="T107" i="8" a="1"/>
  <c r="T107" i="8" s="1"/>
  <c r="T108" i="8" a="1"/>
  <c r="T108" i="8" s="1"/>
  <c r="T109" i="8" a="1"/>
  <c r="T109" i="8" s="1"/>
  <c r="T110" i="8" a="1"/>
  <c r="T110" i="8" s="1"/>
  <c r="T111" i="8" a="1"/>
  <c r="T111" i="8" s="1"/>
  <c r="T112" i="8" a="1"/>
  <c r="T112" i="8" s="1"/>
  <c r="T113" i="8" a="1"/>
  <c r="T113" i="8" s="1"/>
  <c r="T114" i="8" a="1"/>
  <c r="T114" i="8" s="1"/>
  <c r="T115" i="8" a="1"/>
  <c r="T115" i="8" s="1"/>
  <c r="T116" i="8" a="1"/>
  <c r="T116" i="8" s="1"/>
  <c r="T117" i="8" a="1"/>
  <c r="T117" i="8" s="1"/>
  <c r="T118" i="8" a="1"/>
  <c r="T118" i="8" s="1"/>
  <c r="T119" i="8" a="1"/>
  <c r="T119" i="8" s="1"/>
  <c r="T120" i="8" a="1"/>
  <c r="T120" i="8" s="1"/>
  <c r="T121" i="8" a="1"/>
  <c r="T121" i="8" s="1"/>
  <c r="T122" i="8" a="1"/>
  <c r="T122" i="8" s="1"/>
  <c r="T123" i="8" a="1"/>
  <c r="T123" i="8" s="1"/>
  <c r="T124" i="8" a="1"/>
  <c r="T124" i="8" s="1"/>
  <c r="T125" i="8" a="1"/>
  <c r="T125" i="8" s="1"/>
  <c r="T126" i="8" a="1"/>
  <c r="T126" i="8" s="1"/>
  <c r="T127" i="8" a="1"/>
  <c r="T127" i="8" s="1"/>
  <c r="T128" i="8" a="1"/>
  <c r="T128" i="8" s="1"/>
  <c r="T129" i="8" a="1"/>
  <c r="T129" i="8" s="1"/>
  <c r="T130" i="8" a="1"/>
  <c r="T130" i="8" s="1"/>
  <c r="T131" i="8" a="1"/>
  <c r="T131" i="8" s="1"/>
  <c r="T132" i="8" a="1"/>
  <c r="T132" i="8" s="1"/>
  <c r="T133" i="8" a="1"/>
  <c r="T133" i="8" s="1"/>
  <c r="T134" i="8" a="1"/>
  <c r="T134" i="8" s="1"/>
  <c r="T135" i="8" a="1"/>
  <c r="T135" i="8" s="1"/>
  <c r="T136" i="8" a="1"/>
  <c r="T136" i="8" s="1"/>
  <c r="T137" i="8" a="1"/>
  <c r="T137" i="8" s="1"/>
  <c r="T138" i="8" a="1"/>
  <c r="T138" i="8" s="1"/>
  <c r="T139" i="8" a="1"/>
  <c r="T139" i="8" s="1"/>
  <c r="T140" i="8" a="1"/>
  <c r="T140" i="8" s="1"/>
  <c r="T141" i="8" a="1"/>
  <c r="T141" i="8" s="1"/>
  <c r="T142" i="8" a="1"/>
  <c r="T142" i="8" s="1"/>
  <c r="T143" i="8" a="1"/>
  <c r="T143" i="8" s="1"/>
  <c r="T144" i="8" a="1"/>
  <c r="T144" i="8" s="1"/>
  <c r="T145" i="8" a="1"/>
  <c r="T145" i="8" s="1"/>
  <c r="T146" i="8" a="1"/>
  <c r="T146" i="8" s="1"/>
  <c r="T147" i="8" a="1"/>
  <c r="T147" i="8" s="1"/>
  <c r="T148" i="8" a="1"/>
  <c r="T148" i="8" s="1"/>
  <c r="T149" i="8" a="1"/>
  <c r="T149" i="8" s="1"/>
  <c r="T150" i="8" a="1"/>
  <c r="T150" i="8" s="1"/>
  <c r="T151" i="8" a="1"/>
  <c r="T151" i="8" s="1"/>
  <c r="T152" i="8" a="1"/>
  <c r="T152" i="8" s="1"/>
  <c r="T153" i="8" a="1"/>
  <c r="T153" i="8" s="1"/>
  <c r="T154" i="8" a="1"/>
  <c r="T154" i="8" s="1"/>
  <c r="T155" i="8" a="1"/>
  <c r="T155" i="8" s="1"/>
  <c r="T156" i="8" a="1"/>
  <c r="T156" i="8" s="1"/>
  <c r="T157" i="8" a="1"/>
  <c r="T157" i="8" s="1"/>
  <c r="T158" i="8" a="1"/>
  <c r="T158" i="8" s="1"/>
  <c r="T159" i="8" a="1"/>
  <c r="T159" i="8" s="1"/>
  <c r="T160" i="8" a="1"/>
  <c r="T160" i="8" s="1"/>
  <c r="T161" i="8" a="1"/>
  <c r="T161" i="8" s="1"/>
  <c r="T162" i="8" a="1"/>
  <c r="T162" i="8" s="1"/>
  <c r="T163" i="8" a="1"/>
  <c r="T163" i="8" s="1"/>
  <c r="T164" i="8" a="1"/>
  <c r="T164" i="8" s="1"/>
  <c r="T165" i="8" a="1"/>
  <c r="T165" i="8" s="1"/>
  <c r="T166" i="8" a="1"/>
  <c r="T166" i="8" s="1"/>
  <c r="T167" i="8" a="1"/>
  <c r="T167" i="8" s="1"/>
  <c r="T168" i="8" a="1"/>
  <c r="T168" i="8" s="1"/>
  <c r="T169" i="8" a="1"/>
  <c r="T169" i="8" s="1"/>
  <c r="T170" i="8" a="1"/>
  <c r="T170" i="8" s="1"/>
  <c r="T171" i="8" a="1"/>
  <c r="T171" i="8" s="1"/>
  <c r="T172" i="8" a="1"/>
  <c r="T172" i="8" s="1"/>
  <c r="T173" i="8" a="1"/>
  <c r="T173" i="8" s="1"/>
  <c r="T174" i="8" a="1"/>
  <c r="T174" i="8" s="1"/>
  <c r="T175" i="8" a="1"/>
  <c r="T175" i="8" s="1"/>
  <c r="T176" i="8" a="1"/>
  <c r="T176" i="8" s="1"/>
  <c r="T177" i="8" a="1"/>
  <c r="T177" i="8" s="1"/>
  <c r="T178" i="8" a="1"/>
  <c r="T178" i="8" s="1"/>
  <c r="T179" i="8" a="1"/>
  <c r="T179" i="8" s="1"/>
  <c r="T180" i="8" a="1"/>
  <c r="T180" i="8" s="1"/>
  <c r="T181" i="8" a="1"/>
  <c r="T181" i="8" s="1"/>
  <c r="T182" i="8" a="1"/>
  <c r="T182" i="8" s="1"/>
  <c r="T183" i="8" a="1"/>
  <c r="T183" i="8" s="1"/>
  <c r="T184" i="8" a="1"/>
  <c r="T184" i="8" s="1"/>
  <c r="T185" i="8" a="1"/>
  <c r="T185" i="8" s="1"/>
  <c r="T186" i="8" a="1"/>
  <c r="T186" i="8" s="1"/>
  <c r="T187" i="8" a="1"/>
  <c r="T187" i="8" s="1"/>
  <c r="T188" i="8" a="1"/>
  <c r="T188" i="8" s="1"/>
  <c r="T189" i="8" a="1"/>
  <c r="T189" i="8" s="1"/>
  <c r="T190" i="8" a="1"/>
  <c r="T190" i="8" s="1"/>
  <c r="T191" i="8" a="1"/>
  <c r="T191" i="8" s="1"/>
  <c r="T192" i="8" a="1"/>
  <c r="T192" i="8" s="1"/>
  <c r="T193" i="8" a="1"/>
  <c r="T193" i="8" s="1"/>
  <c r="T194" i="8" a="1"/>
  <c r="T194" i="8" s="1"/>
  <c r="T195" i="8" a="1"/>
  <c r="T195" i="8" s="1"/>
  <c r="T196" i="8" a="1"/>
  <c r="T196" i="8" s="1"/>
  <c r="T197" i="8" a="1"/>
  <c r="T197" i="8" s="1"/>
  <c r="T198" i="8" a="1"/>
  <c r="T198" i="8" s="1"/>
  <c r="T199" i="8" a="1"/>
  <c r="T199" i="8" s="1"/>
  <c r="T200" i="8" a="1"/>
  <c r="T200" i="8" s="1"/>
  <c r="T201" i="8" a="1"/>
  <c r="T201" i="8" s="1"/>
  <c r="T202" i="8" a="1"/>
  <c r="T202" i="8" s="1"/>
  <c r="T203" i="8" a="1"/>
  <c r="T203" i="8" s="1"/>
  <c r="T204" i="8" a="1"/>
  <c r="T204" i="8" s="1"/>
  <c r="T205" i="8" a="1"/>
  <c r="T205" i="8" s="1"/>
  <c r="T206" i="8" a="1"/>
  <c r="T206" i="8" s="1"/>
  <c r="T207" i="8" a="1"/>
  <c r="T207" i="8" s="1"/>
  <c r="T208" i="8" a="1"/>
  <c r="T208" i="8" s="1"/>
  <c r="T209" i="8" a="1"/>
  <c r="T209" i="8" s="1"/>
  <c r="T210" i="8" a="1"/>
  <c r="T210" i="8" s="1"/>
  <c r="T211" i="8" a="1"/>
  <c r="T211" i="8" s="1"/>
  <c r="T212" i="8" a="1"/>
  <c r="T212" i="8" s="1"/>
  <c r="T213" i="8" a="1"/>
  <c r="T213" i="8" s="1"/>
  <c r="T214" i="8" a="1"/>
  <c r="T214" i="8" s="1"/>
  <c r="T215" i="8" a="1"/>
  <c r="T215" i="8" s="1"/>
  <c r="T216" i="8" a="1"/>
  <c r="T216" i="8" s="1"/>
  <c r="T217" i="8" a="1"/>
  <c r="T217" i="8" s="1"/>
  <c r="T218" i="8" a="1"/>
  <c r="T218" i="8" s="1"/>
  <c r="T219" i="8" a="1"/>
  <c r="T219" i="8" s="1"/>
  <c r="T220" i="8" a="1"/>
  <c r="T220" i="8" s="1"/>
  <c r="T221" i="8" a="1"/>
  <c r="T221" i="8" s="1"/>
  <c r="T222" i="8" a="1"/>
  <c r="T222" i="8" s="1"/>
  <c r="T223" i="8" a="1"/>
  <c r="T223" i="8" s="1"/>
  <c r="T224" i="8" a="1"/>
  <c r="T224" i="8" s="1"/>
  <c r="T225" i="8" a="1"/>
  <c r="T225" i="8" s="1"/>
  <c r="T226" i="8" a="1"/>
  <c r="T226" i="8" s="1"/>
  <c r="T227" i="8" a="1"/>
  <c r="T227" i="8" s="1"/>
  <c r="T228" i="8" a="1"/>
  <c r="T228" i="8" s="1"/>
  <c r="T229" i="8" a="1"/>
  <c r="T229" i="8" s="1"/>
  <c r="T230" i="8" a="1"/>
  <c r="T230" i="8" s="1"/>
  <c r="T231" i="8" a="1"/>
  <c r="T231" i="8" s="1"/>
  <c r="T232" i="8" a="1"/>
  <c r="T232" i="8" s="1"/>
  <c r="T233" i="8" a="1"/>
  <c r="T233" i="8" s="1"/>
  <c r="T234" i="8" a="1"/>
  <c r="T234" i="8" s="1"/>
  <c r="T235" i="8" a="1"/>
  <c r="T235" i="8" s="1"/>
  <c r="T236" i="8" a="1"/>
  <c r="T236" i="8" s="1"/>
  <c r="T237" i="8" a="1"/>
  <c r="T237" i="8" s="1"/>
  <c r="T238" i="8" a="1"/>
  <c r="T238" i="8" s="1"/>
  <c r="T239" i="8" a="1"/>
  <c r="T239" i="8" s="1"/>
  <c r="T240" i="8" a="1"/>
  <c r="T240" i="8" s="1"/>
  <c r="T241" i="8" a="1"/>
  <c r="T241" i="8" s="1"/>
  <c r="T242" i="8" a="1"/>
  <c r="T242" i="8" s="1"/>
  <c r="T243" i="8" a="1"/>
  <c r="T243" i="8" s="1"/>
  <c r="T244" i="8" a="1"/>
  <c r="T244" i="8" s="1"/>
  <c r="T245" i="8" a="1"/>
  <c r="T245" i="8" s="1"/>
  <c r="T246" i="8" a="1"/>
  <c r="T246" i="8" s="1"/>
  <c r="T247" i="8" a="1"/>
  <c r="T247" i="8" s="1"/>
  <c r="T248" i="8" a="1"/>
  <c r="T248" i="8" s="1"/>
  <c r="T249" i="8" a="1"/>
  <c r="T249" i="8" s="1"/>
  <c r="T250" i="8" a="1"/>
  <c r="T250" i="8" s="1"/>
  <c r="Q12" i="8" a="1"/>
  <c r="Q12" i="8" s="1"/>
  <c r="Q13" i="8" a="1"/>
  <c r="Q13" i="8" s="1"/>
  <c r="Q14" i="8" a="1"/>
  <c r="Q14" i="8" s="1"/>
  <c r="Q15" i="8" a="1"/>
  <c r="Q15" i="8" s="1"/>
  <c r="Q16" i="8" a="1"/>
  <c r="Q16" i="8" s="1"/>
  <c r="Q17" i="8" a="1"/>
  <c r="Q17" i="8" s="1"/>
  <c r="Q18" i="8" a="1"/>
  <c r="Q18" i="8" s="1"/>
  <c r="Q19" i="8" a="1"/>
  <c r="Q19" i="8" s="1"/>
  <c r="Q20" i="8" a="1"/>
  <c r="Q20" i="8" s="1"/>
  <c r="Q21" i="8" a="1"/>
  <c r="Q21" i="8" s="1"/>
  <c r="Q22" i="8" a="1"/>
  <c r="Q22" i="8" s="1"/>
  <c r="Q23" i="8" a="1"/>
  <c r="Q23" i="8" s="1"/>
  <c r="Q24" i="8" a="1"/>
  <c r="Q24" i="8" s="1"/>
  <c r="Q25" i="8" a="1"/>
  <c r="Q25" i="8" s="1"/>
  <c r="Q26" i="8" a="1"/>
  <c r="Q26" i="8" s="1"/>
  <c r="Q27" i="8" a="1"/>
  <c r="Q27" i="8" s="1"/>
  <c r="Q28" i="8" a="1"/>
  <c r="Q28" i="8" s="1"/>
  <c r="Q29" i="8" a="1"/>
  <c r="Q29" i="8" s="1"/>
  <c r="Q30" i="8" a="1"/>
  <c r="Q30" i="8" s="1"/>
  <c r="Q31" i="8" a="1"/>
  <c r="Q31" i="8" s="1"/>
  <c r="Q32" i="8" a="1"/>
  <c r="Q32" i="8" s="1"/>
  <c r="Q33" i="8" a="1"/>
  <c r="Q33" i="8" s="1"/>
  <c r="Q34" i="8" a="1"/>
  <c r="Q34" i="8" s="1"/>
  <c r="Q35" i="8" a="1"/>
  <c r="Q35" i="8" s="1"/>
  <c r="Q36" i="8" a="1"/>
  <c r="Q36" i="8" s="1"/>
  <c r="Q37" i="8" a="1"/>
  <c r="Q37" i="8" s="1"/>
  <c r="Q38" i="8" a="1"/>
  <c r="Q38" i="8" s="1"/>
  <c r="Q39" i="8" a="1"/>
  <c r="Q39" i="8" s="1"/>
  <c r="Q40" i="8" a="1"/>
  <c r="Q40" i="8" s="1"/>
  <c r="Q41" i="8" a="1"/>
  <c r="Q41" i="8" s="1"/>
  <c r="Q42" i="8" a="1"/>
  <c r="Q42" i="8" s="1"/>
  <c r="Q43" i="8" a="1"/>
  <c r="Q43" i="8" s="1"/>
  <c r="Q44" i="8" a="1"/>
  <c r="Q44" i="8" s="1"/>
  <c r="Q45" i="8" a="1"/>
  <c r="Q45" i="8" s="1"/>
  <c r="Q46" i="8" a="1"/>
  <c r="Q46" i="8" s="1"/>
  <c r="Q47" i="8" a="1"/>
  <c r="Q47" i="8" s="1"/>
  <c r="Q48" i="8" a="1"/>
  <c r="Q48" i="8" s="1"/>
  <c r="Q49" i="8" a="1"/>
  <c r="Q49" i="8" s="1"/>
  <c r="Q50" i="8" a="1"/>
  <c r="Q50" i="8" s="1"/>
  <c r="Q51" i="8" a="1"/>
  <c r="Q51" i="8" s="1"/>
  <c r="Q52" i="8" a="1"/>
  <c r="Q52" i="8" s="1"/>
  <c r="Q53" i="8" a="1"/>
  <c r="Q53" i="8" s="1"/>
  <c r="Q54" i="8" a="1"/>
  <c r="Q54" i="8" s="1"/>
  <c r="Q55" i="8" a="1"/>
  <c r="Q55" i="8" s="1"/>
  <c r="Q56" i="8" a="1"/>
  <c r="Q56" i="8" s="1"/>
  <c r="Q57" i="8" a="1"/>
  <c r="Q57" i="8" s="1"/>
  <c r="Q58" i="8" a="1"/>
  <c r="Q58" i="8" s="1"/>
  <c r="Q59" i="8" a="1"/>
  <c r="Q59" i="8" s="1"/>
  <c r="Q60" i="8" a="1"/>
  <c r="Q60" i="8" s="1"/>
  <c r="Q61" i="8" a="1"/>
  <c r="Q61" i="8" s="1"/>
  <c r="Q62" i="8" a="1"/>
  <c r="Q62" i="8" s="1"/>
  <c r="Q63" i="8" a="1"/>
  <c r="Q63" i="8" s="1"/>
  <c r="Q64" i="8" a="1"/>
  <c r="Q64" i="8" s="1"/>
  <c r="Q65" i="8" a="1"/>
  <c r="Q65" i="8" s="1"/>
  <c r="Q66" i="8" a="1"/>
  <c r="Q66" i="8" s="1"/>
  <c r="Q67" i="8" a="1"/>
  <c r="Q67" i="8" s="1"/>
  <c r="Q68" i="8" a="1"/>
  <c r="Q68" i="8" s="1"/>
  <c r="Q69" i="8" a="1"/>
  <c r="Q69" i="8" s="1"/>
  <c r="Q70" i="8" a="1"/>
  <c r="Q70" i="8" s="1"/>
  <c r="Q71" i="8" a="1"/>
  <c r="Q71" i="8" s="1"/>
  <c r="Q72" i="8" a="1"/>
  <c r="Q72" i="8" s="1"/>
  <c r="Q73" i="8" a="1"/>
  <c r="Q73" i="8" s="1"/>
  <c r="Q74" i="8" a="1"/>
  <c r="Q74" i="8" s="1"/>
  <c r="Q75" i="8" a="1"/>
  <c r="Q75" i="8" s="1"/>
  <c r="Q76" i="8" a="1"/>
  <c r="Q76" i="8" s="1"/>
  <c r="Q77" i="8" a="1"/>
  <c r="Q77" i="8" s="1"/>
  <c r="Q78" i="8" a="1"/>
  <c r="Q78" i="8" s="1"/>
  <c r="Q79" i="8" a="1"/>
  <c r="Q79" i="8" s="1"/>
  <c r="Q80" i="8" a="1"/>
  <c r="Q80" i="8" s="1"/>
  <c r="Q81" i="8" a="1"/>
  <c r="Q81" i="8" s="1"/>
  <c r="Q82" i="8" a="1"/>
  <c r="Q82" i="8" s="1"/>
  <c r="Q83" i="8" a="1"/>
  <c r="Q83" i="8" s="1"/>
  <c r="Q84" i="8" a="1"/>
  <c r="Q84" i="8" s="1"/>
  <c r="Q85" i="8" a="1"/>
  <c r="Q85" i="8" s="1"/>
  <c r="Q86" i="8" a="1"/>
  <c r="Q86" i="8" s="1"/>
  <c r="Q87" i="8" a="1"/>
  <c r="Q87" i="8" s="1"/>
  <c r="Q88" i="8" a="1"/>
  <c r="Q88" i="8" s="1"/>
  <c r="Q89" i="8" a="1"/>
  <c r="Q89" i="8" s="1"/>
  <c r="Q90" i="8" a="1"/>
  <c r="Q90" i="8" s="1"/>
  <c r="Q91" i="8" a="1"/>
  <c r="Q91" i="8" s="1"/>
  <c r="Q92" i="8" a="1"/>
  <c r="Q92" i="8" s="1"/>
  <c r="Q93" i="8" a="1"/>
  <c r="Q93" i="8" s="1"/>
  <c r="Q94" i="8" a="1"/>
  <c r="Q94" i="8" s="1"/>
  <c r="Q95" i="8" a="1"/>
  <c r="Q95" i="8" s="1"/>
  <c r="Q96" i="8" a="1"/>
  <c r="Q96" i="8" s="1"/>
  <c r="Q97" i="8" a="1"/>
  <c r="Q97" i="8" s="1"/>
  <c r="Q98" i="8" a="1"/>
  <c r="Q98" i="8" s="1"/>
  <c r="Q99" i="8" a="1"/>
  <c r="Q99" i="8" s="1"/>
  <c r="Q100" i="8" a="1"/>
  <c r="Q100" i="8" s="1"/>
  <c r="Q101" i="8" a="1"/>
  <c r="Q101" i="8" s="1"/>
  <c r="Q102" i="8" a="1"/>
  <c r="Q102" i="8" s="1"/>
  <c r="Q103" i="8" a="1"/>
  <c r="Q103" i="8" s="1"/>
  <c r="Q104" i="8" a="1"/>
  <c r="Q104" i="8" s="1"/>
  <c r="Q105" i="8" a="1"/>
  <c r="Q105" i="8" s="1"/>
  <c r="Q106" i="8" a="1"/>
  <c r="Q106" i="8" s="1"/>
  <c r="Q107" i="8" a="1"/>
  <c r="Q107" i="8" s="1"/>
  <c r="Q108" i="8" a="1"/>
  <c r="Q108" i="8" s="1"/>
  <c r="Q109" i="8" a="1"/>
  <c r="Q109" i="8" s="1"/>
  <c r="Q110" i="8" a="1"/>
  <c r="Q110" i="8" s="1"/>
  <c r="Q111" i="8" a="1"/>
  <c r="Q111" i="8" s="1"/>
  <c r="Q112" i="8" a="1"/>
  <c r="Q112" i="8" s="1"/>
  <c r="Q113" i="8" a="1"/>
  <c r="Q113" i="8" s="1"/>
  <c r="Q114" i="8" a="1"/>
  <c r="Q114" i="8" s="1"/>
  <c r="Q115" i="8" a="1"/>
  <c r="Q115" i="8" s="1"/>
  <c r="Q116" i="8" a="1"/>
  <c r="Q116" i="8" s="1"/>
  <c r="Q117" i="8" a="1"/>
  <c r="Q117" i="8" s="1"/>
  <c r="Q118" i="8" a="1"/>
  <c r="Q118" i="8" s="1"/>
  <c r="Q119" i="8" a="1"/>
  <c r="Q119" i="8" s="1"/>
  <c r="Q120" i="8" a="1"/>
  <c r="Q120" i="8" s="1"/>
  <c r="Q121" i="8" a="1"/>
  <c r="Q121" i="8" s="1"/>
  <c r="Q122" i="8" a="1"/>
  <c r="Q122" i="8" s="1"/>
  <c r="Q123" i="8" a="1"/>
  <c r="Q123" i="8" s="1"/>
  <c r="Q124" i="8" a="1"/>
  <c r="Q124" i="8" s="1"/>
  <c r="Q125" i="8" a="1"/>
  <c r="Q125" i="8" s="1"/>
  <c r="Q126" i="8" a="1"/>
  <c r="Q126" i="8" s="1"/>
  <c r="Q127" i="8" a="1"/>
  <c r="Q127" i="8" s="1"/>
  <c r="Q128" i="8" a="1"/>
  <c r="Q128" i="8" s="1"/>
  <c r="Q129" i="8" a="1"/>
  <c r="Q129" i="8" s="1"/>
  <c r="Q130" i="8" a="1"/>
  <c r="Q130" i="8" s="1"/>
  <c r="Q131" i="8" a="1"/>
  <c r="Q131" i="8" s="1"/>
  <c r="Q132" i="8" a="1"/>
  <c r="Q132" i="8" s="1"/>
  <c r="Q133" i="8" a="1"/>
  <c r="Q133" i="8" s="1"/>
  <c r="Q134" i="8" a="1"/>
  <c r="Q134" i="8" s="1"/>
  <c r="Q135" i="8" a="1"/>
  <c r="Q135" i="8" s="1"/>
  <c r="Q136" i="8" a="1"/>
  <c r="Q136" i="8" s="1"/>
  <c r="Q137" i="8" a="1"/>
  <c r="Q137" i="8" s="1"/>
  <c r="Q138" i="8" a="1"/>
  <c r="Q138" i="8" s="1"/>
  <c r="Q139" i="8" a="1"/>
  <c r="Q139" i="8" s="1"/>
  <c r="Q140" i="8" a="1"/>
  <c r="Q140" i="8" s="1"/>
  <c r="Q141" i="8" a="1"/>
  <c r="Q141" i="8" s="1"/>
  <c r="Q142" i="8" a="1"/>
  <c r="Q142" i="8" s="1"/>
  <c r="Q143" i="8" a="1"/>
  <c r="Q143" i="8" s="1"/>
  <c r="Q144" i="8" a="1"/>
  <c r="Q144" i="8" s="1"/>
  <c r="Q145" i="8" a="1"/>
  <c r="Q145" i="8" s="1"/>
  <c r="Q146" i="8" a="1"/>
  <c r="Q146" i="8" s="1"/>
  <c r="Q147" i="8" a="1"/>
  <c r="Q147" i="8" s="1"/>
  <c r="Q148" i="8" a="1"/>
  <c r="Q148" i="8" s="1"/>
  <c r="Q149" i="8" a="1"/>
  <c r="Q149" i="8" s="1"/>
  <c r="Q150" i="8" a="1"/>
  <c r="Q150" i="8" s="1"/>
  <c r="Q151" i="8" a="1"/>
  <c r="Q151" i="8" s="1"/>
  <c r="Q152" i="8" a="1"/>
  <c r="Q152" i="8" s="1"/>
  <c r="Q153" i="8" a="1"/>
  <c r="Q153" i="8" s="1"/>
  <c r="Q154" i="8" a="1"/>
  <c r="Q154" i="8" s="1"/>
  <c r="Q155" i="8" a="1"/>
  <c r="Q155" i="8" s="1"/>
  <c r="Q156" i="8" a="1"/>
  <c r="Q156" i="8" s="1"/>
  <c r="Q157" i="8" a="1"/>
  <c r="Q157" i="8" s="1"/>
  <c r="Q158" i="8" a="1"/>
  <c r="Q158" i="8" s="1"/>
  <c r="Q159" i="8" a="1"/>
  <c r="Q159" i="8" s="1"/>
  <c r="Q160" i="8" a="1"/>
  <c r="Q160" i="8" s="1"/>
  <c r="Q161" i="8" a="1"/>
  <c r="Q161" i="8" s="1"/>
  <c r="Q162" i="8" a="1"/>
  <c r="Q162" i="8" s="1"/>
  <c r="Q163" i="8" a="1"/>
  <c r="Q163" i="8" s="1"/>
  <c r="Q164" i="8" a="1"/>
  <c r="Q164" i="8" s="1"/>
  <c r="Q165" i="8" a="1"/>
  <c r="Q165" i="8" s="1"/>
  <c r="Q166" i="8" a="1"/>
  <c r="Q166" i="8" s="1"/>
  <c r="Q167" i="8" a="1"/>
  <c r="Q167" i="8" s="1"/>
  <c r="Q168" i="8" a="1"/>
  <c r="Q168" i="8" s="1"/>
  <c r="Q169" i="8" a="1"/>
  <c r="Q169" i="8" s="1"/>
  <c r="Q170" i="8" a="1"/>
  <c r="Q170" i="8" s="1"/>
  <c r="Q171" i="8" a="1"/>
  <c r="Q171" i="8" s="1"/>
  <c r="Q172" i="8" a="1"/>
  <c r="Q172" i="8" s="1"/>
  <c r="Q173" i="8" a="1"/>
  <c r="Q173" i="8" s="1"/>
  <c r="Q174" i="8" a="1"/>
  <c r="Q174" i="8" s="1"/>
  <c r="Q175" i="8" a="1"/>
  <c r="Q175" i="8" s="1"/>
  <c r="Q176" i="8" a="1"/>
  <c r="Q176" i="8" s="1"/>
  <c r="Q177" i="8" a="1"/>
  <c r="Q177" i="8" s="1"/>
  <c r="Q178" i="8" a="1"/>
  <c r="Q178" i="8" s="1"/>
  <c r="Q179" i="8" a="1"/>
  <c r="Q179" i="8" s="1"/>
  <c r="Q180" i="8" a="1"/>
  <c r="Q180" i="8" s="1"/>
  <c r="Q181" i="8" a="1"/>
  <c r="Q181" i="8" s="1"/>
  <c r="Q182" i="8" a="1"/>
  <c r="Q182" i="8" s="1"/>
  <c r="Q183" i="8" a="1"/>
  <c r="Q183" i="8" s="1"/>
  <c r="Q184" i="8" a="1"/>
  <c r="Q184" i="8" s="1"/>
  <c r="Q185" i="8" a="1"/>
  <c r="Q185" i="8" s="1"/>
  <c r="Q186" i="8" a="1"/>
  <c r="Q186" i="8" s="1"/>
  <c r="Q187" i="8" a="1"/>
  <c r="Q187" i="8" s="1"/>
  <c r="Q188" i="8" a="1"/>
  <c r="Q188" i="8" s="1"/>
  <c r="Q189" i="8" a="1"/>
  <c r="Q189" i="8" s="1"/>
  <c r="Q190" i="8" a="1"/>
  <c r="Q190" i="8" s="1"/>
  <c r="Q191" i="8" a="1"/>
  <c r="Q191" i="8" s="1"/>
  <c r="Q192" i="8" a="1"/>
  <c r="Q192" i="8" s="1"/>
  <c r="Q193" i="8" a="1"/>
  <c r="Q193" i="8" s="1"/>
  <c r="Q194" i="8" a="1"/>
  <c r="Q194" i="8" s="1"/>
  <c r="Q195" i="8" a="1"/>
  <c r="Q195" i="8" s="1"/>
  <c r="Q196" i="8" a="1"/>
  <c r="Q196" i="8" s="1"/>
  <c r="Q197" i="8" a="1"/>
  <c r="Q197" i="8" s="1"/>
  <c r="Q198" i="8" a="1"/>
  <c r="Q198" i="8" s="1"/>
  <c r="Q199" i="8" a="1"/>
  <c r="Q199" i="8" s="1"/>
  <c r="Q200" i="8" a="1"/>
  <c r="Q200" i="8" s="1"/>
  <c r="Q201" i="8" a="1"/>
  <c r="Q201" i="8" s="1"/>
  <c r="Q202" i="8" a="1"/>
  <c r="Q202" i="8" s="1"/>
  <c r="Q203" i="8" a="1"/>
  <c r="Q203" i="8" s="1"/>
  <c r="Q204" i="8" a="1"/>
  <c r="Q204" i="8" s="1"/>
  <c r="Q205" i="8" a="1"/>
  <c r="Q205" i="8" s="1"/>
  <c r="Q206" i="8" a="1"/>
  <c r="Q206" i="8" s="1"/>
  <c r="Q207" i="8" a="1"/>
  <c r="Q207" i="8" s="1"/>
  <c r="Q208" i="8" a="1"/>
  <c r="Q208" i="8" s="1"/>
  <c r="Q209" i="8" a="1"/>
  <c r="Q209" i="8" s="1"/>
  <c r="Q210" i="8" a="1"/>
  <c r="Q210" i="8" s="1"/>
  <c r="Q211" i="8" a="1"/>
  <c r="Q211" i="8" s="1"/>
  <c r="Q212" i="8" a="1"/>
  <c r="Q212" i="8" s="1"/>
  <c r="Q213" i="8" a="1"/>
  <c r="Q213" i="8" s="1"/>
  <c r="Q214" i="8" a="1"/>
  <c r="Q214" i="8" s="1"/>
  <c r="Q215" i="8" a="1"/>
  <c r="Q215" i="8" s="1"/>
  <c r="Q216" i="8" a="1"/>
  <c r="Q216" i="8" s="1"/>
  <c r="Q217" i="8" a="1"/>
  <c r="Q217" i="8" s="1"/>
  <c r="Q218" i="8" a="1"/>
  <c r="Q218" i="8" s="1"/>
  <c r="Q219" i="8" a="1"/>
  <c r="Q219" i="8" s="1"/>
  <c r="Q220" i="8" a="1"/>
  <c r="Q220" i="8" s="1"/>
  <c r="Q221" i="8" a="1"/>
  <c r="Q221" i="8" s="1"/>
  <c r="Q222" i="8" a="1"/>
  <c r="Q222" i="8" s="1"/>
  <c r="Q223" i="8" a="1"/>
  <c r="Q223" i="8" s="1"/>
  <c r="Q224" i="8" a="1"/>
  <c r="Q224" i="8" s="1"/>
  <c r="Q225" i="8" a="1"/>
  <c r="Q225" i="8" s="1"/>
  <c r="Q226" i="8" a="1"/>
  <c r="Q226" i="8" s="1"/>
  <c r="Q227" i="8" a="1"/>
  <c r="Q227" i="8" s="1"/>
  <c r="Q228" i="8" a="1"/>
  <c r="Q228" i="8" s="1"/>
  <c r="Q229" i="8" a="1"/>
  <c r="Q229" i="8" s="1"/>
  <c r="Q230" i="8" a="1"/>
  <c r="Q230" i="8" s="1"/>
  <c r="Q231" i="8" a="1"/>
  <c r="Q231" i="8" s="1"/>
  <c r="Q232" i="8" a="1"/>
  <c r="Q232" i="8" s="1"/>
  <c r="Q233" i="8" a="1"/>
  <c r="Q233" i="8" s="1"/>
  <c r="Q234" i="8" a="1"/>
  <c r="Q234" i="8" s="1"/>
  <c r="Q235" i="8" a="1"/>
  <c r="Q235" i="8" s="1"/>
  <c r="Q236" i="8" a="1"/>
  <c r="Q236" i="8" s="1"/>
  <c r="Q237" i="8" a="1"/>
  <c r="Q237" i="8" s="1"/>
  <c r="Q238" i="8" a="1"/>
  <c r="Q238" i="8" s="1"/>
  <c r="Q239" i="8" a="1"/>
  <c r="Q239" i="8" s="1"/>
  <c r="Q240" i="8" a="1"/>
  <c r="Q240" i="8" s="1"/>
  <c r="Q241" i="8" a="1"/>
  <c r="Q241" i="8" s="1"/>
  <c r="Q242" i="8" a="1"/>
  <c r="Q242" i="8" s="1"/>
  <c r="Q243" i="8" a="1"/>
  <c r="Q243" i="8" s="1"/>
  <c r="Q244" i="8" a="1"/>
  <c r="Q244" i="8" s="1"/>
  <c r="Q245" i="8" a="1"/>
  <c r="Q245" i="8" s="1"/>
  <c r="Q246" i="8" a="1"/>
  <c r="Q246" i="8" s="1"/>
  <c r="Q247" i="8" a="1"/>
  <c r="Q247" i="8" s="1"/>
  <c r="Q248" i="8" a="1"/>
  <c r="Q248" i="8" s="1"/>
  <c r="Q249" i="8" a="1"/>
  <c r="Q249" i="8" s="1"/>
  <c r="Q250" i="8" a="1"/>
  <c r="Q250" i="8" s="1"/>
  <c r="P12" i="8" a="1"/>
  <c r="P12" i="8" s="1"/>
  <c r="P13" i="8" a="1"/>
  <c r="P13" i="8" s="1"/>
  <c r="P14" i="8" a="1"/>
  <c r="P14" i="8" s="1"/>
  <c r="P15" i="8" a="1"/>
  <c r="P15" i="8" s="1"/>
  <c r="P16" i="8" a="1"/>
  <c r="P16" i="8" s="1"/>
  <c r="P17" i="8" a="1"/>
  <c r="P17" i="8" s="1"/>
  <c r="P18" i="8" a="1"/>
  <c r="P18" i="8" s="1"/>
  <c r="P19" i="8" a="1"/>
  <c r="P19" i="8" s="1"/>
  <c r="P20" i="8" a="1"/>
  <c r="P20" i="8" s="1"/>
  <c r="P21" i="8" a="1"/>
  <c r="P21" i="8" s="1"/>
  <c r="P22" i="8" a="1"/>
  <c r="P22" i="8" s="1"/>
  <c r="P23" i="8" a="1"/>
  <c r="P23" i="8" s="1"/>
  <c r="P24" i="8" a="1"/>
  <c r="P24" i="8" s="1"/>
  <c r="P25" i="8" a="1"/>
  <c r="P25" i="8" s="1"/>
  <c r="P26" i="8" a="1"/>
  <c r="P26" i="8" s="1"/>
  <c r="P27" i="8" a="1"/>
  <c r="P27" i="8" s="1"/>
  <c r="P28" i="8" a="1"/>
  <c r="P28" i="8" s="1"/>
  <c r="P29" i="8" a="1"/>
  <c r="P29" i="8" s="1"/>
  <c r="P30" i="8" a="1"/>
  <c r="P30" i="8" s="1"/>
  <c r="P31" i="8" a="1"/>
  <c r="P31" i="8" s="1"/>
  <c r="P32" i="8" a="1"/>
  <c r="P32" i="8" s="1"/>
  <c r="P33" i="8" a="1"/>
  <c r="P33" i="8" s="1"/>
  <c r="P34" i="8" a="1"/>
  <c r="P34" i="8" s="1"/>
  <c r="P35" i="8" a="1"/>
  <c r="P35" i="8" s="1"/>
  <c r="P36" i="8" a="1"/>
  <c r="P36" i="8" s="1"/>
  <c r="P37" i="8" a="1"/>
  <c r="P37" i="8" s="1"/>
  <c r="P38" i="8" a="1"/>
  <c r="P38" i="8" s="1"/>
  <c r="P39" i="8" a="1"/>
  <c r="P39" i="8" s="1"/>
  <c r="P40" i="8" a="1"/>
  <c r="P40" i="8" s="1"/>
  <c r="P41" i="8" a="1"/>
  <c r="P41" i="8" s="1"/>
  <c r="P42" i="8" a="1"/>
  <c r="P42" i="8" s="1"/>
  <c r="P43" i="8" a="1"/>
  <c r="P43" i="8" s="1"/>
  <c r="P44" i="8" a="1"/>
  <c r="P44" i="8" s="1"/>
  <c r="P45" i="8" a="1"/>
  <c r="P45" i="8" s="1"/>
  <c r="P46" i="8" a="1"/>
  <c r="P46" i="8" s="1"/>
  <c r="P47" i="8" a="1"/>
  <c r="P47" i="8" s="1"/>
  <c r="P48" i="8" a="1"/>
  <c r="P48" i="8" s="1"/>
  <c r="P49" i="8" a="1"/>
  <c r="P49" i="8" s="1"/>
  <c r="P50" i="8" a="1"/>
  <c r="P50" i="8" s="1"/>
  <c r="P51" i="8" a="1"/>
  <c r="P51" i="8" s="1"/>
  <c r="P52" i="8" a="1"/>
  <c r="P52" i="8" s="1"/>
  <c r="P53" i="8" a="1"/>
  <c r="P53" i="8" s="1"/>
  <c r="P54" i="8" a="1"/>
  <c r="P54" i="8" s="1"/>
  <c r="P55" i="8" a="1"/>
  <c r="P55" i="8" s="1"/>
  <c r="P56" i="8" a="1"/>
  <c r="P56" i="8" s="1"/>
  <c r="P57" i="8" a="1"/>
  <c r="P57" i="8" s="1"/>
  <c r="P58" i="8" a="1"/>
  <c r="P58" i="8" s="1"/>
  <c r="P59" i="8" a="1"/>
  <c r="P59" i="8" s="1"/>
  <c r="P60" i="8" a="1"/>
  <c r="P60" i="8" s="1"/>
  <c r="P61" i="8" a="1"/>
  <c r="P61" i="8" s="1"/>
  <c r="P62" i="8" a="1"/>
  <c r="P62" i="8" s="1"/>
  <c r="P63" i="8" a="1"/>
  <c r="P63" i="8" s="1"/>
  <c r="P64" i="8" a="1"/>
  <c r="P64" i="8" s="1"/>
  <c r="P65" i="8" a="1"/>
  <c r="P65" i="8" s="1"/>
  <c r="P66" i="8" a="1"/>
  <c r="P66" i="8" s="1"/>
  <c r="P67" i="8" a="1"/>
  <c r="P67" i="8" s="1"/>
  <c r="P68" i="8" a="1"/>
  <c r="P68" i="8" s="1"/>
  <c r="P69" i="8" a="1"/>
  <c r="P69" i="8" s="1"/>
  <c r="P70" i="8" a="1"/>
  <c r="P70" i="8" s="1"/>
  <c r="P71" i="8" a="1"/>
  <c r="P71" i="8" s="1"/>
  <c r="P72" i="8" a="1"/>
  <c r="P72" i="8" s="1"/>
  <c r="P73" i="8" a="1"/>
  <c r="P73" i="8" s="1"/>
  <c r="P74" i="8" a="1"/>
  <c r="P74" i="8" s="1"/>
  <c r="P75" i="8" a="1"/>
  <c r="P75" i="8" s="1"/>
  <c r="P76" i="8" a="1"/>
  <c r="P76" i="8" s="1"/>
  <c r="P77" i="8" a="1"/>
  <c r="P77" i="8" s="1"/>
  <c r="P78" i="8" a="1"/>
  <c r="P78" i="8" s="1"/>
  <c r="P79" i="8" a="1"/>
  <c r="P79" i="8" s="1"/>
  <c r="P80" i="8" a="1"/>
  <c r="P80" i="8" s="1"/>
  <c r="P81" i="8" a="1"/>
  <c r="P81" i="8" s="1"/>
  <c r="P82" i="8" a="1"/>
  <c r="P82" i="8" s="1"/>
  <c r="P83" i="8" a="1"/>
  <c r="P83" i="8" s="1"/>
  <c r="P84" i="8" a="1"/>
  <c r="P84" i="8" s="1"/>
  <c r="P85" i="8" a="1"/>
  <c r="P85" i="8" s="1"/>
  <c r="P86" i="8" a="1"/>
  <c r="P86" i="8" s="1"/>
  <c r="P87" i="8" a="1"/>
  <c r="P87" i="8" s="1"/>
  <c r="P88" i="8" a="1"/>
  <c r="P88" i="8" s="1"/>
  <c r="P89" i="8" a="1"/>
  <c r="P89" i="8" s="1"/>
  <c r="P90" i="8" a="1"/>
  <c r="P90" i="8" s="1"/>
  <c r="P91" i="8" a="1"/>
  <c r="P91" i="8" s="1"/>
  <c r="P92" i="8" a="1"/>
  <c r="P92" i="8" s="1"/>
  <c r="P93" i="8" a="1"/>
  <c r="P93" i="8" s="1"/>
  <c r="P94" i="8" a="1"/>
  <c r="P94" i="8" s="1"/>
  <c r="P95" i="8" a="1"/>
  <c r="P95" i="8" s="1"/>
  <c r="P96" i="8" a="1"/>
  <c r="P96" i="8" s="1"/>
  <c r="P97" i="8" a="1"/>
  <c r="P97" i="8" s="1"/>
  <c r="P98" i="8" a="1"/>
  <c r="P98" i="8" s="1"/>
  <c r="P99" i="8" a="1"/>
  <c r="P99" i="8" s="1"/>
  <c r="P100" i="8" a="1"/>
  <c r="P100" i="8" s="1"/>
  <c r="P101" i="8" a="1"/>
  <c r="P101" i="8" s="1"/>
  <c r="P102" i="8" a="1"/>
  <c r="P102" i="8" s="1"/>
  <c r="P103" i="8" a="1"/>
  <c r="P103" i="8" s="1"/>
  <c r="P104" i="8" a="1"/>
  <c r="P104" i="8" s="1"/>
  <c r="P105" i="8" a="1"/>
  <c r="P105" i="8" s="1"/>
  <c r="P106" i="8" a="1"/>
  <c r="P106" i="8" s="1"/>
  <c r="P107" i="8" a="1"/>
  <c r="P107" i="8" s="1"/>
  <c r="P108" i="8" a="1"/>
  <c r="P108" i="8" s="1"/>
  <c r="P109" i="8" a="1"/>
  <c r="P109" i="8" s="1"/>
  <c r="P110" i="8" a="1"/>
  <c r="P110" i="8" s="1"/>
  <c r="P111" i="8" a="1"/>
  <c r="P111" i="8" s="1"/>
  <c r="P112" i="8" a="1"/>
  <c r="P112" i="8" s="1"/>
  <c r="P113" i="8" a="1"/>
  <c r="P113" i="8" s="1"/>
  <c r="P114" i="8" a="1"/>
  <c r="P114" i="8" s="1"/>
  <c r="P115" i="8" a="1"/>
  <c r="P115" i="8" s="1"/>
  <c r="P116" i="8" a="1"/>
  <c r="P116" i="8" s="1"/>
  <c r="P117" i="8" a="1"/>
  <c r="P117" i="8" s="1"/>
  <c r="P118" i="8" a="1"/>
  <c r="P118" i="8" s="1"/>
  <c r="P119" i="8" a="1"/>
  <c r="P119" i="8" s="1"/>
  <c r="P120" i="8" a="1"/>
  <c r="P120" i="8" s="1"/>
  <c r="P121" i="8" a="1"/>
  <c r="P121" i="8" s="1"/>
  <c r="P122" i="8" a="1"/>
  <c r="P122" i="8" s="1"/>
  <c r="P123" i="8" a="1"/>
  <c r="P123" i="8" s="1"/>
  <c r="P124" i="8" a="1"/>
  <c r="P124" i="8" s="1"/>
  <c r="P125" i="8" a="1"/>
  <c r="P125" i="8" s="1"/>
  <c r="P126" i="8" a="1"/>
  <c r="P126" i="8" s="1"/>
  <c r="P127" i="8" a="1"/>
  <c r="P127" i="8" s="1"/>
  <c r="P128" i="8" a="1"/>
  <c r="P128" i="8" s="1"/>
  <c r="P129" i="8" a="1"/>
  <c r="P129" i="8" s="1"/>
  <c r="P130" i="8" a="1"/>
  <c r="P130" i="8" s="1"/>
  <c r="P131" i="8" a="1"/>
  <c r="P131" i="8" s="1"/>
  <c r="P132" i="8" a="1"/>
  <c r="P132" i="8" s="1"/>
  <c r="P133" i="8" a="1"/>
  <c r="P133" i="8" s="1"/>
  <c r="P134" i="8" a="1"/>
  <c r="P134" i="8" s="1"/>
  <c r="P135" i="8" a="1"/>
  <c r="P135" i="8" s="1"/>
  <c r="P136" i="8" a="1"/>
  <c r="P136" i="8" s="1"/>
  <c r="P137" i="8" a="1"/>
  <c r="P137" i="8" s="1"/>
  <c r="P138" i="8" a="1"/>
  <c r="P138" i="8" s="1"/>
  <c r="P139" i="8" a="1"/>
  <c r="P139" i="8" s="1"/>
  <c r="P140" i="8" a="1"/>
  <c r="P140" i="8" s="1"/>
  <c r="P141" i="8" a="1"/>
  <c r="P141" i="8" s="1"/>
  <c r="P142" i="8" a="1"/>
  <c r="P142" i="8" s="1"/>
  <c r="P143" i="8" a="1"/>
  <c r="P143" i="8" s="1"/>
  <c r="P144" i="8" a="1"/>
  <c r="P144" i="8" s="1"/>
  <c r="P145" i="8" a="1"/>
  <c r="P145" i="8" s="1"/>
  <c r="P146" i="8" a="1"/>
  <c r="P146" i="8" s="1"/>
  <c r="P147" i="8" a="1"/>
  <c r="P147" i="8" s="1"/>
  <c r="P148" i="8" a="1"/>
  <c r="P148" i="8" s="1"/>
  <c r="P149" i="8" a="1"/>
  <c r="P149" i="8" s="1"/>
  <c r="P150" i="8" a="1"/>
  <c r="P150" i="8" s="1"/>
  <c r="P151" i="8" a="1"/>
  <c r="P151" i="8" s="1"/>
  <c r="P152" i="8" a="1"/>
  <c r="P152" i="8" s="1"/>
  <c r="P153" i="8" a="1"/>
  <c r="P153" i="8" s="1"/>
  <c r="P154" i="8" a="1"/>
  <c r="P154" i="8" s="1"/>
  <c r="P155" i="8" a="1"/>
  <c r="P155" i="8" s="1"/>
  <c r="P156" i="8" a="1"/>
  <c r="P156" i="8" s="1"/>
  <c r="P157" i="8" a="1"/>
  <c r="P157" i="8" s="1"/>
  <c r="P158" i="8" a="1"/>
  <c r="P158" i="8" s="1"/>
  <c r="P159" i="8" a="1"/>
  <c r="P159" i="8" s="1"/>
  <c r="P160" i="8" a="1"/>
  <c r="P160" i="8" s="1"/>
  <c r="P161" i="8" a="1"/>
  <c r="P161" i="8" s="1"/>
  <c r="P162" i="8" a="1"/>
  <c r="P162" i="8" s="1"/>
  <c r="P163" i="8" a="1"/>
  <c r="P163" i="8" s="1"/>
  <c r="P164" i="8" a="1"/>
  <c r="P164" i="8" s="1"/>
  <c r="P165" i="8" a="1"/>
  <c r="P165" i="8" s="1"/>
  <c r="P166" i="8" a="1"/>
  <c r="P166" i="8" s="1"/>
  <c r="P167" i="8" a="1"/>
  <c r="P167" i="8" s="1"/>
  <c r="P168" i="8" a="1"/>
  <c r="P168" i="8" s="1"/>
  <c r="P169" i="8" a="1"/>
  <c r="P169" i="8" s="1"/>
  <c r="P170" i="8" a="1"/>
  <c r="P170" i="8" s="1"/>
  <c r="P171" i="8" a="1"/>
  <c r="P171" i="8" s="1"/>
  <c r="P172" i="8" a="1"/>
  <c r="P172" i="8" s="1"/>
  <c r="P173" i="8" a="1"/>
  <c r="P173" i="8" s="1"/>
  <c r="P174" i="8" a="1"/>
  <c r="P174" i="8" s="1"/>
  <c r="P175" i="8" a="1"/>
  <c r="P175" i="8" s="1"/>
  <c r="P176" i="8" a="1"/>
  <c r="P176" i="8" s="1"/>
  <c r="P177" i="8" a="1"/>
  <c r="P177" i="8" s="1"/>
  <c r="P178" i="8" a="1"/>
  <c r="P178" i="8" s="1"/>
  <c r="P179" i="8" a="1"/>
  <c r="P179" i="8" s="1"/>
  <c r="P180" i="8" a="1"/>
  <c r="P180" i="8" s="1"/>
  <c r="P181" i="8" a="1"/>
  <c r="P181" i="8" s="1"/>
  <c r="P182" i="8" a="1"/>
  <c r="P182" i="8" s="1"/>
  <c r="P183" i="8" a="1"/>
  <c r="P183" i="8" s="1"/>
  <c r="P184" i="8" a="1"/>
  <c r="P184" i="8" s="1"/>
  <c r="P185" i="8" a="1"/>
  <c r="P185" i="8" s="1"/>
  <c r="P186" i="8" a="1"/>
  <c r="P186" i="8" s="1"/>
  <c r="P187" i="8" a="1"/>
  <c r="P187" i="8" s="1"/>
  <c r="P188" i="8" a="1"/>
  <c r="P188" i="8" s="1"/>
  <c r="P189" i="8" a="1"/>
  <c r="P189" i="8" s="1"/>
  <c r="P190" i="8" a="1"/>
  <c r="P190" i="8" s="1"/>
  <c r="P191" i="8" a="1"/>
  <c r="P191" i="8" s="1"/>
  <c r="P192" i="8" a="1"/>
  <c r="P192" i="8" s="1"/>
  <c r="P193" i="8" a="1"/>
  <c r="P193" i="8" s="1"/>
  <c r="P194" i="8" a="1"/>
  <c r="P194" i="8" s="1"/>
  <c r="P195" i="8" a="1"/>
  <c r="P195" i="8" s="1"/>
  <c r="P196" i="8" a="1"/>
  <c r="P196" i="8" s="1"/>
  <c r="P197" i="8" a="1"/>
  <c r="P197" i="8" s="1"/>
  <c r="P198" i="8" a="1"/>
  <c r="P198" i="8" s="1"/>
  <c r="P199" i="8" a="1"/>
  <c r="P199" i="8" s="1"/>
  <c r="P200" i="8" a="1"/>
  <c r="P200" i="8" s="1"/>
  <c r="P201" i="8" a="1"/>
  <c r="P201" i="8" s="1"/>
  <c r="P202" i="8" a="1"/>
  <c r="P202" i="8" s="1"/>
  <c r="P203" i="8" a="1"/>
  <c r="P203" i="8" s="1"/>
  <c r="P204" i="8" a="1"/>
  <c r="P204" i="8" s="1"/>
  <c r="P205" i="8" a="1"/>
  <c r="P205" i="8" s="1"/>
  <c r="P206" i="8" a="1"/>
  <c r="P206" i="8" s="1"/>
  <c r="P207" i="8" a="1"/>
  <c r="P207" i="8" s="1"/>
  <c r="P208" i="8" a="1"/>
  <c r="P208" i="8" s="1"/>
  <c r="P209" i="8" a="1"/>
  <c r="P209" i="8" s="1"/>
  <c r="P210" i="8" a="1"/>
  <c r="P210" i="8" s="1"/>
  <c r="P211" i="8" a="1"/>
  <c r="P211" i="8" s="1"/>
  <c r="P212" i="8" a="1"/>
  <c r="P212" i="8" s="1"/>
  <c r="P213" i="8" a="1"/>
  <c r="P213" i="8" s="1"/>
  <c r="P214" i="8" a="1"/>
  <c r="P214" i="8" s="1"/>
  <c r="P215" i="8" a="1"/>
  <c r="P215" i="8" s="1"/>
  <c r="P216" i="8" a="1"/>
  <c r="P216" i="8" s="1"/>
  <c r="P217" i="8" a="1"/>
  <c r="P217" i="8" s="1"/>
  <c r="P218" i="8" a="1"/>
  <c r="P218" i="8" s="1"/>
  <c r="P219" i="8" a="1"/>
  <c r="P219" i="8" s="1"/>
  <c r="P220" i="8" a="1"/>
  <c r="P220" i="8" s="1"/>
  <c r="P221" i="8" a="1"/>
  <c r="P221" i="8" s="1"/>
  <c r="P222" i="8" a="1"/>
  <c r="P222" i="8" s="1"/>
  <c r="P223" i="8" a="1"/>
  <c r="P223" i="8" s="1"/>
  <c r="P224" i="8" a="1"/>
  <c r="P224" i="8" s="1"/>
  <c r="P225" i="8" a="1"/>
  <c r="P225" i="8" s="1"/>
  <c r="P226" i="8" a="1"/>
  <c r="P226" i="8" s="1"/>
  <c r="P227" i="8" a="1"/>
  <c r="P227" i="8" s="1"/>
  <c r="P228" i="8" a="1"/>
  <c r="P228" i="8" s="1"/>
  <c r="P229" i="8" a="1"/>
  <c r="P229" i="8" s="1"/>
  <c r="P230" i="8" a="1"/>
  <c r="P230" i="8" s="1"/>
  <c r="P231" i="8" a="1"/>
  <c r="P231" i="8" s="1"/>
  <c r="P232" i="8" a="1"/>
  <c r="P232" i="8" s="1"/>
  <c r="P233" i="8" a="1"/>
  <c r="P233" i="8" s="1"/>
  <c r="P234" i="8" a="1"/>
  <c r="P234" i="8" s="1"/>
  <c r="P235" i="8" a="1"/>
  <c r="P235" i="8" s="1"/>
  <c r="P236" i="8" a="1"/>
  <c r="P236" i="8" s="1"/>
  <c r="P237" i="8" a="1"/>
  <c r="P237" i="8" s="1"/>
  <c r="P238" i="8" a="1"/>
  <c r="P238" i="8" s="1"/>
  <c r="P239" i="8" a="1"/>
  <c r="P239" i="8" s="1"/>
  <c r="P240" i="8" a="1"/>
  <c r="P240" i="8" s="1"/>
  <c r="P241" i="8" a="1"/>
  <c r="P241" i="8" s="1"/>
  <c r="P242" i="8" a="1"/>
  <c r="P242" i="8" s="1"/>
  <c r="P243" i="8" a="1"/>
  <c r="P243" i="8" s="1"/>
  <c r="P244" i="8" a="1"/>
  <c r="P244" i="8" s="1"/>
  <c r="P245" i="8" a="1"/>
  <c r="P245" i="8" s="1"/>
  <c r="P246" i="8" a="1"/>
  <c r="P246" i="8" s="1"/>
  <c r="P247" i="8" a="1"/>
  <c r="P247" i="8" s="1"/>
  <c r="P248" i="8" a="1"/>
  <c r="P248" i="8" s="1"/>
  <c r="P249" i="8" a="1"/>
  <c r="P249" i="8" s="1"/>
  <c r="P250" i="8" a="1"/>
  <c r="P250" i="8" s="1"/>
  <c r="N12" i="8" a="1"/>
  <c r="N12" i="8" s="1"/>
  <c r="N13" i="8" a="1"/>
  <c r="N13" i="8" s="1"/>
  <c r="N14" i="8" a="1"/>
  <c r="N14" i="8" s="1"/>
  <c r="N15" i="8" a="1"/>
  <c r="N15" i="8" s="1"/>
  <c r="N16" i="8" a="1"/>
  <c r="N16" i="8" s="1"/>
  <c r="N17" i="8" a="1"/>
  <c r="N17" i="8" s="1"/>
  <c r="N18" i="8" a="1"/>
  <c r="N18" i="8" s="1"/>
  <c r="N19" i="8" a="1"/>
  <c r="N19" i="8" s="1"/>
  <c r="N20" i="8" a="1"/>
  <c r="N20" i="8" s="1"/>
  <c r="N21" i="8" a="1"/>
  <c r="N21" i="8" s="1"/>
  <c r="N22" i="8" a="1"/>
  <c r="N22" i="8" s="1"/>
  <c r="N23" i="8" a="1"/>
  <c r="N23" i="8" s="1"/>
  <c r="N24" i="8" a="1"/>
  <c r="N24" i="8" s="1"/>
  <c r="N25" i="8" a="1"/>
  <c r="N25" i="8" s="1"/>
  <c r="N26" i="8" a="1"/>
  <c r="N26" i="8" s="1"/>
  <c r="N27" i="8" a="1"/>
  <c r="N27" i="8" s="1"/>
  <c r="N28" i="8" a="1"/>
  <c r="N28" i="8" s="1"/>
  <c r="N29" i="8" a="1"/>
  <c r="N29" i="8" s="1"/>
  <c r="N30" i="8" a="1"/>
  <c r="N30" i="8" s="1"/>
  <c r="N31" i="8" a="1"/>
  <c r="N31" i="8" s="1"/>
  <c r="N32" i="8" a="1"/>
  <c r="N32" i="8" s="1"/>
  <c r="N33" i="8" a="1"/>
  <c r="N33" i="8" s="1"/>
  <c r="N34" i="8" a="1"/>
  <c r="N34" i="8" s="1"/>
  <c r="N35" i="8" a="1"/>
  <c r="N35" i="8" s="1"/>
  <c r="N36" i="8" a="1"/>
  <c r="N36" i="8" s="1"/>
  <c r="N37" i="8" a="1"/>
  <c r="N37" i="8" s="1"/>
  <c r="N38" i="8" a="1"/>
  <c r="N38" i="8" s="1"/>
  <c r="N39" i="8" a="1"/>
  <c r="N39" i="8" s="1"/>
  <c r="N40" i="8" a="1"/>
  <c r="N40" i="8" s="1"/>
  <c r="N41" i="8" a="1"/>
  <c r="N41" i="8" s="1"/>
  <c r="N42" i="8" a="1"/>
  <c r="N42" i="8" s="1"/>
  <c r="N43" i="8" a="1"/>
  <c r="N43" i="8" s="1"/>
  <c r="N44" i="8" a="1"/>
  <c r="N44" i="8" s="1"/>
  <c r="N45" i="8" a="1"/>
  <c r="N45" i="8" s="1"/>
  <c r="N46" i="8" a="1"/>
  <c r="N46" i="8" s="1"/>
  <c r="N47" i="8" a="1"/>
  <c r="N47" i="8" s="1"/>
  <c r="N48" i="8" a="1"/>
  <c r="N48" i="8" s="1"/>
  <c r="N49" i="8" a="1"/>
  <c r="N49" i="8" s="1"/>
  <c r="N50" i="8" a="1"/>
  <c r="N50" i="8" s="1"/>
  <c r="N51" i="8" a="1"/>
  <c r="N51" i="8" s="1"/>
  <c r="N52" i="8" a="1"/>
  <c r="N52" i="8" s="1"/>
  <c r="N53" i="8" a="1"/>
  <c r="N53" i="8" s="1"/>
  <c r="N54" i="8" a="1"/>
  <c r="N54" i="8" s="1"/>
  <c r="N55" i="8" a="1"/>
  <c r="N55" i="8" s="1"/>
  <c r="N56" i="8" a="1"/>
  <c r="N56" i="8" s="1"/>
  <c r="N57" i="8" a="1"/>
  <c r="N57" i="8" s="1"/>
  <c r="N58" i="8" a="1"/>
  <c r="N58" i="8" s="1"/>
  <c r="N59" i="8" a="1"/>
  <c r="N59" i="8" s="1"/>
  <c r="N60" i="8" a="1"/>
  <c r="N60" i="8" s="1"/>
  <c r="N61" i="8" a="1"/>
  <c r="N61" i="8" s="1"/>
  <c r="N62" i="8" a="1"/>
  <c r="N62" i="8" s="1"/>
  <c r="N63" i="8" a="1"/>
  <c r="N63" i="8" s="1"/>
  <c r="N64" i="8" a="1"/>
  <c r="N64" i="8" s="1"/>
  <c r="N65" i="8" a="1"/>
  <c r="N65" i="8" s="1"/>
  <c r="N66" i="8" a="1"/>
  <c r="N66" i="8" s="1"/>
  <c r="N67" i="8" a="1"/>
  <c r="N67" i="8" s="1"/>
  <c r="N68" i="8" a="1"/>
  <c r="N68" i="8" s="1"/>
  <c r="N69" i="8" a="1"/>
  <c r="N69" i="8" s="1"/>
  <c r="N70" i="8" a="1"/>
  <c r="N70" i="8" s="1"/>
  <c r="N71" i="8" a="1"/>
  <c r="N71" i="8" s="1"/>
  <c r="N72" i="8" a="1"/>
  <c r="N72" i="8" s="1"/>
  <c r="N73" i="8" a="1"/>
  <c r="N73" i="8" s="1"/>
  <c r="N74" i="8" a="1"/>
  <c r="N74" i="8" s="1"/>
  <c r="N75" i="8" a="1"/>
  <c r="N75" i="8" s="1"/>
  <c r="N76" i="8" a="1"/>
  <c r="N76" i="8" s="1"/>
  <c r="N77" i="8" a="1"/>
  <c r="N77" i="8" s="1"/>
  <c r="N78" i="8" a="1"/>
  <c r="N78" i="8" s="1"/>
  <c r="N79" i="8" a="1"/>
  <c r="N79" i="8" s="1"/>
  <c r="N80" i="8" a="1"/>
  <c r="N80" i="8" s="1"/>
  <c r="N81" i="8" a="1"/>
  <c r="N81" i="8" s="1"/>
  <c r="N82" i="8" a="1"/>
  <c r="N82" i="8" s="1"/>
  <c r="N83" i="8" a="1"/>
  <c r="N83" i="8" s="1"/>
  <c r="N84" i="8" a="1"/>
  <c r="N84" i="8" s="1"/>
  <c r="N85" i="8" a="1"/>
  <c r="N85" i="8" s="1"/>
  <c r="N86" i="8" a="1"/>
  <c r="N86" i="8" s="1"/>
  <c r="N87" i="8" a="1"/>
  <c r="N87" i="8" s="1"/>
  <c r="N88" i="8" a="1"/>
  <c r="N88" i="8" s="1"/>
  <c r="N89" i="8" a="1"/>
  <c r="N89" i="8" s="1"/>
  <c r="N90" i="8" a="1"/>
  <c r="N90" i="8" s="1"/>
  <c r="N91" i="8" a="1"/>
  <c r="N91" i="8" s="1"/>
  <c r="N92" i="8" a="1"/>
  <c r="N92" i="8" s="1"/>
  <c r="N93" i="8" a="1"/>
  <c r="N93" i="8" s="1"/>
  <c r="N94" i="8" a="1"/>
  <c r="N94" i="8" s="1"/>
  <c r="N95" i="8" a="1"/>
  <c r="N95" i="8" s="1"/>
  <c r="N96" i="8" a="1"/>
  <c r="N96" i="8" s="1"/>
  <c r="N97" i="8" a="1"/>
  <c r="N97" i="8" s="1"/>
  <c r="N98" i="8" a="1"/>
  <c r="N98" i="8" s="1"/>
  <c r="N99" i="8" a="1"/>
  <c r="N99" i="8" s="1"/>
  <c r="N100" i="8" a="1"/>
  <c r="N100" i="8" s="1"/>
  <c r="N101" i="8" a="1"/>
  <c r="N101" i="8" s="1"/>
  <c r="N102" i="8" a="1"/>
  <c r="N102" i="8" s="1"/>
  <c r="N103" i="8" a="1"/>
  <c r="N103" i="8" s="1"/>
  <c r="N104" i="8" a="1"/>
  <c r="N104" i="8" s="1"/>
  <c r="N105" i="8" a="1"/>
  <c r="N105" i="8" s="1"/>
  <c r="N106" i="8" a="1"/>
  <c r="N106" i="8" s="1"/>
  <c r="N107" i="8" a="1"/>
  <c r="N107" i="8" s="1"/>
  <c r="N108" i="8" a="1"/>
  <c r="N108" i="8" s="1"/>
  <c r="N109" i="8" a="1"/>
  <c r="N109" i="8" s="1"/>
  <c r="N110" i="8" a="1"/>
  <c r="N110" i="8" s="1"/>
  <c r="N111" i="8" a="1"/>
  <c r="N111" i="8" s="1"/>
  <c r="N112" i="8" a="1"/>
  <c r="N112" i="8" s="1"/>
  <c r="N113" i="8" a="1"/>
  <c r="N113" i="8" s="1"/>
  <c r="N114" i="8" a="1"/>
  <c r="N114" i="8" s="1"/>
  <c r="N115" i="8" a="1"/>
  <c r="N115" i="8" s="1"/>
  <c r="N116" i="8" a="1"/>
  <c r="N116" i="8" s="1"/>
  <c r="N117" i="8" a="1"/>
  <c r="N117" i="8" s="1"/>
  <c r="N118" i="8" a="1"/>
  <c r="N118" i="8" s="1"/>
  <c r="N119" i="8" a="1"/>
  <c r="N119" i="8" s="1"/>
  <c r="N120" i="8" a="1"/>
  <c r="N120" i="8" s="1"/>
  <c r="N121" i="8" a="1"/>
  <c r="N121" i="8" s="1"/>
  <c r="N122" i="8" a="1"/>
  <c r="N122" i="8" s="1"/>
  <c r="N123" i="8" a="1"/>
  <c r="N123" i="8" s="1"/>
  <c r="N124" i="8" a="1"/>
  <c r="N124" i="8" s="1"/>
  <c r="N125" i="8" a="1"/>
  <c r="N125" i="8" s="1"/>
  <c r="N126" i="8" a="1"/>
  <c r="N126" i="8" s="1"/>
  <c r="N127" i="8" a="1"/>
  <c r="N127" i="8" s="1"/>
  <c r="N128" i="8" a="1"/>
  <c r="N128" i="8" s="1"/>
  <c r="N129" i="8" a="1"/>
  <c r="N129" i="8" s="1"/>
  <c r="N130" i="8" a="1"/>
  <c r="N130" i="8" s="1"/>
  <c r="N131" i="8" a="1"/>
  <c r="N131" i="8" s="1"/>
  <c r="N132" i="8" a="1"/>
  <c r="N132" i="8" s="1"/>
  <c r="N133" i="8" a="1"/>
  <c r="N133" i="8" s="1"/>
  <c r="N134" i="8" a="1"/>
  <c r="N134" i="8" s="1"/>
  <c r="N135" i="8" a="1"/>
  <c r="N135" i="8" s="1"/>
  <c r="N136" i="8" a="1"/>
  <c r="N136" i="8" s="1"/>
  <c r="N137" i="8" a="1"/>
  <c r="N137" i="8" s="1"/>
  <c r="N138" i="8" a="1"/>
  <c r="N138" i="8" s="1"/>
  <c r="N139" i="8" a="1"/>
  <c r="N139" i="8" s="1"/>
  <c r="N140" i="8" a="1"/>
  <c r="N140" i="8" s="1"/>
  <c r="N141" i="8" a="1"/>
  <c r="N141" i="8" s="1"/>
  <c r="N142" i="8" a="1"/>
  <c r="N142" i="8" s="1"/>
  <c r="N143" i="8" a="1"/>
  <c r="N143" i="8" s="1"/>
  <c r="N144" i="8" a="1"/>
  <c r="N144" i="8" s="1"/>
  <c r="N145" i="8" a="1"/>
  <c r="N145" i="8" s="1"/>
  <c r="N146" i="8" a="1"/>
  <c r="N146" i="8" s="1"/>
  <c r="N147" i="8" a="1"/>
  <c r="N147" i="8" s="1"/>
  <c r="N148" i="8" a="1"/>
  <c r="N148" i="8" s="1"/>
  <c r="N149" i="8" a="1"/>
  <c r="N149" i="8" s="1"/>
  <c r="N150" i="8" a="1"/>
  <c r="N150" i="8" s="1"/>
  <c r="N151" i="8" a="1"/>
  <c r="N151" i="8" s="1"/>
  <c r="N152" i="8" a="1"/>
  <c r="N152" i="8" s="1"/>
  <c r="N153" i="8" a="1"/>
  <c r="N153" i="8" s="1"/>
  <c r="N154" i="8" a="1"/>
  <c r="N154" i="8" s="1"/>
  <c r="N155" i="8" a="1"/>
  <c r="N155" i="8" s="1"/>
  <c r="N156" i="8" a="1"/>
  <c r="N156" i="8" s="1"/>
  <c r="N157" i="8" a="1"/>
  <c r="N157" i="8" s="1"/>
  <c r="N158" i="8" a="1"/>
  <c r="N158" i="8" s="1"/>
  <c r="N159" i="8" a="1"/>
  <c r="N159" i="8" s="1"/>
  <c r="N160" i="8" a="1"/>
  <c r="N160" i="8" s="1"/>
  <c r="N161" i="8" a="1"/>
  <c r="N161" i="8" s="1"/>
  <c r="N162" i="8" a="1"/>
  <c r="N162" i="8" s="1"/>
  <c r="N163" i="8" a="1"/>
  <c r="N163" i="8" s="1"/>
  <c r="N164" i="8" a="1"/>
  <c r="N164" i="8" s="1"/>
  <c r="N165" i="8" a="1"/>
  <c r="N165" i="8" s="1"/>
  <c r="N166" i="8" a="1"/>
  <c r="N166" i="8" s="1"/>
  <c r="N167" i="8" a="1"/>
  <c r="N167" i="8" s="1"/>
  <c r="N168" i="8" a="1"/>
  <c r="N168" i="8" s="1"/>
  <c r="N169" i="8" a="1"/>
  <c r="N169" i="8" s="1"/>
  <c r="N170" i="8" a="1"/>
  <c r="N170" i="8" s="1"/>
  <c r="N171" i="8" a="1"/>
  <c r="N171" i="8" s="1"/>
  <c r="N172" i="8" a="1"/>
  <c r="N172" i="8" s="1"/>
  <c r="N173" i="8" a="1"/>
  <c r="N173" i="8" s="1"/>
  <c r="N174" i="8" a="1"/>
  <c r="N174" i="8" s="1"/>
  <c r="N175" i="8" a="1"/>
  <c r="N175" i="8" s="1"/>
  <c r="N176" i="8" a="1"/>
  <c r="N176" i="8" s="1"/>
  <c r="N177" i="8" a="1"/>
  <c r="N177" i="8" s="1"/>
  <c r="N178" i="8" a="1"/>
  <c r="N178" i="8" s="1"/>
  <c r="N179" i="8" a="1"/>
  <c r="N179" i="8" s="1"/>
  <c r="N180" i="8" a="1"/>
  <c r="N180" i="8" s="1"/>
  <c r="N181" i="8" a="1"/>
  <c r="N181" i="8" s="1"/>
  <c r="N182" i="8" a="1"/>
  <c r="N182" i="8" s="1"/>
  <c r="N183" i="8" a="1"/>
  <c r="N183" i="8" s="1"/>
  <c r="N184" i="8" a="1"/>
  <c r="N184" i="8" s="1"/>
  <c r="N185" i="8" a="1"/>
  <c r="N185" i="8" s="1"/>
  <c r="N186" i="8" a="1"/>
  <c r="N186" i="8" s="1"/>
  <c r="N187" i="8" a="1"/>
  <c r="N187" i="8" s="1"/>
  <c r="N188" i="8" a="1"/>
  <c r="N188" i="8" s="1"/>
  <c r="N189" i="8" a="1"/>
  <c r="N189" i="8" s="1"/>
  <c r="N190" i="8" a="1"/>
  <c r="N190" i="8" s="1"/>
  <c r="N191" i="8" a="1"/>
  <c r="N191" i="8" s="1"/>
  <c r="N192" i="8" a="1"/>
  <c r="N192" i="8" s="1"/>
  <c r="N193" i="8" a="1"/>
  <c r="N193" i="8" s="1"/>
  <c r="N194" i="8" a="1"/>
  <c r="N194" i="8" s="1"/>
  <c r="N195" i="8" a="1"/>
  <c r="N195" i="8" s="1"/>
  <c r="N196" i="8" a="1"/>
  <c r="N196" i="8" s="1"/>
  <c r="N197" i="8" a="1"/>
  <c r="N197" i="8" s="1"/>
  <c r="N198" i="8" a="1"/>
  <c r="N198" i="8" s="1"/>
  <c r="N199" i="8" a="1"/>
  <c r="N199" i="8" s="1"/>
  <c r="N200" i="8" a="1"/>
  <c r="N200" i="8" s="1"/>
  <c r="N201" i="8" a="1"/>
  <c r="N201" i="8" s="1"/>
  <c r="N202" i="8" a="1"/>
  <c r="N202" i="8" s="1"/>
  <c r="N203" i="8" a="1"/>
  <c r="N203" i="8" s="1"/>
  <c r="N204" i="8" a="1"/>
  <c r="N204" i="8" s="1"/>
  <c r="N205" i="8" a="1"/>
  <c r="N205" i="8" s="1"/>
  <c r="N206" i="8" a="1"/>
  <c r="N206" i="8" s="1"/>
  <c r="N207" i="8" a="1"/>
  <c r="N207" i="8" s="1"/>
  <c r="N208" i="8" a="1"/>
  <c r="N208" i="8" s="1"/>
  <c r="N209" i="8" a="1"/>
  <c r="N209" i="8" s="1"/>
  <c r="N210" i="8" a="1"/>
  <c r="N210" i="8" s="1"/>
  <c r="N211" i="8" a="1"/>
  <c r="N211" i="8" s="1"/>
  <c r="N212" i="8" a="1"/>
  <c r="N212" i="8" s="1"/>
  <c r="N213" i="8" a="1"/>
  <c r="N213" i="8" s="1"/>
  <c r="N214" i="8" a="1"/>
  <c r="N214" i="8" s="1"/>
  <c r="N215" i="8" a="1"/>
  <c r="N215" i="8" s="1"/>
  <c r="N216" i="8" a="1"/>
  <c r="N216" i="8" s="1"/>
  <c r="N217" i="8" a="1"/>
  <c r="N217" i="8" s="1"/>
  <c r="N218" i="8" a="1"/>
  <c r="N218" i="8" s="1"/>
  <c r="N219" i="8" a="1"/>
  <c r="N219" i="8" s="1"/>
  <c r="N220" i="8" a="1"/>
  <c r="N220" i="8" s="1"/>
  <c r="N221" i="8" a="1"/>
  <c r="N221" i="8" s="1"/>
  <c r="N222" i="8" a="1"/>
  <c r="N222" i="8" s="1"/>
  <c r="N223" i="8" a="1"/>
  <c r="N223" i="8" s="1"/>
  <c r="N224" i="8" a="1"/>
  <c r="N224" i="8" s="1"/>
  <c r="N225" i="8" a="1"/>
  <c r="N225" i="8" s="1"/>
  <c r="N226" i="8" a="1"/>
  <c r="N226" i="8" s="1"/>
  <c r="N227" i="8" a="1"/>
  <c r="N227" i="8" s="1"/>
  <c r="N228" i="8" a="1"/>
  <c r="N228" i="8" s="1"/>
  <c r="N229" i="8" a="1"/>
  <c r="N229" i="8" s="1"/>
  <c r="N230" i="8" a="1"/>
  <c r="N230" i="8" s="1"/>
  <c r="N231" i="8" a="1"/>
  <c r="N231" i="8" s="1"/>
  <c r="N232" i="8" a="1"/>
  <c r="N232" i="8" s="1"/>
  <c r="N233" i="8" a="1"/>
  <c r="N233" i="8" s="1"/>
  <c r="N234" i="8" a="1"/>
  <c r="N234" i="8" s="1"/>
  <c r="N235" i="8" a="1"/>
  <c r="N235" i="8" s="1"/>
  <c r="N236" i="8" a="1"/>
  <c r="N236" i="8" s="1"/>
  <c r="N237" i="8" a="1"/>
  <c r="N237" i="8" s="1"/>
  <c r="N238" i="8" a="1"/>
  <c r="N238" i="8" s="1"/>
  <c r="N239" i="8" a="1"/>
  <c r="N239" i="8" s="1"/>
  <c r="N240" i="8" a="1"/>
  <c r="N240" i="8" s="1"/>
  <c r="N241" i="8" a="1"/>
  <c r="N241" i="8" s="1"/>
  <c r="N242" i="8" a="1"/>
  <c r="N242" i="8" s="1"/>
  <c r="N243" i="8" a="1"/>
  <c r="N243" i="8" s="1"/>
  <c r="N244" i="8" a="1"/>
  <c r="N244" i="8" s="1"/>
  <c r="N245" i="8" a="1"/>
  <c r="N245" i="8" s="1"/>
  <c r="N246" i="8" a="1"/>
  <c r="N246" i="8" s="1"/>
  <c r="N247" i="8" a="1"/>
  <c r="N247" i="8" s="1"/>
  <c r="N248" i="8" a="1"/>
  <c r="N248" i="8" s="1"/>
  <c r="N249" i="8" a="1"/>
  <c r="N249" i="8" s="1"/>
  <c r="N250" i="8" a="1"/>
  <c r="N250" i="8" s="1"/>
  <c r="M12" i="8" a="1"/>
  <c r="M12" i="8" s="1"/>
  <c r="M13" i="8" a="1"/>
  <c r="M13" i="8" s="1"/>
  <c r="M14" i="8" a="1"/>
  <c r="M14" i="8" s="1"/>
  <c r="M15" i="8" a="1"/>
  <c r="M15" i="8" s="1"/>
  <c r="M16" i="8" a="1"/>
  <c r="M16" i="8" s="1"/>
  <c r="M17" i="8" a="1"/>
  <c r="M17" i="8" s="1"/>
  <c r="M18" i="8" a="1"/>
  <c r="M18" i="8" s="1"/>
  <c r="M19" i="8" a="1"/>
  <c r="M19" i="8" s="1"/>
  <c r="M20" i="8" a="1"/>
  <c r="M20" i="8" s="1"/>
  <c r="M21" i="8" a="1"/>
  <c r="M21" i="8" s="1"/>
  <c r="M22" i="8" a="1"/>
  <c r="M22" i="8" s="1"/>
  <c r="M23" i="8" a="1"/>
  <c r="M23" i="8" s="1"/>
  <c r="M24" i="8" a="1"/>
  <c r="M24" i="8" s="1"/>
  <c r="M25" i="8" a="1"/>
  <c r="M25" i="8" s="1"/>
  <c r="M26" i="8" a="1"/>
  <c r="M26" i="8" s="1"/>
  <c r="M27" i="8" a="1"/>
  <c r="M27" i="8" s="1"/>
  <c r="M28" i="8" a="1"/>
  <c r="M28" i="8" s="1"/>
  <c r="M29" i="8" a="1"/>
  <c r="M29" i="8" s="1"/>
  <c r="M30" i="8" a="1"/>
  <c r="M30" i="8" s="1"/>
  <c r="M31" i="8" a="1"/>
  <c r="M31" i="8" s="1"/>
  <c r="M32" i="8" a="1"/>
  <c r="M32" i="8" s="1"/>
  <c r="M33" i="8" a="1"/>
  <c r="M33" i="8" s="1"/>
  <c r="M34" i="8" a="1"/>
  <c r="M34" i="8" s="1"/>
  <c r="M35" i="8" a="1"/>
  <c r="M35" i="8" s="1"/>
  <c r="M36" i="8" a="1"/>
  <c r="M36" i="8" s="1"/>
  <c r="M37" i="8" a="1"/>
  <c r="M37" i="8" s="1"/>
  <c r="M38" i="8" a="1"/>
  <c r="M38" i="8" s="1"/>
  <c r="M39" i="8" a="1"/>
  <c r="M39" i="8" s="1"/>
  <c r="M40" i="8" a="1"/>
  <c r="M40" i="8" s="1"/>
  <c r="M41" i="8" a="1"/>
  <c r="M41" i="8" s="1"/>
  <c r="M42" i="8" a="1"/>
  <c r="M42" i="8" s="1"/>
  <c r="M43" i="8" a="1"/>
  <c r="M43" i="8" s="1"/>
  <c r="M44" i="8" a="1"/>
  <c r="M44" i="8" s="1"/>
  <c r="M45" i="8" a="1"/>
  <c r="M45" i="8" s="1"/>
  <c r="M46" i="8" a="1"/>
  <c r="M46" i="8" s="1"/>
  <c r="M47" i="8" a="1"/>
  <c r="M47" i="8" s="1"/>
  <c r="M48" i="8" a="1"/>
  <c r="M48" i="8" s="1"/>
  <c r="M49" i="8" a="1"/>
  <c r="M49" i="8" s="1"/>
  <c r="M50" i="8" a="1"/>
  <c r="M50" i="8" s="1"/>
  <c r="M51" i="8" a="1"/>
  <c r="M51" i="8" s="1"/>
  <c r="M52" i="8" a="1"/>
  <c r="M52" i="8" s="1"/>
  <c r="M53" i="8" a="1"/>
  <c r="M53" i="8" s="1"/>
  <c r="M54" i="8" a="1"/>
  <c r="M54" i="8" s="1"/>
  <c r="M55" i="8" a="1"/>
  <c r="M55" i="8" s="1"/>
  <c r="M56" i="8" a="1"/>
  <c r="M56" i="8" s="1"/>
  <c r="M57" i="8" a="1"/>
  <c r="M57" i="8" s="1"/>
  <c r="M58" i="8" a="1"/>
  <c r="M58" i="8" s="1"/>
  <c r="M59" i="8" a="1"/>
  <c r="M59" i="8" s="1"/>
  <c r="M60" i="8" a="1"/>
  <c r="M60" i="8" s="1"/>
  <c r="M61" i="8" a="1"/>
  <c r="M61" i="8" s="1"/>
  <c r="M62" i="8" a="1"/>
  <c r="M62" i="8" s="1"/>
  <c r="M63" i="8" a="1"/>
  <c r="M63" i="8" s="1"/>
  <c r="M64" i="8" a="1"/>
  <c r="M64" i="8" s="1"/>
  <c r="M65" i="8" a="1"/>
  <c r="M65" i="8" s="1"/>
  <c r="M66" i="8" a="1"/>
  <c r="M66" i="8" s="1"/>
  <c r="M67" i="8" a="1"/>
  <c r="M67" i="8" s="1"/>
  <c r="M68" i="8" a="1"/>
  <c r="M68" i="8" s="1"/>
  <c r="M69" i="8" a="1"/>
  <c r="M69" i="8" s="1"/>
  <c r="M70" i="8" a="1"/>
  <c r="M70" i="8" s="1"/>
  <c r="M71" i="8" a="1"/>
  <c r="M71" i="8" s="1"/>
  <c r="M72" i="8" a="1"/>
  <c r="M72" i="8" s="1"/>
  <c r="M73" i="8" a="1"/>
  <c r="M73" i="8" s="1"/>
  <c r="M74" i="8" a="1"/>
  <c r="M74" i="8" s="1"/>
  <c r="M75" i="8" a="1"/>
  <c r="M75" i="8" s="1"/>
  <c r="M76" i="8" a="1"/>
  <c r="M76" i="8" s="1"/>
  <c r="M77" i="8" a="1"/>
  <c r="M77" i="8" s="1"/>
  <c r="M78" i="8" a="1"/>
  <c r="M78" i="8" s="1"/>
  <c r="M79" i="8" a="1"/>
  <c r="M79" i="8" s="1"/>
  <c r="M80" i="8" a="1"/>
  <c r="M80" i="8" s="1"/>
  <c r="M81" i="8" a="1"/>
  <c r="M81" i="8" s="1"/>
  <c r="M82" i="8" a="1"/>
  <c r="M82" i="8" s="1"/>
  <c r="M83" i="8" a="1"/>
  <c r="M83" i="8" s="1"/>
  <c r="M84" i="8" a="1"/>
  <c r="M84" i="8" s="1"/>
  <c r="M85" i="8" a="1"/>
  <c r="M85" i="8" s="1"/>
  <c r="M86" i="8" a="1"/>
  <c r="M86" i="8" s="1"/>
  <c r="M87" i="8" a="1"/>
  <c r="M87" i="8" s="1"/>
  <c r="M88" i="8" a="1"/>
  <c r="M88" i="8" s="1"/>
  <c r="M89" i="8" a="1"/>
  <c r="M89" i="8" s="1"/>
  <c r="M90" i="8" a="1"/>
  <c r="M90" i="8" s="1"/>
  <c r="M91" i="8" a="1"/>
  <c r="M91" i="8" s="1"/>
  <c r="M92" i="8" a="1"/>
  <c r="M92" i="8" s="1"/>
  <c r="M93" i="8" a="1"/>
  <c r="M93" i="8" s="1"/>
  <c r="M94" i="8" a="1"/>
  <c r="M94" i="8" s="1"/>
  <c r="M95" i="8" a="1"/>
  <c r="M95" i="8" s="1"/>
  <c r="M96" i="8" a="1"/>
  <c r="M96" i="8" s="1"/>
  <c r="M97" i="8" a="1"/>
  <c r="M97" i="8" s="1"/>
  <c r="M98" i="8" a="1"/>
  <c r="M98" i="8" s="1"/>
  <c r="M99" i="8" a="1"/>
  <c r="M99" i="8" s="1"/>
  <c r="M100" i="8" a="1"/>
  <c r="M100" i="8" s="1"/>
  <c r="M101" i="8" a="1"/>
  <c r="M101" i="8" s="1"/>
  <c r="M102" i="8" a="1"/>
  <c r="M102" i="8" s="1"/>
  <c r="M103" i="8" a="1"/>
  <c r="M103" i="8" s="1"/>
  <c r="M104" i="8" a="1"/>
  <c r="M104" i="8" s="1"/>
  <c r="M105" i="8" a="1"/>
  <c r="M105" i="8" s="1"/>
  <c r="M106" i="8" a="1"/>
  <c r="M106" i="8" s="1"/>
  <c r="M107" i="8" a="1"/>
  <c r="M107" i="8" s="1"/>
  <c r="M108" i="8" a="1"/>
  <c r="M108" i="8" s="1"/>
  <c r="M109" i="8" a="1"/>
  <c r="M109" i="8" s="1"/>
  <c r="M110" i="8" a="1"/>
  <c r="M110" i="8" s="1"/>
  <c r="M111" i="8" a="1"/>
  <c r="M111" i="8" s="1"/>
  <c r="M112" i="8" a="1"/>
  <c r="M112" i="8" s="1"/>
  <c r="M113" i="8" a="1"/>
  <c r="M113" i="8" s="1"/>
  <c r="M114" i="8" a="1"/>
  <c r="M114" i="8" s="1"/>
  <c r="M115" i="8" a="1"/>
  <c r="M115" i="8" s="1"/>
  <c r="M116" i="8" a="1"/>
  <c r="M116" i="8" s="1"/>
  <c r="M117" i="8" a="1"/>
  <c r="M117" i="8" s="1"/>
  <c r="M118" i="8" a="1"/>
  <c r="M118" i="8" s="1"/>
  <c r="M119" i="8" a="1"/>
  <c r="M119" i="8" s="1"/>
  <c r="M120" i="8" a="1"/>
  <c r="M120" i="8" s="1"/>
  <c r="M121" i="8" a="1"/>
  <c r="M121" i="8" s="1"/>
  <c r="M122" i="8" a="1"/>
  <c r="M122" i="8" s="1"/>
  <c r="M123" i="8" a="1"/>
  <c r="M123" i="8" s="1"/>
  <c r="M124" i="8" a="1"/>
  <c r="M124" i="8" s="1"/>
  <c r="M125" i="8" a="1"/>
  <c r="M125" i="8" s="1"/>
  <c r="M126" i="8" a="1"/>
  <c r="M126" i="8" s="1"/>
  <c r="M127" i="8" a="1"/>
  <c r="M127" i="8" s="1"/>
  <c r="M128" i="8" a="1"/>
  <c r="M128" i="8" s="1"/>
  <c r="M129" i="8" a="1"/>
  <c r="M129" i="8" s="1"/>
  <c r="M130" i="8" a="1"/>
  <c r="M130" i="8" s="1"/>
  <c r="M131" i="8" a="1"/>
  <c r="M131" i="8" s="1"/>
  <c r="M132" i="8" a="1"/>
  <c r="M132" i="8" s="1"/>
  <c r="M133" i="8" a="1"/>
  <c r="M133" i="8" s="1"/>
  <c r="M134" i="8" a="1"/>
  <c r="M134" i="8" s="1"/>
  <c r="M135" i="8" a="1"/>
  <c r="M135" i="8" s="1"/>
  <c r="M136" i="8" a="1"/>
  <c r="M136" i="8" s="1"/>
  <c r="M137" i="8" a="1"/>
  <c r="M137" i="8" s="1"/>
  <c r="M138" i="8" a="1"/>
  <c r="M138" i="8" s="1"/>
  <c r="M139" i="8" a="1"/>
  <c r="M139" i="8" s="1"/>
  <c r="M140" i="8" a="1"/>
  <c r="M140" i="8" s="1"/>
  <c r="M141" i="8" a="1"/>
  <c r="M141" i="8" s="1"/>
  <c r="M142" i="8" a="1"/>
  <c r="M142" i="8" s="1"/>
  <c r="M143" i="8" a="1"/>
  <c r="M143" i="8" s="1"/>
  <c r="M144" i="8" a="1"/>
  <c r="M144" i="8" s="1"/>
  <c r="M145" i="8" a="1"/>
  <c r="M145" i="8" s="1"/>
  <c r="M146" i="8" a="1"/>
  <c r="M146" i="8" s="1"/>
  <c r="M147" i="8" a="1"/>
  <c r="M147" i="8" s="1"/>
  <c r="M148" i="8" a="1"/>
  <c r="M148" i="8" s="1"/>
  <c r="M149" i="8" a="1"/>
  <c r="M149" i="8" s="1"/>
  <c r="M150" i="8" a="1"/>
  <c r="M150" i="8" s="1"/>
  <c r="M151" i="8" a="1"/>
  <c r="M151" i="8" s="1"/>
  <c r="M152" i="8" a="1"/>
  <c r="M152" i="8" s="1"/>
  <c r="M153" i="8" a="1"/>
  <c r="M153" i="8" s="1"/>
  <c r="M154" i="8" a="1"/>
  <c r="M154" i="8" s="1"/>
  <c r="M155" i="8" a="1"/>
  <c r="M155" i="8" s="1"/>
  <c r="M156" i="8" a="1"/>
  <c r="M156" i="8" s="1"/>
  <c r="M157" i="8" a="1"/>
  <c r="M157" i="8" s="1"/>
  <c r="M158" i="8" a="1"/>
  <c r="M158" i="8" s="1"/>
  <c r="M159" i="8" a="1"/>
  <c r="M159" i="8" s="1"/>
  <c r="M160" i="8" a="1"/>
  <c r="M160" i="8" s="1"/>
  <c r="M161" i="8" a="1"/>
  <c r="M161" i="8" s="1"/>
  <c r="M162" i="8" a="1"/>
  <c r="M162" i="8" s="1"/>
  <c r="M163" i="8" a="1"/>
  <c r="M163" i="8" s="1"/>
  <c r="M164" i="8" a="1"/>
  <c r="M164" i="8" s="1"/>
  <c r="M165" i="8" a="1"/>
  <c r="M165" i="8" s="1"/>
  <c r="M166" i="8" a="1"/>
  <c r="M166" i="8" s="1"/>
  <c r="M167" i="8" a="1"/>
  <c r="M167" i="8" s="1"/>
  <c r="M168" i="8" a="1"/>
  <c r="M168" i="8" s="1"/>
  <c r="M169" i="8" a="1"/>
  <c r="M169" i="8" s="1"/>
  <c r="M170" i="8" a="1"/>
  <c r="M170" i="8" s="1"/>
  <c r="M171" i="8" a="1"/>
  <c r="M171" i="8" s="1"/>
  <c r="M172" i="8" a="1"/>
  <c r="M172" i="8" s="1"/>
  <c r="M173" i="8" a="1"/>
  <c r="M173" i="8" s="1"/>
  <c r="M174" i="8" a="1"/>
  <c r="M174" i="8" s="1"/>
  <c r="M175" i="8" a="1"/>
  <c r="M175" i="8" s="1"/>
  <c r="M176" i="8" a="1"/>
  <c r="M176" i="8" s="1"/>
  <c r="M177" i="8" a="1"/>
  <c r="M177" i="8" s="1"/>
  <c r="M178" i="8" a="1"/>
  <c r="M178" i="8" s="1"/>
  <c r="M179" i="8" a="1"/>
  <c r="M179" i="8" s="1"/>
  <c r="M180" i="8" a="1"/>
  <c r="M180" i="8" s="1"/>
  <c r="M181" i="8" a="1"/>
  <c r="M181" i="8" s="1"/>
  <c r="M182" i="8" a="1"/>
  <c r="M182" i="8" s="1"/>
  <c r="M183" i="8" a="1"/>
  <c r="M183" i="8" s="1"/>
  <c r="M184" i="8" a="1"/>
  <c r="M184" i="8" s="1"/>
  <c r="M185" i="8" a="1"/>
  <c r="M185" i="8" s="1"/>
  <c r="M186" i="8" a="1"/>
  <c r="M186" i="8" s="1"/>
  <c r="M187" i="8" a="1"/>
  <c r="M187" i="8" s="1"/>
  <c r="M188" i="8" a="1"/>
  <c r="M188" i="8" s="1"/>
  <c r="M189" i="8" a="1"/>
  <c r="M189" i="8" s="1"/>
  <c r="M190" i="8" a="1"/>
  <c r="M190" i="8" s="1"/>
  <c r="M191" i="8" a="1"/>
  <c r="M191" i="8" s="1"/>
  <c r="M192" i="8" a="1"/>
  <c r="M192" i="8" s="1"/>
  <c r="M193" i="8" a="1"/>
  <c r="M193" i="8" s="1"/>
  <c r="M194" i="8" a="1"/>
  <c r="M194" i="8" s="1"/>
  <c r="M195" i="8" a="1"/>
  <c r="M195" i="8" s="1"/>
  <c r="M196" i="8" a="1"/>
  <c r="M196" i="8" s="1"/>
  <c r="M197" i="8" a="1"/>
  <c r="M197" i="8" s="1"/>
  <c r="M198" i="8" a="1"/>
  <c r="M198" i="8" s="1"/>
  <c r="M199" i="8" a="1"/>
  <c r="M199" i="8" s="1"/>
  <c r="M200" i="8" a="1"/>
  <c r="M200" i="8" s="1"/>
  <c r="M201" i="8" a="1"/>
  <c r="M201" i="8" s="1"/>
  <c r="M202" i="8" a="1"/>
  <c r="M202" i="8" s="1"/>
  <c r="M203" i="8" a="1"/>
  <c r="M203" i="8" s="1"/>
  <c r="M204" i="8" a="1"/>
  <c r="M204" i="8" s="1"/>
  <c r="M205" i="8" a="1"/>
  <c r="M205" i="8" s="1"/>
  <c r="M206" i="8" a="1"/>
  <c r="M206" i="8" s="1"/>
  <c r="M207" i="8" a="1"/>
  <c r="M207" i="8" s="1"/>
  <c r="M208" i="8" a="1"/>
  <c r="M208" i="8" s="1"/>
  <c r="M209" i="8" a="1"/>
  <c r="M209" i="8" s="1"/>
  <c r="M210" i="8" a="1"/>
  <c r="M210" i="8" s="1"/>
  <c r="M211" i="8" a="1"/>
  <c r="M211" i="8" s="1"/>
  <c r="M212" i="8" a="1"/>
  <c r="M212" i="8" s="1"/>
  <c r="M213" i="8" a="1"/>
  <c r="M213" i="8" s="1"/>
  <c r="M214" i="8" a="1"/>
  <c r="M214" i="8" s="1"/>
  <c r="M215" i="8" a="1"/>
  <c r="M215" i="8" s="1"/>
  <c r="M216" i="8" a="1"/>
  <c r="M216" i="8" s="1"/>
  <c r="M217" i="8" a="1"/>
  <c r="M217" i="8" s="1"/>
  <c r="M218" i="8" a="1"/>
  <c r="M218" i="8" s="1"/>
  <c r="M219" i="8" a="1"/>
  <c r="M219" i="8" s="1"/>
  <c r="M220" i="8" a="1"/>
  <c r="M220" i="8" s="1"/>
  <c r="M221" i="8" a="1"/>
  <c r="M221" i="8" s="1"/>
  <c r="M222" i="8" a="1"/>
  <c r="M222" i="8" s="1"/>
  <c r="M223" i="8" a="1"/>
  <c r="M223" i="8" s="1"/>
  <c r="M224" i="8" a="1"/>
  <c r="M224" i="8" s="1"/>
  <c r="M225" i="8" a="1"/>
  <c r="M225" i="8" s="1"/>
  <c r="M226" i="8" a="1"/>
  <c r="M226" i="8" s="1"/>
  <c r="M227" i="8" a="1"/>
  <c r="M227" i="8" s="1"/>
  <c r="M228" i="8" a="1"/>
  <c r="M228" i="8" s="1"/>
  <c r="M229" i="8" a="1"/>
  <c r="M229" i="8" s="1"/>
  <c r="M230" i="8" a="1"/>
  <c r="M230" i="8" s="1"/>
  <c r="M231" i="8" a="1"/>
  <c r="M231" i="8" s="1"/>
  <c r="M232" i="8" a="1"/>
  <c r="M232" i="8" s="1"/>
  <c r="M233" i="8" a="1"/>
  <c r="M233" i="8" s="1"/>
  <c r="M234" i="8" a="1"/>
  <c r="M234" i="8" s="1"/>
  <c r="M235" i="8" a="1"/>
  <c r="M235" i="8" s="1"/>
  <c r="M236" i="8" a="1"/>
  <c r="M236" i="8" s="1"/>
  <c r="M237" i="8" a="1"/>
  <c r="M237" i="8" s="1"/>
  <c r="M238" i="8" a="1"/>
  <c r="M238" i="8" s="1"/>
  <c r="M239" i="8" a="1"/>
  <c r="M239" i="8" s="1"/>
  <c r="M240" i="8" a="1"/>
  <c r="M240" i="8" s="1"/>
  <c r="M241" i="8" a="1"/>
  <c r="M241" i="8" s="1"/>
  <c r="M242" i="8" a="1"/>
  <c r="M242" i="8" s="1"/>
  <c r="M243" i="8" a="1"/>
  <c r="M243" i="8" s="1"/>
  <c r="M244" i="8" a="1"/>
  <c r="M244" i="8" s="1"/>
  <c r="M245" i="8" a="1"/>
  <c r="M245" i="8" s="1"/>
  <c r="M246" i="8" a="1"/>
  <c r="M246" i="8" s="1"/>
  <c r="M247" i="8" a="1"/>
  <c r="M247" i="8" s="1"/>
  <c r="M248" i="8" a="1"/>
  <c r="M248" i="8" s="1"/>
  <c r="M249" i="8" a="1"/>
  <c r="M249" i="8" s="1"/>
  <c r="M250" i="8" a="1"/>
  <c r="M250" i="8" s="1"/>
  <c r="L12" i="8" a="1"/>
  <c r="L12" i="8" s="1"/>
  <c r="L13" i="8" a="1"/>
  <c r="L13" i="8" s="1"/>
  <c r="L14" i="8" a="1"/>
  <c r="L14" i="8" s="1"/>
  <c r="L15" i="8" a="1"/>
  <c r="L15" i="8" s="1"/>
  <c r="L16" i="8" a="1"/>
  <c r="L16" i="8" s="1"/>
  <c r="L17" i="8" a="1"/>
  <c r="L17" i="8" s="1"/>
  <c r="L18" i="8" a="1"/>
  <c r="L18" i="8" s="1"/>
  <c r="L19" i="8" a="1"/>
  <c r="L19" i="8" s="1"/>
  <c r="L20" i="8" a="1"/>
  <c r="L20" i="8" s="1"/>
  <c r="L21" i="8" a="1"/>
  <c r="L21" i="8" s="1"/>
  <c r="L22" i="8" a="1"/>
  <c r="L22" i="8" s="1"/>
  <c r="L23" i="8" a="1"/>
  <c r="L23" i="8" s="1"/>
  <c r="L24" i="8" a="1"/>
  <c r="L24" i="8" s="1"/>
  <c r="L25" i="8" a="1"/>
  <c r="L25" i="8" s="1"/>
  <c r="L26" i="8" a="1"/>
  <c r="L26" i="8" s="1"/>
  <c r="L27" i="8" a="1"/>
  <c r="L27" i="8" s="1"/>
  <c r="L28" i="8" a="1"/>
  <c r="L28" i="8" s="1"/>
  <c r="L29" i="8" a="1"/>
  <c r="L29" i="8" s="1"/>
  <c r="L30" i="8" a="1"/>
  <c r="L30" i="8" s="1"/>
  <c r="L31" i="8" a="1"/>
  <c r="L31" i="8" s="1"/>
  <c r="L32" i="8" a="1"/>
  <c r="L32" i="8" s="1"/>
  <c r="L33" i="8" a="1"/>
  <c r="L33" i="8" s="1"/>
  <c r="L34" i="8" a="1"/>
  <c r="L34" i="8" s="1"/>
  <c r="L35" i="8" a="1"/>
  <c r="L35" i="8" s="1"/>
  <c r="L36" i="8" a="1"/>
  <c r="L36" i="8" s="1"/>
  <c r="L37" i="8" a="1"/>
  <c r="L37" i="8" s="1"/>
  <c r="L38" i="8" a="1"/>
  <c r="L38" i="8" s="1"/>
  <c r="L39" i="8" a="1"/>
  <c r="L39" i="8" s="1"/>
  <c r="L40" i="8" a="1"/>
  <c r="L40" i="8" s="1"/>
  <c r="L41" i="8" a="1"/>
  <c r="L41" i="8" s="1"/>
  <c r="L42" i="8" a="1"/>
  <c r="L42" i="8" s="1"/>
  <c r="L43" i="8" a="1"/>
  <c r="L43" i="8" s="1"/>
  <c r="L44" i="8" a="1"/>
  <c r="L44" i="8" s="1"/>
  <c r="L45" i="8" a="1"/>
  <c r="L45" i="8" s="1"/>
  <c r="L46" i="8" a="1"/>
  <c r="L46" i="8" s="1"/>
  <c r="L47" i="8" a="1"/>
  <c r="L47" i="8" s="1"/>
  <c r="L48" i="8" a="1"/>
  <c r="L48" i="8" s="1"/>
  <c r="L49" i="8" a="1"/>
  <c r="L49" i="8" s="1"/>
  <c r="L50" i="8" a="1"/>
  <c r="L50" i="8" s="1"/>
  <c r="L51" i="8" a="1"/>
  <c r="L51" i="8" s="1"/>
  <c r="L52" i="8" a="1"/>
  <c r="L52" i="8" s="1"/>
  <c r="L53" i="8" a="1"/>
  <c r="L53" i="8" s="1"/>
  <c r="L54" i="8" a="1"/>
  <c r="L54" i="8" s="1"/>
  <c r="L55" i="8" a="1"/>
  <c r="L55" i="8" s="1"/>
  <c r="L56" i="8" a="1"/>
  <c r="L56" i="8" s="1"/>
  <c r="L57" i="8" a="1"/>
  <c r="L57" i="8" s="1"/>
  <c r="L58" i="8" a="1"/>
  <c r="L58" i="8" s="1"/>
  <c r="L59" i="8" a="1"/>
  <c r="L59" i="8" s="1"/>
  <c r="L60" i="8" a="1"/>
  <c r="L60" i="8" s="1"/>
  <c r="L61" i="8" a="1"/>
  <c r="L61" i="8" s="1"/>
  <c r="L62" i="8" a="1"/>
  <c r="L62" i="8" s="1"/>
  <c r="L63" i="8" a="1"/>
  <c r="L63" i="8" s="1"/>
  <c r="L64" i="8" a="1"/>
  <c r="L64" i="8" s="1"/>
  <c r="L65" i="8" a="1"/>
  <c r="L65" i="8" s="1"/>
  <c r="L66" i="8" a="1"/>
  <c r="L66" i="8" s="1"/>
  <c r="L67" i="8" a="1"/>
  <c r="L67" i="8" s="1"/>
  <c r="L68" i="8" a="1"/>
  <c r="L68" i="8" s="1"/>
  <c r="L69" i="8" a="1"/>
  <c r="L69" i="8" s="1"/>
  <c r="L70" i="8" a="1"/>
  <c r="L70" i="8" s="1"/>
  <c r="L71" i="8" a="1"/>
  <c r="L71" i="8" s="1"/>
  <c r="L72" i="8" a="1"/>
  <c r="L72" i="8" s="1"/>
  <c r="L73" i="8" a="1"/>
  <c r="L73" i="8" s="1"/>
  <c r="L74" i="8" a="1"/>
  <c r="L74" i="8" s="1"/>
  <c r="L75" i="8" a="1"/>
  <c r="L75" i="8" s="1"/>
  <c r="L76" i="8" a="1"/>
  <c r="L76" i="8" s="1"/>
  <c r="L77" i="8" a="1"/>
  <c r="L77" i="8" s="1"/>
  <c r="L78" i="8" a="1"/>
  <c r="L78" i="8" s="1"/>
  <c r="L79" i="8" a="1"/>
  <c r="L79" i="8" s="1"/>
  <c r="L80" i="8" a="1"/>
  <c r="L80" i="8" s="1"/>
  <c r="L81" i="8" a="1"/>
  <c r="L81" i="8" s="1"/>
  <c r="L82" i="8" a="1"/>
  <c r="L82" i="8" s="1"/>
  <c r="L83" i="8" a="1"/>
  <c r="L83" i="8" s="1"/>
  <c r="L84" i="8" a="1"/>
  <c r="L84" i="8" s="1"/>
  <c r="L85" i="8" a="1"/>
  <c r="L85" i="8" s="1"/>
  <c r="L86" i="8" a="1"/>
  <c r="L86" i="8" s="1"/>
  <c r="L87" i="8" a="1"/>
  <c r="L87" i="8" s="1"/>
  <c r="L88" i="8" a="1"/>
  <c r="L88" i="8" s="1"/>
  <c r="L89" i="8" a="1"/>
  <c r="L89" i="8" s="1"/>
  <c r="L90" i="8" a="1"/>
  <c r="L90" i="8" s="1"/>
  <c r="L91" i="8" a="1"/>
  <c r="L91" i="8" s="1"/>
  <c r="L92" i="8" a="1"/>
  <c r="L92" i="8" s="1"/>
  <c r="L93" i="8" a="1"/>
  <c r="L93" i="8" s="1"/>
  <c r="L94" i="8" a="1"/>
  <c r="L94" i="8" s="1"/>
  <c r="L95" i="8" a="1"/>
  <c r="L95" i="8" s="1"/>
  <c r="L96" i="8" a="1"/>
  <c r="L96" i="8" s="1"/>
  <c r="L97" i="8" a="1"/>
  <c r="L97" i="8" s="1"/>
  <c r="L98" i="8" a="1"/>
  <c r="L98" i="8" s="1"/>
  <c r="L99" i="8" a="1"/>
  <c r="L99" i="8" s="1"/>
  <c r="L100" i="8" a="1"/>
  <c r="L100" i="8" s="1"/>
  <c r="L101" i="8" a="1"/>
  <c r="L101" i="8" s="1"/>
  <c r="L102" i="8" a="1"/>
  <c r="L102" i="8" s="1"/>
  <c r="L103" i="8" a="1"/>
  <c r="L103" i="8" s="1"/>
  <c r="L104" i="8" a="1"/>
  <c r="L104" i="8" s="1"/>
  <c r="L105" i="8" a="1"/>
  <c r="L105" i="8" s="1"/>
  <c r="L106" i="8" a="1"/>
  <c r="L106" i="8" s="1"/>
  <c r="L107" i="8" a="1"/>
  <c r="L107" i="8" s="1"/>
  <c r="L108" i="8" a="1"/>
  <c r="L108" i="8" s="1"/>
  <c r="L109" i="8" a="1"/>
  <c r="L109" i="8" s="1"/>
  <c r="L110" i="8" a="1"/>
  <c r="L110" i="8" s="1"/>
  <c r="L111" i="8" a="1"/>
  <c r="L111" i="8" s="1"/>
  <c r="L112" i="8" a="1"/>
  <c r="L112" i="8" s="1"/>
  <c r="L113" i="8" a="1"/>
  <c r="L113" i="8" s="1"/>
  <c r="L114" i="8" a="1"/>
  <c r="L114" i="8" s="1"/>
  <c r="L115" i="8" a="1"/>
  <c r="L115" i="8" s="1"/>
  <c r="L116" i="8" a="1"/>
  <c r="L116" i="8" s="1"/>
  <c r="L117" i="8" a="1"/>
  <c r="L117" i="8" s="1"/>
  <c r="L118" i="8" a="1"/>
  <c r="L118" i="8" s="1"/>
  <c r="L119" i="8" a="1"/>
  <c r="L119" i="8" s="1"/>
  <c r="L120" i="8" a="1"/>
  <c r="L120" i="8" s="1"/>
  <c r="L121" i="8" a="1"/>
  <c r="L121" i="8" s="1"/>
  <c r="L122" i="8" a="1"/>
  <c r="L122" i="8" s="1"/>
  <c r="L123" i="8" a="1"/>
  <c r="L123" i="8" s="1"/>
  <c r="L124" i="8" a="1"/>
  <c r="L124" i="8" s="1"/>
  <c r="L125" i="8" a="1"/>
  <c r="L125" i="8" s="1"/>
  <c r="L126" i="8" a="1"/>
  <c r="L126" i="8" s="1"/>
  <c r="L127" i="8" a="1"/>
  <c r="L127" i="8" s="1"/>
  <c r="L128" i="8" a="1"/>
  <c r="L128" i="8" s="1"/>
  <c r="L129" i="8" a="1"/>
  <c r="L129" i="8" s="1"/>
  <c r="L130" i="8" a="1"/>
  <c r="L130" i="8" s="1"/>
  <c r="L131" i="8" a="1"/>
  <c r="L131" i="8" s="1"/>
  <c r="L132" i="8" a="1"/>
  <c r="L132" i="8" s="1"/>
  <c r="L133" i="8" a="1"/>
  <c r="L133" i="8" s="1"/>
  <c r="L134" i="8" a="1"/>
  <c r="L134" i="8" s="1"/>
  <c r="L135" i="8" a="1"/>
  <c r="L135" i="8" s="1"/>
  <c r="L136" i="8" a="1"/>
  <c r="L136" i="8" s="1"/>
  <c r="L137" i="8" a="1"/>
  <c r="L137" i="8" s="1"/>
  <c r="L138" i="8" a="1"/>
  <c r="L138" i="8" s="1"/>
  <c r="L139" i="8" a="1"/>
  <c r="L139" i="8" s="1"/>
  <c r="L140" i="8" a="1"/>
  <c r="L140" i="8" s="1"/>
  <c r="L141" i="8" a="1"/>
  <c r="L141" i="8" s="1"/>
  <c r="L142" i="8" a="1"/>
  <c r="L142" i="8" s="1"/>
  <c r="L143" i="8" a="1"/>
  <c r="L143" i="8" s="1"/>
  <c r="L144" i="8" a="1"/>
  <c r="L144" i="8" s="1"/>
  <c r="L145" i="8" a="1"/>
  <c r="L145" i="8" s="1"/>
  <c r="L146" i="8" a="1"/>
  <c r="L146" i="8" s="1"/>
  <c r="L147" i="8" a="1"/>
  <c r="L147" i="8" s="1"/>
  <c r="L148" i="8" a="1"/>
  <c r="L148" i="8" s="1"/>
  <c r="L149" i="8" a="1"/>
  <c r="L149" i="8" s="1"/>
  <c r="L150" i="8" a="1"/>
  <c r="L150" i="8" s="1"/>
  <c r="L151" i="8" a="1"/>
  <c r="L151" i="8" s="1"/>
  <c r="L152" i="8" a="1"/>
  <c r="L152" i="8" s="1"/>
  <c r="L153" i="8" a="1"/>
  <c r="L153" i="8" s="1"/>
  <c r="L154" i="8" a="1"/>
  <c r="L154" i="8" s="1"/>
  <c r="L155" i="8" a="1"/>
  <c r="L155" i="8" s="1"/>
  <c r="L156" i="8" a="1"/>
  <c r="L156" i="8" s="1"/>
  <c r="L157" i="8" a="1"/>
  <c r="L157" i="8" s="1"/>
  <c r="L158" i="8" a="1"/>
  <c r="L158" i="8" s="1"/>
  <c r="L159" i="8" a="1"/>
  <c r="L159" i="8" s="1"/>
  <c r="L160" i="8" a="1"/>
  <c r="L160" i="8" s="1"/>
  <c r="L161" i="8" a="1"/>
  <c r="L161" i="8" s="1"/>
  <c r="L162" i="8" a="1"/>
  <c r="L162" i="8" s="1"/>
  <c r="L163" i="8" a="1"/>
  <c r="L163" i="8" s="1"/>
  <c r="L164" i="8" a="1"/>
  <c r="L164" i="8" s="1"/>
  <c r="L165" i="8" a="1"/>
  <c r="L165" i="8" s="1"/>
  <c r="L166" i="8" a="1"/>
  <c r="L166" i="8" s="1"/>
  <c r="L167" i="8" a="1"/>
  <c r="L167" i="8" s="1"/>
  <c r="L168" i="8" a="1"/>
  <c r="L168" i="8" s="1"/>
  <c r="L169" i="8" a="1"/>
  <c r="L169" i="8" s="1"/>
  <c r="L170" i="8" a="1"/>
  <c r="L170" i="8" s="1"/>
  <c r="L171" i="8" a="1"/>
  <c r="L171" i="8" s="1"/>
  <c r="L172" i="8" a="1"/>
  <c r="L172" i="8" s="1"/>
  <c r="L173" i="8" a="1"/>
  <c r="L173" i="8" s="1"/>
  <c r="L174" i="8" a="1"/>
  <c r="L174" i="8" s="1"/>
  <c r="L175" i="8" a="1"/>
  <c r="L175" i="8" s="1"/>
  <c r="L176" i="8" a="1"/>
  <c r="L176" i="8" s="1"/>
  <c r="L177" i="8" a="1"/>
  <c r="L177" i="8" s="1"/>
  <c r="L178" i="8" a="1"/>
  <c r="L178" i="8" s="1"/>
  <c r="L179" i="8" a="1"/>
  <c r="L179" i="8" s="1"/>
  <c r="L180" i="8" a="1"/>
  <c r="L180" i="8" s="1"/>
  <c r="L181" i="8" a="1"/>
  <c r="L181" i="8" s="1"/>
  <c r="L182" i="8" a="1"/>
  <c r="L182" i="8" s="1"/>
  <c r="L183" i="8" a="1"/>
  <c r="L183" i="8" s="1"/>
  <c r="L184" i="8" a="1"/>
  <c r="L184" i="8" s="1"/>
  <c r="L185" i="8" a="1"/>
  <c r="L185" i="8" s="1"/>
  <c r="L186" i="8" a="1"/>
  <c r="L186" i="8" s="1"/>
  <c r="L187" i="8" a="1"/>
  <c r="L187" i="8" s="1"/>
  <c r="L188" i="8" a="1"/>
  <c r="L188" i="8" s="1"/>
  <c r="L189" i="8" a="1"/>
  <c r="L189" i="8" s="1"/>
  <c r="L190" i="8" a="1"/>
  <c r="L190" i="8" s="1"/>
  <c r="L191" i="8" a="1"/>
  <c r="L191" i="8" s="1"/>
  <c r="L192" i="8" a="1"/>
  <c r="L192" i="8" s="1"/>
  <c r="L193" i="8" a="1"/>
  <c r="L193" i="8" s="1"/>
  <c r="L194" i="8" a="1"/>
  <c r="L194" i="8" s="1"/>
  <c r="L195" i="8" a="1"/>
  <c r="L195" i="8" s="1"/>
  <c r="L196" i="8" a="1"/>
  <c r="L196" i="8" s="1"/>
  <c r="L197" i="8" a="1"/>
  <c r="L197" i="8" s="1"/>
  <c r="L198" i="8" a="1"/>
  <c r="L198" i="8" s="1"/>
  <c r="L199" i="8" a="1"/>
  <c r="L199" i="8" s="1"/>
  <c r="L200" i="8" a="1"/>
  <c r="L200" i="8" s="1"/>
  <c r="L201" i="8" a="1"/>
  <c r="L201" i="8" s="1"/>
  <c r="L202" i="8" a="1"/>
  <c r="L202" i="8" s="1"/>
  <c r="L203" i="8" a="1"/>
  <c r="L203" i="8" s="1"/>
  <c r="L204" i="8" a="1"/>
  <c r="L204" i="8" s="1"/>
  <c r="L205" i="8" a="1"/>
  <c r="L205" i="8" s="1"/>
  <c r="L206" i="8" a="1"/>
  <c r="L206" i="8" s="1"/>
  <c r="L207" i="8" a="1"/>
  <c r="L207" i="8" s="1"/>
  <c r="L208" i="8" a="1"/>
  <c r="L208" i="8" s="1"/>
  <c r="L209" i="8" a="1"/>
  <c r="L209" i="8" s="1"/>
  <c r="L210" i="8" a="1"/>
  <c r="L210" i="8" s="1"/>
  <c r="L211" i="8" a="1"/>
  <c r="L211" i="8" s="1"/>
  <c r="L212" i="8" a="1"/>
  <c r="L212" i="8" s="1"/>
  <c r="L213" i="8" a="1"/>
  <c r="L213" i="8" s="1"/>
  <c r="L214" i="8" a="1"/>
  <c r="L214" i="8" s="1"/>
  <c r="L215" i="8" a="1"/>
  <c r="L215" i="8" s="1"/>
  <c r="L216" i="8" a="1"/>
  <c r="L216" i="8" s="1"/>
  <c r="L217" i="8" a="1"/>
  <c r="L217" i="8" s="1"/>
  <c r="L218" i="8" a="1"/>
  <c r="L218" i="8" s="1"/>
  <c r="L219" i="8" a="1"/>
  <c r="L219" i="8" s="1"/>
  <c r="L220" i="8" a="1"/>
  <c r="L220" i="8" s="1"/>
  <c r="L221" i="8" a="1"/>
  <c r="L221" i="8" s="1"/>
  <c r="L222" i="8" a="1"/>
  <c r="L222" i="8" s="1"/>
  <c r="L223" i="8" a="1"/>
  <c r="L223" i="8" s="1"/>
  <c r="L224" i="8" a="1"/>
  <c r="L224" i="8" s="1"/>
  <c r="L225" i="8" a="1"/>
  <c r="L225" i="8" s="1"/>
  <c r="L226" i="8" a="1"/>
  <c r="L226" i="8" s="1"/>
  <c r="L227" i="8" a="1"/>
  <c r="L227" i="8" s="1"/>
  <c r="L228" i="8" a="1"/>
  <c r="L228" i="8" s="1"/>
  <c r="L229" i="8" a="1"/>
  <c r="L229" i="8" s="1"/>
  <c r="L230" i="8" a="1"/>
  <c r="L230" i="8" s="1"/>
  <c r="L231" i="8" a="1"/>
  <c r="L231" i="8" s="1"/>
  <c r="L232" i="8" a="1"/>
  <c r="L232" i="8" s="1"/>
  <c r="L233" i="8" a="1"/>
  <c r="L233" i="8" s="1"/>
  <c r="L234" i="8" a="1"/>
  <c r="L234" i="8" s="1"/>
  <c r="L235" i="8" a="1"/>
  <c r="L235" i="8" s="1"/>
  <c r="L236" i="8" a="1"/>
  <c r="L236" i="8" s="1"/>
  <c r="L237" i="8" a="1"/>
  <c r="L237" i="8" s="1"/>
  <c r="L238" i="8" a="1"/>
  <c r="L238" i="8" s="1"/>
  <c r="L239" i="8" a="1"/>
  <c r="L239" i="8" s="1"/>
  <c r="L240" i="8" a="1"/>
  <c r="L240" i="8" s="1"/>
  <c r="L241" i="8" a="1"/>
  <c r="L241" i="8" s="1"/>
  <c r="L242" i="8" a="1"/>
  <c r="L242" i="8" s="1"/>
  <c r="L243" i="8" a="1"/>
  <c r="L243" i="8" s="1"/>
  <c r="L244" i="8" a="1"/>
  <c r="L244" i="8" s="1"/>
  <c r="L245" i="8" a="1"/>
  <c r="L245" i="8" s="1"/>
  <c r="L246" i="8" a="1"/>
  <c r="L246" i="8" s="1"/>
  <c r="L247" i="8" a="1"/>
  <c r="L247" i="8" s="1"/>
  <c r="L248" i="8" a="1"/>
  <c r="L248" i="8" s="1"/>
  <c r="L249" i="8" a="1"/>
  <c r="L249" i="8" s="1"/>
  <c r="L250" i="8" a="1"/>
  <c r="L250" i="8" s="1"/>
  <c r="K12" i="8" a="1"/>
  <c r="K12" i="8" s="1"/>
  <c r="K13" i="8" a="1"/>
  <c r="K13" i="8" s="1"/>
  <c r="K14" i="8" a="1"/>
  <c r="K14" i="8" s="1"/>
  <c r="K15" i="8" a="1"/>
  <c r="K15" i="8" s="1"/>
  <c r="K16" i="8" a="1"/>
  <c r="K16" i="8" s="1"/>
  <c r="K17" i="8" a="1"/>
  <c r="K17" i="8" s="1"/>
  <c r="K18" i="8" a="1"/>
  <c r="K18" i="8" s="1"/>
  <c r="K19" i="8" a="1"/>
  <c r="K19" i="8" s="1"/>
  <c r="K20" i="8" a="1"/>
  <c r="K20" i="8" s="1"/>
  <c r="K21" i="8" a="1"/>
  <c r="K21" i="8" s="1"/>
  <c r="K22" i="8" a="1"/>
  <c r="K22" i="8" s="1"/>
  <c r="K23" i="8" a="1"/>
  <c r="K23" i="8" s="1"/>
  <c r="K24" i="8" a="1"/>
  <c r="K24" i="8" s="1"/>
  <c r="K25" i="8" a="1"/>
  <c r="K25" i="8" s="1"/>
  <c r="K26" i="8" a="1"/>
  <c r="K26" i="8" s="1"/>
  <c r="K27" i="8" a="1"/>
  <c r="K27" i="8" s="1"/>
  <c r="K28" i="8" a="1"/>
  <c r="K28" i="8" s="1"/>
  <c r="K29" i="8" a="1"/>
  <c r="K29" i="8" s="1"/>
  <c r="K30" i="8" a="1"/>
  <c r="K30" i="8" s="1"/>
  <c r="K31" i="8" a="1"/>
  <c r="K31" i="8" s="1"/>
  <c r="K32" i="8" a="1"/>
  <c r="K32" i="8" s="1"/>
  <c r="K33" i="8" a="1"/>
  <c r="K33" i="8" s="1"/>
  <c r="K34" i="8" a="1"/>
  <c r="K34" i="8" s="1"/>
  <c r="K35" i="8" a="1"/>
  <c r="K35" i="8" s="1"/>
  <c r="K36" i="8" a="1"/>
  <c r="K36" i="8" s="1"/>
  <c r="K37" i="8" a="1"/>
  <c r="K37" i="8" s="1"/>
  <c r="K38" i="8" a="1"/>
  <c r="K38" i="8" s="1"/>
  <c r="K39" i="8" a="1"/>
  <c r="K39" i="8" s="1"/>
  <c r="K40" i="8" a="1"/>
  <c r="K40" i="8" s="1"/>
  <c r="K41" i="8" a="1"/>
  <c r="K41" i="8" s="1"/>
  <c r="K42" i="8" a="1"/>
  <c r="K42" i="8" s="1"/>
  <c r="K43" i="8" a="1"/>
  <c r="K43" i="8" s="1"/>
  <c r="K44" i="8" a="1"/>
  <c r="K44" i="8" s="1"/>
  <c r="K45" i="8" a="1"/>
  <c r="K45" i="8" s="1"/>
  <c r="K46" i="8" a="1"/>
  <c r="K46" i="8" s="1"/>
  <c r="K47" i="8" a="1"/>
  <c r="K47" i="8" s="1"/>
  <c r="K48" i="8" a="1"/>
  <c r="K48" i="8" s="1"/>
  <c r="K49" i="8" a="1"/>
  <c r="K49" i="8" s="1"/>
  <c r="K50" i="8" a="1"/>
  <c r="K50" i="8" s="1"/>
  <c r="K51" i="8" a="1"/>
  <c r="K51" i="8" s="1"/>
  <c r="K52" i="8" a="1"/>
  <c r="K52" i="8" s="1"/>
  <c r="K53" i="8" a="1"/>
  <c r="K53" i="8" s="1"/>
  <c r="K54" i="8" a="1"/>
  <c r="K54" i="8" s="1"/>
  <c r="K55" i="8" a="1"/>
  <c r="K55" i="8" s="1"/>
  <c r="K56" i="8" a="1"/>
  <c r="K56" i="8" s="1"/>
  <c r="K57" i="8" a="1"/>
  <c r="K57" i="8" s="1"/>
  <c r="K58" i="8" a="1"/>
  <c r="K58" i="8" s="1"/>
  <c r="K59" i="8" a="1"/>
  <c r="K59" i="8" s="1"/>
  <c r="K60" i="8" a="1"/>
  <c r="K60" i="8" s="1"/>
  <c r="K61" i="8" a="1"/>
  <c r="K61" i="8" s="1"/>
  <c r="K62" i="8" a="1"/>
  <c r="K62" i="8" s="1"/>
  <c r="K63" i="8" a="1"/>
  <c r="K63" i="8" s="1"/>
  <c r="K64" i="8" a="1"/>
  <c r="K64" i="8" s="1"/>
  <c r="K65" i="8" a="1"/>
  <c r="K65" i="8" s="1"/>
  <c r="K66" i="8" a="1"/>
  <c r="K66" i="8" s="1"/>
  <c r="K67" i="8" a="1"/>
  <c r="K67" i="8" s="1"/>
  <c r="K68" i="8" a="1"/>
  <c r="K68" i="8" s="1"/>
  <c r="K69" i="8" a="1"/>
  <c r="K69" i="8" s="1"/>
  <c r="K70" i="8" a="1"/>
  <c r="K70" i="8" s="1"/>
  <c r="K71" i="8" a="1"/>
  <c r="K71" i="8" s="1"/>
  <c r="K72" i="8" a="1"/>
  <c r="K72" i="8" s="1"/>
  <c r="K73" i="8" a="1"/>
  <c r="K73" i="8" s="1"/>
  <c r="K74" i="8" a="1"/>
  <c r="K74" i="8" s="1"/>
  <c r="K75" i="8" a="1"/>
  <c r="K75" i="8" s="1"/>
  <c r="K76" i="8" a="1"/>
  <c r="K76" i="8" s="1"/>
  <c r="K77" i="8" a="1"/>
  <c r="K77" i="8" s="1"/>
  <c r="K78" i="8" a="1"/>
  <c r="K78" i="8" s="1"/>
  <c r="K79" i="8" a="1"/>
  <c r="K79" i="8" s="1"/>
  <c r="K80" i="8" a="1"/>
  <c r="K80" i="8" s="1"/>
  <c r="K81" i="8" a="1"/>
  <c r="K81" i="8" s="1"/>
  <c r="K82" i="8" a="1"/>
  <c r="K82" i="8" s="1"/>
  <c r="K83" i="8" a="1"/>
  <c r="K83" i="8" s="1"/>
  <c r="K84" i="8" a="1"/>
  <c r="K84" i="8" s="1"/>
  <c r="K85" i="8" a="1"/>
  <c r="K85" i="8" s="1"/>
  <c r="K86" i="8" a="1"/>
  <c r="K86" i="8" s="1"/>
  <c r="K87" i="8" a="1"/>
  <c r="K87" i="8" s="1"/>
  <c r="K88" i="8" a="1"/>
  <c r="K88" i="8" s="1"/>
  <c r="K89" i="8" a="1"/>
  <c r="K89" i="8" s="1"/>
  <c r="K90" i="8" a="1"/>
  <c r="K90" i="8" s="1"/>
  <c r="K91" i="8" a="1"/>
  <c r="K91" i="8" s="1"/>
  <c r="K92" i="8" a="1"/>
  <c r="K92" i="8" s="1"/>
  <c r="K93" i="8" a="1"/>
  <c r="K93" i="8" s="1"/>
  <c r="K94" i="8" a="1"/>
  <c r="K94" i="8" s="1"/>
  <c r="K95" i="8" a="1"/>
  <c r="K95" i="8" s="1"/>
  <c r="K96" i="8" a="1"/>
  <c r="K96" i="8" s="1"/>
  <c r="K97" i="8" a="1"/>
  <c r="K97" i="8" s="1"/>
  <c r="K98" i="8" a="1"/>
  <c r="K98" i="8" s="1"/>
  <c r="K99" i="8" a="1"/>
  <c r="K99" i="8" s="1"/>
  <c r="K100" i="8" a="1"/>
  <c r="K100" i="8" s="1"/>
  <c r="K101" i="8" a="1"/>
  <c r="K101" i="8" s="1"/>
  <c r="K102" i="8" a="1"/>
  <c r="K102" i="8" s="1"/>
  <c r="K103" i="8" a="1"/>
  <c r="K103" i="8" s="1"/>
  <c r="K104" i="8" a="1"/>
  <c r="K104" i="8" s="1"/>
  <c r="K105" i="8" a="1"/>
  <c r="K105" i="8" s="1"/>
  <c r="K106" i="8" a="1"/>
  <c r="K106" i="8" s="1"/>
  <c r="K107" i="8" a="1"/>
  <c r="K107" i="8" s="1"/>
  <c r="K108" i="8" a="1"/>
  <c r="K108" i="8" s="1"/>
  <c r="K109" i="8" a="1"/>
  <c r="K109" i="8" s="1"/>
  <c r="K110" i="8" a="1"/>
  <c r="K110" i="8" s="1"/>
  <c r="K111" i="8" a="1"/>
  <c r="K111" i="8" s="1"/>
  <c r="K112" i="8" a="1"/>
  <c r="K112" i="8" s="1"/>
  <c r="K113" i="8" a="1"/>
  <c r="K113" i="8" s="1"/>
  <c r="K114" i="8" a="1"/>
  <c r="K114" i="8" s="1"/>
  <c r="K115" i="8" a="1"/>
  <c r="K115" i="8" s="1"/>
  <c r="K116" i="8" a="1"/>
  <c r="K116" i="8" s="1"/>
  <c r="K117" i="8" a="1"/>
  <c r="K117" i="8" s="1"/>
  <c r="K118" i="8" a="1"/>
  <c r="K118" i="8" s="1"/>
  <c r="K119" i="8" a="1"/>
  <c r="K119" i="8" s="1"/>
  <c r="K120" i="8" a="1"/>
  <c r="K120" i="8" s="1"/>
  <c r="K121" i="8" a="1"/>
  <c r="K121" i="8" s="1"/>
  <c r="K122" i="8" a="1"/>
  <c r="K122" i="8" s="1"/>
  <c r="K123" i="8" a="1"/>
  <c r="K123" i="8" s="1"/>
  <c r="K124" i="8" a="1"/>
  <c r="K124" i="8" s="1"/>
  <c r="K125" i="8" a="1"/>
  <c r="K125" i="8" s="1"/>
  <c r="K126" i="8" a="1"/>
  <c r="K126" i="8" s="1"/>
  <c r="K127" i="8" a="1"/>
  <c r="K127" i="8" s="1"/>
  <c r="K128" i="8" a="1"/>
  <c r="K128" i="8" s="1"/>
  <c r="K129" i="8" a="1"/>
  <c r="K129" i="8" s="1"/>
  <c r="K130" i="8" a="1"/>
  <c r="K130" i="8" s="1"/>
  <c r="K131" i="8" a="1"/>
  <c r="K131" i="8" s="1"/>
  <c r="K132" i="8" a="1"/>
  <c r="K132" i="8" s="1"/>
  <c r="K133" i="8" a="1"/>
  <c r="K133" i="8" s="1"/>
  <c r="K134" i="8" a="1"/>
  <c r="K134" i="8" s="1"/>
  <c r="K135" i="8" a="1"/>
  <c r="K135" i="8" s="1"/>
  <c r="K136" i="8" a="1"/>
  <c r="K136" i="8" s="1"/>
  <c r="K137" i="8" a="1"/>
  <c r="K137" i="8" s="1"/>
  <c r="K138" i="8" a="1"/>
  <c r="K138" i="8" s="1"/>
  <c r="K139" i="8" a="1"/>
  <c r="K139" i="8" s="1"/>
  <c r="K140" i="8" a="1"/>
  <c r="K140" i="8" s="1"/>
  <c r="K141" i="8" a="1"/>
  <c r="K141" i="8" s="1"/>
  <c r="K142" i="8" a="1"/>
  <c r="K142" i="8" s="1"/>
  <c r="K143" i="8" a="1"/>
  <c r="K143" i="8" s="1"/>
  <c r="K144" i="8" a="1"/>
  <c r="K144" i="8" s="1"/>
  <c r="K145" i="8" a="1"/>
  <c r="K145" i="8" s="1"/>
  <c r="K146" i="8" a="1"/>
  <c r="K146" i="8" s="1"/>
  <c r="K147" i="8" a="1"/>
  <c r="K147" i="8" s="1"/>
  <c r="K148" i="8" a="1"/>
  <c r="K148" i="8" s="1"/>
  <c r="K149" i="8" a="1"/>
  <c r="K149" i="8" s="1"/>
  <c r="K150" i="8" a="1"/>
  <c r="K150" i="8" s="1"/>
  <c r="K151" i="8" a="1"/>
  <c r="K151" i="8" s="1"/>
  <c r="K152" i="8" a="1"/>
  <c r="K152" i="8" s="1"/>
  <c r="K153" i="8" a="1"/>
  <c r="K153" i="8" s="1"/>
  <c r="K154" i="8" a="1"/>
  <c r="K154" i="8" s="1"/>
  <c r="K155" i="8" a="1"/>
  <c r="K155" i="8" s="1"/>
  <c r="K156" i="8" a="1"/>
  <c r="K156" i="8" s="1"/>
  <c r="K157" i="8" a="1"/>
  <c r="K157" i="8" s="1"/>
  <c r="K158" i="8" a="1"/>
  <c r="K158" i="8" s="1"/>
  <c r="K159" i="8" a="1"/>
  <c r="K159" i="8" s="1"/>
  <c r="K160" i="8" a="1"/>
  <c r="K160" i="8" s="1"/>
  <c r="K161" i="8" a="1"/>
  <c r="K161" i="8" s="1"/>
  <c r="K162" i="8" a="1"/>
  <c r="K162" i="8" s="1"/>
  <c r="K163" i="8" a="1"/>
  <c r="K163" i="8" s="1"/>
  <c r="K164" i="8" a="1"/>
  <c r="K164" i="8" s="1"/>
  <c r="K165" i="8" a="1"/>
  <c r="K165" i="8" s="1"/>
  <c r="K166" i="8" a="1"/>
  <c r="K166" i="8" s="1"/>
  <c r="K167" i="8" a="1"/>
  <c r="K167" i="8" s="1"/>
  <c r="K168" i="8" a="1"/>
  <c r="K168" i="8" s="1"/>
  <c r="K169" i="8" a="1"/>
  <c r="K169" i="8" s="1"/>
  <c r="K170" i="8" a="1"/>
  <c r="K170" i="8" s="1"/>
  <c r="K171" i="8" a="1"/>
  <c r="K171" i="8" s="1"/>
  <c r="K172" i="8" a="1"/>
  <c r="K172" i="8" s="1"/>
  <c r="K173" i="8" a="1"/>
  <c r="K173" i="8" s="1"/>
  <c r="K174" i="8" a="1"/>
  <c r="K174" i="8" s="1"/>
  <c r="K175" i="8" a="1"/>
  <c r="K175" i="8" s="1"/>
  <c r="K176" i="8" a="1"/>
  <c r="K176" i="8" s="1"/>
  <c r="K177" i="8" a="1"/>
  <c r="K177" i="8" s="1"/>
  <c r="K178" i="8" a="1"/>
  <c r="K178" i="8" s="1"/>
  <c r="K179" i="8" a="1"/>
  <c r="K179" i="8" s="1"/>
  <c r="K180" i="8" a="1"/>
  <c r="K180" i="8" s="1"/>
  <c r="K181" i="8" a="1"/>
  <c r="K181" i="8" s="1"/>
  <c r="K182" i="8" a="1"/>
  <c r="K182" i="8" s="1"/>
  <c r="K183" i="8" a="1"/>
  <c r="K183" i="8" s="1"/>
  <c r="K184" i="8" a="1"/>
  <c r="K184" i="8" s="1"/>
  <c r="K185" i="8" a="1"/>
  <c r="K185" i="8" s="1"/>
  <c r="K186" i="8" a="1"/>
  <c r="K186" i="8" s="1"/>
  <c r="K187" i="8" a="1"/>
  <c r="K187" i="8" s="1"/>
  <c r="K188" i="8" a="1"/>
  <c r="K188" i="8" s="1"/>
  <c r="K189" i="8" a="1"/>
  <c r="K189" i="8" s="1"/>
  <c r="K190" i="8" a="1"/>
  <c r="K190" i="8" s="1"/>
  <c r="K191" i="8" a="1"/>
  <c r="K191" i="8" s="1"/>
  <c r="K192" i="8" a="1"/>
  <c r="K192" i="8" s="1"/>
  <c r="K193" i="8" a="1"/>
  <c r="K193" i="8" s="1"/>
  <c r="K194" i="8" a="1"/>
  <c r="K194" i="8" s="1"/>
  <c r="K195" i="8" a="1"/>
  <c r="K195" i="8" s="1"/>
  <c r="K196" i="8" a="1"/>
  <c r="K196" i="8" s="1"/>
  <c r="K197" i="8" a="1"/>
  <c r="K197" i="8" s="1"/>
  <c r="K198" i="8" a="1"/>
  <c r="K198" i="8" s="1"/>
  <c r="K199" i="8" a="1"/>
  <c r="K199" i="8" s="1"/>
  <c r="K200" i="8" a="1"/>
  <c r="K200" i="8" s="1"/>
  <c r="K201" i="8" a="1"/>
  <c r="K201" i="8" s="1"/>
  <c r="K202" i="8" a="1"/>
  <c r="K202" i="8" s="1"/>
  <c r="K203" i="8" a="1"/>
  <c r="K203" i="8" s="1"/>
  <c r="K204" i="8" a="1"/>
  <c r="K204" i="8" s="1"/>
  <c r="K205" i="8" a="1"/>
  <c r="K205" i="8" s="1"/>
  <c r="K206" i="8" a="1"/>
  <c r="K206" i="8" s="1"/>
  <c r="K207" i="8" a="1"/>
  <c r="K207" i="8" s="1"/>
  <c r="K208" i="8" a="1"/>
  <c r="K208" i="8" s="1"/>
  <c r="K209" i="8" a="1"/>
  <c r="K209" i="8" s="1"/>
  <c r="K210" i="8" a="1"/>
  <c r="K210" i="8" s="1"/>
  <c r="K211" i="8" a="1"/>
  <c r="K211" i="8" s="1"/>
  <c r="K212" i="8" a="1"/>
  <c r="K212" i="8" s="1"/>
  <c r="K213" i="8" a="1"/>
  <c r="K213" i="8" s="1"/>
  <c r="K214" i="8" a="1"/>
  <c r="K214" i="8" s="1"/>
  <c r="K215" i="8" a="1"/>
  <c r="K215" i="8" s="1"/>
  <c r="K216" i="8" a="1"/>
  <c r="K216" i="8" s="1"/>
  <c r="K217" i="8" a="1"/>
  <c r="K217" i="8" s="1"/>
  <c r="K218" i="8" a="1"/>
  <c r="K218" i="8" s="1"/>
  <c r="K219" i="8" a="1"/>
  <c r="K219" i="8" s="1"/>
  <c r="K220" i="8" a="1"/>
  <c r="K220" i="8" s="1"/>
  <c r="K221" i="8" a="1"/>
  <c r="K221" i="8" s="1"/>
  <c r="K222" i="8" a="1"/>
  <c r="K222" i="8" s="1"/>
  <c r="K223" i="8" a="1"/>
  <c r="K223" i="8" s="1"/>
  <c r="K224" i="8" a="1"/>
  <c r="K224" i="8" s="1"/>
  <c r="K225" i="8" a="1"/>
  <c r="K225" i="8" s="1"/>
  <c r="K226" i="8" a="1"/>
  <c r="K226" i="8" s="1"/>
  <c r="K227" i="8" a="1"/>
  <c r="K227" i="8" s="1"/>
  <c r="K228" i="8" a="1"/>
  <c r="K228" i="8" s="1"/>
  <c r="K229" i="8" a="1"/>
  <c r="K229" i="8" s="1"/>
  <c r="K230" i="8" a="1"/>
  <c r="K230" i="8" s="1"/>
  <c r="K231" i="8" a="1"/>
  <c r="K231" i="8" s="1"/>
  <c r="K232" i="8" a="1"/>
  <c r="K232" i="8" s="1"/>
  <c r="K233" i="8" a="1"/>
  <c r="K233" i="8" s="1"/>
  <c r="K234" i="8" a="1"/>
  <c r="K234" i="8" s="1"/>
  <c r="K235" i="8" a="1"/>
  <c r="K235" i="8" s="1"/>
  <c r="K236" i="8" a="1"/>
  <c r="K236" i="8" s="1"/>
  <c r="K237" i="8" a="1"/>
  <c r="K237" i="8" s="1"/>
  <c r="K238" i="8" a="1"/>
  <c r="K238" i="8" s="1"/>
  <c r="K239" i="8" a="1"/>
  <c r="K239" i="8" s="1"/>
  <c r="K240" i="8" a="1"/>
  <c r="K240" i="8" s="1"/>
  <c r="K241" i="8" a="1"/>
  <c r="K241" i="8" s="1"/>
  <c r="K242" i="8" a="1"/>
  <c r="K242" i="8" s="1"/>
  <c r="K243" i="8" a="1"/>
  <c r="K243" i="8" s="1"/>
  <c r="K244" i="8" a="1"/>
  <c r="K244" i="8" s="1"/>
  <c r="K245" i="8" a="1"/>
  <c r="K245" i="8" s="1"/>
  <c r="K246" i="8" a="1"/>
  <c r="K246" i="8" s="1"/>
  <c r="K247" i="8" a="1"/>
  <c r="K247" i="8" s="1"/>
  <c r="K248" i="8" a="1"/>
  <c r="K248" i="8" s="1"/>
  <c r="K249" i="8" a="1"/>
  <c r="K249" i="8" s="1"/>
  <c r="K250" i="8" a="1"/>
  <c r="K250" i="8" s="1"/>
  <c r="J12" i="8" a="1"/>
  <c r="J12" i="8" s="1"/>
  <c r="J12" i="11" s="1" a="1"/>
  <c r="J12" i="11" s="1"/>
  <c r="J13" i="8" a="1"/>
  <c r="J13" i="8" s="1"/>
  <c r="J13" i="11" s="1" a="1"/>
  <c r="J13" i="11" s="1"/>
  <c r="J14" i="8" a="1"/>
  <c r="J14" i="8" s="1"/>
  <c r="J14" i="11" s="1" a="1"/>
  <c r="J14" i="11" s="1"/>
  <c r="J15" i="8" a="1"/>
  <c r="J15" i="8" s="1"/>
  <c r="J15" i="11" s="1" a="1"/>
  <c r="J15" i="11" s="1"/>
  <c r="J16" i="8" a="1"/>
  <c r="J16" i="8" s="1"/>
  <c r="J16" i="11" s="1" a="1"/>
  <c r="J16" i="11" s="1"/>
  <c r="J17" i="8" a="1"/>
  <c r="J17" i="8" s="1"/>
  <c r="J17" i="11" s="1" a="1"/>
  <c r="J17" i="11" s="1"/>
  <c r="J18" i="8" a="1"/>
  <c r="J18" i="8" s="1"/>
  <c r="J18" i="11" s="1" a="1"/>
  <c r="J18" i="11" s="1"/>
  <c r="J19" i="8" a="1"/>
  <c r="J19" i="8" s="1"/>
  <c r="J19" i="11" s="1" a="1"/>
  <c r="J19" i="11" s="1"/>
  <c r="J20" i="8" a="1"/>
  <c r="J20" i="8" s="1"/>
  <c r="J20" i="11" s="1" a="1"/>
  <c r="J20" i="11" s="1"/>
  <c r="J21" i="8" a="1"/>
  <c r="J21" i="8" s="1"/>
  <c r="J21" i="11" s="1" a="1"/>
  <c r="J21" i="11" s="1"/>
  <c r="J22" i="8" a="1"/>
  <c r="J22" i="8" s="1"/>
  <c r="J22" i="11" s="1" a="1"/>
  <c r="J22" i="11" s="1"/>
  <c r="J23" i="8" a="1"/>
  <c r="J23" i="8" s="1"/>
  <c r="J23" i="11" s="1" a="1"/>
  <c r="J23" i="11" s="1"/>
  <c r="J24" i="8" a="1"/>
  <c r="J24" i="8" s="1"/>
  <c r="J24" i="11" s="1" a="1"/>
  <c r="J24" i="11" s="1"/>
  <c r="J25" i="8" a="1"/>
  <c r="J25" i="8" s="1"/>
  <c r="J25" i="11" s="1" a="1"/>
  <c r="J25" i="11" s="1"/>
  <c r="J26" i="8" a="1"/>
  <c r="J26" i="8" s="1"/>
  <c r="J26" i="11" s="1" a="1"/>
  <c r="J26" i="11" s="1"/>
  <c r="J27" i="8" a="1"/>
  <c r="J27" i="8" s="1"/>
  <c r="J27" i="11" s="1" a="1"/>
  <c r="J27" i="11" s="1"/>
  <c r="J28" i="8" a="1"/>
  <c r="J28" i="8" s="1"/>
  <c r="J28" i="11" s="1" a="1"/>
  <c r="J28" i="11" s="1"/>
  <c r="J29" i="8" a="1"/>
  <c r="J29" i="8" s="1"/>
  <c r="J29" i="11" s="1" a="1"/>
  <c r="J29" i="11" s="1"/>
  <c r="J30" i="8" a="1"/>
  <c r="J30" i="8" s="1"/>
  <c r="J30" i="11" s="1" a="1"/>
  <c r="J30" i="11" s="1"/>
  <c r="J31" i="8" a="1"/>
  <c r="J31" i="8" s="1"/>
  <c r="J31" i="11" s="1" a="1"/>
  <c r="J31" i="11" s="1"/>
  <c r="J32" i="8" a="1"/>
  <c r="J32" i="8" s="1"/>
  <c r="J32" i="11" s="1" a="1"/>
  <c r="J32" i="11" s="1"/>
  <c r="J33" i="8" a="1"/>
  <c r="J33" i="8" s="1"/>
  <c r="J33" i="11" s="1" a="1"/>
  <c r="J33" i="11" s="1"/>
  <c r="J34" i="8" a="1"/>
  <c r="J34" i="8" s="1"/>
  <c r="J34" i="11" s="1" a="1"/>
  <c r="J34" i="11" s="1"/>
  <c r="J35" i="8" a="1"/>
  <c r="J35" i="8" s="1"/>
  <c r="J35" i="11" s="1" a="1"/>
  <c r="J35" i="11" s="1"/>
  <c r="J36" i="8" a="1"/>
  <c r="J36" i="8" s="1"/>
  <c r="J36" i="11" s="1" a="1"/>
  <c r="J36" i="11" s="1"/>
  <c r="J37" i="8" a="1"/>
  <c r="J37" i="8" s="1"/>
  <c r="J37" i="11" s="1" a="1"/>
  <c r="J37" i="11" s="1"/>
  <c r="J38" i="8" a="1"/>
  <c r="J38" i="8" s="1"/>
  <c r="J38" i="11" s="1" a="1"/>
  <c r="J38" i="11" s="1"/>
  <c r="J39" i="8" a="1"/>
  <c r="J39" i="8" s="1"/>
  <c r="J39" i="11" s="1" a="1"/>
  <c r="J39" i="11" s="1"/>
  <c r="J40" i="8" a="1"/>
  <c r="J40" i="8" s="1"/>
  <c r="J40" i="11" s="1" a="1"/>
  <c r="J40" i="11" s="1"/>
  <c r="J41" i="8" a="1"/>
  <c r="J41" i="8" s="1"/>
  <c r="J41" i="11" s="1" a="1"/>
  <c r="J41" i="11" s="1"/>
  <c r="J42" i="8" a="1"/>
  <c r="J42" i="8" s="1"/>
  <c r="J42" i="11" s="1" a="1"/>
  <c r="J42" i="11" s="1"/>
  <c r="J43" i="8" a="1"/>
  <c r="J43" i="8" s="1"/>
  <c r="J43" i="11" s="1" a="1"/>
  <c r="J43" i="11" s="1"/>
  <c r="J44" i="8" a="1"/>
  <c r="J44" i="8" s="1"/>
  <c r="J44" i="11" s="1" a="1"/>
  <c r="J44" i="11" s="1"/>
  <c r="J45" i="8" a="1"/>
  <c r="J45" i="8" s="1"/>
  <c r="J45" i="11" s="1" a="1"/>
  <c r="J45" i="11" s="1"/>
  <c r="J46" i="8" a="1"/>
  <c r="J46" i="8" s="1"/>
  <c r="J46" i="11" s="1" a="1"/>
  <c r="J46" i="11" s="1"/>
  <c r="J47" i="8" a="1"/>
  <c r="J47" i="8" s="1"/>
  <c r="J47" i="11" s="1" a="1"/>
  <c r="J47" i="11" s="1"/>
  <c r="J48" i="8" a="1"/>
  <c r="J48" i="8" s="1"/>
  <c r="J48" i="11" s="1" a="1"/>
  <c r="J48" i="11" s="1"/>
  <c r="J49" i="8" a="1"/>
  <c r="J49" i="8" s="1"/>
  <c r="J49" i="11" s="1" a="1"/>
  <c r="J49" i="11" s="1"/>
  <c r="J50" i="8" a="1"/>
  <c r="J50" i="8" s="1"/>
  <c r="J50" i="11" s="1" a="1"/>
  <c r="J50" i="11" s="1"/>
  <c r="J51" i="8" a="1"/>
  <c r="J51" i="8" s="1"/>
  <c r="J51" i="11" s="1" a="1"/>
  <c r="J51" i="11" s="1"/>
  <c r="J52" i="8" a="1"/>
  <c r="J52" i="8" s="1"/>
  <c r="J52" i="11" s="1" a="1"/>
  <c r="J52" i="11" s="1"/>
  <c r="J53" i="8" a="1"/>
  <c r="J53" i="8" s="1"/>
  <c r="J53" i="11" s="1" a="1"/>
  <c r="J53" i="11" s="1"/>
  <c r="J54" i="8" a="1"/>
  <c r="J54" i="8" s="1"/>
  <c r="J54" i="11" s="1" a="1"/>
  <c r="J54" i="11" s="1"/>
  <c r="J55" i="8" a="1"/>
  <c r="J55" i="8" s="1"/>
  <c r="J55" i="11" s="1" a="1"/>
  <c r="J55" i="11" s="1"/>
  <c r="J56" i="8" a="1"/>
  <c r="J56" i="8" s="1"/>
  <c r="J56" i="11" s="1" a="1"/>
  <c r="J56" i="11" s="1"/>
  <c r="J57" i="8" a="1"/>
  <c r="J57" i="8" s="1"/>
  <c r="J57" i="11" s="1" a="1"/>
  <c r="J57" i="11" s="1"/>
  <c r="J58" i="8" a="1"/>
  <c r="J58" i="8" s="1"/>
  <c r="J58" i="11" s="1" a="1"/>
  <c r="J58" i="11" s="1"/>
  <c r="J59" i="8" a="1"/>
  <c r="J59" i="8" s="1"/>
  <c r="J59" i="11" s="1" a="1"/>
  <c r="J59" i="11" s="1"/>
  <c r="J60" i="8" a="1"/>
  <c r="J60" i="8" s="1"/>
  <c r="J60" i="11" s="1" a="1"/>
  <c r="J60" i="11" s="1"/>
  <c r="J61" i="8" a="1"/>
  <c r="J61" i="8" s="1"/>
  <c r="J61" i="11" s="1" a="1"/>
  <c r="J61" i="11" s="1"/>
  <c r="J62" i="8" a="1"/>
  <c r="J62" i="8" s="1"/>
  <c r="J62" i="11" s="1" a="1"/>
  <c r="J62" i="11" s="1"/>
  <c r="J63" i="8" a="1"/>
  <c r="J63" i="8" s="1"/>
  <c r="J63" i="11" s="1" a="1"/>
  <c r="J63" i="11" s="1"/>
  <c r="J64" i="8" a="1"/>
  <c r="J64" i="8" s="1"/>
  <c r="J64" i="11" s="1" a="1"/>
  <c r="J64" i="11" s="1"/>
  <c r="J65" i="8" a="1"/>
  <c r="J65" i="8" s="1"/>
  <c r="J65" i="11" s="1" a="1"/>
  <c r="J65" i="11" s="1"/>
  <c r="J66" i="8" a="1"/>
  <c r="J66" i="8" s="1"/>
  <c r="J66" i="11" s="1" a="1"/>
  <c r="J66" i="11" s="1"/>
  <c r="J67" i="8" a="1"/>
  <c r="J67" i="8" s="1"/>
  <c r="J67" i="11" s="1" a="1"/>
  <c r="J67" i="11" s="1"/>
  <c r="J68" i="8" a="1"/>
  <c r="J68" i="8" s="1"/>
  <c r="J68" i="11" s="1" a="1"/>
  <c r="J68" i="11" s="1"/>
  <c r="J69" i="8" a="1"/>
  <c r="J69" i="8" s="1"/>
  <c r="J69" i="11" s="1" a="1"/>
  <c r="J69" i="11" s="1"/>
  <c r="J70" i="8" a="1"/>
  <c r="J70" i="8" s="1"/>
  <c r="J70" i="11" s="1" a="1"/>
  <c r="J70" i="11" s="1"/>
  <c r="J71" i="8" a="1"/>
  <c r="J71" i="8" s="1"/>
  <c r="J71" i="11" s="1" a="1"/>
  <c r="J71" i="11" s="1"/>
  <c r="J72" i="8" a="1"/>
  <c r="J72" i="8" s="1"/>
  <c r="J72" i="11" s="1" a="1"/>
  <c r="J72" i="11" s="1"/>
  <c r="J73" i="8" a="1"/>
  <c r="J73" i="8" s="1"/>
  <c r="J73" i="11" s="1" a="1"/>
  <c r="J73" i="11" s="1"/>
  <c r="J74" i="8" a="1"/>
  <c r="J74" i="8" s="1"/>
  <c r="J74" i="11" s="1" a="1"/>
  <c r="J74" i="11" s="1"/>
  <c r="J75" i="8" a="1"/>
  <c r="J75" i="8" s="1"/>
  <c r="J75" i="11" s="1" a="1"/>
  <c r="J75" i="11" s="1"/>
  <c r="J76" i="8" a="1"/>
  <c r="J76" i="8" s="1"/>
  <c r="J76" i="11" s="1" a="1"/>
  <c r="J76" i="11" s="1"/>
  <c r="J77" i="8" a="1"/>
  <c r="J77" i="8" s="1"/>
  <c r="J77" i="11" s="1" a="1"/>
  <c r="J77" i="11" s="1"/>
  <c r="J78" i="8" a="1"/>
  <c r="J78" i="8" s="1"/>
  <c r="J78" i="11" s="1" a="1"/>
  <c r="J78" i="11" s="1"/>
  <c r="J79" i="8" a="1"/>
  <c r="J79" i="8" s="1"/>
  <c r="J79" i="11" s="1" a="1"/>
  <c r="J79" i="11" s="1"/>
  <c r="J80" i="8" a="1"/>
  <c r="J80" i="8" s="1"/>
  <c r="J80" i="11" s="1" a="1"/>
  <c r="J80" i="11" s="1"/>
  <c r="J81" i="8" a="1"/>
  <c r="J81" i="8" s="1"/>
  <c r="J81" i="11" s="1" a="1"/>
  <c r="J81" i="11" s="1"/>
  <c r="J82" i="8" a="1"/>
  <c r="J82" i="8" s="1"/>
  <c r="J82" i="11" s="1" a="1"/>
  <c r="J82" i="11" s="1"/>
  <c r="J83" i="8" a="1"/>
  <c r="J83" i="8" s="1"/>
  <c r="J83" i="11" s="1" a="1"/>
  <c r="J83" i="11" s="1"/>
  <c r="J84" i="8" a="1"/>
  <c r="J84" i="8" s="1"/>
  <c r="J84" i="11" s="1" a="1"/>
  <c r="J84" i="11" s="1"/>
  <c r="J85" i="8" a="1"/>
  <c r="J85" i="8" s="1"/>
  <c r="J85" i="11" s="1" a="1"/>
  <c r="J85" i="11" s="1"/>
  <c r="J86" i="8" a="1"/>
  <c r="J86" i="8" s="1"/>
  <c r="J86" i="11" s="1" a="1"/>
  <c r="J86" i="11" s="1"/>
  <c r="J87" i="8" a="1"/>
  <c r="J87" i="8" s="1"/>
  <c r="J87" i="11" s="1" a="1"/>
  <c r="J87" i="11" s="1"/>
  <c r="J88" i="8" a="1"/>
  <c r="J88" i="8" s="1"/>
  <c r="J88" i="11" s="1" a="1"/>
  <c r="J88" i="11" s="1"/>
  <c r="J89" i="8" a="1"/>
  <c r="J89" i="8" s="1"/>
  <c r="J89" i="11" s="1" a="1"/>
  <c r="J89" i="11" s="1"/>
  <c r="J90" i="8" a="1"/>
  <c r="J90" i="8" s="1"/>
  <c r="J90" i="11" s="1" a="1"/>
  <c r="J90" i="11" s="1"/>
  <c r="J91" i="8" a="1"/>
  <c r="J91" i="8" s="1"/>
  <c r="J91" i="11" s="1" a="1"/>
  <c r="J91" i="11" s="1"/>
  <c r="J92" i="8" a="1"/>
  <c r="J92" i="8" s="1"/>
  <c r="J92" i="11" s="1" a="1"/>
  <c r="J92" i="11" s="1"/>
  <c r="J93" i="8" a="1"/>
  <c r="J93" i="8" s="1"/>
  <c r="J93" i="11" s="1" a="1"/>
  <c r="J93" i="11" s="1"/>
  <c r="J94" i="8" a="1"/>
  <c r="J94" i="8" s="1"/>
  <c r="J94" i="11" s="1" a="1"/>
  <c r="J94" i="11" s="1"/>
  <c r="J95" i="8" a="1"/>
  <c r="J95" i="8" s="1"/>
  <c r="J95" i="11" s="1" a="1"/>
  <c r="J95" i="11" s="1"/>
  <c r="J96" i="8" a="1"/>
  <c r="J96" i="8" s="1"/>
  <c r="J96" i="11" s="1" a="1"/>
  <c r="J96" i="11" s="1"/>
  <c r="J97" i="8" a="1"/>
  <c r="J97" i="8" s="1"/>
  <c r="J97" i="11" s="1" a="1"/>
  <c r="J97" i="11" s="1"/>
  <c r="J98" i="8" a="1"/>
  <c r="J98" i="8" s="1"/>
  <c r="J98" i="11" s="1" a="1"/>
  <c r="J98" i="11" s="1"/>
  <c r="J99" i="8" a="1"/>
  <c r="J99" i="8" s="1"/>
  <c r="J99" i="11" s="1" a="1"/>
  <c r="J99" i="11" s="1"/>
  <c r="J100" i="8" a="1"/>
  <c r="J100" i="8" s="1"/>
  <c r="J100" i="11" s="1" a="1"/>
  <c r="J100" i="11" s="1"/>
  <c r="J101" i="8" a="1"/>
  <c r="J101" i="8" s="1"/>
  <c r="J101" i="11" s="1" a="1"/>
  <c r="J101" i="11" s="1"/>
  <c r="J102" i="8" a="1"/>
  <c r="J102" i="8" s="1"/>
  <c r="J102" i="11" s="1" a="1"/>
  <c r="J102" i="11" s="1"/>
  <c r="J103" i="8" a="1"/>
  <c r="J103" i="8" s="1"/>
  <c r="J103" i="11" s="1" a="1"/>
  <c r="J103" i="11" s="1"/>
  <c r="J104" i="8" a="1"/>
  <c r="J104" i="8" s="1"/>
  <c r="J104" i="11" s="1" a="1"/>
  <c r="J104" i="11" s="1"/>
  <c r="J105" i="8" a="1"/>
  <c r="J105" i="8" s="1"/>
  <c r="J105" i="11" s="1" a="1"/>
  <c r="J105" i="11" s="1"/>
  <c r="J106" i="8" a="1"/>
  <c r="J106" i="8" s="1"/>
  <c r="J106" i="11" s="1" a="1"/>
  <c r="J106" i="11" s="1"/>
  <c r="J107" i="8" a="1"/>
  <c r="J107" i="8" s="1"/>
  <c r="J107" i="11" s="1" a="1"/>
  <c r="J107" i="11" s="1"/>
  <c r="J108" i="8" a="1"/>
  <c r="J108" i="8" s="1"/>
  <c r="J108" i="11" s="1" a="1"/>
  <c r="J108" i="11" s="1"/>
  <c r="J109" i="8" a="1"/>
  <c r="J109" i="8" s="1"/>
  <c r="J109" i="11" s="1" a="1"/>
  <c r="J109" i="11" s="1"/>
  <c r="J110" i="8" a="1"/>
  <c r="J110" i="8" s="1"/>
  <c r="J110" i="11" s="1" a="1"/>
  <c r="J110" i="11" s="1"/>
  <c r="J111" i="8" a="1"/>
  <c r="J111" i="8" s="1"/>
  <c r="J111" i="11" s="1" a="1"/>
  <c r="J111" i="11" s="1"/>
  <c r="J112" i="8" a="1"/>
  <c r="J112" i="8" s="1"/>
  <c r="J112" i="11" s="1" a="1"/>
  <c r="J112" i="11" s="1"/>
  <c r="J113" i="8" a="1"/>
  <c r="J113" i="8" s="1"/>
  <c r="J113" i="11" s="1" a="1"/>
  <c r="J113" i="11" s="1"/>
  <c r="J114" i="8" a="1"/>
  <c r="J114" i="8" s="1"/>
  <c r="J114" i="11" s="1" a="1"/>
  <c r="J114" i="11" s="1"/>
  <c r="J115" i="8" a="1"/>
  <c r="J115" i="8" s="1"/>
  <c r="J115" i="11" s="1" a="1"/>
  <c r="J115" i="11" s="1"/>
  <c r="J116" i="8" a="1"/>
  <c r="J116" i="8" s="1"/>
  <c r="J116" i="11" s="1" a="1"/>
  <c r="J116" i="11" s="1"/>
  <c r="J117" i="8" a="1"/>
  <c r="J117" i="8" s="1"/>
  <c r="J117" i="11" s="1" a="1"/>
  <c r="J117" i="11" s="1"/>
  <c r="J118" i="8" a="1"/>
  <c r="J118" i="8" s="1"/>
  <c r="J118" i="11" s="1" a="1"/>
  <c r="J118" i="11" s="1"/>
  <c r="J119" i="8" a="1"/>
  <c r="J119" i="8" s="1"/>
  <c r="J119" i="11" s="1" a="1"/>
  <c r="J119" i="11" s="1"/>
  <c r="J120" i="8" a="1"/>
  <c r="J120" i="8" s="1"/>
  <c r="J120" i="11" s="1" a="1"/>
  <c r="J120" i="11" s="1"/>
  <c r="J121" i="8" a="1"/>
  <c r="J121" i="8" s="1"/>
  <c r="J121" i="11" s="1" a="1"/>
  <c r="J121" i="11" s="1"/>
  <c r="J122" i="8" a="1"/>
  <c r="J122" i="8" s="1"/>
  <c r="J122" i="11" s="1" a="1"/>
  <c r="J122" i="11" s="1"/>
  <c r="J123" i="8" a="1"/>
  <c r="J123" i="8" s="1"/>
  <c r="J123" i="11" s="1" a="1"/>
  <c r="J123" i="11" s="1"/>
  <c r="J124" i="8" a="1"/>
  <c r="J124" i="8" s="1"/>
  <c r="J124" i="11" s="1" a="1"/>
  <c r="J124" i="11" s="1"/>
  <c r="J125" i="8" a="1"/>
  <c r="J125" i="8" s="1"/>
  <c r="J125" i="11" s="1" a="1"/>
  <c r="J125" i="11" s="1"/>
  <c r="J126" i="8" a="1"/>
  <c r="J126" i="8" s="1"/>
  <c r="J126" i="11" s="1" a="1"/>
  <c r="J126" i="11" s="1"/>
  <c r="J127" i="8" a="1"/>
  <c r="J127" i="8" s="1"/>
  <c r="J127" i="11" s="1" a="1"/>
  <c r="J127" i="11" s="1"/>
  <c r="J128" i="8" a="1"/>
  <c r="J128" i="8" s="1"/>
  <c r="J128" i="11" s="1" a="1"/>
  <c r="J128" i="11" s="1"/>
  <c r="J129" i="8" a="1"/>
  <c r="J129" i="8" s="1"/>
  <c r="J129" i="11" s="1" a="1"/>
  <c r="J129" i="11" s="1"/>
  <c r="J130" i="8" a="1"/>
  <c r="J130" i="8" s="1"/>
  <c r="J130" i="11" s="1" a="1"/>
  <c r="J130" i="11" s="1"/>
  <c r="J131" i="8" a="1"/>
  <c r="J131" i="8" s="1"/>
  <c r="J131" i="11" s="1" a="1"/>
  <c r="J131" i="11" s="1"/>
  <c r="J132" i="8" a="1"/>
  <c r="J132" i="8" s="1"/>
  <c r="J132" i="11" s="1" a="1"/>
  <c r="J132" i="11" s="1"/>
  <c r="J133" i="8" a="1"/>
  <c r="J133" i="8" s="1"/>
  <c r="J133" i="11" s="1" a="1"/>
  <c r="J133" i="11" s="1"/>
  <c r="J134" i="8" a="1"/>
  <c r="J134" i="8" s="1"/>
  <c r="J134" i="11" s="1" a="1"/>
  <c r="J134" i="11" s="1"/>
  <c r="J135" i="8" a="1"/>
  <c r="J135" i="8" s="1"/>
  <c r="J135" i="11" s="1" a="1"/>
  <c r="J135" i="11" s="1"/>
  <c r="J136" i="8" a="1"/>
  <c r="J136" i="8" s="1"/>
  <c r="J136" i="11" s="1" a="1"/>
  <c r="J136" i="11" s="1"/>
  <c r="J137" i="8" a="1"/>
  <c r="J137" i="8" s="1"/>
  <c r="J137" i="11" s="1" a="1"/>
  <c r="J137" i="11" s="1"/>
  <c r="J138" i="8" a="1"/>
  <c r="J138" i="8" s="1"/>
  <c r="J138" i="11" s="1" a="1"/>
  <c r="J138" i="11" s="1"/>
  <c r="J139" i="8" a="1"/>
  <c r="J139" i="8" s="1"/>
  <c r="J139" i="11" s="1" a="1"/>
  <c r="J139" i="11" s="1"/>
  <c r="J140" i="8" a="1"/>
  <c r="J140" i="8" s="1"/>
  <c r="J140" i="11" s="1" a="1"/>
  <c r="J140" i="11" s="1"/>
  <c r="J141" i="8" a="1"/>
  <c r="J141" i="8" s="1"/>
  <c r="J141" i="11" s="1" a="1"/>
  <c r="J141" i="11" s="1"/>
  <c r="J142" i="8" a="1"/>
  <c r="J142" i="8" s="1"/>
  <c r="J142" i="11" s="1" a="1"/>
  <c r="J142" i="11" s="1"/>
  <c r="J143" i="8" a="1"/>
  <c r="J143" i="8" s="1"/>
  <c r="J143" i="11" s="1" a="1"/>
  <c r="J143" i="11" s="1"/>
  <c r="J144" i="8" a="1"/>
  <c r="J144" i="8" s="1"/>
  <c r="J144" i="11" s="1" a="1"/>
  <c r="J144" i="11" s="1"/>
  <c r="J145" i="8" a="1"/>
  <c r="J145" i="8" s="1"/>
  <c r="J145" i="11" s="1" a="1"/>
  <c r="J145" i="11" s="1"/>
  <c r="J146" i="8" a="1"/>
  <c r="J146" i="8" s="1"/>
  <c r="J146" i="11" s="1" a="1"/>
  <c r="J146" i="11" s="1"/>
  <c r="J147" i="8" a="1"/>
  <c r="J147" i="8" s="1"/>
  <c r="J147" i="11" s="1" a="1"/>
  <c r="J147" i="11" s="1"/>
  <c r="J148" i="8" a="1"/>
  <c r="J148" i="8" s="1"/>
  <c r="J148" i="11" s="1" a="1"/>
  <c r="J148" i="11" s="1"/>
  <c r="J149" i="8" a="1"/>
  <c r="J149" i="8" s="1"/>
  <c r="J149" i="11" s="1" a="1"/>
  <c r="J149" i="11" s="1"/>
  <c r="J150" i="8" a="1"/>
  <c r="J150" i="8" s="1"/>
  <c r="J150" i="11" s="1" a="1"/>
  <c r="J150" i="11" s="1"/>
  <c r="J151" i="8" a="1"/>
  <c r="J151" i="8" s="1"/>
  <c r="J151" i="11" s="1" a="1"/>
  <c r="J151" i="11" s="1"/>
  <c r="J152" i="8" a="1"/>
  <c r="J152" i="8" s="1"/>
  <c r="J152" i="11" s="1" a="1"/>
  <c r="J152" i="11" s="1"/>
  <c r="J153" i="8" a="1"/>
  <c r="J153" i="8" s="1"/>
  <c r="J153" i="11" s="1" a="1"/>
  <c r="J153" i="11" s="1"/>
  <c r="J154" i="8" a="1"/>
  <c r="J154" i="8" s="1"/>
  <c r="J154" i="11" s="1" a="1"/>
  <c r="J154" i="11" s="1"/>
  <c r="J155" i="8" a="1"/>
  <c r="J155" i="8" s="1"/>
  <c r="J155" i="11" s="1" a="1"/>
  <c r="J155" i="11" s="1"/>
  <c r="J156" i="8" a="1"/>
  <c r="J156" i="8" s="1"/>
  <c r="J156" i="11" s="1" a="1"/>
  <c r="J156" i="11" s="1"/>
  <c r="J157" i="8" a="1"/>
  <c r="J157" i="8" s="1"/>
  <c r="J157" i="11" s="1" a="1"/>
  <c r="J157" i="11" s="1"/>
  <c r="J158" i="8" a="1"/>
  <c r="J158" i="8" s="1"/>
  <c r="J158" i="11" s="1" a="1"/>
  <c r="J158" i="11" s="1"/>
  <c r="J159" i="8" a="1"/>
  <c r="J159" i="8" s="1"/>
  <c r="J159" i="11" s="1" a="1"/>
  <c r="J159" i="11" s="1"/>
  <c r="J160" i="8" a="1"/>
  <c r="J160" i="8" s="1"/>
  <c r="J160" i="11" s="1" a="1"/>
  <c r="J160" i="11" s="1"/>
  <c r="J161" i="8" a="1"/>
  <c r="J161" i="8" s="1"/>
  <c r="J161" i="11" s="1" a="1"/>
  <c r="J161" i="11" s="1"/>
  <c r="J162" i="8" a="1"/>
  <c r="J162" i="8" s="1"/>
  <c r="J162" i="11" s="1" a="1"/>
  <c r="J162" i="11" s="1"/>
  <c r="J163" i="8" a="1"/>
  <c r="J163" i="8" s="1"/>
  <c r="J163" i="11" s="1" a="1"/>
  <c r="J163" i="11" s="1"/>
  <c r="J164" i="8" a="1"/>
  <c r="J164" i="8" s="1"/>
  <c r="J164" i="11" s="1" a="1"/>
  <c r="J164" i="11" s="1"/>
  <c r="J165" i="8" a="1"/>
  <c r="J165" i="8" s="1"/>
  <c r="J165" i="11" s="1" a="1"/>
  <c r="J165" i="11" s="1"/>
  <c r="J166" i="8" a="1"/>
  <c r="J166" i="8" s="1"/>
  <c r="J166" i="11" s="1" a="1"/>
  <c r="J166" i="11" s="1"/>
  <c r="J167" i="8" a="1"/>
  <c r="J167" i="8" s="1"/>
  <c r="J167" i="11" s="1" a="1"/>
  <c r="J167" i="11" s="1"/>
  <c r="J168" i="8" a="1"/>
  <c r="J168" i="8" s="1"/>
  <c r="J168" i="11" s="1" a="1"/>
  <c r="J168" i="11" s="1"/>
  <c r="J169" i="8" a="1"/>
  <c r="J169" i="8" s="1"/>
  <c r="J169" i="11" s="1" a="1"/>
  <c r="J169" i="11" s="1"/>
  <c r="J170" i="8" a="1"/>
  <c r="J170" i="8" s="1"/>
  <c r="J170" i="11" s="1" a="1"/>
  <c r="J170" i="11" s="1"/>
  <c r="J171" i="8" a="1"/>
  <c r="J171" i="8" s="1"/>
  <c r="J171" i="11" s="1" a="1"/>
  <c r="J171" i="11" s="1"/>
  <c r="J172" i="8" a="1"/>
  <c r="J172" i="8" s="1"/>
  <c r="J172" i="11" s="1" a="1"/>
  <c r="J172" i="11" s="1"/>
  <c r="J173" i="8" a="1"/>
  <c r="J173" i="8" s="1"/>
  <c r="J173" i="11" s="1" a="1"/>
  <c r="J173" i="11" s="1"/>
  <c r="J174" i="8" a="1"/>
  <c r="J174" i="8" s="1"/>
  <c r="J174" i="11" s="1" a="1"/>
  <c r="J174" i="11" s="1"/>
  <c r="J175" i="8" a="1"/>
  <c r="J175" i="8" s="1"/>
  <c r="J175" i="11" s="1" a="1"/>
  <c r="J175" i="11" s="1"/>
  <c r="J176" i="8" a="1"/>
  <c r="J176" i="8" s="1"/>
  <c r="J176" i="11" s="1" a="1"/>
  <c r="J176" i="11" s="1"/>
  <c r="J177" i="8" a="1"/>
  <c r="J177" i="8" s="1"/>
  <c r="J177" i="11" s="1" a="1"/>
  <c r="J177" i="11" s="1"/>
  <c r="J178" i="8" a="1"/>
  <c r="J178" i="8" s="1"/>
  <c r="J178" i="11" s="1" a="1"/>
  <c r="J178" i="11" s="1"/>
  <c r="J179" i="8" a="1"/>
  <c r="J179" i="8" s="1"/>
  <c r="J179" i="11" s="1" a="1"/>
  <c r="J179" i="11" s="1"/>
  <c r="J180" i="8" a="1"/>
  <c r="J180" i="8" s="1"/>
  <c r="J180" i="11" s="1" a="1"/>
  <c r="J180" i="11" s="1"/>
  <c r="J181" i="8" a="1"/>
  <c r="J181" i="8" s="1"/>
  <c r="J181" i="11" s="1" a="1"/>
  <c r="J181" i="11" s="1"/>
  <c r="J182" i="8" a="1"/>
  <c r="J182" i="8" s="1"/>
  <c r="J182" i="11" s="1" a="1"/>
  <c r="J182" i="11" s="1"/>
  <c r="J183" i="8" a="1"/>
  <c r="J183" i="8" s="1"/>
  <c r="J183" i="11" s="1" a="1"/>
  <c r="J183" i="11" s="1"/>
  <c r="J184" i="8" a="1"/>
  <c r="J184" i="8" s="1"/>
  <c r="J184" i="11" s="1" a="1"/>
  <c r="J184" i="11" s="1"/>
  <c r="J185" i="8" a="1"/>
  <c r="J185" i="8" s="1"/>
  <c r="J185" i="11" s="1" a="1"/>
  <c r="J185" i="11" s="1"/>
  <c r="J186" i="8" a="1"/>
  <c r="J186" i="8" s="1"/>
  <c r="J186" i="11" s="1" a="1"/>
  <c r="J186" i="11" s="1"/>
  <c r="J187" i="8" a="1"/>
  <c r="J187" i="8" s="1"/>
  <c r="J187" i="11" s="1" a="1"/>
  <c r="J187" i="11" s="1"/>
  <c r="J188" i="8" a="1"/>
  <c r="J188" i="8" s="1"/>
  <c r="J188" i="11" s="1" a="1"/>
  <c r="J188" i="11" s="1"/>
  <c r="J189" i="8" a="1"/>
  <c r="J189" i="8" s="1"/>
  <c r="J189" i="11" s="1" a="1"/>
  <c r="J189" i="11" s="1"/>
  <c r="J190" i="8" a="1"/>
  <c r="J190" i="8" s="1"/>
  <c r="J190" i="11" s="1" a="1"/>
  <c r="J190" i="11" s="1"/>
  <c r="J191" i="8" a="1"/>
  <c r="J191" i="8" s="1"/>
  <c r="J191" i="11" s="1" a="1"/>
  <c r="J191" i="11" s="1"/>
  <c r="J192" i="8" a="1"/>
  <c r="J192" i="8" s="1"/>
  <c r="J192" i="11" s="1" a="1"/>
  <c r="J192" i="11" s="1"/>
  <c r="J193" i="8" a="1"/>
  <c r="J193" i="8" s="1"/>
  <c r="J193" i="11" s="1" a="1"/>
  <c r="J193" i="11" s="1"/>
  <c r="J194" i="8" a="1"/>
  <c r="J194" i="8" s="1"/>
  <c r="J194" i="11" s="1" a="1"/>
  <c r="J194" i="11" s="1"/>
  <c r="J195" i="8" a="1"/>
  <c r="J195" i="8" s="1"/>
  <c r="J195" i="11" s="1" a="1"/>
  <c r="J195" i="11" s="1"/>
  <c r="J196" i="8" a="1"/>
  <c r="J196" i="8" s="1"/>
  <c r="J196" i="11" s="1" a="1"/>
  <c r="J196" i="11" s="1"/>
  <c r="J197" i="8" a="1"/>
  <c r="J197" i="8" s="1"/>
  <c r="J197" i="11" s="1" a="1"/>
  <c r="J197" i="11" s="1"/>
  <c r="J198" i="8" a="1"/>
  <c r="J198" i="8" s="1"/>
  <c r="J198" i="11" s="1" a="1"/>
  <c r="J198" i="11" s="1"/>
  <c r="J199" i="8" a="1"/>
  <c r="J199" i="8" s="1"/>
  <c r="J199" i="11" s="1" a="1"/>
  <c r="J199" i="11" s="1"/>
  <c r="J200" i="8" a="1"/>
  <c r="J200" i="8" s="1"/>
  <c r="J200" i="11" s="1" a="1"/>
  <c r="J200" i="11" s="1"/>
  <c r="J201" i="8" a="1"/>
  <c r="J201" i="8" s="1"/>
  <c r="J201" i="11" s="1" a="1"/>
  <c r="J201" i="11" s="1"/>
  <c r="J202" i="8" a="1"/>
  <c r="J202" i="8" s="1"/>
  <c r="J202" i="11" s="1" a="1"/>
  <c r="J202" i="11" s="1"/>
  <c r="J203" i="8" a="1"/>
  <c r="J203" i="8" s="1"/>
  <c r="J203" i="11" s="1" a="1"/>
  <c r="J203" i="11" s="1"/>
  <c r="J204" i="8" a="1"/>
  <c r="J204" i="8" s="1"/>
  <c r="J204" i="11" s="1" a="1"/>
  <c r="J204" i="11" s="1"/>
  <c r="J205" i="8" a="1"/>
  <c r="J205" i="8" s="1"/>
  <c r="J205" i="11" s="1" a="1"/>
  <c r="J205" i="11" s="1"/>
  <c r="J206" i="8" a="1"/>
  <c r="J206" i="8" s="1"/>
  <c r="J206" i="11" s="1" a="1"/>
  <c r="J206" i="11" s="1"/>
  <c r="J207" i="8" a="1"/>
  <c r="J207" i="8" s="1"/>
  <c r="J207" i="11" s="1" a="1"/>
  <c r="J207" i="11" s="1"/>
  <c r="J208" i="8" a="1"/>
  <c r="J208" i="8" s="1"/>
  <c r="J208" i="11" s="1" a="1"/>
  <c r="J208" i="11" s="1"/>
  <c r="J209" i="8" a="1"/>
  <c r="J209" i="8" s="1"/>
  <c r="J209" i="11" s="1" a="1"/>
  <c r="J209" i="11" s="1"/>
  <c r="J210" i="8" a="1"/>
  <c r="J210" i="8" s="1"/>
  <c r="J210" i="11" s="1" a="1"/>
  <c r="J210" i="11" s="1"/>
  <c r="J211" i="8" a="1"/>
  <c r="J211" i="8" s="1"/>
  <c r="J211" i="11" s="1" a="1"/>
  <c r="J211" i="11" s="1"/>
  <c r="J212" i="8" a="1"/>
  <c r="J212" i="8" s="1"/>
  <c r="J212" i="11" s="1" a="1"/>
  <c r="J212" i="11" s="1"/>
  <c r="J213" i="8" a="1"/>
  <c r="J213" i="8" s="1"/>
  <c r="J213" i="11" s="1" a="1"/>
  <c r="J213" i="11" s="1"/>
  <c r="J214" i="8" a="1"/>
  <c r="J214" i="8" s="1"/>
  <c r="J214" i="11" s="1" a="1"/>
  <c r="J214" i="11" s="1"/>
  <c r="J215" i="8" a="1"/>
  <c r="J215" i="8" s="1"/>
  <c r="J215" i="11" s="1" a="1"/>
  <c r="J215" i="11" s="1"/>
  <c r="J216" i="8" a="1"/>
  <c r="J216" i="8" s="1"/>
  <c r="J216" i="11" s="1" a="1"/>
  <c r="J216" i="11" s="1"/>
  <c r="J217" i="8" a="1"/>
  <c r="J217" i="8" s="1"/>
  <c r="J217" i="11" s="1" a="1"/>
  <c r="J217" i="11" s="1"/>
  <c r="J218" i="8" a="1"/>
  <c r="J218" i="8" s="1"/>
  <c r="J218" i="11" s="1" a="1"/>
  <c r="J218" i="11" s="1"/>
  <c r="J219" i="8" a="1"/>
  <c r="J219" i="8" s="1"/>
  <c r="J219" i="11" s="1" a="1"/>
  <c r="J219" i="11" s="1"/>
  <c r="J220" i="8" a="1"/>
  <c r="J220" i="8" s="1"/>
  <c r="J220" i="11" s="1" a="1"/>
  <c r="J220" i="11" s="1"/>
  <c r="J221" i="8" a="1"/>
  <c r="J221" i="8" s="1"/>
  <c r="J221" i="11" s="1" a="1"/>
  <c r="J221" i="11" s="1"/>
  <c r="J222" i="8" a="1"/>
  <c r="J222" i="8" s="1"/>
  <c r="J222" i="11" s="1" a="1"/>
  <c r="J222" i="11" s="1"/>
  <c r="J223" i="8" a="1"/>
  <c r="J223" i="8" s="1"/>
  <c r="J223" i="11" s="1" a="1"/>
  <c r="J223" i="11" s="1"/>
  <c r="J224" i="8" a="1"/>
  <c r="J224" i="8" s="1"/>
  <c r="J224" i="11" s="1" a="1"/>
  <c r="J224" i="11" s="1"/>
  <c r="J225" i="8" a="1"/>
  <c r="J225" i="8" s="1"/>
  <c r="J225" i="11" s="1" a="1"/>
  <c r="J225" i="11" s="1"/>
  <c r="J226" i="8" a="1"/>
  <c r="J226" i="8" s="1"/>
  <c r="J226" i="11" s="1" a="1"/>
  <c r="J226" i="11" s="1"/>
  <c r="J227" i="8" a="1"/>
  <c r="J227" i="8" s="1"/>
  <c r="J227" i="11" s="1" a="1"/>
  <c r="J227" i="11" s="1"/>
  <c r="J228" i="8" a="1"/>
  <c r="J228" i="8" s="1"/>
  <c r="J228" i="11" s="1" a="1"/>
  <c r="J228" i="11" s="1"/>
  <c r="J229" i="8" a="1"/>
  <c r="J229" i="8" s="1"/>
  <c r="J229" i="11" s="1" a="1"/>
  <c r="J229" i="11" s="1"/>
  <c r="J230" i="8" a="1"/>
  <c r="J230" i="8" s="1"/>
  <c r="J230" i="11" s="1" a="1"/>
  <c r="J230" i="11" s="1"/>
  <c r="J231" i="8" a="1"/>
  <c r="J231" i="8" s="1"/>
  <c r="J231" i="11" s="1" a="1"/>
  <c r="J231" i="11" s="1"/>
  <c r="J232" i="8" a="1"/>
  <c r="J232" i="8" s="1"/>
  <c r="J232" i="11" s="1" a="1"/>
  <c r="J232" i="11" s="1"/>
  <c r="J233" i="8" a="1"/>
  <c r="J233" i="8" s="1"/>
  <c r="J233" i="11" s="1" a="1"/>
  <c r="J233" i="11" s="1"/>
  <c r="J234" i="8" a="1"/>
  <c r="J234" i="8" s="1"/>
  <c r="J234" i="11" s="1" a="1"/>
  <c r="J234" i="11" s="1"/>
  <c r="J235" i="8" a="1"/>
  <c r="J235" i="8" s="1"/>
  <c r="J235" i="11" s="1" a="1"/>
  <c r="J235" i="11" s="1"/>
  <c r="J236" i="8" a="1"/>
  <c r="J236" i="8" s="1"/>
  <c r="J236" i="11" s="1" a="1"/>
  <c r="J236" i="11" s="1"/>
  <c r="J237" i="8" a="1"/>
  <c r="J237" i="8" s="1"/>
  <c r="J237" i="11" s="1" a="1"/>
  <c r="J237" i="11" s="1"/>
  <c r="J238" i="8" a="1"/>
  <c r="J238" i="8" s="1"/>
  <c r="J238" i="11" s="1" a="1"/>
  <c r="J238" i="11" s="1"/>
  <c r="J239" i="8" a="1"/>
  <c r="J239" i="8" s="1"/>
  <c r="J239" i="11" s="1" a="1"/>
  <c r="J239" i="11" s="1"/>
  <c r="J240" i="8" a="1"/>
  <c r="J240" i="8" s="1"/>
  <c r="J240" i="11" s="1" a="1"/>
  <c r="J240" i="11" s="1"/>
  <c r="J241" i="8" a="1"/>
  <c r="J241" i="8" s="1"/>
  <c r="J241" i="11" s="1" a="1"/>
  <c r="J241" i="11" s="1"/>
  <c r="J242" i="8" a="1"/>
  <c r="J242" i="8" s="1"/>
  <c r="J242" i="11" s="1" a="1"/>
  <c r="J242" i="11" s="1"/>
  <c r="J243" i="8" a="1"/>
  <c r="J243" i="8" s="1"/>
  <c r="J243" i="11" s="1" a="1"/>
  <c r="J243" i="11" s="1"/>
  <c r="J244" i="8" a="1"/>
  <c r="J244" i="8" s="1"/>
  <c r="J244" i="11" s="1" a="1"/>
  <c r="J244" i="11" s="1"/>
  <c r="J245" i="8" a="1"/>
  <c r="J245" i="8" s="1"/>
  <c r="J245" i="11" s="1" a="1"/>
  <c r="J245" i="11" s="1"/>
  <c r="J246" i="8" a="1"/>
  <c r="J246" i="8" s="1"/>
  <c r="J246" i="11" s="1" a="1"/>
  <c r="J246" i="11" s="1"/>
  <c r="J247" i="8" a="1"/>
  <c r="J247" i="8" s="1"/>
  <c r="J247" i="11" s="1" a="1"/>
  <c r="J247" i="11" s="1"/>
  <c r="J248" i="8" a="1"/>
  <c r="J248" i="8" s="1"/>
  <c r="J248" i="11" s="1" a="1"/>
  <c r="J248" i="11" s="1"/>
  <c r="J249" i="8" a="1"/>
  <c r="J249" i="8" s="1"/>
  <c r="J249" i="11" s="1" a="1"/>
  <c r="J249" i="11" s="1"/>
  <c r="J250" i="8" a="1"/>
  <c r="J250" i="8" s="1"/>
  <c r="J250" i="11" s="1" a="1"/>
  <c r="J250" i="11" s="1"/>
  <c r="AI50" i="8" l="1" a="1"/>
  <c r="AI50" i="8" s="1"/>
  <c r="AI50" i="11" s="1" a="1"/>
  <c r="AI50" i="11" s="1"/>
  <c r="AI42" i="8" a="1"/>
  <c r="AI42" i="8" s="1"/>
  <c r="AI42" i="11" s="1" a="1"/>
  <c r="AI42" i="11" s="1"/>
  <c r="AJ30" i="8" a="1"/>
  <c r="AJ30" i="8" s="1"/>
  <c r="AJ36" i="8" a="1"/>
  <c r="AJ36" i="8" s="1"/>
  <c r="AH38" i="8" a="1"/>
  <c r="AH38" i="8" s="1"/>
  <c r="AH38" i="11" s="1" a="1"/>
  <c r="AH38" i="11" s="1"/>
  <c r="K11" i="8" a="1"/>
  <c r="K11" i="8" s="1"/>
  <c r="L11" i="8" a="1"/>
  <c r="L11" i="8" s="1"/>
  <c r="M11" i="8" a="1"/>
  <c r="M11" i="8" s="1"/>
  <c r="N11" i="8" a="1"/>
  <c r="N11" i="8" s="1"/>
  <c r="P11" i="8" a="1"/>
  <c r="P11" i="8" s="1"/>
  <c r="Q11" i="8" a="1"/>
  <c r="Q11" i="8" s="1"/>
  <c r="T11" i="8" a="1"/>
  <c r="T11" i="8" s="1"/>
  <c r="U11" i="8" a="1"/>
  <c r="U11" i="8" s="1"/>
  <c r="V11" i="8" a="1"/>
  <c r="V11" i="8" s="1"/>
  <c r="J11" i="8" a="1"/>
  <c r="J11" i="8" s="1"/>
  <c r="J11" i="11" s="1" a="1"/>
  <c r="J11" i="11" s="1"/>
  <c r="G16" i="7" l="1" a="1"/>
  <c r="G15" i="7" a="1"/>
  <c r="G14" i="7" a="1"/>
  <c r="G12" i="7" a="1"/>
  <c r="G10" i="7" a="1"/>
  <c r="G13" i="7" a="1"/>
  <c r="G11" i="7" a="1"/>
  <c r="H11" i="7" a="1"/>
  <c r="C10" i="7" a="1"/>
  <c r="F16" i="7" a="1"/>
  <c r="F11" i="7" a="1"/>
  <c r="C16" i="7" a="1"/>
  <c r="B13" i="7" a="1"/>
  <c r="F12" i="7" a="1"/>
  <c r="B12" i="7" a="1"/>
  <c r="D15" i="7" a="1"/>
  <c r="H16" i="7" a="1"/>
  <c r="F13" i="7" a="1"/>
  <c r="B11" i="7" a="1"/>
  <c r="D11" i="7" a="1"/>
  <c r="B10" i="7" a="1"/>
  <c r="F14" i="7" a="1"/>
  <c r="E11" i="7" a="1"/>
  <c r="F10" i="7" a="1"/>
  <c r="I10" i="7" a="1"/>
  <c r="H15" i="7" a="1"/>
  <c r="H10" i="7" a="1"/>
  <c r="C15" i="7" a="1"/>
  <c r="C12" i="7" a="1"/>
  <c r="C13" i="7" a="1"/>
  <c r="H13" i="7" a="1"/>
  <c r="E12" i="7" a="1"/>
  <c r="E10" i="7" a="1"/>
  <c r="F15" i="7" a="1"/>
  <c r="B15" i="7" a="1"/>
  <c r="H12" i="7" a="1"/>
  <c r="E13" i="7" a="1"/>
  <c r="D16" i="7" a="1"/>
  <c r="E15" i="7" a="1"/>
  <c r="E16" i="7" a="1"/>
  <c r="H14" i="7" a="1"/>
  <c r="D14" i="7" a="1"/>
  <c r="C14" i="7" a="1"/>
  <c r="B14" i="7" a="1"/>
  <c r="E14" i="7" a="1"/>
  <c r="B16" i="7" a="1"/>
  <c r="D10" i="7" a="1"/>
  <c r="E12" i="7" l="1"/>
  <c r="B15" i="7"/>
  <c r="D10" i="7"/>
  <c r="E11" i="7"/>
  <c r="G12" i="7"/>
  <c r="B14" i="7"/>
  <c r="C15" i="7"/>
  <c r="D16" i="7"/>
  <c r="G13" i="7"/>
  <c r="E10" i="7"/>
  <c r="F11" i="7"/>
  <c r="H12" i="7"/>
  <c r="C14" i="7"/>
  <c r="D15" i="7"/>
  <c r="E16" i="7"/>
  <c r="C16" i="7"/>
  <c r="F10" i="7"/>
  <c r="G11" i="7"/>
  <c r="B13" i="7"/>
  <c r="D14" i="7"/>
  <c r="E15" i="7"/>
  <c r="F16" i="7"/>
  <c r="B11" i="7"/>
  <c r="C10" i="7"/>
  <c r="F12" i="7"/>
  <c r="G10" i="7"/>
  <c r="H11" i="7"/>
  <c r="C13" i="7"/>
  <c r="E14" i="7"/>
  <c r="F15" i="7"/>
  <c r="G16" i="7"/>
  <c r="B16" i="7"/>
  <c r="D11" i="7"/>
  <c r="H10" i="7"/>
  <c r="B12" i="7"/>
  <c r="E13" i="7"/>
  <c r="F14" i="7"/>
  <c r="G15" i="7"/>
  <c r="H16" i="7"/>
  <c r="B10" i="7"/>
  <c r="H14" i="7"/>
  <c r="H13" i="7"/>
  <c r="I10" i="7"/>
  <c r="C12" i="7"/>
  <c r="F13" i="7"/>
  <c r="G14" i="7"/>
  <c r="H15" i="7"/>
  <c r="G9" i="7" a="1"/>
  <c r="B9" i="7" a="1"/>
  <c r="C9" i="7" a="1"/>
  <c r="D9" i="7" a="1"/>
  <c r="F9" i="7" a="1"/>
  <c r="E9" i="7" a="1"/>
  <c r="H9" i="7" a="1"/>
  <c r="I9" i="7" a="1"/>
  <c r="C11" i="7" a="1"/>
  <c r="D13" i="7" a="1"/>
  <c r="C11" i="7" l="1"/>
  <c r="C9" i="7"/>
  <c r="I9" i="7"/>
  <c r="H9" i="7"/>
  <c r="D13" i="7"/>
  <c r="B9" i="7"/>
  <c r="E9" i="7"/>
  <c r="G9" i="7"/>
  <c r="D9" i="7"/>
  <c r="F9" i="7"/>
  <c r="G156" i="7" l="1" a="1"/>
  <c r="G266" i="7" a="1"/>
  <c r="G114" i="7" a="1"/>
  <c r="G192" i="7" a="1"/>
  <c r="G264" i="7" a="1"/>
  <c r="G116" i="7" a="1"/>
  <c r="G210" i="7" a="1"/>
  <c r="G135" i="7" a="1"/>
  <c r="G283" i="7" a="1"/>
  <c r="G157" i="7" a="1"/>
  <c r="G17" i="7" a="1"/>
  <c r="G217" i="7" a="1"/>
  <c r="G175" i="7" a="1"/>
  <c r="G288" i="7" a="1"/>
  <c r="G148" i="7" a="1"/>
  <c r="G38" i="7" a="1"/>
  <c r="G289" i="7" a="1"/>
  <c r="G269" i="7" a="1"/>
  <c r="G293" i="7" a="1"/>
  <c r="G36" i="7" a="1"/>
  <c r="G129" i="7" a="1"/>
  <c r="G138" i="7" a="1"/>
  <c r="G286" i="7" a="1"/>
  <c r="G52" i="7" a="1"/>
  <c r="G19" i="7" a="1"/>
  <c r="G117" i="7" a="1"/>
  <c r="G170" i="7" a="1"/>
  <c r="G278" i="7" a="1"/>
  <c r="G94" i="7" a="1"/>
  <c r="G57" i="7" a="1"/>
  <c r="G133" i="7" a="1"/>
  <c r="G89" i="7" a="1"/>
  <c r="G43" i="7" a="1"/>
  <c r="G8" i="7" a="1"/>
  <c r="G184" i="7" a="1"/>
  <c r="G253" i="7" a="1"/>
  <c r="G71" i="7" a="1"/>
  <c r="G244" i="7" a="1"/>
  <c r="G20" i="7" a="1"/>
  <c r="G128" i="7" a="1"/>
  <c r="G23" i="7" a="1"/>
  <c r="G93" i="7" a="1"/>
  <c r="G193" i="7" a="1"/>
  <c r="G70" i="7" a="1"/>
  <c r="G173" i="7" a="1"/>
  <c r="G298" i="7" a="1"/>
  <c r="G127" i="7" a="1"/>
  <c r="G84" i="7" a="1"/>
  <c r="G146" i="7" a="1"/>
  <c r="G137" i="7" a="1"/>
  <c r="G262" i="7" a="1"/>
  <c r="G26" i="7" a="1"/>
  <c r="G145" i="7" a="1"/>
  <c r="G96" i="7" a="1"/>
  <c r="G287" i="7" a="1"/>
  <c r="G224" i="7" a="1"/>
  <c r="G203" i="7" a="1"/>
  <c r="G227" i="7" a="1"/>
  <c r="G241" i="7" a="1"/>
  <c r="G249" i="7" a="1"/>
  <c r="G126" i="7" a="1"/>
  <c r="G83" i="7" a="1"/>
  <c r="G191" i="7" a="1"/>
  <c r="G99" i="7" a="1"/>
  <c r="G206" i="7" a="1"/>
  <c r="G101" i="7" a="1"/>
  <c r="G255" i="7" a="1"/>
  <c r="G291" i="7" a="1"/>
  <c r="G222" i="7" a="1"/>
  <c r="G230" i="7" a="1"/>
  <c r="G248" i="7" a="1"/>
  <c r="G107" i="7" a="1"/>
  <c r="G28" i="7" a="1"/>
  <c r="G161" i="7" a="1"/>
  <c r="G120" i="7" a="1"/>
  <c r="G179" i="7" a="1"/>
  <c r="G263" i="7" a="1"/>
  <c r="G281" i="7" a="1"/>
  <c r="G141" i="7" a="1"/>
  <c r="G102" i="7" a="1"/>
  <c r="G282" i="7" a="1"/>
  <c r="G140" i="7" a="1"/>
  <c r="G237" i="7" a="1"/>
  <c r="G155" i="7" a="1"/>
  <c r="G139" i="7" a="1"/>
  <c r="G87" i="7" a="1"/>
  <c r="G271" i="7" a="1"/>
  <c r="G273" i="7" a="1"/>
  <c r="G50" i="7" a="1"/>
  <c r="G221" i="7" a="1"/>
  <c r="G197" i="7" a="1"/>
  <c r="G134" i="7" a="1"/>
  <c r="G80" i="7" a="1"/>
  <c r="G204" i="7" a="1"/>
  <c r="G79" i="7" a="1"/>
  <c r="G64" i="7" a="1"/>
  <c r="G112" i="7" a="1"/>
  <c r="G59" i="7" a="1"/>
  <c r="G219" i="7" a="1"/>
  <c r="G160" i="7" a="1"/>
  <c r="G198" i="7" a="1"/>
  <c r="G187" i="7" a="1"/>
  <c r="G73" i="7" a="1"/>
  <c r="G195" i="7" a="1"/>
  <c r="G105" i="7" a="1"/>
  <c r="G18" i="7" a="1"/>
  <c r="G90" i="7" a="1"/>
  <c r="G75" i="7" a="1"/>
  <c r="G62" i="7" a="1"/>
  <c r="G34" i="7" a="1"/>
  <c r="G213" i="7" a="1"/>
  <c r="G243" i="7" a="1"/>
  <c r="G211" i="7" a="1"/>
  <c r="G299" i="7" a="1"/>
  <c r="G297" i="7" a="1"/>
  <c r="G214" i="7" a="1"/>
  <c r="G259" i="7" a="1"/>
  <c r="G7" i="7" a="1"/>
  <c r="G190" i="7" a="1"/>
  <c r="G31" i="7" a="1"/>
  <c r="G229" i="7" a="1"/>
  <c r="G104" i="7" a="1"/>
  <c r="G207" i="7" a="1"/>
  <c r="G124" i="7" a="1"/>
  <c r="G205" i="7" a="1"/>
  <c r="G97" i="7" a="1"/>
  <c r="G200" i="7" a="1"/>
  <c r="G49" i="7" a="1"/>
  <c r="G233" i="7" a="1"/>
  <c r="G69" i="7" a="1"/>
  <c r="G39" i="7" a="1"/>
  <c r="G189" i="7" a="1"/>
  <c r="G177" i="7" a="1"/>
  <c r="G143" i="7" a="1"/>
  <c r="G92" i="7" a="1"/>
  <c r="G201" i="7" a="1"/>
  <c r="G208" i="7" a="1"/>
  <c r="G165" i="7" a="1"/>
  <c r="G144" i="7" a="1"/>
  <c r="G181" i="7" a="1"/>
  <c r="G215" i="7" a="1"/>
  <c r="G123" i="7" a="1"/>
  <c r="G106" i="7" a="1"/>
  <c r="G65" i="7" a="1"/>
  <c r="G284" i="7" a="1"/>
  <c r="G152" i="7" a="1"/>
  <c r="G223" i="7" a="1"/>
  <c r="G261" i="7" a="1"/>
  <c r="G168" i="7" a="1"/>
  <c r="G100" i="7" a="1"/>
  <c r="G51" i="7" a="1"/>
  <c r="G250" i="7" a="1"/>
  <c r="G226" i="7" a="1"/>
  <c r="G186" i="7" a="1"/>
  <c r="G268" i="7" a="1"/>
  <c r="G180" i="7" a="1"/>
  <c r="G68" i="7" a="1"/>
  <c r="G245" i="7" a="1"/>
  <c r="G109" i="7" a="1"/>
  <c r="G60" i="7" a="1"/>
  <c r="G169" i="7" a="1"/>
  <c r="G33" i="7" a="1"/>
  <c r="G166" i="7" a="1"/>
  <c r="G61" i="7" a="1"/>
  <c r="G58" i="7" a="1"/>
  <c r="G63" i="7" a="1"/>
  <c r="G294" i="7" a="1"/>
  <c r="G3" i="7" a="1"/>
  <c r="G78" i="7" a="1"/>
  <c r="G131" i="7" a="1"/>
  <c r="G272" i="7" a="1"/>
  <c r="G45" i="7" a="1"/>
  <c r="G108" i="7" a="1"/>
  <c r="G46" i="7" a="1"/>
  <c r="G22" i="7" a="1"/>
  <c r="G164" i="7" a="1"/>
  <c r="G292" i="7" a="1"/>
  <c r="G55" i="7" a="1"/>
  <c r="G130" i="7" a="1"/>
  <c r="G159" i="7" a="1"/>
  <c r="G115" i="7" a="1"/>
  <c r="G270" i="7" a="1"/>
  <c r="G257" i="7" a="1"/>
  <c r="G2" i="7" a="1"/>
  <c r="G171" i="7" a="1"/>
  <c r="G185" i="7" a="1"/>
  <c r="G280" i="7" a="1"/>
  <c r="G183" i="7" a="1"/>
  <c r="G254" i="7" a="1"/>
  <c r="G296" i="7" a="1"/>
  <c r="G151" i="7" a="1"/>
  <c r="G240" i="7" a="1"/>
  <c r="G267" i="7" a="1"/>
  <c r="G228" i="7" a="1"/>
  <c r="G86" i="7" a="1"/>
  <c r="G300" i="7" a="1"/>
  <c r="G188" i="7" a="1"/>
  <c r="G6" i="7" a="1"/>
  <c r="G232" i="7" a="1"/>
  <c r="G66" i="7" a="1"/>
  <c r="G74" i="7" a="1"/>
  <c r="G4" i="7" a="1"/>
  <c r="G209" i="7" a="1"/>
  <c r="G162" i="7" a="1"/>
  <c r="G72" i="7" a="1"/>
  <c r="G239" i="7" a="1"/>
  <c r="G202" i="7" a="1"/>
  <c r="G234" i="7" a="1"/>
  <c r="G163" i="7" a="1"/>
  <c r="G199" i="7" a="1"/>
  <c r="G256" i="7" a="1"/>
  <c r="G242" i="7" a="1"/>
  <c r="G111" i="7" a="1"/>
  <c r="G172" i="7" a="1"/>
  <c r="G77" i="7" a="1"/>
  <c r="G290" i="7" a="1"/>
  <c r="G32" i="7" a="1"/>
  <c r="G220" i="7" a="1"/>
  <c r="G279" i="7" a="1"/>
  <c r="G265" i="7" a="1"/>
  <c r="G85" i="7" a="1"/>
  <c r="G150" i="7" a="1"/>
  <c r="G81" i="7" a="1"/>
  <c r="G275" i="7" a="1"/>
  <c r="G153" i="7" a="1"/>
  <c r="G285" i="7" a="1"/>
  <c r="G121" i="7" a="1"/>
  <c r="G277" i="7" a="1"/>
  <c r="G218" i="7" a="1"/>
  <c r="G176" i="7" a="1"/>
  <c r="G25" i="7" a="1"/>
  <c r="G35" i="7" a="1"/>
  <c r="G91" i="7" a="1"/>
  <c r="G103" i="7" a="1"/>
  <c r="G158" i="7" a="1"/>
  <c r="G236" i="7" a="1"/>
  <c r="G295" i="7" a="1"/>
  <c r="G88" i="7" a="1"/>
  <c r="G30" i="7" a="1"/>
  <c r="G119" i="7" a="1"/>
  <c r="G136" i="7" a="1"/>
  <c r="G21" i="7" a="1"/>
  <c r="G82" i="7" a="1"/>
  <c r="G118" i="7" a="1"/>
  <c r="G247" i="7" a="1"/>
  <c r="G238" i="7" a="1"/>
  <c r="G174" i="7" a="1"/>
  <c r="G216" i="7" a="1"/>
  <c r="G132" i="7" a="1"/>
  <c r="G142" i="7" a="1"/>
  <c r="G252" i="7" a="1"/>
  <c r="G24" i="7" a="1"/>
  <c r="G274" i="7" a="1"/>
  <c r="G231" i="7" a="1"/>
  <c r="G47" i="7" a="1"/>
  <c r="G110" i="7" a="1"/>
  <c r="G154" i="7" a="1"/>
  <c r="G235" i="7" a="1"/>
  <c r="G98" i="7" a="1"/>
  <c r="G246" i="7" a="1"/>
  <c r="G42" i="7" a="1"/>
  <c r="G44" i="7" a="1"/>
  <c r="G95" i="7" a="1"/>
  <c r="G37" i="7" a="1"/>
  <c r="G29" i="7" a="1"/>
  <c r="G182" i="7" a="1"/>
  <c r="G27" i="7" a="1"/>
  <c r="G56" i="7" a="1"/>
  <c r="G212" i="7" a="1"/>
  <c r="G147" i="7" a="1"/>
  <c r="G54" i="7" a="1"/>
  <c r="G67" i="7" a="1"/>
  <c r="G251" i="7" a="1"/>
  <c r="G113" i="7" a="1"/>
  <c r="G5" i="7" a="1"/>
  <c r="G149" i="7" a="1"/>
  <c r="G53" i="7" a="1"/>
  <c r="G125" i="7" a="1"/>
  <c r="G276" i="7" a="1"/>
  <c r="G167" i="7" a="1"/>
  <c r="G260" i="7" a="1"/>
  <c r="G48" i="7" a="1"/>
  <c r="G178" i="7" a="1"/>
  <c r="G258" i="7" a="1"/>
  <c r="G196" i="7" a="1"/>
  <c r="G76" i="7" a="1"/>
  <c r="G40" i="7" a="1"/>
  <c r="G41" i="7" a="1"/>
  <c r="G225" i="7" a="1"/>
  <c r="G122" i="7" a="1"/>
  <c r="G194" i="7" a="1"/>
  <c r="I35" i="7" a="1"/>
  <c r="E45" i="7" a="1"/>
  <c r="B38" i="7" a="1"/>
  <c r="F47" i="7" a="1"/>
  <c r="C25" i="7" a="1"/>
  <c r="I45" i="7" a="1"/>
  <c r="C35" i="7" a="1"/>
  <c r="D45" i="7" a="1"/>
  <c r="C43" i="7" a="1"/>
  <c r="C31" i="7" a="1"/>
  <c r="E43" i="7" a="1"/>
  <c r="E29" i="7" a="1"/>
  <c r="H34" i="7" a="1"/>
  <c r="D22" i="7" a="1"/>
  <c r="I40" i="7" a="1"/>
  <c r="D47" i="7" a="1"/>
  <c r="I31" i="7" a="1"/>
  <c r="F27" i="7" a="1"/>
  <c r="I30" i="7" a="1"/>
  <c r="F34" i="7" a="1"/>
  <c r="I42" i="7" a="1"/>
  <c r="D44" i="7" a="1"/>
  <c r="B41" i="7" a="1"/>
  <c r="F25" i="7" a="1"/>
  <c r="E32" i="7" a="1"/>
  <c r="I48" i="7" a="1"/>
  <c r="H22" i="7" a="1"/>
  <c r="D31" i="7" a="1"/>
  <c r="F20" i="7" a="1"/>
  <c r="I20" i="7" a="1"/>
  <c r="I43" i="7" a="1"/>
  <c r="D24" i="7" a="1"/>
  <c r="F36" i="7" a="1"/>
  <c r="B49" i="7" a="1"/>
  <c r="B45" i="7" a="1"/>
  <c r="I32" i="7" a="1"/>
  <c r="I22" i="7" a="1"/>
  <c r="C41" i="7" a="1"/>
  <c r="B37" i="7" a="1"/>
  <c r="E47" i="7" a="1"/>
  <c r="I18" i="7" a="1"/>
  <c r="I25" i="7" a="1"/>
  <c r="E49" i="7" a="1"/>
  <c r="H49" i="7" a="1"/>
  <c r="H42" i="7" a="1"/>
  <c r="I19" i="7" a="1"/>
  <c r="H41" i="7" a="1"/>
  <c r="C44" i="7" a="1"/>
  <c r="B34" i="7" a="1"/>
  <c r="I39" i="7" a="1"/>
  <c r="E44" i="7" a="1"/>
  <c r="B25" i="7" a="1"/>
  <c r="F37" i="7" a="1"/>
  <c r="H21" i="7" a="1"/>
  <c r="H35" i="7" a="1"/>
  <c r="D37" i="7" a="1"/>
  <c r="B31" i="7" a="1"/>
  <c r="I29" i="7" a="1"/>
  <c r="H18" i="7" a="1"/>
  <c r="B24" i="7" a="1"/>
  <c r="I33" i="7" a="1"/>
  <c r="I13" i="7" a="1"/>
  <c r="B33" i="7" a="1"/>
  <c r="I49" i="7" a="1"/>
  <c r="F28" i="7" a="1"/>
  <c r="E34" i="7" a="1"/>
  <c r="D43" i="7" a="1"/>
  <c r="C48" i="7" a="1"/>
  <c r="F24" i="7" a="1"/>
  <c r="H44" i="7" a="1"/>
  <c r="H50" i="7" a="1"/>
  <c r="E37" i="7" a="1"/>
  <c r="I47" i="7" a="1"/>
  <c r="B43" i="7" a="1"/>
  <c r="D34" i="7" a="1"/>
  <c r="F29" i="7" a="1"/>
  <c r="C34" i="7" a="1"/>
  <c r="F44" i="7" a="1"/>
  <c r="H47" i="7" a="1"/>
  <c r="D32" i="7" a="1"/>
  <c r="E27" i="7" a="1"/>
  <c r="H29" i="7" a="1"/>
  <c r="B20" i="7" a="1"/>
  <c r="F30" i="7" a="1"/>
  <c r="D30" i="7" a="1"/>
  <c r="D21" i="7" a="1"/>
  <c r="D25" i="7" a="1"/>
  <c r="I11" i="7" a="1"/>
  <c r="C26" i="7" a="1"/>
  <c r="F22" i="7" a="1"/>
  <c r="F42" i="7" a="1"/>
  <c r="D12" i="7" a="1"/>
  <c r="F39" i="7" a="1"/>
  <c r="C28" i="7" a="1"/>
  <c r="C37" i="7" a="1"/>
  <c r="C30" i="7" a="1"/>
  <c r="B42" i="7" a="1"/>
  <c r="C23" i="7" a="1"/>
  <c r="H37" i="7" a="1"/>
  <c r="E41" i="7" a="1"/>
  <c r="E42" i="7" a="1"/>
  <c r="C27" i="7" a="1"/>
  <c r="I12" i="7" a="1"/>
  <c r="D35" i="7" a="1"/>
  <c r="E17" i="7" a="1"/>
  <c r="F43" i="7" a="1"/>
  <c r="I44" i="7" a="1"/>
  <c r="B28" i="7" a="1"/>
  <c r="C21" i="7" a="1"/>
  <c r="B30" i="7" a="1"/>
  <c r="F49" i="7" a="1"/>
  <c r="E50" i="7" a="1"/>
  <c r="D48" i="7" a="1"/>
  <c r="F40" i="7" a="1"/>
  <c r="H24" i="7" a="1"/>
  <c r="D19" i="7" a="1"/>
  <c r="H25" i="7" a="1"/>
  <c r="C29" i="7" a="1"/>
  <c r="E25" i="7" a="1"/>
  <c r="C46" i="7" a="1"/>
  <c r="F50" i="7" a="1"/>
  <c r="B44" i="7" a="1"/>
  <c r="F19" i="7" a="1"/>
  <c r="H46" i="7" a="1"/>
  <c r="D40" i="7" a="1"/>
  <c r="H40" i="7" a="1"/>
  <c r="C33" i="7" a="1"/>
  <c r="E33" i="7" a="1"/>
  <c r="I46" i="7" a="1"/>
  <c r="I16" i="7" a="1"/>
  <c r="I26" i="7" a="1"/>
  <c r="I36" i="7" a="1"/>
  <c r="B23" i="7" a="1"/>
  <c r="H26" i="7" a="1"/>
  <c r="C19" i="7" a="1"/>
  <c r="H28" i="7" a="1"/>
  <c r="F48" i="7" a="1"/>
  <c r="D18" i="7" a="1"/>
  <c r="E19" i="7" a="1"/>
  <c r="H33" i="7" a="1"/>
  <c r="I38" i="7" a="1"/>
  <c r="F35" i="7" a="1"/>
  <c r="H31" i="7" a="1"/>
  <c r="D27" i="7" a="1"/>
  <c r="I50" i="7" a="1"/>
  <c r="F38" i="7" a="1"/>
  <c r="D26" i="7" a="1"/>
  <c r="B39" i="7" a="1"/>
  <c r="E39" i="7" a="1"/>
  <c r="C20" i="7" a="1"/>
  <c r="H32" i="7" a="1"/>
  <c r="E31" i="7" a="1"/>
  <c r="B26" i="7" a="1"/>
  <c r="I17" i="7" a="1"/>
  <c r="I37" i="7" a="1"/>
  <c r="I15" i="7" a="1"/>
  <c r="C39" i="7" a="1"/>
  <c r="C38" i="7" a="1"/>
  <c r="B29" i="7" a="1"/>
  <c r="F17" i="7" a="1"/>
  <c r="H23" i="7" a="1"/>
  <c r="C50" i="7" a="1"/>
  <c r="F41" i="7" a="1"/>
  <c r="F45" i="7" a="1"/>
  <c r="C36" i="7" a="1"/>
  <c r="B19" i="7" a="1"/>
  <c r="D17" i="7" a="1"/>
  <c r="I23" i="7" a="1"/>
  <c r="H20" i="7" a="1"/>
  <c r="F18" i="7" a="1"/>
  <c r="D46" i="7" a="1"/>
  <c r="I21" i="7" a="1"/>
  <c r="C42" i="7" a="1"/>
  <c r="C17" i="7" a="1"/>
  <c r="B22" i="7" a="1"/>
  <c r="B27" i="7" a="1"/>
  <c r="C32" i="7" a="1"/>
  <c r="H39" i="7" a="1"/>
  <c r="D20" i="7" a="1"/>
  <c r="B48" i="7" a="1"/>
  <c r="E28" i="7" a="1"/>
  <c r="I41" i="7" a="1"/>
  <c r="I24" i="7" a="1"/>
  <c r="B40" i="7" a="1"/>
  <c r="E40" i="7" a="1"/>
  <c r="B21" i="7" a="1"/>
  <c r="C49" i="7" a="1"/>
  <c r="C47" i="7" a="1"/>
  <c r="B36" i="7" a="1"/>
  <c r="E21" i="7" a="1"/>
  <c r="E38" i="7" a="1"/>
  <c r="D28" i="7" a="1"/>
  <c r="E36" i="7" a="1"/>
  <c r="D50" i="7" a="1"/>
  <c r="I34" i="7" a="1"/>
  <c r="E24" i="7" a="1"/>
  <c r="E22" i="7" a="1"/>
  <c r="H45" i="7" a="1"/>
  <c r="H19" i="7" a="1"/>
  <c r="D39" i="7" a="1"/>
  <c r="E26" i="7" a="1"/>
  <c r="F26" i="7" a="1"/>
  <c r="E18" i="7" a="1"/>
  <c r="D49" i="7" a="1"/>
  <c r="C22" i="7" a="1"/>
  <c r="E46" i="7" a="1"/>
  <c r="D36" i="7" a="1"/>
  <c r="H30" i="7" a="1"/>
  <c r="C18" i="7" a="1"/>
  <c r="F21" i="7" a="1"/>
  <c r="C45" i="7" a="1"/>
  <c r="E20" i="7" a="1"/>
  <c r="I28" i="7" a="1"/>
  <c r="F33" i="7" a="1"/>
  <c r="B35" i="7" a="1"/>
  <c r="H17" i="7" a="1"/>
  <c r="I27" i="7" a="1"/>
  <c r="H48" i="7" a="1"/>
  <c r="H27" i="7" a="1"/>
  <c r="B46" i="7" a="1"/>
  <c r="D23" i="7" a="1"/>
  <c r="F23" i="7" a="1"/>
  <c r="D38" i="7" a="1"/>
  <c r="D41" i="7" a="1"/>
  <c r="B18" i="7" a="1"/>
  <c r="E35" i="7" a="1"/>
  <c r="E30" i="7" a="1"/>
  <c r="E48" i="7" a="1"/>
  <c r="B47" i="7" a="1"/>
  <c r="D29" i="7" a="1"/>
  <c r="H36" i="7" a="1"/>
  <c r="I14" i="7" a="1"/>
  <c r="D33" i="7" a="1"/>
  <c r="B17" i="7" a="1"/>
  <c r="F31" i="7" a="1"/>
  <c r="C24" i="7" a="1"/>
  <c r="F46" i="7" a="1"/>
  <c r="C40" i="7" a="1"/>
  <c r="B50" i="7" a="1"/>
  <c r="D42" i="7" a="1"/>
  <c r="H43" i="7" a="1"/>
  <c r="H38" i="7" a="1"/>
  <c r="F32" i="7" a="1"/>
  <c r="B32" i="7" a="1"/>
  <c r="E23" i="7" a="1"/>
  <c r="H40" i="7" l="1"/>
  <c r="G194" i="7"/>
  <c r="G122" i="7"/>
  <c r="G225" i="7"/>
  <c r="G41" i="7"/>
  <c r="I20" i="7"/>
  <c r="D46" i="7"/>
  <c r="F33" i="7"/>
  <c r="G40" i="7"/>
  <c r="H31" i="7"/>
  <c r="C32" i="7"/>
  <c r="F28" i="7"/>
  <c r="I18" i="7"/>
  <c r="G76" i="7"/>
  <c r="C39" i="7"/>
  <c r="G196" i="7"/>
  <c r="G258" i="7"/>
  <c r="G178" i="7"/>
  <c r="G48" i="7"/>
  <c r="I45" i="7"/>
  <c r="G260" i="7"/>
  <c r="G167" i="7"/>
  <c r="G276" i="7"/>
  <c r="H20" i="7"/>
  <c r="G125" i="7"/>
  <c r="G53" i="7"/>
  <c r="I15" i="7"/>
  <c r="D31" i="7"/>
  <c r="G149" i="7"/>
  <c r="G5" i="7"/>
  <c r="G113" i="7"/>
  <c r="H33" i="7"/>
  <c r="B30" i="7"/>
  <c r="D42" i="7"/>
  <c r="G251" i="7"/>
  <c r="C43" i="7"/>
  <c r="I22" i="7"/>
  <c r="H24" i="7"/>
  <c r="F27" i="7"/>
  <c r="H23" i="7"/>
  <c r="G67" i="7"/>
  <c r="I13" i="7"/>
  <c r="G54" i="7"/>
  <c r="G147" i="7"/>
  <c r="G212" i="7"/>
  <c r="B39" i="7"/>
  <c r="D25" i="7"/>
  <c r="G56" i="7"/>
  <c r="E38" i="7"/>
  <c r="F47" i="7"/>
  <c r="C35" i="7"/>
  <c r="H42" i="7"/>
  <c r="I14" i="7"/>
  <c r="G27" i="7"/>
  <c r="G182" i="7"/>
  <c r="G29" i="7"/>
  <c r="G37" i="7"/>
  <c r="I12" i="7"/>
  <c r="I19" i="7"/>
  <c r="C38" i="7"/>
  <c r="E50" i="7"/>
  <c r="G95" i="7"/>
  <c r="G44" i="7"/>
  <c r="F40" i="7"/>
  <c r="G42" i="7"/>
  <c r="C36" i="7"/>
  <c r="G246" i="7"/>
  <c r="G98" i="7"/>
  <c r="G235" i="7"/>
  <c r="G154" i="7"/>
  <c r="G110" i="7"/>
  <c r="I30" i="7"/>
  <c r="I35" i="7"/>
  <c r="B31" i="7"/>
  <c r="G47" i="7"/>
  <c r="F50" i="7"/>
  <c r="G231" i="7"/>
  <c r="G274" i="7"/>
  <c r="G24" i="7"/>
  <c r="F30" i="7"/>
  <c r="C29" i="7"/>
  <c r="G252" i="7"/>
  <c r="C47" i="7"/>
  <c r="H45" i="7"/>
  <c r="G142" i="7"/>
  <c r="B29" i="7"/>
  <c r="D43" i="7"/>
  <c r="H21" i="7"/>
  <c r="C22" i="7"/>
  <c r="F19" i="7"/>
  <c r="G132" i="7"/>
  <c r="I38" i="7"/>
  <c r="I16" i="7"/>
  <c r="G216" i="7"/>
  <c r="I41" i="7"/>
  <c r="G174" i="7"/>
  <c r="F25" i="7"/>
  <c r="G238" i="7"/>
  <c r="C31" i="7"/>
  <c r="G247" i="7"/>
  <c r="G118" i="7"/>
  <c r="D32" i="7"/>
  <c r="F39" i="7"/>
  <c r="B35" i="7"/>
  <c r="C49" i="7"/>
  <c r="G82" i="7"/>
  <c r="G21" i="7"/>
  <c r="G136" i="7"/>
  <c r="D29" i="7"/>
  <c r="G119" i="7"/>
  <c r="E39" i="7"/>
  <c r="G30" i="7"/>
  <c r="G88" i="7"/>
  <c r="H44" i="7"/>
  <c r="G295" i="7"/>
  <c r="G236" i="7"/>
  <c r="G158" i="7"/>
  <c r="B44" i="7"/>
  <c r="G103" i="7"/>
  <c r="E36" i="7"/>
  <c r="G91" i="7"/>
  <c r="D17" i="7"/>
  <c r="B20" i="7"/>
  <c r="I21" i="7"/>
  <c r="F46" i="7"/>
  <c r="G35" i="7"/>
  <c r="G25" i="7"/>
  <c r="G176" i="7"/>
  <c r="G218" i="7"/>
  <c r="D36" i="7"/>
  <c r="G277" i="7"/>
  <c r="G121" i="7"/>
  <c r="G285" i="7"/>
  <c r="G153" i="7"/>
  <c r="D12" i="7"/>
  <c r="E37" i="7"/>
  <c r="I44" i="7"/>
  <c r="G275" i="7"/>
  <c r="G81" i="7"/>
  <c r="F44" i="7"/>
  <c r="G150" i="7"/>
  <c r="G85" i="7"/>
  <c r="C41" i="7"/>
  <c r="G265" i="7"/>
  <c r="G279" i="7"/>
  <c r="C30" i="7"/>
  <c r="G220" i="7"/>
  <c r="G32" i="7"/>
  <c r="G290" i="7"/>
  <c r="H36" i="7"/>
  <c r="G77" i="7"/>
  <c r="G172" i="7"/>
  <c r="G111" i="7"/>
  <c r="D38" i="7"/>
  <c r="G242" i="7"/>
  <c r="G256" i="7"/>
  <c r="E43" i="7"/>
  <c r="H22" i="7"/>
  <c r="E47" i="7"/>
  <c r="D18" i="7"/>
  <c r="B25" i="7"/>
  <c r="G199" i="7"/>
  <c r="G163" i="7"/>
  <c r="E22" i="7"/>
  <c r="C42" i="7"/>
  <c r="G234" i="7"/>
  <c r="F22" i="7"/>
  <c r="G202" i="7"/>
  <c r="G239" i="7"/>
  <c r="G72" i="7"/>
  <c r="G162" i="7"/>
  <c r="G209" i="7"/>
  <c r="I24" i="7"/>
  <c r="G4" i="7"/>
  <c r="E29" i="7"/>
  <c r="C48" i="7"/>
  <c r="G74" i="7"/>
  <c r="I36" i="7"/>
  <c r="G66" i="7"/>
  <c r="G232" i="7"/>
  <c r="G6" i="7"/>
  <c r="D40" i="7"/>
  <c r="E31" i="7"/>
  <c r="I11" i="7"/>
  <c r="G188" i="7"/>
  <c r="G300" i="7"/>
  <c r="G86" i="7"/>
  <c r="G228" i="7"/>
  <c r="G267" i="7"/>
  <c r="E28" i="7"/>
  <c r="G240" i="7"/>
  <c r="G151" i="7"/>
  <c r="G296" i="7"/>
  <c r="F37" i="7"/>
  <c r="I49" i="7"/>
  <c r="B42" i="7"/>
  <c r="G254" i="7"/>
  <c r="B32" i="7"/>
  <c r="G183" i="7"/>
  <c r="E35" i="7"/>
  <c r="G280" i="7"/>
  <c r="G185" i="7"/>
  <c r="G171" i="7"/>
  <c r="G2" i="7"/>
  <c r="E26" i="7"/>
  <c r="D30" i="7"/>
  <c r="G257" i="7"/>
  <c r="G270" i="7"/>
  <c r="G115" i="7"/>
  <c r="I48" i="7"/>
  <c r="H47" i="7"/>
  <c r="G159" i="7"/>
  <c r="F21" i="7"/>
  <c r="G130" i="7"/>
  <c r="D33" i="7"/>
  <c r="I29" i="7"/>
  <c r="G55" i="7"/>
  <c r="H34" i="7"/>
  <c r="I46" i="7"/>
  <c r="B47" i="7"/>
  <c r="E42" i="7"/>
  <c r="G292" i="7"/>
  <c r="G164" i="7"/>
  <c r="G22" i="7"/>
  <c r="B23" i="7"/>
  <c r="G46" i="7"/>
  <c r="E33" i="7"/>
  <c r="F31" i="7"/>
  <c r="G108" i="7"/>
  <c r="G45" i="7"/>
  <c r="G272" i="7"/>
  <c r="G131" i="7"/>
  <c r="G78" i="7"/>
  <c r="B45" i="7"/>
  <c r="F24" i="7"/>
  <c r="G3" i="7"/>
  <c r="H50" i="7"/>
  <c r="G294" i="7"/>
  <c r="B37" i="7"/>
  <c r="E48" i="7"/>
  <c r="B38" i="7"/>
  <c r="B46" i="7"/>
  <c r="I33" i="7"/>
  <c r="B40" i="7"/>
  <c r="G63" i="7"/>
  <c r="B28" i="7"/>
  <c r="G58" i="7"/>
  <c r="E41" i="7"/>
  <c r="G61" i="7"/>
  <c r="G166" i="7"/>
  <c r="G33" i="7"/>
  <c r="G169" i="7"/>
  <c r="G60" i="7"/>
  <c r="G109" i="7"/>
  <c r="G245" i="7"/>
  <c r="I34" i="7"/>
  <c r="G68" i="7"/>
  <c r="B48" i="7"/>
  <c r="G180" i="7"/>
  <c r="D26" i="7"/>
  <c r="G268" i="7"/>
  <c r="G186" i="7"/>
  <c r="G226" i="7"/>
  <c r="G250" i="7"/>
  <c r="F20" i="7"/>
  <c r="I27" i="7"/>
  <c r="D22" i="7"/>
  <c r="I28" i="7"/>
  <c r="I42" i="7"/>
  <c r="G51" i="7"/>
  <c r="D24" i="7"/>
  <c r="G100" i="7"/>
  <c r="G168" i="7"/>
  <c r="G261" i="7"/>
  <c r="G223" i="7"/>
  <c r="C23" i="7"/>
  <c r="G152" i="7"/>
  <c r="H19" i="7"/>
  <c r="G284" i="7"/>
  <c r="F35" i="7"/>
  <c r="G65" i="7"/>
  <c r="B22" i="7"/>
  <c r="E32" i="7"/>
  <c r="G106" i="7"/>
  <c r="H17" i="7"/>
  <c r="F38" i="7"/>
  <c r="G123" i="7"/>
  <c r="I32" i="7"/>
  <c r="F17" i="7"/>
  <c r="G215" i="7"/>
  <c r="G181" i="7"/>
  <c r="G144" i="7"/>
  <c r="G165" i="7"/>
  <c r="G208" i="7"/>
  <c r="H32" i="7"/>
  <c r="B24" i="7"/>
  <c r="G201" i="7"/>
  <c r="G92" i="7"/>
  <c r="G143" i="7"/>
  <c r="E40" i="7"/>
  <c r="D41" i="7"/>
  <c r="G177" i="7"/>
  <c r="G189" i="7"/>
  <c r="G39" i="7"/>
  <c r="G69" i="7"/>
  <c r="F26" i="7"/>
  <c r="G233" i="7"/>
  <c r="G49" i="7"/>
  <c r="I25" i="7"/>
  <c r="G200" i="7"/>
  <c r="H29" i="7"/>
  <c r="G97" i="7"/>
  <c r="G205" i="7"/>
  <c r="G124" i="7"/>
  <c r="I40" i="7"/>
  <c r="D44" i="7"/>
  <c r="C34" i="7"/>
  <c r="H35" i="7"/>
  <c r="G207" i="7"/>
  <c r="D19" i="7"/>
  <c r="B27" i="7"/>
  <c r="G104" i="7"/>
  <c r="G229" i="7"/>
  <c r="G31" i="7"/>
  <c r="G190" i="7"/>
  <c r="B41" i="7"/>
  <c r="D28" i="7"/>
  <c r="G7" i="7"/>
  <c r="G259" i="7"/>
  <c r="G214" i="7"/>
  <c r="F36" i="7"/>
  <c r="I39" i="7"/>
  <c r="G297" i="7"/>
  <c r="B49" i="7"/>
  <c r="G299" i="7"/>
  <c r="I47" i="7"/>
  <c r="G211" i="7"/>
  <c r="B18" i="7"/>
  <c r="C44" i="7"/>
  <c r="G243" i="7"/>
  <c r="H43" i="7"/>
  <c r="G213" i="7"/>
  <c r="G34" i="7"/>
  <c r="G62" i="7"/>
  <c r="G75" i="7"/>
  <c r="G90" i="7"/>
  <c r="E17" i="7"/>
  <c r="B34" i="7"/>
  <c r="G18" i="7"/>
  <c r="G105" i="7"/>
  <c r="F23" i="7"/>
  <c r="D23" i="7"/>
  <c r="D39" i="7"/>
  <c r="G195" i="7"/>
  <c r="H48" i="7"/>
  <c r="G73" i="7"/>
  <c r="C21" i="7"/>
  <c r="G187" i="7"/>
  <c r="E24" i="7"/>
  <c r="G198" i="7"/>
  <c r="I17" i="7"/>
  <c r="F42" i="7"/>
  <c r="E25" i="7"/>
  <c r="H46" i="7"/>
  <c r="E34" i="7"/>
  <c r="G160" i="7"/>
  <c r="G219" i="7"/>
  <c r="G59" i="7"/>
  <c r="G112" i="7"/>
  <c r="C33" i="7"/>
  <c r="G64" i="7"/>
  <c r="G79" i="7"/>
  <c r="B26" i="7"/>
  <c r="I43" i="7"/>
  <c r="G204" i="7"/>
  <c r="E23" i="7"/>
  <c r="G80" i="7"/>
  <c r="B36" i="7"/>
  <c r="G134" i="7"/>
  <c r="G197" i="7"/>
  <c r="G221" i="7"/>
  <c r="G50" i="7"/>
  <c r="G273" i="7"/>
  <c r="G271" i="7"/>
  <c r="E30" i="7"/>
  <c r="H30" i="7"/>
  <c r="C17" i="7"/>
  <c r="G87" i="7"/>
  <c r="G139" i="7"/>
  <c r="G155" i="7"/>
  <c r="F41" i="7"/>
  <c r="F43" i="7"/>
  <c r="I26" i="7"/>
  <c r="D45" i="7"/>
  <c r="H27" i="7"/>
  <c r="D37" i="7"/>
  <c r="G237" i="7"/>
  <c r="D48" i="7"/>
  <c r="E18" i="7"/>
  <c r="G140" i="7"/>
  <c r="B33" i="7"/>
  <c r="G282" i="7"/>
  <c r="G102" i="7"/>
  <c r="C20" i="7"/>
  <c r="C27" i="7"/>
  <c r="G141" i="7"/>
  <c r="G281" i="7"/>
  <c r="D21" i="7"/>
  <c r="G263" i="7"/>
  <c r="G179" i="7"/>
  <c r="D20" i="7"/>
  <c r="H41" i="7"/>
  <c r="G120" i="7"/>
  <c r="G161" i="7"/>
  <c r="C50" i="7"/>
  <c r="G28" i="7"/>
  <c r="G107" i="7"/>
  <c r="I50" i="7"/>
  <c r="B43" i="7"/>
  <c r="F49" i="7"/>
  <c r="H37" i="7"/>
  <c r="G248" i="7"/>
  <c r="G230" i="7"/>
  <c r="H49" i="7"/>
  <c r="G222" i="7"/>
  <c r="D50" i="7"/>
  <c r="G291" i="7"/>
  <c r="I37" i="7"/>
  <c r="G255" i="7"/>
  <c r="F45" i="7"/>
  <c r="G101" i="7"/>
  <c r="H39" i="7"/>
  <c r="G206" i="7"/>
  <c r="I31" i="7"/>
  <c r="G99" i="7"/>
  <c r="B19" i="7"/>
  <c r="H26" i="7"/>
  <c r="D35" i="7"/>
  <c r="E44" i="7"/>
  <c r="G191" i="7"/>
  <c r="G83" i="7"/>
  <c r="F48" i="7"/>
  <c r="G126" i="7"/>
  <c r="G249" i="7"/>
  <c r="G241" i="7"/>
  <c r="D27" i="7"/>
  <c r="G227" i="7"/>
  <c r="G203" i="7"/>
  <c r="H18" i="7"/>
  <c r="G224" i="7"/>
  <c r="G287" i="7"/>
  <c r="G96" i="7"/>
  <c r="C40" i="7"/>
  <c r="C37" i="7"/>
  <c r="E27" i="7"/>
  <c r="G145" i="7"/>
  <c r="G26" i="7"/>
  <c r="G262" i="7"/>
  <c r="E19" i="7"/>
  <c r="G137" i="7"/>
  <c r="C28" i="7"/>
  <c r="E45" i="7"/>
  <c r="C19" i="7"/>
  <c r="G146" i="7"/>
  <c r="C26" i="7"/>
  <c r="G84" i="7"/>
  <c r="C18" i="7"/>
  <c r="G127" i="7"/>
  <c r="G298" i="7"/>
  <c r="G173" i="7"/>
  <c r="D49" i="7"/>
  <c r="G70" i="7"/>
  <c r="G193" i="7"/>
  <c r="E20" i="7"/>
  <c r="G93" i="7"/>
  <c r="G23" i="7"/>
  <c r="G128" i="7"/>
  <c r="C24" i="7"/>
  <c r="F32" i="7"/>
  <c r="G20" i="7"/>
  <c r="G244" i="7"/>
  <c r="H38" i="7"/>
  <c r="G71" i="7"/>
  <c r="E46" i="7"/>
  <c r="G253" i="7"/>
  <c r="G184" i="7"/>
  <c r="G8" i="7"/>
  <c r="B17" i="7"/>
  <c r="G43" i="7"/>
  <c r="D47" i="7"/>
  <c r="G89" i="7"/>
  <c r="G133" i="7"/>
  <c r="F34" i="7"/>
  <c r="C45" i="7"/>
  <c r="G57" i="7"/>
  <c r="G94" i="7"/>
  <c r="G278" i="7"/>
  <c r="G170" i="7"/>
  <c r="H28" i="7"/>
  <c r="G117" i="7"/>
  <c r="F29" i="7"/>
  <c r="G19" i="7"/>
  <c r="G52" i="7"/>
  <c r="F18" i="7"/>
  <c r="G286" i="7"/>
  <c r="G138" i="7"/>
  <c r="G129" i="7"/>
  <c r="G36" i="7"/>
  <c r="B21" i="7"/>
  <c r="E49" i="7"/>
  <c r="G293" i="7"/>
  <c r="G269" i="7"/>
  <c r="C46" i="7"/>
  <c r="G289" i="7"/>
  <c r="G38" i="7"/>
  <c r="G148" i="7"/>
  <c r="E21" i="7"/>
  <c r="G288" i="7"/>
  <c r="G175" i="7"/>
  <c r="G217" i="7"/>
  <c r="B50" i="7"/>
  <c r="G17" i="7"/>
  <c r="I23" i="7"/>
  <c r="C25" i="7"/>
  <c r="D34" i="7"/>
  <c r="G157" i="7"/>
  <c r="G283" i="7"/>
  <c r="G135" i="7"/>
  <c r="H25" i="7"/>
  <c r="G210" i="7"/>
  <c r="G116" i="7"/>
  <c r="G264" i="7"/>
  <c r="G192" i="7"/>
  <c r="G114" i="7"/>
  <c r="G266" i="7"/>
  <c r="G156" i="7"/>
  <c r="C52" i="7" a="1"/>
  <c r="B52" i="7" a="1"/>
  <c r="D52" i="7" a="1"/>
  <c r="D51" i="7" a="1"/>
  <c r="C51" i="7" a="1"/>
  <c r="B51" i="7" a="1"/>
  <c r="D52" i="7" l="1"/>
  <c r="B51" i="7"/>
  <c r="D51" i="7"/>
  <c r="C51" i="7"/>
  <c r="B52" i="7"/>
  <c r="C52" i="7"/>
  <c r="B65" i="7" a="1"/>
  <c r="B65" i="7" l="1"/>
  <c r="I208" i="7" l="1" a="1"/>
  <c r="I60" i="7" a="1"/>
  <c r="E117" i="7" a="1"/>
  <c r="F59" i="7" a="1"/>
  <c r="C300" i="7" a="1"/>
  <c r="D277" i="7" a="1"/>
  <c r="D278" i="7" a="1"/>
  <c r="F53" i="7" a="1"/>
  <c r="H55" i="7" a="1"/>
  <c r="F83" i="7" a="1"/>
  <c r="F282" i="7" a="1"/>
  <c r="F213" i="7" a="1"/>
  <c r="C129" i="7" a="1"/>
  <c r="D272" i="7" a="1"/>
  <c r="I288" i="7" a="1"/>
  <c r="F222" i="7" a="1"/>
  <c r="C158" i="7" a="1"/>
  <c r="B126" i="7" a="1"/>
  <c r="F101" i="7" a="1"/>
  <c r="D263" i="7" a="1"/>
  <c r="C71" i="7" a="1"/>
  <c r="C61" i="7" a="1"/>
  <c r="E261" i="7" a="1"/>
  <c r="F238" i="7" a="1"/>
  <c r="H193" i="7" a="1"/>
  <c r="C131" i="7" a="1"/>
  <c r="E281" i="7" a="1"/>
  <c r="H109" i="7" a="1"/>
  <c r="F204" i="7" a="1"/>
  <c r="E239" i="7" a="1"/>
  <c r="I220" i="7" a="1"/>
  <c r="B131" i="7" a="1"/>
  <c r="D62" i="7" a="1"/>
  <c r="F163" i="7" a="1"/>
  <c r="H282" i="7" a="1"/>
  <c r="I295" i="7" a="1"/>
  <c r="B176" i="7" a="1"/>
  <c r="I297" i="7" a="1"/>
  <c r="B6" i="7" a="1"/>
  <c r="D198" i="7" a="1"/>
  <c r="C236" i="7" a="1"/>
  <c r="F250" i="7" a="1"/>
  <c r="F79" i="7" a="1"/>
  <c r="B186" i="7" a="1"/>
  <c r="I258" i="7" a="1"/>
  <c r="B211" i="7" a="1"/>
  <c r="D71" i="7" a="1"/>
  <c r="C160" i="7" a="1"/>
  <c r="E298" i="7" a="1"/>
  <c r="D4" i="7" a="1"/>
  <c r="E272" i="7" a="1"/>
  <c r="D92" i="7" a="1"/>
  <c r="D189" i="7" a="1"/>
  <c r="B279" i="7" a="1"/>
  <c r="H238" i="7" a="1"/>
  <c r="H242" i="7" a="1"/>
  <c r="D261" i="7" a="1"/>
  <c r="F254" i="7" a="1"/>
  <c r="H187" i="7" a="1"/>
  <c r="F134" i="7" a="1"/>
  <c r="C109" i="7" a="1"/>
  <c r="E83" i="7" a="1"/>
  <c r="E154" i="7" a="1"/>
  <c r="I107" i="7" a="1"/>
  <c r="E84" i="7" a="1"/>
  <c r="E185" i="7" a="1"/>
  <c r="C168" i="7" a="1"/>
  <c r="I133" i="7" a="1"/>
  <c r="I143" i="7" a="1"/>
  <c r="E153" i="7" a="1"/>
  <c r="I289" i="7" a="1"/>
  <c r="I89" i="7" a="1"/>
  <c r="C102" i="7" a="1"/>
  <c r="D104" i="7" a="1"/>
  <c r="D143" i="7" a="1"/>
  <c r="H198" i="7" a="1"/>
  <c r="D214" i="7" a="1"/>
  <c r="C221" i="7" a="1"/>
  <c r="B233" i="7" a="1"/>
  <c r="E211" i="7" a="1"/>
  <c r="I62" i="7" a="1"/>
  <c r="E176" i="7" a="1"/>
  <c r="D72" i="7" a="1"/>
  <c r="C181" i="7" a="1"/>
  <c r="I267" i="7" a="1"/>
  <c r="B299" i="7" a="1"/>
  <c r="D156" i="7" a="1"/>
  <c r="C113" i="7" a="1"/>
  <c r="E186" i="7" a="1"/>
  <c r="C187" i="7" a="1"/>
  <c r="F249" i="7" a="1"/>
  <c r="E136" i="7" a="1"/>
  <c r="B231" i="7" a="1"/>
  <c r="D253" i="7" a="1"/>
  <c r="I266" i="7" a="1"/>
  <c r="D84" i="7" a="1"/>
  <c r="I274" i="7" a="1"/>
  <c r="F286" i="7" a="1"/>
  <c r="H2" i="7" a="1"/>
  <c r="D213" i="7" a="1"/>
  <c r="I169" i="7" a="1"/>
  <c r="E213" i="7" a="1"/>
  <c r="I209" i="7" a="1"/>
  <c r="C216" i="7" a="1"/>
  <c r="B116" i="7" a="1"/>
  <c r="F86" i="7" a="1"/>
  <c r="H137" i="7" a="1"/>
  <c r="C229" i="7" a="1"/>
  <c r="D203" i="7" a="1"/>
  <c r="I183" i="7" a="1"/>
  <c r="E246" i="7" a="1"/>
  <c r="E133" i="7" a="1"/>
  <c r="H175" i="7" a="1"/>
  <c r="I72" i="7" a="1"/>
  <c r="C67" i="7" a="1"/>
  <c r="D217" i="7" a="1"/>
  <c r="B67" i="7" a="1"/>
  <c r="H95" i="7" a="1"/>
  <c r="F190" i="7" a="1"/>
  <c r="B243" i="7" a="1"/>
  <c r="D160" i="7" a="1"/>
  <c r="B123" i="7" a="1"/>
  <c r="E212" i="7" a="1"/>
  <c r="B234" i="7" a="1"/>
  <c r="F63" i="7" a="1"/>
  <c r="H51" i="7" a="1"/>
  <c r="D229" i="7" a="1"/>
  <c r="D2" i="7" a="1"/>
  <c r="H253" i="7" a="1"/>
  <c r="B170" i="7" a="1"/>
  <c r="I246" i="7" a="1"/>
  <c r="B103" i="7" a="1"/>
  <c r="H227" i="7" a="1"/>
  <c r="D163" i="7" a="1"/>
  <c r="B221" i="7" a="1"/>
  <c r="C284" i="7" a="1"/>
  <c r="C97" i="7" a="1"/>
  <c r="E54" i="7" a="1"/>
  <c r="D208" i="7" a="1"/>
  <c r="B63" i="7" a="1"/>
  <c r="B55" i="7" a="1"/>
  <c r="D289" i="7" a="1"/>
  <c r="D64" i="7" a="1"/>
  <c r="I135" i="7" a="1"/>
  <c r="C240" i="7" a="1"/>
  <c r="H228" i="7" a="1"/>
  <c r="E60" i="7" a="1"/>
  <c r="C292" i="7" a="1"/>
  <c r="E238" i="7" a="1"/>
  <c r="H78" i="7" a="1"/>
  <c r="C130" i="7" a="1"/>
  <c r="C6" i="7" a="1"/>
  <c r="H82" i="7" a="1"/>
  <c r="F251" i="7" a="1"/>
  <c r="I82" i="7" a="1"/>
  <c r="D238" i="7" a="1"/>
  <c r="E251" i="7" a="1"/>
  <c r="F74" i="7" a="1"/>
  <c r="C186" i="7" a="1"/>
  <c r="E266" i="7" a="1"/>
  <c r="I293" i="7" a="1"/>
  <c r="B175" i="7" a="1"/>
  <c r="B110" i="7" a="1"/>
  <c r="E284" i="7" a="1"/>
  <c r="H120" i="7" a="1"/>
  <c r="C246" i="7" a="1"/>
  <c r="D173" i="7" a="1"/>
  <c r="C269" i="7" a="1"/>
  <c r="B97" i="7" a="1"/>
  <c r="H56" i="7" a="1"/>
  <c r="H89" i="7" a="1"/>
  <c r="B288" i="7" a="1"/>
  <c r="D170" i="7" a="1"/>
  <c r="F189" i="7" a="1"/>
  <c r="I94" i="7" a="1"/>
  <c r="I247" i="7" a="1"/>
  <c r="I281" i="7" a="1"/>
  <c r="H195" i="7" a="1"/>
  <c r="B124" i="7" a="1"/>
  <c r="D286" i="7" a="1"/>
  <c r="I216" i="7" a="1"/>
  <c r="C210" i="7" a="1"/>
  <c r="B95" i="7" a="1"/>
  <c r="C107" i="7" a="1"/>
  <c r="B87" i="7" a="1"/>
  <c r="I138" i="7" a="1"/>
  <c r="C157" i="7" a="1"/>
  <c r="F234" i="7" a="1"/>
  <c r="I196" i="7" a="1"/>
  <c r="D94" i="7" a="1"/>
  <c r="I176" i="7" a="1"/>
  <c r="E269" i="7" a="1"/>
  <c r="D268" i="7" a="1"/>
  <c r="E119" i="7" a="1"/>
  <c r="E292" i="7" a="1"/>
  <c r="C212" i="7" a="1"/>
  <c r="E166" i="7" a="1"/>
  <c r="B147" i="7" a="1"/>
  <c r="E156" i="7" a="1"/>
  <c r="I188" i="7" a="1"/>
  <c r="F166" i="7" a="1"/>
  <c r="D147" i="7" a="1"/>
  <c r="D61" i="7" a="1"/>
  <c r="I52" i="7" a="1"/>
  <c r="D161" i="7" a="1"/>
  <c r="F62" i="7" a="1"/>
  <c r="E66" i="7" a="1"/>
  <c r="B166" i="7" a="1"/>
  <c r="I139" i="7" a="1"/>
  <c r="B190" i="7" a="1"/>
  <c r="E270" i="7" a="1"/>
  <c r="C132" i="7" a="1"/>
  <c r="C75" i="7" a="1"/>
  <c r="F114" i="7" a="1"/>
  <c r="F157" i="7" a="1"/>
  <c r="E206" i="7" a="1"/>
  <c r="B58" i="7" a="1"/>
  <c r="I121" i="7" a="1"/>
  <c r="E90" i="7" a="1"/>
  <c r="I171" i="7" a="1"/>
  <c r="I225" i="7" a="1"/>
  <c r="D73" i="7" a="1"/>
  <c r="B81" i="7" a="1"/>
  <c r="D205" i="7" a="1"/>
  <c r="D135" i="7" a="1"/>
  <c r="F214" i="7" a="1"/>
  <c r="H158" i="7" a="1"/>
  <c r="I199" i="7" a="1"/>
  <c r="I299" i="7" a="1"/>
  <c r="D290" i="7" a="1"/>
  <c r="E98" i="7" a="1"/>
  <c r="F207" i="7" a="1"/>
  <c r="E241" i="7" a="1"/>
  <c r="F56" i="7" a="1"/>
  <c r="B220" i="7" a="1"/>
  <c r="I104" i="7" a="1"/>
  <c r="D298" i="7" a="1"/>
  <c r="I287" i="7" a="1"/>
  <c r="H174" i="7" a="1"/>
  <c r="D162" i="7" a="1"/>
  <c r="I92" i="7" a="1"/>
  <c r="B296" i="7" a="1"/>
  <c r="D168" i="7" a="1"/>
  <c r="F200" i="7" a="1"/>
  <c r="I153" i="7" a="1"/>
  <c r="B108" i="7" a="1"/>
  <c r="H57" i="7" a="1"/>
  <c r="H200" i="7" a="1"/>
  <c r="D293" i="7" a="1"/>
  <c r="H213" i="7" a="1"/>
  <c r="C208" i="7" a="1"/>
  <c r="H272" i="7" a="1"/>
  <c r="H92" i="7" a="1"/>
  <c r="H126" i="7" a="1"/>
  <c r="B298" i="7" a="1"/>
  <c r="I197" i="7" a="1"/>
  <c r="D233" i="7" a="1"/>
  <c r="I198" i="7" a="1"/>
  <c r="D197" i="7" a="1"/>
  <c r="F125" i="7" a="1"/>
  <c r="H251" i="7" a="1"/>
  <c r="B253" i="7" a="1"/>
  <c r="H66" i="7" a="1"/>
  <c r="H210" i="7" a="1"/>
  <c r="C60" i="7" a="1"/>
  <c r="B205" i="7" a="1"/>
  <c r="B285" i="7" a="1"/>
  <c r="H111" i="7" a="1"/>
  <c r="F248" i="7" a="1"/>
  <c r="H179" i="7" a="1"/>
  <c r="E198" i="7" a="1"/>
  <c r="B245" i="7" a="1"/>
  <c r="H297" i="7" a="1"/>
  <c r="H192" i="7" a="1"/>
  <c r="E158" i="7" a="1"/>
  <c r="E52" i="7" a="1"/>
  <c r="H155" i="7" a="1"/>
  <c r="I160" i="7" a="1"/>
  <c r="B181" i="7" a="1"/>
  <c r="C63" i="7" a="1"/>
  <c r="E81" i="7" a="1"/>
  <c r="H139" i="7" a="1"/>
  <c r="E207" i="7" a="1"/>
  <c r="F176" i="7" a="1"/>
  <c r="E235" i="7" a="1"/>
  <c r="F191" i="7" a="1"/>
  <c r="E140" i="7" a="1"/>
  <c r="D164" i="7" a="1"/>
  <c r="I103" i="7" a="1"/>
  <c r="E194" i="7" a="1"/>
  <c r="E184" i="7" a="1"/>
  <c r="E4" i="7" a="1"/>
  <c r="B76" i="7" a="1"/>
  <c r="B159" i="7" a="1"/>
  <c r="F80" i="7" a="1"/>
  <c r="C260" i="7" a="1"/>
  <c r="D120" i="7" a="1"/>
  <c r="C162" i="7" a="1"/>
  <c r="B171" i="7" a="1"/>
  <c r="I70" i="7" a="1"/>
  <c r="H102" i="7" a="1"/>
  <c r="H229" i="7" a="1"/>
  <c r="E97" i="7" a="1"/>
  <c r="E62" i="7" a="1"/>
  <c r="C159" i="7" a="1"/>
  <c r="B191" i="7" a="1"/>
  <c r="E268" i="7" a="1"/>
  <c r="H84" i="7" a="1"/>
  <c r="D123" i="7" a="1"/>
  <c r="H239" i="7" a="1"/>
  <c r="I159" i="7" a="1"/>
  <c r="H273" i="7" a="1"/>
  <c r="E135" i="7" a="1"/>
  <c r="D5" i="7" a="1"/>
  <c r="F228" i="7" a="1"/>
  <c r="E240" i="7" a="1"/>
  <c r="D216" i="7" a="1"/>
  <c r="B150" i="7" a="1"/>
  <c r="C85" i="7" a="1"/>
  <c r="B69" i="7" a="1"/>
  <c r="F197" i="7" a="1"/>
  <c r="C154" i="7" a="1"/>
  <c r="B201" i="7" a="1"/>
  <c r="I277" i="7" a="1"/>
  <c r="H186" i="7" a="1"/>
  <c r="C273" i="7" a="1"/>
  <c r="H294" i="7" a="1"/>
  <c r="C251" i="7" a="1"/>
  <c r="C142" i="7" a="1"/>
  <c r="C175" i="7" a="1"/>
  <c r="I162" i="7" a="1"/>
  <c r="H220" i="7" a="1"/>
  <c r="E163" i="7" a="1"/>
  <c r="H62" i="7" a="1"/>
  <c r="C289" i="7" a="1"/>
  <c r="F67" i="7" a="1"/>
  <c r="B137" i="7" a="1"/>
  <c r="D153" i="7" a="1"/>
  <c r="D7" i="7" a="1"/>
  <c r="H60" i="7" a="1"/>
  <c r="F274" i="7" a="1"/>
  <c r="I292" i="7" a="1"/>
  <c r="D177" i="7" a="1"/>
  <c r="D297" i="7" a="1"/>
  <c r="H270" i="7" a="1"/>
  <c r="E157" i="7" a="1"/>
  <c r="H156" i="7" a="1"/>
  <c r="B134" i="7" a="1"/>
  <c r="C170" i="7" a="1"/>
  <c r="I226" i="7" a="1"/>
  <c r="C90" i="7" a="1"/>
  <c r="B57" i="7" a="1"/>
  <c r="F155" i="7" a="1"/>
  <c r="H249" i="7" a="1"/>
  <c r="I215" i="7" a="1"/>
  <c r="I77" i="7" a="1"/>
  <c r="C101" i="7" a="1"/>
  <c r="D114" i="7" a="1"/>
  <c r="D122" i="7" a="1"/>
  <c r="C134" i="7" a="1"/>
  <c r="H285" i="7" a="1"/>
  <c r="F188" i="7" a="1"/>
  <c r="H4" i="7" a="1"/>
  <c r="B219" i="7" a="1"/>
  <c r="H146" i="7" a="1"/>
  <c r="E116" i="7" a="1"/>
  <c r="F169" i="7" a="1"/>
  <c r="C128" i="7" a="1"/>
  <c r="C184" i="7" a="1"/>
  <c r="E169" i="7" a="1"/>
  <c r="D110" i="7" a="1"/>
  <c r="C144" i="7" a="1"/>
  <c r="B125" i="7" a="1"/>
  <c r="F230" i="7" a="1"/>
  <c r="F285" i="7" a="1"/>
  <c r="F209" i="7" a="1"/>
  <c r="I276" i="7" a="1"/>
  <c r="B136" i="7" a="1"/>
  <c r="C270" i="7" a="1"/>
  <c r="B77" i="7" a="1"/>
  <c r="I140" i="7" a="1"/>
  <c r="B83" i="7" a="1"/>
  <c r="C278" i="7" a="1"/>
  <c r="H290" i="7" a="1"/>
  <c r="I286" i="7" a="1"/>
  <c r="D107" i="7" a="1"/>
  <c r="D281" i="7" a="1"/>
  <c r="E94" i="7" a="1"/>
  <c r="F144" i="7" a="1"/>
  <c r="D3" i="7" a="1"/>
  <c r="H280" i="7" a="1"/>
  <c r="I56" i="7" a="1"/>
  <c r="D93" i="7" a="1"/>
  <c r="E255" i="7" a="1"/>
  <c r="I184" i="7" a="1"/>
  <c r="I228" i="7" a="1"/>
  <c r="I117" i="7" a="1"/>
  <c r="D77" i="7" a="1"/>
  <c r="H108" i="7" a="1"/>
  <c r="B270" i="7" a="1"/>
  <c r="E155" i="7" a="1"/>
  <c r="B115" i="7" a="1"/>
  <c r="F137" i="7" a="1"/>
  <c r="B101" i="7" a="1"/>
  <c r="E283" i="7" a="1"/>
  <c r="F192" i="7" a="1"/>
  <c r="I278" i="7" a="1"/>
  <c r="D150" i="7" a="1"/>
  <c r="F180" i="7" a="1"/>
  <c r="C151" i="7" a="1"/>
  <c r="D196" i="7" a="1"/>
  <c r="F227" i="7" a="1"/>
  <c r="B128" i="7" a="1"/>
  <c r="F221" i="7" a="1"/>
  <c r="F123" i="7" a="1"/>
  <c r="F295" i="7" a="1"/>
  <c r="D251" i="7" a="1"/>
  <c r="B161" i="7" a="1"/>
  <c r="F283" i="7" a="1"/>
  <c r="F126" i="7" a="1"/>
  <c r="E274" i="7" a="1"/>
  <c r="C267" i="7" a="1"/>
  <c r="D103" i="7" a="1"/>
  <c r="C117" i="7" a="1"/>
  <c r="C275" i="7" a="1"/>
  <c r="B60" i="7" a="1"/>
  <c r="B172" i="7" a="1"/>
  <c r="F58" i="7" a="1"/>
  <c r="I170" i="7" a="1"/>
  <c r="B241" i="7" a="1"/>
  <c r="F117" i="7" a="1"/>
  <c r="I120" i="7" a="1"/>
  <c r="I85" i="7" a="1"/>
  <c r="C3" i="7" a="1"/>
  <c r="D228" i="7" a="1"/>
  <c r="H97" i="7" a="1"/>
  <c r="D155" i="7" a="1"/>
  <c r="H74" i="7" a="1"/>
  <c r="D60" i="7" a="1"/>
  <c r="E188" i="7" a="1"/>
  <c r="H87" i="7" a="1"/>
  <c r="I181" i="7" a="1"/>
  <c r="E265" i="7" a="1"/>
  <c r="E125" i="7" a="1"/>
  <c r="D264" i="7" a="1"/>
  <c r="D292" i="7" a="1"/>
  <c r="E147" i="7" a="1"/>
  <c r="I58" i="7" a="1"/>
  <c r="F162" i="7" a="1"/>
  <c r="E199" i="7" a="1"/>
  <c r="B259" i="7" a="1"/>
  <c r="H295" i="7" a="1"/>
  <c r="F108" i="7" a="1"/>
  <c r="H116" i="7" a="1"/>
  <c r="D249" i="7" a="1"/>
  <c r="C64" i="7" a="1"/>
  <c r="I109" i="7" a="1"/>
  <c r="D188" i="7" a="1"/>
  <c r="B111" i="7" a="1"/>
  <c r="H152" i="7" a="1"/>
  <c r="H201" i="7" a="1"/>
  <c r="E82" i="7" a="1"/>
  <c r="B122" i="7" a="1"/>
  <c r="F154" i="7" a="1"/>
  <c r="I55" i="7" a="1"/>
  <c r="D78" i="7" a="1"/>
  <c r="H63" i="7" a="1"/>
  <c r="D240" i="7" a="1"/>
  <c r="B202" i="7" a="1"/>
  <c r="C140" i="7" a="1"/>
  <c r="C286" i="7" a="1"/>
  <c r="D262" i="7" a="1"/>
  <c r="C136" i="7" a="1"/>
  <c r="D59" i="7" a="1"/>
  <c r="C82" i="7" a="1"/>
  <c r="C232" i="7" a="1"/>
  <c r="C76" i="7" a="1"/>
  <c r="C169" i="7" a="1"/>
  <c r="I190" i="7" a="1"/>
  <c r="E107" i="7" a="1"/>
  <c r="E108" i="7" a="1"/>
  <c r="I242" i="7" a="1"/>
  <c r="E111" i="7" a="1"/>
  <c r="H217" i="7" a="1"/>
  <c r="F129" i="7" a="1"/>
  <c r="D81" i="7" a="1"/>
  <c r="C54" i="7" a="1"/>
  <c r="E191" i="7" a="1"/>
  <c r="B210" i="7" a="1"/>
  <c r="F133" i="7" a="1"/>
  <c r="H261" i="7" a="1"/>
  <c r="E257" i="7" a="1"/>
  <c r="B89" i="7" a="1"/>
  <c r="E103" i="7" a="1"/>
  <c r="E287" i="7" a="1"/>
  <c r="C110" i="7" a="1"/>
  <c r="B187" i="7" a="1"/>
  <c r="C209" i="7" a="1"/>
  <c r="D280" i="7" a="1"/>
  <c r="H79" i="7" a="1"/>
  <c r="B117" i="7" a="1"/>
  <c r="C114" i="7" a="1"/>
  <c r="D102" i="7" a="1"/>
  <c r="F95" i="7" a="1"/>
  <c r="D192" i="7" a="1"/>
  <c r="I129" i="7" a="1"/>
  <c r="B163" i="7" a="1"/>
  <c r="B290" i="7" a="1"/>
  <c r="I57" i="7" a="1"/>
  <c r="D199" i="7" a="1"/>
  <c r="E177" i="7" a="1"/>
  <c r="B80" i="7" a="1"/>
  <c r="F173" i="7" a="1"/>
  <c r="E271" i="7" a="1"/>
  <c r="C119" i="7" a="1"/>
  <c r="B262" i="7" a="1"/>
  <c r="E6" i="7" a="1"/>
  <c r="B4" i="7" a="1"/>
  <c r="F211" i="7" a="1"/>
  <c r="B156" i="7" a="1"/>
  <c r="D224" i="7" a="1"/>
  <c r="D178" i="7" a="1"/>
  <c r="D69" i="7" a="1"/>
  <c r="B265" i="7" a="1"/>
  <c r="I185" i="7" a="1"/>
  <c r="F255" i="7" a="1"/>
  <c r="F177" i="7" a="1"/>
  <c r="F138" i="7" a="1"/>
  <c r="H197" i="7" a="1"/>
  <c r="C271" i="7" a="1"/>
  <c r="F132" i="7" a="1"/>
  <c r="E61" i="7" a="1"/>
  <c r="H300" i="7" a="1"/>
  <c r="C104" i="7" a="1"/>
  <c r="C295" i="7" a="1"/>
  <c r="I271" i="7" a="1"/>
  <c r="B93" i="7" a="1"/>
  <c r="E193" i="7" a="1"/>
  <c r="D242" i="7" a="1"/>
  <c r="H278" i="7" a="1"/>
  <c r="C91" i="7" a="1"/>
  <c r="C59" i="7" a="1"/>
  <c r="D179" i="7" a="1"/>
  <c r="F268" i="7" a="1"/>
  <c r="C94" i="7" a="1"/>
  <c r="D176" i="7" a="1"/>
  <c r="H70" i="7" a="1"/>
  <c r="I126" i="7" a="1"/>
  <c r="E3" i="7" a="1"/>
  <c r="D106" i="7" a="1"/>
  <c r="C87" i="7" a="1"/>
  <c r="F256" i="7" a="1"/>
  <c r="C8" i="7" a="1"/>
  <c r="D202" i="7" a="1"/>
  <c r="D276" i="7" a="1"/>
  <c r="F88" i="7" a="1"/>
  <c r="I221" i="7" a="1"/>
  <c r="E88" i="7" a="1"/>
  <c r="I79" i="7" a="1"/>
  <c r="H113" i="7" a="1"/>
  <c r="E124" i="7" a="1"/>
  <c r="E250" i="7" a="1"/>
  <c r="C95" i="7" a="1"/>
  <c r="B142" i="7" a="1"/>
  <c r="C290" i="7" a="1"/>
  <c r="C254" i="7" a="1"/>
  <c r="C146" i="7" a="1"/>
  <c r="B152" i="7" a="1"/>
  <c r="I83" i="7" a="1"/>
  <c r="I191" i="7" a="1"/>
  <c r="E70" i="7" a="1"/>
  <c r="F147" i="7" a="1"/>
  <c r="E183" i="7" a="1"/>
  <c r="B254" i="7" a="1"/>
  <c r="F252" i="7" a="1"/>
  <c r="D237" i="7" a="1"/>
  <c r="I144" i="7" a="1"/>
  <c r="H132" i="7" a="1"/>
  <c r="D274" i="7" a="1"/>
  <c r="C283" i="7" a="1"/>
  <c r="H257" i="7" a="1"/>
  <c r="H83" i="7" a="1"/>
  <c r="F127" i="7" a="1"/>
  <c r="F99" i="7" a="1"/>
  <c r="B199" i="7" a="1"/>
  <c r="B71" i="7" a="1"/>
  <c r="D171" i="7" a="1"/>
  <c r="D159" i="7" a="1"/>
  <c r="I252" i="7" a="1"/>
  <c r="F77" i="7" a="1"/>
  <c r="E78" i="7" a="1"/>
  <c r="I261" i="7" a="1"/>
  <c r="B154" i="7" a="1"/>
  <c r="E109" i="7" a="1"/>
  <c r="H289" i="7" a="1"/>
  <c r="H276" i="7" a="1"/>
  <c r="D190" i="7" a="1"/>
  <c r="E79" i="7" a="1"/>
  <c r="F260" i="7" a="1"/>
  <c r="H153" i="7" a="1"/>
  <c r="F223" i="7" a="1"/>
  <c r="D243" i="7" a="1"/>
  <c r="D222" i="7" a="1"/>
  <c r="D136" i="7" a="1"/>
  <c r="D89" i="7" a="1"/>
  <c r="B5" i="7" a="1"/>
  <c r="D215" i="7" a="1"/>
  <c r="C77" i="7" a="1"/>
  <c r="H254" i="7" a="1"/>
  <c r="I73" i="7" a="1"/>
  <c r="H281" i="7" a="1"/>
  <c r="D126" i="7" a="1"/>
  <c r="I179" i="7" a="1"/>
  <c r="E104" i="7" a="1"/>
  <c r="F124" i="7" a="1"/>
  <c r="E220" i="7" a="1"/>
  <c r="F64" i="7" a="1"/>
  <c r="C200" i="7" a="1"/>
  <c r="H283" i="7" a="1"/>
  <c r="C196" i="7" a="1"/>
  <c r="I131" i="7" a="1"/>
  <c r="F148" i="7" a="1"/>
  <c r="I164" i="7" a="1"/>
  <c r="C193" i="7" a="1"/>
  <c r="C274" i="7" a="1"/>
  <c r="F113" i="7" a="1"/>
  <c r="E221" i="7" a="1"/>
  <c r="E245" i="7" a="1"/>
  <c r="H232" i="7" a="1"/>
  <c r="E228" i="7" a="1"/>
  <c r="B165" i="7" a="1"/>
  <c r="F106" i="7" a="1"/>
  <c r="I124" i="7" a="1"/>
  <c r="I248" i="7" a="1"/>
  <c r="H190" i="7" a="1"/>
  <c r="C72" i="7" a="1"/>
  <c r="D130" i="7" a="1"/>
  <c r="F61" i="7" a="1"/>
  <c r="H140" i="7" a="1"/>
  <c r="D232" i="7" a="1"/>
  <c r="B218" i="7" a="1"/>
  <c r="H159" i="7" a="1"/>
  <c r="I259" i="7" a="1"/>
  <c r="B198" i="7" a="1"/>
  <c r="B127" i="7" a="1"/>
  <c r="D118" i="7" a="1"/>
  <c r="B73" i="7" a="1"/>
  <c r="C127" i="7" a="1"/>
  <c r="D112" i="7" a="1"/>
  <c r="H214" i="7" a="1"/>
  <c r="F246" i="7" a="1"/>
  <c r="B247" i="7" a="1"/>
  <c r="C192" i="7" a="1"/>
  <c r="D287" i="7" a="1"/>
  <c r="D231" i="7" a="1"/>
  <c r="I222" i="7" a="1"/>
  <c r="B148" i="7" a="1"/>
  <c r="I108" i="7" a="1"/>
  <c r="B223" i="7" a="1"/>
  <c r="C204" i="7" a="1"/>
  <c r="C155" i="7" a="1"/>
  <c r="E197" i="7" a="1"/>
  <c r="I279" i="7" a="1"/>
  <c r="E293" i="7" a="1"/>
  <c r="F131" i="7" a="1"/>
  <c r="B59" i="7" a="1"/>
  <c r="H215" i="7" a="1"/>
  <c r="C100" i="7" a="1"/>
  <c r="E143" i="7" a="1"/>
  <c r="H189" i="7" a="1"/>
  <c r="C249" i="7" a="1"/>
  <c r="B280" i="7" a="1"/>
  <c r="I239" i="7" a="1"/>
  <c r="B8" i="7" a="1"/>
  <c r="F272" i="7" a="1"/>
  <c r="C225" i="7" a="1"/>
  <c r="I106" i="7" a="1"/>
  <c r="C65" i="7" a="1"/>
  <c r="F175" i="7" a="1"/>
  <c r="F271" i="7" a="1"/>
  <c r="I235" i="7" a="1"/>
  <c r="E101" i="7" a="1"/>
  <c r="I105" i="7" a="1"/>
  <c r="I137" i="7" a="1"/>
  <c r="D257" i="7" a="1"/>
  <c r="B162" i="7" a="1"/>
  <c r="F116" i="7" a="1"/>
  <c r="E294" i="7" a="1"/>
  <c r="C259" i="7" a="1"/>
  <c r="C93" i="7" a="1"/>
  <c r="B267" i="7" a="1"/>
  <c r="E224" i="7" a="1"/>
  <c r="C7" i="7" a="1"/>
  <c r="E137" i="7" a="1"/>
  <c r="H168" i="7" a="1"/>
  <c r="C137" i="7" a="1"/>
  <c r="B158" i="7" a="1"/>
  <c r="C176" i="7" a="1"/>
  <c r="E168" i="7" a="1"/>
  <c r="E75" i="7" a="1"/>
  <c r="B120" i="7" a="1"/>
  <c r="C74" i="7" a="1"/>
  <c r="E120" i="7" a="1"/>
  <c r="D127" i="7" a="1"/>
  <c r="D86" i="7" a="1"/>
  <c r="B222" i="7" a="1"/>
  <c r="B293" i="7" a="1"/>
  <c r="E126" i="7" a="1"/>
  <c r="I193" i="7" a="1"/>
  <c r="B256" i="7" a="1"/>
  <c r="D63" i="7" a="1"/>
  <c r="D97" i="7" a="1"/>
  <c r="F152" i="7" a="1"/>
  <c r="F90" i="7" a="1"/>
  <c r="F239" i="7" a="1"/>
  <c r="F55" i="7" a="1"/>
  <c r="D285" i="7" a="1"/>
  <c r="E254" i="7" a="1"/>
  <c r="E118" i="7" a="1"/>
  <c r="E170" i="7" a="1"/>
  <c r="I262" i="7" a="1"/>
  <c r="H119" i="7" a="1"/>
  <c r="F186" i="7" a="1"/>
  <c r="C235" i="7" a="1"/>
  <c r="B149" i="7" a="1"/>
  <c r="I172" i="7" a="1"/>
  <c r="F289" i="7" a="1"/>
  <c r="F269" i="7" a="1"/>
  <c r="F170" i="7" a="1"/>
  <c r="C258" i="7" a="1"/>
  <c r="H191" i="7" a="1"/>
  <c r="H258" i="7" a="1"/>
  <c r="D8" i="7" a="1"/>
  <c r="F96" i="7" a="1"/>
  <c r="F287" i="7" a="1"/>
  <c r="E276" i="7" a="1"/>
  <c r="H157" i="7" a="1"/>
  <c r="H204" i="7" a="1"/>
  <c r="E204" i="7" a="1"/>
  <c r="C299" i="7" a="1"/>
  <c r="H64" i="7" a="1"/>
  <c r="C298" i="7" a="1"/>
  <c r="I68" i="7" a="1"/>
  <c r="H246" i="7" a="1"/>
  <c r="D79" i="7" a="1"/>
  <c r="F84" i="7" a="1"/>
  <c r="F205" i="7" a="1"/>
  <c r="I217" i="7" a="1"/>
  <c r="D204" i="7" a="1"/>
  <c r="E102" i="7" a="1"/>
  <c r="I212" i="7" a="1"/>
  <c r="I234" i="7" a="1"/>
  <c r="D211" i="7" a="1"/>
  <c r="D212" i="7" a="1"/>
  <c r="E249" i="7" a="1"/>
  <c r="E218" i="7" a="1"/>
  <c r="H184" i="7" a="1"/>
  <c r="C261" i="7" a="1"/>
  <c r="I290" i="7" a="1"/>
  <c r="H223" i="7" a="1"/>
  <c r="B7" i="7" a="1"/>
  <c r="E128" i="7" a="1"/>
  <c r="B258" i="7" a="1"/>
  <c r="E57" i="7" a="1"/>
  <c r="F115" i="7" a="1"/>
  <c r="F267" i="7" a="1"/>
  <c r="F75" i="7" a="1"/>
  <c r="B295" i="7" a="1"/>
  <c r="B246" i="7" a="1"/>
  <c r="C205" i="7" a="1"/>
  <c r="D99" i="7" a="1"/>
  <c r="I255" i="7" a="1"/>
  <c r="C244" i="7" a="1"/>
  <c r="H138" i="7" a="1"/>
  <c r="H81" i="7" a="1"/>
  <c r="C126" i="7" a="1"/>
  <c r="I67" i="7" a="1"/>
  <c r="B70" i="7" a="1"/>
  <c r="I98" i="7" a="1"/>
  <c r="C70" i="7" a="1"/>
  <c r="D138" i="7" a="1"/>
  <c r="B229" i="7" a="1"/>
  <c r="H163" i="7" a="1"/>
  <c r="I148" i="7" a="1"/>
  <c r="C217" i="7" a="1"/>
  <c r="C89" i="7" a="1"/>
  <c r="F297" i="7" a="1"/>
  <c r="F146" i="7" a="1"/>
  <c r="F150" i="7" a="1"/>
  <c r="H250" i="7" a="1"/>
  <c r="H160" i="7" a="1"/>
  <c r="H237" i="7" a="1"/>
  <c r="B185" i="7" a="1"/>
  <c r="C172" i="7" a="1"/>
  <c r="H225" i="7" a="1"/>
  <c r="I88" i="7" a="1"/>
  <c r="D258" i="7" a="1"/>
  <c r="D82" i="7" a="1"/>
  <c r="B64" i="7" a="1"/>
  <c r="E113" i="7" a="1"/>
  <c r="B273" i="7" a="1"/>
  <c r="H161" i="7" a="1"/>
  <c r="F219" i="7" a="1"/>
  <c r="F201" i="7" a="1"/>
  <c r="E259" i="7" a="1"/>
  <c r="F3" i="7" a="1"/>
  <c r="C105" i="7" a="1"/>
  <c r="C195" i="7" a="1"/>
  <c r="F233" i="7" a="1"/>
  <c r="F5" i="7" a="1"/>
  <c r="C166" i="7" a="1"/>
  <c r="E267" i="7" a="1"/>
  <c r="I96" i="7" a="1"/>
  <c r="E121" i="7" a="1"/>
  <c r="B200" i="7" a="1"/>
  <c r="H224" i="7" a="1"/>
  <c r="E129" i="7" a="1"/>
  <c r="B169" i="7" a="1"/>
  <c r="I180" i="7" a="1"/>
  <c r="E231" i="7" a="1"/>
  <c r="H85" i="7" a="1"/>
  <c r="D121" i="7" a="1"/>
  <c r="H262" i="7" a="1"/>
  <c r="H77" i="7" a="1"/>
  <c r="C185" i="7" a="1"/>
  <c r="I236" i="7" a="1"/>
  <c r="I7" i="7" a="1"/>
  <c r="F60" i="7" a="1"/>
  <c r="H182" i="7" a="1"/>
  <c r="F7" i="7" a="1"/>
  <c r="C252" i="7" a="1"/>
  <c r="E226" i="7" a="1"/>
  <c r="I241" i="7" a="1"/>
  <c r="E106" i="7" a="1"/>
  <c r="C148" i="7" a="1"/>
  <c r="H71" i="7" a="1"/>
  <c r="C86" i="7" a="1"/>
  <c r="C123" i="7" a="1"/>
  <c r="F69" i="7" a="1"/>
  <c r="H142" i="7" a="1"/>
  <c r="I115" i="7" a="1"/>
  <c r="B133" i="7" a="1"/>
  <c r="I204" i="7" a="1"/>
  <c r="E164" i="7" a="1"/>
  <c r="I53" i="7" a="1"/>
  <c r="H299" i="7" a="1"/>
  <c r="F104" i="7" a="1"/>
  <c r="D220" i="7" a="1"/>
  <c r="F178" i="7" a="1"/>
  <c r="H208" i="7" a="1"/>
  <c r="C133" i="7" a="1"/>
  <c r="F145" i="7" a="1"/>
  <c r="E146" i="7" a="1"/>
  <c r="D234" i="7" a="1"/>
  <c r="E201" i="7" a="1"/>
  <c r="H206" i="7" a="1"/>
  <c r="E290" i="7" a="1"/>
  <c r="H144" i="7" a="1"/>
  <c r="F198" i="7" a="1"/>
  <c r="F265" i="7" a="1"/>
  <c r="I238" i="7" a="1"/>
  <c r="B75" i="7" a="1"/>
  <c r="F71" i="7" a="1"/>
  <c r="I69" i="7" a="1"/>
  <c r="I111" i="7" a="1"/>
  <c r="I275" i="7" a="1"/>
  <c r="I264" i="7" a="1"/>
  <c r="C242" i="7" a="1"/>
  <c r="C264" i="7" a="1"/>
  <c r="F105" i="7" a="1"/>
  <c r="B284" i="7" a="1"/>
  <c r="C241" i="7" a="1"/>
  <c r="H127" i="7" a="1"/>
  <c r="E275" i="7" a="1"/>
  <c r="H240" i="7" a="1"/>
  <c r="H275" i="7" a="1"/>
  <c r="B99" i="7" a="1"/>
  <c r="E233" i="7" a="1"/>
  <c r="F128" i="7" a="1"/>
  <c r="C265" i="7" a="1"/>
  <c r="C214" i="7" a="1"/>
  <c r="I95" i="7" a="1"/>
  <c r="F299" i="7" a="1"/>
  <c r="I61" i="7" a="1"/>
  <c r="D75" i="7" a="1"/>
  <c r="D167" i="7" a="1"/>
  <c r="D133" i="7" a="1"/>
  <c r="E71" i="7" a="1"/>
  <c r="B167" i="7" a="1"/>
  <c r="B248" i="7" a="1"/>
  <c r="E208" i="7" a="1"/>
  <c r="H205" i="7" a="1"/>
  <c r="B180" i="7" a="1"/>
  <c r="B251" i="7" a="1"/>
  <c r="I136" i="7" a="1"/>
  <c r="E72" i="7" a="1"/>
  <c r="E286" i="7" a="1"/>
  <c r="I76" i="7" a="1"/>
  <c r="I163" i="7" a="1"/>
  <c r="F261" i="7" a="1"/>
  <c r="H131" i="7" a="1"/>
  <c r="C62" i="7" a="1"/>
  <c r="C211" i="7" a="1"/>
  <c r="B86" i="7" a="1"/>
  <c r="I232" i="7" a="1"/>
  <c r="C83" i="7" a="1"/>
  <c r="D108" i="7" a="1"/>
  <c r="H218" i="7" a="1"/>
  <c r="B207" i="7" a="1"/>
  <c r="C116" i="7" a="1"/>
  <c r="I186" i="7" a="1"/>
  <c r="B263" i="7" a="1"/>
  <c r="H52" i="7" a="1"/>
  <c r="H169" i="7" a="1"/>
  <c r="C288" i="7" a="1"/>
  <c r="E203" i="7" a="1"/>
  <c r="D239" i="7" a="1"/>
  <c r="C56" i="7" a="1"/>
  <c r="B272" i="7" a="1"/>
  <c r="H96" i="7" a="1"/>
  <c r="F8" i="7" a="1"/>
  <c r="H124" i="7" a="1"/>
  <c r="F257" i="7" a="1"/>
  <c r="H267" i="7" a="1"/>
  <c r="D210" i="7" a="1"/>
  <c r="B278" i="7" a="1"/>
  <c r="E172" i="7" a="1"/>
  <c r="E264" i="7" a="1"/>
  <c r="B3" i="7" a="1"/>
  <c r="F210" i="7" a="1"/>
  <c r="F172" i="7" a="1"/>
  <c r="B281" i="7" a="1"/>
  <c r="F92" i="7" a="1"/>
  <c r="H260" i="7" a="1"/>
  <c r="I211" i="7" a="1"/>
  <c r="F258" i="7" a="1"/>
  <c r="F181" i="7" a="1"/>
  <c r="B217" i="7" a="1"/>
  <c r="I269" i="7" a="1"/>
  <c r="D219" i="7" a="1"/>
  <c r="B268" i="7" a="1"/>
  <c r="F273" i="7" a="1"/>
  <c r="I178" i="7" a="1"/>
  <c r="C297" i="7" a="1"/>
  <c r="B84" i="7" a="1"/>
  <c r="F240" i="7" a="1"/>
  <c r="I75" i="7" a="1"/>
  <c r="H69" i="7" a="1"/>
  <c r="D6" i="7" a="1"/>
  <c r="D154" i="7" a="1"/>
  <c r="B121" i="7" a="1"/>
  <c r="C226" i="7" a="1"/>
  <c r="B226" i="7" a="1"/>
  <c r="D259" i="7" a="1"/>
  <c r="B153" i="7" a="1"/>
  <c r="E131" i="7" a="1"/>
  <c r="F294" i="7" a="1"/>
  <c r="H264" i="7" a="1"/>
  <c r="F76" i="7" a="1"/>
  <c r="I145" i="7" a="1"/>
  <c r="I155" i="7" a="1"/>
  <c r="B157" i="7" a="1"/>
  <c r="F165" i="7" a="1"/>
  <c r="C69" i="7" a="1"/>
  <c r="B105" i="7" a="1"/>
  <c r="F245" i="7" a="1"/>
  <c r="D282" i="7" a="1"/>
  <c r="E215" i="7" a="1"/>
  <c r="F217" i="7" a="1"/>
  <c r="C182" i="7" a="1"/>
  <c r="I298" i="7" a="1"/>
  <c r="B275" i="7" a="1"/>
  <c r="F72" i="7" a="1"/>
  <c r="H284" i="7" a="1"/>
  <c r="F122" i="7" a="1"/>
  <c r="F216" i="7" a="1"/>
  <c r="H233" i="7" a="1"/>
  <c r="F103" i="7" a="1"/>
  <c r="C268" i="7" a="1"/>
  <c r="H151" i="7" a="1"/>
  <c r="C282" i="7" a="1"/>
  <c r="H67" i="7" a="1"/>
  <c r="D295" i="7" a="1"/>
  <c r="E144" i="7" a="1"/>
  <c r="E86" i="7" a="1"/>
  <c r="D128" i="7" a="1"/>
  <c r="D66" i="7" a="1"/>
  <c r="C291" i="7" a="1"/>
  <c r="I113" i="7" a="1"/>
  <c r="I80" i="7" a="1"/>
  <c r="I166" i="7" a="1"/>
  <c r="E253" i="7" a="1"/>
  <c r="I87" i="7" a="1"/>
  <c r="B266" i="7" a="1"/>
  <c r="D152" i="7" a="1"/>
  <c r="I128" i="7" a="1"/>
  <c r="D105" i="7" a="1"/>
  <c r="E152" i="7" a="1"/>
  <c r="B276" i="7" a="1"/>
  <c r="E189" i="7" a="1"/>
  <c r="F225" i="7" a="1"/>
  <c r="I149" i="7" a="1"/>
  <c r="H147" i="7" a="1"/>
  <c r="B68" i="7" a="1"/>
  <c r="B261" i="7" a="1"/>
  <c r="E217" i="7" a="1"/>
  <c r="E291" i="7" a="1"/>
  <c r="F236" i="7" a="1"/>
  <c r="C112" i="7" a="1"/>
  <c r="D267" i="7" a="1"/>
  <c r="E130" i="7" a="1"/>
  <c r="E67" i="7" a="1"/>
  <c r="F140" i="7" a="1"/>
  <c r="B179" i="7" a="1"/>
  <c r="D53" i="7" a="1"/>
  <c r="F185" i="7" a="1"/>
  <c r="E77" i="7" a="1"/>
  <c r="B138" i="7" a="1"/>
  <c r="E5" i="7" a="1"/>
  <c r="E195" i="7" a="1"/>
  <c r="E180" i="7" a="1"/>
  <c r="C237" i="7" a="1"/>
  <c r="I265" i="7" a="1"/>
  <c r="D223" i="7" a="1"/>
  <c r="I219" i="7" a="1"/>
  <c r="F293" i="7" a="1"/>
  <c r="B164" i="7" a="1"/>
  <c r="E223" i="7" a="1"/>
  <c r="C138" i="7" a="1"/>
  <c r="D252" i="7" a="1"/>
  <c r="H181" i="7" a="1"/>
  <c r="F280" i="7" a="1"/>
  <c r="H91" i="7" a="1"/>
  <c r="H105" i="7" a="1"/>
  <c r="B291" i="7" a="1"/>
  <c r="E280" i="7" a="1"/>
  <c r="B206" i="7" a="1"/>
  <c r="I240" i="7" a="1"/>
  <c r="D124" i="7" a="1"/>
  <c r="C111" i="7" a="1"/>
  <c r="C296" i="7" a="1"/>
  <c r="H268" i="7" a="1"/>
  <c r="H128" i="7" a="1"/>
  <c r="I161" i="7" a="1"/>
  <c r="F51" i="7" a="1"/>
  <c r="E222" i="7" a="1"/>
  <c r="C231" i="7" a="1"/>
  <c r="B74" i="7" a="1"/>
  <c r="F284" i="7" a="1"/>
  <c r="C80" i="7" a="1"/>
  <c r="I130" i="7" a="1"/>
  <c r="H296" i="7" a="1"/>
  <c r="D265" i="7" a="1"/>
  <c r="E219" i="7" a="1"/>
  <c r="H194" i="7" a="1"/>
  <c r="F89" i="7" a="1"/>
  <c r="I273" i="7" a="1"/>
  <c r="D165" i="7" a="1"/>
  <c r="F182" i="7" a="1"/>
  <c r="B135" i="7" a="1"/>
  <c r="B107" i="7" a="1"/>
  <c r="E161" i="7" a="1"/>
  <c r="I6" i="7" a="1"/>
  <c r="D181" i="7" a="1"/>
  <c r="C206" i="7" a="1"/>
  <c r="E2" i="7" a="1"/>
  <c r="D279" i="7" a="1"/>
  <c r="E115" i="7" a="1"/>
  <c r="D141" i="7" a="1"/>
  <c r="B209" i="7" a="1"/>
  <c r="E69" i="7" a="1"/>
  <c r="F270" i="7" a="1"/>
  <c r="D169" i="7" a="1"/>
  <c r="D157" i="7" a="1"/>
  <c r="F164" i="7" a="1"/>
  <c r="H114" i="7" a="1"/>
  <c r="H115" i="7" a="1"/>
  <c r="B141" i="7" a="1"/>
  <c r="H145" i="7" a="1"/>
  <c r="D55" i="7" a="1"/>
  <c r="I116" i="7" a="1"/>
  <c r="H172" i="7" a="1"/>
  <c r="C149" i="7" a="1"/>
  <c r="F232" i="7" a="1"/>
  <c r="E145" i="7" a="1"/>
  <c r="F112" i="7" a="1"/>
  <c r="H244" i="7" a="1"/>
  <c r="E167" i="7" a="1"/>
  <c r="H287" i="7" a="1"/>
  <c r="I97" i="7" a="1"/>
  <c r="D65" i="7" a="1"/>
  <c r="B145" i="7" a="1"/>
  <c r="B287" i="7" a="1"/>
  <c r="F158" i="7" a="1"/>
  <c r="B91" i="7" a="1"/>
  <c r="I3" i="7" a="1"/>
  <c r="E174" i="7" a="1"/>
  <c r="I114" i="7" a="1"/>
  <c r="C197" i="7" a="1"/>
  <c r="F184" i="7" a="1"/>
  <c r="E248" i="7" a="1"/>
  <c r="D80" i="7" a="1"/>
  <c r="F93" i="7" a="1"/>
  <c r="C234" i="7" a="1"/>
  <c r="C215" i="7" a="1"/>
  <c r="H176" i="7" a="1"/>
  <c r="B78" i="7" a="1"/>
  <c r="B112" i="7" a="1"/>
  <c r="H165" i="7" a="1"/>
  <c r="H7" i="7" a="1"/>
  <c r="H170" i="7" a="1"/>
  <c r="C280" i="7" a="1"/>
  <c r="B143" i="7" a="1"/>
  <c r="F109" i="7" a="1"/>
  <c r="H211" i="7" a="1"/>
  <c r="C84" i="7" a="1"/>
  <c r="E8" i="7" a="1"/>
  <c r="B102" i="7" a="1"/>
  <c r="H291" i="7" a="1"/>
  <c r="F247" i="7" a="1"/>
  <c r="D149" i="7" a="1"/>
  <c r="H98" i="7" a="1"/>
  <c r="H125" i="7" a="1"/>
  <c r="H72" i="7" a="1"/>
  <c r="E134" i="7" a="1"/>
  <c r="D245" i="7" a="1"/>
  <c r="C165" i="7" a="1"/>
  <c r="C73" i="7" a="1"/>
  <c r="C106" i="7" a="1"/>
  <c r="E299" i="7" a="1"/>
  <c r="H199" i="7" a="1"/>
  <c r="I63" i="7" a="1"/>
  <c r="D111" i="7" a="1"/>
  <c r="C135" i="7" a="1"/>
  <c r="B286" i="7" a="1"/>
  <c r="H219" i="7" a="1"/>
  <c r="F98" i="7" a="1"/>
  <c r="H68" i="7" a="1"/>
  <c r="F143" i="7" a="1"/>
  <c r="C173" i="7" a="1"/>
  <c r="B139" i="7" a="1"/>
  <c r="I207" i="7" a="1"/>
  <c r="H178" i="7" a="1"/>
  <c r="C115" i="7" a="1"/>
  <c r="H247" i="7" a="1"/>
  <c r="F161" i="7" a="1"/>
  <c r="C247" i="7" a="1"/>
  <c r="H53" i="7" a="1"/>
  <c r="H8" i="7" a="1"/>
  <c r="E151" i="7" a="1"/>
  <c r="B174" i="7" a="1"/>
  <c r="F235" i="7" a="1"/>
  <c r="H167" i="7" a="1"/>
  <c r="H103" i="7" a="1"/>
  <c r="D116" i="7" a="1"/>
  <c r="I64" i="7" a="1"/>
  <c r="H196" i="7" a="1"/>
  <c r="I195" i="7" a="1"/>
  <c r="I127" i="7" a="1"/>
  <c r="B188" i="7" a="1"/>
  <c r="I154" i="7" a="1"/>
  <c r="C277" i="7" a="1"/>
  <c r="D299" i="7" a="1"/>
  <c r="F194" i="7" a="1"/>
  <c r="E132" i="7" a="1"/>
  <c r="I213" i="7" a="1"/>
  <c r="B204" i="7" a="1"/>
  <c r="C194" i="7" a="1"/>
  <c r="H90" i="7" a="1"/>
  <c r="F2" i="7" a="1"/>
  <c r="B225" i="7" a="1"/>
  <c r="E89" i="7" a="1"/>
  <c r="I132" i="7" a="1"/>
  <c r="I203" i="7" a="1"/>
  <c r="I86" i="7" a="1"/>
  <c r="I244" i="7" a="1"/>
  <c r="B129" i="7" a="1"/>
  <c r="F159" i="7" a="1"/>
  <c r="C256" i="7" a="1"/>
  <c r="I157" i="7" a="1"/>
  <c r="C272" i="7" a="1"/>
  <c r="C293" i="7" a="1"/>
  <c r="E234" i="7" a="1"/>
  <c r="D68" i="7" a="1"/>
  <c r="I284" i="7" a="1"/>
  <c r="C238" i="7" a="1"/>
  <c r="I206" i="7" a="1"/>
  <c r="B130" i="7" a="1"/>
  <c r="C55" i="7" a="1"/>
  <c r="I229" i="7" a="1"/>
  <c r="H298" i="7" a="1"/>
  <c r="C281" i="7" a="1"/>
  <c r="D83" i="7" a="1"/>
  <c r="C122" i="7" a="1"/>
  <c r="H263" i="7" a="1"/>
  <c r="H58" i="7" a="1"/>
  <c r="E202" i="7" a="1"/>
  <c r="H118" i="7" a="1"/>
  <c r="E236" i="7" a="1"/>
  <c r="C120" i="7" a="1"/>
  <c r="C183" i="7" a="1"/>
  <c r="F130" i="7" a="1"/>
  <c r="I2" i="7" a="1"/>
  <c r="I51" i="7" a="1"/>
  <c r="D132" i="7" a="1"/>
  <c r="C203" i="7" a="1"/>
  <c r="B236" i="7" a="1"/>
  <c r="D183" i="7" a="1"/>
  <c r="E296" i="7" a="1"/>
  <c r="F199" i="7" a="1"/>
  <c r="D254" i="7" a="1"/>
  <c r="D67" i="7" a="1"/>
  <c r="C164" i="7" a="1"/>
  <c r="E205" i="7" a="1"/>
  <c r="E227" i="7" a="1"/>
  <c r="I168" i="7" a="1"/>
  <c r="I257" i="7" a="1"/>
  <c r="F121" i="7" a="1"/>
  <c r="F276" i="7" a="1"/>
  <c r="F244" i="7" a="1"/>
  <c r="E63" i="7" a="1"/>
  <c r="C152" i="7" a="1"/>
  <c r="F242" i="7" a="1"/>
  <c r="H241" i="7" a="1"/>
  <c r="H61" i="7" a="1"/>
  <c r="E244" i="7" a="1"/>
  <c r="H231" i="7" a="1"/>
  <c r="H265" i="7" a="1"/>
  <c r="H94" i="7" a="1"/>
  <c r="C139" i="7" a="1"/>
  <c r="F136" i="7" a="1"/>
  <c r="B183" i="7" a="1"/>
  <c r="D248" i="7" a="1"/>
  <c r="F275" i="7" a="1"/>
  <c r="I272" i="7" a="1"/>
  <c r="C279" i="7" a="1"/>
  <c r="I285" i="7" a="1"/>
  <c r="C218" i="7" a="1"/>
  <c r="H266" i="7" a="1"/>
  <c r="H243" i="7" a="1"/>
  <c r="C68" i="7" a="1"/>
  <c r="I112" i="7" a="1"/>
  <c r="D87" i="7" a="1"/>
  <c r="F171" i="7" a="1"/>
  <c r="E87" i="7" a="1"/>
  <c r="I151" i="7" a="1"/>
  <c r="F118" i="7" a="1"/>
  <c r="E242" i="7" a="1"/>
  <c r="H80" i="7" a="1"/>
  <c r="H76" i="7" a="1"/>
  <c r="H271" i="7" a="1"/>
  <c r="C294" i="7" a="1"/>
  <c r="C188" i="7" a="1"/>
  <c r="D227" i="7" a="1"/>
  <c r="C224" i="7" a="1"/>
  <c r="I280" i="7" a="1"/>
  <c r="F66" i="7" a="1"/>
  <c r="B197" i="7" a="1"/>
  <c r="I150" i="7" a="1"/>
  <c r="E192" i="7" a="1"/>
  <c r="E160" i="7" a="1"/>
  <c r="B228" i="7" a="1"/>
  <c r="B213" i="7" a="1"/>
  <c r="F174" i="7" a="1"/>
  <c r="D184" i="7" a="1"/>
  <c r="E182" i="7" a="1"/>
  <c r="C228" i="7" a="1"/>
  <c r="B53" i="7" a="1"/>
  <c r="D269" i="7" a="1"/>
  <c r="I227" i="7" a="1"/>
  <c r="B249" i="7" a="1"/>
  <c r="H173" i="7" a="1"/>
  <c r="E260" i="7" a="1"/>
  <c r="C227" i="7" a="1"/>
  <c r="F179" i="7" a="1"/>
  <c r="I110" i="7" a="1"/>
  <c r="F288" i="7" a="1"/>
  <c r="I254" i="7" a="1"/>
  <c r="F263" i="7" a="1"/>
  <c r="F193" i="7" a="1"/>
  <c r="E56" i="7" a="1"/>
  <c r="E51" i="7" a="1"/>
  <c r="H104" i="7" a="1"/>
  <c r="F196" i="7" a="1"/>
  <c r="I223" i="7" a="1"/>
  <c r="F52" i="7" a="1"/>
  <c r="I5" i="7" a="1"/>
  <c r="H226" i="7" a="1"/>
  <c r="F65" i="7" a="1"/>
  <c r="D241" i="7" a="1"/>
  <c r="E173" i="7" a="1"/>
  <c r="H207" i="7" a="1"/>
  <c r="C174" i="7" a="1"/>
  <c r="E80" i="7" a="1"/>
  <c r="E196" i="7" a="1"/>
  <c r="F110" i="7" a="1"/>
  <c r="E252" i="7" a="1"/>
  <c r="I102" i="7" a="1"/>
  <c r="B215" i="7" a="1"/>
  <c r="H106" i="7" a="1"/>
  <c r="B252" i="7" a="1"/>
  <c r="I231" i="7" a="1"/>
  <c r="B212" i="7" a="1"/>
  <c r="B144" i="7" a="1"/>
  <c r="I201" i="7" a="1"/>
  <c r="B264" i="7" a="1"/>
  <c r="B160" i="7" a="1"/>
  <c r="E279" i="7" a="1"/>
  <c r="H121" i="7" a="1"/>
  <c r="C5" i="7" a="1"/>
  <c r="D56" i="7" a="1"/>
  <c r="F231" i="7" a="1"/>
  <c r="H54" i="7" a="1"/>
  <c r="E74" i="7" a="1"/>
  <c r="B239" i="7" a="1"/>
  <c r="E85" i="7" a="1"/>
  <c r="D185" i="7" a="1"/>
  <c r="F220" i="7" a="1"/>
  <c r="E179" i="7" a="1"/>
  <c r="I93" i="7" a="1"/>
  <c r="E150" i="7" a="1"/>
  <c r="E149" i="7" a="1"/>
  <c r="I71" i="7" a="1"/>
  <c r="B90" i="7" a="1"/>
  <c r="D193" i="7" a="1"/>
  <c r="H235" i="7" a="1"/>
  <c r="B271" i="7" a="1"/>
  <c r="I263" i="7" a="1"/>
  <c r="D145" i="7" a="1"/>
  <c r="C124" i="7" a="1"/>
  <c r="D187" i="7" a="1"/>
  <c r="B182" i="7" a="1"/>
  <c r="F202" i="7" a="1"/>
  <c r="B109" i="7" a="1"/>
  <c r="E95" i="7" a="1"/>
  <c r="E243" i="7" a="1"/>
  <c r="C163" i="7" a="1"/>
  <c r="D256" i="7" a="1"/>
  <c r="E229" i="7" a="1"/>
  <c r="B92" i="7" a="1"/>
  <c r="E171" i="7" a="1"/>
  <c r="C220" i="7" a="1"/>
  <c r="D172" i="7" a="1"/>
  <c r="I167" i="7" a="1"/>
  <c r="I173" i="7" a="1"/>
  <c r="E247" i="7" a="1"/>
  <c r="I177" i="7" a="1"/>
  <c r="B168" i="7" a="1"/>
  <c r="D129" i="7" a="1"/>
  <c r="C248" i="7" a="1"/>
  <c r="F149" i="7" a="1"/>
  <c r="F78" i="7" a="1"/>
  <c r="F298" i="7" a="1"/>
  <c r="F290" i="7" a="1"/>
  <c r="C2" i="7" a="1"/>
  <c r="B224" i="7" a="1"/>
  <c r="H101" i="7" a="1"/>
  <c r="I119" i="7" a="1"/>
  <c r="F102" i="7" a="1"/>
  <c r="E76" i="7" a="1"/>
  <c r="C150" i="7" a="1"/>
  <c r="B294" i="7" a="1"/>
  <c r="E99" i="7" a="1"/>
  <c r="I214" i="7" a="1"/>
  <c r="B114" i="7" a="1"/>
  <c r="E127" i="7" a="1"/>
  <c r="B195" i="7" a="1"/>
  <c r="B227" i="7" a="1"/>
  <c r="C4" i="7" a="1"/>
  <c r="C178" i="7" a="1"/>
  <c r="D221" i="7" a="1"/>
  <c r="H277" i="7" a="1"/>
  <c r="H6" i="7" a="1"/>
  <c r="B140" i="7" a="1"/>
  <c r="F292" i="7" a="1"/>
  <c r="I233" i="7" a="1"/>
  <c r="H148" i="7" a="1"/>
  <c r="B96" i="7" a="1"/>
  <c r="E187" i="7" a="1"/>
  <c r="H135" i="7" a="1"/>
  <c r="F259" i="7" a="1"/>
  <c r="H75" i="7" a="1"/>
  <c r="E278" i="7" a="1"/>
  <c r="E55" i="7" a="1"/>
  <c r="D113" i="7" a="1"/>
  <c r="B232" i="7" a="1"/>
  <c r="E165" i="7" a="1"/>
  <c r="D76" i="7" a="1"/>
  <c r="I54" i="7" a="1"/>
  <c r="H288" i="7" a="1"/>
  <c r="F291" i="7" a="1"/>
  <c r="D284" i="7" a="1"/>
  <c r="E53" i="7" a="1"/>
  <c r="F195" i="7" a="1"/>
  <c r="F167" i="7" a="1"/>
  <c r="I300" i="7" a="1"/>
  <c r="H216" i="7" a="1"/>
  <c r="D96" i="7" a="1"/>
  <c r="I146" i="7" a="1"/>
  <c r="F87" i="7" a="1"/>
  <c r="D273" i="7" a="1"/>
  <c r="C190" i="7" a="1"/>
  <c r="D288" i="7" a="1"/>
  <c r="D226" i="7" a="1"/>
  <c r="H269" i="7" a="1"/>
  <c r="E159" i="7" a="1"/>
  <c r="C253" i="7" a="1"/>
  <c r="D58" i="7" a="1"/>
  <c r="B193" i="7" a="1"/>
  <c r="H203" i="7" a="1"/>
  <c r="H88" i="7" a="1"/>
  <c r="E210" i="7" a="1"/>
  <c r="F218" i="7" a="1"/>
  <c r="H73" i="7" a="1"/>
  <c r="C92" i="7" a="1"/>
  <c r="I156" i="7" a="1"/>
  <c r="B66" i="7" a="1"/>
  <c r="D146" i="7" a="1"/>
  <c r="B216" i="7" a="1"/>
  <c r="C262" i="7" a="1"/>
  <c r="B238" i="7" a="1"/>
  <c r="I66" i="7" a="1"/>
  <c r="C143" i="7" a="1"/>
  <c r="F135" i="7" a="1"/>
  <c r="I270" i="7" a="1"/>
  <c r="F243" i="7" a="1"/>
  <c r="E282" i="7" a="1"/>
  <c r="B132" i="7" a="1"/>
  <c r="H122" i="7" a="1"/>
  <c r="D270" i="7" a="1"/>
  <c r="C98" i="7" a="1"/>
  <c r="D140" i="7" a="1"/>
  <c r="D109" i="7" a="1"/>
  <c r="H292" i="7" a="1"/>
  <c r="D91" i="7" a="1"/>
  <c r="B113" i="7" a="1"/>
  <c r="F139" i="7" a="1"/>
  <c r="H259" i="7" a="1"/>
  <c r="C255" i="7" a="1"/>
  <c r="E139" i="7" a="1"/>
  <c r="F73" i="7" a="1"/>
  <c r="F187" i="7" a="1"/>
  <c r="B289" i="7" a="1"/>
  <c r="C141" i="7" a="1"/>
  <c r="D180" i="7" a="1"/>
  <c r="D291" i="7" a="1"/>
  <c r="B297" i="7" a="1"/>
  <c r="H209" i="7" a="1"/>
  <c r="I59" i="7" a="1"/>
  <c r="F142" i="7" a="1"/>
  <c r="D115" i="7" a="1"/>
  <c r="I152" i="7" a="1"/>
  <c r="F266" i="7" a="1"/>
  <c r="C57" i="7" a="1"/>
  <c r="H255" i="7" a="1"/>
  <c r="F100" i="7" a="1"/>
  <c r="I243" i="7" a="1"/>
  <c r="D244" i="7" a="1"/>
  <c r="H279" i="7" a="1"/>
  <c r="H99" i="7" a="1"/>
  <c r="E300" i="7" a="1"/>
  <c r="I260" i="7" a="1"/>
  <c r="E141" i="7" a="1"/>
  <c r="D119" i="7" a="1"/>
  <c r="D182" i="7" a="1"/>
  <c r="E110" i="7" a="1"/>
  <c r="D207" i="7" a="1"/>
  <c r="I253" i="7" a="1"/>
  <c r="C147" i="7" a="1"/>
  <c r="B257" i="7" a="1"/>
  <c r="D266" i="7" a="1"/>
  <c r="E96" i="7" a="1"/>
  <c r="B106" i="7" a="1"/>
  <c r="F183" i="7" a="1"/>
  <c r="I123" i="7" a="1"/>
  <c r="D200" i="7" a="1"/>
  <c r="C287" i="7" a="1"/>
  <c r="D74" i="7" a="1"/>
  <c r="F141" i="7" a="1"/>
  <c r="I256" i="7" a="1"/>
  <c r="C58" i="7" a="1"/>
  <c r="B274" i="7" a="1"/>
  <c r="E142" i="7" a="1"/>
  <c r="D300" i="7" a="1"/>
  <c r="B277" i="7" a="1"/>
  <c r="B178" i="7" a="1"/>
  <c r="C145" i="7" a="1"/>
  <c r="E225" i="7" a="1"/>
  <c r="B146" i="7" a="1"/>
  <c r="D201" i="7" a="1"/>
  <c r="B72" i="7" a="1"/>
  <c r="H221" i="7" a="1"/>
  <c r="B237" i="7" a="1"/>
  <c r="D148" i="7" a="1"/>
  <c r="F203" i="7" a="1"/>
  <c r="I237" i="7" a="1"/>
  <c r="E262" i="7" a="1"/>
  <c r="C177" i="7" a="1"/>
  <c r="E65" i="7" a="1"/>
  <c r="H149" i="7" a="1"/>
  <c r="E138" i="7" a="1"/>
  <c r="F120" i="7" a="1"/>
  <c r="E256" i="7" a="1"/>
  <c r="D139" i="7" a="1"/>
  <c r="D100" i="7" a="1"/>
  <c r="E295" i="7" a="1"/>
  <c r="I147" i="7" a="1"/>
  <c r="D166" i="7" a="1"/>
  <c r="I74" i="7" a="1"/>
  <c r="D142" i="7" a="1"/>
  <c r="F226" i="7" a="1"/>
  <c r="I189" i="7" a="1"/>
  <c r="H164" i="7" a="1"/>
  <c r="I224" i="7" a="1"/>
  <c r="B203" i="7" a="1"/>
  <c r="H222" i="7" a="1"/>
  <c r="E232" i="7" a="1"/>
  <c r="B214" i="7" a="1"/>
  <c r="I101" i="7" a="1"/>
  <c r="F264" i="7" a="1"/>
  <c r="F91" i="7" a="1"/>
  <c r="H59" i="7" a="1"/>
  <c r="C81" i="7" a="1"/>
  <c r="F6" i="7" a="1"/>
  <c r="H286" i="7" a="1"/>
  <c r="H93" i="7" a="1"/>
  <c r="B62" i="7" a="1"/>
  <c r="D275" i="7" a="1"/>
  <c r="D236" i="7" a="1"/>
  <c r="B2" i="7" a="1"/>
  <c r="B194" i="7" a="1"/>
  <c r="D131" i="7" a="1"/>
  <c r="C239" i="7" a="1"/>
  <c r="I282" i="7" a="1"/>
  <c r="D88" i="7" a="1"/>
  <c r="H65" i="7" a="1"/>
  <c r="F94" i="7" a="1"/>
  <c r="I294" i="7" a="1"/>
  <c r="B85" i="7" a="1"/>
  <c r="D246" i="7" a="1"/>
  <c r="E162" i="7" a="1"/>
  <c r="H166" i="7" a="1"/>
  <c r="I8" i="7" a="1"/>
  <c r="E148" i="7" a="1"/>
  <c r="F151" i="7" a="1"/>
  <c r="E277" i="7" a="1"/>
  <c r="E7" i="7" a="1"/>
  <c r="I175" i="7" a="1"/>
  <c r="H150" i="7" a="1"/>
  <c r="C88" i="7" a="1"/>
  <c r="I218" i="7" a="1"/>
  <c r="C121" i="7" a="1"/>
  <c r="H154" i="7" a="1"/>
  <c r="E123" i="7" a="1"/>
  <c r="F241" i="7" a="1"/>
  <c r="B250" i="7" a="1"/>
  <c r="F119" i="7" a="1"/>
  <c r="D230" i="7" a="1"/>
  <c r="C53" i="7" a="1"/>
  <c r="E178" i="7" a="1"/>
  <c r="D117" i="7" a="1"/>
  <c r="B292" i="7" a="1"/>
  <c r="C266" i="7" a="1"/>
  <c r="I182" i="7" a="1"/>
  <c r="H143" i="7" a="1"/>
  <c r="E100" i="7" a="1"/>
  <c r="E73" i="7" a="1"/>
  <c r="D90" i="7" a="1"/>
  <c r="C161" i="7" a="1"/>
  <c r="H133" i="7" a="1"/>
  <c r="D85" i="7" a="1"/>
  <c r="B242" i="7" a="1"/>
  <c r="E288" i="7" a="1"/>
  <c r="C213" i="7" a="1"/>
  <c r="I125" i="7" a="1"/>
  <c r="I78" i="7" a="1"/>
  <c r="I249" i="7" a="1"/>
  <c r="I202" i="7" a="1"/>
  <c r="I268" i="7" a="1"/>
  <c r="E230" i="7" a="1"/>
  <c r="I65" i="7" a="1"/>
  <c r="I99" i="7" a="1"/>
  <c r="F57" i="7" a="1"/>
  <c r="I230" i="7" a="1"/>
  <c r="E285" i="7" a="1"/>
  <c r="C250" i="7" a="1"/>
  <c r="B82" i="7" a="1"/>
  <c r="F212" i="7" a="1"/>
  <c r="I205" i="7" a="1"/>
  <c r="D250" i="7" a="1"/>
  <c r="H230" i="7" a="1"/>
  <c r="D260" i="7" a="1"/>
  <c r="H100" i="7" a="1"/>
  <c r="E92" i="7" a="1"/>
  <c r="B94" i="7" a="1"/>
  <c r="F153" i="7" a="1"/>
  <c r="B61" i="7" a="1"/>
  <c r="D134" i="7" a="1"/>
  <c r="E59" i="7" a="1"/>
  <c r="C199" i="7" a="1"/>
  <c r="B184" i="7" a="1"/>
  <c r="H3" i="7" a="1"/>
  <c r="H171" i="7" a="1"/>
  <c r="B118" i="7" a="1"/>
  <c r="H112" i="7" a="1"/>
  <c r="B79" i="7" a="1"/>
  <c r="H110" i="7" a="1"/>
  <c r="E105" i="7" a="1"/>
  <c r="D125" i="7" a="1"/>
  <c r="H293" i="7" a="1"/>
  <c r="B300" i="7" a="1"/>
  <c r="D158" i="7" a="1"/>
  <c r="C171" i="7" a="1"/>
  <c r="D247" i="7" a="1"/>
  <c r="D186" i="7" a="1"/>
  <c r="B240" i="7" a="1"/>
  <c r="H248" i="7" a="1"/>
  <c r="E58" i="7" a="1"/>
  <c r="B255" i="7" a="1"/>
  <c r="I200" i="7" a="1"/>
  <c r="I174" i="7" a="1"/>
  <c r="D151" i="7" a="1"/>
  <c r="F206" i="7" a="1"/>
  <c r="F262" i="7" a="1"/>
  <c r="C207" i="7" a="1"/>
  <c r="E181" i="7" a="1"/>
  <c r="F281" i="7" a="1"/>
  <c r="E64" i="7" a="1"/>
  <c r="C66" i="7" a="1"/>
  <c r="B189" i="7" a="1"/>
  <c r="C180" i="7" a="1"/>
  <c r="F168" i="7" a="1"/>
  <c r="C103" i="7" a="1"/>
  <c r="E237" i="7" a="1"/>
  <c r="E263" i="7" a="1"/>
  <c r="B54" i="7" a="1"/>
  <c r="D174" i="7" a="1"/>
  <c r="F215" i="7" a="1"/>
  <c r="B88" i="7" a="1"/>
  <c r="C245" i="7" a="1"/>
  <c r="I122" i="7" a="1"/>
  <c r="F300" i="7" a="1"/>
  <c r="F107" i="7" a="1"/>
  <c r="I4" i="7" a="1"/>
  <c r="D218" i="7" a="1"/>
  <c r="I118" i="7" a="1"/>
  <c r="I165" i="7" a="1"/>
  <c r="D191" i="7" a="1"/>
  <c r="B100" i="7" a="1"/>
  <c r="F70" i="7" a="1"/>
  <c r="H183" i="7" a="1"/>
  <c r="C233" i="7" a="1"/>
  <c r="B235" i="7" a="1"/>
  <c r="E91" i="7" a="1"/>
  <c r="E214" i="7" a="1"/>
  <c r="B155" i="7" a="1"/>
  <c r="C78" i="7" a="1"/>
  <c r="D271" i="7" a="1"/>
  <c r="F296" i="7" a="1"/>
  <c r="B173" i="7" a="1"/>
  <c r="H134" i="7" a="1"/>
  <c r="B260" i="7" a="1"/>
  <c r="H212" i="7" a="1"/>
  <c r="H130" i="7" a="1"/>
  <c r="D54" i="7" a="1"/>
  <c r="I250" i="7" a="1"/>
  <c r="E200" i="7" a="1"/>
  <c r="E175" i="7" a="1"/>
  <c r="D137" i="7" a="1"/>
  <c r="D144" i="7" a="1"/>
  <c r="C257" i="7" a="1"/>
  <c r="E273" i="7" a="1"/>
  <c r="H141" i="7" a="1"/>
  <c r="H188" i="7" a="1"/>
  <c r="D70" i="7" a="1"/>
  <c r="D296" i="7" a="1"/>
  <c r="D194" i="7" a="1"/>
  <c r="D283" i="7" a="1"/>
  <c r="B177" i="7" a="1"/>
  <c r="C167" i="7" a="1"/>
  <c r="F253" i="7" a="1"/>
  <c r="I141" i="7" a="1"/>
  <c r="H252" i="7" a="1"/>
  <c r="C201" i="7" a="1"/>
  <c r="I210" i="7" a="1"/>
  <c r="F237" i="7" a="1"/>
  <c r="D206" i="7" a="1"/>
  <c r="E258" i="7" a="1"/>
  <c r="E93" i="7" a="1"/>
  <c r="C191" i="7" a="1"/>
  <c r="C263" i="7" a="1"/>
  <c r="H234" i="7" a="1"/>
  <c r="H86" i="7" a="1"/>
  <c r="F160" i="7" a="1"/>
  <c r="H274" i="7" a="1"/>
  <c r="C153" i="7" a="1"/>
  <c r="H236" i="7" a="1"/>
  <c r="I194" i="7" a="1"/>
  <c r="C202" i="7" a="1"/>
  <c r="F277" i="7" a="1"/>
  <c r="F229" i="7" a="1"/>
  <c r="H5" i="7" a="1"/>
  <c r="B196" i="7" a="1"/>
  <c r="B208" i="7" a="1"/>
  <c r="H123" i="7" a="1"/>
  <c r="E122" i="7" a="1"/>
  <c r="F97" i="7" a="1"/>
  <c r="B56" i="7" a="1"/>
  <c r="F279" i="7" a="1"/>
  <c r="D101" i="7" a="1"/>
  <c r="D175" i="7" a="1"/>
  <c r="B192" i="7" a="1"/>
  <c r="I84" i="7" a="1"/>
  <c r="F278" i="7" a="1"/>
  <c r="H256" i="7" a="1"/>
  <c r="I134" i="7" a="1"/>
  <c r="E297" i="7" a="1"/>
  <c r="H117" i="7" a="1"/>
  <c r="I91" i="7" a="1"/>
  <c r="C285" i="7" a="1"/>
  <c r="D255" i="7" a="1"/>
  <c r="B282" i="7" a="1"/>
  <c r="D57" i="7" a="1"/>
  <c r="C223" i="7" a="1"/>
  <c r="B119" i="7" a="1"/>
  <c r="I291" i="7" a="1"/>
  <c r="C99" i="7" a="1"/>
  <c r="H177" i="7" a="1"/>
  <c r="E216" i="7" a="1"/>
  <c r="B151" i="7" a="1"/>
  <c r="H129" i="7" a="1"/>
  <c r="D95" i="7" a="1"/>
  <c r="H136" i="7" a="1"/>
  <c r="I283" i="7" a="1"/>
  <c r="C108" i="7" a="1"/>
  <c r="C222" i="7" a="1"/>
  <c r="E209" i="7" a="1"/>
  <c r="I251" i="7" a="1"/>
  <c r="B98" i="7" a="1"/>
  <c r="C219" i="7" a="1"/>
  <c r="I100" i="7" a="1"/>
  <c r="B230" i="7" a="1"/>
  <c r="I158" i="7" a="1"/>
  <c r="F111" i="7" a="1"/>
  <c r="B244" i="7" a="1"/>
  <c r="C189" i="7" a="1"/>
  <c r="C276" i="7" a="1"/>
  <c r="E289" i="7" a="1"/>
  <c r="C230" i="7" a="1"/>
  <c r="B283" i="7" a="1"/>
  <c r="I245" i="7" a="1"/>
  <c r="B269" i="7" a="1"/>
  <c r="I142" i="7" a="1"/>
  <c r="H202" i="7" a="1"/>
  <c r="C156" i="7" a="1"/>
  <c r="F54" i="7" a="1"/>
  <c r="F85" i="7" a="1"/>
  <c r="D195" i="7" a="1"/>
  <c r="F208" i="7" a="1"/>
  <c r="I187" i="7" a="1"/>
  <c r="E190" i="7" a="1"/>
  <c r="F81" i="7" a="1"/>
  <c r="D235" i="7" a="1"/>
  <c r="F68" i="7" a="1"/>
  <c r="C118" i="7" a="1"/>
  <c r="E112" i="7" a="1"/>
  <c r="I192" i="7" a="1"/>
  <c r="H180" i="7" a="1"/>
  <c r="C125" i="7" a="1"/>
  <c r="D209" i="7" a="1"/>
  <c r="C79" i="7" a="1"/>
  <c r="C96" i="7" a="1"/>
  <c r="F82" i="7" a="1"/>
  <c r="H185" i="7" a="1"/>
  <c r="I81" i="7" a="1"/>
  <c r="D98" i="7" a="1"/>
  <c r="B104" i="7" a="1"/>
  <c r="C179" i="7" a="1"/>
  <c r="F224" i="7" a="1"/>
  <c r="H245" i="7" a="1"/>
  <c r="E114" i="7" a="1"/>
  <c r="I90" i="7" a="1"/>
  <c r="C198" i="7" a="1"/>
  <c r="C243" i="7" a="1"/>
  <c r="D225" i="7" a="1"/>
  <c r="F156" i="7" a="1"/>
  <c r="D294" i="7" a="1"/>
  <c r="E68" i="7" a="1"/>
  <c r="I296" i="7" a="1"/>
  <c r="F4" i="7" a="1"/>
  <c r="H107" i="7" a="1"/>
  <c r="H162" i="7" a="1"/>
  <c r="H162" i="7" l="1"/>
  <c r="H107" i="7"/>
  <c r="F4" i="7"/>
  <c r="I296" i="7"/>
  <c r="E68" i="7"/>
  <c r="D294" i="7"/>
  <c r="F156" i="7"/>
  <c r="D225" i="7"/>
  <c r="C243" i="7"/>
  <c r="C198" i="7"/>
  <c r="I90" i="7"/>
  <c r="E114" i="7"/>
  <c r="H245" i="7"/>
  <c r="F224" i="7"/>
  <c r="C179" i="7"/>
  <c r="B104" i="7"/>
  <c r="D98" i="7"/>
  <c r="I81" i="7"/>
  <c r="H185" i="7"/>
  <c r="F82" i="7"/>
  <c r="C96" i="7"/>
  <c r="C79" i="7"/>
  <c r="D209" i="7"/>
  <c r="C125" i="7"/>
  <c r="H180" i="7"/>
  <c r="I192" i="7"/>
  <c r="E112" i="7"/>
  <c r="C118" i="7"/>
  <c r="F68" i="7"/>
  <c r="D235" i="7"/>
  <c r="F81" i="7"/>
  <c r="E190" i="7"/>
  <c r="I187" i="7"/>
  <c r="F208" i="7"/>
  <c r="D195" i="7"/>
  <c r="F85" i="7"/>
  <c r="F54" i="7"/>
  <c r="C156" i="7"/>
  <c r="H202" i="7"/>
  <c r="I142" i="7"/>
  <c r="B269" i="7"/>
  <c r="I245" i="7"/>
  <c r="B283" i="7"/>
  <c r="C230" i="7"/>
  <c r="E289" i="7"/>
  <c r="C276" i="7"/>
  <c r="C189" i="7"/>
  <c r="B244" i="7"/>
  <c r="F111" i="7"/>
  <c r="I158" i="7"/>
  <c r="B230" i="7"/>
  <c r="I100" i="7"/>
  <c r="C219" i="7"/>
  <c r="B98" i="7"/>
  <c r="I251" i="7"/>
  <c r="E209" i="7"/>
  <c r="C222" i="7"/>
  <c r="C108" i="7"/>
  <c r="I283" i="7"/>
  <c r="H136" i="7"/>
  <c r="D95" i="7"/>
  <c r="H129" i="7"/>
  <c r="B151" i="7"/>
  <c r="E216" i="7"/>
  <c r="H177" i="7"/>
  <c r="C99" i="7"/>
  <c r="I291" i="7"/>
  <c r="B119" i="7"/>
  <c r="C223" i="7"/>
  <c r="D57" i="7"/>
  <c r="B282" i="7"/>
  <c r="D255" i="7"/>
  <c r="C285" i="7"/>
  <c r="I91" i="7"/>
  <c r="H117" i="7"/>
  <c r="E297" i="7"/>
  <c r="I134" i="7"/>
  <c r="H256" i="7"/>
  <c r="F278" i="7"/>
  <c r="I84" i="7"/>
  <c r="B192" i="7"/>
  <c r="D175" i="7"/>
  <c r="D101" i="7"/>
  <c r="F279" i="7"/>
  <c r="B56" i="7"/>
  <c r="F97" i="7"/>
  <c r="E122" i="7"/>
  <c r="H123" i="7"/>
  <c r="B208" i="7"/>
  <c r="B196" i="7"/>
  <c r="H5" i="7"/>
  <c r="F229" i="7"/>
  <c r="F277" i="7"/>
  <c r="C202" i="7"/>
  <c r="I194" i="7"/>
  <c r="H236" i="7"/>
  <c r="C153" i="7"/>
  <c r="H274" i="7"/>
  <c r="F160" i="7"/>
  <c r="H86" i="7"/>
  <c r="H234" i="7"/>
  <c r="C263" i="7"/>
  <c r="C191" i="7"/>
  <c r="E93" i="7"/>
  <c r="E258" i="7"/>
  <c r="D206" i="7"/>
  <c r="F237" i="7"/>
  <c r="I210" i="7"/>
  <c r="C201" i="7"/>
  <c r="H252" i="7"/>
  <c r="I141" i="7"/>
  <c r="F253" i="7"/>
  <c r="C167" i="7"/>
  <c r="B177" i="7"/>
  <c r="D283" i="7"/>
  <c r="D194" i="7"/>
  <c r="D296" i="7"/>
  <c r="D70" i="7"/>
  <c r="H188" i="7"/>
  <c r="H141" i="7"/>
  <c r="E273" i="7"/>
  <c r="C257" i="7"/>
  <c r="D144" i="7"/>
  <c r="D137" i="7"/>
  <c r="E175" i="7"/>
  <c r="E200" i="7"/>
  <c r="I250" i="7"/>
  <c r="D54" i="7"/>
  <c r="H130" i="7"/>
  <c r="H212" i="7"/>
  <c r="B260" i="7"/>
  <c r="H134" i="7"/>
  <c r="B173" i="7"/>
  <c r="F296" i="7"/>
  <c r="D271" i="7"/>
  <c r="C78" i="7"/>
  <c r="B155" i="7"/>
  <c r="E214" i="7"/>
  <c r="E91" i="7"/>
  <c r="B235" i="7"/>
  <c r="C233" i="7"/>
  <c r="H183" i="7"/>
  <c r="F70" i="7"/>
  <c r="B100" i="7"/>
  <c r="D191" i="7"/>
  <c r="I165" i="7"/>
  <c r="I118" i="7"/>
  <c r="D218" i="7"/>
  <c r="I4" i="7"/>
  <c r="F107" i="7"/>
  <c r="F300" i="7"/>
  <c r="I122" i="7"/>
  <c r="C245" i="7"/>
  <c r="B88" i="7"/>
  <c r="F215" i="7"/>
  <c r="D174" i="7"/>
  <c r="B54" i="7"/>
  <c r="E263" i="7"/>
  <c r="E237" i="7"/>
  <c r="C103" i="7"/>
  <c r="F168" i="7"/>
  <c r="C180" i="7"/>
  <c r="B189" i="7"/>
  <c r="C66" i="7"/>
  <c r="E64" i="7"/>
  <c r="F281" i="7"/>
  <c r="E181" i="7"/>
  <c r="C207" i="7"/>
  <c r="F262" i="7"/>
  <c r="F206" i="7"/>
  <c r="D151" i="7"/>
  <c r="I174" i="7"/>
  <c r="I200" i="7"/>
  <c r="B255" i="7"/>
  <c r="E58" i="7"/>
  <c r="H248" i="7"/>
  <c r="B240" i="7"/>
  <c r="D186" i="7"/>
  <c r="D247" i="7"/>
  <c r="C171" i="7"/>
  <c r="D158" i="7"/>
  <c r="B300" i="7"/>
  <c r="H293" i="7"/>
  <c r="D125" i="7"/>
  <c r="E105" i="7"/>
  <c r="H110" i="7"/>
  <c r="B79" i="7"/>
  <c r="H112" i="7"/>
  <c r="B118" i="7"/>
  <c r="H171" i="7"/>
  <c r="H3" i="7"/>
  <c r="B184" i="7"/>
  <c r="C199" i="7"/>
  <c r="E59" i="7"/>
  <c r="D134" i="7"/>
  <c r="B61" i="7"/>
  <c r="F153" i="7"/>
  <c r="B94" i="7"/>
  <c r="E92" i="7"/>
  <c r="H100" i="7"/>
  <c r="D260" i="7"/>
  <c r="H230" i="7"/>
  <c r="D250" i="7"/>
  <c r="I205" i="7"/>
  <c r="F212" i="7"/>
  <c r="B82" i="7"/>
  <c r="C250" i="7"/>
  <c r="E285" i="7"/>
  <c r="I230" i="7"/>
  <c r="F57" i="7"/>
  <c r="I99" i="7"/>
  <c r="I65" i="7"/>
  <c r="E230" i="7"/>
  <c r="I268" i="7"/>
  <c r="I202" i="7"/>
  <c r="I249" i="7"/>
  <c r="I78" i="7"/>
  <c r="I125" i="7"/>
  <c r="C213" i="7"/>
  <c r="E288" i="7"/>
  <c r="B242" i="7"/>
  <c r="D85" i="7"/>
  <c r="H133" i="7"/>
  <c r="C161" i="7"/>
  <c r="D90" i="7"/>
  <c r="E73" i="7"/>
  <c r="E100" i="7"/>
  <c r="H143" i="7"/>
  <c r="I182" i="7"/>
  <c r="C266" i="7"/>
  <c r="B292" i="7"/>
  <c r="D117" i="7"/>
  <c r="E178" i="7"/>
  <c r="C53" i="7"/>
  <c r="D230" i="7"/>
  <c r="F119" i="7"/>
  <c r="B250" i="7"/>
  <c r="F241" i="7"/>
  <c r="E123" i="7"/>
  <c r="H154" i="7"/>
  <c r="C121" i="7"/>
  <c r="I218" i="7"/>
  <c r="C88" i="7"/>
  <c r="H150" i="7"/>
  <c r="I175" i="7"/>
  <c r="E7" i="7"/>
  <c r="E277" i="7"/>
  <c r="F151" i="7"/>
  <c r="E148" i="7"/>
  <c r="I8" i="7"/>
  <c r="H166" i="7"/>
  <c r="E162" i="7"/>
  <c r="D246" i="7"/>
  <c r="B85" i="7"/>
  <c r="I294" i="7"/>
  <c r="F94" i="7"/>
  <c r="H65" i="7"/>
  <c r="D88" i="7"/>
  <c r="I282" i="7"/>
  <c r="C239" i="7"/>
  <c r="D131" i="7"/>
  <c r="B194" i="7"/>
  <c r="B2" i="7"/>
  <c r="D236" i="7"/>
  <c r="D275" i="7"/>
  <c r="B62" i="7"/>
  <c r="H93" i="7"/>
  <c r="H286" i="7"/>
  <c r="F6" i="7"/>
  <c r="C81" i="7"/>
  <c r="H59" i="7"/>
  <c r="F91" i="7"/>
  <c r="F264" i="7"/>
  <c r="I101" i="7"/>
  <c r="B214" i="7"/>
  <c r="E232" i="7"/>
  <c r="H222" i="7"/>
  <c r="B203" i="7"/>
  <c r="I224" i="7"/>
  <c r="H164" i="7"/>
  <c r="I189" i="7"/>
  <c r="F226" i="7"/>
  <c r="D142" i="7"/>
  <c r="I74" i="7"/>
  <c r="D166" i="7"/>
  <c r="I147" i="7"/>
  <c r="E295" i="7"/>
  <c r="D100" i="7"/>
  <c r="D139" i="7"/>
  <c r="E256" i="7"/>
  <c r="F120" i="7"/>
  <c r="E138" i="7"/>
  <c r="H149" i="7"/>
  <c r="E65" i="7"/>
  <c r="C177" i="7"/>
  <c r="E262" i="7"/>
  <c r="I237" i="7"/>
  <c r="F203" i="7"/>
  <c r="D148" i="7"/>
  <c r="B237" i="7"/>
  <c r="H221" i="7"/>
  <c r="B72" i="7"/>
  <c r="D201" i="7"/>
  <c r="B146" i="7"/>
  <c r="E225" i="7"/>
  <c r="C145" i="7"/>
  <c r="B178" i="7"/>
  <c r="B277" i="7"/>
  <c r="D300" i="7"/>
  <c r="E142" i="7"/>
  <c r="B274" i="7"/>
  <c r="C58" i="7"/>
  <c r="I256" i="7"/>
  <c r="F141" i="7"/>
  <c r="D74" i="7"/>
  <c r="C287" i="7"/>
  <c r="D200" i="7"/>
  <c r="I123" i="7"/>
  <c r="F183" i="7"/>
  <c r="B106" i="7"/>
  <c r="E96" i="7"/>
  <c r="D266" i="7"/>
  <c r="B257" i="7"/>
  <c r="C147" i="7"/>
  <c r="I253" i="7"/>
  <c r="D207" i="7"/>
  <c r="E110" i="7"/>
  <c r="D182" i="7"/>
  <c r="D119" i="7"/>
  <c r="E141" i="7"/>
  <c r="I260" i="7"/>
  <c r="E300" i="7"/>
  <c r="H99" i="7"/>
  <c r="H279" i="7"/>
  <c r="D244" i="7"/>
  <c r="I243" i="7"/>
  <c r="F100" i="7"/>
  <c r="H255" i="7"/>
  <c r="C57" i="7"/>
  <c r="F266" i="7"/>
  <c r="I152" i="7"/>
  <c r="D115" i="7"/>
  <c r="F142" i="7"/>
  <c r="I59" i="7"/>
  <c r="H209" i="7"/>
  <c r="B297" i="7"/>
  <c r="D291" i="7"/>
  <c r="D180" i="7"/>
  <c r="C141" i="7"/>
  <c r="B289" i="7"/>
  <c r="F187" i="7"/>
  <c r="F73" i="7"/>
  <c r="E139" i="7"/>
  <c r="C255" i="7"/>
  <c r="H259" i="7"/>
  <c r="F139" i="7"/>
  <c r="B113" i="7"/>
  <c r="D91" i="7"/>
  <c r="H292" i="7"/>
  <c r="D109" i="7"/>
  <c r="D140" i="7"/>
  <c r="C98" i="7"/>
  <c r="D270" i="7"/>
  <c r="H122" i="7"/>
  <c r="B132" i="7"/>
  <c r="E282" i="7"/>
  <c r="F243" i="7"/>
  <c r="I270" i="7"/>
  <c r="F135" i="7"/>
  <c r="C143" i="7"/>
  <c r="I66" i="7"/>
  <c r="B238" i="7"/>
  <c r="C262" i="7"/>
  <c r="B216" i="7"/>
  <c r="D146" i="7"/>
  <c r="B66" i="7"/>
  <c r="I156" i="7"/>
  <c r="C92" i="7"/>
  <c r="H73" i="7"/>
  <c r="F218" i="7"/>
  <c r="E210" i="7"/>
  <c r="H88" i="7"/>
  <c r="H203" i="7"/>
  <c r="B193" i="7"/>
  <c r="D58" i="7"/>
  <c r="C253" i="7"/>
  <c r="E159" i="7"/>
  <c r="H269" i="7"/>
  <c r="D226" i="7"/>
  <c r="D288" i="7"/>
  <c r="C190" i="7"/>
  <c r="D273" i="7"/>
  <c r="F87" i="7"/>
  <c r="I146" i="7"/>
  <c r="D96" i="7"/>
  <c r="H216" i="7"/>
  <c r="I300" i="7"/>
  <c r="F167" i="7"/>
  <c r="F195" i="7"/>
  <c r="E53" i="7"/>
  <c r="D284" i="7"/>
  <c r="F291" i="7"/>
  <c r="H288" i="7"/>
  <c r="I54" i="7"/>
  <c r="D76" i="7"/>
  <c r="E165" i="7"/>
  <c r="B232" i="7"/>
  <c r="D113" i="7"/>
  <c r="E55" i="7"/>
  <c r="E278" i="7"/>
  <c r="H75" i="7"/>
  <c r="F259" i="7"/>
  <c r="H135" i="7"/>
  <c r="E187" i="7"/>
  <c r="B96" i="7"/>
  <c r="H148" i="7"/>
  <c r="I233" i="7"/>
  <c r="F292" i="7"/>
  <c r="B140" i="7"/>
  <c r="H6" i="7"/>
  <c r="H277" i="7"/>
  <c r="D221" i="7"/>
  <c r="C178" i="7"/>
  <c r="C4" i="7"/>
  <c r="B227" i="7"/>
  <c r="B195" i="7"/>
  <c r="E127" i="7"/>
  <c r="B114" i="7"/>
  <c r="I214" i="7"/>
  <c r="E99" i="7"/>
  <c r="B294" i="7"/>
  <c r="C150" i="7"/>
  <c r="E76" i="7"/>
  <c r="F102" i="7"/>
  <c r="I119" i="7"/>
  <c r="H101" i="7"/>
  <c r="B224" i="7"/>
  <c r="C2" i="7"/>
  <c r="F290" i="7"/>
  <c r="F298" i="7"/>
  <c r="F78" i="7"/>
  <c r="F149" i="7"/>
  <c r="C248" i="7"/>
  <c r="D129" i="7"/>
  <c r="B168" i="7"/>
  <c r="I177" i="7"/>
  <c r="E247" i="7"/>
  <c r="I173" i="7"/>
  <c r="I167" i="7"/>
  <c r="D172" i="7"/>
  <c r="C220" i="7"/>
  <c r="E171" i="7"/>
  <c r="B92" i="7"/>
  <c r="E229" i="7"/>
  <c r="D256" i="7"/>
  <c r="C163" i="7"/>
  <c r="E243" i="7"/>
  <c r="E95" i="7"/>
  <c r="B109" i="7"/>
  <c r="F202" i="7"/>
  <c r="B182" i="7"/>
  <c r="D187" i="7"/>
  <c r="C124" i="7"/>
  <c r="D145" i="7"/>
  <c r="I263" i="7"/>
  <c r="B271" i="7"/>
  <c r="H235" i="7"/>
  <c r="D193" i="7"/>
  <c r="B90" i="7"/>
  <c r="I71" i="7"/>
  <c r="E149" i="7"/>
  <c r="E150" i="7"/>
  <c r="I93" i="7"/>
  <c r="E179" i="7"/>
  <c r="F220" i="7"/>
  <c r="D185" i="7"/>
  <c r="E85" i="7"/>
  <c r="B239" i="7"/>
  <c r="E74" i="7"/>
  <c r="H54" i="7"/>
  <c r="F231" i="7"/>
  <c r="D56" i="7"/>
  <c r="C5" i="7"/>
  <c r="H121" i="7"/>
  <c r="E279" i="7"/>
  <c r="B160" i="7"/>
  <c r="B264" i="7"/>
  <c r="I201" i="7"/>
  <c r="B144" i="7"/>
  <c r="B212" i="7"/>
  <c r="I231" i="7"/>
  <c r="B252" i="7"/>
  <c r="H106" i="7"/>
  <c r="B215" i="7"/>
  <c r="I102" i="7"/>
  <c r="E252" i="7"/>
  <c r="F110" i="7"/>
  <c r="E196" i="7"/>
  <c r="E80" i="7"/>
  <c r="C174" i="7"/>
  <c r="H207" i="7"/>
  <c r="E173" i="7"/>
  <c r="D241" i="7"/>
  <c r="F65" i="7"/>
  <c r="H226" i="7"/>
  <c r="I5" i="7"/>
  <c r="F52" i="7"/>
  <c r="I223" i="7"/>
  <c r="F196" i="7"/>
  <c r="H104" i="7"/>
  <c r="E51" i="7"/>
  <c r="E56" i="7"/>
  <c r="F193" i="7"/>
  <c r="F263" i="7"/>
  <c r="I254" i="7"/>
  <c r="F288" i="7"/>
  <c r="I110" i="7"/>
  <c r="F179" i="7"/>
  <c r="C227" i="7"/>
  <c r="E260" i="7"/>
  <c r="H173" i="7"/>
  <c r="B249" i="7"/>
  <c r="I227" i="7"/>
  <c r="D269" i="7"/>
  <c r="B53" i="7"/>
  <c r="C228" i="7"/>
  <c r="E182" i="7"/>
  <c r="D184" i="7"/>
  <c r="F174" i="7"/>
  <c r="B213" i="7"/>
  <c r="B228" i="7"/>
  <c r="E160" i="7"/>
  <c r="E192" i="7"/>
  <c r="I150" i="7"/>
  <c r="B197" i="7"/>
  <c r="F66" i="7"/>
  <c r="I280" i="7"/>
  <c r="C224" i="7"/>
  <c r="D227" i="7"/>
  <c r="C188" i="7"/>
  <c r="C294" i="7"/>
  <c r="H271" i="7"/>
  <c r="H76" i="7"/>
  <c r="H80" i="7"/>
  <c r="E242" i="7"/>
  <c r="F118" i="7"/>
  <c r="I151" i="7"/>
  <c r="E87" i="7"/>
  <c r="F171" i="7"/>
  <c r="D87" i="7"/>
  <c r="I112" i="7"/>
  <c r="C68" i="7"/>
  <c r="H243" i="7"/>
  <c r="H266" i="7"/>
  <c r="C218" i="7"/>
  <c r="I285" i="7"/>
  <c r="C279" i="7"/>
  <c r="I272" i="7"/>
  <c r="F275" i="7"/>
  <c r="D248" i="7"/>
  <c r="B183" i="7"/>
  <c r="F136" i="7"/>
  <c r="C139" i="7"/>
  <c r="H94" i="7"/>
  <c r="H265" i="7"/>
  <c r="H231" i="7"/>
  <c r="E244" i="7"/>
  <c r="H61" i="7"/>
  <c r="H241" i="7"/>
  <c r="F242" i="7"/>
  <c r="C152" i="7"/>
  <c r="E63" i="7"/>
  <c r="F244" i="7"/>
  <c r="F276" i="7"/>
  <c r="F121" i="7"/>
  <c r="I257" i="7"/>
  <c r="I168" i="7"/>
  <c r="E227" i="7"/>
  <c r="E205" i="7"/>
  <c r="C164" i="7"/>
  <c r="D67" i="7"/>
  <c r="D254" i="7"/>
  <c r="F199" i="7"/>
  <c r="E296" i="7"/>
  <c r="D183" i="7"/>
  <c r="B236" i="7"/>
  <c r="C203" i="7"/>
  <c r="D132" i="7"/>
  <c r="I51" i="7"/>
  <c r="I2" i="7"/>
  <c r="F130" i="7"/>
  <c r="C183" i="7"/>
  <c r="C120" i="7"/>
  <c r="E236" i="7"/>
  <c r="H118" i="7"/>
  <c r="E202" i="7"/>
  <c r="H58" i="7"/>
  <c r="H263" i="7"/>
  <c r="C122" i="7"/>
  <c r="D83" i="7"/>
  <c r="C281" i="7"/>
  <c r="H298" i="7"/>
  <c r="I229" i="7"/>
  <c r="C55" i="7"/>
  <c r="B130" i="7"/>
  <c r="I206" i="7"/>
  <c r="C238" i="7"/>
  <c r="I284" i="7"/>
  <c r="D68" i="7"/>
  <c r="E234" i="7"/>
  <c r="C293" i="7"/>
  <c r="C272" i="7"/>
  <c r="I157" i="7"/>
  <c r="C256" i="7"/>
  <c r="F159" i="7"/>
  <c r="B129" i="7"/>
  <c r="I244" i="7"/>
  <c r="I86" i="7"/>
  <c r="I203" i="7"/>
  <c r="I132" i="7"/>
  <c r="E89" i="7"/>
  <c r="B225" i="7"/>
  <c r="F2" i="7"/>
  <c r="H90" i="7"/>
  <c r="C194" i="7"/>
  <c r="B204" i="7"/>
  <c r="I213" i="7"/>
  <c r="E132" i="7"/>
  <c r="F194" i="7"/>
  <c r="D299" i="7"/>
  <c r="C277" i="7"/>
  <c r="I154" i="7"/>
  <c r="B188" i="7"/>
  <c r="I127" i="7"/>
  <c r="I195" i="7"/>
  <c r="H196" i="7"/>
  <c r="I64" i="7"/>
  <c r="D116" i="7"/>
  <c r="H103" i="7"/>
  <c r="H167" i="7"/>
  <c r="F235" i="7"/>
  <c r="B174" i="7"/>
  <c r="E151" i="7"/>
  <c r="H8" i="7"/>
  <c r="H53" i="7"/>
  <c r="C247" i="7"/>
  <c r="F161" i="7"/>
  <c r="H247" i="7"/>
  <c r="C115" i="7"/>
  <c r="H178" i="7"/>
  <c r="I207" i="7"/>
  <c r="B139" i="7"/>
  <c r="C173" i="7"/>
  <c r="F143" i="7"/>
  <c r="H68" i="7"/>
  <c r="F98" i="7"/>
  <c r="H219" i="7"/>
  <c r="B286" i="7"/>
  <c r="C135" i="7"/>
  <c r="D111" i="7"/>
  <c r="I63" i="7"/>
  <c r="H199" i="7"/>
  <c r="E299" i="7"/>
  <c r="C106" i="7"/>
  <c r="C73" i="7"/>
  <c r="C165" i="7"/>
  <c r="D245" i="7"/>
  <c r="E134" i="7"/>
  <c r="H72" i="7"/>
  <c r="H125" i="7"/>
  <c r="H98" i="7"/>
  <c r="D149" i="7"/>
  <c r="F247" i="7"/>
  <c r="H291" i="7"/>
  <c r="B102" i="7"/>
  <c r="E8" i="7"/>
  <c r="C84" i="7"/>
  <c r="H211" i="7"/>
  <c r="F109" i="7"/>
  <c r="B143" i="7"/>
  <c r="C280" i="7"/>
  <c r="H170" i="7"/>
  <c r="H7" i="7"/>
  <c r="H165" i="7"/>
  <c r="B112" i="7"/>
  <c r="B78" i="7"/>
  <c r="H176" i="7"/>
  <c r="C215" i="7"/>
  <c r="C234" i="7"/>
  <c r="F93" i="7"/>
  <c r="D80" i="7"/>
  <c r="E248" i="7"/>
  <c r="F184" i="7"/>
  <c r="C197" i="7"/>
  <c r="I114" i="7"/>
  <c r="E174" i="7"/>
  <c r="I3" i="7"/>
  <c r="B91" i="7"/>
  <c r="F158" i="7"/>
  <c r="B287" i="7"/>
  <c r="B145" i="7"/>
  <c r="D65" i="7"/>
  <c r="I97" i="7"/>
  <c r="H287" i="7"/>
  <c r="E167" i="7"/>
  <c r="H244" i="7"/>
  <c r="F112" i="7"/>
  <c r="E145" i="7"/>
  <c r="F232" i="7"/>
  <c r="C149" i="7"/>
  <c r="H172" i="7"/>
  <c r="I116" i="7"/>
  <c r="D55" i="7"/>
  <c r="H145" i="7"/>
  <c r="B141" i="7"/>
  <c r="H115" i="7"/>
  <c r="H114" i="7"/>
  <c r="F164" i="7"/>
  <c r="D157" i="7"/>
  <c r="D169" i="7"/>
  <c r="F270" i="7"/>
  <c r="E69" i="7"/>
  <c r="B209" i="7"/>
  <c r="D141" i="7"/>
  <c r="E115" i="7"/>
  <c r="D279" i="7"/>
  <c r="E2" i="7"/>
  <c r="C206" i="7"/>
  <c r="D181" i="7"/>
  <c r="I6" i="7"/>
  <c r="E161" i="7"/>
  <c r="B107" i="7"/>
  <c r="B135" i="7"/>
  <c r="F182" i="7"/>
  <c r="D165" i="7"/>
  <c r="I273" i="7"/>
  <c r="F89" i="7"/>
  <c r="H194" i="7"/>
  <c r="E219" i="7"/>
  <c r="D265" i="7"/>
  <c r="H296" i="7"/>
  <c r="I130" i="7"/>
  <c r="C80" i="7"/>
  <c r="F284" i="7"/>
  <c r="B74" i="7"/>
  <c r="C231" i="7"/>
  <c r="E222" i="7"/>
  <c r="F51" i="7"/>
  <c r="I161" i="7"/>
  <c r="H128" i="7"/>
  <c r="H268" i="7"/>
  <c r="C296" i="7"/>
  <c r="C111" i="7"/>
  <c r="D124" i="7"/>
  <c r="I240" i="7"/>
  <c r="B206" i="7"/>
  <c r="E280" i="7"/>
  <c r="B291" i="7"/>
  <c r="H105" i="7"/>
  <c r="H91" i="7"/>
  <c r="F280" i="7"/>
  <c r="H181" i="7"/>
  <c r="D252" i="7"/>
  <c r="C138" i="7"/>
  <c r="E223" i="7"/>
  <c r="B164" i="7"/>
  <c r="F293" i="7"/>
  <c r="I219" i="7"/>
  <c r="D223" i="7"/>
  <c r="I265" i="7"/>
  <c r="C237" i="7"/>
  <c r="E180" i="7"/>
  <c r="E195" i="7"/>
  <c r="E5" i="7"/>
  <c r="B138" i="7"/>
  <c r="E77" i="7"/>
  <c r="F185" i="7"/>
  <c r="D53" i="7"/>
  <c r="B179" i="7"/>
  <c r="F140" i="7"/>
  <c r="E67" i="7"/>
  <c r="E130" i="7"/>
  <c r="D267" i="7"/>
  <c r="C112" i="7"/>
  <c r="F236" i="7"/>
  <c r="E291" i="7"/>
  <c r="E217" i="7"/>
  <c r="B261" i="7"/>
  <c r="B68" i="7"/>
  <c r="H147" i="7"/>
  <c r="I149" i="7"/>
  <c r="F225" i="7"/>
  <c r="E189" i="7"/>
  <c r="B276" i="7"/>
  <c r="E152" i="7"/>
  <c r="D105" i="7"/>
  <c r="I128" i="7"/>
  <c r="D152" i="7"/>
  <c r="B266" i="7"/>
  <c r="I87" i="7"/>
  <c r="E253" i="7"/>
  <c r="I166" i="7"/>
  <c r="I80" i="7"/>
  <c r="I113" i="7"/>
  <c r="C291" i="7"/>
  <c r="D66" i="7"/>
  <c r="D128" i="7"/>
  <c r="E86" i="7"/>
  <c r="E144" i="7"/>
  <c r="D295" i="7"/>
  <c r="H67" i="7"/>
  <c r="C282" i="7"/>
  <c r="H151" i="7"/>
  <c r="C268" i="7"/>
  <c r="F103" i="7"/>
  <c r="H233" i="7"/>
  <c r="F216" i="7"/>
  <c r="F122" i="7"/>
  <c r="H284" i="7"/>
  <c r="F72" i="7"/>
  <c r="B275" i="7"/>
  <c r="I298" i="7"/>
  <c r="C182" i="7"/>
  <c r="F217" i="7"/>
  <c r="E215" i="7"/>
  <c r="D282" i="7"/>
  <c r="F245" i="7"/>
  <c r="B105" i="7"/>
  <c r="C69" i="7"/>
  <c r="F165" i="7"/>
  <c r="B157" i="7"/>
  <c r="I155" i="7"/>
  <c r="I145" i="7"/>
  <c r="F76" i="7"/>
  <c r="H264" i="7"/>
  <c r="F294" i="7"/>
  <c r="E131" i="7"/>
  <c r="B153" i="7"/>
  <c r="D259" i="7"/>
  <c r="B226" i="7"/>
  <c r="C226" i="7"/>
  <c r="B121" i="7"/>
  <c r="D154" i="7"/>
  <c r="D6" i="7"/>
  <c r="H69" i="7"/>
  <c r="I75" i="7"/>
  <c r="F240" i="7"/>
  <c r="B84" i="7"/>
  <c r="C297" i="7"/>
  <c r="I178" i="7"/>
  <c r="F273" i="7"/>
  <c r="B268" i="7"/>
  <c r="D219" i="7"/>
  <c r="I269" i="7"/>
  <c r="B217" i="7"/>
  <c r="F181" i="7"/>
  <c r="F258" i="7"/>
  <c r="I211" i="7"/>
  <c r="H260" i="7"/>
  <c r="F92" i="7"/>
  <c r="B281" i="7"/>
  <c r="F172" i="7"/>
  <c r="F210" i="7"/>
  <c r="B3" i="7"/>
  <c r="E264" i="7"/>
  <c r="E172" i="7"/>
  <c r="B278" i="7"/>
  <c r="D210" i="7"/>
  <c r="H267" i="7"/>
  <c r="F257" i="7"/>
  <c r="H124" i="7"/>
  <c r="F8" i="7"/>
  <c r="H96" i="7"/>
  <c r="B272" i="7"/>
  <c r="C56" i="7"/>
  <c r="D239" i="7"/>
  <c r="E203" i="7"/>
  <c r="C288" i="7"/>
  <c r="H169" i="7"/>
  <c r="H52" i="7"/>
  <c r="B263" i="7"/>
  <c r="I186" i="7"/>
  <c r="C116" i="7"/>
  <c r="B207" i="7"/>
  <c r="H218" i="7"/>
  <c r="D108" i="7"/>
  <c r="C83" i="7"/>
  <c r="I232" i="7"/>
  <c r="B86" i="7"/>
  <c r="C211" i="7"/>
  <c r="C62" i="7"/>
  <c r="H131" i="7"/>
  <c r="F261" i="7"/>
  <c r="I163" i="7"/>
  <c r="I76" i="7"/>
  <c r="E286" i="7"/>
  <c r="E72" i="7"/>
  <c r="I136" i="7"/>
  <c r="B251" i="7"/>
  <c r="B180" i="7"/>
  <c r="H205" i="7"/>
  <c r="E208" i="7"/>
  <c r="B248" i="7"/>
  <c r="B167" i="7"/>
  <c r="E71" i="7"/>
  <c r="D133" i="7"/>
  <c r="D167" i="7"/>
  <c r="D75" i="7"/>
  <c r="I61" i="7"/>
  <c r="F299" i="7"/>
  <c r="I95" i="7"/>
  <c r="C214" i="7"/>
  <c r="C265" i="7"/>
  <c r="F128" i="7"/>
  <c r="E233" i="7"/>
  <c r="B99" i="7"/>
  <c r="H275" i="7"/>
  <c r="H240" i="7"/>
  <c r="E275" i="7"/>
  <c r="H127" i="7"/>
  <c r="C241" i="7"/>
  <c r="B284" i="7"/>
  <c r="F105" i="7"/>
  <c r="C264" i="7"/>
  <c r="C242" i="7"/>
  <c r="I264" i="7"/>
  <c r="I275" i="7"/>
  <c r="I111" i="7"/>
  <c r="I69" i="7"/>
  <c r="F71" i="7"/>
  <c r="B75" i="7"/>
  <c r="I238" i="7"/>
  <c r="F265" i="7"/>
  <c r="F198" i="7"/>
  <c r="H144" i="7"/>
  <c r="E290" i="7"/>
  <c r="H206" i="7"/>
  <c r="E201" i="7"/>
  <c r="D234" i="7"/>
  <c r="E146" i="7"/>
  <c r="F145" i="7"/>
  <c r="C133" i="7"/>
  <c r="H208" i="7"/>
  <c r="F178" i="7"/>
  <c r="D220" i="7"/>
  <c r="F104" i="7"/>
  <c r="H299" i="7"/>
  <c r="I53" i="7"/>
  <c r="E164" i="7"/>
  <c r="I204" i="7"/>
  <c r="B133" i="7"/>
  <c r="I115" i="7"/>
  <c r="H142" i="7"/>
  <c r="F69" i="7"/>
  <c r="C123" i="7"/>
  <c r="C86" i="7"/>
  <c r="H71" i="7"/>
  <c r="C148" i="7"/>
  <c r="E106" i="7"/>
  <c r="I241" i="7"/>
  <c r="E226" i="7"/>
  <c r="C252" i="7"/>
  <c r="F7" i="7"/>
  <c r="H182" i="7"/>
  <c r="F60" i="7"/>
  <c r="I7" i="7"/>
  <c r="I236" i="7"/>
  <c r="C185" i="7"/>
  <c r="H77" i="7"/>
  <c r="H262" i="7"/>
  <c r="D121" i="7"/>
  <c r="H85" i="7"/>
  <c r="E231" i="7"/>
  <c r="I180" i="7"/>
  <c r="B169" i="7"/>
  <c r="E129" i="7"/>
  <c r="H224" i="7"/>
  <c r="B200" i="7"/>
  <c r="E121" i="7"/>
  <c r="I96" i="7"/>
  <c r="E267" i="7"/>
  <c r="C166" i="7"/>
  <c r="F5" i="7"/>
  <c r="F233" i="7"/>
  <c r="C195" i="7"/>
  <c r="C105" i="7"/>
  <c r="F3" i="7"/>
  <c r="E259" i="7"/>
  <c r="F201" i="7"/>
  <c r="F219" i="7"/>
  <c r="H161" i="7"/>
  <c r="B273" i="7"/>
  <c r="E113" i="7"/>
  <c r="B64" i="7"/>
  <c r="D82" i="7"/>
  <c r="D258" i="7"/>
  <c r="I88" i="7"/>
  <c r="H225" i="7"/>
  <c r="C172" i="7"/>
  <c r="B185" i="7"/>
  <c r="H237" i="7"/>
  <c r="H160" i="7"/>
  <c r="H250" i="7"/>
  <c r="F150" i="7"/>
  <c r="F146" i="7"/>
  <c r="F297" i="7"/>
  <c r="C89" i="7"/>
  <c r="C217" i="7"/>
  <c r="I148" i="7"/>
  <c r="H163" i="7"/>
  <c r="B229" i="7"/>
  <c r="D138" i="7"/>
  <c r="C70" i="7"/>
  <c r="I98" i="7"/>
  <c r="B70" i="7"/>
  <c r="I67" i="7"/>
  <c r="C126" i="7"/>
  <c r="H81" i="7"/>
  <c r="H138" i="7"/>
  <c r="C244" i="7"/>
  <c r="I255" i="7"/>
  <c r="D99" i="7"/>
  <c r="C205" i="7"/>
  <c r="B246" i="7"/>
  <c r="B295" i="7"/>
  <c r="F75" i="7"/>
  <c r="F267" i="7"/>
  <c r="F115" i="7"/>
  <c r="E57" i="7"/>
  <c r="B258" i="7"/>
  <c r="E128" i="7"/>
  <c r="B7" i="7"/>
  <c r="H223" i="7"/>
  <c r="I290" i="7"/>
  <c r="C261" i="7"/>
  <c r="H184" i="7"/>
  <c r="E218" i="7"/>
  <c r="E249" i="7"/>
  <c r="D212" i="7"/>
  <c r="D211" i="7"/>
  <c r="I234" i="7"/>
  <c r="I212" i="7"/>
  <c r="E102" i="7"/>
  <c r="D204" i="7"/>
  <c r="I217" i="7"/>
  <c r="F205" i="7"/>
  <c r="F84" i="7"/>
  <c r="D79" i="7"/>
  <c r="H246" i="7"/>
  <c r="I68" i="7"/>
  <c r="C298" i="7"/>
  <c r="H64" i="7"/>
  <c r="C299" i="7"/>
  <c r="E204" i="7"/>
  <c r="H204" i="7"/>
  <c r="H157" i="7"/>
  <c r="E276" i="7"/>
  <c r="F287" i="7"/>
  <c r="F96" i="7"/>
  <c r="D8" i="7"/>
  <c r="H258" i="7"/>
  <c r="H191" i="7"/>
  <c r="C258" i="7"/>
  <c r="F170" i="7"/>
  <c r="F269" i="7"/>
  <c r="F289" i="7"/>
  <c r="I172" i="7"/>
  <c r="B149" i="7"/>
  <c r="C235" i="7"/>
  <c r="F186" i="7"/>
  <c r="H119" i="7"/>
  <c r="I262" i="7"/>
  <c r="E170" i="7"/>
  <c r="E118" i="7"/>
  <c r="E254" i="7"/>
  <c r="D285" i="7"/>
  <c r="F55" i="7"/>
  <c r="F239" i="7"/>
  <c r="F90" i="7"/>
  <c r="F152" i="7"/>
  <c r="D97" i="7"/>
  <c r="D63" i="7"/>
  <c r="B256" i="7"/>
  <c r="I193" i="7"/>
  <c r="E126" i="7"/>
  <c r="B293" i="7"/>
  <c r="B222" i="7"/>
  <c r="D86" i="7"/>
  <c r="D127" i="7"/>
  <c r="E120" i="7"/>
  <c r="C74" i="7"/>
  <c r="B120" i="7"/>
  <c r="E75" i="7"/>
  <c r="E168" i="7"/>
  <c r="C176" i="7"/>
  <c r="B158" i="7"/>
  <c r="C137" i="7"/>
  <c r="H168" i="7"/>
  <c r="E137" i="7"/>
  <c r="C7" i="7"/>
  <c r="E224" i="7"/>
  <c r="B267" i="7"/>
  <c r="C93" i="7"/>
  <c r="C259" i="7"/>
  <c r="E294" i="7"/>
  <c r="F116" i="7"/>
  <c r="B162" i="7"/>
  <c r="D257" i="7"/>
  <c r="I137" i="7"/>
  <c r="I105" i="7"/>
  <c r="E101" i="7"/>
  <c r="I235" i="7"/>
  <c r="F271" i="7"/>
  <c r="F175" i="7"/>
  <c r="C65" i="7"/>
  <c r="I106" i="7"/>
  <c r="C225" i="7"/>
  <c r="F272" i="7"/>
  <c r="B8" i="7"/>
  <c r="I239" i="7"/>
  <c r="B280" i="7"/>
  <c r="C249" i="7"/>
  <c r="H189" i="7"/>
  <c r="E143" i="7"/>
  <c r="C100" i="7"/>
  <c r="H215" i="7"/>
  <c r="B59" i="7"/>
  <c r="F131" i="7"/>
  <c r="E293" i="7"/>
  <c r="I279" i="7"/>
  <c r="E197" i="7"/>
  <c r="C155" i="7"/>
  <c r="C204" i="7"/>
  <c r="B223" i="7"/>
  <c r="I108" i="7"/>
  <c r="B148" i="7"/>
  <c r="I222" i="7"/>
  <c r="D231" i="7"/>
  <c r="D287" i="7"/>
  <c r="C192" i="7"/>
  <c r="B247" i="7"/>
  <c r="F246" i="7"/>
  <c r="H214" i="7"/>
  <c r="D112" i="7"/>
  <c r="C127" i="7"/>
  <c r="B73" i="7"/>
  <c r="D118" i="7"/>
  <c r="B127" i="7"/>
  <c r="B198" i="7"/>
  <c r="I259" i="7"/>
  <c r="H159" i="7"/>
  <c r="B218" i="7"/>
  <c r="D232" i="7"/>
  <c r="H140" i="7"/>
  <c r="F61" i="7"/>
  <c r="D130" i="7"/>
  <c r="C72" i="7"/>
  <c r="H190" i="7"/>
  <c r="I248" i="7"/>
  <c r="I124" i="7"/>
  <c r="F106" i="7"/>
  <c r="B165" i="7"/>
  <c r="E228" i="7"/>
  <c r="H232" i="7"/>
  <c r="E245" i="7"/>
  <c r="E221" i="7"/>
  <c r="F113" i="7"/>
  <c r="C274" i="7"/>
  <c r="C193" i="7"/>
  <c r="I164" i="7"/>
  <c r="F148" i="7"/>
  <c r="I131" i="7"/>
  <c r="C196" i="7"/>
  <c r="H283" i="7"/>
  <c r="C200" i="7"/>
  <c r="F64" i="7"/>
  <c r="E220" i="7"/>
  <c r="F124" i="7"/>
  <c r="E104" i="7"/>
  <c r="I179" i="7"/>
  <c r="D126" i="7"/>
  <c r="H281" i="7"/>
  <c r="I73" i="7"/>
  <c r="H254" i="7"/>
  <c r="C77" i="7"/>
  <c r="D215" i="7"/>
  <c r="B5" i="7"/>
  <c r="D89" i="7"/>
  <c r="D136" i="7"/>
  <c r="D222" i="7"/>
  <c r="D243" i="7"/>
  <c r="F223" i="7"/>
  <c r="H153" i="7"/>
  <c r="F260" i="7"/>
  <c r="E79" i="7"/>
  <c r="D190" i="7"/>
  <c r="H276" i="7"/>
  <c r="H289" i="7"/>
  <c r="E109" i="7"/>
  <c r="B154" i="7"/>
  <c r="I261" i="7"/>
  <c r="E78" i="7"/>
  <c r="F77" i="7"/>
  <c r="I252" i="7"/>
  <c r="D159" i="7"/>
  <c r="D171" i="7"/>
  <c r="B71" i="7"/>
  <c r="B199" i="7"/>
  <c r="F99" i="7"/>
  <c r="F127" i="7"/>
  <c r="H83" i="7"/>
  <c r="H257" i="7"/>
  <c r="C283" i="7"/>
  <c r="D274" i="7"/>
  <c r="H132" i="7"/>
  <c r="I144" i="7"/>
  <c r="D237" i="7"/>
  <c r="F252" i="7"/>
  <c r="B254" i="7"/>
  <c r="E183" i="7"/>
  <c r="F147" i="7"/>
  <c r="E70" i="7"/>
  <c r="I191" i="7"/>
  <c r="I83" i="7"/>
  <c r="B152" i="7"/>
  <c r="C146" i="7"/>
  <c r="C254" i="7"/>
  <c r="C290" i="7"/>
  <c r="B142" i="7"/>
  <c r="C95" i="7"/>
  <c r="E250" i="7"/>
  <c r="E124" i="7"/>
  <c r="H113" i="7"/>
  <c r="I79" i="7"/>
  <c r="E88" i="7"/>
  <c r="I221" i="7"/>
  <c r="F88" i="7"/>
  <c r="D276" i="7"/>
  <c r="D202" i="7"/>
  <c r="C8" i="7"/>
  <c r="F256" i="7"/>
  <c r="C87" i="7"/>
  <c r="D106" i="7"/>
  <c r="E3" i="7"/>
  <c r="I126" i="7"/>
  <c r="H70" i="7"/>
  <c r="D176" i="7"/>
  <c r="C94" i="7"/>
  <c r="F268" i="7"/>
  <c r="D179" i="7"/>
  <c r="C59" i="7"/>
  <c r="C91" i="7"/>
  <c r="H278" i="7"/>
  <c r="D242" i="7"/>
  <c r="E193" i="7"/>
  <c r="B93" i="7"/>
  <c r="I271" i="7"/>
  <c r="C295" i="7"/>
  <c r="C104" i="7"/>
  <c r="H300" i="7"/>
  <c r="E61" i="7"/>
  <c r="F132" i="7"/>
  <c r="C271" i="7"/>
  <c r="H197" i="7"/>
  <c r="F138" i="7"/>
  <c r="F177" i="7"/>
  <c r="F255" i="7"/>
  <c r="I185" i="7"/>
  <c r="B265" i="7"/>
  <c r="D69" i="7"/>
  <c r="D178" i="7"/>
  <c r="D224" i="7"/>
  <c r="B156" i="7"/>
  <c r="F211" i="7"/>
  <c r="B4" i="7"/>
  <c r="E6" i="7"/>
  <c r="B262" i="7"/>
  <c r="C119" i="7"/>
  <c r="E271" i="7"/>
  <c r="F173" i="7"/>
  <c r="B80" i="7"/>
  <c r="E177" i="7"/>
  <c r="D199" i="7"/>
  <c r="I57" i="7"/>
  <c r="B290" i="7"/>
  <c r="B163" i="7"/>
  <c r="I129" i="7"/>
  <c r="D192" i="7"/>
  <c r="F95" i="7"/>
  <c r="D102" i="7"/>
  <c r="C114" i="7"/>
  <c r="B117" i="7"/>
  <c r="H79" i="7"/>
  <c r="D280" i="7"/>
  <c r="C209" i="7"/>
  <c r="B187" i="7"/>
  <c r="C110" i="7"/>
  <c r="E287" i="7"/>
  <c r="E103" i="7"/>
  <c r="B89" i="7"/>
  <c r="E257" i="7"/>
  <c r="H261" i="7"/>
  <c r="F133" i="7"/>
  <c r="B210" i="7"/>
  <c r="E191" i="7"/>
  <c r="C54" i="7"/>
  <c r="D81" i="7"/>
  <c r="F129" i="7"/>
  <c r="H217" i="7"/>
  <c r="E111" i="7"/>
  <c r="I242" i="7"/>
  <c r="E108" i="7"/>
  <c r="E107" i="7"/>
  <c r="I190" i="7"/>
  <c r="C169" i="7"/>
  <c r="C76" i="7"/>
  <c r="C232" i="7"/>
  <c r="C82" i="7"/>
  <c r="D59" i="7"/>
  <c r="C136" i="7"/>
  <c r="D262" i="7"/>
  <c r="C286" i="7"/>
  <c r="C140" i="7"/>
  <c r="B202" i="7"/>
  <c r="D240" i="7"/>
  <c r="H63" i="7"/>
  <c r="D78" i="7"/>
  <c r="I55" i="7"/>
  <c r="F154" i="7"/>
  <c r="B122" i="7"/>
  <c r="E82" i="7"/>
  <c r="H201" i="7"/>
  <c r="H152" i="7"/>
  <c r="B111" i="7"/>
  <c r="D188" i="7"/>
  <c r="I109" i="7"/>
  <c r="C64" i="7"/>
  <c r="D249" i="7"/>
  <c r="H116" i="7"/>
  <c r="F108" i="7"/>
  <c r="H295" i="7"/>
  <c r="B259" i="7"/>
  <c r="E199" i="7"/>
  <c r="F162" i="7"/>
  <c r="I58" i="7"/>
  <c r="E147" i="7"/>
  <c r="D292" i="7"/>
  <c r="D264" i="7"/>
  <c r="E125" i="7"/>
  <c r="E265" i="7"/>
  <c r="I181" i="7"/>
  <c r="H87" i="7"/>
  <c r="E188" i="7"/>
  <c r="D60" i="7"/>
  <c r="H74" i="7"/>
  <c r="D155" i="7"/>
  <c r="H97" i="7"/>
  <c r="D228" i="7"/>
  <c r="C3" i="7"/>
  <c r="I85" i="7"/>
  <c r="I120" i="7"/>
  <c r="F117" i="7"/>
  <c r="B241" i="7"/>
  <c r="I170" i="7"/>
  <c r="F58" i="7"/>
  <c r="B172" i="7"/>
  <c r="B60" i="7"/>
  <c r="C275" i="7"/>
  <c r="C117" i="7"/>
  <c r="D103" i="7"/>
  <c r="C267" i="7"/>
  <c r="E274" i="7"/>
  <c r="F126" i="7"/>
  <c r="F283" i="7"/>
  <c r="B161" i="7"/>
  <c r="D251" i="7"/>
  <c r="F295" i="7"/>
  <c r="F123" i="7"/>
  <c r="F221" i="7"/>
  <c r="B128" i="7"/>
  <c r="F227" i="7"/>
  <c r="D196" i="7"/>
  <c r="C151" i="7"/>
  <c r="F180" i="7"/>
  <c r="D150" i="7"/>
  <c r="I278" i="7"/>
  <c r="F192" i="7"/>
  <c r="E283" i="7"/>
  <c r="B101" i="7"/>
  <c r="F137" i="7"/>
  <c r="B115" i="7"/>
  <c r="E155" i="7"/>
  <c r="B270" i="7"/>
  <c r="H108" i="7"/>
  <c r="D77" i="7"/>
  <c r="I117" i="7"/>
  <c r="I228" i="7"/>
  <c r="I184" i="7"/>
  <c r="E255" i="7"/>
  <c r="D93" i="7"/>
  <c r="I56" i="7"/>
  <c r="H280" i="7"/>
  <c r="D3" i="7"/>
  <c r="F144" i="7"/>
  <c r="E94" i="7"/>
  <c r="D281" i="7"/>
  <c r="D107" i="7"/>
  <c r="I286" i="7"/>
  <c r="H290" i="7"/>
  <c r="C278" i="7"/>
  <c r="B83" i="7"/>
  <c r="I140" i="7"/>
  <c r="B77" i="7"/>
  <c r="C270" i="7"/>
  <c r="B136" i="7"/>
  <c r="I276" i="7"/>
  <c r="F209" i="7"/>
  <c r="F285" i="7"/>
  <c r="F230" i="7"/>
  <c r="B125" i="7"/>
  <c r="C144" i="7"/>
  <c r="D110" i="7"/>
  <c r="E169" i="7"/>
  <c r="C184" i="7"/>
  <c r="C128" i="7"/>
  <c r="F169" i="7"/>
  <c r="E116" i="7"/>
  <c r="H146" i="7"/>
  <c r="B219" i="7"/>
  <c r="H4" i="7"/>
  <c r="F188" i="7"/>
  <c r="H285" i="7"/>
  <c r="C134" i="7"/>
  <c r="D122" i="7"/>
  <c r="D114" i="7"/>
  <c r="C101" i="7"/>
  <c r="I77" i="7"/>
  <c r="I215" i="7"/>
  <c r="H249" i="7"/>
  <c r="F155" i="7"/>
  <c r="B57" i="7"/>
  <c r="C90" i="7"/>
  <c r="I226" i="7"/>
  <c r="C170" i="7"/>
  <c r="B134" i="7"/>
  <c r="H156" i="7"/>
  <c r="E157" i="7"/>
  <c r="H270" i="7"/>
  <c r="D297" i="7"/>
  <c r="D177" i="7"/>
  <c r="I292" i="7"/>
  <c r="F274" i="7"/>
  <c r="H60" i="7"/>
  <c r="D7" i="7"/>
  <c r="D153" i="7"/>
  <c r="B137" i="7"/>
  <c r="F67" i="7"/>
  <c r="C289" i="7"/>
  <c r="H62" i="7"/>
  <c r="E163" i="7"/>
  <c r="H220" i="7"/>
  <c r="I162" i="7"/>
  <c r="C175" i="7"/>
  <c r="C142" i="7"/>
  <c r="C251" i="7"/>
  <c r="H294" i="7"/>
  <c r="C273" i="7"/>
  <c r="H186" i="7"/>
  <c r="I277" i="7"/>
  <c r="B201" i="7"/>
  <c r="C154" i="7"/>
  <c r="F197" i="7"/>
  <c r="B69" i="7"/>
  <c r="C85" i="7"/>
  <c r="B150" i="7"/>
  <c r="D216" i="7"/>
  <c r="E240" i="7"/>
  <c r="F228" i="7"/>
  <c r="D5" i="7"/>
  <c r="E135" i="7"/>
  <c r="H273" i="7"/>
  <c r="I159" i="7"/>
  <c r="H239" i="7"/>
  <c r="D123" i="7"/>
  <c r="H84" i="7"/>
  <c r="E268" i="7"/>
  <c r="B191" i="7"/>
  <c r="C159" i="7"/>
  <c r="E62" i="7"/>
  <c r="E97" i="7"/>
  <c r="H229" i="7"/>
  <c r="H102" i="7"/>
  <c r="I70" i="7"/>
  <c r="B171" i="7"/>
  <c r="C162" i="7"/>
  <c r="D120" i="7"/>
  <c r="C260" i="7"/>
  <c r="F80" i="7"/>
  <c r="B159" i="7"/>
  <c r="B76" i="7"/>
  <c r="E4" i="7"/>
  <c r="E184" i="7"/>
  <c r="E194" i="7"/>
  <c r="I103" i="7"/>
  <c r="D164" i="7"/>
  <c r="E140" i="7"/>
  <c r="F191" i="7"/>
  <c r="E235" i="7"/>
  <c r="F176" i="7"/>
  <c r="E207" i="7"/>
  <c r="H139" i="7"/>
  <c r="E81" i="7"/>
  <c r="C63" i="7"/>
  <c r="B181" i="7"/>
  <c r="I160" i="7"/>
  <c r="H155" i="7"/>
  <c r="E52" i="7"/>
  <c r="E158" i="7"/>
  <c r="H192" i="7"/>
  <c r="H297" i="7"/>
  <c r="B245" i="7"/>
  <c r="E198" i="7"/>
  <c r="H179" i="7"/>
  <c r="F248" i="7"/>
  <c r="H111" i="7"/>
  <c r="B285" i="7"/>
  <c r="B205" i="7"/>
  <c r="C60" i="7"/>
  <c r="H210" i="7"/>
  <c r="H66" i="7"/>
  <c r="B253" i="7"/>
  <c r="H251" i="7"/>
  <c r="F125" i="7"/>
  <c r="D197" i="7"/>
  <c r="I198" i="7"/>
  <c r="D233" i="7"/>
  <c r="I197" i="7"/>
  <c r="B298" i="7"/>
  <c r="H126" i="7"/>
  <c r="H92" i="7"/>
  <c r="H272" i="7"/>
  <c r="C208" i="7"/>
  <c r="H213" i="7"/>
  <c r="D293" i="7"/>
  <c r="H200" i="7"/>
  <c r="H57" i="7"/>
  <c r="B108" i="7"/>
  <c r="I153" i="7"/>
  <c r="F200" i="7"/>
  <c r="D168" i="7"/>
  <c r="B296" i="7"/>
  <c r="I92" i="7"/>
  <c r="D162" i="7"/>
  <c r="H174" i="7"/>
  <c r="I287" i="7"/>
  <c r="D298" i="7"/>
  <c r="I104" i="7"/>
  <c r="B220" i="7"/>
  <c r="F56" i="7"/>
  <c r="E241" i="7"/>
  <c r="F207" i="7"/>
  <c r="E98" i="7"/>
  <c r="D290" i="7"/>
  <c r="I299" i="7"/>
  <c r="I199" i="7"/>
  <c r="H158" i="7"/>
  <c r="F214" i="7"/>
  <c r="D135" i="7"/>
  <c r="D205" i="7"/>
  <c r="B81" i="7"/>
  <c r="D73" i="7"/>
  <c r="I225" i="7"/>
  <c r="I171" i="7"/>
  <c r="E90" i="7"/>
  <c r="I121" i="7"/>
  <c r="B58" i="7"/>
  <c r="E206" i="7"/>
  <c r="F157" i="7"/>
  <c r="F114" i="7"/>
  <c r="C75" i="7"/>
  <c r="C132" i="7"/>
  <c r="E270" i="7"/>
  <c r="B190" i="7"/>
  <c r="I139" i="7"/>
  <c r="B166" i="7"/>
  <c r="E66" i="7"/>
  <c r="F62" i="7"/>
  <c r="D161" i="7"/>
  <c r="I52" i="7"/>
  <c r="D61" i="7"/>
  <c r="D147" i="7"/>
  <c r="F166" i="7"/>
  <c r="I188" i="7"/>
  <c r="E156" i="7"/>
  <c r="B147" i="7"/>
  <c r="E166" i="7"/>
  <c r="C212" i="7"/>
  <c r="E292" i="7"/>
  <c r="E119" i="7"/>
  <c r="D268" i="7"/>
  <c r="E269" i="7"/>
  <c r="I176" i="7"/>
  <c r="D94" i="7"/>
  <c r="I196" i="7"/>
  <c r="F234" i="7"/>
  <c r="C157" i="7"/>
  <c r="I138" i="7"/>
  <c r="B87" i="7"/>
  <c r="C107" i="7"/>
  <c r="B95" i="7"/>
  <c r="C210" i="7"/>
  <c r="I216" i="7"/>
  <c r="D286" i="7"/>
  <c r="B124" i="7"/>
  <c r="H195" i="7"/>
  <c r="I281" i="7"/>
  <c r="I247" i="7"/>
  <c r="I94" i="7"/>
  <c r="F189" i="7"/>
  <c r="D170" i="7"/>
  <c r="B288" i="7"/>
  <c r="H89" i="7"/>
  <c r="H56" i="7"/>
  <c r="B97" i="7"/>
  <c r="C269" i="7"/>
  <c r="D173" i="7"/>
  <c r="C246" i="7"/>
  <c r="H120" i="7"/>
  <c r="E284" i="7"/>
  <c r="B110" i="7"/>
  <c r="B175" i="7"/>
  <c r="I293" i="7"/>
  <c r="E266" i="7"/>
  <c r="C186" i="7"/>
  <c r="F74" i="7"/>
  <c r="E251" i="7"/>
  <c r="D238" i="7"/>
  <c r="I82" i="7"/>
  <c r="F251" i="7"/>
  <c r="H82" i="7"/>
  <c r="C6" i="7"/>
  <c r="C130" i="7"/>
  <c r="H78" i="7"/>
  <c r="E238" i="7"/>
  <c r="C292" i="7"/>
  <c r="E60" i="7"/>
  <c r="H228" i="7"/>
  <c r="C240" i="7"/>
  <c r="I135" i="7"/>
  <c r="D64" i="7"/>
  <c r="D289" i="7"/>
  <c r="B55" i="7"/>
  <c r="B63" i="7"/>
  <c r="D208" i="7"/>
  <c r="E54" i="7"/>
  <c r="C97" i="7"/>
  <c r="C284" i="7"/>
  <c r="B221" i="7"/>
  <c r="D163" i="7"/>
  <c r="H227" i="7"/>
  <c r="B103" i="7"/>
  <c r="I246" i="7"/>
  <c r="B170" i="7"/>
  <c r="H253" i="7"/>
  <c r="D2" i="7"/>
  <c r="D229" i="7"/>
  <c r="H51" i="7"/>
  <c r="F63" i="7"/>
  <c r="B234" i="7"/>
  <c r="E212" i="7"/>
  <c r="B123" i="7"/>
  <c r="D160" i="7"/>
  <c r="B243" i="7"/>
  <c r="F190" i="7"/>
  <c r="H95" i="7"/>
  <c r="B67" i="7"/>
  <c r="D217" i="7"/>
  <c r="C67" i="7"/>
  <c r="I72" i="7"/>
  <c r="H175" i="7"/>
  <c r="E133" i="7"/>
  <c r="E246" i="7"/>
  <c r="I183" i="7"/>
  <c r="D203" i="7"/>
  <c r="C229" i="7"/>
  <c r="H137" i="7"/>
  <c r="F86" i="7"/>
  <c r="B116" i="7"/>
  <c r="C216" i="7"/>
  <c r="I209" i="7"/>
  <c r="E213" i="7"/>
  <c r="I169" i="7"/>
  <c r="D213" i="7"/>
  <c r="H2" i="7"/>
  <c r="F286" i="7"/>
  <c r="I274" i="7"/>
  <c r="D84" i="7"/>
  <c r="I266" i="7"/>
  <c r="D253" i="7"/>
  <c r="B231" i="7"/>
  <c r="E136" i="7"/>
  <c r="F249" i="7"/>
  <c r="C187" i="7"/>
  <c r="E186" i="7"/>
  <c r="C113" i="7"/>
  <c r="D156" i="7"/>
  <c r="B299" i="7"/>
  <c r="I267" i="7"/>
  <c r="C181" i="7"/>
  <c r="D72" i="7"/>
  <c r="E176" i="7"/>
  <c r="I62" i="7"/>
  <c r="E211" i="7"/>
  <c r="B233" i="7"/>
  <c r="C221" i="7"/>
  <c r="D214" i="7"/>
  <c r="H198" i="7"/>
  <c r="D143" i="7"/>
  <c r="D104" i="7"/>
  <c r="C102" i="7"/>
  <c r="I89" i="7"/>
  <c r="I289" i="7"/>
  <c r="E153" i="7"/>
  <c r="I143" i="7"/>
  <c r="I133" i="7"/>
  <c r="C168" i="7"/>
  <c r="E185" i="7"/>
  <c r="E84" i="7"/>
  <c r="I107" i="7"/>
  <c r="E154" i="7"/>
  <c r="E83" i="7"/>
  <c r="C109" i="7"/>
  <c r="F134" i="7"/>
  <c r="H187" i="7"/>
  <c r="F254" i="7"/>
  <c r="D261" i="7"/>
  <c r="H242" i="7"/>
  <c r="H238" i="7"/>
  <c r="B279" i="7"/>
  <c r="D189" i="7"/>
  <c r="D92" i="7"/>
  <c r="E272" i="7"/>
  <c r="D4" i="7"/>
  <c r="E298" i="7"/>
  <c r="C160" i="7"/>
  <c r="D71" i="7"/>
  <c r="B211" i="7"/>
  <c r="I258" i="7"/>
  <c r="B186" i="7"/>
  <c r="F79" i="7"/>
  <c r="F250" i="7"/>
  <c r="C236" i="7"/>
  <c r="D198" i="7"/>
  <c r="B6" i="7"/>
  <c r="I297" i="7"/>
  <c r="B176" i="7"/>
  <c r="I295" i="7"/>
  <c r="H282" i="7"/>
  <c r="F163" i="7"/>
  <c r="D62" i="7"/>
  <c r="B131" i="7"/>
  <c r="I220" i="7"/>
  <c r="E239" i="7"/>
  <c r="F204" i="7"/>
  <c r="H109" i="7"/>
  <c r="E281" i="7"/>
  <c r="C131" i="7"/>
  <c r="H193" i="7"/>
  <c r="F238" i="7"/>
  <c r="E261" i="7"/>
  <c r="C61" i="7"/>
  <c r="C71" i="7"/>
  <c r="D263" i="7"/>
  <c r="F101" i="7"/>
  <c r="B126" i="7"/>
  <c r="C158" i="7"/>
  <c r="F222" i="7"/>
  <c r="I288" i="7"/>
  <c r="D272" i="7"/>
  <c r="C129" i="7"/>
  <c r="F213" i="7"/>
  <c r="F282" i="7"/>
  <c r="F83" i="7"/>
  <c r="H55" i="7"/>
  <c r="F53" i="7"/>
  <c r="D278" i="7"/>
  <c r="D277" i="7"/>
  <c r="C300" i="7"/>
  <c r="F59" i="7"/>
  <c r="E117" i="7"/>
  <c r="I60" i="7"/>
  <c r="I208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<sst xmlns="http://schemas.openxmlformats.org/spreadsheetml/2006/main" count="280" uniqueCount="68">
  <si>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</si>
  <si>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</si>
  <si>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</si>
  <si>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</si>
  <si>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</si>
  <si>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</si>
  <si>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</si>
  <si>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</si>
  <si>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</si>
  <si>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</si>
  <si>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</si>
  <si>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</si>
  <si>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</si>
  <si>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</si>
  <si>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</si>
  <si>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</si>
  <si>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</si>
  <si>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</si>
  <si>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</si>
  <si>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</si>
  <si>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</si>
  <si>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</si>
  <si>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</si>
  <si>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</si>
  <si>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</si>
  <si>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</si>
  <si>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</si>
  <si>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</si>
  <si>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</si>
  <si>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</si>
  <si>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</si>
  <si>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</si>
  <si>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</si>
  <si>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</si>
  <si>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</si>
  <si>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</si>
  <si>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</si>
  <si>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</si>
  <si>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</si>
  <si>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</si>
  <si>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</si>
  <si>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NVARCHAR(255)</t>
  </si>
  <si>
    <t>NVARCHAR(50)</t>
  </si>
  <si>
    <t>NVARCHAR(500)</t>
  </si>
  <si>
    <t>DECIMAL(13,2)</t>
  </si>
  <si>
    <t>DATE</t>
  </si>
  <si>
    <t>DECIMAL(13,2) [Percentage]</t>
  </si>
  <si>
    <t>Yes</t>
  </si>
  <si>
    <t>range_start</t>
  </si>
  <si>
    <t>range_stop</t>
  </si>
  <si>
    <t>project_active_start</t>
  </si>
  <si>
    <t>project_inactive_end</t>
  </si>
  <si>
    <t>relate_document</t>
  </si>
  <si>
    <t>SGA - 01. Project Information</t>
  </si>
  <si>
    <t>Kikanhi - 01. Project Information</t>
  </si>
  <si>
    <t>SG&amp;A - 07. Change Order</t>
  </si>
  <si>
    <t>Kikanhi - 07. Change Order</t>
  </si>
  <si>
    <t>AP?</t>
  </si>
  <si>
    <t>F47</t>
  </si>
  <si>
    <t>F48</t>
  </si>
  <si>
    <t>AH9</t>
  </si>
  <si>
    <t>AI9</t>
  </si>
  <si>
    <t>col_number</t>
  </si>
  <si>
    <t>Grand Total</t>
  </si>
  <si>
    <t>01. Project Information,07. Change Order</t>
  </si>
  <si>
    <t>B11</t>
  </si>
  <si>
    <t>1. Prj Information-Edited</t>
  </si>
  <si>
    <t>7. External Change Order-Edited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</si>
</sst>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3" fontId="3" fillId="0" borderId="0" xfId="1" applyFont="1" applyFill="1" applyBorder="1" applyAlignment="1">
      <alignment horizontal="center"/>
    </xf>
    <xf numFmtId="0" fontId="0" fillId="0" borderId="0" xfId="0" quotePrefix="1"/>
    <xf numFmtId="14" fontId="1" fillId="2" borderId="1" xfId="0" applyNumberFormat="1" applyFont="1" applyFill="1" applyBorder="1" applyAlignment="1">
      <alignment horizontal="center" vertical="top" wrapText="1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10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3" borderId="0" xfId="0" applyFill="1"/>
    <xf numFmtId="0" fontId="0" fillId="0" borderId="0" xfId="0" quotePrefix="1" applyAlignment="1">
      <alignment wrapText="1"/>
    </xf>
  </cellXfs>
  <cellStyles count="5">
    <cellStyle name="Comma" xfId="1" builtinId="3"/>
    <cellStyle name="Comma 2 3" xfId="2" xr:uid="{902E92DD-3110-4647-A98A-7D202CCAEE6A}"/>
    <cellStyle name="Comma 36" xfId="4" xr:uid="{EC62C47B-223E-4A46-B219-0C8B1F7199AE}"/>
    <cellStyle name="Normal" xfId="0" builtinId="0"/>
    <cellStyle name="Normal 2" xfId="3" xr:uid="{46F721A4-244C-4DC2-A975-8DF9B1D60E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1:AP138"/>
  <sheetViews>
    <sheetView topLeftCell="B10" zoomScale="85" zoomScaleNormal="85" workbookViewId="0">
      <pane ySplit="1" topLeftCell="A11" activePane="bottomLeft" state="frozen"/>
      <selection activeCell="A10" sqref="A10"/>
      <selection pane="bottomLeft" activeCell="J11" sqref="J11"/>
    </sheetView>
  </sheetViews>
  <sheetFormatPr defaultRowHeight="15" x14ac:dyDescent="0.25"/>
  <cols>
    <col min="2" max="2" width="9.85546875" bestFit="1" customWidth="1"/>
    <col min="3" max="3" width="14.85546875" bestFit="1" customWidth="1"/>
    <col min="4" max="4" width="10.5703125" style="3" customWidth="1"/>
    <col min="5" max="5" width="25" bestFit="1" customWidth="1"/>
    <col min="6" max="6" width="10.85546875" customWidth="1"/>
  </cols>
  <sheetData>
    <row r="1" spans="2:42" x14ac:dyDescent="0.25">
      <c r="G1" s="5"/>
      <c r="H1" s="5"/>
    </row>
    <row r="10" spans="2:42" x14ac:dyDescent="0.25">
      <c r="B10" s="1" t="s">
        <v>0</v>
      </c>
      <c r="C10" s="1" t="s">
        <v>1</v>
      </c>
      <c r="D10" s="11" t="s">
        <v>2</v>
      </c>
      <c r="E10" s="1" t="s">
        <v>3</v>
      </c>
      <c r="F10" s="1" t="s">
        <v>4</v>
      </c>
      <c r="G10" s="1" t="s">
        <v>5</v>
      </c>
      <c r="H10" s="1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1" t="s">
        <v>11</v>
      </c>
      <c r="N10" s="1" t="s">
        <v>12</v>
      </c>
      <c r="O10" s="1" t="s">
        <v>13</v>
      </c>
      <c r="P10" s="11" t="s">
        <v>14</v>
      </c>
      <c r="Q10" s="1" t="s">
        <v>15</v>
      </c>
      <c r="R10" s="1" t="s">
        <v>16</v>
      </c>
      <c r="S10" s="11" t="s">
        <v>17</v>
      </c>
      <c r="T10" s="1" t="s">
        <v>18</v>
      </c>
      <c r="U10" s="1" t="s">
        <v>19</v>
      </c>
      <c r="V10" s="11" t="s">
        <v>20</v>
      </c>
      <c r="W10" s="1" t="s">
        <v>21</v>
      </c>
      <c r="X10" s="11" t="s">
        <v>22</v>
      </c>
      <c r="Y10" s="1" t="s">
        <v>23</v>
      </c>
      <c r="Z10" s="1" t="s">
        <v>24</v>
      </c>
      <c r="AA10" s="11" t="s">
        <v>25</v>
      </c>
      <c r="AB10" s="1" t="s">
        <v>26</v>
      </c>
      <c r="AC10" s="11" t="s">
        <v>27</v>
      </c>
      <c r="AD10" s="1" t="s">
        <v>28</v>
      </c>
      <c r="AE10" s="1" t="s">
        <v>29</v>
      </c>
      <c r="AF10" s="11" t="s">
        <v>30</v>
      </c>
      <c r="AG10" s="1" t="s">
        <v>31</v>
      </c>
      <c r="AH10" s="11" t="s">
        <v>32</v>
      </c>
      <c r="AI10" s="1" t="s">
        <v>33</v>
      </c>
      <c r="AJ10" s="1" t="s">
        <v>34</v>
      </c>
      <c r="AK10" s="11" t="s">
        <v>35</v>
      </c>
      <c r="AL10" s="1" t="s">
        <v>36</v>
      </c>
      <c r="AM10" s="11" t="s">
        <v>37</v>
      </c>
      <c r="AN10" s="1" t="s">
        <v>38</v>
      </c>
      <c r="AO10" s="1" t="s">
        <v>39</v>
      </c>
      <c r="AP10" s="11" t="s">
        <v>40</v>
      </c>
    </row>
    <row r="11" spans="2:42" x14ac:dyDescent="0.25">
      <c r="C11" s="9"/>
      <c r="D11" s="10"/>
      <c r="E11" s="2"/>
      <c r="F11" s="3"/>
      <c r="O11" s="3"/>
      <c r="P11">
        <v>0</v>
      </c>
      <c r="Q11">
        <v>0</v>
      </c>
      <c r="Y11">
        <v>0</v>
      </c>
      <c r="Z11">
        <v>0</v>
      </c>
      <c r="AG11">
        <v>0</v>
      </c>
      <c r="AH11">
        <v>0</v>
      </c>
      <c r="AI11">
        <v>0</v>
      </c>
      <c r="AJ11">
        <v>0</v>
      </c>
      <c r="AP11">
        <v>0</v>
      </c>
    </row>
    <row r="12" spans="2:42" x14ac:dyDescent="0.25">
      <c r="C12" s="9"/>
      <c r="D12" s="10"/>
      <c r="E12" s="2"/>
      <c r="F12" s="3"/>
      <c r="O12" s="3"/>
      <c r="P12">
        <v>0</v>
      </c>
      <c r="Q12">
        <v>0</v>
      </c>
      <c r="Y12">
        <v>0</v>
      </c>
      <c r="Z12">
        <v>0</v>
      </c>
      <c r="AG12">
        <v>0</v>
      </c>
      <c r="AH12">
        <v>0</v>
      </c>
      <c r="AI12">
        <v>0</v>
      </c>
      <c r="AJ12">
        <v>0</v>
      </c>
      <c r="AP12">
        <v>0</v>
      </c>
    </row>
    <row r="13" spans="2:42" x14ac:dyDescent="0.25">
      <c r="C13" s="9"/>
      <c r="D13" s="10"/>
      <c r="E13" s="2"/>
      <c r="F13" s="3"/>
      <c r="O13" s="3"/>
      <c r="P13">
        <v>0</v>
      </c>
      <c r="Q13">
        <v>0</v>
      </c>
      <c r="Y13">
        <v>0</v>
      </c>
      <c r="Z13">
        <v>0</v>
      </c>
      <c r="AG13">
        <v>0</v>
      </c>
      <c r="AH13">
        <v>0</v>
      </c>
      <c r="AI13">
        <v>0</v>
      </c>
      <c r="AJ13">
        <v>0</v>
      </c>
      <c r="AP13">
        <v>0</v>
      </c>
    </row>
    <row r="14" spans="2:42" x14ac:dyDescent="0.25">
      <c r="C14" s="9"/>
      <c r="D14" s="10"/>
      <c r="E14" s="2"/>
      <c r="F14" s="3"/>
      <c r="P14">
        <v>0</v>
      </c>
      <c r="Q14">
        <v>0</v>
      </c>
      <c r="Y14">
        <v>0</v>
      </c>
      <c r="Z14">
        <v>0</v>
      </c>
      <c r="AG14">
        <v>0</v>
      </c>
      <c r="AH14">
        <v>0</v>
      </c>
      <c r="AI14">
        <v>0</v>
      </c>
      <c r="AJ14">
        <v>0</v>
      </c>
      <c r="AP14">
        <v>0</v>
      </c>
    </row>
    <row r="15" spans="2:42" x14ac:dyDescent="0.25">
      <c r="C15" s="9"/>
      <c r="D15" s="10"/>
      <c r="E15" s="2"/>
      <c r="F15" s="3"/>
      <c r="O15" s="3"/>
      <c r="P15">
        <v>0</v>
      </c>
      <c r="Q15">
        <v>0</v>
      </c>
      <c r="Y15">
        <v>0</v>
      </c>
      <c r="Z15">
        <v>0</v>
      </c>
      <c r="AG15">
        <v>0</v>
      </c>
      <c r="AH15">
        <v>0</v>
      </c>
      <c r="AI15">
        <v>0</v>
      </c>
      <c r="AJ15">
        <v>0</v>
      </c>
      <c r="AP15">
        <v>0</v>
      </c>
    </row>
    <row r="16" spans="2:42" x14ac:dyDescent="0.25">
      <c r="C16" s="9"/>
      <c r="D16" s="10"/>
      <c r="E16" s="2"/>
      <c r="F16" s="3"/>
      <c r="O16" s="3"/>
      <c r="P16">
        <v>0</v>
      </c>
      <c r="Q16">
        <v>0</v>
      </c>
      <c r="Y16">
        <v>0</v>
      </c>
      <c r="Z16">
        <v>0</v>
      </c>
      <c r="AG16">
        <v>0</v>
      </c>
      <c r="AH16">
        <v>0</v>
      </c>
      <c r="AI16">
        <v>0</v>
      </c>
      <c r="AJ16">
        <v>0</v>
      </c>
      <c r="AP16">
        <v>0</v>
      </c>
    </row>
    <row r="17" spans="3:42" x14ac:dyDescent="0.25">
      <c r="C17" s="9"/>
      <c r="D17" s="10"/>
      <c r="E17" s="2"/>
      <c r="O17" s="3"/>
      <c r="P17">
        <v>0</v>
      </c>
      <c r="Q17">
        <v>0</v>
      </c>
      <c r="Y17">
        <v>0</v>
      </c>
      <c r="Z17">
        <v>0</v>
      </c>
      <c r="AG17">
        <v>0</v>
      </c>
      <c r="AH17">
        <v>0</v>
      </c>
      <c r="AI17">
        <v>0</v>
      </c>
      <c r="AJ17">
        <v>0</v>
      </c>
      <c r="AP17">
        <v>0</v>
      </c>
    </row>
    <row r="18" spans="3:42" x14ac:dyDescent="0.25">
      <c r="C18" s="9"/>
      <c r="D18" s="10"/>
      <c r="E18" s="2"/>
      <c r="O18" s="3"/>
      <c r="P18">
        <v>0</v>
      </c>
      <c r="Q18">
        <v>0</v>
      </c>
      <c r="Y18">
        <v>0</v>
      </c>
      <c r="Z18">
        <v>0</v>
      </c>
      <c r="AG18">
        <v>0</v>
      </c>
      <c r="AH18">
        <v>0</v>
      </c>
      <c r="AI18">
        <v>0</v>
      </c>
      <c r="AJ18">
        <v>0</v>
      </c>
      <c r="AP18">
        <v>0</v>
      </c>
    </row>
    <row r="19" spans="3:42" x14ac:dyDescent="0.25">
      <c r="C19" s="9"/>
      <c r="D19" s="10"/>
      <c r="E19" s="2"/>
      <c r="P19">
        <v>0</v>
      </c>
      <c r="Q19">
        <v>0</v>
      </c>
      <c r="Y19">
        <v>0</v>
      </c>
      <c r="Z19">
        <v>0</v>
      </c>
      <c r="AA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P19">
        <v>0</v>
      </c>
    </row>
    <row r="20" spans="3:42" x14ac:dyDescent="0.25">
      <c r="C20" s="9"/>
      <c r="D20" s="10"/>
      <c r="E20" s="2"/>
      <c r="O20" s="3"/>
      <c r="P20">
        <v>0</v>
      </c>
      <c r="Q20">
        <v>0</v>
      </c>
      <c r="Y20">
        <v>0</v>
      </c>
      <c r="Z20">
        <v>0</v>
      </c>
      <c r="AG20">
        <v>0</v>
      </c>
      <c r="AH20">
        <v>0</v>
      </c>
      <c r="AI20">
        <v>0</v>
      </c>
      <c r="AJ20">
        <v>0</v>
      </c>
      <c r="AP20">
        <v>0</v>
      </c>
    </row>
    <row r="21" spans="3:42" x14ac:dyDescent="0.25">
      <c r="C21" s="9"/>
      <c r="D21" s="10"/>
      <c r="E21" s="2"/>
      <c r="O21" s="3"/>
      <c r="P21">
        <v>0</v>
      </c>
      <c r="Q21">
        <v>0</v>
      </c>
      <c r="Y21">
        <v>0</v>
      </c>
      <c r="Z21">
        <v>0</v>
      </c>
      <c r="AG21">
        <v>0</v>
      </c>
      <c r="AH21">
        <v>0</v>
      </c>
      <c r="AI21">
        <v>0</v>
      </c>
      <c r="AJ21">
        <v>0</v>
      </c>
      <c r="AP21">
        <v>0</v>
      </c>
    </row>
    <row r="22" spans="3:42" x14ac:dyDescent="0.25">
      <c r="C22" s="9"/>
      <c r="D22" s="10"/>
      <c r="E22" s="2"/>
      <c r="O22" s="3"/>
      <c r="P22">
        <v>0</v>
      </c>
      <c r="Q22">
        <v>0</v>
      </c>
      <c r="Y22">
        <v>0</v>
      </c>
      <c r="Z22">
        <v>0</v>
      </c>
      <c r="AG22">
        <v>0</v>
      </c>
      <c r="AH22">
        <v>0</v>
      </c>
      <c r="AI22">
        <v>0</v>
      </c>
      <c r="AJ22">
        <v>0</v>
      </c>
      <c r="AP22">
        <v>0</v>
      </c>
    </row>
    <row r="23" spans="3:42" x14ac:dyDescent="0.25">
      <c r="C23" s="9"/>
      <c r="D23" s="10"/>
      <c r="E23" s="2"/>
      <c r="O23" s="3"/>
      <c r="P23">
        <v>0</v>
      </c>
      <c r="Q23">
        <v>0</v>
      </c>
      <c r="Y23">
        <v>0</v>
      </c>
      <c r="Z23">
        <v>0</v>
      </c>
      <c r="AG23">
        <v>0</v>
      </c>
      <c r="AH23">
        <v>0</v>
      </c>
      <c r="AI23">
        <v>0</v>
      </c>
      <c r="AJ23">
        <v>0</v>
      </c>
      <c r="AP23">
        <v>0</v>
      </c>
    </row>
    <row r="24" spans="3:42" x14ac:dyDescent="0.25">
      <c r="C24" s="9"/>
      <c r="D24" s="10"/>
      <c r="E24" s="2"/>
      <c r="P24">
        <v>0</v>
      </c>
      <c r="Q24">
        <v>0</v>
      </c>
      <c r="Y24">
        <v>0</v>
      </c>
      <c r="Z24">
        <v>0</v>
      </c>
      <c r="AG24">
        <v>0</v>
      </c>
      <c r="AH24">
        <v>0</v>
      </c>
      <c r="AI24">
        <v>0</v>
      </c>
      <c r="AJ24">
        <v>0</v>
      </c>
      <c r="AP24">
        <v>0</v>
      </c>
    </row>
    <row r="25" spans="3:42" x14ac:dyDescent="0.25">
      <c r="C25" s="9"/>
      <c r="D25" s="10"/>
      <c r="E25" s="2"/>
      <c r="P25">
        <v>0</v>
      </c>
      <c r="Q25">
        <v>0</v>
      </c>
      <c r="Y25">
        <v>0</v>
      </c>
      <c r="Z25">
        <v>0</v>
      </c>
      <c r="AG25">
        <v>0</v>
      </c>
      <c r="AH25">
        <v>0</v>
      </c>
      <c r="AI25">
        <v>0</v>
      </c>
      <c r="AJ25">
        <v>0</v>
      </c>
      <c r="AP25">
        <v>0</v>
      </c>
    </row>
    <row r="26" spans="3:42" x14ac:dyDescent="0.25">
      <c r="C26" s="9"/>
      <c r="D26" s="10"/>
      <c r="E26" s="2"/>
      <c r="O26" s="3"/>
      <c r="P26">
        <v>0</v>
      </c>
      <c r="Q26">
        <v>0</v>
      </c>
      <c r="Y26">
        <v>0</v>
      </c>
      <c r="Z26">
        <v>0</v>
      </c>
      <c r="AG26">
        <v>0</v>
      </c>
      <c r="AH26">
        <v>0</v>
      </c>
      <c r="AI26">
        <v>0</v>
      </c>
      <c r="AJ26">
        <v>0</v>
      </c>
      <c r="AP26">
        <v>0</v>
      </c>
    </row>
    <row r="27" spans="3:42" x14ac:dyDescent="0.25">
      <c r="C27" s="9"/>
      <c r="D27" s="10"/>
      <c r="E27" s="2"/>
      <c r="O27" s="3"/>
      <c r="P27">
        <v>0</v>
      </c>
      <c r="Q27">
        <v>0</v>
      </c>
      <c r="Y27">
        <v>0</v>
      </c>
      <c r="Z27">
        <v>0</v>
      </c>
      <c r="AG27">
        <v>0</v>
      </c>
      <c r="AH27">
        <v>0</v>
      </c>
      <c r="AI27">
        <v>0</v>
      </c>
      <c r="AJ27">
        <v>0</v>
      </c>
      <c r="AP27">
        <v>0</v>
      </c>
    </row>
    <row r="28" spans="3:42" x14ac:dyDescent="0.25">
      <c r="C28" s="9"/>
      <c r="D28" s="10"/>
      <c r="E28" s="2"/>
      <c r="O28" s="3"/>
      <c r="P28">
        <v>0</v>
      </c>
      <c r="Q28">
        <v>0</v>
      </c>
      <c r="Y28">
        <v>0</v>
      </c>
      <c r="Z28">
        <v>0</v>
      </c>
      <c r="AG28">
        <v>0</v>
      </c>
      <c r="AH28">
        <v>0</v>
      </c>
      <c r="AI28">
        <v>0</v>
      </c>
      <c r="AJ28">
        <v>0</v>
      </c>
      <c r="AP28">
        <v>0</v>
      </c>
    </row>
    <row r="29" spans="3:42" x14ac:dyDescent="0.25">
      <c r="C29" s="9"/>
      <c r="D29" s="10"/>
      <c r="E29" s="2"/>
      <c r="O29" s="3"/>
      <c r="P29">
        <v>0</v>
      </c>
      <c r="Q29">
        <v>0</v>
      </c>
      <c r="Y29">
        <v>0</v>
      </c>
      <c r="Z29">
        <v>0</v>
      </c>
      <c r="AG29">
        <v>0</v>
      </c>
      <c r="AH29">
        <v>0</v>
      </c>
      <c r="AI29">
        <v>0</v>
      </c>
      <c r="AJ29">
        <v>0</v>
      </c>
      <c r="AP29">
        <v>0</v>
      </c>
    </row>
    <row r="30" spans="3:42" x14ac:dyDescent="0.25">
      <c r="C30" s="9"/>
      <c r="D30" s="10"/>
      <c r="E30" s="2"/>
      <c r="O30" s="3"/>
      <c r="P30">
        <v>0</v>
      </c>
      <c r="Q30">
        <v>0</v>
      </c>
      <c r="Y30">
        <v>0</v>
      </c>
      <c r="Z30">
        <v>0</v>
      </c>
      <c r="AG30">
        <v>0</v>
      </c>
      <c r="AH30">
        <v>0</v>
      </c>
      <c r="AI30">
        <v>0</v>
      </c>
      <c r="AJ30">
        <v>0</v>
      </c>
      <c r="AP30">
        <v>0</v>
      </c>
    </row>
    <row r="31" spans="3:42" x14ac:dyDescent="0.25">
      <c r="C31" s="9"/>
      <c r="D31" s="10"/>
      <c r="E31" s="2"/>
      <c r="P31">
        <v>0</v>
      </c>
      <c r="Q31">
        <v>0</v>
      </c>
      <c r="Y31">
        <v>0</v>
      </c>
      <c r="Z31">
        <v>0</v>
      </c>
      <c r="AG31">
        <v>0</v>
      </c>
      <c r="AH31">
        <v>0</v>
      </c>
      <c r="AI31">
        <v>0</v>
      </c>
      <c r="AJ31">
        <v>0</v>
      </c>
      <c r="AP31">
        <v>0</v>
      </c>
    </row>
    <row r="32" spans="3:42" x14ac:dyDescent="0.25">
      <c r="C32" s="9"/>
      <c r="D32" s="10"/>
      <c r="E32" s="2"/>
      <c r="O32" s="3"/>
      <c r="P32">
        <v>0</v>
      </c>
      <c r="Q32">
        <v>0</v>
      </c>
      <c r="Y32">
        <v>0</v>
      </c>
      <c r="Z32">
        <v>0</v>
      </c>
      <c r="AG32">
        <v>0</v>
      </c>
      <c r="AH32">
        <v>0</v>
      </c>
      <c r="AI32">
        <v>0</v>
      </c>
      <c r="AJ32">
        <v>0</v>
      </c>
      <c r="AP32">
        <v>0</v>
      </c>
    </row>
    <row r="33" spans="3:42" x14ac:dyDescent="0.25">
      <c r="C33" s="9"/>
      <c r="D33" s="10"/>
      <c r="E33" s="2"/>
      <c r="O33" s="3"/>
      <c r="P33">
        <v>0</v>
      </c>
      <c r="Q33">
        <v>0</v>
      </c>
      <c r="Y33">
        <v>0</v>
      </c>
      <c r="Z33">
        <v>0</v>
      </c>
      <c r="AG33">
        <v>0</v>
      </c>
      <c r="AH33">
        <v>0</v>
      </c>
      <c r="AI33">
        <v>0</v>
      </c>
      <c r="AJ33">
        <v>0</v>
      </c>
      <c r="AP33">
        <v>0</v>
      </c>
    </row>
    <row r="34" spans="3:42" x14ac:dyDescent="0.25">
      <c r="C34" s="9"/>
      <c r="D34" s="10"/>
      <c r="E34" s="2"/>
      <c r="O34" s="3"/>
      <c r="P34">
        <v>0</v>
      </c>
      <c r="Q34">
        <v>0</v>
      </c>
      <c r="Y34">
        <v>0</v>
      </c>
      <c r="Z34">
        <v>0</v>
      </c>
      <c r="AG34">
        <v>0</v>
      </c>
      <c r="AH34">
        <v>0</v>
      </c>
      <c r="AI34">
        <v>0</v>
      </c>
      <c r="AJ34">
        <v>0</v>
      </c>
      <c r="AP34">
        <v>0</v>
      </c>
    </row>
    <row r="35" spans="3:42" x14ac:dyDescent="0.25">
      <c r="C35" s="9"/>
      <c r="D35" s="10"/>
      <c r="E35" s="2"/>
      <c r="O35" s="3"/>
      <c r="P35">
        <v>0</v>
      </c>
      <c r="Q35">
        <v>0</v>
      </c>
      <c r="Y35">
        <v>0</v>
      </c>
      <c r="Z35">
        <v>0</v>
      </c>
      <c r="AG35">
        <v>0</v>
      </c>
      <c r="AH35">
        <v>0</v>
      </c>
      <c r="AI35">
        <v>0</v>
      </c>
      <c r="AJ35">
        <v>0</v>
      </c>
      <c r="AP35">
        <v>0</v>
      </c>
    </row>
    <row r="36" spans="3:42" x14ac:dyDescent="0.25">
      <c r="C36" s="9"/>
      <c r="D36" s="10"/>
      <c r="E36" s="2"/>
      <c r="O36" s="3"/>
      <c r="P36">
        <v>0</v>
      </c>
      <c r="Q36">
        <v>0</v>
      </c>
      <c r="Y36">
        <v>0</v>
      </c>
      <c r="Z36">
        <v>0</v>
      </c>
      <c r="AG36">
        <v>0</v>
      </c>
      <c r="AH36">
        <v>0</v>
      </c>
      <c r="AI36">
        <v>0</v>
      </c>
      <c r="AJ36">
        <v>0</v>
      </c>
      <c r="AP36">
        <v>0</v>
      </c>
    </row>
    <row r="37" spans="3:42" x14ac:dyDescent="0.25">
      <c r="C37" s="9"/>
      <c r="D37" s="10"/>
      <c r="E37" s="2"/>
      <c r="O37" s="3"/>
      <c r="P37">
        <v>0</v>
      </c>
      <c r="Q37">
        <v>0</v>
      </c>
      <c r="Y37">
        <v>0</v>
      </c>
      <c r="Z37">
        <v>0</v>
      </c>
      <c r="AG37">
        <v>0</v>
      </c>
      <c r="AH37">
        <v>0</v>
      </c>
      <c r="AI37">
        <v>0</v>
      </c>
      <c r="AJ37">
        <v>0</v>
      </c>
      <c r="AP37">
        <v>0</v>
      </c>
    </row>
    <row r="38" spans="3:42" x14ac:dyDescent="0.25">
      <c r="C38" s="9"/>
      <c r="D38" s="10"/>
      <c r="E38" s="2"/>
      <c r="P38">
        <v>0</v>
      </c>
      <c r="Q38">
        <v>0</v>
      </c>
      <c r="Y38">
        <v>0</v>
      </c>
      <c r="Z38">
        <v>0</v>
      </c>
      <c r="AG38">
        <v>0</v>
      </c>
      <c r="AH38">
        <v>0</v>
      </c>
      <c r="AI38">
        <v>0</v>
      </c>
      <c r="AJ38">
        <v>0</v>
      </c>
      <c r="AP38">
        <v>0</v>
      </c>
    </row>
    <row r="39" spans="3:42" x14ac:dyDescent="0.25">
      <c r="C39" s="9"/>
      <c r="D39" s="10"/>
      <c r="E39" s="2"/>
      <c r="P39">
        <v>0</v>
      </c>
      <c r="Q39">
        <v>0</v>
      </c>
      <c r="Y39">
        <v>0</v>
      </c>
      <c r="Z39">
        <v>0</v>
      </c>
      <c r="AG39">
        <v>0</v>
      </c>
      <c r="AH39">
        <v>0</v>
      </c>
      <c r="AI39">
        <v>0</v>
      </c>
      <c r="AJ39">
        <v>0</v>
      </c>
      <c r="AP39">
        <v>0</v>
      </c>
    </row>
    <row r="40" spans="3:42" x14ac:dyDescent="0.25">
      <c r="C40" s="9"/>
      <c r="D40" s="10"/>
      <c r="E40" s="2"/>
      <c r="P40">
        <v>0</v>
      </c>
      <c r="Q40">
        <v>0</v>
      </c>
      <c r="Y40">
        <v>0</v>
      </c>
      <c r="Z40">
        <v>0</v>
      </c>
      <c r="AG40">
        <v>0</v>
      </c>
      <c r="AH40">
        <v>0</v>
      </c>
      <c r="AI40">
        <v>0</v>
      </c>
      <c r="AJ40">
        <v>0</v>
      </c>
      <c r="AP40">
        <v>0</v>
      </c>
    </row>
    <row r="41" spans="3:42" x14ac:dyDescent="0.25">
      <c r="C41" s="9"/>
      <c r="D41" s="10"/>
      <c r="E41" s="2"/>
      <c r="O41" s="3"/>
      <c r="P41">
        <v>0</v>
      </c>
      <c r="Q41">
        <v>0</v>
      </c>
      <c r="Y41">
        <v>0</v>
      </c>
      <c r="Z41">
        <v>0</v>
      </c>
      <c r="AG41">
        <v>0</v>
      </c>
      <c r="AH41">
        <v>0</v>
      </c>
      <c r="AI41">
        <v>0</v>
      </c>
      <c r="AJ41">
        <v>0</v>
      </c>
      <c r="AP41">
        <v>0</v>
      </c>
    </row>
    <row r="42" spans="3:42" x14ac:dyDescent="0.25">
      <c r="C42" s="9"/>
      <c r="D42" s="10"/>
      <c r="E42" s="2"/>
      <c r="O42" s="3"/>
      <c r="P42">
        <v>0</v>
      </c>
      <c r="Q42">
        <v>0</v>
      </c>
      <c r="Y42">
        <v>0</v>
      </c>
      <c r="Z42">
        <v>0</v>
      </c>
      <c r="AG42">
        <v>0</v>
      </c>
      <c r="AH42">
        <v>0</v>
      </c>
      <c r="AI42">
        <v>0</v>
      </c>
      <c r="AJ42">
        <v>0</v>
      </c>
      <c r="AP42">
        <v>0</v>
      </c>
    </row>
    <row r="43" spans="3:42" x14ac:dyDescent="0.25">
      <c r="C43" s="9"/>
      <c r="D43" s="10"/>
      <c r="E43" s="2"/>
      <c r="K43">
        <v>0</v>
      </c>
      <c r="P43">
        <v>0</v>
      </c>
      <c r="Q43">
        <v>0</v>
      </c>
      <c r="Y43">
        <v>0</v>
      </c>
      <c r="Z43">
        <v>0</v>
      </c>
      <c r="AG43">
        <v>0</v>
      </c>
      <c r="AH43">
        <v>0</v>
      </c>
      <c r="AI43">
        <v>0</v>
      </c>
      <c r="AJ43">
        <v>0</v>
      </c>
      <c r="AP43">
        <v>0</v>
      </c>
    </row>
    <row r="44" spans="3:42" x14ac:dyDescent="0.25">
      <c r="C44" s="9"/>
      <c r="D44" s="10"/>
      <c r="E44" s="2"/>
      <c r="K44">
        <v>0</v>
      </c>
      <c r="P44">
        <v>0</v>
      </c>
      <c r="Q44">
        <v>0</v>
      </c>
      <c r="Y44">
        <v>0</v>
      </c>
      <c r="Z44">
        <v>0</v>
      </c>
      <c r="AG44">
        <v>0</v>
      </c>
      <c r="AH44">
        <v>0</v>
      </c>
      <c r="AI44">
        <v>0</v>
      </c>
      <c r="AJ44">
        <v>0</v>
      </c>
      <c r="AP44">
        <v>0</v>
      </c>
    </row>
    <row r="45" spans="3:42" x14ac:dyDescent="0.25">
      <c r="C45" s="9"/>
      <c r="D45" s="10"/>
      <c r="E45" s="2"/>
      <c r="P45">
        <v>0</v>
      </c>
      <c r="Q45">
        <v>0</v>
      </c>
      <c r="Y45">
        <v>0</v>
      </c>
      <c r="Z45">
        <v>0</v>
      </c>
      <c r="AG45">
        <v>0</v>
      </c>
      <c r="AH45">
        <v>0</v>
      </c>
      <c r="AI45">
        <v>0</v>
      </c>
      <c r="AJ45">
        <v>0</v>
      </c>
      <c r="AP45">
        <v>0</v>
      </c>
    </row>
    <row r="46" spans="3:42" x14ac:dyDescent="0.25">
      <c r="C46" s="9"/>
      <c r="D46" s="10"/>
      <c r="E46" s="2"/>
      <c r="P46">
        <v>0</v>
      </c>
      <c r="Q46">
        <v>0</v>
      </c>
      <c r="Y46">
        <v>0</v>
      </c>
      <c r="Z46">
        <v>0</v>
      </c>
      <c r="AG46">
        <v>0</v>
      </c>
      <c r="AH46">
        <v>0</v>
      </c>
      <c r="AI46">
        <v>0</v>
      </c>
      <c r="AJ46">
        <v>0</v>
      </c>
      <c r="AP46">
        <v>0</v>
      </c>
    </row>
    <row r="47" spans="3:42" x14ac:dyDescent="0.25">
      <c r="C47" s="9"/>
      <c r="D47" s="10"/>
      <c r="E47" s="2"/>
      <c r="P47">
        <v>0</v>
      </c>
      <c r="Q47">
        <v>0</v>
      </c>
      <c r="Y47">
        <v>0</v>
      </c>
      <c r="Z47">
        <v>0</v>
      </c>
      <c r="AG47">
        <v>0</v>
      </c>
      <c r="AH47">
        <v>0</v>
      </c>
      <c r="AI47">
        <v>0</v>
      </c>
      <c r="AJ47">
        <v>0</v>
      </c>
      <c r="AP47">
        <v>0</v>
      </c>
    </row>
    <row r="48" spans="3:42" x14ac:dyDescent="0.25">
      <c r="C48" s="9"/>
      <c r="D48" s="10"/>
      <c r="E48" s="2"/>
      <c r="P48">
        <v>0</v>
      </c>
      <c r="Q48">
        <v>0</v>
      </c>
      <c r="Y48">
        <v>0</v>
      </c>
      <c r="Z48">
        <v>0</v>
      </c>
      <c r="AG48">
        <v>0</v>
      </c>
      <c r="AH48">
        <v>0</v>
      </c>
      <c r="AI48">
        <v>0</v>
      </c>
      <c r="AJ48">
        <v>0</v>
      </c>
      <c r="AP48">
        <v>0</v>
      </c>
    </row>
    <row r="49" spans="3:42" x14ac:dyDescent="0.25">
      <c r="C49" s="9"/>
      <c r="D49" s="10"/>
      <c r="E49" s="2"/>
      <c r="P49">
        <v>0</v>
      </c>
      <c r="Q49">
        <v>0</v>
      </c>
      <c r="Y49">
        <v>0</v>
      </c>
      <c r="Z49">
        <v>0</v>
      </c>
      <c r="AG49">
        <v>0</v>
      </c>
      <c r="AH49">
        <v>0</v>
      </c>
      <c r="AI49">
        <v>0</v>
      </c>
      <c r="AJ49">
        <v>0</v>
      </c>
      <c r="AP49">
        <v>0</v>
      </c>
    </row>
    <row r="50" spans="3:42" x14ac:dyDescent="0.25">
      <c r="C50" s="9"/>
      <c r="D50" s="10"/>
      <c r="E50" s="2"/>
      <c r="P50">
        <v>0</v>
      </c>
      <c r="Q50">
        <v>0</v>
      </c>
      <c r="Y50">
        <v>0</v>
      </c>
      <c r="Z50">
        <v>0</v>
      </c>
      <c r="AG50">
        <v>0</v>
      </c>
      <c r="AH50">
        <v>0</v>
      </c>
      <c r="AI50">
        <v>0</v>
      </c>
      <c r="AJ50">
        <v>0</v>
      </c>
      <c r="AP50">
        <v>0</v>
      </c>
    </row>
    <row r="51" spans="3:42" x14ac:dyDescent="0.25">
      <c r="C51" s="9"/>
      <c r="D51" s="10"/>
      <c r="E51" s="2"/>
      <c r="P51">
        <v>0</v>
      </c>
      <c r="Q51">
        <v>0</v>
      </c>
      <c r="Y51">
        <v>0</v>
      </c>
      <c r="Z51">
        <v>0</v>
      </c>
      <c r="AG51">
        <v>0</v>
      </c>
      <c r="AH51">
        <v>0</v>
      </c>
      <c r="AI51">
        <v>0</v>
      </c>
      <c r="AJ51">
        <v>0</v>
      </c>
      <c r="AP51">
        <v>0</v>
      </c>
    </row>
    <row r="52" spans="3:42" x14ac:dyDescent="0.25">
      <c r="C52" s="9"/>
      <c r="D52" s="10"/>
      <c r="E52" s="2"/>
      <c r="Q52">
        <v>0</v>
      </c>
      <c r="Y52">
        <v>0</v>
      </c>
      <c r="Z52">
        <v>0</v>
      </c>
      <c r="AG52">
        <v>0</v>
      </c>
      <c r="AH52">
        <v>0</v>
      </c>
      <c r="AI52">
        <v>0</v>
      </c>
      <c r="AJ52">
        <v>0</v>
      </c>
      <c r="AP52">
        <v>0</v>
      </c>
    </row>
    <row r="53" spans="3:42" x14ac:dyDescent="0.25">
      <c r="C53" s="9"/>
      <c r="D53" s="24"/>
      <c r="E53" s="2"/>
      <c r="Q53">
        <v>0</v>
      </c>
      <c r="Y53">
        <v>0</v>
      </c>
      <c r="Z53">
        <v>0</v>
      </c>
      <c r="AG53">
        <v>0</v>
      </c>
      <c r="AH53">
        <v>0</v>
      </c>
      <c r="AI53">
        <v>0</v>
      </c>
      <c r="AJ53">
        <v>0</v>
      </c>
      <c r="AP53">
        <v>0</v>
      </c>
    </row>
    <row r="54" spans="3:42" x14ac:dyDescent="0.25">
      <c r="C54" s="9"/>
      <c r="D54" s="10"/>
      <c r="E54" s="2"/>
      <c r="Q54">
        <v>0</v>
      </c>
      <c r="Y54">
        <v>0</v>
      </c>
      <c r="Z54">
        <v>0</v>
      </c>
      <c r="AG54">
        <v>0</v>
      </c>
      <c r="AH54">
        <v>0</v>
      </c>
      <c r="AI54">
        <v>0</v>
      </c>
      <c r="AJ54">
        <v>0</v>
      </c>
      <c r="AP54">
        <v>0</v>
      </c>
    </row>
    <row r="55" spans="3:42" x14ac:dyDescent="0.25">
      <c r="C55" s="9"/>
      <c r="D55" s="10"/>
      <c r="E55" s="2"/>
      <c r="Q55">
        <v>0</v>
      </c>
      <c r="V55">
        <v>0</v>
      </c>
      <c r="W55">
        <v>0</v>
      </c>
      <c r="X55">
        <v>0</v>
      </c>
      <c r="Y55">
        <v>0</v>
      </c>
      <c r="Z55">
        <v>0</v>
      </c>
      <c r="AG55">
        <v>0</v>
      </c>
      <c r="AH55">
        <v>0</v>
      </c>
      <c r="AI55">
        <v>0</v>
      </c>
      <c r="AJ55">
        <v>0</v>
      </c>
      <c r="AP55">
        <v>0</v>
      </c>
    </row>
    <row r="56" spans="3:42" x14ac:dyDescent="0.25">
      <c r="C56" s="9"/>
      <c r="D56" s="10"/>
      <c r="E56" s="2"/>
      <c r="Q56">
        <v>0</v>
      </c>
      <c r="V56">
        <v>0</v>
      </c>
      <c r="W56">
        <v>0</v>
      </c>
      <c r="X56">
        <v>0</v>
      </c>
      <c r="Y56">
        <v>0</v>
      </c>
      <c r="Z56">
        <v>0</v>
      </c>
      <c r="AB56">
        <v>0</v>
      </c>
      <c r="AC56">
        <v>0</v>
      </c>
      <c r="AD56">
        <v>0</v>
      </c>
      <c r="AE56">
        <v>0</v>
      </c>
      <c r="AG56">
        <v>0</v>
      </c>
      <c r="AH56">
        <v>0</v>
      </c>
      <c r="AI56">
        <v>0</v>
      </c>
      <c r="AJ56">
        <v>0</v>
      </c>
      <c r="AP56">
        <v>0</v>
      </c>
    </row>
    <row r="57" spans="3:42" x14ac:dyDescent="0.25">
      <c r="C57" s="9"/>
      <c r="D57" s="10"/>
      <c r="E57" s="2"/>
      <c r="Q57">
        <v>0</v>
      </c>
      <c r="V57">
        <v>0</v>
      </c>
      <c r="W57">
        <v>0</v>
      </c>
      <c r="X57">
        <v>0</v>
      </c>
      <c r="Y57">
        <v>0</v>
      </c>
      <c r="Z57">
        <v>0</v>
      </c>
      <c r="AB57">
        <v>0</v>
      </c>
      <c r="AC57">
        <v>0</v>
      </c>
      <c r="AD57">
        <v>0</v>
      </c>
      <c r="AE57">
        <v>0</v>
      </c>
      <c r="AG57">
        <v>0</v>
      </c>
      <c r="AH57">
        <v>0</v>
      </c>
      <c r="AI57">
        <v>0</v>
      </c>
      <c r="AJ57">
        <v>0</v>
      </c>
      <c r="AP57">
        <v>0</v>
      </c>
    </row>
    <row r="58" spans="3:42" x14ac:dyDescent="0.25">
      <c r="C58" s="9"/>
      <c r="D58" s="10"/>
      <c r="E58" s="2"/>
      <c r="Q58">
        <v>0</v>
      </c>
      <c r="V58">
        <v>0</v>
      </c>
      <c r="W58">
        <v>0</v>
      </c>
      <c r="X58">
        <v>0</v>
      </c>
      <c r="Y58">
        <v>0</v>
      </c>
      <c r="Z58">
        <v>0</v>
      </c>
      <c r="AB58">
        <v>0</v>
      </c>
      <c r="AC58">
        <v>0</v>
      </c>
      <c r="AD58">
        <v>0</v>
      </c>
      <c r="AE58">
        <v>0</v>
      </c>
      <c r="AG58">
        <v>0</v>
      </c>
      <c r="AH58">
        <v>0</v>
      </c>
      <c r="AI58">
        <v>0</v>
      </c>
      <c r="AJ58">
        <v>0</v>
      </c>
      <c r="AP58">
        <v>0</v>
      </c>
    </row>
    <row r="59" spans="3:42" x14ac:dyDescent="0.25">
      <c r="C59" s="9"/>
      <c r="D59" s="10"/>
      <c r="E59" s="2"/>
      <c r="Q59">
        <v>0</v>
      </c>
      <c r="V59">
        <v>0</v>
      </c>
      <c r="W59">
        <v>0</v>
      </c>
      <c r="X59">
        <v>0</v>
      </c>
      <c r="Y59">
        <v>0</v>
      </c>
      <c r="Z59">
        <v>0</v>
      </c>
      <c r="AB59">
        <v>0</v>
      </c>
      <c r="AC59">
        <v>0</v>
      </c>
      <c r="AD59">
        <v>0</v>
      </c>
      <c r="AE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P59">
        <v>0</v>
      </c>
    </row>
    <row r="60" spans="3:42" x14ac:dyDescent="0.25">
      <c r="C60" s="9"/>
      <c r="D60" s="10"/>
      <c r="E60" s="2"/>
      <c r="N60">
        <v>0</v>
      </c>
      <c r="Q60">
        <v>0</v>
      </c>
      <c r="V60">
        <v>0</v>
      </c>
      <c r="W60">
        <v>0</v>
      </c>
      <c r="X60">
        <v>0</v>
      </c>
      <c r="Y60">
        <v>0</v>
      </c>
      <c r="Z60">
        <v>0</v>
      </c>
      <c r="AB60">
        <v>0</v>
      </c>
      <c r="AC60">
        <v>0</v>
      </c>
      <c r="AD60">
        <v>0</v>
      </c>
      <c r="AE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P60">
        <v>0</v>
      </c>
    </row>
    <row r="61" spans="3:42" x14ac:dyDescent="0.25">
      <c r="C61" s="9"/>
      <c r="D61" s="10"/>
      <c r="E61" s="2"/>
      <c r="J61">
        <v>0</v>
      </c>
      <c r="N61">
        <v>0</v>
      </c>
      <c r="Q61">
        <v>0</v>
      </c>
      <c r="V61">
        <v>0</v>
      </c>
      <c r="W61">
        <v>0</v>
      </c>
      <c r="X61">
        <v>0</v>
      </c>
      <c r="Y61">
        <v>0</v>
      </c>
      <c r="Z61">
        <v>0</v>
      </c>
      <c r="AB61">
        <v>0</v>
      </c>
      <c r="AC61">
        <v>0</v>
      </c>
      <c r="AD61">
        <v>0</v>
      </c>
      <c r="AE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P61">
        <v>0</v>
      </c>
    </row>
    <row r="62" spans="3:42" x14ac:dyDescent="0.25">
      <c r="C62" s="9"/>
      <c r="D62" s="10"/>
      <c r="E62" s="2"/>
      <c r="N62">
        <v>0</v>
      </c>
      <c r="Q62">
        <v>0</v>
      </c>
      <c r="V62">
        <v>0</v>
      </c>
      <c r="W62">
        <v>0</v>
      </c>
      <c r="X62">
        <v>0</v>
      </c>
      <c r="Y62">
        <v>0</v>
      </c>
      <c r="Z62">
        <v>0</v>
      </c>
      <c r="AB62">
        <v>0</v>
      </c>
      <c r="AC62">
        <v>0</v>
      </c>
      <c r="AD62">
        <v>0</v>
      </c>
      <c r="AE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P62">
        <v>0</v>
      </c>
    </row>
    <row r="63" spans="3:42" x14ac:dyDescent="0.25">
      <c r="C63" s="9"/>
      <c r="D63" s="10"/>
      <c r="E63" s="2"/>
      <c r="J63">
        <v>0</v>
      </c>
      <c r="N63">
        <v>0</v>
      </c>
      <c r="Q63">
        <v>0</v>
      </c>
      <c r="V63">
        <v>0</v>
      </c>
      <c r="W63">
        <v>0</v>
      </c>
      <c r="X63">
        <v>0</v>
      </c>
      <c r="Y63">
        <v>0</v>
      </c>
      <c r="Z63">
        <v>0</v>
      </c>
      <c r="AB63">
        <v>0</v>
      </c>
      <c r="AC63">
        <v>0</v>
      </c>
      <c r="AD63">
        <v>0</v>
      </c>
      <c r="AE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P63">
        <v>0</v>
      </c>
    </row>
    <row r="64" spans="3:42" x14ac:dyDescent="0.25">
      <c r="C64" s="9"/>
      <c r="D64" s="10"/>
      <c r="E64" s="2"/>
      <c r="J64">
        <v>0</v>
      </c>
      <c r="N64">
        <v>0</v>
      </c>
      <c r="Q64">
        <v>0</v>
      </c>
      <c r="V64">
        <v>0</v>
      </c>
      <c r="W64">
        <v>0</v>
      </c>
      <c r="X64">
        <v>0</v>
      </c>
      <c r="Y64">
        <v>0</v>
      </c>
      <c r="Z64">
        <v>0</v>
      </c>
      <c r="AB64">
        <v>0</v>
      </c>
      <c r="AC64">
        <v>0</v>
      </c>
      <c r="AD64">
        <v>0</v>
      </c>
      <c r="AE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P64">
        <v>0</v>
      </c>
    </row>
    <row r="65" spans="2:42" x14ac:dyDescent="0.25">
      <c r="C65" s="9"/>
      <c r="D65" s="10"/>
      <c r="E65" s="2"/>
      <c r="J65">
        <v>0</v>
      </c>
      <c r="N65">
        <v>0</v>
      </c>
      <c r="Q65">
        <v>0</v>
      </c>
      <c r="V65">
        <v>0</v>
      </c>
      <c r="W65">
        <v>0</v>
      </c>
      <c r="X65">
        <v>0</v>
      </c>
      <c r="Y65">
        <v>0</v>
      </c>
      <c r="Z65">
        <v>0</v>
      </c>
      <c r="AB65">
        <v>0</v>
      </c>
      <c r="AC65">
        <v>0</v>
      </c>
      <c r="AD65">
        <v>0</v>
      </c>
      <c r="AE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P65">
        <v>0</v>
      </c>
    </row>
    <row r="66" spans="2:42" x14ac:dyDescent="0.25">
      <c r="B66" t="s">
        <v>63</v>
      </c>
      <c r="C66" s="9"/>
      <c r="D66" s="10"/>
      <c r="E66" s="2"/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-2146826281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2:42" x14ac:dyDescent="0.25">
      <c r="C67" s="9"/>
      <c r="D67" s="10"/>
      <c r="E67" s="2"/>
    </row>
    <row r="68" spans="2:42" x14ac:dyDescent="0.25">
      <c r="C68" s="9"/>
      <c r="D68" s="10"/>
      <c r="E68" s="2"/>
    </row>
    <row r="69" spans="2:42" x14ac:dyDescent="0.25">
      <c r="C69" s="9"/>
      <c r="D69" s="10"/>
      <c r="E69" s="2"/>
    </row>
    <row r="70" spans="2:42" x14ac:dyDescent="0.25">
      <c r="C70" s="9"/>
      <c r="D70" s="10"/>
      <c r="E70" s="2"/>
    </row>
    <row r="71" spans="2:42" x14ac:dyDescent="0.25">
      <c r="C71" s="9"/>
      <c r="D71" s="10"/>
      <c r="E71" s="2"/>
    </row>
    <row r="72" spans="2:42" x14ac:dyDescent="0.25">
      <c r="C72" s="9"/>
      <c r="D72" s="10"/>
      <c r="E72" s="2"/>
    </row>
    <row r="73" spans="2:42" x14ac:dyDescent="0.25">
      <c r="C73" s="9"/>
      <c r="D73" s="10"/>
      <c r="E73" s="2"/>
    </row>
    <row r="74" spans="2:42" x14ac:dyDescent="0.25">
      <c r="C74" s="9"/>
      <c r="D74" s="10"/>
      <c r="E74" s="2"/>
    </row>
    <row r="75" spans="2:42" x14ac:dyDescent="0.25">
      <c r="C75" s="9"/>
      <c r="D75" s="10"/>
      <c r="E75" s="2"/>
    </row>
    <row r="76" spans="2:42" x14ac:dyDescent="0.25">
      <c r="C76" s="9"/>
      <c r="D76" s="10"/>
      <c r="E76" s="2"/>
    </row>
    <row r="77" spans="2:42" x14ac:dyDescent="0.25">
      <c r="C77" s="9"/>
      <c r="D77" s="10"/>
      <c r="E77" s="2"/>
    </row>
    <row r="78" spans="2:42" x14ac:dyDescent="0.25">
      <c r="C78" s="9"/>
      <c r="D78" s="10"/>
      <c r="E78" s="2"/>
    </row>
    <row r="79" spans="2:42" x14ac:dyDescent="0.25">
      <c r="C79" s="9"/>
      <c r="D79" s="10"/>
      <c r="E79" s="2"/>
    </row>
    <row r="80" spans="2:42" x14ac:dyDescent="0.25">
      <c r="C80" s="9"/>
      <c r="D80" s="10"/>
      <c r="E80" s="2"/>
    </row>
    <row r="81" spans="3:5" x14ac:dyDescent="0.25">
      <c r="C81" s="9"/>
      <c r="D81" s="10"/>
      <c r="E81" s="2"/>
    </row>
    <row r="82" spans="3:5" x14ac:dyDescent="0.25">
      <c r="C82" s="9"/>
      <c r="D82" s="10"/>
      <c r="E82" s="2"/>
    </row>
    <row r="83" spans="3:5" x14ac:dyDescent="0.25">
      <c r="C83" s="9"/>
      <c r="D83" s="10"/>
      <c r="E83" s="2"/>
    </row>
    <row r="84" spans="3:5" x14ac:dyDescent="0.25">
      <c r="C84" s="9"/>
      <c r="D84" s="10"/>
      <c r="E84" s="2"/>
    </row>
    <row r="85" spans="3:5" x14ac:dyDescent="0.25">
      <c r="C85" s="9"/>
      <c r="D85" s="10"/>
      <c r="E85" s="2"/>
    </row>
    <row r="86" spans="3:5" x14ac:dyDescent="0.25">
      <c r="C86" s="9"/>
      <c r="D86" s="10"/>
      <c r="E86" s="2"/>
    </row>
    <row r="87" spans="3:5" x14ac:dyDescent="0.25">
      <c r="C87" s="9"/>
      <c r="D87" s="10"/>
      <c r="E87" s="2"/>
    </row>
    <row r="88" spans="3:5" x14ac:dyDescent="0.25">
      <c r="C88" s="9"/>
      <c r="D88" s="10"/>
      <c r="E88" s="2"/>
    </row>
    <row r="89" spans="3:5" x14ac:dyDescent="0.25">
      <c r="C89" s="9"/>
      <c r="D89" s="10"/>
      <c r="E89" s="2"/>
    </row>
    <row r="90" spans="3:5" x14ac:dyDescent="0.25">
      <c r="C90" s="9"/>
      <c r="D90" s="10"/>
      <c r="E90" s="2"/>
    </row>
    <row r="91" spans="3:5" x14ac:dyDescent="0.25">
      <c r="C91" s="9"/>
      <c r="D91" s="10"/>
      <c r="E91" s="2"/>
    </row>
    <row r="92" spans="3:5" x14ac:dyDescent="0.25">
      <c r="C92" s="9"/>
      <c r="D92" s="10"/>
      <c r="E92" s="2"/>
    </row>
    <row r="93" spans="3:5" x14ac:dyDescent="0.25">
      <c r="C93" s="9"/>
      <c r="D93" s="10"/>
      <c r="E93" s="2"/>
    </row>
    <row r="94" spans="3:5" x14ac:dyDescent="0.25">
      <c r="C94" s="9"/>
      <c r="D94" s="10"/>
      <c r="E94" s="2"/>
    </row>
    <row r="95" spans="3:5" x14ac:dyDescent="0.25">
      <c r="C95" s="9"/>
      <c r="D95" s="10"/>
      <c r="E95" s="2"/>
    </row>
    <row r="96" spans="3:5" x14ac:dyDescent="0.25">
      <c r="C96" s="9"/>
      <c r="D96" s="10"/>
      <c r="E96" s="2"/>
    </row>
    <row r="97" spans="3:5" x14ac:dyDescent="0.25">
      <c r="C97" s="9"/>
      <c r="D97" s="10"/>
      <c r="E97" s="2"/>
    </row>
    <row r="98" spans="3:5" x14ac:dyDescent="0.25">
      <c r="C98" s="9"/>
      <c r="D98" s="10"/>
      <c r="E98" s="2"/>
    </row>
    <row r="99" spans="3:5" x14ac:dyDescent="0.25">
      <c r="C99" s="9"/>
      <c r="D99" s="10"/>
      <c r="E99" s="2"/>
    </row>
    <row r="100" spans="3:5" x14ac:dyDescent="0.25">
      <c r="C100" s="9"/>
      <c r="D100" s="10"/>
      <c r="E100" s="2"/>
    </row>
    <row r="101" spans="3:5" x14ac:dyDescent="0.25">
      <c r="C101" s="9"/>
      <c r="D101" s="10"/>
      <c r="E101" s="2"/>
    </row>
    <row r="102" spans="3:5" x14ac:dyDescent="0.25">
      <c r="C102" s="9"/>
      <c r="D102" s="10"/>
      <c r="E102" s="2"/>
    </row>
    <row r="103" spans="3:5" x14ac:dyDescent="0.25">
      <c r="C103" s="9"/>
      <c r="D103" s="10"/>
      <c r="E103" s="2"/>
    </row>
    <row r="104" spans="3:5" x14ac:dyDescent="0.25">
      <c r="C104" s="9"/>
      <c r="D104" s="10"/>
      <c r="E104" s="2"/>
    </row>
    <row r="105" spans="3:5" x14ac:dyDescent="0.25">
      <c r="C105" s="9"/>
      <c r="D105" s="10"/>
      <c r="E105" s="2"/>
    </row>
    <row r="106" spans="3:5" x14ac:dyDescent="0.25">
      <c r="C106" s="9"/>
      <c r="D106" s="10"/>
      <c r="E106" s="2"/>
    </row>
    <row r="107" spans="3:5" x14ac:dyDescent="0.25">
      <c r="C107" s="9"/>
      <c r="D107" s="10"/>
      <c r="E107" s="2"/>
    </row>
    <row r="108" spans="3:5" x14ac:dyDescent="0.25">
      <c r="C108" s="9"/>
      <c r="D108" s="10"/>
      <c r="E108" s="2"/>
    </row>
    <row r="109" spans="3:5" x14ac:dyDescent="0.25">
      <c r="C109" s="9"/>
      <c r="D109" s="10"/>
      <c r="E109" s="2"/>
    </row>
    <row r="110" spans="3:5" x14ac:dyDescent="0.25">
      <c r="C110" s="9"/>
      <c r="D110" s="10"/>
      <c r="E110" s="2"/>
    </row>
    <row r="111" spans="3:5" x14ac:dyDescent="0.25">
      <c r="C111" s="9"/>
      <c r="D111" s="10"/>
      <c r="E111" s="2"/>
    </row>
    <row r="112" spans="3:5" x14ac:dyDescent="0.25">
      <c r="C112" s="9"/>
      <c r="D112" s="10"/>
      <c r="E112" s="2"/>
    </row>
    <row r="113" spans="3:5" x14ac:dyDescent="0.25">
      <c r="C113" s="9"/>
      <c r="D113" s="10"/>
      <c r="E113" s="2"/>
    </row>
    <row r="114" spans="3:5" x14ac:dyDescent="0.25">
      <c r="C114" s="9"/>
      <c r="D114" s="10"/>
      <c r="E114" s="2"/>
    </row>
    <row r="115" spans="3:5" x14ac:dyDescent="0.25">
      <c r="C115" s="9"/>
      <c r="D115" s="10"/>
      <c r="E115" s="2"/>
    </row>
    <row r="116" spans="3:5" x14ac:dyDescent="0.25">
      <c r="C116" s="9"/>
      <c r="D116" s="10"/>
      <c r="E116" s="2"/>
    </row>
    <row r="117" spans="3:5" x14ac:dyDescent="0.25">
      <c r="C117" s="9"/>
      <c r="D117" s="10"/>
      <c r="E117" s="2"/>
    </row>
    <row r="118" spans="3:5" x14ac:dyDescent="0.25">
      <c r="C118" s="9"/>
      <c r="D118" s="10"/>
      <c r="E118" s="2"/>
    </row>
    <row r="119" spans="3:5" x14ac:dyDescent="0.25">
      <c r="C119" s="9"/>
      <c r="D119" s="10"/>
      <c r="E119" s="2"/>
    </row>
    <row r="120" spans="3:5" x14ac:dyDescent="0.25">
      <c r="C120" s="9"/>
      <c r="D120" s="10"/>
      <c r="E120" s="2"/>
    </row>
    <row r="121" spans="3:5" x14ac:dyDescent="0.25">
      <c r="C121" s="9"/>
      <c r="D121" s="10"/>
      <c r="E121" s="2"/>
    </row>
    <row r="122" spans="3:5" x14ac:dyDescent="0.25">
      <c r="C122" s="9"/>
      <c r="D122" s="10"/>
      <c r="E122" s="2"/>
    </row>
    <row r="123" spans="3:5" x14ac:dyDescent="0.25">
      <c r="C123" s="9"/>
      <c r="D123" s="10"/>
      <c r="E123" s="2"/>
    </row>
    <row r="124" spans="3:5" x14ac:dyDescent="0.25">
      <c r="C124" s="9"/>
      <c r="D124" s="10"/>
      <c r="E124" s="2"/>
    </row>
    <row r="125" spans="3:5" x14ac:dyDescent="0.25">
      <c r="C125" s="9"/>
      <c r="D125" s="10"/>
      <c r="E125" s="2"/>
    </row>
    <row r="126" spans="3:5" x14ac:dyDescent="0.25">
      <c r="C126" s="9"/>
      <c r="D126" s="10"/>
      <c r="E126" s="2"/>
    </row>
    <row r="127" spans="3:5" x14ac:dyDescent="0.25">
      <c r="C127" s="9"/>
      <c r="D127" s="10"/>
      <c r="E127" s="2"/>
    </row>
    <row r="128" spans="3:5" x14ac:dyDescent="0.25">
      <c r="C128" s="9"/>
      <c r="D128" s="10"/>
      <c r="E128" s="2"/>
    </row>
    <row r="129" spans="3:5" x14ac:dyDescent="0.25">
      <c r="C129" s="9"/>
      <c r="D129" s="10"/>
      <c r="E129" s="2"/>
    </row>
    <row r="130" spans="3:5" x14ac:dyDescent="0.25">
      <c r="C130" s="9"/>
      <c r="D130" s="10"/>
      <c r="E130" s="2"/>
    </row>
    <row r="131" spans="3:5" x14ac:dyDescent="0.25">
      <c r="C131" s="9"/>
      <c r="D131" s="10"/>
      <c r="E131" s="2"/>
    </row>
    <row r="132" spans="3:5" x14ac:dyDescent="0.25">
      <c r="C132" s="9"/>
      <c r="D132" s="10"/>
      <c r="E132" s="2"/>
    </row>
    <row r="133" spans="3:5" x14ac:dyDescent="0.25">
      <c r="C133" s="9"/>
      <c r="D133" s="10"/>
      <c r="E133" s="2"/>
    </row>
    <row r="134" spans="3:5" x14ac:dyDescent="0.25">
      <c r="C134" s="9"/>
      <c r="D134" s="10"/>
      <c r="E134" s="2"/>
    </row>
    <row r="135" spans="3:5" x14ac:dyDescent="0.25">
      <c r="C135" s="9"/>
      <c r="D135" s="10"/>
      <c r="E135" s="2"/>
    </row>
    <row r="136" spans="3:5" x14ac:dyDescent="0.25">
      <c r="C136" s="9"/>
      <c r="D136" s="10"/>
      <c r="E136" s="2"/>
    </row>
    <row r="137" spans="3:5" x14ac:dyDescent="0.25">
      <c r="C137" s="9"/>
      <c r="D137" s="10"/>
      <c r="E137" s="2"/>
    </row>
    <row r="138" spans="3:5" x14ac:dyDescent="0.25">
      <c r="C138" s="9"/>
      <c r="D138" s="10"/>
      <c r="E138" s="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9:AP250"/>
  <sheetViews>
    <sheetView zoomScale="40" zoomScaleNormal="40" workbookViewId="0">
      <selection activeCell="M138" sqref="M138"/>
    </sheetView>
  </sheetViews>
  <sheetFormatPr defaultRowHeight="15" x14ac:dyDescent="0.25"/>
  <sheetData>
    <row r="9" spans="2:42" x14ac:dyDescent="0.25">
      <c r="B9" s="12" t="b">
        <v>0</v>
      </c>
      <c r="C9" s="12" t="b">
        <v>0</v>
      </c>
      <c r="D9" s="12" t="b">
        <v>0</v>
      </c>
      <c r="E9" s="12" t="b">
        <v>0</v>
      </c>
      <c r="F9" s="12" t="b">
        <v>0</v>
      </c>
      <c r="G9" s="12" t="b">
        <v>0</v>
      </c>
      <c r="H9" s="12" t="b">
        <v>0</v>
      </c>
      <c r="I9" s="12" t="b">
        <v>0</v>
      </c>
      <c r="J9" s="12" t="b">
        <v>0</v>
      </c>
      <c r="K9" s="12" t="b">
        <v>0</v>
      </c>
      <c r="L9" s="12" t="b">
        <v>0</v>
      </c>
      <c r="M9" s="12" t="b">
        <v>0</v>
      </c>
      <c r="N9" s="12" t="b">
        <v>0</v>
      </c>
      <c r="O9" s="12" t="b">
        <v>0</v>
      </c>
      <c r="P9" s="12" t="b">
        <v>0</v>
      </c>
      <c r="Q9" s="12" t="b">
        <v>0</v>
      </c>
      <c r="R9" s="12" t="b">
        <v>0</v>
      </c>
      <c r="S9" s="12" t="b">
        <v>0</v>
      </c>
      <c r="T9" s="12" t="b">
        <v>0</v>
      </c>
      <c r="U9" s="12" t="b">
        <v>0</v>
      </c>
      <c r="V9" s="12" t="b">
        <v>0</v>
      </c>
      <c r="W9" s="12" t="b">
        <v>0</v>
      </c>
      <c r="X9" s="12" t="b">
        <v>0</v>
      </c>
      <c r="Y9" s="12" t="b">
        <v>0</v>
      </c>
      <c r="Z9" s="12" t="b">
        <v>0</v>
      </c>
      <c r="AA9" s="12" t="b">
        <v>0</v>
      </c>
      <c r="AB9" s="12" t="b">
        <v>0</v>
      </c>
      <c r="AC9" s="12" t="b">
        <v>0</v>
      </c>
      <c r="AD9" s="12" t="b">
        <v>0</v>
      </c>
      <c r="AE9" s="12" t="b">
        <v>0</v>
      </c>
      <c r="AF9" s="13" t="b">
        <v>0</v>
      </c>
      <c r="AG9" s="13" t="b">
        <v>0</v>
      </c>
      <c r="AH9" s="13" t="b">
        <v>0</v>
      </c>
      <c r="AI9" s="13" t="b">
        <v>0</v>
      </c>
      <c r="AJ9" s="13" t="b">
        <v>0</v>
      </c>
      <c r="AK9" s="13" t="b">
        <v>0</v>
      </c>
      <c r="AL9" s="12" t="b">
        <v>0</v>
      </c>
      <c r="AM9" s="12" t="b">
        <v>0</v>
      </c>
      <c r="AN9" s="12" t="b">
        <v>0</v>
      </c>
      <c r="AO9" s="12" t="b">
        <v>0</v>
      </c>
      <c r="AP9" s="12" t="b">
        <v>0</v>
      </c>
    </row>
    <row r="10" spans="2:42" x14ac:dyDescent="0.25">
      <c r="B10" s="1" t="s">
        <v>0</v>
      </c>
      <c r="C10" s="1" t="s">
        <v>1</v>
      </c>
      <c r="D10" s="11" t="s">
        <v>2</v>
      </c>
      <c r="E10" s="1" t="s">
        <v>3</v>
      </c>
      <c r="F10" s="1" t="s">
        <v>4</v>
      </c>
      <c r="G10" s="1" t="s">
        <v>5</v>
      </c>
      <c r="H10" s="1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1" t="s">
        <v>11</v>
      </c>
      <c r="N10" s="1" t="s">
        <v>12</v>
      </c>
      <c r="O10" s="1" t="s">
        <v>13</v>
      </c>
      <c r="P10" s="11" t="s">
        <v>14</v>
      </c>
      <c r="Q10" s="1" t="s">
        <v>15</v>
      </c>
      <c r="R10" s="1" t="s">
        <v>16</v>
      </c>
      <c r="S10" s="11" t="s">
        <v>17</v>
      </c>
      <c r="T10" s="1" t="s">
        <v>18</v>
      </c>
      <c r="U10" s="1" t="s">
        <v>19</v>
      </c>
      <c r="V10" s="11" t="s">
        <v>20</v>
      </c>
      <c r="W10" s="1" t="s">
        <v>21</v>
      </c>
      <c r="X10" s="11" t="s">
        <v>22</v>
      </c>
      <c r="Y10" s="1" t="s">
        <v>23</v>
      </c>
      <c r="Z10" s="1" t="s">
        <v>24</v>
      </c>
      <c r="AA10" s="11" t="s">
        <v>25</v>
      </c>
      <c r="AB10" s="1" t="s">
        <v>26</v>
      </c>
      <c r="AC10" s="11" t="s">
        <v>27</v>
      </c>
      <c r="AD10" s="1" t="s">
        <v>28</v>
      </c>
      <c r="AE10" s="1" t="s">
        <v>29</v>
      </c>
      <c r="AF10" s="11" t="s">
        <v>30</v>
      </c>
      <c r="AG10" s="1" t="s">
        <v>31</v>
      </c>
      <c r="AH10" s="11" t="s">
        <v>32</v>
      </c>
      <c r="AI10" s="1" t="s">
        <v>33</v>
      </c>
      <c r="AJ10" s="1" t="s">
        <v>34</v>
      </c>
      <c r="AK10" s="11" t="s">
        <v>35</v>
      </c>
      <c r="AL10" s="1" t="s">
        <v>36</v>
      </c>
      <c r="AM10" s="11" t="s">
        <v>37</v>
      </c>
      <c r="AN10" s="1" t="s">
        <v>38</v>
      </c>
      <c r="AO10" s="1" t="s">
        <v>39</v>
      </c>
      <c r="AP10" s="11" t="s">
        <v>40</v>
      </c>
    </row>
    <row r="11" spans="2:42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spans="2:42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2:42" x14ac:dyDescent="0.2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2:42" x14ac:dyDescent="0.2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2:42" x14ac:dyDescent="0.2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2:42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7" spans="2:42" x14ac:dyDescent="0.2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</row>
    <row r="18" spans="2:42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</row>
    <row r="19" spans="2:42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</row>
    <row r="20" spans="2:42" x14ac:dyDescent="0.2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</row>
    <row r="21" spans="2:42" x14ac:dyDescent="0.2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</row>
    <row r="22" spans="2:42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</row>
    <row r="23" spans="2:42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spans="2:42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spans="2:42" x14ac:dyDescent="0.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spans="2:42" x14ac:dyDescent="0.2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spans="2:42" x14ac:dyDescent="0.2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</row>
    <row r="28" spans="2:42" x14ac:dyDescent="0.25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</row>
    <row r="29" spans="2:42" x14ac:dyDescent="0.25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</row>
    <row r="30" spans="2:42" x14ac:dyDescent="0.25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</row>
    <row r="31" spans="2:42" x14ac:dyDescent="0.2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</row>
    <row r="32" spans="2:42" x14ac:dyDescent="0.2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</row>
    <row r="33" spans="2:42" x14ac:dyDescent="0.25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</row>
    <row r="34" spans="2:42" x14ac:dyDescent="0.2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</row>
    <row r="35" spans="2:42" x14ac:dyDescent="0.25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</row>
    <row r="36" spans="2:42" x14ac:dyDescent="0.2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 spans="2:42" x14ac:dyDescent="0.2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 spans="2:42" x14ac:dyDescent="0.2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 spans="2:42" x14ac:dyDescent="0.2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 spans="2:42" x14ac:dyDescent="0.25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</row>
    <row r="41" spans="2:42" x14ac:dyDescent="0.25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</row>
    <row r="42" spans="2:42" x14ac:dyDescent="0.25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</row>
    <row r="43" spans="2:42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</row>
    <row r="44" spans="2:42" x14ac:dyDescent="0.2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 spans="2:42" x14ac:dyDescent="0.2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</row>
    <row r="46" spans="2:42" x14ac:dyDescent="0.25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</row>
    <row r="47" spans="2:42" x14ac:dyDescent="0.25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</row>
    <row r="48" spans="2:42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</row>
    <row r="49" spans="2:42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</row>
    <row r="50" spans="2:42" x14ac:dyDescent="0.2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</row>
    <row r="51" spans="2:42" x14ac:dyDescent="0.25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spans="2:42" x14ac:dyDescent="0.25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42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2:42" x14ac:dyDescent="0.2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2:42" x14ac:dyDescent="0.2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2:42" x14ac:dyDescent="0.2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2:42" x14ac:dyDescent="0.2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2:42" x14ac:dyDescent="0.25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2:42" x14ac:dyDescent="0.25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2:42" x14ac:dyDescent="0.25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2:42" x14ac:dyDescent="0.2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2:42" x14ac:dyDescent="0.2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2:42" x14ac:dyDescent="0.2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2:42" x14ac:dyDescent="0.2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2:22" x14ac:dyDescent="0.2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2:22" x14ac:dyDescent="0.25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2:22" x14ac:dyDescent="0.25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2:22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2:22" x14ac:dyDescent="0.25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2:22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2:22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2:22" x14ac:dyDescent="0.25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2:22" x14ac:dyDescent="0.25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2:22" x14ac:dyDescent="0.25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2:22" x14ac:dyDescent="0.2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2:22" x14ac:dyDescent="0.25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2:22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2:22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2:22" x14ac:dyDescent="0.25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2:22" x14ac:dyDescent="0.25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2:22" x14ac:dyDescent="0.25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2:22" x14ac:dyDescent="0.25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2:22" x14ac:dyDescent="0.25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2:22" x14ac:dyDescent="0.25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2:22" x14ac:dyDescent="0.2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2:22" x14ac:dyDescent="0.25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2:22" x14ac:dyDescent="0.25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2:22" x14ac:dyDescent="0.25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2:22" x14ac:dyDescent="0.25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2:22" x14ac:dyDescent="0.25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2:22" x14ac:dyDescent="0.25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2:22" x14ac:dyDescent="0.25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2:22" x14ac:dyDescent="0.25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2:22" x14ac:dyDescent="0.25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2:22" x14ac:dyDescent="0.2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2:22" x14ac:dyDescent="0.25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2:22" x14ac:dyDescent="0.25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2:22" x14ac:dyDescent="0.25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2:22" x14ac:dyDescent="0.25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2:22" x14ac:dyDescent="0.25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2:22" x14ac:dyDescent="0.25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2:22" x14ac:dyDescent="0.25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2:22" x14ac:dyDescent="0.25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2:22" x14ac:dyDescent="0.25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2:22" x14ac:dyDescent="0.2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2:22" x14ac:dyDescent="0.25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2:22" x14ac:dyDescent="0.25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2:22" x14ac:dyDescent="0.25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2:22" x14ac:dyDescent="0.25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2:22" x14ac:dyDescent="0.25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2:22" x14ac:dyDescent="0.25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2:22" x14ac:dyDescent="0.25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2:22" x14ac:dyDescent="0.25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2:22" x14ac:dyDescent="0.25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2:22" x14ac:dyDescent="0.2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2:22" x14ac:dyDescent="0.25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2:22" x14ac:dyDescent="0.25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2:22" x14ac:dyDescent="0.25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2:22" x14ac:dyDescent="0.25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2:22" x14ac:dyDescent="0.25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2:22" x14ac:dyDescent="0.25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2:22" x14ac:dyDescent="0.25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2:22" x14ac:dyDescent="0.25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2:22" x14ac:dyDescent="0.25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2:22" x14ac:dyDescent="0.25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2:22" x14ac:dyDescent="0.25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2:22" x14ac:dyDescent="0.25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2:22" x14ac:dyDescent="0.25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2:22" x14ac:dyDescent="0.25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2:22" x14ac:dyDescent="0.25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2:22" x14ac:dyDescent="0.25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2:22" x14ac:dyDescent="0.25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2:22" x14ac:dyDescent="0.25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2:22" x14ac:dyDescent="0.25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2:22" x14ac:dyDescent="0.2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2:22" x14ac:dyDescent="0.25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2:22" x14ac:dyDescent="0.25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2:22" x14ac:dyDescent="0.25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2:22" x14ac:dyDescent="0.25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2:22" x14ac:dyDescent="0.25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2:22" x14ac:dyDescent="0.25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2:22" x14ac:dyDescent="0.25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2:22" x14ac:dyDescent="0.25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2:22" x14ac:dyDescent="0.25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2:22" x14ac:dyDescent="0.2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2:22" x14ac:dyDescent="0.25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2:22" x14ac:dyDescent="0.25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2:22" x14ac:dyDescent="0.2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2:22" x14ac:dyDescent="0.25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2:22" x14ac:dyDescent="0.25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2:22" x14ac:dyDescent="0.25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2:22" x14ac:dyDescent="0.25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2:22" x14ac:dyDescent="0.25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2:22" x14ac:dyDescent="0.25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2:22" x14ac:dyDescent="0.2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2:22" x14ac:dyDescent="0.25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2:22" x14ac:dyDescent="0.25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2:22" x14ac:dyDescent="0.25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2:22" x14ac:dyDescent="0.25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2:22" x14ac:dyDescent="0.25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2:22" x14ac:dyDescent="0.25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2:22" x14ac:dyDescent="0.25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2:22" x14ac:dyDescent="0.25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2:22" x14ac:dyDescent="0.25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2:22" x14ac:dyDescent="0.2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2:22" x14ac:dyDescent="0.25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2:22" x14ac:dyDescent="0.25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2:22" x14ac:dyDescent="0.25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2:22" x14ac:dyDescent="0.25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2:22" x14ac:dyDescent="0.25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2:22" x14ac:dyDescent="0.25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2:22" x14ac:dyDescent="0.25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2:22" x14ac:dyDescent="0.25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2:22" x14ac:dyDescent="0.25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2:22" x14ac:dyDescent="0.25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2:22" x14ac:dyDescent="0.25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2:22" x14ac:dyDescent="0.25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2:22" x14ac:dyDescent="0.25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2:22" x14ac:dyDescent="0.25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2:22" x14ac:dyDescent="0.25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2:22" x14ac:dyDescent="0.25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2:22" x14ac:dyDescent="0.25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2:22" x14ac:dyDescent="0.25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2:22" x14ac:dyDescent="0.25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2:22" x14ac:dyDescent="0.25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2:22" x14ac:dyDescent="0.25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2:22" x14ac:dyDescent="0.25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2:22" x14ac:dyDescent="0.25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2:22" x14ac:dyDescent="0.25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2:22" x14ac:dyDescent="0.25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2:22" x14ac:dyDescent="0.25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2:22" x14ac:dyDescent="0.25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2:22" x14ac:dyDescent="0.25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2:22" x14ac:dyDescent="0.25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2:22" x14ac:dyDescent="0.25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2:22" x14ac:dyDescent="0.25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2:22" x14ac:dyDescent="0.25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2:22" x14ac:dyDescent="0.25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2:22" x14ac:dyDescent="0.25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2:22" x14ac:dyDescent="0.25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2:22" x14ac:dyDescent="0.25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2:22" x14ac:dyDescent="0.25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2:22" x14ac:dyDescent="0.25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spans="2:22" x14ac:dyDescent="0.25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spans="2:22" x14ac:dyDescent="0.25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spans="2:22" x14ac:dyDescent="0.25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spans="2:22" x14ac:dyDescent="0.25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spans="2:22" x14ac:dyDescent="0.25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spans="2:22" x14ac:dyDescent="0.25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spans="2:22" x14ac:dyDescent="0.25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spans="2:22" x14ac:dyDescent="0.25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spans="2:22" x14ac:dyDescent="0.25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spans="2:22" x14ac:dyDescent="0.25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spans="2:22" x14ac:dyDescent="0.25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spans="2:22" x14ac:dyDescent="0.25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spans="2:22" x14ac:dyDescent="0.25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spans="2:22" x14ac:dyDescent="0.25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spans="2:22" x14ac:dyDescent="0.25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spans="2:22" x14ac:dyDescent="0.25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spans="2:22" x14ac:dyDescent="0.25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spans="2:22" x14ac:dyDescent="0.25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2:22" x14ac:dyDescent="0.25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2:22" x14ac:dyDescent="0.25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2:22" x14ac:dyDescent="0.25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2:22" x14ac:dyDescent="0.25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2:22" x14ac:dyDescent="0.25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2:22" x14ac:dyDescent="0.25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2:22" x14ac:dyDescent="0.25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2:22" x14ac:dyDescent="0.25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2:22" x14ac:dyDescent="0.25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2:22" x14ac:dyDescent="0.25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2:22" x14ac:dyDescent="0.25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2:22" x14ac:dyDescent="0.25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2:22" x14ac:dyDescent="0.25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2:22" x14ac:dyDescent="0.25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2:22" x14ac:dyDescent="0.25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2:22" x14ac:dyDescent="0.25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2:22" x14ac:dyDescent="0.25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2:22" x14ac:dyDescent="0.25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2:22" x14ac:dyDescent="0.25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2:22" x14ac:dyDescent="0.25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2:22" x14ac:dyDescent="0.25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2:22" x14ac:dyDescent="0.25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2:22" x14ac:dyDescent="0.25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2:22" x14ac:dyDescent="0.25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2:22" x14ac:dyDescent="0.25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2:22" x14ac:dyDescent="0.25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2:22" x14ac:dyDescent="0.25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2:22" x14ac:dyDescent="0.25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2:22" x14ac:dyDescent="0.25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9:AP250"/>
  <sheetViews>
    <sheetView topLeftCell="S1" zoomScale="50" zoomScaleNormal="50" workbookViewId="0">
      <selection activeCell="AA27" sqref="AA27"/>
    </sheetView>
  </sheetViews>
  <sheetFormatPr defaultRowHeight="15" x14ac:dyDescent="0.25"/>
  <cols>
    <col min="2" max="42" width="17.5703125" style="8" customWidth="1"/>
  </cols>
  <sheetData>
    <row r="9" spans="2:42" s="17" customFormat="1" ht="30" x14ac:dyDescent="0.25">
      <c r="B9" s="15" t="s">
        <v>41</v>
      </c>
      <c r="C9" s="15" t="s">
        <v>42</v>
      </c>
      <c r="D9" s="15" t="s">
        <v>43</v>
      </c>
      <c r="E9" s="15" t="s">
        <v>42</v>
      </c>
      <c r="F9" s="15" t="s">
        <v>42</v>
      </c>
      <c r="G9" s="15" t="s">
        <v>42</v>
      </c>
      <c r="H9" s="15" t="s">
        <v>42</v>
      </c>
      <c r="I9" s="15" t="s">
        <v>42</v>
      </c>
      <c r="J9" s="15" t="s">
        <v>44</v>
      </c>
      <c r="K9" s="15" t="s">
        <v>44</v>
      </c>
      <c r="L9" s="15" t="s">
        <v>44</v>
      </c>
      <c r="M9" s="15" t="s">
        <v>44</v>
      </c>
      <c r="N9" s="15" t="s">
        <v>44</v>
      </c>
      <c r="O9" s="15" t="s">
        <v>45</v>
      </c>
      <c r="P9" s="15" t="s">
        <v>44</v>
      </c>
      <c r="Q9" s="15" t="s">
        <v>44</v>
      </c>
      <c r="R9" s="15" t="s">
        <v>42</v>
      </c>
      <c r="S9" s="15" t="s">
        <v>42</v>
      </c>
      <c r="T9" s="15" t="s">
        <v>44</v>
      </c>
      <c r="U9" s="15" t="s">
        <v>44</v>
      </c>
      <c r="V9" s="15" t="s">
        <v>44</v>
      </c>
      <c r="W9" s="15" t="s">
        <v>44</v>
      </c>
      <c r="X9" s="15" t="s">
        <v>44</v>
      </c>
      <c r="Y9" s="15" t="s">
        <v>44</v>
      </c>
      <c r="Z9" s="15" t="s">
        <v>44</v>
      </c>
      <c r="AA9" s="15" t="s">
        <v>44</v>
      </c>
      <c r="AB9" s="15" t="s">
        <v>44</v>
      </c>
      <c r="AC9" s="15" t="s">
        <v>44</v>
      </c>
      <c r="AD9" s="15" t="s">
        <v>44</v>
      </c>
      <c r="AE9" s="15" t="s">
        <v>44</v>
      </c>
      <c r="AF9" s="15" t="s">
        <v>44</v>
      </c>
      <c r="AG9" s="15" t="s">
        <v>44</v>
      </c>
      <c r="AH9" s="15" t="s">
        <v>44</v>
      </c>
      <c r="AI9" s="15" t="s">
        <v>44</v>
      </c>
      <c r="AJ9" s="16" t="s">
        <v>46</v>
      </c>
      <c r="AK9" s="15" t="s">
        <v>44</v>
      </c>
      <c r="AL9" s="15" t="s">
        <v>44</v>
      </c>
      <c r="AM9" s="15" t="s">
        <v>44</v>
      </c>
      <c r="AN9" s="15" t="s">
        <v>44</v>
      </c>
      <c r="AO9" s="15" t="s">
        <v>44</v>
      </c>
      <c r="AP9" s="15" t="s">
        <v>44</v>
      </c>
    </row>
    <row r="10" spans="2:42" x14ac:dyDescent="0.25">
      <c r="B10" s="1" t="s">
        <v>0</v>
      </c>
      <c r="C10" s="1" t="s">
        <v>1</v>
      </c>
      <c r="D10" s="11" t="s">
        <v>2</v>
      </c>
      <c r="E10" s="1" t="s">
        <v>3</v>
      </c>
      <c r="F10" s="1" t="s">
        <v>4</v>
      </c>
      <c r="G10" s="1" t="s">
        <v>5</v>
      </c>
      <c r="H10" s="1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1" t="s">
        <v>11</v>
      </c>
      <c r="N10" s="1" t="s">
        <v>12</v>
      </c>
      <c r="O10" s="1" t="s">
        <v>13</v>
      </c>
      <c r="P10" s="11" t="s">
        <v>14</v>
      </c>
      <c r="Q10" s="1" t="s">
        <v>15</v>
      </c>
      <c r="R10" s="1" t="s">
        <v>16</v>
      </c>
      <c r="S10" s="11" t="s">
        <v>17</v>
      </c>
      <c r="T10" s="1" t="s">
        <v>18</v>
      </c>
      <c r="U10" s="1" t="s">
        <v>19</v>
      </c>
      <c r="V10" s="11" t="s">
        <v>20</v>
      </c>
      <c r="W10" s="1" t="s">
        <v>21</v>
      </c>
      <c r="X10" s="11" t="s">
        <v>22</v>
      </c>
      <c r="Y10" s="1" t="s">
        <v>23</v>
      </c>
      <c r="Z10" s="1" t="s">
        <v>24</v>
      </c>
      <c r="AA10" s="11" t="s">
        <v>25</v>
      </c>
      <c r="AB10" s="1" t="s">
        <v>26</v>
      </c>
      <c r="AC10" s="11" t="s">
        <v>27</v>
      </c>
      <c r="AD10" s="1" t="s">
        <v>28</v>
      </c>
      <c r="AE10" s="1" t="s">
        <v>29</v>
      </c>
      <c r="AF10" s="11" t="s">
        <v>30</v>
      </c>
      <c r="AG10" s="1" t="s">
        <v>31</v>
      </c>
      <c r="AH10" s="11" t="s">
        <v>32</v>
      </c>
      <c r="AI10" s="1" t="s">
        <v>33</v>
      </c>
      <c r="AJ10" s="1" t="s">
        <v>34</v>
      </c>
      <c r="AK10" s="11" t="s">
        <v>35</v>
      </c>
      <c r="AL10" s="1" t="s">
        <v>36</v>
      </c>
      <c r="AM10" s="11" t="s">
        <v>37</v>
      </c>
      <c r="AN10" s="1" t="s">
        <v>38</v>
      </c>
      <c r="AO10" s="1" t="s">
        <v>39</v>
      </c>
      <c r="AP10" s="11" t="s">
        <v>40</v>
      </c>
    </row>
    <row r="11" spans="2:42" x14ac:dyDescent="0.25">
      <c r="B11" s="7" t="str">
        <f t="array" aca="1" ref="B11" ca="1">IFERROR(IF(OR('Raw Data'!B11="",LEN(TRIM('Raw Data'!B11))=0),"",IF(AND(LEN('Raw Data'!B11) &lt;= 255,LEN('Raw Data'!B11)&gt; 0),"",_xlfn.REGEXEXTRACT(CELL("address",'Raw Data'!B11),"\$([A-Z]+)\$[0-9]+"))),_xlfn.REGEXEXTRACT(CELL("address",'Raw Data'!B11),"\$([A-Z]+)\$[0-9]+"))</f>
        <v/>
      </c>
      <c r="C11" s="7" t="str">
        <f t="array" aca="1" ref="C11" ca="1">IFERROR(IF(OR('Raw Data'!C11="",LEN(TRIM('Raw Data'!C11))=0),"",IF(AND(LEN('Raw Data'!C11) &lt;= 50,LEN('Raw Data'!C11)&gt; 0),"",_xlfn.REGEXEXTRACT(CELL("address",'Raw Data'!C11),"\$([A-Z]+)\$[0-9]+"))),_xlfn.REGEXEXTRACT(CELL("address",'Raw Data'!C11),"\$([A-Z]+)\$[0-9]+"))</f>
        <v/>
      </c>
      <c r="D11" s="7" t="str">
        <f t="array" aca="1" ref="D11" ca="1">IFERROR(IF(OR('Raw Data'!D11="",LEN(TRIM('Raw Data'!D11))=0),"",IF(AND(LEN('Raw Data'!D11) &lt;= 500,LEN('Raw Data'!D11)&gt; 0),"",_xlfn.REGEXEXTRACT(CELL("address",'Raw Data'!D11),"\$([A-Z]+)\$[0-9]+"))),_xlfn.REGEXEXTRACT(CELL("address",'Raw Data'!D11),"\$([A-Z]+)\$[0-9]+"))</f>
        <v/>
      </c>
      <c r="E11" s="7" t="str">
        <f t="array" aca="1" ref="E11" ca="1">IFERROR(IF(OR('Raw Data'!E11="",LEN(TRIM('Raw Data'!E11))=0),"",IF(AND(LEN('Raw Data'!E11) &lt;= 50,LEN('Raw Data'!E11)&gt; 0),"",_xlfn.REGEXEXTRACT(CELL("address",'Raw Data'!E11),"\$([A-Z]+)\$[0-9]+"))),_xlfn.REGEXEXTRACT(CELL("address",'Raw Data'!E11),"\$([A-Z]+)\$[0-9]+"))</f>
        <v/>
      </c>
      <c r="F11" s="7" t="str">
        <f t="array" aca="1" ref="F11" ca="1">IFERROR(IF(OR('Raw Data'!F11="",LEN(TRIM('Raw Data'!F11))=0),"",IF(AND(LEN('Raw Data'!F11) &lt;= 50,LEN('Raw Data'!F11)&gt; 0),"",_xlfn.REGEXEXTRACT(CELL("address",'Raw Data'!F11),"\$([A-Z]+)\$[0-9]+"))),_xlfn.REGEXEXTRACT(CELL("address",'Raw Data'!F11),"\$([A-Z]+)\$[0-9]+"))</f>
        <v/>
      </c>
      <c r="G11" s="7" t="str">
        <f t="array" aca="1" ref="G11" ca="1">IFERROR(IF(OR('Raw Data'!G11="",LEN(TRIM('Raw Data'!G11))=0),"",IF(AND(LEN('Raw Data'!G11) &lt;= 50,LEN('Raw Data'!G11)&gt; 0),"",_xlfn.REGEXEXTRACT(CELL("address",'Raw Data'!G11),"\$([A-Z]+)\$[0-9]+"))),_xlfn.REGEXEXTRACT(CELL("address",'Raw Data'!G11),"\$([A-Z]+)\$[0-9]+"))</f>
        <v/>
      </c>
      <c r="H11" s="7" t="str">
        <f t="array" aca="1" ref="H11" ca="1">IFERROR(IF(OR('Raw Data'!H11="",LEN(TRIM('Raw Data'!H11))=0),"",IF(AND(LEN('Raw Data'!H11) &lt;= 50,LEN('Raw Data'!H11)&gt; 0),"",_xlfn.REGEXEXTRACT(CELL("address",'Raw Data'!H11),"\$([A-Z]+)\$[0-9]+"))),_xlfn.REGEXEXTRACT(CELL("address",'Raw Data'!H11),"\$([A-Z]+)\$[0-9]+"))</f>
        <v/>
      </c>
      <c r="I11" s="7" t="str">
        <f t="array" aca="1" ref="I11" ca="1">IFERROR(IF(OR('Raw Data'!I11="",LEN(TRIM('Raw Data'!I11))=0),"",IF(AND(LEN('Raw Data'!I11) &lt;= 50,LEN('Raw Data'!I11)&gt; 0),"",_xlfn.REGEXEXTRACT(CELL("address",'Raw Data'!I11),"\$([A-Z]+)\$[0-9]+"))),_xlfn.REGEXEXTRACT(CELL("address",'Raw Data'!I11),"\$([A-Z]+)\$[0-9]+"))</f>
        <v/>
      </c>
      <c r="J11" s="7" t="str">
        <f t="array" aca="1" ref="J11" ca="1">IFERROR(IF(OR('Raw Data'!J11="",LEN(TRIM('Raw Data'!J11))=0),"",IF(AND(ISNUMBER('Raw Data'!J11), IFERROR('Raw Data'!J11 = ROUND('Raw Data'!J11, 2),FALSE)),"",_xlfn.REGEXEXTRACT(CELL("address",J11), "\$([A-Z]+)\$[0-9]+"))),_xlfn.REGEXEXTRACT(CELL("address",J11), "\$([A-Z]+)\$[0-9]+"))</f>
        <v/>
      </c>
      <c r="K11" s="7" t="str">
        <f t="array" aca="1" ref="K11" ca="1">IFERROR(IF(OR('Raw Data'!K11="",LEN(TRIM('Raw Data'!K11))=0),"",IF(AND(ISNUMBER('Raw Data'!K11), IFERROR('Raw Data'!K11 = ROUND('Raw Data'!K11, 2),FALSE)),"",_xlfn.REGEXEXTRACT(CELL("address",K11), "\$([A-Z]+)\$[0-9]+"))),_xlfn.REGEXEXTRACT(CELL("address",K11), "\$([A-Z]+)\$[0-9]+"))</f>
        <v/>
      </c>
      <c r="L11" s="7" t="str">
        <f t="array" aca="1" ref="L11" ca="1">IFERROR(IF(OR('Raw Data'!L11="",LEN(TRIM('Raw Data'!L11))=0),"",IF(AND(ISNUMBER('Raw Data'!L11), IFERROR('Raw Data'!L11 = ROUND('Raw Data'!L11, 2),FALSE)),"",_xlfn.REGEXEXTRACT(CELL("address",L11), "\$([A-Z]+)\$[0-9]+"))),_xlfn.REGEXEXTRACT(CELL("address",L11), "\$([A-Z]+)\$[0-9]+"))</f>
        <v/>
      </c>
      <c r="M11" s="7" t="str">
        <f t="array" aca="1" ref="M11" ca="1">IFERROR(IF(OR('Raw Data'!M11="",LEN(TRIM('Raw Data'!M11))=0),"",IF(AND(ISNUMBER('Raw Data'!M11), IFERROR('Raw Data'!M11 = ROUND('Raw Data'!M11, 2),FALSE)),"",_xlfn.REGEXEXTRACT(CELL("address",M11), "\$([A-Z]+)\$[0-9]+"))),_xlfn.REGEXEXTRACT(CELL("address",M11), "\$([A-Z]+)\$[0-9]+"))</f>
        <v/>
      </c>
      <c r="N11" s="7" t="str">
        <f t="array" aca="1" ref="N11" ca="1">IFERROR(IF(OR('Raw Data'!N11="",LEN(TRIM('Raw Data'!N11))=0),"",IF(AND(ISNUMBER('Raw Data'!N11), IFERROR('Raw Data'!N11 = ROUND('Raw Data'!N11, 2),FALSE)),"",_xlfn.REGEXEXTRACT(CELL("address",N11), "\$([A-Z]+)\$[0-9]+"))),_xlfn.REGEXEXTRACT(CELL("address",N11), "\$([A-Z]+)\$[0-9]+"))</f>
        <v/>
      </c>
      <c r="O11" s="7" t="str">
        <f t="array" aca="1" ref="O11" ca="1">IFERROR(IF(OR('Raw Data'!O11="",LEN(TRIM('Raw Data'!O11))=0),"",IF(AND(ISNUMBER('Raw Data'!O11),'Raw Data'!O11&gt;=Configuration!$D$2),"",_xlfn.REGEXEXTRACT(CELL("address",'Raw Data'!O11),"\$([A-Z]+)\$[0-9]+"))),_xlfn.REGEXEXTRACT(CELL("address",O11), "\$([A-Z]+)\$[0-9]+"))</f>
        <v/>
      </c>
      <c r="P11" s="7" t="str">
        <f t="array" aca="1" ref="P11" ca="1">IFERROR(IF(OR('Raw Data'!P11="",LEN(TRIM('Raw Data'!P11))=0),"",IF(AND(ISNUMBER('Raw Data'!P11), IFERROR('Raw Data'!P11 = ROUND('Raw Data'!P11, 2),FALSE)),"",_xlfn.REGEXEXTRACT(CELL("address",P11), "\$([A-Z]+)\$[0-9]+"))),_xlfn.REGEXEXTRACT(CELL("address",P11), "\$([A-Z]+)\$[0-9]+"))</f>
        <v/>
      </c>
      <c r="Q11" s="7" t="str">
        <f t="array" aca="1" ref="Q11" ca="1">IFERROR(IF(OR('Raw Data'!Q11="",LEN(TRIM('Raw Data'!Q11))=0),"",IF(AND(ISNUMBER('Raw Data'!Q11), IFERROR('Raw Data'!Q11 = ROUND('Raw Data'!Q11, 2),FALSE)),"",_xlfn.REGEXEXTRACT(CELL("address",Q11), "\$([A-Z]+)\$[0-9]+"))),_xlfn.REGEXEXTRACT(CELL("address",Q11), "\$([A-Z]+)\$[0-9]+"))</f>
        <v/>
      </c>
      <c r="R11" s="7" t="str">
        <f t="array" aca="1" ref="R11" ca="1">IFERROR(IF(OR('Raw Data'!R11="",LEN(TRIM('Raw Data'!R11))=0),"",IF(AND(LEN('Raw Data'!R11) &lt;= 50,LEN('Raw Data'!R11)&gt; 0),"",_xlfn.REGEXEXTRACT(CELL("address",'Raw Data'!R11),"\$([A-Z]+)\$[0-9]+"))),_xlfn.REGEXEXTRACT(CELL("address",'Raw Data'!R11),"\$([A-Z]+)\$[0-9]+"))</f>
        <v/>
      </c>
      <c r="S11" s="7" t="str">
        <f t="array" aca="1" ref="S11" ca="1">IFERROR(IF(OR('Raw Data'!S11="",LEN(TRIM('Raw Data'!S11))=0),"",IF(AND(LEN('Raw Data'!S11) &lt;= 50,LEN('Raw Data'!S11)&gt; 0),"",_xlfn.REGEXEXTRACT(CELL("address",'Raw Data'!S11),"\$([A-Z]+)\$[0-9]+"))),_xlfn.REGEXEXTRACT(CELL("address",'Raw Data'!S11),"\$([A-Z]+)\$[0-9]+"))</f>
        <v/>
      </c>
      <c r="T11" s="7" t="str">
        <f t="array" aca="1" ref="T11" ca="1">IFERROR(IF(OR('Raw Data'!T11="",LEN(TRIM('Raw Data'!T11))=0),"",IF(AND(ISNUMBER('Raw Data'!T11), IFERROR('Raw Data'!T11 = ROUND('Raw Data'!T11, 2),FALSE)),"",_xlfn.REGEXEXTRACT(CELL("address",T11), "\$([A-Z]+)\$[0-9]+"))),_xlfn.REGEXEXTRACT(CELL("address",T11), "\$([A-Z]+)\$[0-9]+"))</f>
        <v/>
      </c>
      <c r="U11" s="7" t="str">
        <f t="array" aca="1" ref="U11" ca="1">IFERROR(IF(OR('Raw Data'!U11="",LEN(TRIM('Raw Data'!U11))=0),"",IF(AND(ISNUMBER('Raw Data'!U11), IFERROR('Raw Data'!U11 = ROUND('Raw Data'!U11, 2),FALSE)),"",_xlfn.REGEXEXTRACT(CELL("address",U11), "\$([A-Z]+)\$[0-9]+"))),_xlfn.REGEXEXTRACT(CELL("address",U11), "\$([A-Z]+)\$[0-9]+"))</f>
        <v/>
      </c>
      <c r="V11" s="7" t="str">
        <f t="array" aca="1" ref="V11" ca="1">IFERROR(IF(OR('Raw Data'!V11="",LEN(TRIM('Raw Data'!V11))=0),"",IF(AND(ISNUMBER('Raw Data'!V11), IFERROR('Raw Data'!V11 = ROUND('Raw Data'!V11, 2),FALSE)),"",_xlfn.REGEXEXTRACT(CELL("address",V11), "\$([A-Z]+)\$[0-9]+"))),_xlfn.REGEXEXTRACT(CELL("address",V11), "\$([A-Z]+)\$[0-9]+"))</f>
        <v/>
      </c>
      <c r="W11" s="7" t="str">
        <f t="array" aca="1" ref="W11" ca="1">IFERROR(IF(OR('Raw Data'!W11="",LEN(TRIM('Raw Data'!W11))=0),"",IF(AND(ISNUMBER('Raw Data'!W11), IFERROR('Raw Data'!W11 = ROUND('Raw Data'!W11, 2),FALSE)),"",_xlfn.REGEXEXTRACT(CELL("address",W11), "\$([A-Z]+)\$[0-9]+"))),_xlfn.REGEXEXTRACT(CELL("address",W11), "\$([A-Z]+)\$[0-9]+"))</f>
        <v/>
      </c>
      <c r="X11" s="7" t="str">
        <f t="array" aca="1" ref="X11" ca="1">IFERROR(IF(OR('Raw Data'!X11="",LEN(TRIM('Raw Data'!X11))=0),"",IF(AND(ISNUMBER('Raw Data'!X11), IFERROR('Raw Data'!X11 = ROUND('Raw Data'!X11, 2),FALSE)),"",_xlfn.REGEXEXTRACT(CELL("address",X11), "\$([A-Z]+)\$[0-9]+"))),_xlfn.REGEXEXTRACT(CELL("address",X11), "\$([A-Z]+)\$[0-9]+"))</f>
        <v/>
      </c>
      <c r="Y11" s="7" t="str">
        <f t="array" aca="1" ref="Y11" ca="1">IFERROR(IF(OR('Raw Data'!Y11="",LEN(TRIM('Raw Data'!Y11))=0),"",IF(AND(ISNUMBER('Raw Data'!Y11), IFERROR('Raw Data'!Y11 = ROUND('Raw Data'!Y11, 2),FALSE)),"",_xlfn.REGEXEXTRACT(CELL("address",Y11), "\$([A-Z]+)\$[0-9]+"))),_xlfn.REGEXEXTRACT(CELL("address",Y11), "\$([A-Z]+)\$[0-9]+"))</f>
        <v/>
      </c>
      <c r="Z11" s="7" t="str">
        <f t="array" aca="1" ref="Z11" ca="1">IFERROR(IF(OR('Raw Data'!Z11="",LEN(TRIM('Raw Data'!Z11))=0),"",IF(AND(ISNUMBER('Raw Data'!Z11), IFERROR('Raw Data'!Z11 = ROUND('Raw Data'!Z11, 2),FALSE)),"",_xlfn.REGEXEXTRACT(CELL("address",Z11), "\$([A-Z]+)\$[0-9]+"))),_xlfn.REGEXEXTRACT(CELL("address",Z11), "\$([A-Z]+)\$[0-9]+"))</f>
        <v/>
      </c>
      <c r="AA11" s="7" t="str">
        <f t="array" aca="1" ref="AA11" ca="1">IFERROR(IF(OR('Raw Data'!AA11="",LEN(TRIM('Raw Data'!AA11))=0),"",IF(AND(ISNUMBER('Raw Data'!AA11), IFERROR('Raw Data'!AA11 = ROUND('Raw Data'!AA11, 2),FALSE)),"",_xlfn.REGEXEXTRACT(CELL("address",AA11), "\$([A-Z]+)\$[0-9]+"))),_xlfn.REGEXEXTRACT(CELL("address",AA11), "\$([A-Z]+)\$[0-9]+"))</f>
        <v/>
      </c>
      <c r="AB11" s="7" t="str">
        <f t="array" aca="1" ref="AB11" ca="1">IFERROR(IF(OR('Raw Data'!AB11="",LEN(TRIM('Raw Data'!AB11))=0),"",IF(AND(ISNUMBER('Raw Data'!AB11), IFERROR('Raw Data'!AB11 = ROUND('Raw Data'!AB11, 2),FALSE)),"",_xlfn.REGEXEXTRACT(CELL("address",AB11), "\$([A-Z]+)\$[0-9]+"))),_xlfn.REGEXEXTRACT(CELL("address",AB11), "\$([A-Z]+)\$[0-9]+"))</f>
        <v/>
      </c>
      <c r="AC11" s="7" t="str">
        <f t="array" aca="1" ref="AC11" ca="1">IFERROR(IF(OR('Raw Data'!AC11="",LEN(TRIM('Raw Data'!AC11))=0),"",IF(AND(ISNUMBER('Raw Data'!AC11), IFERROR('Raw Data'!AC11 = ROUND('Raw Data'!AC11, 2),FALSE)),"",_xlfn.REGEXEXTRACT(CELL("address",AC11), "\$([A-Z]+)\$[0-9]+"))),_xlfn.REGEXEXTRACT(CELL("address",AC11), "\$([A-Z]+)\$[0-9]+"))</f>
        <v/>
      </c>
      <c r="AD11" s="7" t="str">
        <f t="array" aca="1" ref="AD11" ca="1">IFERROR(IF(OR('Raw Data'!AD11="",LEN(TRIM('Raw Data'!AD11))=0),"",IF(AND(ISNUMBER('Raw Data'!AD11), IFERROR('Raw Data'!AD11 = ROUND('Raw Data'!AD11, 2),FALSE)),"",_xlfn.REGEXEXTRACT(CELL("address",AD11), "\$([A-Z]+)\$[0-9]+"))),_xlfn.REGEXEXTRACT(CELL("address",AD11), "\$([A-Z]+)\$[0-9]+"))</f>
        <v/>
      </c>
      <c r="AE11" s="7" t="str">
        <f t="array" aca="1" ref="AE11" ca="1">IFERROR(IF(OR('Raw Data'!AE11="",LEN(TRIM('Raw Data'!AE11))=0),"",IF(AND(ISNUMBER('Raw Data'!AE11), IFERROR('Raw Data'!AE11 = ROUND('Raw Data'!AE11, 2),FALSE)),"",_xlfn.REGEXEXTRACT(CELL("address",AE11), "\$([A-Z]+)\$[0-9]+"))),_xlfn.REGEXEXTRACT(CELL("address",AE11), "\$([A-Z]+)\$[0-9]+"))</f>
        <v/>
      </c>
      <c r="AF11" s="7" t="str">
        <f t="array" aca="1" ref="AF11" ca="1">IFERROR(IF(OR('Raw Data'!AF11="",LEN(TRIM('Raw Data'!AF11))=0),"",IF(AND(ISNUMBER('Raw Data'!AF11), IFERROR('Raw Data'!AF11 = ROUND('Raw Data'!AF11, 2),FALSE)),"",_xlfn.REGEXEXTRACT(CELL("address",AF11), "\$([A-Z]+)\$[0-9]+"))),_xlfn.REGEXEXTRACT(CELL("address",AF11), "\$([A-Z]+)\$[0-9]+"))</f>
        <v/>
      </c>
      <c r="AG11" s="7" t="str">
        <f t="array" aca="1" ref="AG11" ca="1">IFERROR(IF(OR('Raw Data'!AG11="",LEN(TRIM('Raw Data'!AG11))=0),"",IF(AND(ISNUMBER('Raw Data'!AG11), IFERROR('Raw Data'!AG11 = ROUND('Raw Data'!AG11, 2),FALSE)),"",_xlfn.REGEXEXTRACT(CELL("address",AG11), "\$([A-Z]+)\$[0-9]+"))),_xlfn.REGEXEXTRACT(CELL("address",AG11), "\$([A-Z]+)\$[0-9]+"))</f>
        <v/>
      </c>
      <c r="AH11" s="7" t="str">
        <f t="array" aca="1" ref="AH11" ca="1">IFERROR(IF(OR('Raw Data'!AH11="",LEN(TRIM('Raw Data'!AH11))=0),"",IF(AND(ISNUMBER('Raw Data'!AH11), IFERROR('Raw Data'!AH11 = ROUND('Raw Data'!AH11, 2),FALSE)),"",_xlfn.REGEXEXTRACT(CELL("address",AH11), "\$([A-Z]+)\$[0-9]+"))),_xlfn.REGEXEXTRACT(CELL("address",AH11), "\$([A-Z]+)\$[0-9]+"))</f>
        <v/>
      </c>
      <c r="AI11" s="7" t="str">
        <f t="array" aca="1" ref="AI11" ca="1">IFERROR(IF(OR('Raw Data'!AI11="",LEN(TRIM('Raw Data'!AI11))=0),"",IF(AND(ISNUMBER('Raw Data'!AI11), IFERROR('Raw Data'!AI11 = ROUND('Raw Data'!AI11, 2),FALSE)),"",_xlfn.REGEXEXTRACT(CELL("address",AI11), "\$([A-Z]+)\$[0-9]+"))),_xlfn.REGEXEXTRACT(CELL("address",AI11), "\$([A-Z]+)\$[0-9]+"))</f>
        <v/>
      </c>
      <c r="AJ11" s="7" t="str">
        <f t="array" aca="1" ref="AJ11" ca="1">IFERROR(IF(OR('Raw Data'!AJ11="",LEN(TRIM('Raw Data'!AJ11))=0),"",IF(AND(ISNUMBER('Raw Data'!AJ11), IFERROR('Raw Data'!AJ11 = ROUND('Raw Data'!AJ11, 4),FALSE)),"",_xlfn.REGEXEXTRACT(CELL("address",AJ11), "\$([A-Z]+)\$[0-9]+"))),_xlfn.REGEXEXTRACT(CELL("address",AJ11), "\$([A-Z]+)\$[0-9]+"))</f>
        <v/>
      </c>
      <c r="AK11" s="7" t="str">
        <f t="array" aca="1" ref="AK11" ca="1">IFERROR(IF(OR('Raw Data'!AK11="",LEN(TRIM('Raw Data'!AK11))=0),"",IF(AND(ISNUMBER('Raw Data'!AK11), IFERROR('Raw Data'!AK11 = ROUND('Raw Data'!AK11, 2),FALSE)),"",_xlfn.REGEXEXTRACT(CELL("address",AK11), "\$([A-Z]+)\$[0-9]+"))),_xlfn.REGEXEXTRACT(CELL("address",AK11), "\$([A-Z]+)\$[0-9]+"))</f>
        <v/>
      </c>
      <c r="AL11" s="7" t="str">
        <f t="array" aca="1" ref="AL11" ca="1">IFERROR(IF(OR('Raw Data'!AL11="",LEN(TRIM('Raw Data'!AL11))=0),"",IF(AND(ISNUMBER('Raw Data'!AL11), IFERROR('Raw Data'!AL11 = ROUND('Raw Data'!AL11, 2),FALSE)),"",_xlfn.REGEXEXTRACT(CELL("address",AL11), "\$([A-Z]+)\$[0-9]+"))),_xlfn.REGEXEXTRACT(CELL("address",AL11), "\$([A-Z]+)\$[0-9]+"))</f>
        <v/>
      </c>
      <c r="AM11" s="7" t="str">
        <f t="array" aca="1" ref="AM11" ca="1">IFERROR(IF(OR('Raw Data'!AM11="",LEN(TRIM('Raw Data'!AM11))=0),"",IF(AND(ISNUMBER('Raw Data'!AM11), IFERROR('Raw Data'!AM11 = ROUND('Raw Data'!AM11, 2),FALSE)),"",_xlfn.REGEXEXTRACT(CELL("address",AM11), "\$([A-Z]+)\$[0-9]+"))),_xlfn.REGEXEXTRACT(CELL("address",AM11), "\$([A-Z]+)\$[0-9]+"))</f>
        <v/>
      </c>
      <c r="AN11" s="7" t="str">
        <f t="array" aca="1" ref="AN11" ca="1">IFERROR(IF(OR('Raw Data'!AN11="",LEN(TRIM('Raw Data'!AN11))=0),"",IF(AND(ISNUMBER('Raw Data'!AN11), IFERROR('Raw Data'!AN11 = ROUND('Raw Data'!AN11, 2),FALSE)),"",_xlfn.REGEXEXTRACT(CELL("address",AN11), "\$([A-Z]+)\$[0-9]+"))),_xlfn.REGEXEXTRACT(CELL("address",AN11), "\$([A-Z]+)\$[0-9]+"))</f>
        <v/>
      </c>
      <c r="AO11" s="7" t="str">
        <f t="array" aca="1" ref="AO11" ca="1">IFERROR(IF(OR('Raw Data'!AO11="",LEN(TRIM('Raw Data'!AO11))=0),"",IF(AND(ISNUMBER('Raw Data'!AO11), IFERROR('Raw Data'!AO11 = ROUND('Raw Data'!AO11, 2),FALSE)),"",_xlfn.REGEXEXTRACT(CELL("address",AO11), "\$([A-Z]+)\$[0-9]+"))),_xlfn.REGEXEXTRACT(CELL("address",AO11), "\$([A-Z]+)\$[0-9]+"))</f>
        <v/>
      </c>
      <c r="AP11" s="7" t="str">
        <f t="array" aca="1" ref="AP11" ca="1">IFERROR(IF(OR('Raw Data'!AP11="",LEN(TRIM('Raw Data'!AP11))=0),"",IF(AND(ISNUMBER('Raw Data'!AP11), IFERROR('Raw Data'!AP11 = ROUND('Raw Data'!AP11, 2),FALSE)),"",_xlfn.REGEXEXTRACT(CELL("address",AP11), "\$([A-Z]+)\$[0-9]+"))),_xlfn.REGEXEXTRACT(CELL("address",AP11), "\$([A-Z]+)\$[0-9]+"))</f>
        <v/>
      </c>
    </row>
    <row r="12" spans="2:42" x14ac:dyDescent="0.25">
      <c r="B12" s="7" t="str">
        <f t="array" aca="1" ref="B12" ca="1">IFERROR(IF(OR('Raw Data'!B12="",LEN(TRIM('Raw Data'!B12))=0),"",IF(AND(LEN('Raw Data'!B12) &lt;= 255,LEN('Raw Data'!B12)&gt; 0),"",_xlfn.REGEXEXTRACT(CELL("address",'Raw Data'!B12),"\$([A-Z]+)\$[0-9]+"))),_xlfn.REGEXEXTRACT(CELL("address",'Raw Data'!B12),"\$([A-Z]+)\$[0-9]+"))</f>
        <v/>
      </c>
      <c r="C12" s="7" t="str">
        <f t="array" aca="1" ref="C12" ca="1">IFERROR(IF(OR('Raw Data'!C12="",LEN(TRIM('Raw Data'!C12))=0),"",IF(AND(LEN('Raw Data'!C12) &lt;= 50,LEN('Raw Data'!C12)&gt; 0),"",_xlfn.REGEXEXTRACT(CELL("address",'Raw Data'!C12),"\$([A-Z]+)\$[0-9]+"))),_xlfn.REGEXEXTRACT(CELL("address",'Raw Data'!C12),"\$([A-Z]+)\$[0-9]+"))</f>
        <v/>
      </c>
      <c r="D12" s="7" t="str">
        <f t="array" aca="1" ref="D12" ca="1">IFERROR(IF(OR('Raw Data'!D12="",LEN(TRIM('Raw Data'!D12))=0),"",IF(AND(LEN('Raw Data'!D12) &lt;= 500,LEN('Raw Data'!D12)&gt; 0),"",_xlfn.REGEXEXTRACT(CELL("address",'Raw Data'!D12),"\$([A-Z]+)\$[0-9]+"))),_xlfn.REGEXEXTRACT(CELL("address",'Raw Data'!D12),"\$([A-Z]+)\$[0-9]+"))</f>
        <v/>
      </c>
      <c r="E12" s="7" t="str">
        <f t="array" aca="1" ref="E12" ca="1">IFERROR(IF(OR('Raw Data'!E12="",LEN(TRIM('Raw Data'!E12))=0),"",IF(AND(LEN('Raw Data'!E12) &lt;= 50,LEN('Raw Data'!E12)&gt; 0),"",_xlfn.REGEXEXTRACT(CELL("address",'Raw Data'!E12),"\$([A-Z]+)\$[0-9]+"))),_xlfn.REGEXEXTRACT(CELL("address",'Raw Data'!E12),"\$([A-Z]+)\$[0-9]+"))</f>
        <v/>
      </c>
      <c r="F12" s="7" t="str">
        <f t="array" aca="1" ref="F12" ca="1">IFERROR(IF(OR('Raw Data'!F12="",LEN(TRIM('Raw Data'!F12))=0),"",IF(AND(LEN('Raw Data'!F12) &lt;= 50,LEN('Raw Data'!F12)&gt; 0),"",_xlfn.REGEXEXTRACT(CELL("address",'Raw Data'!F12),"\$([A-Z]+)\$[0-9]+"))),_xlfn.REGEXEXTRACT(CELL("address",'Raw Data'!F12),"\$([A-Z]+)\$[0-9]+"))</f>
        <v/>
      </c>
      <c r="G12" s="7" t="str">
        <f t="array" aca="1" ref="G12" ca="1">IFERROR(IF(OR('Raw Data'!G12="",LEN(TRIM('Raw Data'!G12))=0),"",IF(AND(LEN('Raw Data'!G12) &lt;= 50,LEN('Raw Data'!G12)&gt; 0),"",_xlfn.REGEXEXTRACT(CELL("address",'Raw Data'!G12),"\$([A-Z]+)\$[0-9]+"))),_xlfn.REGEXEXTRACT(CELL("address",'Raw Data'!G12),"\$([A-Z]+)\$[0-9]+"))</f>
        <v/>
      </c>
      <c r="H12" s="7" t="str">
        <f t="array" aca="1" ref="H12" ca="1">IFERROR(IF(OR('Raw Data'!H12="",LEN(TRIM('Raw Data'!H12))=0),"",IF(AND(LEN('Raw Data'!H12) &lt;= 50,LEN('Raw Data'!H12)&gt; 0),"",_xlfn.REGEXEXTRACT(CELL("address",'Raw Data'!H12),"\$([A-Z]+)\$[0-9]+"))),_xlfn.REGEXEXTRACT(CELL("address",'Raw Data'!H12),"\$([A-Z]+)\$[0-9]+"))</f>
        <v/>
      </c>
      <c r="I12" s="7" t="str">
        <f t="array" aca="1" ref="I12" ca="1">IFERROR(IF(OR('Raw Data'!I12="",LEN(TRIM('Raw Data'!I12))=0),"",IF(AND(LEN('Raw Data'!I12) &lt;= 50,LEN('Raw Data'!I12)&gt; 0),"",_xlfn.REGEXEXTRACT(CELL("address",'Raw Data'!I12),"\$([A-Z]+)\$[0-9]+"))),_xlfn.REGEXEXTRACT(CELL("address",'Raw Data'!I12),"\$([A-Z]+)\$[0-9]+"))</f>
        <v/>
      </c>
      <c r="J12" s="7" t="str">
        <f t="array" aca="1" ref="J12" ca="1">IFERROR(IF(OR('Raw Data'!J12="",LEN(TRIM('Raw Data'!J12))=0),"",IF(AND(ISNUMBER('Raw Data'!J12), IFERROR('Raw Data'!J12 = ROUND('Raw Data'!J12, 2),FALSE)),"",_xlfn.REGEXEXTRACT(CELL("address",J12), "\$([A-Z]+)\$[0-9]+"))),_xlfn.REGEXEXTRACT(CELL("address",J12), "\$([A-Z]+)\$[0-9]+"))</f>
        <v/>
      </c>
      <c r="K12" s="7" t="str">
        <f t="array" aca="1" ref="K12" ca="1">IFERROR(IF(OR('Raw Data'!K12="",LEN(TRIM('Raw Data'!K12))=0),"",IF(AND(ISNUMBER('Raw Data'!K12), IFERROR('Raw Data'!K12 = ROUND('Raw Data'!K12, 2),FALSE)),"",_xlfn.REGEXEXTRACT(CELL("address",K12), "\$([A-Z]+)\$[0-9]+"))),_xlfn.REGEXEXTRACT(CELL("address",K12), "\$([A-Z]+)\$[0-9]+"))</f>
        <v/>
      </c>
      <c r="L12" s="7" t="str">
        <f t="array" aca="1" ref="L12" ca="1">IFERROR(IF(OR('Raw Data'!L12="",LEN(TRIM('Raw Data'!L12))=0),"",IF(AND(ISNUMBER('Raw Data'!L12), IFERROR('Raw Data'!L12 = ROUND('Raw Data'!L12, 2),FALSE)),"",_xlfn.REGEXEXTRACT(CELL("address",L12), "\$([A-Z]+)\$[0-9]+"))),_xlfn.REGEXEXTRACT(CELL("address",L12), "\$([A-Z]+)\$[0-9]+"))</f>
        <v/>
      </c>
      <c r="M12" s="7" t="str">
        <f t="array" aca="1" ref="M12" ca="1">IFERROR(IF(OR('Raw Data'!M12="",LEN(TRIM('Raw Data'!M12))=0),"",IF(AND(ISNUMBER('Raw Data'!M12), IFERROR('Raw Data'!M12 = ROUND('Raw Data'!M12, 2),FALSE)),"",_xlfn.REGEXEXTRACT(CELL("address",M12), "\$([A-Z]+)\$[0-9]+"))),_xlfn.REGEXEXTRACT(CELL("address",M12), "\$([A-Z]+)\$[0-9]+"))</f>
        <v/>
      </c>
      <c r="N12" s="7" t="str">
        <f t="array" aca="1" ref="N12" ca="1">IFERROR(IF(OR('Raw Data'!N12="",LEN(TRIM('Raw Data'!N12))=0),"",IF(AND(ISNUMBER('Raw Data'!N12), IFERROR('Raw Data'!N12 = ROUND('Raw Data'!N12, 2),FALSE)),"",_xlfn.REGEXEXTRACT(CELL("address",N12), "\$([A-Z]+)\$[0-9]+"))),_xlfn.REGEXEXTRACT(CELL("address",N12), "\$([A-Z]+)\$[0-9]+"))</f>
        <v/>
      </c>
      <c r="O12" s="7" t="str">
        <f t="array" aca="1" ref="O12" ca="1">IFERROR(IF(OR('Raw Data'!O12="",LEN(TRIM('Raw Data'!O12))=0),"",IF(AND(ISNUMBER('Raw Data'!O12),'Raw Data'!O12&gt;=Configuration!$D$2),"",_xlfn.REGEXEXTRACT(CELL("address",'Raw Data'!O12),"\$([A-Z]+)\$[0-9]+"))),_xlfn.REGEXEXTRACT(CELL("address",O12), "\$([A-Z]+)\$[0-9]+"))</f>
        <v/>
      </c>
      <c r="P12" s="7" t="str">
        <f t="array" aca="1" ref="P12" ca="1">IFERROR(IF(OR('Raw Data'!P12="",LEN(TRIM('Raw Data'!P12))=0),"",IF(AND(ISNUMBER('Raw Data'!P12), IFERROR('Raw Data'!P12 = ROUND('Raw Data'!P12, 2),FALSE)),"",_xlfn.REGEXEXTRACT(CELL("address",P12), "\$([A-Z]+)\$[0-9]+"))),_xlfn.REGEXEXTRACT(CELL("address",P12), "\$([A-Z]+)\$[0-9]+"))</f>
        <v/>
      </c>
      <c r="Q12" s="7" t="str">
        <f t="array" aca="1" ref="Q12" ca="1">IFERROR(IF(OR('Raw Data'!Q12="",LEN(TRIM('Raw Data'!Q12))=0),"",IF(AND(ISNUMBER('Raw Data'!Q12), IFERROR('Raw Data'!Q12 = ROUND('Raw Data'!Q12, 2),FALSE)),"",_xlfn.REGEXEXTRACT(CELL("address",Q12), "\$([A-Z]+)\$[0-9]+"))),_xlfn.REGEXEXTRACT(CELL("address",Q12), "\$([A-Z]+)\$[0-9]+"))</f>
        <v/>
      </c>
      <c r="R12" s="7" t="str">
        <f t="array" aca="1" ref="R12" ca="1">IFERROR(IF(OR('Raw Data'!R12="",LEN(TRIM('Raw Data'!R12))=0),"",IF(AND(LEN('Raw Data'!R12) &lt;= 50,LEN('Raw Data'!R12)&gt; 0),"",_xlfn.REGEXEXTRACT(CELL("address",'Raw Data'!R12),"\$([A-Z]+)\$[0-9]+"))),_xlfn.REGEXEXTRACT(CELL("address",'Raw Data'!R12),"\$([A-Z]+)\$[0-9]+"))</f>
        <v/>
      </c>
      <c r="S12" s="7" t="str">
        <f t="array" aca="1" ref="S12" ca="1">IFERROR(IF(OR('Raw Data'!S12="",LEN(TRIM('Raw Data'!S12))=0),"",IF(AND(LEN('Raw Data'!S12) &lt;= 50,LEN('Raw Data'!S12)&gt; 0),"",_xlfn.REGEXEXTRACT(CELL("address",'Raw Data'!S12),"\$([A-Z]+)\$[0-9]+"))),_xlfn.REGEXEXTRACT(CELL("address",'Raw Data'!S12),"\$([A-Z]+)\$[0-9]+"))</f>
        <v/>
      </c>
      <c r="T12" s="7" t="str">
        <f t="array" aca="1" ref="T12" ca="1">IFERROR(IF(OR('Raw Data'!T12="",LEN(TRIM('Raw Data'!T12))=0),"",IF(AND(ISNUMBER('Raw Data'!T12), IFERROR('Raw Data'!T12 = ROUND('Raw Data'!T12, 2),FALSE)),"",_xlfn.REGEXEXTRACT(CELL("address",T12), "\$([A-Z]+)\$[0-9]+"))),_xlfn.REGEXEXTRACT(CELL("address",T12), "\$([A-Z]+)\$[0-9]+"))</f>
        <v/>
      </c>
      <c r="U12" s="7" t="str">
        <f t="array" aca="1" ref="U12" ca="1">IFERROR(IF(OR('Raw Data'!U12="",LEN(TRIM('Raw Data'!U12))=0),"",IF(AND(ISNUMBER('Raw Data'!U12), IFERROR('Raw Data'!U12 = ROUND('Raw Data'!U12, 2),FALSE)),"",_xlfn.REGEXEXTRACT(CELL("address",U12), "\$([A-Z]+)\$[0-9]+"))),_xlfn.REGEXEXTRACT(CELL("address",U12), "\$([A-Z]+)\$[0-9]+"))</f>
        <v/>
      </c>
      <c r="V12" s="7" t="str">
        <f t="array" aca="1" ref="V12" ca="1">IFERROR(IF(OR('Raw Data'!V12="",LEN(TRIM('Raw Data'!V12))=0),"",IF(AND(ISNUMBER('Raw Data'!V12), IFERROR('Raw Data'!V12 = ROUND('Raw Data'!V12, 2),FALSE)),"",_xlfn.REGEXEXTRACT(CELL("address",V12), "\$([A-Z]+)\$[0-9]+"))),_xlfn.REGEXEXTRACT(CELL("address",V12), "\$([A-Z]+)\$[0-9]+"))</f>
        <v/>
      </c>
      <c r="W12" s="7" t="str">
        <f t="array" aca="1" ref="W12" ca="1">IFERROR(IF(OR('Raw Data'!W12="",LEN(TRIM('Raw Data'!W12))=0),"",IF(AND(ISNUMBER('Raw Data'!W12), IFERROR('Raw Data'!W12 = ROUND('Raw Data'!W12, 2),FALSE)),"",_xlfn.REGEXEXTRACT(CELL("address",W12), "\$([A-Z]+)\$[0-9]+"))),_xlfn.REGEXEXTRACT(CELL("address",W12), "\$([A-Z]+)\$[0-9]+"))</f>
        <v/>
      </c>
      <c r="X12" s="7" t="str">
        <f t="array" aca="1" ref="X12" ca="1">IFERROR(IF(OR('Raw Data'!X12="",LEN(TRIM('Raw Data'!X12))=0),"",IF(AND(ISNUMBER('Raw Data'!X12), IFERROR('Raw Data'!X12 = ROUND('Raw Data'!X12, 2),FALSE)),"",_xlfn.REGEXEXTRACT(CELL("address",X12), "\$([A-Z]+)\$[0-9]+"))),_xlfn.REGEXEXTRACT(CELL("address",X12), "\$([A-Z]+)\$[0-9]+"))</f>
        <v/>
      </c>
      <c r="Y12" s="7" t="str">
        <f t="array" aca="1" ref="Y12" ca="1">IFERROR(IF(OR('Raw Data'!Y12="",LEN(TRIM('Raw Data'!Y12))=0),"",IF(AND(ISNUMBER('Raw Data'!Y12), IFERROR('Raw Data'!Y12 = ROUND('Raw Data'!Y12, 2),FALSE)),"",_xlfn.REGEXEXTRACT(CELL("address",Y12), "\$([A-Z]+)\$[0-9]+"))),_xlfn.REGEXEXTRACT(CELL("address",Y12), "\$([A-Z]+)\$[0-9]+"))</f>
        <v/>
      </c>
      <c r="Z12" s="7" t="str">
        <f t="array" aca="1" ref="Z12" ca="1">IFERROR(IF(OR('Raw Data'!Z12="",LEN(TRIM('Raw Data'!Z12))=0),"",IF(AND(ISNUMBER('Raw Data'!Z12), IFERROR('Raw Data'!Z12 = ROUND('Raw Data'!Z12, 2),FALSE)),"",_xlfn.REGEXEXTRACT(CELL("address",Z12), "\$([A-Z]+)\$[0-9]+"))),_xlfn.REGEXEXTRACT(CELL("address",Z12), "\$([A-Z]+)\$[0-9]+"))</f>
        <v/>
      </c>
      <c r="AA12" s="7" t="str">
        <f t="array" aca="1" ref="AA12" ca="1">IFERROR(IF(OR('Raw Data'!AA12="",LEN(TRIM('Raw Data'!AA12))=0),"",IF(AND(ISNUMBER('Raw Data'!AA12), IFERROR('Raw Data'!AA12 = ROUND('Raw Data'!AA12, 2),FALSE)),"",_xlfn.REGEXEXTRACT(CELL("address",AA12), "\$([A-Z]+)\$[0-9]+"))),_xlfn.REGEXEXTRACT(CELL("address",AA12), "\$([A-Z]+)\$[0-9]+"))</f>
        <v/>
      </c>
      <c r="AB12" s="7" t="str">
        <f t="array" aca="1" ref="AB12" ca="1">IFERROR(IF(OR('Raw Data'!AB12="",LEN(TRIM('Raw Data'!AB12))=0),"",IF(AND(ISNUMBER('Raw Data'!AB12), IFERROR('Raw Data'!AB12 = ROUND('Raw Data'!AB12, 2),FALSE)),"",_xlfn.REGEXEXTRACT(CELL("address",AB12), "\$([A-Z]+)\$[0-9]+"))),_xlfn.REGEXEXTRACT(CELL("address",AB12), "\$([A-Z]+)\$[0-9]+"))</f>
        <v/>
      </c>
      <c r="AC12" s="7" t="str">
        <f t="array" aca="1" ref="AC12" ca="1">IFERROR(IF(OR('Raw Data'!AC12="",LEN(TRIM('Raw Data'!AC12))=0),"",IF(AND(ISNUMBER('Raw Data'!AC12), IFERROR('Raw Data'!AC12 = ROUND('Raw Data'!AC12, 2),FALSE)),"",_xlfn.REGEXEXTRACT(CELL("address",AC12), "\$([A-Z]+)\$[0-9]+"))),_xlfn.REGEXEXTRACT(CELL("address",AC12), "\$([A-Z]+)\$[0-9]+"))</f>
        <v/>
      </c>
      <c r="AD12" s="7" t="str">
        <f t="array" aca="1" ref="AD12" ca="1">IFERROR(IF(OR('Raw Data'!AD12="",LEN(TRIM('Raw Data'!AD12))=0),"",IF(AND(ISNUMBER('Raw Data'!AD12), IFERROR('Raw Data'!AD12 = ROUND('Raw Data'!AD12, 2),FALSE)),"",_xlfn.REGEXEXTRACT(CELL("address",AD12), "\$([A-Z]+)\$[0-9]+"))),_xlfn.REGEXEXTRACT(CELL("address",AD12), "\$([A-Z]+)\$[0-9]+"))</f>
        <v/>
      </c>
      <c r="AE12" s="7" t="str">
        <f t="array" aca="1" ref="AE12" ca="1">IFERROR(IF(OR('Raw Data'!AE12="",LEN(TRIM('Raw Data'!AE12))=0),"",IF(AND(ISNUMBER('Raw Data'!AE12), IFERROR('Raw Data'!AE12 = ROUND('Raw Data'!AE12, 2),FALSE)),"",_xlfn.REGEXEXTRACT(CELL("address",AE12), "\$([A-Z]+)\$[0-9]+"))),_xlfn.REGEXEXTRACT(CELL("address",AE12), "\$([A-Z]+)\$[0-9]+"))</f>
        <v/>
      </c>
      <c r="AF12" s="7" t="str">
        <f t="array" aca="1" ref="AF12" ca="1">IFERROR(IF(OR('Raw Data'!AF12="",LEN(TRIM('Raw Data'!AF12))=0),"",IF(AND(ISNUMBER('Raw Data'!AF12), IFERROR('Raw Data'!AF12 = ROUND('Raw Data'!AF12, 2),FALSE)),"",_xlfn.REGEXEXTRACT(CELL("address",AF12), "\$([A-Z]+)\$[0-9]+"))),_xlfn.REGEXEXTRACT(CELL("address",AF12), "\$([A-Z]+)\$[0-9]+"))</f>
        <v/>
      </c>
      <c r="AG12" s="7" t="str">
        <f t="array" aca="1" ref="AG12" ca="1">IFERROR(IF(OR('Raw Data'!AG12="",LEN(TRIM('Raw Data'!AG12))=0),"",IF(AND(ISNUMBER('Raw Data'!AG12), IFERROR('Raw Data'!AG12 = ROUND('Raw Data'!AG12, 2),FALSE)),"",_xlfn.REGEXEXTRACT(CELL("address",AG12), "\$([A-Z]+)\$[0-9]+"))),_xlfn.REGEXEXTRACT(CELL("address",AG12), "\$([A-Z]+)\$[0-9]+"))</f>
        <v/>
      </c>
      <c r="AH12" s="7" t="str">
        <f t="array" aca="1" ref="AH12" ca="1">IFERROR(IF(OR('Raw Data'!AH12="",LEN(TRIM('Raw Data'!AH12))=0),"",IF(AND(ISNUMBER('Raw Data'!AH12), IFERROR('Raw Data'!AH12 = ROUND('Raw Data'!AH12, 2),FALSE)),"",_xlfn.REGEXEXTRACT(CELL("address",AH12), "\$([A-Z]+)\$[0-9]+"))),_xlfn.REGEXEXTRACT(CELL("address",AH12), "\$([A-Z]+)\$[0-9]+"))</f>
        <v/>
      </c>
      <c r="AI12" s="7" t="str">
        <f t="array" aca="1" ref="AI12" ca="1">IFERROR(IF(OR('Raw Data'!AI12="",LEN(TRIM('Raw Data'!AI12))=0),"",IF(AND(ISNUMBER('Raw Data'!AI12), IFERROR('Raw Data'!AI12 = ROUND('Raw Data'!AI12, 2),FALSE)),"",_xlfn.REGEXEXTRACT(CELL("address",AI12), "\$([A-Z]+)\$[0-9]+"))),_xlfn.REGEXEXTRACT(CELL("address",AI12), "\$([A-Z]+)\$[0-9]+"))</f>
        <v/>
      </c>
      <c r="AJ12" s="7" t="str">
        <f t="array" aca="1" ref="AJ12" ca="1">IFERROR(IF(OR('Raw Data'!AJ12="",LEN(TRIM('Raw Data'!AJ12))=0),"",IF(AND(ISNUMBER('Raw Data'!AJ12), IFERROR('Raw Data'!AJ12 = ROUND('Raw Data'!AJ12, 4),FALSE)),"",_xlfn.REGEXEXTRACT(CELL("address",AJ12), "\$([A-Z]+)\$[0-9]+"))),_xlfn.REGEXEXTRACT(CELL("address",AJ12), "\$([A-Z]+)\$[0-9]+"))</f>
        <v/>
      </c>
      <c r="AK12" s="7" t="str">
        <f t="array" aca="1" ref="AK12" ca="1">IFERROR(IF(OR('Raw Data'!AK12="",LEN(TRIM('Raw Data'!AK12))=0),"",IF(AND(ISNUMBER('Raw Data'!AK12), IFERROR('Raw Data'!AK12 = ROUND('Raw Data'!AK12, 2),FALSE)),"",_xlfn.REGEXEXTRACT(CELL("address",AK12), "\$([A-Z]+)\$[0-9]+"))),_xlfn.REGEXEXTRACT(CELL("address",AK12), "\$([A-Z]+)\$[0-9]+"))</f>
        <v/>
      </c>
      <c r="AL12" s="7" t="str">
        <f t="array" aca="1" ref="AL12" ca="1">IFERROR(IF(OR('Raw Data'!AL12="",LEN(TRIM('Raw Data'!AL12))=0),"",IF(AND(ISNUMBER('Raw Data'!AL12), IFERROR('Raw Data'!AL12 = ROUND('Raw Data'!AL12, 2),FALSE)),"",_xlfn.REGEXEXTRACT(CELL("address",AL12), "\$([A-Z]+)\$[0-9]+"))),_xlfn.REGEXEXTRACT(CELL("address",AL12), "\$([A-Z]+)\$[0-9]+"))</f>
        <v/>
      </c>
      <c r="AM12" s="7" t="str">
        <f t="array" aca="1" ref="AM12" ca="1">IFERROR(IF(OR('Raw Data'!AM12="",LEN(TRIM('Raw Data'!AM12))=0),"",IF(AND(ISNUMBER('Raw Data'!AM12), IFERROR('Raw Data'!AM12 = ROUND('Raw Data'!AM12, 2),FALSE)),"",_xlfn.REGEXEXTRACT(CELL("address",AM12), "\$([A-Z]+)\$[0-9]+"))),_xlfn.REGEXEXTRACT(CELL("address",AM12), "\$([A-Z]+)\$[0-9]+"))</f>
        <v/>
      </c>
      <c r="AN12" s="7" t="str">
        <f t="array" aca="1" ref="AN12" ca="1">IFERROR(IF(OR('Raw Data'!AN12="",LEN(TRIM('Raw Data'!AN12))=0),"",IF(AND(ISNUMBER('Raw Data'!AN12), IFERROR('Raw Data'!AN12 = ROUND('Raw Data'!AN12, 2),FALSE)),"",_xlfn.REGEXEXTRACT(CELL("address",AN12), "\$([A-Z]+)\$[0-9]+"))),_xlfn.REGEXEXTRACT(CELL("address",AN12), "\$([A-Z]+)\$[0-9]+"))</f>
        <v/>
      </c>
      <c r="AO12" s="7" t="str">
        <f t="array" aca="1" ref="AO12" ca="1">IFERROR(IF(OR('Raw Data'!AO12="",LEN(TRIM('Raw Data'!AO12))=0),"",IF(AND(ISNUMBER('Raw Data'!AO12), IFERROR('Raw Data'!AO12 = ROUND('Raw Data'!AO12, 2),FALSE)),"",_xlfn.REGEXEXTRACT(CELL("address",AO12), "\$([A-Z]+)\$[0-9]+"))),_xlfn.REGEXEXTRACT(CELL("address",AO12), "\$([A-Z]+)\$[0-9]+"))</f>
        <v/>
      </c>
      <c r="AP12" s="7" t="str">
        <f t="array" aca="1" ref="AP12" ca="1">IFERROR(IF(OR('Raw Data'!AP12="",LEN(TRIM('Raw Data'!AP12))=0),"",IF(AND(ISNUMBER('Raw Data'!AP12), IFERROR('Raw Data'!AP12 = ROUND('Raw Data'!AP12, 2),FALSE)),"",_xlfn.REGEXEXTRACT(CELL("address",AP12), "\$([A-Z]+)\$[0-9]+"))),_xlfn.REGEXEXTRACT(CELL("address",AP12), "\$([A-Z]+)\$[0-9]+"))</f>
        <v/>
      </c>
    </row>
    <row r="13" spans="2:42" x14ac:dyDescent="0.25">
      <c r="B13" s="7" t="str">
        <f t="array" aca="1" ref="B13" ca="1">IFERROR(IF(OR('Raw Data'!B13="",LEN(TRIM('Raw Data'!B13))=0),"",IF(AND(LEN('Raw Data'!B13) &lt;= 255,LEN('Raw Data'!B13)&gt; 0),"",_xlfn.REGEXEXTRACT(CELL("address",'Raw Data'!B13),"\$([A-Z]+)\$[0-9]+"))),_xlfn.REGEXEXTRACT(CELL("address",'Raw Data'!B13),"\$([A-Z]+)\$[0-9]+"))</f>
        <v/>
      </c>
      <c r="C13" s="7" t="str">
        <f t="array" aca="1" ref="C13" ca="1">IFERROR(IF(OR('Raw Data'!C13="",LEN(TRIM('Raw Data'!C13))=0),"",IF(AND(LEN('Raw Data'!C13) &lt;= 50,LEN('Raw Data'!C13)&gt; 0),"",_xlfn.REGEXEXTRACT(CELL("address",'Raw Data'!C13),"\$([A-Z]+)\$[0-9]+"))),_xlfn.REGEXEXTRACT(CELL("address",'Raw Data'!C13),"\$([A-Z]+)\$[0-9]+"))</f>
        <v/>
      </c>
      <c r="D13" s="7" t="str">
        <f t="array" aca="1" ref="D13" ca="1">IFERROR(IF(OR('Raw Data'!D13="",LEN(TRIM('Raw Data'!D13))=0),"",IF(AND(LEN('Raw Data'!D13) &lt;= 500,LEN('Raw Data'!D13)&gt; 0),"",_xlfn.REGEXEXTRACT(CELL("address",'Raw Data'!D13),"\$([A-Z]+)\$[0-9]+"))),_xlfn.REGEXEXTRACT(CELL("address",'Raw Data'!D13),"\$([A-Z]+)\$[0-9]+"))</f>
        <v/>
      </c>
      <c r="E13" s="7" t="str">
        <f t="array" aca="1" ref="E13" ca="1">IFERROR(IF(OR('Raw Data'!E13="",LEN(TRIM('Raw Data'!E13))=0),"",IF(AND(LEN('Raw Data'!E13) &lt;= 50,LEN('Raw Data'!E13)&gt; 0),"",_xlfn.REGEXEXTRACT(CELL("address",'Raw Data'!E13),"\$([A-Z]+)\$[0-9]+"))),_xlfn.REGEXEXTRACT(CELL("address",'Raw Data'!E13),"\$([A-Z]+)\$[0-9]+"))</f>
        <v/>
      </c>
      <c r="F13" s="7" t="str">
        <f t="array" aca="1" ref="F13" ca="1">IFERROR(IF(OR('Raw Data'!F13="",LEN(TRIM('Raw Data'!F13))=0),"",IF(AND(LEN('Raw Data'!F13) &lt;= 50,LEN('Raw Data'!F13)&gt; 0),"",_xlfn.REGEXEXTRACT(CELL("address",'Raw Data'!F13),"\$([A-Z]+)\$[0-9]+"))),_xlfn.REGEXEXTRACT(CELL("address",'Raw Data'!F13),"\$([A-Z]+)\$[0-9]+"))</f>
        <v/>
      </c>
      <c r="G13" s="7" t="str">
        <f t="array" aca="1" ref="G13" ca="1">IFERROR(IF(OR('Raw Data'!G13="",LEN(TRIM('Raw Data'!G13))=0),"",IF(AND(LEN('Raw Data'!G13) &lt;= 50,LEN('Raw Data'!G13)&gt; 0),"",_xlfn.REGEXEXTRACT(CELL("address",'Raw Data'!G13),"\$([A-Z]+)\$[0-9]+"))),_xlfn.REGEXEXTRACT(CELL("address",'Raw Data'!G13),"\$([A-Z]+)\$[0-9]+"))</f>
        <v/>
      </c>
      <c r="H13" s="7" t="str">
        <f t="array" aca="1" ref="H13" ca="1">IFERROR(IF(OR('Raw Data'!H13="",LEN(TRIM('Raw Data'!H13))=0),"",IF(AND(LEN('Raw Data'!H13) &lt;= 50,LEN('Raw Data'!H13)&gt; 0),"",_xlfn.REGEXEXTRACT(CELL("address",'Raw Data'!H13),"\$([A-Z]+)\$[0-9]+"))),_xlfn.REGEXEXTRACT(CELL("address",'Raw Data'!H13),"\$([A-Z]+)\$[0-9]+"))</f>
        <v/>
      </c>
      <c r="I13" s="7" t="str">
        <f t="array" aca="1" ref="I13" ca="1">IFERROR(IF(OR('Raw Data'!I13="",LEN(TRIM('Raw Data'!I13))=0),"",IF(AND(LEN('Raw Data'!I13) &lt;= 50,LEN('Raw Data'!I13)&gt; 0),"",_xlfn.REGEXEXTRACT(CELL("address",'Raw Data'!I13),"\$([A-Z]+)\$[0-9]+"))),_xlfn.REGEXEXTRACT(CELL("address",'Raw Data'!I13),"\$([A-Z]+)\$[0-9]+"))</f>
        <v/>
      </c>
      <c r="J13" s="7" t="str">
        <f t="array" aca="1" ref="J13" ca="1">IFERROR(IF(OR('Raw Data'!J13="",LEN(TRIM('Raw Data'!J13))=0),"",IF(AND(ISNUMBER('Raw Data'!J13), IFERROR('Raw Data'!J13 = ROUND('Raw Data'!J13, 2),FALSE)),"",_xlfn.REGEXEXTRACT(CELL("address",J13), "\$([A-Z]+)\$[0-9]+"))),_xlfn.REGEXEXTRACT(CELL("address",J13), "\$([A-Z]+)\$[0-9]+"))</f>
        <v/>
      </c>
      <c r="K13" s="7" t="str">
        <f t="array" aca="1" ref="K13" ca="1">IFERROR(IF(OR('Raw Data'!K13="",LEN(TRIM('Raw Data'!K13))=0),"",IF(AND(ISNUMBER('Raw Data'!K13), IFERROR('Raw Data'!K13 = ROUND('Raw Data'!K13, 2),FALSE)),"",_xlfn.REGEXEXTRACT(CELL("address",K13), "\$([A-Z]+)\$[0-9]+"))),_xlfn.REGEXEXTRACT(CELL("address",K13), "\$([A-Z]+)\$[0-9]+"))</f>
        <v/>
      </c>
      <c r="L13" s="7" t="str">
        <f t="array" aca="1" ref="L13" ca="1">IFERROR(IF(OR('Raw Data'!L13="",LEN(TRIM('Raw Data'!L13))=0),"",IF(AND(ISNUMBER('Raw Data'!L13), IFERROR('Raw Data'!L13 = ROUND('Raw Data'!L13, 2),FALSE)),"",_xlfn.REGEXEXTRACT(CELL("address",L13), "\$([A-Z]+)\$[0-9]+"))),_xlfn.REGEXEXTRACT(CELL("address",L13), "\$([A-Z]+)\$[0-9]+"))</f>
        <v/>
      </c>
      <c r="M13" s="7" t="str">
        <f t="array" aca="1" ref="M13" ca="1">IFERROR(IF(OR('Raw Data'!M13="",LEN(TRIM('Raw Data'!M13))=0),"",IF(AND(ISNUMBER('Raw Data'!M13), IFERROR('Raw Data'!M13 = ROUND('Raw Data'!M13, 2),FALSE)),"",_xlfn.REGEXEXTRACT(CELL("address",M13), "\$([A-Z]+)\$[0-9]+"))),_xlfn.REGEXEXTRACT(CELL("address",M13), "\$([A-Z]+)\$[0-9]+"))</f>
        <v/>
      </c>
      <c r="N13" s="7" t="str">
        <f t="array" aca="1" ref="N13" ca="1">IFERROR(IF(OR('Raw Data'!N13="",LEN(TRIM('Raw Data'!N13))=0),"",IF(AND(ISNUMBER('Raw Data'!N13), IFERROR('Raw Data'!N13 = ROUND('Raw Data'!N13, 2),FALSE)),"",_xlfn.REGEXEXTRACT(CELL("address",N13), "\$([A-Z]+)\$[0-9]+"))),_xlfn.REGEXEXTRACT(CELL("address",N13), "\$([A-Z]+)\$[0-9]+"))</f>
        <v/>
      </c>
      <c r="O13" s="7" t="str">
        <f t="array" aca="1" ref="O13" ca="1">IFERROR(IF(OR('Raw Data'!O13="",LEN(TRIM('Raw Data'!O13))=0),"",IF(AND(ISNUMBER('Raw Data'!O13),'Raw Data'!O13&gt;=Configuration!$D$2),"",_xlfn.REGEXEXTRACT(CELL("address",'Raw Data'!O13),"\$([A-Z]+)\$[0-9]+"))),_xlfn.REGEXEXTRACT(CELL("address",O13), "\$([A-Z]+)\$[0-9]+"))</f>
        <v/>
      </c>
      <c r="P13" s="7" t="str">
        <f t="array" aca="1" ref="P13" ca="1">IFERROR(IF(OR('Raw Data'!P13="",LEN(TRIM('Raw Data'!P13))=0),"",IF(AND(ISNUMBER('Raw Data'!P13), IFERROR('Raw Data'!P13 = ROUND('Raw Data'!P13, 2),FALSE)),"",_xlfn.REGEXEXTRACT(CELL("address",P13), "\$([A-Z]+)\$[0-9]+"))),_xlfn.REGEXEXTRACT(CELL("address",P13), "\$([A-Z]+)\$[0-9]+"))</f>
        <v/>
      </c>
      <c r="Q13" s="7" t="str">
        <f t="array" aca="1" ref="Q13" ca="1">IFERROR(IF(OR('Raw Data'!Q13="",LEN(TRIM('Raw Data'!Q13))=0),"",IF(AND(ISNUMBER('Raw Data'!Q13), IFERROR('Raw Data'!Q13 = ROUND('Raw Data'!Q13, 2),FALSE)),"",_xlfn.REGEXEXTRACT(CELL("address",Q13), "\$([A-Z]+)\$[0-9]+"))),_xlfn.REGEXEXTRACT(CELL("address",Q13), "\$([A-Z]+)\$[0-9]+"))</f>
        <v/>
      </c>
      <c r="R13" s="7" t="str">
        <f t="array" aca="1" ref="R13" ca="1">IFERROR(IF(OR('Raw Data'!R13="",LEN(TRIM('Raw Data'!R13))=0),"",IF(AND(LEN('Raw Data'!R13) &lt;= 50,LEN('Raw Data'!R13)&gt; 0),"",_xlfn.REGEXEXTRACT(CELL("address",'Raw Data'!R13),"\$([A-Z]+)\$[0-9]+"))),_xlfn.REGEXEXTRACT(CELL("address",'Raw Data'!R13),"\$([A-Z]+)\$[0-9]+"))</f>
        <v/>
      </c>
      <c r="S13" s="7" t="str">
        <f t="array" aca="1" ref="S13" ca="1">IFERROR(IF(OR('Raw Data'!S13="",LEN(TRIM('Raw Data'!S13))=0),"",IF(AND(LEN('Raw Data'!S13) &lt;= 50,LEN('Raw Data'!S13)&gt; 0),"",_xlfn.REGEXEXTRACT(CELL("address",'Raw Data'!S13),"\$([A-Z]+)\$[0-9]+"))),_xlfn.REGEXEXTRACT(CELL("address",'Raw Data'!S13),"\$([A-Z]+)\$[0-9]+"))</f>
        <v/>
      </c>
      <c r="T13" s="7" t="str">
        <f t="array" aca="1" ref="T13" ca="1">IFERROR(IF(OR('Raw Data'!T13="",LEN(TRIM('Raw Data'!T13))=0),"",IF(AND(ISNUMBER('Raw Data'!T13), IFERROR('Raw Data'!T13 = ROUND('Raw Data'!T13, 2),FALSE)),"",_xlfn.REGEXEXTRACT(CELL("address",T13), "\$([A-Z]+)\$[0-9]+"))),_xlfn.REGEXEXTRACT(CELL("address",T13), "\$([A-Z]+)\$[0-9]+"))</f>
        <v/>
      </c>
      <c r="U13" s="7" t="str">
        <f t="array" aca="1" ref="U13" ca="1">IFERROR(IF(OR('Raw Data'!U13="",LEN(TRIM('Raw Data'!U13))=0),"",IF(AND(ISNUMBER('Raw Data'!U13), IFERROR('Raw Data'!U13 = ROUND('Raw Data'!U13, 2),FALSE)),"",_xlfn.REGEXEXTRACT(CELL("address",U13), "\$([A-Z]+)\$[0-9]+"))),_xlfn.REGEXEXTRACT(CELL("address",U13), "\$([A-Z]+)\$[0-9]+"))</f>
        <v/>
      </c>
      <c r="V13" s="7" t="str">
        <f t="array" aca="1" ref="V13" ca="1">IFERROR(IF(OR('Raw Data'!V13="",LEN(TRIM('Raw Data'!V13))=0),"",IF(AND(ISNUMBER('Raw Data'!V13), IFERROR('Raw Data'!V13 = ROUND('Raw Data'!V13, 2),FALSE)),"",_xlfn.REGEXEXTRACT(CELL("address",V13), "\$([A-Z]+)\$[0-9]+"))),_xlfn.REGEXEXTRACT(CELL("address",V13), "\$([A-Z]+)\$[0-9]+"))</f>
        <v/>
      </c>
      <c r="W13" s="7" t="str">
        <f t="array" aca="1" ref="W13" ca="1">IFERROR(IF(OR('Raw Data'!W13="",LEN(TRIM('Raw Data'!W13))=0),"",IF(AND(ISNUMBER('Raw Data'!W13), IFERROR('Raw Data'!W13 = ROUND('Raw Data'!W13, 2),FALSE)),"",_xlfn.REGEXEXTRACT(CELL("address",W13), "\$([A-Z]+)\$[0-9]+"))),_xlfn.REGEXEXTRACT(CELL("address",W13), "\$([A-Z]+)\$[0-9]+"))</f>
        <v/>
      </c>
      <c r="X13" s="7" t="str">
        <f t="array" aca="1" ref="X13" ca="1">IFERROR(IF(OR('Raw Data'!X13="",LEN(TRIM('Raw Data'!X13))=0),"",IF(AND(ISNUMBER('Raw Data'!X13), IFERROR('Raw Data'!X13 = ROUND('Raw Data'!X13, 2),FALSE)),"",_xlfn.REGEXEXTRACT(CELL("address",X13), "\$([A-Z]+)\$[0-9]+"))),_xlfn.REGEXEXTRACT(CELL("address",X13), "\$([A-Z]+)\$[0-9]+"))</f>
        <v/>
      </c>
      <c r="Y13" s="7" t="str">
        <f t="array" aca="1" ref="Y13" ca="1">IFERROR(IF(OR('Raw Data'!Y13="",LEN(TRIM('Raw Data'!Y13))=0),"",IF(AND(ISNUMBER('Raw Data'!Y13), IFERROR('Raw Data'!Y13 = ROUND('Raw Data'!Y13, 2),FALSE)),"",_xlfn.REGEXEXTRACT(CELL("address",Y13), "\$([A-Z]+)\$[0-9]+"))),_xlfn.REGEXEXTRACT(CELL("address",Y13), "\$([A-Z]+)\$[0-9]+"))</f>
        <v/>
      </c>
      <c r="Z13" s="7" t="str">
        <f t="array" aca="1" ref="Z13" ca="1">IFERROR(IF(OR('Raw Data'!Z13="",LEN(TRIM('Raw Data'!Z13))=0),"",IF(AND(ISNUMBER('Raw Data'!Z13), IFERROR('Raw Data'!Z13 = ROUND('Raw Data'!Z13, 2),FALSE)),"",_xlfn.REGEXEXTRACT(CELL("address",Z13), "\$([A-Z]+)\$[0-9]+"))),_xlfn.REGEXEXTRACT(CELL("address",Z13), "\$([A-Z]+)\$[0-9]+"))</f>
        <v/>
      </c>
      <c r="AA13" s="7" t="str">
        <f t="array" aca="1" ref="AA13" ca="1">IFERROR(IF(OR('Raw Data'!AA13="",LEN(TRIM('Raw Data'!AA13))=0),"",IF(AND(ISNUMBER('Raw Data'!AA13), IFERROR('Raw Data'!AA13 = ROUND('Raw Data'!AA13, 2),FALSE)),"",_xlfn.REGEXEXTRACT(CELL("address",AA13), "\$([A-Z]+)\$[0-9]+"))),_xlfn.REGEXEXTRACT(CELL("address",AA13), "\$([A-Z]+)\$[0-9]+"))</f>
        <v/>
      </c>
      <c r="AB13" s="7" t="str">
        <f t="array" aca="1" ref="AB13" ca="1">IFERROR(IF(OR('Raw Data'!AB13="",LEN(TRIM('Raw Data'!AB13))=0),"",IF(AND(ISNUMBER('Raw Data'!AB13), IFERROR('Raw Data'!AB13 = ROUND('Raw Data'!AB13, 2),FALSE)),"",_xlfn.REGEXEXTRACT(CELL("address",AB13), "\$([A-Z]+)\$[0-9]+"))),_xlfn.REGEXEXTRACT(CELL("address",AB13), "\$([A-Z]+)\$[0-9]+"))</f>
        <v/>
      </c>
      <c r="AC13" s="7" t="str">
        <f t="array" aca="1" ref="AC13" ca="1">IFERROR(IF(OR('Raw Data'!AC13="",LEN(TRIM('Raw Data'!AC13))=0),"",IF(AND(ISNUMBER('Raw Data'!AC13), IFERROR('Raw Data'!AC13 = ROUND('Raw Data'!AC13, 2),FALSE)),"",_xlfn.REGEXEXTRACT(CELL("address",AC13), "\$([A-Z]+)\$[0-9]+"))),_xlfn.REGEXEXTRACT(CELL("address",AC13), "\$([A-Z]+)\$[0-9]+"))</f>
        <v/>
      </c>
      <c r="AD13" s="7" t="str">
        <f t="array" aca="1" ref="AD13" ca="1">IFERROR(IF(OR('Raw Data'!AD13="",LEN(TRIM('Raw Data'!AD13))=0),"",IF(AND(ISNUMBER('Raw Data'!AD13), IFERROR('Raw Data'!AD13 = ROUND('Raw Data'!AD13, 2),FALSE)),"",_xlfn.REGEXEXTRACT(CELL("address",AD13), "\$([A-Z]+)\$[0-9]+"))),_xlfn.REGEXEXTRACT(CELL("address",AD13), "\$([A-Z]+)\$[0-9]+"))</f>
        <v/>
      </c>
      <c r="AE13" s="7" t="str">
        <f t="array" aca="1" ref="AE13" ca="1">IFERROR(IF(OR('Raw Data'!AE13="",LEN(TRIM('Raw Data'!AE13))=0),"",IF(AND(ISNUMBER('Raw Data'!AE13), IFERROR('Raw Data'!AE13 = ROUND('Raw Data'!AE13, 2),FALSE)),"",_xlfn.REGEXEXTRACT(CELL("address",AE13), "\$([A-Z]+)\$[0-9]+"))),_xlfn.REGEXEXTRACT(CELL("address",AE13), "\$([A-Z]+)\$[0-9]+"))</f>
        <v/>
      </c>
      <c r="AF13" s="7" t="str">
        <f t="array" aca="1" ref="AF13" ca="1">IFERROR(IF(OR('Raw Data'!AF13="",LEN(TRIM('Raw Data'!AF13))=0),"",IF(AND(ISNUMBER('Raw Data'!AF13), IFERROR('Raw Data'!AF13 = ROUND('Raw Data'!AF13, 2),FALSE)),"",_xlfn.REGEXEXTRACT(CELL("address",AF13), "\$([A-Z]+)\$[0-9]+"))),_xlfn.REGEXEXTRACT(CELL("address",AF13), "\$([A-Z]+)\$[0-9]+"))</f>
        <v/>
      </c>
      <c r="AG13" s="7" t="str">
        <f t="array" aca="1" ref="AG13" ca="1">IFERROR(IF(OR('Raw Data'!AG13="",LEN(TRIM('Raw Data'!AG13))=0),"",IF(AND(ISNUMBER('Raw Data'!AG13), IFERROR('Raw Data'!AG13 = ROUND('Raw Data'!AG13, 2),FALSE)),"",_xlfn.REGEXEXTRACT(CELL("address",AG13), "\$([A-Z]+)\$[0-9]+"))),_xlfn.REGEXEXTRACT(CELL("address",AG13), "\$([A-Z]+)\$[0-9]+"))</f>
        <v/>
      </c>
      <c r="AH13" s="7" t="str">
        <f t="array" aca="1" ref="AH13" ca="1">IFERROR(IF(OR('Raw Data'!AH13="",LEN(TRIM('Raw Data'!AH13))=0),"",IF(AND(ISNUMBER('Raw Data'!AH13), IFERROR('Raw Data'!AH13 = ROUND('Raw Data'!AH13, 2),FALSE)),"",_xlfn.REGEXEXTRACT(CELL("address",AH13), "\$([A-Z]+)\$[0-9]+"))),_xlfn.REGEXEXTRACT(CELL("address",AH13), "\$([A-Z]+)\$[0-9]+"))</f>
        <v/>
      </c>
      <c r="AI13" s="7" t="str">
        <f t="array" aca="1" ref="AI13" ca="1">IFERROR(IF(OR('Raw Data'!AI13="",LEN(TRIM('Raw Data'!AI13))=0),"",IF(AND(ISNUMBER('Raw Data'!AI13), IFERROR('Raw Data'!AI13 = ROUND('Raw Data'!AI13, 2),FALSE)),"",_xlfn.REGEXEXTRACT(CELL("address",AI13), "\$([A-Z]+)\$[0-9]+"))),_xlfn.REGEXEXTRACT(CELL("address",AI13), "\$([A-Z]+)\$[0-9]+"))</f>
        <v/>
      </c>
      <c r="AJ13" s="7" t="str">
        <f t="array" aca="1" ref="AJ13" ca="1">IFERROR(IF(OR('Raw Data'!AJ13="",LEN(TRIM('Raw Data'!AJ13))=0),"",IF(AND(ISNUMBER('Raw Data'!AJ13), IFERROR('Raw Data'!AJ13 = ROUND('Raw Data'!AJ13, 4),FALSE)),"",_xlfn.REGEXEXTRACT(CELL("address",AJ13), "\$([A-Z]+)\$[0-9]+"))),_xlfn.REGEXEXTRACT(CELL("address",AJ13), "\$([A-Z]+)\$[0-9]+"))</f>
        <v/>
      </c>
      <c r="AK13" s="7" t="str">
        <f t="array" aca="1" ref="AK13" ca="1">IFERROR(IF(OR('Raw Data'!AK13="",LEN(TRIM('Raw Data'!AK13))=0),"",IF(AND(ISNUMBER('Raw Data'!AK13), IFERROR('Raw Data'!AK13 = ROUND('Raw Data'!AK13, 2),FALSE)),"",_xlfn.REGEXEXTRACT(CELL("address",AK13), "\$([A-Z]+)\$[0-9]+"))),_xlfn.REGEXEXTRACT(CELL("address",AK13), "\$([A-Z]+)\$[0-9]+"))</f>
        <v/>
      </c>
      <c r="AL13" s="7" t="str">
        <f t="array" aca="1" ref="AL13" ca="1">IFERROR(IF(OR('Raw Data'!AL13="",LEN(TRIM('Raw Data'!AL13))=0),"",IF(AND(ISNUMBER('Raw Data'!AL13), IFERROR('Raw Data'!AL13 = ROUND('Raw Data'!AL13, 2),FALSE)),"",_xlfn.REGEXEXTRACT(CELL("address",AL13), "\$([A-Z]+)\$[0-9]+"))),_xlfn.REGEXEXTRACT(CELL("address",AL13), "\$([A-Z]+)\$[0-9]+"))</f>
        <v/>
      </c>
      <c r="AM13" s="7" t="str">
        <f t="array" aca="1" ref="AM13" ca="1">IFERROR(IF(OR('Raw Data'!AM13="",LEN(TRIM('Raw Data'!AM13))=0),"",IF(AND(ISNUMBER('Raw Data'!AM13), IFERROR('Raw Data'!AM13 = ROUND('Raw Data'!AM13, 2),FALSE)),"",_xlfn.REGEXEXTRACT(CELL("address",AM13), "\$([A-Z]+)\$[0-9]+"))),_xlfn.REGEXEXTRACT(CELL("address",AM13), "\$([A-Z]+)\$[0-9]+"))</f>
        <v/>
      </c>
      <c r="AN13" s="7" t="str">
        <f t="array" aca="1" ref="AN13" ca="1">IFERROR(IF(OR('Raw Data'!AN13="",LEN(TRIM('Raw Data'!AN13))=0),"",IF(AND(ISNUMBER('Raw Data'!AN13), IFERROR('Raw Data'!AN13 = ROUND('Raw Data'!AN13, 2),FALSE)),"",_xlfn.REGEXEXTRACT(CELL("address",AN13), "\$([A-Z]+)\$[0-9]+"))),_xlfn.REGEXEXTRACT(CELL("address",AN13), "\$([A-Z]+)\$[0-9]+"))</f>
        <v/>
      </c>
      <c r="AO13" s="7" t="str">
        <f t="array" aca="1" ref="AO13" ca="1">IFERROR(IF(OR('Raw Data'!AO13="",LEN(TRIM('Raw Data'!AO13))=0),"",IF(AND(ISNUMBER('Raw Data'!AO13), IFERROR('Raw Data'!AO13 = ROUND('Raw Data'!AO13, 2),FALSE)),"",_xlfn.REGEXEXTRACT(CELL("address",AO13), "\$([A-Z]+)\$[0-9]+"))),_xlfn.REGEXEXTRACT(CELL("address",AO13), "\$([A-Z]+)\$[0-9]+"))</f>
        <v/>
      </c>
      <c r="AP13" s="7" t="str">
        <f t="array" aca="1" ref="AP13" ca="1">IFERROR(IF(OR('Raw Data'!AP13="",LEN(TRIM('Raw Data'!AP13))=0),"",IF(AND(ISNUMBER('Raw Data'!AP13), IFERROR('Raw Data'!AP13 = ROUND('Raw Data'!AP13, 2),FALSE)),"",_xlfn.REGEXEXTRACT(CELL("address",AP13), "\$([A-Z]+)\$[0-9]+"))),_xlfn.REGEXEXTRACT(CELL("address",AP13), "\$([A-Z]+)\$[0-9]+"))</f>
        <v/>
      </c>
    </row>
    <row r="14" spans="2:42" x14ac:dyDescent="0.25">
      <c r="B14" s="7" t="str">
        <f t="array" aca="1" ref="B14" ca="1">IFERROR(IF(OR('Raw Data'!B14="",LEN(TRIM('Raw Data'!B14))=0),"",IF(AND(LEN('Raw Data'!B14) &lt;= 255,LEN('Raw Data'!B14)&gt; 0),"",_xlfn.REGEXEXTRACT(CELL("address",'Raw Data'!B14),"\$([A-Z]+)\$[0-9]+"))),_xlfn.REGEXEXTRACT(CELL("address",'Raw Data'!B14),"\$([A-Z]+)\$[0-9]+"))</f>
        <v/>
      </c>
      <c r="C14" s="7" t="str">
        <f t="array" aca="1" ref="C14" ca="1">IFERROR(IF(OR('Raw Data'!C14="",LEN(TRIM('Raw Data'!C14))=0),"",IF(AND(LEN('Raw Data'!C14) &lt;= 50,LEN('Raw Data'!C14)&gt; 0),"",_xlfn.REGEXEXTRACT(CELL("address",'Raw Data'!C14),"\$([A-Z]+)\$[0-9]+"))),_xlfn.REGEXEXTRACT(CELL("address",'Raw Data'!C14),"\$([A-Z]+)\$[0-9]+"))</f>
        <v/>
      </c>
      <c r="D14" s="7" t="str">
        <f t="array" aca="1" ref="D14" ca="1">IFERROR(IF(OR('Raw Data'!D14="",LEN(TRIM('Raw Data'!D14))=0),"",IF(AND(LEN('Raw Data'!D14) &lt;= 500,LEN('Raw Data'!D14)&gt; 0),"",_xlfn.REGEXEXTRACT(CELL("address",'Raw Data'!D14),"\$([A-Z]+)\$[0-9]+"))),_xlfn.REGEXEXTRACT(CELL("address",'Raw Data'!D14),"\$([A-Z]+)\$[0-9]+"))</f>
        <v/>
      </c>
      <c r="E14" s="7" t="str">
        <f t="array" aca="1" ref="E14" ca="1">IFERROR(IF(OR('Raw Data'!E14="",LEN(TRIM('Raw Data'!E14))=0),"",IF(AND(LEN('Raw Data'!E14) &lt;= 50,LEN('Raw Data'!E14)&gt; 0),"",_xlfn.REGEXEXTRACT(CELL("address",'Raw Data'!E14),"\$([A-Z]+)\$[0-9]+"))),_xlfn.REGEXEXTRACT(CELL("address",'Raw Data'!E14),"\$([A-Z]+)\$[0-9]+"))</f>
        <v/>
      </c>
      <c r="F14" s="7" t="str">
        <f t="array" aca="1" ref="F14" ca="1">IFERROR(IF(OR('Raw Data'!F14="",LEN(TRIM('Raw Data'!F14))=0),"",IF(AND(LEN('Raw Data'!F14) &lt;= 50,LEN('Raw Data'!F14)&gt; 0),"",_xlfn.REGEXEXTRACT(CELL("address",'Raw Data'!F14),"\$([A-Z]+)\$[0-9]+"))),_xlfn.REGEXEXTRACT(CELL("address",'Raw Data'!F14),"\$([A-Z]+)\$[0-9]+"))</f>
        <v/>
      </c>
      <c r="G14" s="7" t="str">
        <f t="array" aca="1" ref="G14" ca="1">IFERROR(IF(OR('Raw Data'!G14="",LEN(TRIM('Raw Data'!G14))=0),"",IF(AND(LEN('Raw Data'!G14) &lt;= 50,LEN('Raw Data'!G14)&gt; 0),"",_xlfn.REGEXEXTRACT(CELL("address",'Raw Data'!G14),"\$([A-Z]+)\$[0-9]+"))),_xlfn.REGEXEXTRACT(CELL("address",'Raw Data'!G14),"\$([A-Z]+)\$[0-9]+"))</f>
        <v/>
      </c>
      <c r="H14" s="7" t="str">
        <f t="array" aca="1" ref="H14" ca="1">IFERROR(IF(OR('Raw Data'!H14="",LEN(TRIM('Raw Data'!H14))=0),"",IF(AND(LEN('Raw Data'!H14) &lt;= 50,LEN('Raw Data'!H14)&gt; 0),"",_xlfn.REGEXEXTRACT(CELL("address",'Raw Data'!H14),"\$([A-Z]+)\$[0-9]+"))),_xlfn.REGEXEXTRACT(CELL("address",'Raw Data'!H14),"\$([A-Z]+)\$[0-9]+"))</f>
        <v/>
      </c>
      <c r="I14" s="7" t="str">
        <f t="array" aca="1" ref="I14" ca="1">IFERROR(IF(OR('Raw Data'!I14="",LEN(TRIM('Raw Data'!I14))=0),"",IF(AND(LEN('Raw Data'!I14) &lt;= 50,LEN('Raw Data'!I14)&gt; 0),"",_xlfn.REGEXEXTRACT(CELL("address",'Raw Data'!I14),"\$([A-Z]+)\$[0-9]+"))),_xlfn.REGEXEXTRACT(CELL("address",'Raw Data'!I14),"\$([A-Z]+)\$[0-9]+"))</f>
        <v/>
      </c>
      <c r="J14" s="7" t="str">
        <f t="array" aca="1" ref="J14" ca="1">IFERROR(IF(OR('Raw Data'!J14="",LEN(TRIM('Raw Data'!J14))=0),"",IF(AND(ISNUMBER('Raw Data'!J14), IFERROR('Raw Data'!J14 = ROUND('Raw Data'!J14, 2),FALSE)),"",_xlfn.REGEXEXTRACT(CELL("address",J14), "\$([A-Z]+)\$[0-9]+"))),_xlfn.REGEXEXTRACT(CELL("address",J14), "\$([A-Z]+)\$[0-9]+"))</f>
        <v/>
      </c>
      <c r="K14" s="7" t="str">
        <f t="array" aca="1" ref="K14" ca="1">IFERROR(IF(OR('Raw Data'!K14="",LEN(TRIM('Raw Data'!K14))=0),"",IF(AND(ISNUMBER('Raw Data'!K14), IFERROR('Raw Data'!K14 = ROUND('Raw Data'!K14, 2),FALSE)),"",_xlfn.REGEXEXTRACT(CELL("address",K14), "\$([A-Z]+)\$[0-9]+"))),_xlfn.REGEXEXTRACT(CELL("address",K14), "\$([A-Z]+)\$[0-9]+"))</f>
        <v/>
      </c>
      <c r="L14" s="7" t="str">
        <f t="array" aca="1" ref="L14" ca="1">IFERROR(IF(OR('Raw Data'!L14="",LEN(TRIM('Raw Data'!L14))=0),"",IF(AND(ISNUMBER('Raw Data'!L14), IFERROR('Raw Data'!L14 = ROUND('Raw Data'!L14, 2),FALSE)),"",_xlfn.REGEXEXTRACT(CELL("address",L14), "\$([A-Z]+)\$[0-9]+"))),_xlfn.REGEXEXTRACT(CELL("address",L14), "\$([A-Z]+)\$[0-9]+"))</f>
        <v/>
      </c>
      <c r="M14" s="7" t="str">
        <f t="array" aca="1" ref="M14" ca="1">IFERROR(IF(OR('Raw Data'!M14="",LEN(TRIM('Raw Data'!M14))=0),"",IF(AND(ISNUMBER('Raw Data'!M14), IFERROR('Raw Data'!M14 = ROUND('Raw Data'!M14, 2),FALSE)),"",_xlfn.REGEXEXTRACT(CELL("address",M14), "\$([A-Z]+)\$[0-9]+"))),_xlfn.REGEXEXTRACT(CELL("address",M14), "\$([A-Z]+)\$[0-9]+"))</f>
        <v/>
      </c>
      <c r="N14" s="7" t="str">
        <f t="array" aca="1" ref="N14" ca="1">IFERROR(IF(OR('Raw Data'!N14="",LEN(TRIM('Raw Data'!N14))=0),"",IF(AND(ISNUMBER('Raw Data'!N14), IFERROR('Raw Data'!N14 = ROUND('Raw Data'!N14, 2),FALSE)),"",_xlfn.REGEXEXTRACT(CELL("address",N14), "\$([A-Z]+)\$[0-9]+"))),_xlfn.REGEXEXTRACT(CELL("address",N14), "\$([A-Z]+)\$[0-9]+"))</f>
        <v/>
      </c>
      <c r="O14" s="7" t="str">
        <f t="array" aca="1" ref="O14" ca="1">IFERROR(IF(OR('Raw Data'!O14="",LEN(TRIM('Raw Data'!O14))=0),"",IF(AND(ISNUMBER('Raw Data'!O14),'Raw Data'!O14&gt;=Configuration!$D$2),"",_xlfn.REGEXEXTRACT(CELL("address",'Raw Data'!O14),"\$([A-Z]+)\$[0-9]+"))),_xlfn.REGEXEXTRACT(CELL("address",O14), "\$([A-Z]+)\$[0-9]+"))</f>
        <v/>
      </c>
      <c r="P14" s="7" t="str">
        <f t="array" aca="1" ref="P14" ca="1">IFERROR(IF(OR('Raw Data'!P14="",LEN(TRIM('Raw Data'!P14))=0),"",IF(AND(ISNUMBER('Raw Data'!P14), IFERROR('Raw Data'!P14 = ROUND('Raw Data'!P14, 2),FALSE)),"",_xlfn.REGEXEXTRACT(CELL("address",P14), "\$([A-Z]+)\$[0-9]+"))),_xlfn.REGEXEXTRACT(CELL("address",P14), "\$([A-Z]+)\$[0-9]+"))</f>
        <v/>
      </c>
      <c r="Q14" s="7" t="str">
        <f t="array" aca="1" ref="Q14" ca="1">IFERROR(IF(OR('Raw Data'!Q14="",LEN(TRIM('Raw Data'!Q14))=0),"",IF(AND(ISNUMBER('Raw Data'!Q14), IFERROR('Raw Data'!Q14 = ROUND('Raw Data'!Q14, 2),FALSE)),"",_xlfn.REGEXEXTRACT(CELL("address",Q14), "\$([A-Z]+)\$[0-9]+"))),_xlfn.REGEXEXTRACT(CELL("address",Q14), "\$([A-Z]+)\$[0-9]+"))</f>
        <v/>
      </c>
      <c r="R14" s="7" t="str">
        <f t="array" aca="1" ref="R14" ca="1">IFERROR(IF(OR('Raw Data'!R14="",LEN(TRIM('Raw Data'!R14))=0),"",IF(AND(LEN('Raw Data'!R14) &lt;= 50,LEN('Raw Data'!R14)&gt; 0),"",_xlfn.REGEXEXTRACT(CELL("address",'Raw Data'!R14),"\$([A-Z]+)\$[0-9]+"))),_xlfn.REGEXEXTRACT(CELL("address",'Raw Data'!R14),"\$([A-Z]+)\$[0-9]+"))</f>
        <v/>
      </c>
      <c r="S14" s="7" t="str">
        <f t="array" aca="1" ref="S14" ca="1">IFERROR(IF(OR('Raw Data'!S14="",LEN(TRIM('Raw Data'!S14))=0),"",IF(AND(LEN('Raw Data'!S14) &lt;= 50,LEN('Raw Data'!S14)&gt; 0),"",_xlfn.REGEXEXTRACT(CELL("address",'Raw Data'!S14),"\$([A-Z]+)\$[0-9]+"))),_xlfn.REGEXEXTRACT(CELL("address",'Raw Data'!S14),"\$([A-Z]+)\$[0-9]+"))</f>
        <v/>
      </c>
      <c r="T14" s="7" t="str">
        <f t="array" aca="1" ref="T14" ca="1">IFERROR(IF(OR('Raw Data'!T14="",LEN(TRIM('Raw Data'!T14))=0),"",IF(AND(ISNUMBER('Raw Data'!T14), IFERROR('Raw Data'!T14 = ROUND('Raw Data'!T14, 2),FALSE)),"",_xlfn.REGEXEXTRACT(CELL("address",T14), "\$([A-Z]+)\$[0-9]+"))),_xlfn.REGEXEXTRACT(CELL("address",T14), "\$([A-Z]+)\$[0-9]+"))</f>
        <v/>
      </c>
      <c r="U14" s="7" t="str">
        <f t="array" aca="1" ref="U14" ca="1">IFERROR(IF(OR('Raw Data'!U14="",LEN(TRIM('Raw Data'!U14))=0),"",IF(AND(ISNUMBER('Raw Data'!U14), IFERROR('Raw Data'!U14 = ROUND('Raw Data'!U14, 2),FALSE)),"",_xlfn.REGEXEXTRACT(CELL("address",U14), "\$([A-Z]+)\$[0-9]+"))),_xlfn.REGEXEXTRACT(CELL("address",U14), "\$([A-Z]+)\$[0-9]+"))</f>
        <v/>
      </c>
      <c r="V14" s="7" t="str">
        <f t="array" aca="1" ref="V14" ca="1">IFERROR(IF(OR('Raw Data'!V14="",LEN(TRIM('Raw Data'!V14))=0),"",IF(AND(ISNUMBER('Raw Data'!V14), IFERROR('Raw Data'!V14 = ROUND('Raw Data'!V14, 2),FALSE)),"",_xlfn.REGEXEXTRACT(CELL("address",V14), "\$([A-Z]+)\$[0-9]+"))),_xlfn.REGEXEXTRACT(CELL("address",V14), "\$([A-Z]+)\$[0-9]+"))</f>
        <v/>
      </c>
      <c r="W14" s="7" t="str">
        <f t="array" aca="1" ref="W14" ca="1">IFERROR(IF(OR('Raw Data'!W14="",LEN(TRIM('Raw Data'!W14))=0),"",IF(AND(ISNUMBER('Raw Data'!W14), IFERROR('Raw Data'!W14 = ROUND('Raw Data'!W14, 2),FALSE)),"",_xlfn.REGEXEXTRACT(CELL("address",W14), "\$([A-Z]+)\$[0-9]+"))),_xlfn.REGEXEXTRACT(CELL("address",W14), "\$([A-Z]+)\$[0-9]+"))</f>
        <v/>
      </c>
      <c r="X14" s="7" t="str">
        <f t="array" aca="1" ref="X14" ca="1">IFERROR(IF(OR('Raw Data'!X14="",LEN(TRIM('Raw Data'!X14))=0),"",IF(AND(ISNUMBER('Raw Data'!X14), IFERROR('Raw Data'!X14 = ROUND('Raw Data'!X14, 2),FALSE)),"",_xlfn.REGEXEXTRACT(CELL("address",X14), "\$([A-Z]+)\$[0-9]+"))),_xlfn.REGEXEXTRACT(CELL("address",X14), "\$([A-Z]+)\$[0-9]+"))</f>
        <v/>
      </c>
      <c r="Y14" s="7" t="str">
        <f t="array" aca="1" ref="Y14" ca="1">IFERROR(IF(OR('Raw Data'!Y14="",LEN(TRIM('Raw Data'!Y14))=0),"",IF(AND(ISNUMBER('Raw Data'!Y14), IFERROR('Raw Data'!Y14 = ROUND('Raw Data'!Y14, 2),FALSE)),"",_xlfn.REGEXEXTRACT(CELL("address",Y14), "\$([A-Z]+)\$[0-9]+"))),_xlfn.REGEXEXTRACT(CELL("address",Y14), "\$([A-Z]+)\$[0-9]+"))</f>
        <v/>
      </c>
      <c r="Z14" s="7" t="str">
        <f t="array" aca="1" ref="Z14" ca="1">IFERROR(IF(OR('Raw Data'!Z14="",LEN(TRIM('Raw Data'!Z14))=0),"",IF(AND(ISNUMBER('Raw Data'!Z14), IFERROR('Raw Data'!Z14 = ROUND('Raw Data'!Z14, 2),FALSE)),"",_xlfn.REGEXEXTRACT(CELL("address",Z14), "\$([A-Z]+)\$[0-9]+"))),_xlfn.REGEXEXTRACT(CELL("address",Z14), "\$([A-Z]+)\$[0-9]+"))</f>
        <v/>
      </c>
      <c r="AA14" s="7" t="str">
        <f t="array" aca="1" ref="AA14" ca="1">IFERROR(IF(OR('Raw Data'!AA14="",LEN(TRIM('Raw Data'!AA14))=0),"",IF(AND(ISNUMBER('Raw Data'!AA14), IFERROR('Raw Data'!AA14 = ROUND('Raw Data'!AA14, 2),FALSE)),"",_xlfn.REGEXEXTRACT(CELL("address",AA14), "\$([A-Z]+)\$[0-9]+"))),_xlfn.REGEXEXTRACT(CELL("address",AA14), "\$([A-Z]+)\$[0-9]+"))</f>
        <v/>
      </c>
      <c r="AB14" s="7" t="str">
        <f t="array" aca="1" ref="AB14" ca="1">IFERROR(IF(OR('Raw Data'!AB14="",LEN(TRIM('Raw Data'!AB14))=0),"",IF(AND(ISNUMBER('Raw Data'!AB14), IFERROR('Raw Data'!AB14 = ROUND('Raw Data'!AB14, 2),FALSE)),"",_xlfn.REGEXEXTRACT(CELL("address",AB14), "\$([A-Z]+)\$[0-9]+"))),_xlfn.REGEXEXTRACT(CELL("address",AB14), "\$([A-Z]+)\$[0-9]+"))</f>
        <v/>
      </c>
      <c r="AC14" s="7" t="str">
        <f t="array" aca="1" ref="AC14" ca="1">IFERROR(IF(OR('Raw Data'!AC14="",LEN(TRIM('Raw Data'!AC14))=0),"",IF(AND(ISNUMBER('Raw Data'!AC14), IFERROR('Raw Data'!AC14 = ROUND('Raw Data'!AC14, 2),FALSE)),"",_xlfn.REGEXEXTRACT(CELL("address",AC14), "\$([A-Z]+)\$[0-9]+"))),_xlfn.REGEXEXTRACT(CELL("address",AC14), "\$([A-Z]+)\$[0-9]+"))</f>
        <v/>
      </c>
      <c r="AD14" s="7" t="str">
        <f t="array" aca="1" ref="AD14" ca="1">IFERROR(IF(OR('Raw Data'!AD14="",LEN(TRIM('Raw Data'!AD14))=0),"",IF(AND(ISNUMBER('Raw Data'!AD14), IFERROR('Raw Data'!AD14 = ROUND('Raw Data'!AD14, 2),FALSE)),"",_xlfn.REGEXEXTRACT(CELL("address",AD14), "\$([A-Z]+)\$[0-9]+"))),_xlfn.REGEXEXTRACT(CELL("address",AD14), "\$([A-Z]+)\$[0-9]+"))</f>
        <v/>
      </c>
      <c r="AE14" s="7" t="str">
        <f t="array" aca="1" ref="AE14" ca="1">IFERROR(IF(OR('Raw Data'!AE14="",LEN(TRIM('Raw Data'!AE14))=0),"",IF(AND(ISNUMBER('Raw Data'!AE14), IFERROR('Raw Data'!AE14 = ROUND('Raw Data'!AE14, 2),FALSE)),"",_xlfn.REGEXEXTRACT(CELL("address",AE14), "\$([A-Z]+)\$[0-9]+"))),_xlfn.REGEXEXTRACT(CELL("address",AE14), "\$([A-Z]+)\$[0-9]+"))</f>
        <v/>
      </c>
      <c r="AF14" s="7" t="str">
        <f t="array" aca="1" ref="AF14" ca="1">IFERROR(IF(OR('Raw Data'!AF14="",LEN(TRIM('Raw Data'!AF14))=0),"",IF(AND(ISNUMBER('Raw Data'!AF14), IFERROR('Raw Data'!AF14 = ROUND('Raw Data'!AF14, 2),FALSE)),"",_xlfn.REGEXEXTRACT(CELL("address",AF14), "\$([A-Z]+)\$[0-9]+"))),_xlfn.REGEXEXTRACT(CELL("address",AF14), "\$([A-Z]+)\$[0-9]+"))</f>
        <v/>
      </c>
      <c r="AG14" s="7" t="str">
        <f t="array" aca="1" ref="AG14" ca="1">IFERROR(IF(OR('Raw Data'!AG14="",LEN(TRIM('Raw Data'!AG14))=0),"",IF(AND(ISNUMBER('Raw Data'!AG14), IFERROR('Raw Data'!AG14 = ROUND('Raw Data'!AG14, 2),FALSE)),"",_xlfn.REGEXEXTRACT(CELL("address",AG14), "\$([A-Z]+)\$[0-9]+"))),_xlfn.REGEXEXTRACT(CELL("address",AG14), "\$([A-Z]+)\$[0-9]+"))</f>
        <v/>
      </c>
      <c r="AH14" s="7" t="str">
        <f t="array" aca="1" ref="AH14" ca="1">IFERROR(IF(OR('Raw Data'!AH14="",LEN(TRIM('Raw Data'!AH14))=0),"",IF(AND(ISNUMBER('Raw Data'!AH14), IFERROR('Raw Data'!AH14 = ROUND('Raw Data'!AH14, 2),FALSE)),"",_xlfn.REGEXEXTRACT(CELL("address",AH14), "\$([A-Z]+)\$[0-9]+"))),_xlfn.REGEXEXTRACT(CELL("address",AH14), "\$([A-Z]+)\$[0-9]+"))</f>
        <v/>
      </c>
      <c r="AI14" s="7" t="str">
        <f t="array" aca="1" ref="AI14" ca="1">IFERROR(IF(OR('Raw Data'!AI14="",LEN(TRIM('Raw Data'!AI14))=0),"",IF(AND(ISNUMBER('Raw Data'!AI14), IFERROR('Raw Data'!AI14 = ROUND('Raw Data'!AI14, 2),FALSE)),"",_xlfn.REGEXEXTRACT(CELL("address",AI14), "\$([A-Z]+)\$[0-9]+"))),_xlfn.REGEXEXTRACT(CELL("address",AI14), "\$([A-Z]+)\$[0-9]+"))</f>
        <v/>
      </c>
      <c r="AJ14" s="7" t="str">
        <f t="array" aca="1" ref="AJ14" ca="1">IFERROR(IF(OR('Raw Data'!AJ14="",LEN(TRIM('Raw Data'!AJ14))=0),"",IF(AND(ISNUMBER('Raw Data'!AJ14), IFERROR('Raw Data'!AJ14 = ROUND('Raw Data'!AJ14, 4),FALSE)),"",_xlfn.REGEXEXTRACT(CELL("address",AJ14), "\$([A-Z]+)\$[0-9]+"))),_xlfn.REGEXEXTRACT(CELL("address",AJ14), "\$([A-Z]+)\$[0-9]+"))</f>
        <v/>
      </c>
      <c r="AK14" s="7" t="str">
        <f t="array" aca="1" ref="AK14" ca="1">IFERROR(IF(OR('Raw Data'!AK14="",LEN(TRIM('Raw Data'!AK14))=0),"",IF(AND(ISNUMBER('Raw Data'!AK14), IFERROR('Raw Data'!AK14 = ROUND('Raw Data'!AK14, 2),FALSE)),"",_xlfn.REGEXEXTRACT(CELL("address",AK14), "\$([A-Z]+)\$[0-9]+"))),_xlfn.REGEXEXTRACT(CELL("address",AK14), "\$([A-Z]+)\$[0-9]+"))</f>
        <v/>
      </c>
      <c r="AL14" s="7" t="str">
        <f t="array" aca="1" ref="AL14" ca="1">IFERROR(IF(OR('Raw Data'!AL14="",LEN(TRIM('Raw Data'!AL14))=0),"",IF(AND(ISNUMBER('Raw Data'!AL14), IFERROR('Raw Data'!AL14 = ROUND('Raw Data'!AL14, 2),FALSE)),"",_xlfn.REGEXEXTRACT(CELL("address",AL14), "\$([A-Z]+)\$[0-9]+"))),_xlfn.REGEXEXTRACT(CELL("address",AL14), "\$([A-Z]+)\$[0-9]+"))</f>
        <v/>
      </c>
      <c r="AM14" s="7" t="str">
        <f t="array" aca="1" ref="AM14" ca="1">IFERROR(IF(OR('Raw Data'!AM14="",LEN(TRIM('Raw Data'!AM14))=0),"",IF(AND(ISNUMBER('Raw Data'!AM14), IFERROR('Raw Data'!AM14 = ROUND('Raw Data'!AM14, 2),FALSE)),"",_xlfn.REGEXEXTRACT(CELL("address",AM14), "\$([A-Z]+)\$[0-9]+"))),_xlfn.REGEXEXTRACT(CELL("address",AM14), "\$([A-Z]+)\$[0-9]+"))</f>
        <v/>
      </c>
      <c r="AN14" s="7" t="str">
        <f t="array" aca="1" ref="AN14" ca="1">IFERROR(IF(OR('Raw Data'!AN14="",LEN(TRIM('Raw Data'!AN14))=0),"",IF(AND(ISNUMBER('Raw Data'!AN14), IFERROR('Raw Data'!AN14 = ROUND('Raw Data'!AN14, 2),FALSE)),"",_xlfn.REGEXEXTRACT(CELL("address",AN14), "\$([A-Z]+)\$[0-9]+"))),_xlfn.REGEXEXTRACT(CELL("address",AN14), "\$([A-Z]+)\$[0-9]+"))</f>
        <v/>
      </c>
      <c r="AO14" s="7" t="str">
        <f t="array" aca="1" ref="AO14" ca="1">IFERROR(IF(OR('Raw Data'!AO14="",LEN(TRIM('Raw Data'!AO14))=0),"",IF(AND(ISNUMBER('Raw Data'!AO14), IFERROR('Raw Data'!AO14 = ROUND('Raw Data'!AO14, 2),FALSE)),"",_xlfn.REGEXEXTRACT(CELL("address",AO14), "\$([A-Z]+)\$[0-9]+"))),_xlfn.REGEXEXTRACT(CELL("address",AO14), "\$([A-Z]+)\$[0-9]+"))</f>
        <v/>
      </c>
      <c r="AP14" s="7" t="str">
        <f t="array" aca="1" ref="AP14" ca="1">IFERROR(IF(OR('Raw Data'!AP14="",LEN(TRIM('Raw Data'!AP14))=0),"",IF(AND(ISNUMBER('Raw Data'!AP14), IFERROR('Raw Data'!AP14 = ROUND('Raw Data'!AP14, 2),FALSE)),"",_xlfn.REGEXEXTRACT(CELL("address",AP14), "\$([A-Z]+)\$[0-9]+"))),_xlfn.REGEXEXTRACT(CELL("address",AP14), "\$([A-Z]+)\$[0-9]+"))</f>
        <v/>
      </c>
    </row>
    <row r="15" spans="2:42" x14ac:dyDescent="0.25">
      <c r="B15" s="7" t="str">
        <f t="array" aca="1" ref="B15" ca="1">IFERROR(IF(OR('Raw Data'!B15="",LEN(TRIM('Raw Data'!B15))=0),"",IF(AND(LEN('Raw Data'!B15) &lt;= 255,LEN('Raw Data'!B15)&gt; 0),"",_xlfn.REGEXEXTRACT(CELL("address",'Raw Data'!B15),"\$([A-Z]+)\$[0-9]+"))),_xlfn.REGEXEXTRACT(CELL("address",'Raw Data'!B15),"\$([A-Z]+)\$[0-9]+"))</f>
        <v/>
      </c>
      <c r="C15" s="7" t="str">
        <f t="array" aca="1" ref="C15" ca="1">IFERROR(IF(OR('Raw Data'!C15="",LEN(TRIM('Raw Data'!C15))=0),"",IF(AND(LEN('Raw Data'!C15) &lt;= 50,LEN('Raw Data'!C15)&gt; 0),"",_xlfn.REGEXEXTRACT(CELL("address",'Raw Data'!C15),"\$([A-Z]+)\$[0-9]+"))),_xlfn.REGEXEXTRACT(CELL("address",'Raw Data'!C15),"\$([A-Z]+)\$[0-9]+"))</f>
        <v/>
      </c>
      <c r="D15" s="7" t="str">
        <f t="array" aca="1" ref="D15" ca="1">IFERROR(IF(OR('Raw Data'!D15="",LEN(TRIM('Raw Data'!D15))=0),"",IF(AND(LEN('Raw Data'!D15) &lt;= 500,LEN('Raw Data'!D15)&gt; 0),"",_xlfn.REGEXEXTRACT(CELL("address",'Raw Data'!D15),"\$([A-Z]+)\$[0-9]+"))),_xlfn.REGEXEXTRACT(CELL("address",'Raw Data'!D15),"\$([A-Z]+)\$[0-9]+"))</f>
        <v/>
      </c>
      <c r="E15" s="7" t="str">
        <f t="array" aca="1" ref="E15" ca="1">IFERROR(IF(OR('Raw Data'!E15="",LEN(TRIM('Raw Data'!E15))=0),"",IF(AND(LEN('Raw Data'!E15) &lt;= 50,LEN('Raw Data'!E15)&gt; 0),"",_xlfn.REGEXEXTRACT(CELL("address",'Raw Data'!E15),"\$([A-Z]+)\$[0-9]+"))),_xlfn.REGEXEXTRACT(CELL("address",'Raw Data'!E15),"\$([A-Z]+)\$[0-9]+"))</f>
        <v/>
      </c>
      <c r="F15" s="7" t="str">
        <f t="array" aca="1" ref="F15" ca="1">IFERROR(IF(OR('Raw Data'!F15="",LEN(TRIM('Raw Data'!F15))=0),"",IF(AND(LEN('Raw Data'!F15) &lt;= 50,LEN('Raw Data'!F15)&gt; 0),"",_xlfn.REGEXEXTRACT(CELL("address",'Raw Data'!F15),"\$([A-Z]+)\$[0-9]+"))),_xlfn.REGEXEXTRACT(CELL("address",'Raw Data'!F15),"\$([A-Z]+)\$[0-9]+"))</f>
        <v/>
      </c>
      <c r="G15" s="7" t="str">
        <f t="array" aca="1" ref="G15" ca="1">IFERROR(IF(OR('Raw Data'!G15="",LEN(TRIM('Raw Data'!G15))=0),"",IF(AND(LEN('Raw Data'!G15) &lt;= 50,LEN('Raw Data'!G15)&gt; 0),"",_xlfn.REGEXEXTRACT(CELL("address",'Raw Data'!G15),"\$([A-Z]+)\$[0-9]+"))),_xlfn.REGEXEXTRACT(CELL("address",'Raw Data'!G15),"\$([A-Z]+)\$[0-9]+"))</f>
        <v/>
      </c>
      <c r="H15" s="7" t="str">
        <f t="array" aca="1" ref="H15" ca="1">IFERROR(IF(OR('Raw Data'!H15="",LEN(TRIM('Raw Data'!H15))=0),"",IF(AND(LEN('Raw Data'!H15) &lt;= 50,LEN('Raw Data'!H15)&gt; 0),"",_xlfn.REGEXEXTRACT(CELL("address",'Raw Data'!H15),"\$([A-Z]+)\$[0-9]+"))),_xlfn.REGEXEXTRACT(CELL("address",'Raw Data'!H15),"\$([A-Z]+)\$[0-9]+"))</f>
        <v/>
      </c>
      <c r="I15" s="7" t="str">
        <f t="array" aca="1" ref="I15" ca="1">IFERROR(IF(OR('Raw Data'!I15="",LEN(TRIM('Raw Data'!I15))=0),"",IF(AND(LEN('Raw Data'!I15) &lt;= 50,LEN('Raw Data'!I15)&gt; 0),"",_xlfn.REGEXEXTRACT(CELL("address",'Raw Data'!I15),"\$([A-Z]+)\$[0-9]+"))),_xlfn.REGEXEXTRACT(CELL("address",'Raw Data'!I15),"\$([A-Z]+)\$[0-9]+"))</f>
        <v/>
      </c>
      <c r="J15" s="7" t="str">
        <f t="array" aca="1" ref="J15" ca="1">IFERROR(IF(OR('Raw Data'!J15="",LEN(TRIM('Raw Data'!J15))=0),"",IF(AND(ISNUMBER('Raw Data'!J15), IFERROR('Raw Data'!J15 = ROUND('Raw Data'!J15, 2),FALSE)),"",_xlfn.REGEXEXTRACT(CELL("address",J15), "\$([A-Z]+)\$[0-9]+"))),_xlfn.REGEXEXTRACT(CELL("address",J15), "\$([A-Z]+)\$[0-9]+"))</f>
        <v/>
      </c>
      <c r="K15" s="7" t="str">
        <f t="array" aca="1" ref="K15" ca="1">IFERROR(IF(OR('Raw Data'!K15="",LEN(TRIM('Raw Data'!K15))=0),"",IF(AND(ISNUMBER('Raw Data'!K15), IFERROR('Raw Data'!K15 = ROUND('Raw Data'!K15, 2),FALSE)),"",_xlfn.REGEXEXTRACT(CELL("address",K15), "\$([A-Z]+)\$[0-9]+"))),_xlfn.REGEXEXTRACT(CELL("address",K15), "\$([A-Z]+)\$[0-9]+"))</f>
        <v/>
      </c>
      <c r="L15" s="7" t="str">
        <f t="array" aca="1" ref="L15" ca="1">IFERROR(IF(OR('Raw Data'!L15="",LEN(TRIM('Raw Data'!L15))=0),"",IF(AND(ISNUMBER('Raw Data'!L15), IFERROR('Raw Data'!L15 = ROUND('Raw Data'!L15, 2),FALSE)),"",_xlfn.REGEXEXTRACT(CELL("address",L15), "\$([A-Z]+)\$[0-9]+"))),_xlfn.REGEXEXTRACT(CELL("address",L15), "\$([A-Z]+)\$[0-9]+"))</f>
        <v/>
      </c>
      <c r="M15" s="7" t="str">
        <f t="array" aca="1" ref="M15" ca="1">IFERROR(IF(OR('Raw Data'!M15="",LEN(TRIM('Raw Data'!M15))=0),"",IF(AND(ISNUMBER('Raw Data'!M15), IFERROR('Raw Data'!M15 = ROUND('Raw Data'!M15, 2),FALSE)),"",_xlfn.REGEXEXTRACT(CELL("address",M15), "\$([A-Z]+)\$[0-9]+"))),_xlfn.REGEXEXTRACT(CELL("address",M15), "\$([A-Z]+)\$[0-9]+"))</f>
        <v/>
      </c>
      <c r="N15" s="7" t="str">
        <f t="array" aca="1" ref="N15" ca="1">IFERROR(IF(OR('Raw Data'!N15="",LEN(TRIM('Raw Data'!N15))=0),"",IF(AND(ISNUMBER('Raw Data'!N15), IFERROR('Raw Data'!N15 = ROUND('Raw Data'!N15, 2),FALSE)),"",_xlfn.REGEXEXTRACT(CELL("address",N15), "\$([A-Z]+)\$[0-9]+"))),_xlfn.REGEXEXTRACT(CELL("address",N15), "\$([A-Z]+)\$[0-9]+"))</f>
        <v/>
      </c>
      <c r="O15" s="7" t="str">
        <f t="array" aca="1" ref="O15" ca="1">IFERROR(IF(OR('Raw Data'!O15="",LEN(TRIM('Raw Data'!O15))=0),"",IF(AND(ISNUMBER('Raw Data'!O15),'Raw Data'!O15&gt;=Configuration!$D$2),"",_xlfn.REGEXEXTRACT(CELL("address",'Raw Data'!O15),"\$([A-Z]+)\$[0-9]+"))),_xlfn.REGEXEXTRACT(CELL("address",O15), "\$([A-Z]+)\$[0-9]+"))</f>
        <v/>
      </c>
      <c r="P15" s="7" t="str">
        <f t="array" aca="1" ref="P15" ca="1">IFERROR(IF(OR('Raw Data'!P15="",LEN(TRIM('Raw Data'!P15))=0),"",IF(AND(ISNUMBER('Raw Data'!P15), IFERROR('Raw Data'!P15 = ROUND('Raw Data'!P15, 2),FALSE)),"",_xlfn.REGEXEXTRACT(CELL("address",P15), "\$([A-Z]+)\$[0-9]+"))),_xlfn.REGEXEXTRACT(CELL("address",P15), "\$([A-Z]+)\$[0-9]+"))</f>
        <v/>
      </c>
      <c r="Q15" s="7" t="str">
        <f t="array" aca="1" ref="Q15" ca="1">IFERROR(IF(OR('Raw Data'!Q15="",LEN(TRIM('Raw Data'!Q15))=0),"",IF(AND(ISNUMBER('Raw Data'!Q15), IFERROR('Raw Data'!Q15 = ROUND('Raw Data'!Q15, 2),FALSE)),"",_xlfn.REGEXEXTRACT(CELL("address",Q15), "\$([A-Z]+)\$[0-9]+"))),_xlfn.REGEXEXTRACT(CELL("address",Q15), "\$([A-Z]+)\$[0-9]+"))</f>
        <v/>
      </c>
      <c r="R15" s="7" t="str">
        <f t="array" aca="1" ref="R15" ca="1">IFERROR(IF(OR('Raw Data'!R15="",LEN(TRIM('Raw Data'!R15))=0),"",IF(AND(LEN('Raw Data'!R15) &lt;= 50,LEN('Raw Data'!R15)&gt; 0),"",_xlfn.REGEXEXTRACT(CELL("address",'Raw Data'!R15),"\$([A-Z]+)\$[0-9]+"))),_xlfn.REGEXEXTRACT(CELL("address",'Raw Data'!R15),"\$([A-Z]+)\$[0-9]+"))</f>
        <v/>
      </c>
      <c r="S15" s="7" t="str">
        <f t="array" aca="1" ref="S15" ca="1">IFERROR(IF(OR('Raw Data'!S15="",LEN(TRIM('Raw Data'!S15))=0),"",IF(AND(LEN('Raw Data'!S15) &lt;= 50,LEN('Raw Data'!S15)&gt; 0),"",_xlfn.REGEXEXTRACT(CELL("address",'Raw Data'!S15),"\$([A-Z]+)\$[0-9]+"))),_xlfn.REGEXEXTRACT(CELL("address",'Raw Data'!S15),"\$([A-Z]+)\$[0-9]+"))</f>
        <v/>
      </c>
      <c r="T15" s="7" t="str">
        <f t="array" aca="1" ref="T15" ca="1">IFERROR(IF(OR('Raw Data'!T15="",LEN(TRIM('Raw Data'!T15))=0),"",IF(AND(ISNUMBER('Raw Data'!T15), IFERROR('Raw Data'!T15 = ROUND('Raw Data'!T15, 2),FALSE)),"",_xlfn.REGEXEXTRACT(CELL("address",T15), "\$([A-Z]+)\$[0-9]+"))),_xlfn.REGEXEXTRACT(CELL("address",T15), "\$([A-Z]+)\$[0-9]+"))</f>
        <v/>
      </c>
      <c r="U15" s="7" t="str">
        <f t="array" aca="1" ref="U15" ca="1">IFERROR(IF(OR('Raw Data'!U15="",LEN(TRIM('Raw Data'!U15))=0),"",IF(AND(ISNUMBER('Raw Data'!U15), IFERROR('Raw Data'!U15 = ROUND('Raw Data'!U15, 2),FALSE)),"",_xlfn.REGEXEXTRACT(CELL("address",U15), "\$([A-Z]+)\$[0-9]+"))),_xlfn.REGEXEXTRACT(CELL("address",U15), "\$([A-Z]+)\$[0-9]+"))</f>
        <v/>
      </c>
      <c r="V15" s="7" t="str">
        <f t="array" aca="1" ref="V15" ca="1">IFERROR(IF(OR('Raw Data'!V15="",LEN(TRIM('Raw Data'!V15))=0),"",IF(AND(ISNUMBER('Raw Data'!V15), IFERROR('Raw Data'!V15 = ROUND('Raw Data'!V15, 2),FALSE)),"",_xlfn.REGEXEXTRACT(CELL("address",V15), "\$([A-Z]+)\$[0-9]+"))),_xlfn.REGEXEXTRACT(CELL("address",V15), "\$([A-Z]+)\$[0-9]+"))</f>
        <v/>
      </c>
      <c r="W15" s="7" t="str">
        <f t="array" aca="1" ref="W15" ca="1">IFERROR(IF(OR('Raw Data'!W15="",LEN(TRIM('Raw Data'!W15))=0),"",IF(AND(ISNUMBER('Raw Data'!W15), IFERROR('Raw Data'!W15 = ROUND('Raw Data'!W15, 2),FALSE)),"",_xlfn.REGEXEXTRACT(CELL("address",W15), "\$([A-Z]+)\$[0-9]+"))),_xlfn.REGEXEXTRACT(CELL("address",W15), "\$([A-Z]+)\$[0-9]+"))</f>
        <v/>
      </c>
      <c r="X15" s="7" t="str">
        <f t="array" aca="1" ref="X15" ca="1">IFERROR(IF(OR('Raw Data'!X15="",LEN(TRIM('Raw Data'!X15))=0),"",IF(AND(ISNUMBER('Raw Data'!X15), IFERROR('Raw Data'!X15 = ROUND('Raw Data'!X15, 2),FALSE)),"",_xlfn.REGEXEXTRACT(CELL("address",X15), "\$([A-Z]+)\$[0-9]+"))),_xlfn.REGEXEXTRACT(CELL("address",X15), "\$([A-Z]+)\$[0-9]+"))</f>
        <v/>
      </c>
      <c r="Y15" s="7" t="str">
        <f t="array" aca="1" ref="Y15" ca="1">IFERROR(IF(OR('Raw Data'!Y15="",LEN(TRIM('Raw Data'!Y15))=0),"",IF(AND(ISNUMBER('Raw Data'!Y15), IFERROR('Raw Data'!Y15 = ROUND('Raw Data'!Y15, 2),FALSE)),"",_xlfn.REGEXEXTRACT(CELL("address",Y15), "\$([A-Z]+)\$[0-9]+"))),_xlfn.REGEXEXTRACT(CELL("address",Y15), "\$([A-Z]+)\$[0-9]+"))</f>
        <v/>
      </c>
      <c r="Z15" s="7" t="str">
        <f t="array" aca="1" ref="Z15" ca="1">IFERROR(IF(OR('Raw Data'!Z15="",LEN(TRIM('Raw Data'!Z15))=0),"",IF(AND(ISNUMBER('Raw Data'!Z15), IFERROR('Raw Data'!Z15 = ROUND('Raw Data'!Z15, 2),FALSE)),"",_xlfn.REGEXEXTRACT(CELL("address",Z15), "\$([A-Z]+)\$[0-9]+"))),_xlfn.REGEXEXTRACT(CELL("address",Z15), "\$([A-Z]+)\$[0-9]+"))</f>
        <v/>
      </c>
      <c r="AA15" s="7" t="str">
        <f t="array" aca="1" ref="AA15" ca="1">IFERROR(IF(OR('Raw Data'!AA15="",LEN(TRIM('Raw Data'!AA15))=0),"",IF(AND(ISNUMBER('Raw Data'!AA15), IFERROR('Raw Data'!AA15 = ROUND('Raw Data'!AA15, 2),FALSE)),"",_xlfn.REGEXEXTRACT(CELL("address",AA15), "\$([A-Z]+)\$[0-9]+"))),_xlfn.REGEXEXTRACT(CELL("address",AA15), "\$([A-Z]+)\$[0-9]+"))</f>
        <v/>
      </c>
      <c r="AB15" s="7" t="str">
        <f t="array" aca="1" ref="AB15" ca="1">IFERROR(IF(OR('Raw Data'!AB15="",LEN(TRIM('Raw Data'!AB15))=0),"",IF(AND(ISNUMBER('Raw Data'!AB15), IFERROR('Raw Data'!AB15 = ROUND('Raw Data'!AB15, 2),FALSE)),"",_xlfn.REGEXEXTRACT(CELL("address",AB15), "\$([A-Z]+)\$[0-9]+"))),_xlfn.REGEXEXTRACT(CELL("address",AB15), "\$([A-Z]+)\$[0-9]+"))</f>
        <v/>
      </c>
      <c r="AC15" s="7" t="str">
        <f t="array" aca="1" ref="AC15" ca="1">IFERROR(IF(OR('Raw Data'!AC15="",LEN(TRIM('Raw Data'!AC15))=0),"",IF(AND(ISNUMBER('Raw Data'!AC15), IFERROR('Raw Data'!AC15 = ROUND('Raw Data'!AC15, 2),FALSE)),"",_xlfn.REGEXEXTRACT(CELL("address",AC15), "\$([A-Z]+)\$[0-9]+"))),_xlfn.REGEXEXTRACT(CELL("address",AC15), "\$([A-Z]+)\$[0-9]+"))</f>
        <v/>
      </c>
      <c r="AD15" s="7" t="str">
        <f t="array" aca="1" ref="AD15" ca="1">IFERROR(IF(OR('Raw Data'!AD15="",LEN(TRIM('Raw Data'!AD15))=0),"",IF(AND(ISNUMBER('Raw Data'!AD15), IFERROR('Raw Data'!AD15 = ROUND('Raw Data'!AD15, 2),FALSE)),"",_xlfn.REGEXEXTRACT(CELL("address",AD15), "\$([A-Z]+)\$[0-9]+"))),_xlfn.REGEXEXTRACT(CELL("address",AD15), "\$([A-Z]+)\$[0-9]+"))</f>
        <v/>
      </c>
      <c r="AE15" s="7" t="str">
        <f t="array" aca="1" ref="AE15" ca="1">IFERROR(IF(OR('Raw Data'!AE15="",LEN(TRIM('Raw Data'!AE15))=0),"",IF(AND(ISNUMBER('Raw Data'!AE15), IFERROR('Raw Data'!AE15 = ROUND('Raw Data'!AE15, 2),FALSE)),"",_xlfn.REGEXEXTRACT(CELL("address",AE15), "\$([A-Z]+)\$[0-9]+"))),_xlfn.REGEXEXTRACT(CELL("address",AE15), "\$([A-Z]+)\$[0-9]+"))</f>
        <v/>
      </c>
      <c r="AF15" s="7" t="str">
        <f t="array" aca="1" ref="AF15" ca="1">IFERROR(IF(OR('Raw Data'!AF15="",LEN(TRIM('Raw Data'!AF15))=0),"",IF(AND(ISNUMBER('Raw Data'!AF15), IFERROR('Raw Data'!AF15 = ROUND('Raw Data'!AF15, 2),FALSE)),"",_xlfn.REGEXEXTRACT(CELL("address",AF15), "\$([A-Z]+)\$[0-9]+"))),_xlfn.REGEXEXTRACT(CELL("address",AF15), "\$([A-Z]+)\$[0-9]+"))</f>
        <v/>
      </c>
      <c r="AG15" s="7" t="str">
        <f t="array" aca="1" ref="AG15" ca="1">IFERROR(IF(OR('Raw Data'!AG15="",LEN(TRIM('Raw Data'!AG15))=0),"",IF(AND(ISNUMBER('Raw Data'!AG15), IFERROR('Raw Data'!AG15 = ROUND('Raw Data'!AG15, 2),FALSE)),"",_xlfn.REGEXEXTRACT(CELL("address",AG15), "\$([A-Z]+)\$[0-9]+"))),_xlfn.REGEXEXTRACT(CELL("address",AG15), "\$([A-Z]+)\$[0-9]+"))</f>
        <v/>
      </c>
      <c r="AH15" s="7" t="str">
        <f t="array" aca="1" ref="AH15" ca="1">IFERROR(IF(OR('Raw Data'!AH15="",LEN(TRIM('Raw Data'!AH15))=0),"",IF(AND(ISNUMBER('Raw Data'!AH15), IFERROR('Raw Data'!AH15 = ROUND('Raw Data'!AH15, 2),FALSE)),"",_xlfn.REGEXEXTRACT(CELL("address",AH15), "\$([A-Z]+)\$[0-9]+"))),_xlfn.REGEXEXTRACT(CELL("address",AH15), "\$([A-Z]+)\$[0-9]+"))</f>
        <v/>
      </c>
      <c r="AI15" s="7" t="str">
        <f t="array" aca="1" ref="AI15" ca="1">IFERROR(IF(OR('Raw Data'!AI15="",LEN(TRIM('Raw Data'!AI15))=0),"",IF(AND(ISNUMBER('Raw Data'!AI15), IFERROR('Raw Data'!AI15 = ROUND('Raw Data'!AI15, 2),FALSE)),"",_xlfn.REGEXEXTRACT(CELL("address",AI15), "\$([A-Z]+)\$[0-9]+"))),_xlfn.REGEXEXTRACT(CELL("address",AI15), "\$([A-Z]+)\$[0-9]+"))</f>
        <v/>
      </c>
      <c r="AJ15" s="7" t="str">
        <f t="array" aca="1" ref="AJ15" ca="1">IFERROR(IF(OR('Raw Data'!AJ15="",LEN(TRIM('Raw Data'!AJ15))=0),"",IF(AND(ISNUMBER('Raw Data'!AJ15), IFERROR('Raw Data'!AJ15 = ROUND('Raw Data'!AJ15, 4),FALSE)),"",_xlfn.REGEXEXTRACT(CELL("address",AJ15), "\$([A-Z]+)\$[0-9]+"))),_xlfn.REGEXEXTRACT(CELL("address",AJ15), "\$([A-Z]+)\$[0-9]+"))</f>
        <v/>
      </c>
      <c r="AK15" s="7" t="str">
        <f t="array" aca="1" ref="AK15" ca="1">IFERROR(IF(OR('Raw Data'!AK15="",LEN(TRIM('Raw Data'!AK15))=0),"",IF(AND(ISNUMBER('Raw Data'!AK15), IFERROR('Raw Data'!AK15 = ROUND('Raw Data'!AK15, 2),FALSE)),"",_xlfn.REGEXEXTRACT(CELL("address",AK15), "\$([A-Z]+)\$[0-9]+"))),_xlfn.REGEXEXTRACT(CELL("address",AK15), "\$([A-Z]+)\$[0-9]+"))</f>
        <v/>
      </c>
      <c r="AL15" s="7" t="str">
        <f t="array" aca="1" ref="AL15" ca="1">IFERROR(IF(OR('Raw Data'!AL15="",LEN(TRIM('Raw Data'!AL15))=0),"",IF(AND(ISNUMBER('Raw Data'!AL15), IFERROR('Raw Data'!AL15 = ROUND('Raw Data'!AL15, 2),FALSE)),"",_xlfn.REGEXEXTRACT(CELL("address",AL15), "\$([A-Z]+)\$[0-9]+"))),_xlfn.REGEXEXTRACT(CELL("address",AL15), "\$([A-Z]+)\$[0-9]+"))</f>
        <v/>
      </c>
      <c r="AM15" s="7" t="str">
        <f t="array" aca="1" ref="AM15" ca="1">IFERROR(IF(OR('Raw Data'!AM15="",LEN(TRIM('Raw Data'!AM15))=0),"",IF(AND(ISNUMBER('Raw Data'!AM15), IFERROR('Raw Data'!AM15 = ROUND('Raw Data'!AM15, 2),FALSE)),"",_xlfn.REGEXEXTRACT(CELL("address",AM15), "\$([A-Z]+)\$[0-9]+"))),_xlfn.REGEXEXTRACT(CELL("address",AM15), "\$([A-Z]+)\$[0-9]+"))</f>
        <v/>
      </c>
      <c r="AN15" s="7" t="str">
        <f t="array" aca="1" ref="AN15" ca="1">IFERROR(IF(OR('Raw Data'!AN15="",LEN(TRIM('Raw Data'!AN15))=0),"",IF(AND(ISNUMBER('Raw Data'!AN15), IFERROR('Raw Data'!AN15 = ROUND('Raw Data'!AN15, 2),FALSE)),"",_xlfn.REGEXEXTRACT(CELL("address",AN15), "\$([A-Z]+)\$[0-9]+"))),_xlfn.REGEXEXTRACT(CELL("address",AN15), "\$([A-Z]+)\$[0-9]+"))</f>
        <v/>
      </c>
      <c r="AO15" s="7" t="str">
        <f t="array" aca="1" ref="AO15" ca="1">IFERROR(IF(OR('Raw Data'!AO15="",LEN(TRIM('Raw Data'!AO15))=0),"",IF(AND(ISNUMBER('Raw Data'!AO15), IFERROR('Raw Data'!AO15 = ROUND('Raw Data'!AO15, 2),FALSE)),"",_xlfn.REGEXEXTRACT(CELL("address",AO15), "\$([A-Z]+)\$[0-9]+"))),_xlfn.REGEXEXTRACT(CELL("address",AO15), "\$([A-Z]+)\$[0-9]+"))</f>
        <v/>
      </c>
      <c r="AP15" s="7" t="str">
        <f t="array" aca="1" ref="AP15" ca="1">IFERROR(IF(OR('Raw Data'!AP15="",LEN(TRIM('Raw Data'!AP15))=0),"",IF(AND(ISNUMBER('Raw Data'!AP15), IFERROR('Raw Data'!AP15 = ROUND('Raw Data'!AP15, 2),FALSE)),"",_xlfn.REGEXEXTRACT(CELL("address",AP15), "\$([A-Z]+)\$[0-9]+"))),_xlfn.REGEXEXTRACT(CELL("address",AP15), "\$([A-Z]+)\$[0-9]+"))</f>
        <v/>
      </c>
    </row>
    <row r="16" spans="2:42" x14ac:dyDescent="0.25">
      <c r="B16" s="7" t="str">
        <f t="array" aca="1" ref="B16" ca="1">IFERROR(IF(OR('Raw Data'!B16="",LEN(TRIM('Raw Data'!B16))=0),"",IF(AND(LEN('Raw Data'!B16) &lt;= 255,LEN('Raw Data'!B16)&gt; 0),"",_xlfn.REGEXEXTRACT(CELL("address",'Raw Data'!B16),"\$([A-Z]+)\$[0-9]+"))),_xlfn.REGEXEXTRACT(CELL("address",'Raw Data'!B16),"\$([A-Z]+)\$[0-9]+"))</f>
        <v/>
      </c>
      <c r="C16" s="7" t="str">
        <f t="array" aca="1" ref="C16" ca="1">IFERROR(IF(OR('Raw Data'!C16="",LEN(TRIM('Raw Data'!C16))=0),"",IF(AND(LEN('Raw Data'!C16) &lt;= 50,LEN('Raw Data'!C16)&gt; 0),"",_xlfn.REGEXEXTRACT(CELL("address",'Raw Data'!C16),"\$([A-Z]+)\$[0-9]+"))),_xlfn.REGEXEXTRACT(CELL("address",'Raw Data'!C16),"\$([A-Z]+)\$[0-9]+"))</f>
        <v/>
      </c>
      <c r="D16" s="7" t="str">
        <f t="array" aca="1" ref="D16" ca="1">IFERROR(IF(OR('Raw Data'!D16="",LEN(TRIM('Raw Data'!D16))=0),"",IF(AND(LEN('Raw Data'!D16) &lt;= 500,LEN('Raw Data'!D16)&gt; 0),"",_xlfn.REGEXEXTRACT(CELL("address",'Raw Data'!D16),"\$([A-Z]+)\$[0-9]+"))),_xlfn.REGEXEXTRACT(CELL("address",'Raw Data'!D16),"\$([A-Z]+)\$[0-9]+"))</f>
        <v/>
      </c>
      <c r="E16" s="7" t="str">
        <f t="array" aca="1" ref="E16" ca="1">IFERROR(IF(OR('Raw Data'!E16="",LEN(TRIM('Raw Data'!E16))=0),"",IF(AND(LEN('Raw Data'!E16) &lt;= 50,LEN('Raw Data'!E16)&gt; 0),"",_xlfn.REGEXEXTRACT(CELL("address",'Raw Data'!E16),"\$([A-Z]+)\$[0-9]+"))),_xlfn.REGEXEXTRACT(CELL("address",'Raw Data'!E16),"\$([A-Z]+)\$[0-9]+"))</f>
        <v/>
      </c>
      <c r="F16" s="7" t="str">
        <f t="array" aca="1" ref="F16" ca="1">IFERROR(IF(OR('Raw Data'!F16="",LEN(TRIM('Raw Data'!F16))=0),"",IF(AND(LEN('Raw Data'!F16) &lt;= 50,LEN('Raw Data'!F16)&gt; 0),"",_xlfn.REGEXEXTRACT(CELL("address",'Raw Data'!F16),"\$([A-Z]+)\$[0-9]+"))),_xlfn.REGEXEXTRACT(CELL("address",'Raw Data'!F16),"\$([A-Z]+)\$[0-9]+"))</f>
        <v/>
      </c>
      <c r="G16" s="7" t="str">
        <f t="array" aca="1" ref="G16" ca="1">IFERROR(IF(OR('Raw Data'!G16="",LEN(TRIM('Raw Data'!G16))=0),"",IF(AND(LEN('Raw Data'!G16) &lt;= 50,LEN('Raw Data'!G16)&gt; 0),"",_xlfn.REGEXEXTRACT(CELL("address",'Raw Data'!G16),"\$([A-Z]+)\$[0-9]+"))),_xlfn.REGEXEXTRACT(CELL("address",'Raw Data'!G16),"\$([A-Z]+)\$[0-9]+"))</f>
        <v/>
      </c>
      <c r="H16" s="7" t="str">
        <f t="array" aca="1" ref="H16" ca="1">IFERROR(IF(OR('Raw Data'!H16="",LEN(TRIM('Raw Data'!H16))=0),"",IF(AND(LEN('Raw Data'!H16) &lt;= 50,LEN('Raw Data'!H16)&gt; 0),"",_xlfn.REGEXEXTRACT(CELL("address",'Raw Data'!H16),"\$([A-Z]+)\$[0-9]+"))),_xlfn.REGEXEXTRACT(CELL("address",'Raw Data'!H16),"\$([A-Z]+)\$[0-9]+"))</f>
        <v/>
      </c>
      <c r="I16" s="7" t="str">
        <f t="array" aca="1" ref="I16" ca="1">IFERROR(IF(OR('Raw Data'!I16="",LEN(TRIM('Raw Data'!I16))=0),"",IF(AND(LEN('Raw Data'!I16) &lt;= 50,LEN('Raw Data'!I16)&gt; 0),"",_xlfn.REGEXEXTRACT(CELL("address",'Raw Data'!I16),"\$([A-Z]+)\$[0-9]+"))),_xlfn.REGEXEXTRACT(CELL("address",'Raw Data'!I16),"\$([A-Z]+)\$[0-9]+"))</f>
        <v/>
      </c>
      <c r="J16" s="7" t="str">
        <f t="array" aca="1" ref="J16" ca="1">IFERROR(IF(OR('Raw Data'!J16="",LEN(TRIM('Raw Data'!J16))=0),"",IF(AND(ISNUMBER('Raw Data'!J16), IFERROR('Raw Data'!J16 = ROUND('Raw Data'!J16, 2),FALSE)),"",_xlfn.REGEXEXTRACT(CELL("address",J16), "\$([A-Z]+)\$[0-9]+"))),_xlfn.REGEXEXTRACT(CELL("address",J16), "\$([A-Z]+)\$[0-9]+"))</f>
        <v/>
      </c>
      <c r="K16" s="7" t="str">
        <f t="array" aca="1" ref="K16" ca="1">IFERROR(IF(OR('Raw Data'!K16="",LEN(TRIM('Raw Data'!K16))=0),"",IF(AND(ISNUMBER('Raw Data'!K16), IFERROR('Raw Data'!K16 = ROUND('Raw Data'!K16, 2),FALSE)),"",_xlfn.REGEXEXTRACT(CELL("address",K16), "\$([A-Z]+)\$[0-9]+"))),_xlfn.REGEXEXTRACT(CELL("address",K16), "\$([A-Z]+)\$[0-9]+"))</f>
        <v/>
      </c>
      <c r="L16" s="7" t="str">
        <f t="array" aca="1" ref="L16" ca="1">IFERROR(IF(OR('Raw Data'!L16="",LEN(TRIM('Raw Data'!L16))=0),"",IF(AND(ISNUMBER('Raw Data'!L16), IFERROR('Raw Data'!L16 = ROUND('Raw Data'!L16, 2),FALSE)),"",_xlfn.REGEXEXTRACT(CELL("address",L16), "\$([A-Z]+)\$[0-9]+"))),_xlfn.REGEXEXTRACT(CELL("address",L16), "\$([A-Z]+)\$[0-9]+"))</f>
        <v/>
      </c>
      <c r="M16" s="7" t="str">
        <f t="array" aca="1" ref="M16" ca="1">IFERROR(IF(OR('Raw Data'!M16="",LEN(TRIM('Raw Data'!M16))=0),"",IF(AND(ISNUMBER('Raw Data'!M16), IFERROR('Raw Data'!M16 = ROUND('Raw Data'!M16, 2),FALSE)),"",_xlfn.REGEXEXTRACT(CELL("address",M16), "\$([A-Z]+)\$[0-9]+"))),_xlfn.REGEXEXTRACT(CELL("address",M16), "\$([A-Z]+)\$[0-9]+"))</f>
        <v/>
      </c>
      <c r="N16" s="7" t="str">
        <f t="array" aca="1" ref="N16" ca="1">IFERROR(IF(OR('Raw Data'!N16="",LEN(TRIM('Raw Data'!N16))=0),"",IF(AND(ISNUMBER('Raw Data'!N16), IFERROR('Raw Data'!N16 = ROUND('Raw Data'!N16, 2),FALSE)),"",_xlfn.REGEXEXTRACT(CELL("address",N16), "\$([A-Z]+)\$[0-9]+"))),_xlfn.REGEXEXTRACT(CELL("address",N16), "\$([A-Z]+)\$[0-9]+"))</f>
        <v/>
      </c>
      <c r="O16" s="7" t="str">
        <f t="array" aca="1" ref="O16" ca="1">IFERROR(IF(OR('Raw Data'!O16="",LEN(TRIM('Raw Data'!O16))=0),"",IF(AND(ISNUMBER('Raw Data'!O16),'Raw Data'!O16&gt;=Configuration!$D$2),"",_xlfn.REGEXEXTRACT(CELL("address",'Raw Data'!O16),"\$([A-Z]+)\$[0-9]+"))),_xlfn.REGEXEXTRACT(CELL("address",O16), "\$([A-Z]+)\$[0-9]+"))</f>
        <v/>
      </c>
      <c r="P16" s="7" t="str">
        <f t="array" aca="1" ref="P16" ca="1">IFERROR(IF(OR('Raw Data'!P16="",LEN(TRIM('Raw Data'!P16))=0),"",IF(AND(ISNUMBER('Raw Data'!P16), IFERROR('Raw Data'!P16 = ROUND('Raw Data'!P16, 2),FALSE)),"",_xlfn.REGEXEXTRACT(CELL("address",P16), "\$([A-Z]+)\$[0-9]+"))),_xlfn.REGEXEXTRACT(CELL("address",P16), "\$([A-Z]+)\$[0-9]+"))</f>
        <v/>
      </c>
      <c r="Q16" s="7" t="str">
        <f t="array" aca="1" ref="Q16" ca="1">IFERROR(IF(OR('Raw Data'!Q16="",LEN(TRIM('Raw Data'!Q16))=0),"",IF(AND(ISNUMBER('Raw Data'!Q16), IFERROR('Raw Data'!Q16 = ROUND('Raw Data'!Q16, 2),FALSE)),"",_xlfn.REGEXEXTRACT(CELL("address",Q16), "\$([A-Z]+)\$[0-9]+"))),_xlfn.REGEXEXTRACT(CELL("address",Q16), "\$([A-Z]+)\$[0-9]+"))</f>
        <v/>
      </c>
      <c r="R16" s="7" t="str">
        <f t="array" aca="1" ref="R16" ca="1">IFERROR(IF(OR('Raw Data'!R16="",LEN(TRIM('Raw Data'!R16))=0),"",IF(AND(LEN('Raw Data'!R16) &lt;= 50,LEN('Raw Data'!R16)&gt; 0),"",_xlfn.REGEXEXTRACT(CELL("address",'Raw Data'!R16),"\$([A-Z]+)\$[0-9]+"))),_xlfn.REGEXEXTRACT(CELL("address",'Raw Data'!R16),"\$([A-Z]+)\$[0-9]+"))</f>
        <v/>
      </c>
      <c r="S16" s="7" t="str">
        <f t="array" aca="1" ref="S16" ca="1">IFERROR(IF(OR('Raw Data'!S16="",LEN(TRIM('Raw Data'!S16))=0),"",IF(AND(LEN('Raw Data'!S16) &lt;= 50,LEN('Raw Data'!S16)&gt; 0),"",_xlfn.REGEXEXTRACT(CELL("address",'Raw Data'!S16),"\$([A-Z]+)\$[0-9]+"))),_xlfn.REGEXEXTRACT(CELL("address",'Raw Data'!S16),"\$([A-Z]+)\$[0-9]+"))</f>
        <v/>
      </c>
      <c r="T16" s="7" t="str">
        <f t="array" aca="1" ref="T16" ca="1">IFERROR(IF(OR('Raw Data'!T16="",LEN(TRIM('Raw Data'!T16))=0),"",IF(AND(ISNUMBER('Raw Data'!T16), IFERROR('Raw Data'!T16 = ROUND('Raw Data'!T16, 2),FALSE)),"",_xlfn.REGEXEXTRACT(CELL("address",T16), "\$([A-Z]+)\$[0-9]+"))),_xlfn.REGEXEXTRACT(CELL("address",T16), "\$([A-Z]+)\$[0-9]+"))</f>
        <v/>
      </c>
      <c r="U16" s="7" t="str">
        <f t="array" aca="1" ref="U16" ca="1">IFERROR(IF(OR('Raw Data'!U16="",LEN(TRIM('Raw Data'!U16))=0),"",IF(AND(ISNUMBER('Raw Data'!U16), IFERROR('Raw Data'!U16 = ROUND('Raw Data'!U16, 2),FALSE)),"",_xlfn.REGEXEXTRACT(CELL("address",U16), "\$([A-Z]+)\$[0-9]+"))),_xlfn.REGEXEXTRACT(CELL("address",U16), "\$([A-Z]+)\$[0-9]+"))</f>
        <v/>
      </c>
      <c r="V16" s="7" t="str">
        <f t="array" aca="1" ref="V16" ca="1">IFERROR(IF(OR('Raw Data'!V16="",LEN(TRIM('Raw Data'!V16))=0),"",IF(AND(ISNUMBER('Raw Data'!V16), IFERROR('Raw Data'!V16 = ROUND('Raw Data'!V16, 2),FALSE)),"",_xlfn.REGEXEXTRACT(CELL("address",V16), "\$([A-Z]+)\$[0-9]+"))),_xlfn.REGEXEXTRACT(CELL("address",V16), "\$([A-Z]+)\$[0-9]+"))</f>
        <v/>
      </c>
      <c r="W16" s="7" t="str">
        <f t="array" aca="1" ref="W16" ca="1">IFERROR(IF(OR('Raw Data'!W16="",LEN(TRIM('Raw Data'!W16))=0),"",IF(AND(ISNUMBER('Raw Data'!W16), IFERROR('Raw Data'!W16 = ROUND('Raw Data'!W16, 2),FALSE)),"",_xlfn.REGEXEXTRACT(CELL("address",W16), "\$([A-Z]+)\$[0-9]+"))),_xlfn.REGEXEXTRACT(CELL("address",W16), "\$([A-Z]+)\$[0-9]+"))</f>
        <v/>
      </c>
      <c r="X16" s="7" t="str">
        <f t="array" aca="1" ref="X16" ca="1">IFERROR(IF(OR('Raw Data'!X16="",LEN(TRIM('Raw Data'!X16))=0),"",IF(AND(ISNUMBER('Raw Data'!X16), IFERROR('Raw Data'!X16 = ROUND('Raw Data'!X16, 2),FALSE)),"",_xlfn.REGEXEXTRACT(CELL("address",X16), "\$([A-Z]+)\$[0-9]+"))),_xlfn.REGEXEXTRACT(CELL("address",X16), "\$([A-Z]+)\$[0-9]+"))</f>
        <v/>
      </c>
      <c r="Y16" s="7" t="str">
        <f t="array" aca="1" ref="Y16" ca="1">IFERROR(IF(OR('Raw Data'!Y16="",LEN(TRIM('Raw Data'!Y16))=0),"",IF(AND(ISNUMBER('Raw Data'!Y16), IFERROR('Raw Data'!Y16 = ROUND('Raw Data'!Y16, 2),FALSE)),"",_xlfn.REGEXEXTRACT(CELL("address",Y16), "\$([A-Z]+)\$[0-9]+"))),_xlfn.REGEXEXTRACT(CELL("address",Y16), "\$([A-Z]+)\$[0-9]+"))</f>
        <v/>
      </c>
      <c r="Z16" s="7" t="str">
        <f t="array" aca="1" ref="Z16" ca="1">IFERROR(IF(OR('Raw Data'!Z16="",LEN(TRIM('Raw Data'!Z16))=0),"",IF(AND(ISNUMBER('Raw Data'!Z16), IFERROR('Raw Data'!Z16 = ROUND('Raw Data'!Z16, 2),FALSE)),"",_xlfn.REGEXEXTRACT(CELL("address",Z16), "\$([A-Z]+)\$[0-9]+"))),_xlfn.REGEXEXTRACT(CELL("address",Z16), "\$([A-Z]+)\$[0-9]+"))</f>
        <v/>
      </c>
      <c r="AA16" s="7" t="str">
        <f t="array" aca="1" ref="AA16" ca="1">IFERROR(IF(OR('Raw Data'!AA16="",LEN(TRIM('Raw Data'!AA16))=0),"",IF(AND(ISNUMBER('Raw Data'!AA16), IFERROR('Raw Data'!AA16 = ROUND('Raw Data'!AA16, 2),FALSE)),"",_xlfn.REGEXEXTRACT(CELL("address",AA16), "\$([A-Z]+)\$[0-9]+"))),_xlfn.REGEXEXTRACT(CELL("address",AA16), "\$([A-Z]+)\$[0-9]+"))</f>
        <v/>
      </c>
      <c r="AB16" s="7" t="str">
        <f t="array" aca="1" ref="AB16" ca="1">IFERROR(IF(OR('Raw Data'!AB16="",LEN(TRIM('Raw Data'!AB16))=0),"",IF(AND(ISNUMBER('Raw Data'!AB16), IFERROR('Raw Data'!AB16 = ROUND('Raw Data'!AB16, 2),FALSE)),"",_xlfn.REGEXEXTRACT(CELL("address",AB16), "\$([A-Z]+)\$[0-9]+"))),_xlfn.REGEXEXTRACT(CELL("address",AB16), "\$([A-Z]+)\$[0-9]+"))</f>
        <v/>
      </c>
      <c r="AC16" s="7" t="str">
        <f t="array" aca="1" ref="AC16" ca="1">IFERROR(IF(OR('Raw Data'!AC16="",LEN(TRIM('Raw Data'!AC16))=0),"",IF(AND(ISNUMBER('Raw Data'!AC16), IFERROR('Raw Data'!AC16 = ROUND('Raw Data'!AC16, 2),FALSE)),"",_xlfn.REGEXEXTRACT(CELL("address",AC16), "\$([A-Z]+)\$[0-9]+"))),_xlfn.REGEXEXTRACT(CELL("address",AC16), "\$([A-Z]+)\$[0-9]+"))</f>
        <v/>
      </c>
      <c r="AD16" s="7" t="str">
        <f t="array" aca="1" ref="AD16" ca="1">IFERROR(IF(OR('Raw Data'!AD16="",LEN(TRIM('Raw Data'!AD16))=0),"",IF(AND(ISNUMBER('Raw Data'!AD16), IFERROR('Raw Data'!AD16 = ROUND('Raw Data'!AD16, 2),FALSE)),"",_xlfn.REGEXEXTRACT(CELL("address",AD16), "\$([A-Z]+)\$[0-9]+"))),_xlfn.REGEXEXTRACT(CELL("address",AD16), "\$([A-Z]+)\$[0-9]+"))</f>
        <v/>
      </c>
      <c r="AE16" s="7" t="str">
        <f t="array" aca="1" ref="AE16" ca="1">IFERROR(IF(OR('Raw Data'!AE16="",LEN(TRIM('Raw Data'!AE16))=0),"",IF(AND(ISNUMBER('Raw Data'!AE16), IFERROR('Raw Data'!AE16 = ROUND('Raw Data'!AE16, 2),FALSE)),"",_xlfn.REGEXEXTRACT(CELL("address",AE16), "\$([A-Z]+)\$[0-9]+"))),_xlfn.REGEXEXTRACT(CELL("address",AE16), "\$([A-Z]+)\$[0-9]+"))</f>
        <v/>
      </c>
      <c r="AF16" s="7" t="str">
        <f t="array" aca="1" ref="AF16" ca="1">IFERROR(IF(OR('Raw Data'!AF16="",LEN(TRIM('Raw Data'!AF16))=0),"",IF(AND(ISNUMBER('Raw Data'!AF16), IFERROR('Raw Data'!AF16 = ROUND('Raw Data'!AF16, 2),FALSE)),"",_xlfn.REGEXEXTRACT(CELL("address",AF16), "\$([A-Z]+)\$[0-9]+"))),_xlfn.REGEXEXTRACT(CELL("address",AF16), "\$([A-Z]+)\$[0-9]+"))</f>
        <v/>
      </c>
      <c r="AG16" s="7" t="str">
        <f t="array" aca="1" ref="AG16" ca="1">IFERROR(IF(OR('Raw Data'!AG16="",LEN(TRIM('Raw Data'!AG16))=0),"",IF(AND(ISNUMBER('Raw Data'!AG16), IFERROR('Raw Data'!AG16 = ROUND('Raw Data'!AG16, 2),FALSE)),"",_xlfn.REGEXEXTRACT(CELL("address",AG16), "\$([A-Z]+)\$[0-9]+"))),_xlfn.REGEXEXTRACT(CELL("address",AG16), "\$([A-Z]+)\$[0-9]+"))</f>
        <v/>
      </c>
      <c r="AH16" s="7" t="str">
        <f t="array" aca="1" ref="AH16" ca="1">IFERROR(IF(OR('Raw Data'!AH16="",LEN(TRIM('Raw Data'!AH16))=0),"",IF(AND(ISNUMBER('Raw Data'!AH16), IFERROR('Raw Data'!AH16 = ROUND('Raw Data'!AH16, 2),FALSE)),"",_xlfn.REGEXEXTRACT(CELL("address",AH16), "\$([A-Z]+)\$[0-9]+"))),_xlfn.REGEXEXTRACT(CELL("address",AH16), "\$([A-Z]+)\$[0-9]+"))</f>
        <v/>
      </c>
      <c r="AI16" s="7" t="str">
        <f t="array" aca="1" ref="AI16" ca="1">IFERROR(IF(OR('Raw Data'!AI16="",LEN(TRIM('Raw Data'!AI16))=0),"",IF(AND(ISNUMBER('Raw Data'!AI16), IFERROR('Raw Data'!AI16 = ROUND('Raw Data'!AI16, 2),FALSE)),"",_xlfn.REGEXEXTRACT(CELL("address",AI16), "\$([A-Z]+)\$[0-9]+"))),_xlfn.REGEXEXTRACT(CELL("address",AI16), "\$([A-Z]+)\$[0-9]+"))</f>
        <v/>
      </c>
      <c r="AJ16" s="7" t="str">
        <f t="array" aca="1" ref="AJ16" ca="1">IFERROR(IF(OR('Raw Data'!AJ16="",LEN(TRIM('Raw Data'!AJ16))=0),"",IF(AND(ISNUMBER('Raw Data'!AJ16), IFERROR('Raw Data'!AJ16 = ROUND('Raw Data'!AJ16, 4),FALSE)),"",_xlfn.REGEXEXTRACT(CELL("address",AJ16), "\$([A-Z]+)\$[0-9]+"))),_xlfn.REGEXEXTRACT(CELL("address",AJ16), "\$([A-Z]+)\$[0-9]+"))</f>
        <v/>
      </c>
      <c r="AK16" s="7" t="str">
        <f t="array" aca="1" ref="AK16" ca="1">IFERROR(IF(OR('Raw Data'!AK16="",LEN(TRIM('Raw Data'!AK16))=0),"",IF(AND(ISNUMBER('Raw Data'!AK16), IFERROR('Raw Data'!AK16 = ROUND('Raw Data'!AK16, 2),FALSE)),"",_xlfn.REGEXEXTRACT(CELL("address",AK16), "\$([A-Z]+)\$[0-9]+"))),_xlfn.REGEXEXTRACT(CELL("address",AK16), "\$([A-Z]+)\$[0-9]+"))</f>
        <v/>
      </c>
      <c r="AL16" s="7" t="str">
        <f t="array" aca="1" ref="AL16" ca="1">IFERROR(IF(OR('Raw Data'!AL16="",LEN(TRIM('Raw Data'!AL16))=0),"",IF(AND(ISNUMBER('Raw Data'!AL16), IFERROR('Raw Data'!AL16 = ROUND('Raw Data'!AL16, 2),FALSE)),"",_xlfn.REGEXEXTRACT(CELL("address",AL16), "\$([A-Z]+)\$[0-9]+"))),_xlfn.REGEXEXTRACT(CELL("address",AL16), "\$([A-Z]+)\$[0-9]+"))</f>
        <v/>
      </c>
      <c r="AM16" s="7" t="str">
        <f t="array" aca="1" ref="AM16" ca="1">IFERROR(IF(OR('Raw Data'!AM16="",LEN(TRIM('Raw Data'!AM16))=0),"",IF(AND(ISNUMBER('Raw Data'!AM16), IFERROR('Raw Data'!AM16 = ROUND('Raw Data'!AM16, 2),FALSE)),"",_xlfn.REGEXEXTRACT(CELL("address",AM16), "\$([A-Z]+)\$[0-9]+"))),_xlfn.REGEXEXTRACT(CELL("address",AM16), "\$([A-Z]+)\$[0-9]+"))</f>
        <v/>
      </c>
      <c r="AN16" s="7" t="str">
        <f t="array" aca="1" ref="AN16" ca="1">IFERROR(IF(OR('Raw Data'!AN16="",LEN(TRIM('Raw Data'!AN16))=0),"",IF(AND(ISNUMBER('Raw Data'!AN16), IFERROR('Raw Data'!AN16 = ROUND('Raw Data'!AN16, 2),FALSE)),"",_xlfn.REGEXEXTRACT(CELL("address",AN16), "\$([A-Z]+)\$[0-9]+"))),_xlfn.REGEXEXTRACT(CELL("address",AN16), "\$([A-Z]+)\$[0-9]+"))</f>
        <v/>
      </c>
      <c r="AO16" s="7" t="str">
        <f t="array" aca="1" ref="AO16" ca="1">IFERROR(IF(OR('Raw Data'!AO16="",LEN(TRIM('Raw Data'!AO16))=0),"",IF(AND(ISNUMBER('Raw Data'!AO16), IFERROR('Raw Data'!AO16 = ROUND('Raw Data'!AO16, 2),FALSE)),"",_xlfn.REGEXEXTRACT(CELL("address",AO16), "\$([A-Z]+)\$[0-9]+"))),_xlfn.REGEXEXTRACT(CELL("address",AO16), "\$([A-Z]+)\$[0-9]+"))</f>
        <v/>
      </c>
      <c r="AP16" s="7" t="str">
        <f t="array" aca="1" ref="AP16" ca="1">IFERROR(IF(OR('Raw Data'!AP16="",LEN(TRIM('Raw Data'!AP16))=0),"",IF(AND(ISNUMBER('Raw Data'!AP16), IFERROR('Raw Data'!AP16 = ROUND('Raw Data'!AP16, 2),FALSE)),"",_xlfn.REGEXEXTRACT(CELL("address",AP16), "\$([A-Z]+)\$[0-9]+"))),_xlfn.REGEXEXTRACT(CELL("address",AP16), "\$([A-Z]+)\$[0-9]+"))</f>
        <v/>
      </c>
    </row>
    <row r="17" spans="2:42" x14ac:dyDescent="0.25">
      <c r="B17" s="7" t="str">
        <f t="array" aca="1" ref="B17" ca="1">IFERROR(IF(OR('Raw Data'!B17="",LEN(TRIM('Raw Data'!B17))=0),"",IF(AND(LEN('Raw Data'!B17) &lt;= 255,LEN('Raw Data'!B17)&gt; 0),"",_xlfn.REGEXEXTRACT(CELL("address",'Raw Data'!B17),"\$([A-Z]+)\$[0-9]+"))),_xlfn.REGEXEXTRACT(CELL("address",'Raw Data'!B17),"\$([A-Z]+)\$[0-9]+"))</f>
        <v/>
      </c>
      <c r="C17" s="7" t="str">
        <f t="array" aca="1" ref="C17" ca="1">IFERROR(IF(OR('Raw Data'!C17="",LEN(TRIM('Raw Data'!C17))=0),"",IF(AND(LEN('Raw Data'!C17) &lt;= 50,LEN('Raw Data'!C17)&gt; 0),"",_xlfn.REGEXEXTRACT(CELL("address",'Raw Data'!C17),"\$([A-Z]+)\$[0-9]+"))),_xlfn.REGEXEXTRACT(CELL("address",'Raw Data'!C17),"\$([A-Z]+)\$[0-9]+"))</f>
        <v/>
      </c>
      <c r="D17" s="7" t="str">
        <f t="array" aca="1" ref="D17" ca="1">IFERROR(IF(OR('Raw Data'!D17="",LEN(TRIM('Raw Data'!D17))=0),"",IF(AND(LEN('Raw Data'!D17) &lt;= 500,LEN('Raw Data'!D17)&gt; 0),"",_xlfn.REGEXEXTRACT(CELL("address",'Raw Data'!D17),"\$([A-Z]+)\$[0-9]+"))),_xlfn.REGEXEXTRACT(CELL("address",'Raw Data'!D17),"\$([A-Z]+)\$[0-9]+"))</f>
        <v/>
      </c>
      <c r="E17" s="7" t="str">
        <f t="array" aca="1" ref="E17" ca="1">IFERROR(IF(OR('Raw Data'!E17="",LEN(TRIM('Raw Data'!E17))=0),"",IF(AND(LEN('Raw Data'!E17) &lt;= 50,LEN('Raw Data'!E17)&gt; 0),"",_xlfn.REGEXEXTRACT(CELL("address",'Raw Data'!E17),"\$([A-Z]+)\$[0-9]+"))),_xlfn.REGEXEXTRACT(CELL("address",'Raw Data'!E17),"\$([A-Z]+)\$[0-9]+"))</f>
        <v/>
      </c>
      <c r="F17" s="7" t="str">
        <f t="array" aca="1" ref="F17" ca="1">IFERROR(IF(OR('Raw Data'!F17="",LEN(TRIM('Raw Data'!F17))=0),"",IF(AND(LEN('Raw Data'!F17) &lt;= 50,LEN('Raw Data'!F17)&gt; 0),"",_xlfn.REGEXEXTRACT(CELL("address",'Raw Data'!F17),"\$([A-Z]+)\$[0-9]+"))),_xlfn.REGEXEXTRACT(CELL("address",'Raw Data'!F17),"\$([A-Z]+)\$[0-9]+"))</f>
        <v/>
      </c>
      <c r="G17" s="7" t="str">
        <f t="array" aca="1" ref="G17" ca="1">IFERROR(IF(OR('Raw Data'!G17="",LEN(TRIM('Raw Data'!G17))=0),"",IF(AND(LEN('Raw Data'!G17) &lt;= 50,LEN('Raw Data'!G17)&gt; 0),"",_xlfn.REGEXEXTRACT(CELL("address",'Raw Data'!G17),"\$([A-Z]+)\$[0-9]+"))),_xlfn.REGEXEXTRACT(CELL("address",'Raw Data'!G17),"\$([A-Z]+)\$[0-9]+"))</f>
        <v/>
      </c>
      <c r="H17" s="7" t="str">
        <f t="array" aca="1" ref="H17" ca="1">IFERROR(IF(OR('Raw Data'!H17="",LEN(TRIM('Raw Data'!H17))=0),"",IF(AND(LEN('Raw Data'!H17) &lt;= 50,LEN('Raw Data'!H17)&gt; 0),"",_xlfn.REGEXEXTRACT(CELL("address",'Raw Data'!H17),"\$([A-Z]+)\$[0-9]+"))),_xlfn.REGEXEXTRACT(CELL("address",'Raw Data'!H17),"\$([A-Z]+)\$[0-9]+"))</f>
        <v/>
      </c>
      <c r="I17" s="7" t="str">
        <f t="array" aca="1" ref="I17" ca="1">IFERROR(IF(OR('Raw Data'!I17="",LEN(TRIM('Raw Data'!I17))=0),"",IF(AND(LEN('Raw Data'!I17) &lt;= 50,LEN('Raw Data'!I17)&gt; 0),"",_xlfn.REGEXEXTRACT(CELL("address",'Raw Data'!I17),"\$([A-Z]+)\$[0-9]+"))),_xlfn.REGEXEXTRACT(CELL("address",'Raw Data'!I17),"\$([A-Z]+)\$[0-9]+"))</f>
        <v/>
      </c>
      <c r="J17" s="7" t="str">
        <f t="array" aca="1" ref="J17" ca="1">IFERROR(IF(OR('Raw Data'!J17="",LEN(TRIM('Raw Data'!J17))=0),"",IF(AND(ISNUMBER('Raw Data'!J17), IFERROR('Raw Data'!J17 = ROUND('Raw Data'!J17, 2),FALSE)),"",_xlfn.REGEXEXTRACT(CELL("address",J17), "\$([A-Z]+)\$[0-9]+"))),_xlfn.REGEXEXTRACT(CELL("address",J17), "\$([A-Z]+)\$[0-9]+"))</f>
        <v/>
      </c>
      <c r="K17" s="7" t="str">
        <f t="array" aca="1" ref="K17" ca="1">IFERROR(IF(OR('Raw Data'!K17="",LEN(TRIM('Raw Data'!K17))=0),"",IF(AND(ISNUMBER('Raw Data'!K17), IFERROR('Raw Data'!K17 = ROUND('Raw Data'!K17, 2),FALSE)),"",_xlfn.REGEXEXTRACT(CELL("address",K17), "\$([A-Z]+)\$[0-9]+"))),_xlfn.REGEXEXTRACT(CELL("address",K17), "\$([A-Z]+)\$[0-9]+"))</f>
        <v/>
      </c>
      <c r="L17" s="7" t="str">
        <f t="array" aca="1" ref="L17" ca="1">IFERROR(IF(OR('Raw Data'!L17="",LEN(TRIM('Raw Data'!L17))=0),"",IF(AND(ISNUMBER('Raw Data'!L17), IFERROR('Raw Data'!L17 = ROUND('Raw Data'!L17, 2),FALSE)),"",_xlfn.REGEXEXTRACT(CELL("address",L17), "\$([A-Z]+)\$[0-9]+"))),_xlfn.REGEXEXTRACT(CELL("address",L17), "\$([A-Z]+)\$[0-9]+"))</f>
        <v/>
      </c>
      <c r="M17" s="7" t="str">
        <f t="array" aca="1" ref="M17" ca="1">IFERROR(IF(OR('Raw Data'!M17="",LEN(TRIM('Raw Data'!M17))=0),"",IF(AND(ISNUMBER('Raw Data'!M17), IFERROR('Raw Data'!M17 = ROUND('Raw Data'!M17, 2),FALSE)),"",_xlfn.REGEXEXTRACT(CELL("address",M17), "\$([A-Z]+)\$[0-9]+"))),_xlfn.REGEXEXTRACT(CELL("address",M17), "\$([A-Z]+)\$[0-9]+"))</f>
        <v/>
      </c>
      <c r="N17" s="7" t="str">
        <f t="array" aca="1" ref="N17" ca="1">IFERROR(IF(OR('Raw Data'!N17="",LEN(TRIM('Raw Data'!N17))=0),"",IF(AND(ISNUMBER('Raw Data'!N17), IFERROR('Raw Data'!N17 = ROUND('Raw Data'!N17, 2),FALSE)),"",_xlfn.REGEXEXTRACT(CELL("address",N17), "\$([A-Z]+)\$[0-9]+"))),_xlfn.REGEXEXTRACT(CELL("address",N17), "\$([A-Z]+)\$[0-9]+"))</f>
        <v/>
      </c>
      <c r="O17" s="7" t="str">
        <f t="array" aca="1" ref="O17" ca="1">IFERROR(IF(OR('Raw Data'!O17="",LEN(TRIM('Raw Data'!O17))=0),"",IF(AND(ISNUMBER('Raw Data'!O17),'Raw Data'!O17&gt;=Configuration!$D$2),"",_xlfn.REGEXEXTRACT(CELL("address",'Raw Data'!O17),"\$([A-Z]+)\$[0-9]+"))),_xlfn.REGEXEXTRACT(CELL("address",O17), "\$([A-Z]+)\$[0-9]+"))</f>
        <v/>
      </c>
      <c r="P17" s="7" t="str">
        <f t="array" aca="1" ref="P17" ca="1">IFERROR(IF(OR('Raw Data'!P17="",LEN(TRIM('Raw Data'!P17))=0),"",IF(AND(ISNUMBER('Raw Data'!P17), IFERROR('Raw Data'!P17 = ROUND('Raw Data'!P17, 2),FALSE)),"",_xlfn.REGEXEXTRACT(CELL("address",P17), "\$([A-Z]+)\$[0-9]+"))),_xlfn.REGEXEXTRACT(CELL("address",P17), "\$([A-Z]+)\$[0-9]+"))</f>
        <v/>
      </c>
      <c r="Q17" s="7" t="str">
        <f t="array" aca="1" ref="Q17" ca="1">IFERROR(IF(OR('Raw Data'!Q17="",LEN(TRIM('Raw Data'!Q17))=0),"",IF(AND(ISNUMBER('Raw Data'!Q17), IFERROR('Raw Data'!Q17 = ROUND('Raw Data'!Q17, 2),FALSE)),"",_xlfn.REGEXEXTRACT(CELL("address",Q17), "\$([A-Z]+)\$[0-9]+"))),_xlfn.REGEXEXTRACT(CELL("address",Q17), "\$([A-Z]+)\$[0-9]+"))</f>
        <v/>
      </c>
      <c r="R17" s="7" t="str">
        <f t="array" aca="1" ref="R17" ca="1">IFERROR(IF(OR('Raw Data'!R17="",LEN(TRIM('Raw Data'!R17))=0),"",IF(AND(LEN('Raw Data'!R17) &lt;= 50,LEN('Raw Data'!R17)&gt; 0),"",_xlfn.REGEXEXTRACT(CELL("address",'Raw Data'!R17),"\$([A-Z]+)\$[0-9]+"))),_xlfn.REGEXEXTRACT(CELL("address",'Raw Data'!R17),"\$([A-Z]+)\$[0-9]+"))</f>
        <v/>
      </c>
      <c r="S17" s="7" t="str">
        <f t="array" aca="1" ref="S17" ca="1">IFERROR(IF(OR('Raw Data'!S17="",LEN(TRIM('Raw Data'!S17))=0),"",IF(AND(LEN('Raw Data'!S17) &lt;= 50,LEN('Raw Data'!S17)&gt; 0),"",_xlfn.REGEXEXTRACT(CELL("address",'Raw Data'!S17),"\$([A-Z]+)\$[0-9]+"))),_xlfn.REGEXEXTRACT(CELL("address",'Raw Data'!S17),"\$([A-Z]+)\$[0-9]+"))</f>
        <v/>
      </c>
      <c r="T17" s="7" t="str">
        <f t="array" aca="1" ref="T17" ca="1">IFERROR(IF(OR('Raw Data'!T17="",LEN(TRIM('Raw Data'!T17))=0),"",IF(AND(ISNUMBER('Raw Data'!T17), IFERROR('Raw Data'!T17 = ROUND('Raw Data'!T17, 2),FALSE)),"",_xlfn.REGEXEXTRACT(CELL("address",T17), "\$([A-Z]+)\$[0-9]+"))),_xlfn.REGEXEXTRACT(CELL("address",T17), "\$([A-Z]+)\$[0-9]+"))</f>
        <v/>
      </c>
      <c r="U17" s="7" t="str">
        <f t="array" aca="1" ref="U17" ca="1">IFERROR(IF(OR('Raw Data'!U17="",LEN(TRIM('Raw Data'!U17))=0),"",IF(AND(ISNUMBER('Raw Data'!U17), IFERROR('Raw Data'!U17 = ROUND('Raw Data'!U17, 2),FALSE)),"",_xlfn.REGEXEXTRACT(CELL("address",U17), "\$([A-Z]+)\$[0-9]+"))),_xlfn.REGEXEXTRACT(CELL("address",U17), "\$([A-Z]+)\$[0-9]+"))</f>
        <v/>
      </c>
      <c r="V17" s="7" t="str">
        <f t="array" aca="1" ref="V17" ca="1">IFERROR(IF(OR('Raw Data'!V17="",LEN(TRIM('Raw Data'!V17))=0),"",IF(AND(ISNUMBER('Raw Data'!V17), IFERROR('Raw Data'!V17 = ROUND('Raw Data'!V17, 2),FALSE)),"",_xlfn.REGEXEXTRACT(CELL("address",V17), "\$([A-Z]+)\$[0-9]+"))),_xlfn.REGEXEXTRACT(CELL("address",V17), "\$([A-Z]+)\$[0-9]+"))</f>
        <v/>
      </c>
      <c r="W17" s="7" t="str">
        <f t="array" aca="1" ref="W17" ca="1">IFERROR(IF(OR('Raw Data'!W17="",LEN(TRIM('Raw Data'!W17))=0),"",IF(AND(ISNUMBER('Raw Data'!W17), IFERROR('Raw Data'!W17 = ROUND('Raw Data'!W17, 2),FALSE)),"",_xlfn.REGEXEXTRACT(CELL("address",W17), "\$([A-Z]+)\$[0-9]+"))),_xlfn.REGEXEXTRACT(CELL("address",W17), "\$([A-Z]+)\$[0-9]+"))</f>
        <v/>
      </c>
      <c r="X17" s="7" t="str">
        <f t="array" aca="1" ref="X17" ca="1">IFERROR(IF(OR('Raw Data'!X17="",LEN(TRIM('Raw Data'!X17))=0),"",IF(AND(ISNUMBER('Raw Data'!X17), IFERROR('Raw Data'!X17 = ROUND('Raw Data'!X17, 2),FALSE)),"",_xlfn.REGEXEXTRACT(CELL("address",X17), "\$([A-Z]+)\$[0-9]+"))),_xlfn.REGEXEXTRACT(CELL("address",X17), "\$([A-Z]+)\$[0-9]+"))</f>
        <v/>
      </c>
      <c r="Y17" s="7" t="str">
        <f t="array" aca="1" ref="Y17" ca="1">IFERROR(IF(OR('Raw Data'!Y17="",LEN(TRIM('Raw Data'!Y17))=0),"",IF(AND(ISNUMBER('Raw Data'!Y17), IFERROR('Raw Data'!Y17 = ROUND('Raw Data'!Y17, 2),FALSE)),"",_xlfn.REGEXEXTRACT(CELL("address",Y17), "\$([A-Z]+)\$[0-9]+"))),_xlfn.REGEXEXTRACT(CELL("address",Y17), "\$([A-Z]+)\$[0-9]+"))</f>
        <v/>
      </c>
      <c r="Z17" s="7" t="str">
        <f t="array" aca="1" ref="Z17" ca="1">IFERROR(IF(OR('Raw Data'!Z17="",LEN(TRIM('Raw Data'!Z17))=0),"",IF(AND(ISNUMBER('Raw Data'!Z17), IFERROR('Raw Data'!Z17 = ROUND('Raw Data'!Z17, 2),FALSE)),"",_xlfn.REGEXEXTRACT(CELL("address",Z17), "\$([A-Z]+)\$[0-9]+"))),_xlfn.REGEXEXTRACT(CELL("address",Z17), "\$([A-Z]+)\$[0-9]+"))</f>
        <v/>
      </c>
      <c r="AA17" s="7" t="str">
        <f t="array" aca="1" ref="AA17" ca="1">IFERROR(IF(OR('Raw Data'!AA17="",LEN(TRIM('Raw Data'!AA17))=0),"",IF(AND(ISNUMBER('Raw Data'!AA17), IFERROR('Raw Data'!AA17 = ROUND('Raw Data'!AA17, 2),FALSE)),"",_xlfn.REGEXEXTRACT(CELL("address",AA17), "\$([A-Z]+)\$[0-9]+"))),_xlfn.REGEXEXTRACT(CELL("address",AA17), "\$([A-Z]+)\$[0-9]+"))</f>
        <v/>
      </c>
      <c r="AB17" s="7" t="str">
        <f t="array" aca="1" ref="AB17" ca="1">IFERROR(IF(OR('Raw Data'!AB17="",LEN(TRIM('Raw Data'!AB17))=0),"",IF(AND(ISNUMBER('Raw Data'!AB17), IFERROR('Raw Data'!AB17 = ROUND('Raw Data'!AB17, 2),FALSE)),"",_xlfn.REGEXEXTRACT(CELL("address",AB17), "\$([A-Z]+)\$[0-9]+"))),_xlfn.REGEXEXTRACT(CELL("address",AB17), "\$([A-Z]+)\$[0-9]+"))</f>
        <v/>
      </c>
      <c r="AC17" s="7" t="str">
        <f t="array" aca="1" ref="AC17" ca="1">IFERROR(IF(OR('Raw Data'!AC17="",LEN(TRIM('Raw Data'!AC17))=0),"",IF(AND(ISNUMBER('Raw Data'!AC17), IFERROR('Raw Data'!AC17 = ROUND('Raw Data'!AC17, 2),FALSE)),"",_xlfn.REGEXEXTRACT(CELL("address",AC17), "\$([A-Z]+)\$[0-9]+"))),_xlfn.REGEXEXTRACT(CELL("address",AC17), "\$([A-Z]+)\$[0-9]+"))</f>
        <v/>
      </c>
      <c r="AD17" s="7" t="str">
        <f t="array" aca="1" ref="AD17" ca="1">IFERROR(IF(OR('Raw Data'!AD17="",LEN(TRIM('Raw Data'!AD17))=0),"",IF(AND(ISNUMBER('Raw Data'!AD17), IFERROR('Raw Data'!AD17 = ROUND('Raw Data'!AD17, 2),FALSE)),"",_xlfn.REGEXEXTRACT(CELL("address",AD17), "\$([A-Z]+)\$[0-9]+"))),_xlfn.REGEXEXTRACT(CELL("address",AD17), "\$([A-Z]+)\$[0-9]+"))</f>
        <v/>
      </c>
      <c r="AE17" s="7" t="str">
        <f t="array" aca="1" ref="AE17" ca="1">IFERROR(IF(OR('Raw Data'!AE17="",LEN(TRIM('Raw Data'!AE17))=0),"",IF(AND(ISNUMBER('Raw Data'!AE17), IFERROR('Raw Data'!AE17 = ROUND('Raw Data'!AE17, 2),FALSE)),"",_xlfn.REGEXEXTRACT(CELL("address",AE17), "\$([A-Z]+)\$[0-9]+"))),_xlfn.REGEXEXTRACT(CELL("address",AE17), "\$([A-Z]+)\$[0-9]+"))</f>
        <v/>
      </c>
      <c r="AF17" s="7" t="str">
        <f t="array" aca="1" ref="AF17" ca="1">IFERROR(IF(OR('Raw Data'!AF17="",LEN(TRIM('Raw Data'!AF17))=0),"",IF(AND(ISNUMBER('Raw Data'!AF17), IFERROR('Raw Data'!AF17 = ROUND('Raw Data'!AF17, 2),FALSE)),"",_xlfn.REGEXEXTRACT(CELL("address",AF17), "\$([A-Z]+)\$[0-9]+"))),_xlfn.REGEXEXTRACT(CELL("address",AF17), "\$([A-Z]+)\$[0-9]+"))</f>
        <v/>
      </c>
      <c r="AG17" s="7" t="str">
        <f t="array" aca="1" ref="AG17" ca="1">IFERROR(IF(OR('Raw Data'!AG17="",LEN(TRIM('Raw Data'!AG17))=0),"",IF(AND(ISNUMBER('Raw Data'!AG17), IFERROR('Raw Data'!AG17 = ROUND('Raw Data'!AG17, 2),FALSE)),"",_xlfn.REGEXEXTRACT(CELL("address",AG17), "\$([A-Z]+)\$[0-9]+"))),_xlfn.REGEXEXTRACT(CELL("address",AG17), "\$([A-Z]+)\$[0-9]+"))</f>
        <v/>
      </c>
      <c r="AH17" s="7" t="str">
        <f t="array" aca="1" ref="AH17" ca="1">IFERROR(IF(OR('Raw Data'!AH17="",LEN(TRIM('Raw Data'!AH17))=0),"",IF(AND(ISNUMBER('Raw Data'!AH17), IFERROR('Raw Data'!AH17 = ROUND('Raw Data'!AH17, 2),FALSE)),"",_xlfn.REGEXEXTRACT(CELL("address",AH17), "\$([A-Z]+)\$[0-9]+"))),_xlfn.REGEXEXTRACT(CELL("address",AH17), "\$([A-Z]+)\$[0-9]+"))</f>
        <v/>
      </c>
      <c r="AI17" s="7" t="str">
        <f t="array" aca="1" ref="AI17" ca="1">IFERROR(IF(OR('Raw Data'!AI17="",LEN(TRIM('Raw Data'!AI17))=0),"",IF(AND(ISNUMBER('Raw Data'!AI17), IFERROR('Raw Data'!AI17 = ROUND('Raw Data'!AI17, 2),FALSE)),"",_xlfn.REGEXEXTRACT(CELL("address",AI17), "\$([A-Z]+)\$[0-9]+"))),_xlfn.REGEXEXTRACT(CELL("address",AI17), "\$([A-Z]+)\$[0-9]+"))</f>
        <v/>
      </c>
      <c r="AJ17" s="7" t="str">
        <f t="array" aca="1" ref="AJ17" ca="1">IFERROR(IF(OR('Raw Data'!AJ17="",LEN(TRIM('Raw Data'!AJ17))=0),"",IF(AND(ISNUMBER('Raw Data'!AJ17), IFERROR('Raw Data'!AJ17 = ROUND('Raw Data'!AJ17, 4),FALSE)),"",_xlfn.REGEXEXTRACT(CELL("address",AJ17), "\$([A-Z]+)\$[0-9]+"))),_xlfn.REGEXEXTRACT(CELL("address",AJ17), "\$([A-Z]+)\$[0-9]+"))</f>
        <v/>
      </c>
      <c r="AK17" s="7" t="str">
        <f t="array" aca="1" ref="AK17" ca="1">IFERROR(IF(OR('Raw Data'!AK17="",LEN(TRIM('Raw Data'!AK17))=0),"",IF(AND(ISNUMBER('Raw Data'!AK17), IFERROR('Raw Data'!AK17 = ROUND('Raw Data'!AK17, 2),FALSE)),"",_xlfn.REGEXEXTRACT(CELL("address",AK17), "\$([A-Z]+)\$[0-9]+"))),_xlfn.REGEXEXTRACT(CELL("address",AK17), "\$([A-Z]+)\$[0-9]+"))</f>
        <v/>
      </c>
      <c r="AL17" s="7" t="str">
        <f t="array" aca="1" ref="AL17" ca="1">IFERROR(IF(OR('Raw Data'!AL17="",LEN(TRIM('Raw Data'!AL17))=0),"",IF(AND(ISNUMBER('Raw Data'!AL17), IFERROR('Raw Data'!AL17 = ROUND('Raw Data'!AL17, 2),FALSE)),"",_xlfn.REGEXEXTRACT(CELL("address",AL17), "\$([A-Z]+)\$[0-9]+"))),_xlfn.REGEXEXTRACT(CELL("address",AL17), "\$([A-Z]+)\$[0-9]+"))</f>
        <v/>
      </c>
      <c r="AM17" s="7" t="str">
        <f t="array" aca="1" ref="AM17" ca="1">IFERROR(IF(OR('Raw Data'!AM17="",LEN(TRIM('Raw Data'!AM17))=0),"",IF(AND(ISNUMBER('Raw Data'!AM17), IFERROR('Raw Data'!AM17 = ROUND('Raw Data'!AM17, 2),FALSE)),"",_xlfn.REGEXEXTRACT(CELL("address",AM17), "\$([A-Z]+)\$[0-9]+"))),_xlfn.REGEXEXTRACT(CELL("address",AM17), "\$([A-Z]+)\$[0-9]+"))</f>
        <v/>
      </c>
      <c r="AN17" s="7" t="str">
        <f t="array" aca="1" ref="AN17" ca="1">IFERROR(IF(OR('Raw Data'!AN17="",LEN(TRIM('Raw Data'!AN17))=0),"",IF(AND(ISNUMBER('Raw Data'!AN17), IFERROR('Raw Data'!AN17 = ROUND('Raw Data'!AN17, 2),FALSE)),"",_xlfn.REGEXEXTRACT(CELL("address",AN17), "\$([A-Z]+)\$[0-9]+"))),_xlfn.REGEXEXTRACT(CELL("address",AN17), "\$([A-Z]+)\$[0-9]+"))</f>
        <v/>
      </c>
      <c r="AO17" s="7" t="str">
        <f t="array" aca="1" ref="AO17" ca="1">IFERROR(IF(OR('Raw Data'!AO17="",LEN(TRIM('Raw Data'!AO17))=0),"",IF(AND(ISNUMBER('Raw Data'!AO17), IFERROR('Raw Data'!AO17 = ROUND('Raw Data'!AO17, 2),FALSE)),"",_xlfn.REGEXEXTRACT(CELL("address",AO17), "\$([A-Z]+)\$[0-9]+"))),_xlfn.REGEXEXTRACT(CELL("address",AO17), "\$([A-Z]+)\$[0-9]+"))</f>
        <v/>
      </c>
      <c r="AP17" s="7" t="str">
        <f t="array" aca="1" ref="AP17" ca="1">IFERROR(IF(OR('Raw Data'!AP17="",LEN(TRIM('Raw Data'!AP17))=0),"",IF(AND(ISNUMBER('Raw Data'!AP17), IFERROR('Raw Data'!AP17 = ROUND('Raw Data'!AP17, 2),FALSE)),"",_xlfn.REGEXEXTRACT(CELL("address",AP17), "\$([A-Z]+)\$[0-9]+"))),_xlfn.REGEXEXTRACT(CELL("address",AP17), "\$([A-Z]+)\$[0-9]+"))</f>
        <v/>
      </c>
    </row>
    <row r="18" spans="2:42" x14ac:dyDescent="0.25">
      <c r="B18" s="7" t="str">
        <f t="array" aca="1" ref="B18" ca="1">IFERROR(IF(OR('Raw Data'!B18="",LEN(TRIM('Raw Data'!B18))=0),"",IF(AND(LEN('Raw Data'!B18) &lt;= 255,LEN('Raw Data'!B18)&gt; 0),"",_xlfn.REGEXEXTRACT(CELL("address",'Raw Data'!B18),"\$([A-Z]+)\$[0-9]+"))),_xlfn.REGEXEXTRACT(CELL("address",'Raw Data'!B18),"\$([A-Z]+)\$[0-9]+"))</f>
        <v/>
      </c>
      <c r="C18" s="7" t="str">
        <f t="array" aca="1" ref="C18" ca="1">IFERROR(IF(OR('Raw Data'!C18="",LEN(TRIM('Raw Data'!C18))=0),"",IF(AND(LEN('Raw Data'!C18) &lt;= 50,LEN('Raw Data'!C18)&gt; 0),"",_xlfn.REGEXEXTRACT(CELL("address",'Raw Data'!C18),"\$([A-Z]+)\$[0-9]+"))),_xlfn.REGEXEXTRACT(CELL("address",'Raw Data'!C18),"\$([A-Z]+)\$[0-9]+"))</f>
        <v/>
      </c>
      <c r="D18" s="7" t="str">
        <f t="array" aca="1" ref="D18" ca="1">IFERROR(IF(OR('Raw Data'!D18="",LEN(TRIM('Raw Data'!D18))=0),"",IF(AND(LEN('Raw Data'!D18) &lt;= 500,LEN('Raw Data'!D18)&gt; 0),"",_xlfn.REGEXEXTRACT(CELL("address",'Raw Data'!D18),"\$([A-Z]+)\$[0-9]+"))),_xlfn.REGEXEXTRACT(CELL("address",'Raw Data'!D18),"\$([A-Z]+)\$[0-9]+"))</f>
        <v/>
      </c>
      <c r="E18" s="7" t="str">
        <f t="array" aca="1" ref="E18" ca="1">IFERROR(IF(OR('Raw Data'!E18="",LEN(TRIM('Raw Data'!E18))=0),"",IF(AND(LEN('Raw Data'!E18) &lt;= 50,LEN('Raw Data'!E18)&gt; 0),"",_xlfn.REGEXEXTRACT(CELL("address",'Raw Data'!E18),"\$([A-Z]+)\$[0-9]+"))),_xlfn.REGEXEXTRACT(CELL("address",'Raw Data'!E18),"\$([A-Z]+)\$[0-9]+"))</f>
        <v/>
      </c>
      <c r="F18" s="7" t="str">
        <f t="array" aca="1" ref="F18" ca="1">IFERROR(IF(OR('Raw Data'!F18="",LEN(TRIM('Raw Data'!F18))=0),"",IF(AND(LEN('Raw Data'!F18) &lt;= 50,LEN('Raw Data'!F18)&gt; 0),"",_xlfn.REGEXEXTRACT(CELL("address",'Raw Data'!F18),"\$([A-Z]+)\$[0-9]+"))),_xlfn.REGEXEXTRACT(CELL("address",'Raw Data'!F18),"\$([A-Z]+)\$[0-9]+"))</f>
        <v/>
      </c>
      <c r="G18" s="7" t="str">
        <f t="array" aca="1" ref="G18" ca="1">IFERROR(IF(OR('Raw Data'!G18="",LEN(TRIM('Raw Data'!G18))=0),"",IF(AND(LEN('Raw Data'!G18) &lt;= 50,LEN('Raw Data'!G18)&gt; 0),"",_xlfn.REGEXEXTRACT(CELL("address",'Raw Data'!G18),"\$([A-Z]+)\$[0-9]+"))),_xlfn.REGEXEXTRACT(CELL("address",'Raw Data'!G18),"\$([A-Z]+)\$[0-9]+"))</f>
        <v/>
      </c>
      <c r="H18" s="7" t="str">
        <f t="array" aca="1" ref="H18" ca="1">IFERROR(IF(OR('Raw Data'!H18="",LEN(TRIM('Raw Data'!H18))=0),"",IF(AND(LEN('Raw Data'!H18) &lt;= 50,LEN('Raw Data'!H18)&gt; 0),"",_xlfn.REGEXEXTRACT(CELL("address",'Raw Data'!H18),"\$([A-Z]+)\$[0-9]+"))),_xlfn.REGEXEXTRACT(CELL("address",'Raw Data'!H18),"\$([A-Z]+)\$[0-9]+"))</f>
        <v/>
      </c>
      <c r="I18" s="7" t="str">
        <f t="array" aca="1" ref="I18" ca="1">IFERROR(IF(OR('Raw Data'!I18="",LEN(TRIM('Raw Data'!I18))=0),"",IF(AND(LEN('Raw Data'!I18) &lt;= 50,LEN('Raw Data'!I18)&gt; 0),"",_xlfn.REGEXEXTRACT(CELL("address",'Raw Data'!I18),"\$([A-Z]+)\$[0-9]+"))),_xlfn.REGEXEXTRACT(CELL("address",'Raw Data'!I18),"\$([A-Z]+)\$[0-9]+"))</f>
        <v/>
      </c>
      <c r="J18" s="7" t="str">
        <f t="array" aca="1" ref="J18" ca="1">IFERROR(IF(OR('Raw Data'!J18="",LEN(TRIM('Raw Data'!J18))=0),"",IF(AND(ISNUMBER('Raw Data'!J18), IFERROR('Raw Data'!J18 = ROUND('Raw Data'!J18, 2),FALSE)),"",_xlfn.REGEXEXTRACT(CELL("address",J18), "\$([A-Z]+)\$[0-9]+"))),_xlfn.REGEXEXTRACT(CELL("address",J18), "\$([A-Z]+)\$[0-9]+"))</f>
        <v/>
      </c>
      <c r="K18" s="7" t="str">
        <f t="array" aca="1" ref="K18" ca="1">IFERROR(IF(OR('Raw Data'!K18="",LEN(TRIM('Raw Data'!K18))=0),"",IF(AND(ISNUMBER('Raw Data'!K18), IFERROR('Raw Data'!K18 = ROUND('Raw Data'!K18, 2),FALSE)),"",_xlfn.REGEXEXTRACT(CELL("address",K18), "\$([A-Z]+)\$[0-9]+"))),_xlfn.REGEXEXTRACT(CELL("address",K18), "\$([A-Z]+)\$[0-9]+"))</f>
        <v/>
      </c>
      <c r="L18" s="7" t="str">
        <f t="array" aca="1" ref="L18" ca="1">IFERROR(IF(OR('Raw Data'!L18="",LEN(TRIM('Raw Data'!L18))=0),"",IF(AND(ISNUMBER('Raw Data'!L18), IFERROR('Raw Data'!L18 = ROUND('Raw Data'!L18, 2),FALSE)),"",_xlfn.REGEXEXTRACT(CELL("address",L18), "\$([A-Z]+)\$[0-9]+"))),_xlfn.REGEXEXTRACT(CELL("address",L18), "\$([A-Z]+)\$[0-9]+"))</f>
        <v/>
      </c>
      <c r="M18" s="7" t="str">
        <f t="array" aca="1" ref="M18" ca="1">IFERROR(IF(OR('Raw Data'!M18="",LEN(TRIM('Raw Data'!M18))=0),"",IF(AND(ISNUMBER('Raw Data'!M18), IFERROR('Raw Data'!M18 = ROUND('Raw Data'!M18, 2),FALSE)),"",_xlfn.REGEXEXTRACT(CELL("address",M18), "\$([A-Z]+)\$[0-9]+"))),_xlfn.REGEXEXTRACT(CELL("address",M18), "\$([A-Z]+)\$[0-9]+"))</f>
        <v/>
      </c>
      <c r="N18" s="7" t="str">
        <f t="array" aca="1" ref="N18" ca="1">IFERROR(IF(OR('Raw Data'!N18="",LEN(TRIM('Raw Data'!N18))=0),"",IF(AND(ISNUMBER('Raw Data'!N18), IFERROR('Raw Data'!N18 = ROUND('Raw Data'!N18, 2),FALSE)),"",_xlfn.REGEXEXTRACT(CELL("address",N18), "\$([A-Z]+)\$[0-9]+"))),_xlfn.REGEXEXTRACT(CELL("address",N18), "\$([A-Z]+)\$[0-9]+"))</f>
        <v/>
      </c>
      <c r="O18" s="7" t="str">
        <f t="array" aca="1" ref="O18" ca="1">IFERROR(IF(OR('Raw Data'!O18="",LEN(TRIM('Raw Data'!O18))=0),"",IF(AND(ISNUMBER('Raw Data'!O18),'Raw Data'!O18&gt;=Configuration!$D$2),"",_xlfn.REGEXEXTRACT(CELL("address",'Raw Data'!O18),"\$([A-Z]+)\$[0-9]+"))),_xlfn.REGEXEXTRACT(CELL("address",O18), "\$([A-Z]+)\$[0-9]+"))</f>
        <v/>
      </c>
      <c r="P18" s="7" t="str">
        <f t="array" aca="1" ref="P18" ca="1">IFERROR(IF(OR('Raw Data'!P18="",LEN(TRIM('Raw Data'!P18))=0),"",IF(AND(ISNUMBER('Raw Data'!P18), IFERROR('Raw Data'!P18 = ROUND('Raw Data'!P18, 2),FALSE)),"",_xlfn.REGEXEXTRACT(CELL("address",P18), "\$([A-Z]+)\$[0-9]+"))),_xlfn.REGEXEXTRACT(CELL("address",P18), "\$([A-Z]+)\$[0-9]+"))</f>
        <v/>
      </c>
      <c r="Q18" s="7" t="str">
        <f t="array" aca="1" ref="Q18" ca="1">IFERROR(IF(OR('Raw Data'!Q18="",LEN(TRIM('Raw Data'!Q18))=0),"",IF(AND(ISNUMBER('Raw Data'!Q18), IFERROR('Raw Data'!Q18 = ROUND('Raw Data'!Q18, 2),FALSE)),"",_xlfn.REGEXEXTRACT(CELL("address",Q18), "\$([A-Z]+)\$[0-9]+"))),_xlfn.REGEXEXTRACT(CELL("address",Q18), "\$([A-Z]+)\$[0-9]+"))</f>
        <v/>
      </c>
      <c r="R18" s="7" t="str">
        <f t="array" aca="1" ref="R18" ca="1">IFERROR(IF(OR('Raw Data'!R18="",LEN(TRIM('Raw Data'!R18))=0),"",IF(AND(LEN('Raw Data'!R18) &lt;= 50,LEN('Raw Data'!R18)&gt; 0),"",_xlfn.REGEXEXTRACT(CELL("address",'Raw Data'!R18),"\$([A-Z]+)\$[0-9]+"))),_xlfn.REGEXEXTRACT(CELL("address",'Raw Data'!R18),"\$([A-Z]+)\$[0-9]+"))</f>
        <v/>
      </c>
      <c r="S18" s="7" t="str">
        <f t="array" aca="1" ref="S18" ca="1">IFERROR(IF(OR('Raw Data'!S18="",LEN(TRIM('Raw Data'!S18))=0),"",IF(AND(LEN('Raw Data'!S18) &lt;= 50,LEN('Raw Data'!S18)&gt; 0),"",_xlfn.REGEXEXTRACT(CELL("address",'Raw Data'!S18),"\$([A-Z]+)\$[0-9]+"))),_xlfn.REGEXEXTRACT(CELL("address",'Raw Data'!S18),"\$([A-Z]+)\$[0-9]+"))</f>
        <v/>
      </c>
      <c r="T18" s="7" t="str">
        <f t="array" aca="1" ref="T18" ca="1">IFERROR(IF(OR('Raw Data'!T18="",LEN(TRIM('Raw Data'!T18))=0),"",IF(AND(ISNUMBER('Raw Data'!T18), IFERROR('Raw Data'!T18 = ROUND('Raw Data'!T18, 2),FALSE)),"",_xlfn.REGEXEXTRACT(CELL("address",T18), "\$([A-Z]+)\$[0-9]+"))),_xlfn.REGEXEXTRACT(CELL("address",T18), "\$([A-Z]+)\$[0-9]+"))</f>
        <v/>
      </c>
      <c r="U18" s="7" t="str">
        <f t="array" aca="1" ref="U18" ca="1">IFERROR(IF(OR('Raw Data'!U18="",LEN(TRIM('Raw Data'!U18))=0),"",IF(AND(ISNUMBER('Raw Data'!U18), IFERROR('Raw Data'!U18 = ROUND('Raw Data'!U18, 2),FALSE)),"",_xlfn.REGEXEXTRACT(CELL("address",U18), "\$([A-Z]+)\$[0-9]+"))),_xlfn.REGEXEXTRACT(CELL("address",U18), "\$([A-Z]+)\$[0-9]+"))</f>
        <v/>
      </c>
      <c r="V18" s="7" t="str">
        <f t="array" aca="1" ref="V18" ca="1">IFERROR(IF(OR('Raw Data'!V18="",LEN(TRIM('Raw Data'!V18))=0),"",IF(AND(ISNUMBER('Raw Data'!V18), IFERROR('Raw Data'!V18 = ROUND('Raw Data'!V18, 2),FALSE)),"",_xlfn.REGEXEXTRACT(CELL("address",V18), "\$([A-Z]+)\$[0-9]+"))),_xlfn.REGEXEXTRACT(CELL("address",V18), "\$([A-Z]+)\$[0-9]+"))</f>
        <v/>
      </c>
      <c r="W18" s="7" t="str">
        <f t="array" aca="1" ref="W18" ca="1">IFERROR(IF(OR('Raw Data'!W18="",LEN(TRIM('Raw Data'!W18))=0),"",IF(AND(ISNUMBER('Raw Data'!W18), IFERROR('Raw Data'!W18 = ROUND('Raw Data'!W18, 2),FALSE)),"",_xlfn.REGEXEXTRACT(CELL("address",W18), "\$([A-Z]+)\$[0-9]+"))),_xlfn.REGEXEXTRACT(CELL("address",W18), "\$([A-Z]+)\$[0-9]+"))</f>
        <v/>
      </c>
      <c r="X18" s="7" t="str">
        <f t="array" aca="1" ref="X18" ca="1">IFERROR(IF(OR('Raw Data'!X18="",LEN(TRIM('Raw Data'!X18))=0),"",IF(AND(ISNUMBER('Raw Data'!X18), IFERROR('Raw Data'!X18 = ROUND('Raw Data'!X18, 2),FALSE)),"",_xlfn.REGEXEXTRACT(CELL("address",X18), "\$([A-Z]+)\$[0-9]+"))),_xlfn.REGEXEXTRACT(CELL("address",X18), "\$([A-Z]+)\$[0-9]+"))</f>
        <v/>
      </c>
      <c r="Y18" s="7" t="str">
        <f t="array" aca="1" ref="Y18" ca="1">IFERROR(IF(OR('Raw Data'!Y18="",LEN(TRIM('Raw Data'!Y18))=0),"",IF(AND(ISNUMBER('Raw Data'!Y18), IFERROR('Raw Data'!Y18 = ROUND('Raw Data'!Y18, 2),FALSE)),"",_xlfn.REGEXEXTRACT(CELL("address",Y18), "\$([A-Z]+)\$[0-9]+"))),_xlfn.REGEXEXTRACT(CELL("address",Y18), "\$([A-Z]+)\$[0-9]+"))</f>
        <v/>
      </c>
      <c r="Z18" s="7" t="str">
        <f t="array" aca="1" ref="Z18" ca="1">IFERROR(IF(OR('Raw Data'!Z18="",LEN(TRIM('Raw Data'!Z18))=0),"",IF(AND(ISNUMBER('Raw Data'!Z18), IFERROR('Raw Data'!Z18 = ROUND('Raw Data'!Z18, 2),FALSE)),"",_xlfn.REGEXEXTRACT(CELL("address",Z18), "\$([A-Z]+)\$[0-9]+"))),_xlfn.REGEXEXTRACT(CELL("address",Z18), "\$([A-Z]+)\$[0-9]+"))</f>
        <v/>
      </c>
      <c r="AA18" s="7" t="str">
        <f t="array" aca="1" ref="AA18" ca="1">IFERROR(IF(OR('Raw Data'!AA18="",LEN(TRIM('Raw Data'!AA18))=0),"",IF(AND(ISNUMBER('Raw Data'!AA18), IFERROR('Raw Data'!AA18 = ROUND('Raw Data'!AA18, 2),FALSE)),"",_xlfn.REGEXEXTRACT(CELL("address",AA18), "\$([A-Z]+)\$[0-9]+"))),_xlfn.REGEXEXTRACT(CELL("address",AA18), "\$([A-Z]+)\$[0-9]+"))</f>
        <v/>
      </c>
      <c r="AB18" s="7" t="str">
        <f t="array" aca="1" ref="AB18" ca="1">IFERROR(IF(OR('Raw Data'!AB18="",LEN(TRIM('Raw Data'!AB18))=0),"",IF(AND(ISNUMBER('Raw Data'!AB18), IFERROR('Raw Data'!AB18 = ROUND('Raw Data'!AB18, 2),FALSE)),"",_xlfn.REGEXEXTRACT(CELL("address",AB18), "\$([A-Z]+)\$[0-9]+"))),_xlfn.REGEXEXTRACT(CELL("address",AB18), "\$([A-Z]+)\$[0-9]+"))</f>
        <v/>
      </c>
      <c r="AC18" s="7" t="str">
        <f t="array" aca="1" ref="AC18" ca="1">IFERROR(IF(OR('Raw Data'!AC18="",LEN(TRIM('Raw Data'!AC18))=0),"",IF(AND(ISNUMBER('Raw Data'!AC18), IFERROR('Raw Data'!AC18 = ROUND('Raw Data'!AC18, 2),FALSE)),"",_xlfn.REGEXEXTRACT(CELL("address",AC18), "\$([A-Z]+)\$[0-9]+"))),_xlfn.REGEXEXTRACT(CELL("address",AC18), "\$([A-Z]+)\$[0-9]+"))</f>
        <v/>
      </c>
      <c r="AD18" s="7" t="str">
        <f t="array" aca="1" ref="AD18" ca="1">IFERROR(IF(OR('Raw Data'!AD18="",LEN(TRIM('Raw Data'!AD18))=0),"",IF(AND(ISNUMBER('Raw Data'!AD18), IFERROR('Raw Data'!AD18 = ROUND('Raw Data'!AD18, 2),FALSE)),"",_xlfn.REGEXEXTRACT(CELL("address",AD18), "\$([A-Z]+)\$[0-9]+"))),_xlfn.REGEXEXTRACT(CELL("address",AD18), "\$([A-Z]+)\$[0-9]+"))</f>
        <v/>
      </c>
      <c r="AE18" s="7" t="str">
        <f t="array" aca="1" ref="AE18" ca="1">IFERROR(IF(OR('Raw Data'!AE18="",LEN(TRIM('Raw Data'!AE18))=0),"",IF(AND(ISNUMBER('Raw Data'!AE18), IFERROR('Raw Data'!AE18 = ROUND('Raw Data'!AE18, 2),FALSE)),"",_xlfn.REGEXEXTRACT(CELL("address",AE18), "\$([A-Z]+)\$[0-9]+"))),_xlfn.REGEXEXTRACT(CELL("address",AE18), "\$([A-Z]+)\$[0-9]+"))</f>
        <v/>
      </c>
      <c r="AF18" s="7" t="str">
        <f t="array" aca="1" ref="AF18" ca="1">IFERROR(IF(OR('Raw Data'!AF18="",LEN(TRIM('Raw Data'!AF18))=0),"",IF(AND(ISNUMBER('Raw Data'!AF18), IFERROR('Raw Data'!AF18 = ROUND('Raw Data'!AF18, 2),FALSE)),"",_xlfn.REGEXEXTRACT(CELL("address",AF18), "\$([A-Z]+)\$[0-9]+"))),_xlfn.REGEXEXTRACT(CELL("address",AF18), "\$([A-Z]+)\$[0-9]+"))</f>
        <v/>
      </c>
      <c r="AG18" s="7" t="str">
        <f t="array" aca="1" ref="AG18" ca="1">IFERROR(IF(OR('Raw Data'!AG18="",LEN(TRIM('Raw Data'!AG18))=0),"",IF(AND(ISNUMBER('Raw Data'!AG18), IFERROR('Raw Data'!AG18 = ROUND('Raw Data'!AG18, 2),FALSE)),"",_xlfn.REGEXEXTRACT(CELL("address",AG18), "\$([A-Z]+)\$[0-9]+"))),_xlfn.REGEXEXTRACT(CELL("address",AG18), "\$([A-Z]+)\$[0-9]+"))</f>
        <v/>
      </c>
      <c r="AH18" s="7" t="str">
        <f t="array" aca="1" ref="AH18" ca="1">IFERROR(IF(OR('Raw Data'!AH18="",LEN(TRIM('Raw Data'!AH18))=0),"",IF(AND(ISNUMBER('Raw Data'!AH18), IFERROR('Raw Data'!AH18 = ROUND('Raw Data'!AH18, 2),FALSE)),"",_xlfn.REGEXEXTRACT(CELL("address",AH18), "\$([A-Z]+)\$[0-9]+"))),_xlfn.REGEXEXTRACT(CELL("address",AH18), "\$([A-Z]+)\$[0-9]+"))</f>
        <v/>
      </c>
      <c r="AI18" s="7" t="str">
        <f t="array" aca="1" ref="AI18" ca="1">IFERROR(IF(OR('Raw Data'!AI18="",LEN(TRIM('Raw Data'!AI18))=0),"",IF(AND(ISNUMBER('Raw Data'!AI18), IFERROR('Raw Data'!AI18 = ROUND('Raw Data'!AI18, 2),FALSE)),"",_xlfn.REGEXEXTRACT(CELL("address",AI18), "\$([A-Z]+)\$[0-9]+"))),_xlfn.REGEXEXTRACT(CELL("address",AI18), "\$([A-Z]+)\$[0-9]+"))</f>
        <v/>
      </c>
      <c r="AJ18" s="7" t="str">
        <f t="array" aca="1" ref="AJ18" ca="1">IFERROR(IF(OR('Raw Data'!AJ18="",LEN(TRIM('Raw Data'!AJ18))=0),"",IF(AND(ISNUMBER('Raw Data'!AJ18), IFERROR('Raw Data'!AJ18 = ROUND('Raw Data'!AJ18, 4),FALSE)),"",_xlfn.REGEXEXTRACT(CELL("address",AJ18), "\$([A-Z]+)\$[0-9]+"))),_xlfn.REGEXEXTRACT(CELL("address",AJ18), "\$([A-Z]+)\$[0-9]+"))</f>
        <v/>
      </c>
      <c r="AK18" s="7" t="str">
        <f t="array" aca="1" ref="AK18" ca="1">IFERROR(IF(OR('Raw Data'!AK18="",LEN(TRIM('Raw Data'!AK18))=0),"",IF(AND(ISNUMBER('Raw Data'!AK18), IFERROR('Raw Data'!AK18 = ROUND('Raw Data'!AK18, 2),FALSE)),"",_xlfn.REGEXEXTRACT(CELL("address",AK18), "\$([A-Z]+)\$[0-9]+"))),_xlfn.REGEXEXTRACT(CELL("address",AK18), "\$([A-Z]+)\$[0-9]+"))</f>
        <v/>
      </c>
      <c r="AL18" s="7" t="str">
        <f t="array" aca="1" ref="AL18" ca="1">IFERROR(IF(OR('Raw Data'!AL18="",LEN(TRIM('Raw Data'!AL18))=0),"",IF(AND(ISNUMBER('Raw Data'!AL18), IFERROR('Raw Data'!AL18 = ROUND('Raw Data'!AL18, 2),FALSE)),"",_xlfn.REGEXEXTRACT(CELL("address",AL18), "\$([A-Z]+)\$[0-9]+"))),_xlfn.REGEXEXTRACT(CELL("address",AL18), "\$([A-Z]+)\$[0-9]+"))</f>
        <v/>
      </c>
      <c r="AM18" s="7" t="str">
        <f t="array" aca="1" ref="AM18" ca="1">IFERROR(IF(OR('Raw Data'!AM18="",LEN(TRIM('Raw Data'!AM18))=0),"",IF(AND(ISNUMBER('Raw Data'!AM18), IFERROR('Raw Data'!AM18 = ROUND('Raw Data'!AM18, 2),FALSE)),"",_xlfn.REGEXEXTRACT(CELL("address",AM18), "\$([A-Z]+)\$[0-9]+"))),_xlfn.REGEXEXTRACT(CELL("address",AM18), "\$([A-Z]+)\$[0-9]+"))</f>
        <v/>
      </c>
      <c r="AN18" s="7" t="str">
        <f t="array" aca="1" ref="AN18" ca="1">IFERROR(IF(OR('Raw Data'!AN18="",LEN(TRIM('Raw Data'!AN18))=0),"",IF(AND(ISNUMBER('Raw Data'!AN18), IFERROR('Raw Data'!AN18 = ROUND('Raw Data'!AN18, 2),FALSE)),"",_xlfn.REGEXEXTRACT(CELL("address",AN18), "\$([A-Z]+)\$[0-9]+"))),_xlfn.REGEXEXTRACT(CELL("address",AN18), "\$([A-Z]+)\$[0-9]+"))</f>
        <v/>
      </c>
      <c r="AO18" s="7" t="str">
        <f t="array" aca="1" ref="AO18" ca="1">IFERROR(IF(OR('Raw Data'!AO18="",LEN(TRIM('Raw Data'!AO18))=0),"",IF(AND(ISNUMBER('Raw Data'!AO18), IFERROR('Raw Data'!AO18 = ROUND('Raw Data'!AO18, 2),FALSE)),"",_xlfn.REGEXEXTRACT(CELL("address",AO18), "\$([A-Z]+)\$[0-9]+"))),_xlfn.REGEXEXTRACT(CELL("address",AO18), "\$([A-Z]+)\$[0-9]+"))</f>
        <v/>
      </c>
      <c r="AP18" s="7" t="str">
        <f t="array" aca="1" ref="AP18" ca="1">IFERROR(IF(OR('Raw Data'!AP18="",LEN(TRIM('Raw Data'!AP18))=0),"",IF(AND(ISNUMBER('Raw Data'!AP18), IFERROR('Raw Data'!AP18 = ROUND('Raw Data'!AP18, 2),FALSE)),"",_xlfn.REGEXEXTRACT(CELL("address",AP18), "\$([A-Z]+)\$[0-9]+"))),_xlfn.REGEXEXTRACT(CELL("address",AP18), "\$([A-Z]+)\$[0-9]+"))</f>
        <v/>
      </c>
    </row>
    <row r="19" spans="2:42" x14ac:dyDescent="0.25">
      <c r="B19" s="7" t="str">
        <f t="array" aca="1" ref="B19" ca="1">IFERROR(IF(OR('Raw Data'!B19="",LEN(TRIM('Raw Data'!B19))=0),"",IF(AND(LEN('Raw Data'!B19) &lt;= 255,LEN('Raw Data'!B19)&gt; 0),"",_xlfn.REGEXEXTRACT(CELL("address",'Raw Data'!B19),"\$([A-Z]+)\$[0-9]+"))),_xlfn.REGEXEXTRACT(CELL("address",'Raw Data'!B19),"\$([A-Z]+)\$[0-9]+"))</f>
        <v/>
      </c>
      <c r="C19" s="7" t="str">
        <f t="array" aca="1" ref="C19" ca="1">IFERROR(IF(OR('Raw Data'!C19="",LEN(TRIM('Raw Data'!C19))=0),"",IF(AND(LEN('Raw Data'!C19) &lt;= 50,LEN('Raw Data'!C19)&gt; 0),"",_xlfn.REGEXEXTRACT(CELL("address",'Raw Data'!C19),"\$([A-Z]+)\$[0-9]+"))),_xlfn.REGEXEXTRACT(CELL("address",'Raw Data'!C19),"\$([A-Z]+)\$[0-9]+"))</f>
        <v/>
      </c>
      <c r="D19" s="7" t="str">
        <f t="array" aca="1" ref="D19" ca="1">IFERROR(IF(OR('Raw Data'!D19="",LEN(TRIM('Raw Data'!D19))=0),"",IF(AND(LEN('Raw Data'!D19) &lt;= 500,LEN('Raw Data'!D19)&gt; 0),"",_xlfn.REGEXEXTRACT(CELL("address",'Raw Data'!D19),"\$([A-Z]+)\$[0-9]+"))),_xlfn.REGEXEXTRACT(CELL("address",'Raw Data'!D19),"\$([A-Z]+)\$[0-9]+"))</f>
        <v/>
      </c>
      <c r="E19" s="7" t="str">
        <f t="array" aca="1" ref="E19" ca="1">IFERROR(IF(OR('Raw Data'!E19="",LEN(TRIM('Raw Data'!E19))=0),"",IF(AND(LEN('Raw Data'!E19) &lt;= 50,LEN('Raw Data'!E19)&gt; 0),"",_xlfn.REGEXEXTRACT(CELL("address",'Raw Data'!E19),"\$([A-Z]+)\$[0-9]+"))),_xlfn.REGEXEXTRACT(CELL("address",'Raw Data'!E19),"\$([A-Z]+)\$[0-9]+"))</f>
        <v/>
      </c>
      <c r="F19" s="7" t="str">
        <f t="array" aca="1" ref="F19" ca="1">IFERROR(IF(OR('Raw Data'!F19="",LEN(TRIM('Raw Data'!F19))=0),"",IF(AND(LEN('Raw Data'!F19) &lt;= 50,LEN('Raw Data'!F19)&gt; 0),"",_xlfn.REGEXEXTRACT(CELL("address",'Raw Data'!F19),"\$([A-Z]+)\$[0-9]+"))),_xlfn.REGEXEXTRACT(CELL("address",'Raw Data'!F19),"\$([A-Z]+)\$[0-9]+"))</f>
        <v/>
      </c>
      <c r="G19" s="7" t="str">
        <f t="array" aca="1" ref="G19" ca="1">IFERROR(IF(OR('Raw Data'!G19="",LEN(TRIM('Raw Data'!G19))=0),"",IF(AND(LEN('Raw Data'!G19) &lt;= 50,LEN('Raw Data'!G19)&gt; 0),"",_xlfn.REGEXEXTRACT(CELL("address",'Raw Data'!G19),"\$([A-Z]+)\$[0-9]+"))),_xlfn.REGEXEXTRACT(CELL("address",'Raw Data'!G19),"\$([A-Z]+)\$[0-9]+"))</f>
        <v/>
      </c>
      <c r="H19" s="7" t="str">
        <f t="array" aca="1" ref="H19" ca="1">IFERROR(IF(OR('Raw Data'!H19="",LEN(TRIM('Raw Data'!H19))=0),"",IF(AND(LEN('Raw Data'!H19) &lt;= 50,LEN('Raw Data'!H19)&gt; 0),"",_xlfn.REGEXEXTRACT(CELL("address",'Raw Data'!H19),"\$([A-Z]+)\$[0-9]+"))),_xlfn.REGEXEXTRACT(CELL("address",'Raw Data'!H19),"\$([A-Z]+)\$[0-9]+"))</f>
        <v/>
      </c>
      <c r="I19" s="7" t="str">
        <f t="array" aca="1" ref="I19" ca="1">IFERROR(IF(OR('Raw Data'!I19="",LEN(TRIM('Raw Data'!I19))=0),"",IF(AND(LEN('Raw Data'!I19) &lt;= 50,LEN('Raw Data'!I19)&gt; 0),"",_xlfn.REGEXEXTRACT(CELL("address",'Raw Data'!I19),"\$([A-Z]+)\$[0-9]+"))),_xlfn.REGEXEXTRACT(CELL("address",'Raw Data'!I19),"\$([A-Z]+)\$[0-9]+"))</f>
        <v/>
      </c>
      <c r="J19" s="7" t="str">
        <f t="array" aca="1" ref="J19" ca="1">IFERROR(IF(OR('Raw Data'!J19="",LEN(TRIM('Raw Data'!J19))=0),"",IF(AND(ISNUMBER('Raw Data'!J19), IFERROR('Raw Data'!J19 = ROUND('Raw Data'!J19, 2),FALSE)),"",_xlfn.REGEXEXTRACT(CELL("address",J19), "\$([A-Z]+)\$[0-9]+"))),_xlfn.REGEXEXTRACT(CELL("address",J19), "\$([A-Z]+)\$[0-9]+"))</f>
        <v/>
      </c>
      <c r="K19" s="7" t="str">
        <f t="array" aca="1" ref="K19" ca="1">IFERROR(IF(OR('Raw Data'!K19="",LEN(TRIM('Raw Data'!K19))=0),"",IF(AND(ISNUMBER('Raw Data'!K19), IFERROR('Raw Data'!K19 = ROUND('Raw Data'!K19, 2),FALSE)),"",_xlfn.REGEXEXTRACT(CELL("address",K19), "\$([A-Z]+)\$[0-9]+"))),_xlfn.REGEXEXTRACT(CELL("address",K19), "\$([A-Z]+)\$[0-9]+"))</f>
        <v/>
      </c>
      <c r="L19" s="7" t="str">
        <f t="array" aca="1" ref="L19" ca="1">IFERROR(IF(OR('Raw Data'!L19="",LEN(TRIM('Raw Data'!L19))=0),"",IF(AND(ISNUMBER('Raw Data'!L19), IFERROR('Raw Data'!L19 = ROUND('Raw Data'!L19, 2),FALSE)),"",_xlfn.REGEXEXTRACT(CELL("address",L19), "\$([A-Z]+)\$[0-9]+"))),_xlfn.REGEXEXTRACT(CELL("address",L19), "\$([A-Z]+)\$[0-9]+"))</f>
        <v/>
      </c>
      <c r="M19" s="7" t="str">
        <f t="array" aca="1" ref="M19" ca="1">IFERROR(IF(OR('Raw Data'!M19="",LEN(TRIM('Raw Data'!M19))=0),"",IF(AND(ISNUMBER('Raw Data'!M19), IFERROR('Raw Data'!M19 = ROUND('Raw Data'!M19, 2),FALSE)),"",_xlfn.REGEXEXTRACT(CELL("address",M19), "\$([A-Z]+)\$[0-9]+"))),_xlfn.REGEXEXTRACT(CELL("address",M19), "\$([A-Z]+)\$[0-9]+"))</f>
        <v/>
      </c>
      <c r="N19" s="7" t="str">
        <f t="array" aca="1" ref="N19" ca="1">IFERROR(IF(OR('Raw Data'!N19="",LEN(TRIM('Raw Data'!N19))=0),"",IF(AND(ISNUMBER('Raw Data'!N19), IFERROR('Raw Data'!N19 = ROUND('Raw Data'!N19, 2),FALSE)),"",_xlfn.REGEXEXTRACT(CELL("address",N19), "\$([A-Z]+)\$[0-9]+"))),_xlfn.REGEXEXTRACT(CELL("address",N19), "\$([A-Z]+)\$[0-9]+"))</f>
        <v/>
      </c>
      <c r="O19" s="7" t="str">
        <f t="array" aca="1" ref="O19" ca="1">IFERROR(IF(OR('Raw Data'!O19="",LEN(TRIM('Raw Data'!O19))=0),"",IF(AND(ISNUMBER('Raw Data'!O19),'Raw Data'!O19&gt;=Configuration!$D$2),"",_xlfn.REGEXEXTRACT(CELL("address",'Raw Data'!O19),"\$([A-Z]+)\$[0-9]+"))),_xlfn.REGEXEXTRACT(CELL("address",O19), "\$([A-Z]+)\$[0-9]+"))</f>
        <v/>
      </c>
      <c r="P19" s="7" t="str">
        <f t="array" aca="1" ref="P19" ca="1">IFERROR(IF(OR('Raw Data'!P19="",LEN(TRIM('Raw Data'!P19))=0),"",IF(AND(ISNUMBER('Raw Data'!P19), IFERROR('Raw Data'!P19 = ROUND('Raw Data'!P19, 2),FALSE)),"",_xlfn.REGEXEXTRACT(CELL("address",P19), "\$([A-Z]+)\$[0-9]+"))),_xlfn.REGEXEXTRACT(CELL("address",P19), "\$([A-Z]+)\$[0-9]+"))</f>
        <v/>
      </c>
      <c r="Q19" s="7" t="str">
        <f t="array" aca="1" ref="Q19" ca="1">IFERROR(IF(OR('Raw Data'!Q19="",LEN(TRIM('Raw Data'!Q19))=0),"",IF(AND(ISNUMBER('Raw Data'!Q19), IFERROR('Raw Data'!Q19 = ROUND('Raw Data'!Q19, 2),FALSE)),"",_xlfn.REGEXEXTRACT(CELL("address",Q19), "\$([A-Z]+)\$[0-9]+"))),_xlfn.REGEXEXTRACT(CELL("address",Q19), "\$([A-Z]+)\$[0-9]+"))</f>
        <v/>
      </c>
      <c r="R19" s="7" t="str">
        <f t="array" aca="1" ref="R19" ca="1">IFERROR(IF(OR('Raw Data'!R19="",LEN(TRIM('Raw Data'!R19))=0),"",IF(AND(LEN('Raw Data'!R19) &lt;= 50,LEN('Raw Data'!R19)&gt; 0),"",_xlfn.REGEXEXTRACT(CELL("address",'Raw Data'!R19),"\$([A-Z]+)\$[0-9]+"))),_xlfn.REGEXEXTRACT(CELL("address",'Raw Data'!R19),"\$([A-Z]+)\$[0-9]+"))</f>
        <v/>
      </c>
      <c r="S19" s="7" t="str">
        <f t="array" aca="1" ref="S19" ca="1">IFERROR(IF(OR('Raw Data'!S19="",LEN(TRIM('Raw Data'!S19))=0),"",IF(AND(LEN('Raw Data'!S19) &lt;= 50,LEN('Raw Data'!S19)&gt; 0),"",_xlfn.REGEXEXTRACT(CELL("address",'Raw Data'!S19),"\$([A-Z]+)\$[0-9]+"))),_xlfn.REGEXEXTRACT(CELL("address",'Raw Data'!S19),"\$([A-Z]+)\$[0-9]+"))</f>
        <v/>
      </c>
      <c r="T19" s="7" t="str">
        <f t="array" aca="1" ref="T19" ca="1">IFERROR(IF(OR('Raw Data'!T19="",LEN(TRIM('Raw Data'!T19))=0),"",IF(AND(ISNUMBER('Raw Data'!T19), IFERROR('Raw Data'!T19 = ROUND('Raw Data'!T19, 2),FALSE)),"",_xlfn.REGEXEXTRACT(CELL("address",T19), "\$([A-Z]+)\$[0-9]+"))),_xlfn.REGEXEXTRACT(CELL("address",T19), "\$([A-Z]+)\$[0-9]+"))</f>
        <v/>
      </c>
      <c r="U19" s="7" t="str">
        <f t="array" aca="1" ref="U19" ca="1">IFERROR(IF(OR('Raw Data'!U19="",LEN(TRIM('Raw Data'!U19))=0),"",IF(AND(ISNUMBER('Raw Data'!U19), IFERROR('Raw Data'!U19 = ROUND('Raw Data'!U19, 2),FALSE)),"",_xlfn.REGEXEXTRACT(CELL("address",U19), "\$([A-Z]+)\$[0-9]+"))),_xlfn.REGEXEXTRACT(CELL("address",U19), "\$([A-Z]+)\$[0-9]+"))</f>
        <v/>
      </c>
      <c r="V19" s="7" t="str">
        <f t="array" aca="1" ref="V19" ca="1">IFERROR(IF(OR('Raw Data'!V19="",LEN(TRIM('Raw Data'!V19))=0),"",IF(AND(ISNUMBER('Raw Data'!V19), IFERROR('Raw Data'!V19 = ROUND('Raw Data'!V19, 2),FALSE)),"",_xlfn.REGEXEXTRACT(CELL("address",V19), "\$([A-Z]+)\$[0-9]+"))),_xlfn.REGEXEXTRACT(CELL("address",V19), "\$([A-Z]+)\$[0-9]+"))</f>
        <v/>
      </c>
      <c r="W19" s="7" t="str">
        <f t="array" aca="1" ref="W19" ca="1">IFERROR(IF(OR('Raw Data'!W19="",LEN(TRIM('Raw Data'!W19))=0),"",IF(AND(ISNUMBER('Raw Data'!W19), IFERROR('Raw Data'!W19 = ROUND('Raw Data'!W19, 2),FALSE)),"",_xlfn.REGEXEXTRACT(CELL("address",W19), "\$([A-Z]+)\$[0-9]+"))),_xlfn.REGEXEXTRACT(CELL("address",W19), "\$([A-Z]+)\$[0-9]+"))</f>
        <v/>
      </c>
      <c r="X19" s="7" t="str">
        <f t="array" aca="1" ref="X19" ca="1">IFERROR(IF(OR('Raw Data'!X19="",LEN(TRIM('Raw Data'!X19))=0),"",IF(AND(ISNUMBER('Raw Data'!X19), IFERROR('Raw Data'!X19 = ROUND('Raw Data'!X19, 2),FALSE)),"",_xlfn.REGEXEXTRACT(CELL("address",X19), "\$([A-Z]+)\$[0-9]+"))),_xlfn.REGEXEXTRACT(CELL("address",X19), "\$([A-Z]+)\$[0-9]+"))</f>
        <v/>
      </c>
      <c r="Y19" s="7" t="str">
        <f t="array" aca="1" ref="Y19" ca="1">IFERROR(IF(OR('Raw Data'!Y19="",LEN(TRIM('Raw Data'!Y19))=0),"",IF(AND(ISNUMBER('Raw Data'!Y19), IFERROR('Raw Data'!Y19 = ROUND('Raw Data'!Y19, 2),FALSE)),"",_xlfn.REGEXEXTRACT(CELL("address",Y19), "\$([A-Z]+)\$[0-9]+"))),_xlfn.REGEXEXTRACT(CELL("address",Y19), "\$([A-Z]+)\$[0-9]+"))</f>
        <v/>
      </c>
      <c r="Z19" s="7" t="str">
        <f t="array" aca="1" ref="Z19" ca="1">IFERROR(IF(OR('Raw Data'!Z19="",LEN(TRIM('Raw Data'!Z19))=0),"",IF(AND(ISNUMBER('Raw Data'!Z19), IFERROR('Raw Data'!Z19 = ROUND('Raw Data'!Z19, 2),FALSE)),"",_xlfn.REGEXEXTRACT(CELL("address",Z19), "\$([A-Z]+)\$[0-9]+"))),_xlfn.REGEXEXTRACT(CELL("address",Z19), "\$([A-Z]+)\$[0-9]+"))</f>
        <v/>
      </c>
      <c r="AA19" s="7" t="str">
        <f t="array" aca="1" ref="AA19" ca="1">IFERROR(IF(OR('Raw Data'!AA19="",LEN(TRIM('Raw Data'!AA19))=0),"",IF(AND(ISNUMBER('Raw Data'!AA19), IFERROR('Raw Data'!AA19 = ROUND('Raw Data'!AA19, 2),FALSE)),"",_xlfn.REGEXEXTRACT(CELL("address",AA19), "\$([A-Z]+)\$[0-9]+"))),_xlfn.REGEXEXTRACT(CELL("address",AA19), "\$([A-Z]+)\$[0-9]+"))</f>
        <v/>
      </c>
      <c r="AB19" s="7" t="str">
        <f t="array" aca="1" ref="AB19" ca="1">IFERROR(IF(OR('Raw Data'!AB19="",LEN(TRIM('Raw Data'!AB19))=0),"",IF(AND(ISNUMBER('Raw Data'!AB19), IFERROR('Raw Data'!AB19 = ROUND('Raw Data'!AB19, 2),FALSE)),"",_xlfn.REGEXEXTRACT(CELL("address",AB19), "\$([A-Z]+)\$[0-9]+"))),_xlfn.REGEXEXTRACT(CELL("address",AB19), "\$([A-Z]+)\$[0-9]+"))</f>
        <v/>
      </c>
      <c r="AC19" s="7" t="str">
        <f t="array" aca="1" ref="AC19" ca="1">IFERROR(IF(OR('Raw Data'!AC19="",LEN(TRIM('Raw Data'!AC19))=0),"",IF(AND(ISNUMBER('Raw Data'!AC19), IFERROR('Raw Data'!AC19 = ROUND('Raw Data'!AC19, 2),FALSE)),"",_xlfn.REGEXEXTRACT(CELL("address",AC19), "\$([A-Z]+)\$[0-9]+"))),_xlfn.REGEXEXTRACT(CELL("address",AC19), "\$([A-Z]+)\$[0-9]+"))</f>
        <v/>
      </c>
      <c r="AD19" s="7" t="str">
        <f t="array" aca="1" ref="AD19" ca="1">IFERROR(IF(OR('Raw Data'!AD19="",LEN(TRIM('Raw Data'!AD19))=0),"",IF(AND(ISNUMBER('Raw Data'!AD19), IFERROR('Raw Data'!AD19 = ROUND('Raw Data'!AD19, 2),FALSE)),"",_xlfn.REGEXEXTRACT(CELL("address",AD19), "\$([A-Z]+)\$[0-9]+"))),_xlfn.REGEXEXTRACT(CELL("address",AD19), "\$([A-Z]+)\$[0-9]+"))</f>
        <v/>
      </c>
      <c r="AE19" s="7" t="str">
        <f t="array" aca="1" ref="AE19" ca="1">IFERROR(IF(OR('Raw Data'!AE19="",LEN(TRIM('Raw Data'!AE19))=0),"",IF(AND(ISNUMBER('Raw Data'!AE19), IFERROR('Raw Data'!AE19 = ROUND('Raw Data'!AE19, 2),FALSE)),"",_xlfn.REGEXEXTRACT(CELL("address",AE19), "\$([A-Z]+)\$[0-9]+"))),_xlfn.REGEXEXTRACT(CELL("address",AE19), "\$([A-Z]+)\$[0-9]+"))</f>
        <v/>
      </c>
      <c r="AF19" s="7" t="str">
        <f t="array" aca="1" ref="AF19" ca="1">IFERROR(IF(OR('Raw Data'!AF19="",LEN(TRIM('Raw Data'!AF19))=0),"",IF(AND(ISNUMBER('Raw Data'!AF19), IFERROR('Raw Data'!AF19 = ROUND('Raw Data'!AF19, 2),FALSE)),"",_xlfn.REGEXEXTRACT(CELL("address",AF19), "\$([A-Z]+)\$[0-9]+"))),_xlfn.REGEXEXTRACT(CELL("address",AF19), "\$([A-Z]+)\$[0-9]+"))</f>
        <v/>
      </c>
      <c r="AG19" s="7" t="str">
        <f t="array" aca="1" ref="AG19" ca="1">IFERROR(IF(OR('Raw Data'!AG19="",LEN(TRIM('Raw Data'!AG19))=0),"",IF(AND(ISNUMBER('Raw Data'!AG19), IFERROR('Raw Data'!AG19 = ROUND('Raw Data'!AG19, 2),FALSE)),"",_xlfn.REGEXEXTRACT(CELL("address",AG19), "\$([A-Z]+)\$[0-9]+"))),_xlfn.REGEXEXTRACT(CELL("address",AG19), "\$([A-Z]+)\$[0-9]+"))</f>
        <v/>
      </c>
      <c r="AH19" s="7" t="str">
        <f t="array" aca="1" ref="AH19" ca="1">IFERROR(IF(OR('Raw Data'!AH19="",LEN(TRIM('Raw Data'!AH19))=0),"",IF(AND(ISNUMBER('Raw Data'!AH19), IFERROR('Raw Data'!AH19 = ROUND('Raw Data'!AH19, 2),FALSE)),"",_xlfn.REGEXEXTRACT(CELL("address",AH19), "\$([A-Z]+)\$[0-9]+"))),_xlfn.REGEXEXTRACT(CELL("address",AH19), "\$([A-Z]+)\$[0-9]+"))</f>
        <v/>
      </c>
      <c r="AI19" s="7" t="str">
        <f t="array" aca="1" ref="AI19" ca="1">IFERROR(IF(OR('Raw Data'!AI19="",LEN(TRIM('Raw Data'!AI19))=0),"",IF(AND(ISNUMBER('Raw Data'!AI19), IFERROR('Raw Data'!AI19 = ROUND('Raw Data'!AI19, 2),FALSE)),"",_xlfn.REGEXEXTRACT(CELL("address",AI19), "\$([A-Z]+)\$[0-9]+"))),_xlfn.REGEXEXTRACT(CELL("address",AI19), "\$([A-Z]+)\$[0-9]+"))</f>
        <v/>
      </c>
      <c r="AJ19" s="7" t="str">
        <f t="array" aca="1" ref="AJ19" ca="1">IFERROR(IF(OR('Raw Data'!AJ19="",LEN(TRIM('Raw Data'!AJ19))=0),"",IF(AND(ISNUMBER('Raw Data'!AJ19), IFERROR('Raw Data'!AJ19 = ROUND('Raw Data'!AJ19, 4),FALSE)),"",_xlfn.REGEXEXTRACT(CELL("address",AJ19), "\$([A-Z]+)\$[0-9]+"))),_xlfn.REGEXEXTRACT(CELL("address",AJ19), "\$([A-Z]+)\$[0-9]+"))</f>
        <v/>
      </c>
      <c r="AK19" s="7" t="str">
        <f t="array" aca="1" ref="AK19" ca="1">IFERROR(IF(OR('Raw Data'!AK19="",LEN(TRIM('Raw Data'!AK19))=0),"",IF(AND(ISNUMBER('Raw Data'!AK19), IFERROR('Raw Data'!AK19 = ROUND('Raw Data'!AK19, 2),FALSE)),"",_xlfn.REGEXEXTRACT(CELL("address",AK19), "\$([A-Z]+)\$[0-9]+"))),_xlfn.REGEXEXTRACT(CELL("address",AK19), "\$([A-Z]+)\$[0-9]+"))</f>
        <v/>
      </c>
      <c r="AL19" s="7" t="str">
        <f t="array" aca="1" ref="AL19" ca="1">IFERROR(IF(OR('Raw Data'!AL19="",LEN(TRIM('Raw Data'!AL19))=0),"",IF(AND(ISNUMBER('Raw Data'!AL19), IFERROR('Raw Data'!AL19 = ROUND('Raw Data'!AL19, 2),FALSE)),"",_xlfn.REGEXEXTRACT(CELL("address",AL19), "\$([A-Z]+)\$[0-9]+"))),_xlfn.REGEXEXTRACT(CELL("address",AL19), "\$([A-Z]+)\$[0-9]+"))</f>
        <v/>
      </c>
      <c r="AM19" s="7" t="str">
        <f t="array" aca="1" ref="AM19" ca="1">IFERROR(IF(OR('Raw Data'!AM19="",LEN(TRIM('Raw Data'!AM19))=0),"",IF(AND(ISNUMBER('Raw Data'!AM19), IFERROR('Raw Data'!AM19 = ROUND('Raw Data'!AM19, 2),FALSE)),"",_xlfn.REGEXEXTRACT(CELL("address",AM19), "\$([A-Z]+)\$[0-9]+"))),_xlfn.REGEXEXTRACT(CELL("address",AM19), "\$([A-Z]+)\$[0-9]+"))</f>
        <v/>
      </c>
      <c r="AN19" s="7" t="str">
        <f t="array" aca="1" ref="AN19" ca="1">IFERROR(IF(OR('Raw Data'!AN19="",LEN(TRIM('Raw Data'!AN19))=0),"",IF(AND(ISNUMBER('Raw Data'!AN19), IFERROR('Raw Data'!AN19 = ROUND('Raw Data'!AN19, 2),FALSE)),"",_xlfn.REGEXEXTRACT(CELL("address",AN19), "\$([A-Z]+)\$[0-9]+"))),_xlfn.REGEXEXTRACT(CELL("address",AN19), "\$([A-Z]+)\$[0-9]+"))</f>
        <v/>
      </c>
      <c r="AO19" s="7" t="str">
        <f t="array" aca="1" ref="AO19" ca="1">IFERROR(IF(OR('Raw Data'!AO19="",LEN(TRIM('Raw Data'!AO19))=0),"",IF(AND(ISNUMBER('Raw Data'!AO19), IFERROR('Raw Data'!AO19 = ROUND('Raw Data'!AO19, 2),FALSE)),"",_xlfn.REGEXEXTRACT(CELL("address",AO19), "\$([A-Z]+)\$[0-9]+"))),_xlfn.REGEXEXTRACT(CELL("address",AO19), "\$([A-Z]+)\$[0-9]+"))</f>
        <v/>
      </c>
      <c r="AP19" s="7" t="str">
        <f t="array" aca="1" ref="AP19" ca="1">IFERROR(IF(OR('Raw Data'!AP19="",LEN(TRIM('Raw Data'!AP19))=0),"",IF(AND(ISNUMBER('Raw Data'!AP19), IFERROR('Raw Data'!AP19 = ROUND('Raw Data'!AP19, 2),FALSE)),"",_xlfn.REGEXEXTRACT(CELL("address",AP19), "\$([A-Z]+)\$[0-9]+"))),_xlfn.REGEXEXTRACT(CELL("address",AP19), "\$([A-Z]+)\$[0-9]+"))</f>
        <v/>
      </c>
    </row>
    <row r="20" spans="2:42" x14ac:dyDescent="0.25">
      <c r="B20" s="7" t="str">
        <f t="array" aca="1" ref="B20" ca="1">IFERROR(IF(OR('Raw Data'!B20="",LEN(TRIM('Raw Data'!B20))=0),"",IF(AND(LEN('Raw Data'!B20) &lt;= 255,LEN('Raw Data'!B20)&gt; 0),"",_xlfn.REGEXEXTRACT(CELL("address",'Raw Data'!B20),"\$([A-Z]+)\$[0-9]+"))),_xlfn.REGEXEXTRACT(CELL("address",'Raw Data'!B20),"\$([A-Z]+)\$[0-9]+"))</f>
        <v/>
      </c>
      <c r="C20" s="7" t="str">
        <f t="array" aca="1" ref="C20" ca="1">IFERROR(IF(OR('Raw Data'!C20="",LEN(TRIM('Raw Data'!C20))=0),"",IF(AND(LEN('Raw Data'!C20) &lt;= 50,LEN('Raw Data'!C20)&gt; 0),"",_xlfn.REGEXEXTRACT(CELL("address",'Raw Data'!C20),"\$([A-Z]+)\$[0-9]+"))),_xlfn.REGEXEXTRACT(CELL("address",'Raw Data'!C20),"\$([A-Z]+)\$[0-9]+"))</f>
        <v/>
      </c>
      <c r="D20" s="7" t="str">
        <f t="array" aca="1" ref="D20" ca="1">IFERROR(IF(OR('Raw Data'!D20="",LEN(TRIM('Raw Data'!D20))=0),"",IF(AND(LEN('Raw Data'!D20) &lt;= 500,LEN('Raw Data'!D20)&gt; 0),"",_xlfn.REGEXEXTRACT(CELL("address",'Raw Data'!D20),"\$([A-Z]+)\$[0-9]+"))),_xlfn.REGEXEXTRACT(CELL("address",'Raw Data'!D20),"\$([A-Z]+)\$[0-9]+"))</f>
        <v/>
      </c>
      <c r="E20" s="7" t="str">
        <f t="array" aca="1" ref="E20" ca="1">IFERROR(IF(OR('Raw Data'!E20="",LEN(TRIM('Raw Data'!E20))=0),"",IF(AND(LEN('Raw Data'!E20) &lt;= 50,LEN('Raw Data'!E20)&gt; 0),"",_xlfn.REGEXEXTRACT(CELL("address",'Raw Data'!E20),"\$([A-Z]+)\$[0-9]+"))),_xlfn.REGEXEXTRACT(CELL("address",'Raw Data'!E20),"\$([A-Z]+)\$[0-9]+"))</f>
        <v/>
      </c>
      <c r="F20" s="7" t="str">
        <f t="array" aca="1" ref="F20" ca="1">IFERROR(IF(OR('Raw Data'!F20="",LEN(TRIM('Raw Data'!F20))=0),"",IF(AND(LEN('Raw Data'!F20) &lt;= 50,LEN('Raw Data'!F20)&gt; 0),"",_xlfn.REGEXEXTRACT(CELL("address",'Raw Data'!F20),"\$([A-Z]+)\$[0-9]+"))),_xlfn.REGEXEXTRACT(CELL("address",'Raw Data'!F20),"\$([A-Z]+)\$[0-9]+"))</f>
        <v/>
      </c>
      <c r="G20" s="7" t="str">
        <f t="array" aca="1" ref="G20" ca="1">IFERROR(IF(OR('Raw Data'!G20="",LEN(TRIM('Raw Data'!G20))=0),"",IF(AND(LEN('Raw Data'!G20) &lt;= 50,LEN('Raw Data'!G20)&gt; 0),"",_xlfn.REGEXEXTRACT(CELL("address",'Raw Data'!G20),"\$([A-Z]+)\$[0-9]+"))),_xlfn.REGEXEXTRACT(CELL("address",'Raw Data'!G20),"\$([A-Z]+)\$[0-9]+"))</f>
        <v/>
      </c>
      <c r="H20" s="7" t="str">
        <f t="array" aca="1" ref="H20" ca="1">IFERROR(IF(OR('Raw Data'!H20="",LEN(TRIM('Raw Data'!H20))=0),"",IF(AND(LEN('Raw Data'!H20) &lt;= 50,LEN('Raw Data'!H20)&gt; 0),"",_xlfn.REGEXEXTRACT(CELL("address",'Raw Data'!H20),"\$([A-Z]+)\$[0-9]+"))),_xlfn.REGEXEXTRACT(CELL("address",'Raw Data'!H20),"\$([A-Z]+)\$[0-9]+"))</f>
        <v/>
      </c>
      <c r="I20" s="7" t="str">
        <f t="array" aca="1" ref="I20" ca="1">IFERROR(IF(OR('Raw Data'!I20="",LEN(TRIM('Raw Data'!I20))=0),"",IF(AND(LEN('Raw Data'!I20) &lt;= 50,LEN('Raw Data'!I20)&gt; 0),"",_xlfn.REGEXEXTRACT(CELL("address",'Raw Data'!I20),"\$([A-Z]+)\$[0-9]+"))),_xlfn.REGEXEXTRACT(CELL("address",'Raw Data'!I20),"\$([A-Z]+)\$[0-9]+"))</f>
        <v/>
      </c>
      <c r="J20" s="7" t="str">
        <f t="array" aca="1" ref="J20" ca="1">IFERROR(IF(OR('Raw Data'!J20="",LEN(TRIM('Raw Data'!J20))=0),"",IF(AND(ISNUMBER('Raw Data'!J20), IFERROR('Raw Data'!J20 = ROUND('Raw Data'!J20, 2),FALSE)),"",_xlfn.REGEXEXTRACT(CELL("address",J20), "\$([A-Z]+)\$[0-9]+"))),_xlfn.REGEXEXTRACT(CELL("address",J20), "\$([A-Z]+)\$[0-9]+"))</f>
        <v/>
      </c>
      <c r="K20" s="7" t="str">
        <f t="array" aca="1" ref="K20" ca="1">IFERROR(IF(OR('Raw Data'!K20="",LEN(TRIM('Raw Data'!K20))=0),"",IF(AND(ISNUMBER('Raw Data'!K20), IFERROR('Raw Data'!K20 = ROUND('Raw Data'!K20, 2),FALSE)),"",_xlfn.REGEXEXTRACT(CELL("address",K20), "\$([A-Z]+)\$[0-9]+"))),_xlfn.REGEXEXTRACT(CELL("address",K20), "\$([A-Z]+)\$[0-9]+"))</f>
        <v/>
      </c>
      <c r="L20" s="7" t="str">
        <f t="array" aca="1" ref="L20" ca="1">IFERROR(IF(OR('Raw Data'!L20="",LEN(TRIM('Raw Data'!L20))=0),"",IF(AND(ISNUMBER('Raw Data'!L20), IFERROR('Raw Data'!L20 = ROUND('Raw Data'!L20, 2),FALSE)),"",_xlfn.REGEXEXTRACT(CELL("address",L20), "\$([A-Z]+)\$[0-9]+"))),_xlfn.REGEXEXTRACT(CELL("address",L20), "\$([A-Z]+)\$[0-9]+"))</f>
        <v/>
      </c>
      <c r="M20" s="7" t="str">
        <f t="array" aca="1" ref="M20" ca="1">IFERROR(IF(OR('Raw Data'!M20="",LEN(TRIM('Raw Data'!M20))=0),"",IF(AND(ISNUMBER('Raw Data'!M20), IFERROR('Raw Data'!M20 = ROUND('Raw Data'!M20, 2),FALSE)),"",_xlfn.REGEXEXTRACT(CELL("address",M20), "\$([A-Z]+)\$[0-9]+"))),_xlfn.REGEXEXTRACT(CELL("address",M20), "\$([A-Z]+)\$[0-9]+"))</f>
        <v/>
      </c>
      <c r="N20" s="7" t="str">
        <f t="array" aca="1" ref="N20" ca="1">IFERROR(IF(OR('Raw Data'!N20="",LEN(TRIM('Raw Data'!N20))=0),"",IF(AND(ISNUMBER('Raw Data'!N20), IFERROR('Raw Data'!N20 = ROUND('Raw Data'!N20, 2),FALSE)),"",_xlfn.REGEXEXTRACT(CELL("address",N20), "\$([A-Z]+)\$[0-9]+"))),_xlfn.REGEXEXTRACT(CELL("address",N20), "\$([A-Z]+)\$[0-9]+"))</f>
        <v/>
      </c>
      <c r="O20" s="7" t="str">
        <f t="array" aca="1" ref="O20" ca="1">IFERROR(IF(OR('Raw Data'!O20="",LEN(TRIM('Raw Data'!O20))=0),"",IF(AND(ISNUMBER('Raw Data'!O20),'Raw Data'!O20&gt;=Configuration!$D$2),"",_xlfn.REGEXEXTRACT(CELL("address",'Raw Data'!O20),"\$([A-Z]+)\$[0-9]+"))),_xlfn.REGEXEXTRACT(CELL("address",O20), "\$([A-Z]+)\$[0-9]+"))</f>
        <v/>
      </c>
      <c r="P20" s="7" t="str">
        <f t="array" aca="1" ref="P20" ca="1">IFERROR(IF(OR('Raw Data'!P20="",LEN(TRIM('Raw Data'!P20))=0),"",IF(AND(ISNUMBER('Raw Data'!P20), IFERROR('Raw Data'!P20 = ROUND('Raw Data'!P20, 2),FALSE)),"",_xlfn.REGEXEXTRACT(CELL("address",P20), "\$([A-Z]+)\$[0-9]+"))),_xlfn.REGEXEXTRACT(CELL("address",P20), "\$([A-Z]+)\$[0-9]+"))</f>
        <v/>
      </c>
      <c r="Q20" s="7" t="str">
        <f t="array" aca="1" ref="Q20" ca="1">IFERROR(IF(OR('Raw Data'!Q20="",LEN(TRIM('Raw Data'!Q20))=0),"",IF(AND(ISNUMBER('Raw Data'!Q20), IFERROR('Raw Data'!Q20 = ROUND('Raw Data'!Q20, 2),FALSE)),"",_xlfn.REGEXEXTRACT(CELL("address",Q20), "\$([A-Z]+)\$[0-9]+"))),_xlfn.REGEXEXTRACT(CELL("address",Q20), "\$([A-Z]+)\$[0-9]+"))</f>
        <v/>
      </c>
      <c r="R20" s="7" t="str">
        <f t="array" aca="1" ref="R20" ca="1">IFERROR(IF(OR('Raw Data'!R20="",LEN(TRIM('Raw Data'!R20))=0),"",IF(AND(LEN('Raw Data'!R20) &lt;= 50,LEN('Raw Data'!R20)&gt; 0),"",_xlfn.REGEXEXTRACT(CELL("address",'Raw Data'!R20),"\$([A-Z]+)\$[0-9]+"))),_xlfn.REGEXEXTRACT(CELL("address",'Raw Data'!R20),"\$([A-Z]+)\$[0-9]+"))</f>
        <v/>
      </c>
      <c r="S20" s="7" t="str">
        <f t="array" aca="1" ref="S20" ca="1">IFERROR(IF(OR('Raw Data'!S20="",LEN(TRIM('Raw Data'!S20))=0),"",IF(AND(LEN('Raw Data'!S20) &lt;= 50,LEN('Raw Data'!S20)&gt; 0),"",_xlfn.REGEXEXTRACT(CELL("address",'Raw Data'!S20),"\$([A-Z]+)\$[0-9]+"))),_xlfn.REGEXEXTRACT(CELL("address",'Raw Data'!S20),"\$([A-Z]+)\$[0-9]+"))</f>
        <v/>
      </c>
      <c r="T20" s="7" t="str">
        <f t="array" aca="1" ref="T20" ca="1">IFERROR(IF(OR('Raw Data'!T20="",LEN(TRIM('Raw Data'!T20))=0),"",IF(AND(ISNUMBER('Raw Data'!T20), IFERROR('Raw Data'!T20 = ROUND('Raw Data'!T20, 2),FALSE)),"",_xlfn.REGEXEXTRACT(CELL("address",T20), "\$([A-Z]+)\$[0-9]+"))),_xlfn.REGEXEXTRACT(CELL("address",T20), "\$([A-Z]+)\$[0-9]+"))</f>
        <v/>
      </c>
      <c r="U20" s="7" t="str">
        <f t="array" aca="1" ref="U20" ca="1">IFERROR(IF(OR('Raw Data'!U20="",LEN(TRIM('Raw Data'!U20))=0),"",IF(AND(ISNUMBER('Raw Data'!U20), IFERROR('Raw Data'!U20 = ROUND('Raw Data'!U20, 2),FALSE)),"",_xlfn.REGEXEXTRACT(CELL("address",U20), "\$([A-Z]+)\$[0-9]+"))),_xlfn.REGEXEXTRACT(CELL("address",U20), "\$([A-Z]+)\$[0-9]+"))</f>
        <v/>
      </c>
      <c r="V20" s="7" t="str">
        <f t="array" aca="1" ref="V20" ca="1">IFERROR(IF(OR('Raw Data'!V20="",LEN(TRIM('Raw Data'!V20))=0),"",IF(AND(ISNUMBER('Raw Data'!V20), IFERROR('Raw Data'!V20 = ROUND('Raw Data'!V20, 2),FALSE)),"",_xlfn.REGEXEXTRACT(CELL("address",V20), "\$([A-Z]+)\$[0-9]+"))),_xlfn.REGEXEXTRACT(CELL("address",V20), "\$([A-Z]+)\$[0-9]+"))</f>
        <v/>
      </c>
      <c r="W20" s="7" t="str">
        <f t="array" aca="1" ref="W20" ca="1">IFERROR(IF(OR('Raw Data'!W20="",LEN(TRIM('Raw Data'!W20))=0),"",IF(AND(ISNUMBER('Raw Data'!W20), IFERROR('Raw Data'!W20 = ROUND('Raw Data'!W20, 2),FALSE)),"",_xlfn.REGEXEXTRACT(CELL("address",W20), "\$([A-Z]+)\$[0-9]+"))),_xlfn.REGEXEXTRACT(CELL("address",W20), "\$([A-Z]+)\$[0-9]+"))</f>
        <v/>
      </c>
      <c r="X20" s="7" t="str">
        <f t="array" aca="1" ref="X20" ca="1">IFERROR(IF(OR('Raw Data'!X20="",LEN(TRIM('Raw Data'!X20))=0),"",IF(AND(ISNUMBER('Raw Data'!X20), IFERROR('Raw Data'!X20 = ROUND('Raw Data'!X20, 2),FALSE)),"",_xlfn.REGEXEXTRACT(CELL("address",X20), "\$([A-Z]+)\$[0-9]+"))),_xlfn.REGEXEXTRACT(CELL("address",X20), "\$([A-Z]+)\$[0-9]+"))</f>
        <v/>
      </c>
      <c r="Y20" s="7" t="str">
        <f t="array" aca="1" ref="Y20" ca="1">IFERROR(IF(OR('Raw Data'!Y20="",LEN(TRIM('Raw Data'!Y20))=0),"",IF(AND(ISNUMBER('Raw Data'!Y20), IFERROR('Raw Data'!Y20 = ROUND('Raw Data'!Y20, 2),FALSE)),"",_xlfn.REGEXEXTRACT(CELL("address",Y20), "\$([A-Z]+)\$[0-9]+"))),_xlfn.REGEXEXTRACT(CELL("address",Y20), "\$([A-Z]+)\$[0-9]+"))</f>
        <v/>
      </c>
      <c r="Z20" s="7" t="str">
        <f t="array" aca="1" ref="Z20" ca="1">IFERROR(IF(OR('Raw Data'!Z20="",LEN(TRIM('Raw Data'!Z20))=0),"",IF(AND(ISNUMBER('Raw Data'!Z20), IFERROR('Raw Data'!Z20 = ROUND('Raw Data'!Z20, 2),FALSE)),"",_xlfn.REGEXEXTRACT(CELL("address",Z20), "\$([A-Z]+)\$[0-9]+"))),_xlfn.REGEXEXTRACT(CELL("address",Z20), "\$([A-Z]+)\$[0-9]+"))</f>
        <v/>
      </c>
      <c r="AA20" s="7" t="str">
        <f t="array" aca="1" ref="AA20" ca="1">IFERROR(IF(OR('Raw Data'!AA20="",LEN(TRIM('Raw Data'!AA20))=0),"",IF(AND(ISNUMBER('Raw Data'!AA20), IFERROR('Raw Data'!AA20 = ROUND('Raw Data'!AA20, 2),FALSE)),"",_xlfn.REGEXEXTRACT(CELL("address",AA20), "\$([A-Z]+)\$[0-9]+"))),_xlfn.REGEXEXTRACT(CELL("address",AA20), "\$([A-Z]+)\$[0-9]+"))</f>
        <v/>
      </c>
      <c r="AB20" s="7" t="str">
        <f t="array" aca="1" ref="AB20" ca="1">IFERROR(IF(OR('Raw Data'!AB20="",LEN(TRIM('Raw Data'!AB20))=0),"",IF(AND(ISNUMBER('Raw Data'!AB20), IFERROR('Raw Data'!AB20 = ROUND('Raw Data'!AB20, 2),FALSE)),"",_xlfn.REGEXEXTRACT(CELL("address",AB20), "\$([A-Z]+)\$[0-9]+"))),_xlfn.REGEXEXTRACT(CELL("address",AB20), "\$([A-Z]+)\$[0-9]+"))</f>
        <v/>
      </c>
      <c r="AC20" s="7" t="str">
        <f t="array" aca="1" ref="AC20" ca="1">IFERROR(IF(OR('Raw Data'!AC20="",LEN(TRIM('Raw Data'!AC20))=0),"",IF(AND(ISNUMBER('Raw Data'!AC20), IFERROR('Raw Data'!AC20 = ROUND('Raw Data'!AC20, 2),FALSE)),"",_xlfn.REGEXEXTRACT(CELL("address",AC20), "\$([A-Z]+)\$[0-9]+"))),_xlfn.REGEXEXTRACT(CELL("address",AC20), "\$([A-Z]+)\$[0-9]+"))</f>
        <v/>
      </c>
      <c r="AD20" s="7" t="str">
        <f t="array" aca="1" ref="AD20" ca="1">IFERROR(IF(OR('Raw Data'!AD20="",LEN(TRIM('Raw Data'!AD20))=0),"",IF(AND(ISNUMBER('Raw Data'!AD20), IFERROR('Raw Data'!AD20 = ROUND('Raw Data'!AD20, 2),FALSE)),"",_xlfn.REGEXEXTRACT(CELL("address",AD20), "\$([A-Z]+)\$[0-9]+"))),_xlfn.REGEXEXTRACT(CELL("address",AD20), "\$([A-Z]+)\$[0-9]+"))</f>
        <v/>
      </c>
      <c r="AE20" s="7" t="str">
        <f t="array" aca="1" ref="AE20" ca="1">IFERROR(IF(OR('Raw Data'!AE20="",LEN(TRIM('Raw Data'!AE20))=0),"",IF(AND(ISNUMBER('Raw Data'!AE20), IFERROR('Raw Data'!AE20 = ROUND('Raw Data'!AE20, 2),FALSE)),"",_xlfn.REGEXEXTRACT(CELL("address",AE20), "\$([A-Z]+)\$[0-9]+"))),_xlfn.REGEXEXTRACT(CELL("address",AE20), "\$([A-Z]+)\$[0-9]+"))</f>
        <v/>
      </c>
      <c r="AF20" s="7" t="str">
        <f t="array" aca="1" ref="AF20" ca="1">IFERROR(IF(OR('Raw Data'!AF20="",LEN(TRIM('Raw Data'!AF20))=0),"",IF(AND(ISNUMBER('Raw Data'!AF20), IFERROR('Raw Data'!AF20 = ROUND('Raw Data'!AF20, 2),FALSE)),"",_xlfn.REGEXEXTRACT(CELL("address",AF20), "\$([A-Z]+)\$[0-9]+"))),_xlfn.REGEXEXTRACT(CELL("address",AF20), "\$([A-Z]+)\$[0-9]+"))</f>
        <v/>
      </c>
      <c r="AG20" s="7" t="str">
        <f t="array" aca="1" ref="AG20" ca="1">IFERROR(IF(OR('Raw Data'!AG20="",LEN(TRIM('Raw Data'!AG20))=0),"",IF(AND(ISNUMBER('Raw Data'!AG20), IFERROR('Raw Data'!AG20 = ROUND('Raw Data'!AG20, 2),FALSE)),"",_xlfn.REGEXEXTRACT(CELL("address",AG20), "\$([A-Z]+)\$[0-9]+"))),_xlfn.REGEXEXTRACT(CELL("address",AG20), "\$([A-Z]+)\$[0-9]+"))</f>
        <v/>
      </c>
      <c r="AH20" s="7" t="str">
        <f t="array" aca="1" ref="AH20" ca="1">IFERROR(IF(OR('Raw Data'!AH20="",LEN(TRIM('Raw Data'!AH20))=0),"",IF(AND(ISNUMBER('Raw Data'!AH20), IFERROR('Raw Data'!AH20 = ROUND('Raw Data'!AH20, 2),FALSE)),"",_xlfn.REGEXEXTRACT(CELL("address",AH20), "\$([A-Z]+)\$[0-9]+"))),_xlfn.REGEXEXTRACT(CELL("address",AH20), "\$([A-Z]+)\$[0-9]+"))</f>
        <v/>
      </c>
      <c r="AI20" s="7" t="str">
        <f t="array" aca="1" ref="AI20" ca="1">IFERROR(IF(OR('Raw Data'!AI20="",LEN(TRIM('Raw Data'!AI20))=0),"",IF(AND(ISNUMBER('Raw Data'!AI20), IFERROR('Raw Data'!AI20 = ROUND('Raw Data'!AI20, 2),FALSE)),"",_xlfn.REGEXEXTRACT(CELL("address",AI20), "\$([A-Z]+)\$[0-9]+"))),_xlfn.REGEXEXTRACT(CELL("address",AI20), "\$([A-Z]+)\$[0-9]+"))</f>
        <v/>
      </c>
      <c r="AJ20" s="7" t="str">
        <f t="array" aca="1" ref="AJ20" ca="1">IFERROR(IF(OR('Raw Data'!AJ20="",LEN(TRIM('Raw Data'!AJ20))=0),"",IF(AND(ISNUMBER('Raw Data'!AJ20), IFERROR('Raw Data'!AJ20 = ROUND('Raw Data'!AJ20, 4),FALSE)),"",_xlfn.REGEXEXTRACT(CELL("address",AJ20), "\$([A-Z]+)\$[0-9]+"))),_xlfn.REGEXEXTRACT(CELL("address",AJ20), "\$([A-Z]+)\$[0-9]+"))</f>
        <v/>
      </c>
      <c r="AK20" s="7" t="str">
        <f t="array" aca="1" ref="AK20" ca="1">IFERROR(IF(OR('Raw Data'!AK20="",LEN(TRIM('Raw Data'!AK20))=0),"",IF(AND(ISNUMBER('Raw Data'!AK20), IFERROR('Raw Data'!AK20 = ROUND('Raw Data'!AK20, 2),FALSE)),"",_xlfn.REGEXEXTRACT(CELL("address",AK20), "\$([A-Z]+)\$[0-9]+"))),_xlfn.REGEXEXTRACT(CELL("address",AK20), "\$([A-Z]+)\$[0-9]+"))</f>
        <v/>
      </c>
      <c r="AL20" s="7" t="str">
        <f t="array" aca="1" ref="AL20" ca="1">IFERROR(IF(OR('Raw Data'!AL20="",LEN(TRIM('Raw Data'!AL20))=0),"",IF(AND(ISNUMBER('Raw Data'!AL20), IFERROR('Raw Data'!AL20 = ROUND('Raw Data'!AL20, 2),FALSE)),"",_xlfn.REGEXEXTRACT(CELL("address",AL20), "\$([A-Z]+)\$[0-9]+"))),_xlfn.REGEXEXTRACT(CELL("address",AL20), "\$([A-Z]+)\$[0-9]+"))</f>
        <v/>
      </c>
      <c r="AM20" s="7" t="str">
        <f t="array" aca="1" ref="AM20" ca="1">IFERROR(IF(OR('Raw Data'!AM20="",LEN(TRIM('Raw Data'!AM20))=0),"",IF(AND(ISNUMBER('Raw Data'!AM20), IFERROR('Raw Data'!AM20 = ROUND('Raw Data'!AM20, 2),FALSE)),"",_xlfn.REGEXEXTRACT(CELL("address",AM20), "\$([A-Z]+)\$[0-9]+"))),_xlfn.REGEXEXTRACT(CELL("address",AM20), "\$([A-Z]+)\$[0-9]+"))</f>
        <v/>
      </c>
      <c r="AN20" s="7" t="str">
        <f t="array" aca="1" ref="AN20" ca="1">IFERROR(IF(OR('Raw Data'!AN20="",LEN(TRIM('Raw Data'!AN20))=0),"",IF(AND(ISNUMBER('Raw Data'!AN20), IFERROR('Raw Data'!AN20 = ROUND('Raw Data'!AN20, 2),FALSE)),"",_xlfn.REGEXEXTRACT(CELL("address",AN20), "\$([A-Z]+)\$[0-9]+"))),_xlfn.REGEXEXTRACT(CELL("address",AN20), "\$([A-Z]+)\$[0-9]+"))</f>
        <v/>
      </c>
      <c r="AO20" s="7" t="str">
        <f t="array" aca="1" ref="AO20" ca="1">IFERROR(IF(OR('Raw Data'!AO20="",LEN(TRIM('Raw Data'!AO20))=0),"",IF(AND(ISNUMBER('Raw Data'!AO20), IFERROR('Raw Data'!AO20 = ROUND('Raw Data'!AO20, 2),FALSE)),"",_xlfn.REGEXEXTRACT(CELL("address",AO20), "\$([A-Z]+)\$[0-9]+"))),_xlfn.REGEXEXTRACT(CELL("address",AO20), "\$([A-Z]+)\$[0-9]+"))</f>
        <v/>
      </c>
      <c r="AP20" s="7" t="str">
        <f t="array" aca="1" ref="AP20" ca="1">IFERROR(IF(OR('Raw Data'!AP20="",LEN(TRIM('Raw Data'!AP20))=0),"",IF(AND(ISNUMBER('Raw Data'!AP20), IFERROR('Raw Data'!AP20 = ROUND('Raw Data'!AP20, 2),FALSE)),"",_xlfn.REGEXEXTRACT(CELL("address",AP20), "\$([A-Z]+)\$[0-9]+"))),_xlfn.REGEXEXTRACT(CELL("address",AP20), "\$([A-Z]+)\$[0-9]+"))</f>
        <v/>
      </c>
    </row>
    <row r="21" spans="2:42" x14ac:dyDescent="0.25">
      <c r="B21" s="7" t="str">
        <f t="array" aca="1" ref="B21" ca="1">IFERROR(IF(OR('Raw Data'!B21="",LEN(TRIM('Raw Data'!B21))=0),"",IF(AND(LEN('Raw Data'!B21) &lt;= 255,LEN('Raw Data'!B21)&gt; 0),"",_xlfn.REGEXEXTRACT(CELL("address",'Raw Data'!B21),"\$([A-Z]+)\$[0-9]+"))),_xlfn.REGEXEXTRACT(CELL("address",'Raw Data'!B21),"\$([A-Z]+)\$[0-9]+"))</f>
        <v/>
      </c>
      <c r="C21" s="7" t="str">
        <f t="array" aca="1" ref="C21" ca="1">IFERROR(IF(OR('Raw Data'!C21="",LEN(TRIM('Raw Data'!C21))=0),"",IF(AND(LEN('Raw Data'!C21) &lt;= 50,LEN('Raw Data'!C21)&gt; 0),"",_xlfn.REGEXEXTRACT(CELL("address",'Raw Data'!C21),"\$([A-Z]+)\$[0-9]+"))),_xlfn.REGEXEXTRACT(CELL("address",'Raw Data'!C21),"\$([A-Z]+)\$[0-9]+"))</f>
        <v/>
      </c>
      <c r="D21" s="7" t="str">
        <f t="array" aca="1" ref="D21" ca="1">IFERROR(IF(OR('Raw Data'!D21="",LEN(TRIM('Raw Data'!D21))=0),"",IF(AND(LEN('Raw Data'!D21) &lt;= 500,LEN('Raw Data'!D21)&gt; 0),"",_xlfn.REGEXEXTRACT(CELL("address",'Raw Data'!D21),"\$([A-Z]+)\$[0-9]+"))),_xlfn.REGEXEXTRACT(CELL("address",'Raw Data'!D21),"\$([A-Z]+)\$[0-9]+"))</f>
        <v/>
      </c>
      <c r="E21" s="7" t="str">
        <f t="array" aca="1" ref="E21" ca="1">IFERROR(IF(OR('Raw Data'!E21="",LEN(TRIM('Raw Data'!E21))=0),"",IF(AND(LEN('Raw Data'!E21) &lt;= 50,LEN('Raw Data'!E21)&gt; 0),"",_xlfn.REGEXEXTRACT(CELL("address",'Raw Data'!E21),"\$([A-Z]+)\$[0-9]+"))),_xlfn.REGEXEXTRACT(CELL("address",'Raw Data'!E21),"\$([A-Z]+)\$[0-9]+"))</f>
        <v/>
      </c>
      <c r="F21" s="7" t="str">
        <f t="array" aca="1" ref="F21" ca="1">IFERROR(IF(OR('Raw Data'!F21="",LEN(TRIM('Raw Data'!F21))=0),"",IF(AND(LEN('Raw Data'!F21) &lt;= 50,LEN('Raw Data'!F21)&gt; 0),"",_xlfn.REGEXEXTRACT(CELL("address",'Raw Data'!F21),"\$([A-Z]+)\$[0-9]+"))),_xlfn.REGEXEXTRACT(CELL("address",'Raw Data'!F21),"\$([A-Z]+)\$[0-9]+"))</f>
        <v/>
      </c>
      <c r="G21" s="7" t="str">
        <f t="array" aca="1" ref="G21" ca="1">IFERROR(IF(OR('Raw Data'!G21="",LEN(TRIM('Raw Data'!G21))=0),"",IF(AND(LEN('Raw Data'!G21) &lt;= 50,LEN('Raw Data'!G21)&gt; 0),"",_xlfn.REGEXEXTRACT(CELL("address",'Raw Data'!G21),"\$([A-Z]+)\$[0-9]+"))),_xlfn.REGEXEXTRACT(CELL("address",'Raw Data'!G21),"\$([A-Z]+)\$[0-9]+"))</f>
        <v/>
      </c>
      <c r="H21" s="7" t="str">
        <f t="array" aca="1" ref="H21" ca="1">IFERROR(IF(OR('Raw Data'!H21="",LEN(TRIM('Raw Data'!H21))=0),"",IF(AND(LEN('Raw Data'!H21) &lt;= 50,LEN('Raw Data'!H21)&gt; 0),"",_xlfn.REGEXEXTRACT(CELL("address",'Raw Data'!H21),"\$([A-Z]+)\$[0-9]+"))),_xlfn.REGEXEXTRACT(CELL("address",'Raw Data'!H21),"\$([A-Z]+)\$[0-9]+"))</f>
        <v/>
      </c>
      <c r="I21" s="7" t="str">
        <f t="array" aca="1" ref="I21" ca="1">IFERROR(IF(OR('Raw Data'!I21="",LEN(TRIM('Raw Data'!I21))=0),"",IF(AND(LEN('Raw Data'!I21) &lt;= 50,LEN('Raw Data'!I21)&gt; 0),"",_xlfn.REGEXEXTRACT(CELL("address",'Raw Data'!I21),"\$([A-Z]+)\$[0-9]+"))),_xlfn.REGEXEXTRACT(CELL("address",'Raw Data'!I21),"\$([A-Z]+)\$[0-9]+"))</f>
        <v/>
      </c>
      <c r="J21" s="7" t="str">
        <f t="array" aca="1" ref="J21" ca="1">IFERROR(IF(OR('Raw Data'!J21="",LEN(TRIM('Raw Data'!J21))=0),"",IF(AND(ISNUMBER('Raw Data'!J21), IFERROR('Raw Data'!J21 = ROUND('Raw Data'!J21, 2),FALSE)),"",_xlfn.REGEXEXTRACT(CELL("address",J21), "\$([A-Z]+)\$[0-9]+"))),_xlfn.REGEXEXTRACT(CELL("address",J21), "\$([A-Z]+)\$[0-9]+"))</f>
        <v/>
      </c>
      <c r="K21" s="7" t="str">
        <f t="array" aca="1" ref="K21" ca="1">IFERROR(IF(OR('Raw Data'!K21="",LEN(TRIM('Raw Data'!K21))=0),"",IF(AND(ISNUMBER('Raw Data'!K21), IFERROR('Raw Data'!K21 = ROUND('Raw Data'!K21, 2),FALSE)),"",_xlfn.REGEXEXTRACT(CELL("address",K21), "\$([A-Z]+)\$[0-9]+"))),_xlfn.REGEXEXTRACT(CELL("address",K21), "\$([A-Z]+)\$[0-9]+"))</f>
        <v/>
      </c>
      <c r="L21" s="7" t="str">
        <f t="array" aca="1" ref="L21" ca="1">IFERROR(IF(OR('Raw Data'!L21="",LEN(TRIM('Raw Data'!L21))=0),"",IF(AND(ISNUMBER('Raw Data'!L21), IFERROR('Raw Data'!L21 = ROUND('Raw Data'!L21, 2),FALSE)),"",_xlfn.REGEXEXTRACT(CELL("address",L21), "\$([A-Z]+)\$[0-9]+"))),_xlfn.REGEXEXTRACT(CELL("address",L21), "\$([A-Z]+)\$[0-9]+"))</f>
        <v/>
      </c>
      <c r="M21" s="7" t="str">
        <f t="array" aca="1" ref="M21" ca="1">IFERROR(IF(OR('Raw Data'!M21="",LEN(TRIM('Raw Data'!M21))=0),"",IF(AND(ISNUMBER('Raw Data'!M21), IFERROR('Raw Data'!M21 = ROUND('Raw Data'!M21, 2),FALSE)),"",_xlfn.REGEXEXTRACT(CELL("address",M21), "\$([A-Z]+)\$[0-9]+"))),_xlfn.REGEXEXTRACT(CELL("address",M21), "\$([A-Z]+)\$[0-9]+"))</f>
        <v/>
      </c>
      <c r="N21" s="7" t="str">
        <f t="array" aca="1" ref="N21" ca="1">IFERROR(IF(OR('Raw Data'!N21="",LEN(TRIM('Raw Data'!N21))=0),"",IF(AND(ISNUMBER('Raw Data'!N21), IFERROR('Raw Data'!N21 = ROUND('Raw Data'!N21, 2),FALSE)),"",_xlfn.REGEXEXTRACT(CELL("address",N21), "\$([A-Z]+)\$[0-9]+"))),_xlfn.REGEXEXTRACT(CELL("address",N21), "\$([A-Z]+)\$[0-9]+"))</f>
        <v/>
      </c>
      <c r="O21" s="7" t="str">
        <f t="array" aca="1" ref="O21" ca="1">IFERROR(IF(OR('Raw Data'!O21="",LEN(TRIM('Raw Data'!O21))=0),"",IF(AND(ISNUMBER('Raw Data'!O21),'Raw Data'!O21&gt;=Configuration!$D$2),"",_xlfn.REGEXEXTRACT(CELL("address",'Raw Data'!O21),"\$([A-Z]+)\$[0-9]+"))),_xlfn.REGEXEXTRACT(CELL("address",O21), "\$([A-Z]+)\$[0-9]+"))</f>
        <v/>
      </c>
      <c r="P21" s="7" t="str">
        <f t="array" aca="1" ref="P21" ca="1">IFERROR(IF(OR('Raw Data'!P21="",LEN(TRIM('Raw Data'!P21))=0),"",IF(AND(ISNUMBER('Raw Data'!P21), IFERROR('Raw Data'!P21 = ROUND('Raw Data'!P21, 2),FALSE)),"",_xlfn.REGEXEXTRACT(CELL("address",P21), "\$([A-Z]+)\$[0-9]+"))),_xlfn.REGEXEXTRACT(CELL("address",P21), "\$([A-Z]+)\$[0-9]+"))</f>
        <v/>
      </c>
      <c r="Q21" s="7" t="str">
        <f t="array" aca="1" ref="Q21" ca="1">IFERROR(IF(OR('Raw Data'!Q21="",LEN(TRIM('Raw Data'!Q21))=0),"",IF(AND(ISNUMBER('Raw Data'!Q21), IFERROR('Raw Data'!Q21 = ROUND('Raw Data'!Q21, 2),FALSE)),"",_xlfn.REGEXEXTRACT(CELL("address",Q21), "\$([A-Z]+)\$[0-9]+"))),_xlfn.REGEXEXTRACT(CELL("address",Q21), "\$([A-Z]+)\$[0-9]+"))</f>
        <v/>
      </c>
      <c r="R21" s="7" t="str">
        <f t="array" aca="1" ref="R21" ca="1">IFERROR(IF(OR('Raw Data'!R21="",LEN(TRIM('Raw Data'!R21))=0),"",IF(AND(LEN('Raw Data'!R21) &lt;= 50,LEN('Raw Data'!R21)&gt; 0),"",_xlfn.REGEXEXTRACT(CELL("address",'Raw Data'!R21),"\$([A-Z]+)\$[0-9]+"))),_xlfn.REGEXEXTRACT(CELL("address",'Raw Data'!R21),"\$([A-Z]+)\$[0-9]+"))</f>
        <v/>
      </c>
      <c r="S21" s="7" t="str">
        <f t="array" aca="1" ref="S21" ca="1">IFERROR(IF(OR('Raw Data'!S21="",LEN(TRIM('Raw Data'!S21))=0),"",IF(AND(LEN('Raw Data'!S21) &lt;= 50,LEN('Raw Data'!S21)&gt; 0),"",_xlfn.REGEXEXTRACT(CELL("address",'Raw Data'!S21),"\$([A-Z]+)\$[0-9]+"))),_xlfn.REGEXEXTRACT(CELL("address",'Raw Data'!S21),"\$([A-Z]+)\$[0-9]+"))</f>
        <v/>
      </c>
      <c r="T21" s="7" t="str">
        <f t="array" aca="1" ref="T21" ca="1">IFERROR(IF(OR('Raw Data'!T21="",LEN(TRIM('Raw Data'!T21))=0),"",IF(AND(ISNUMBER('Raw Data'!T21), IFERROR('Raw Data'!T21 = ROUND('Raw Data'!T21, 2),FALSE)),"",_xlfn.REGEXEXTRACT(CELL("address",T21), "\$([A-Z]+)\$[0-9]+"))),_xlfn.REGEXEXTRACT(CELL("address",T21), "\$([A-Z]+)\$[0-9]+"))</f>
        <v/>
      </c>
      <c r="U21" s="7" t="str">
        <f t="array" aca="1" ref="U21" ca="1">IFERROR(IF(OR('Raw Data'!U21="",LEN(TRIM('Raw Data'!U21))=0),"",IF(AND(ISNUMBER('Raw Data'!U21), IFERROR('Raw Data'!U21 = ROUND('Raw Data'!U21, 2),FALSE)),"",_xlfn.REGEXEXTRACT(CELL("address",U21), "\$([A-Z]+)\$[0-9]+"))),_xlfn.REGEXEXTRACT(CELL("address",U21), "\$([A-Z]+)\$[0-9]+"))</f>
        <v/>
      </c>
      <c r="V21" s="7" t="str">
        <f t="array" aca="1" ref="V21" ca="1">IFERROR(IF(OR('Raw Data'!V21="",LEN(TRIM('Raw Data'!V21))=0),"",IF(AND(ISNUMBER('Raw Data'!V21), IFERROR('Raw Data'!V21 = ROUND('Raw Data'!V21, 2),FALSE)),"",_xlfn.REGEXEXTRACT(CELL("address",V21), "\$([A-Z]+)\$[0-9]+"))),_xlfn.REGEXEXTRACT(CELL("address",V21), "\$([A-Z]+)\$[0-9]+"))</f>
        <v/>
      </c>
      <c r="W21" s="7" t="str">
        <f t="array" aca="1" ref="W21" ca="1">IFERROR(IF(OR('Raw Data'!W21="",LEN(TRIM('Raw Data'!W21))=0),"",IF(AND(ISNUMBER('Raw Data'!W21), IFERROR('Raw Data'!W21 = ROUND('Raw Data'!W21, 2),FALSE)),"",_xlfn.REGEXEXTRACT(CELL("address",W21), "\$([A-Z]+)\$[0-9]+"))),_xlfn.REGEXEXTRACT(CELL("address",W21), "\$([A-Z]+)\$[0-9]+"))</f>
        <v/>
      </c>
      <c r="X21" s="7" t="str">
        <f t="array" aca="1" ref="X21" ca="1">IFERROR(IF(OR('Raw Data'!X21="",LEN(TRIM('Raw Data'!X21))=0),"",IF(AND(ISNUMBER('Raw Data'!X21), IFERROR('Raw Data'!X21 = ROUND('Raw Data'!X21, 2),FALSE)),"",_xlfn.REGEXEXTRACT(CELL("address",X21), "\$([A-Z]+)\$[0-9]+"))),_xlfn.REGEXEXTRACT(CELL("address",X21), "\$([A-Z]+)\$[0-9]+"))</f>
        <v/>
      </c>
      <c r="Y21" s="7" t="str">
        <f t="array" aca="1" ref="Y21" ca="1">IFERROR(IF(OR('Raw Data'!Y21="",LEN(TRIM('Raw Data'!Y21))=0),"",IF(AND(ISNUMBER('Raw Data'!Y21), IFERROR('Raw Data'!Y21 = ROUND('Raw Data'!Y21, 2),FALSE)),"",_xlfn.REGEXEXTRACT(CELL("address",Y21), "\$([A-Z]+)\$[0-9]+"))),_xlfn.REGEXEXTRACT(CELL("address",Y21), "\$([A-Z]+)\$[0-9]+"))</f>
        <v/>
      </c>
      <c r="Z21" s="7" t="str">
        <f t="array" aca="1" ref="Z21" ca="1">IFERROR(IF(OR('Raw Data'!Z21="",LEN(TRIM('Raw Data'!Z21))=0),"",IF(AND(ISNUMBER('Raw Data'!Z21), IFERROR('Raw Data'!Z21 = ROUND('Raw Data'!Z21, 2),FALSE)),"",_xlfn.REGEXEXTRACT(CELL("address",Z21), "\$([A-Z]+)\$[0-9]+"))),_xlfn.REGEXEXTRACT(CELL("address",Z21), "\$([A-Z]+)\$[0-9]+"))</f>
        <v/>
      </c>
      <c r="AA21" s="7" t="str">
        <f t="array" aca="1" ref="AA21" ca="1">IFERROR(IF(OR('Raw Data'!AA21="",LEN(TRIM('Raw Data'!AA21))=0),"",IF(AND(ISNUMBER('Raw Data'!AA21), IFERROR('Raw Data'!AA21 = ROUND('Raw Data'!AA21, 2),FALSE)),"",_xlfn.REGEXEXTRACT(CELL("address",AA21), "\$([A-Z]+)\$[0-9]+"))),_xlfn.REGEXEXTRACT(CELL("address",AA21), "\$([A-Z]+)\$[0-9]+"))</f>
        <v/>
      </c>
      <c r="AB21" s="7" t="str">
        <f t="array" aca="1" ref="AB21" ca="1">IFERROR(IF(OR('Raw Data'!AB21="",LEN(TRIM('Raw Data'!AB21))=0),"",IF(AND(ISNUMBER('Raw Data'!AB21), IFERROR('Raw Data'!AB21 = ROUND('Raw Data'!AB21, 2),FALSE)),"",_xlfn.REGEXEXTRACT(CELL("address",AB21), "\$([A-Z]+)\$[0-9]+"))),_xlfn.REGEXEXTRACT(CELL("address",AB21), "\$([A-Z]+)\$[0-9]+"))</f>
        <v/>
      </c>
      <c r="AC21" s="7" t="str">
        <f t="array" aca="1" ref="AC21" ca="1">IFERROR(IF(OR('Raw Data'!AC21="",LEN(TRIM('Raw Data'!AC21))=0),"",IF(AND(ISNUMBER('Raw Data'!AC21), IFERROR('Raw Data'!AC21 = ROUND('Raw Data'!AC21, 2),FALSE)),"",_xlfn.REGEXEXTRACT(CELL("address",AC21), "\$([A-Z]+)\$[0-9]+"))),_xlfn.REGEXEXTRACT(CELL("address",AC21), "\$([A-Z]+)\$[0-9]+"))</f>
        <v/>
      </c>
      <c r="AD21" s="7" t="str">
        <f t="array" aca="1" ref="AD21" ca="1">IFERROR(IF(OR('Raw Data'!AD21="",LEN(TRIM('Raw Data'!AD21))=0),"",IF(AND(ISNUMBER('Raw Data'!AD21), IFERROR('Raw Data'!AD21 = ROUND('Raw Data'!AD21, 2),FALSE)),"",_xlfn.REGEXEXTRACT(CELL("address",AD21), "\$([A-Z]+)\$[0-9]+"))),_xlfn.REGEXEXTRACT(CELL("address",AD21), "\$([A-Z]+)\$[0-9]+"))</f>
        <v/>
      </c>
      <c r="AE21" s="7" t="str">
        <f t="array" aca="1" ref="AE21" ca="1">IFERROR(IF(OR('Raw Data'!AE21="",LEN(TRIM('Raw Data'!AE21))=0),"",IF(AND(ISNUMBER('Raw Data'!AE21), IFERROR('Raw Data'!AE21 = ROUND('Raw Data'!AE21, 2),FALSE)),"",_xlfn.REGEXEXTRACT(CELL("address",AE21), "\$([A-Z]+)\$[0-9]+"))),_xlfn.REGEXEXTRACT(CELL("address",AE21), "\$([A-Z]+)\$[0-9]+"))</f>
        <v/>
      </c>
      <c r="AF21" s="7" t="str">
        <f t="array" aca="1" ref="AF21" ca="1">IFERROR(IF(OR('Raw Data'!AF21="",LEN(TRIM('Raw Data'!AF21))=0),"",IF(AND(ISNUMBER('Raw Data'!AF21), IFERROR('Raw Data'!AF21 = ROUND('Raw Data'!AF21, 2),FALSE)),"",_xlfn.REGEXEXTRACT(CELL("address",AF21), "\$([A-Z]+)\$[0-9]+"))),_xlfn.REGEXEXTRACT(CELL("address",AF21), "\$([A-Z]+)\$[0-9]+"))</f>
        <v/>
      </c>
      <c r="AG21" s="7" t="str">
        <f t="array" aca="1" ref="AG21" ca="1">IFERROR(IF(OR('Raw Data'!AG21="",LEN(TRIM('Raw Data'!AG21))=0),"",IF(AND(ISNUMBER('Raw Data'!AG21), IFERROR('Raw Data'!AG21 = ROUND('Raw Data'!AG21, 2),FALSE)),"",_xlfn.REGEXEXTRACT(CELL("address",AG21), "\$([A-Z]+)\$[0-9]+"))),_xlfn.REGEXEXTRACT(CELL("address",AG21), "\$([A-Z]+)\$[0-9]+"))</f>
        <v/>
      </c>
      <c r="AH21" s="7" t="str">
        <f t="array" aca="1" ref="AH21" ca="1">IFERROR(IF(OR('Raw Data'!AH21="",LEN(TRIM('Raw Data'!AH21))=0),"",IF(AND(ISNUMBER('Raw Data'!AH21), IFERROR('Raw Data'!AH21 = ROUND('Raw Data'!AH21, 2),FALSE)),"",_xlfn.REGEXEXTRACT(CELL("address",AH21), "\$([A-Z]+)\$[0-9]+"))),_xlfn.REGEXEXTRACT(CELL("address",AH21), "\$([A-Z]+)\$[0-9]+"))</f>
        <v/>
      </c>
      <c r="AI21" s="7" t="str">
        <f t="array" aca="1" ref="AI21" ca="1">IFERROR(IF(OR('Raw Data'!AI21="",LEN(TRIM('Raw Data'!AI21))=0),"",IF(AND(ISNUMBER('Raw Data'!AI21), IFERROR('Raw Data'!AI21 = ROUND('Raw Data'!AI21, 2),FALSE)),"",_xlfn.REGEXEXTRACT(CELL("address",AI21), "\$([A-Z]+)\$[0-9]+"))),_xlfn.REGEXEXTRACT(CELL("address",AI21), "\$([A-Z]+)\$[0-9]+"))</f>
        <v/>
      </c>
      <c r="AJ21" s="7" t="str">
        <f t="array" aca="1" ref="AJ21" ca="1">IFERROR(IF(OR('Raw Data'!AJ21="",LEN(TRIM('Raw Data'!AJ21))=0),"",IF(AND(ISNUMBER('Raw Data'!AJ21), IFERROR('Raw Data'!AJ21 = ROUND('Raw Data'!AJ21, 4),FALSE)),"",_xlfn.REGEXEXTRACT(CELL("address",AJ21), "\$([A-Z]+)\$[0-9]+"))),_xlfn.REGEXEXTRACT(CELL("address",AJ21), "\$([A-Z]+)\$[0-9]+"))</f>
        <v/>
      </c>
      <c r="AK21" s="7" t="str">
        <f t="array" aca="1" ref="AK21" ca="1">IFERROR(IF(OR('Raw Data'!AK21="",LEN(TRIM('Raw Data'!AK21))=0),"",IF(AND(ISNUMBER('Raw Data'!AK21), IFERROR('Raw Data'!AK21 = ROUND('Raw Data'!AK21, 2),FALSE)),"",_xlfn.REGEXEXTRACT(CELL("address",AK21), "\$([A-Z]+)\$[0-9]+"))),_xlfn.REGEXEXTRACT(CELL("address",AK21), "\$([A-Z]+)\$[0-9]+"))</f>
        <v/>
      </c>
      <c r="AL21" s="7" t="str">
        <f t="array" aca="1" ref="AL21" ca="1">IFERROR(IF(OR('Raw Data'!AL21="",LEN(TRIM('Raw Data'!AL21))=0),"",IF(AND(ISNUMBER('Raw Data'!AL21), IFERROR('Raw Data'!AL21 = ROUND('Raw Data'!AL21, 2),FALSE)),"",_xlfn.REGEXEXTRACT(CELL("address",AL21), "\$([A-Z]+)\$[0-9]+"))),_xlfn.REGEXEXTRACT(CELL("address",AL21), "\$([A-Z]+)\$[0-9]+"))</f>
        <v/>
      </c>
      <c r="AM21" s="7" t="str">
        <f t="array" aca="1" ref="AM21" ca="1">IFERROR(IF(OR('Raw Data'!AM21="",LEN(TRIM('Raw Data'!AM21))=0),"",IF(AND(ISNUMBER('Raw Data'!AM21), IFERROR('Raw Data'!AM21 = ROUND('Raw Data'!AM21, 2),FALSE)),"",_xlfn.REGEXEXTRACT(CELL("address",AM21), "\$([A-Z]+)\$[0-9]+"))),_xlfn.REGEXEXTRACT(CELL("address",AM21), "\$([A-Z]+)\$[0-9]+"))</f>
        <v/>
      </c>
      <c r="AN21" s="7" t="str">
        <f t="array" aca="1" ref="AN21" ca="1">IFERROR(IF(OR('Raw Data'!AN21="",LEN(TRIM('Raw Data'!AN21))=0),"",IF(AND(ISNUMBER('Raw Data'!AN21), IFERROR('Raw Data'!AN21 = ROUND('Raw Data'!AN21, 2),FALSE)),"",_xlfn.REGEXEXTRACT(CELL("address",AN21), "\$([A-Z]+)\$[0-9]+"))),_xlfn.REGEXEXTRACT(CELL("address",AN21), "\$([A-Z]+)\$[0-9]+"))</f>
        <v/>
      </c>
      <c r="AO21" s="7" t="str">
        <f t="array" aca="1" ref="AO21" ca="1">IFERROR(IF(OR('Raw Data'!AO21="",LEN(TRIM('Raw Data'!AO21))=0),"",IF(AND(ISNUMBER('Raw Data'!AO21), IFERROR('Raw Data'!AO21 = ROUND('Raw Data'!AO21, 2),FALSE)),"",_xlfn.REGEXEXTRACT(CELL("address",AO21), "\$([A-Z]+)\$[0-9]+"))),_xlfn.REGEXEXTRACT(CELL("address",AO21), "\$([A-Z]+)\$[0-9]+"))</f>
        <v/>
      </c>
      <c r="AP21" s="7" t="str">
        <f t="array" aca="1" ref="AP21" ca="1">IFERROR(IF(OR('Raw Data'!AP21="",LEN(TRIM('Raw Data'!AP21))=0),"",IF(AND(ISNUMBER('Raw Data'!AP21), IFERROR('Raw Data'!AP21 = ROUND('Raw Data'!AP21, 2),FALSE)),"",_xlfn.REGEXEXTRACT(CELL("address",AP21), "\$([A-Z]+)\$[0-9]+"))),_xlfn.REGEXEXTRACT(CELL("address",AP21), "\$([A-Z]+)\$[0-9]+"))</f>
        <v/>
      </c>
    </row>
    <row r="22" spans="2:42" x14ac:dyDescent="0.25">
      <c r="B22" s="7" t="str">
        <f t="array" aca="1" ref="B22" ca="1">IFERROR(IF(OR('Raw Data'!B22="",LEN(TRIM('Raw Data'!B22))=0),"",IF(AND(LEN('Raw Data'!B22) &lt;= 255,LEN('Raw Data'!B22)&gt; 0),"",_xlfn.REGEXEXTRACT(CELL("address",'Raw Data'!B22),"\$([A-Z]+)\$[0-9]+"))),_xlfn.REGEXEXTRACT(CELL("address",'Raw Data'!B22),"\$([A-Z]+)\$[0-9]+"))</f>
        <v/>
      </c>
      <c r="C22" s="7" t="str">
        <f t="array" aca="1" ref="C22" ca="1">IFERROR(IF(OR('Raw Data'!C22="",LEN(TRIM('Raw Data'!C22))=0),"",IF(AND(LEN('Raw Data'!C22) &lt;= 50,LEN('Raw Data'!C22)&gt; 0),"",_xlfn.REGEXEXTRACT(CELL("address",'Raw Data'!C22),"\$([A-Z]+)\$[0-9]+"))),_xlfn.REGEXEXTRACT(CELL("address",'Raw Data'!C22),"\$([A-Z]+)\$[0-9]+"))</f>
        <v/>
      </c>
      <c r="D22" s="7" t="str">
        <f t="array" aca="1" ref="D22" ca="1">IFERROR(IF(OR('Raw Data'!D22="",LEN(TRIM('Raw Data'!D22))=0),"",IF(AND(LEN('Raw Data'!D22) &lt;= 500,LEN('Raw Data'!D22)&gt; 0),"",_xlfn.REGEXEXTRACT(CELL("address",'Raw Data'!D22),"\$([A-Z]+)\$[0-9]+"))),_xlfn.REGEXEXTRACT(CELL("address",'Raw Data'!D22),"\$([A-Z]+)\$[0-9]+"))</f>
        <v/>
      </c>
      <c r="E22" s="7" t="str">
        <f t="array" aca="1" ref="E22" ca="1">IFERROR(IF(OR('Raw Data'!E22="",LEN(TRIM('Raw Data'!E22))=0),"",IF(AND(LEN('Raw Data'!E22) &lt;= 50,LEN('Raw Data'!E22)&gt; 0),"",_xlfn.REGEXEXTRACT(CELL("address",'Raw Data'!E22),"\$([A-Z]+)\$[0-9]+"))),_xlfn.REGEXEXTRACT(CELL("address",'Raw Data'!E22),"\$([A-Z]+)\$[0-9]+"))</f>
        <v/>
      </c>
      <c r="F22" s="7" t="str">
        <f t="array" aca="1" ref="F22" ca="1">IFERROR(IF(OR('Raw Data'!F22="",LEN(TRIM('Raw Data'!F22))=0),"",IF(AND(LEN('Raw Data'!F22) &lt;= 50,LEN('Raw Data'!F22)&gt; 0),"",_xlfn.REGEXEXTRACT(CELL("address",'Raw Data'!F22),"\$([A-Z]+)\$[0-9]+"))),_xlfn.REGEXEXTRACT(CELL("address",'Raw Data'!F22),"\$([A-Z]+)\$[0-9]+"))</f>
        <v/>
      </c>
      <c r="G22" s="7" t="str">
        <f t="array" aca="1" ref="G22" ca="1">IFERROR(IF(OR('Raw Data'!G22="",LEN(TRIM('Raw Data'!G22))=0),"",IF(AND(LEN('Raw Data'!G22) &lt;= 50,LEN('Raw Data'!G22)&gt; 0),"",_xlfn.REGEXEXTRACT(CELL("address",'Raw Data'!G22),"\$([A-Z]+)\$[0-9]+"))),_xlfn.REGEXEXTRACT(CELL("address",'Raw Data'!G22),"\$([A-Z]+)\$[0-9]+"))</f>
        <v/>
      </c>
      <c r="H22" s="7" t="str">
        <f t="array" aca="1" ref="H22" ca="1">IFERROR(IF(OR('Raw Data'!H22="",LEN(TRIM('Raw Data'!H22))=0),"",IF(AND(LEN('Raw Data'!H22) &lt;= 50,LEN('Raw Data'!H22)&gt; 0),"",_xlfn.REGEXEXTRACT(CELL("address",'Raw Data'!H22),"\$([A-Z]+)\$[0-9]+"))),_xlfn.REGEXEXTRACT(CELL("address",'Raw Data'!H22),"\$([A-Z]+)\$[0-9]+"))</f>
        <v/>
      </c>
      <c r="I22" s="7" t="str">
        <f t="array" aca="1" ref="I22" ca="1">IFERROR(IF(OR('Raw Data'!I22="",LEN(TRIM('Raw Data'!I22))=0),"",IF(AND(LEN('Raw Data'!I22) &lt;= 50,LEN('Raw Data'!I22)&gt; 0),"",_xlfn.REGEXEXTRACT(CELL("address",'Raw Data'!I22),"\$([A-Z]+)\$[0-9]+"))),_xlfn.REGEXEXTRACT(CELL("address",'Raw Data'!I22),"\$([A-Z]+)\$[0-9]+"))</f>
        <v/>
      </c>
      <c r="J22" s="7" t="str">
        <f t="array" aca="1" ref="J22" ca="1">IFERROR(IF(OR('Raw Data'!J22="",LEN(TRIM('Raw Data'!J22))=0),"",IF(AND(ISNUMBER('Raw Data'!J22), IFERROR('Raw Data'!J22 = ROUND('Raw Data'!J22, 2),FALSE)),"",_xlfn.REGEXEXTRACT(CELL("address",J22), "\$([A-Z]+)\$[0-9]+"))),_xlfn.REGEXEXTRACT(CELL("address",J22), "\$([A-Z]+)\$[0-9]+"))</f>
        <v/>
      </c>
      <c r="K22" s="7" t="str">
        <f t="array" aca="1" ref="K22" ca="1">IFERROR(IF(OR('Raw Data'!K22="",LEN(TRIM('Raw Data'!K22))=0),"",IF(AND(ISNUMBER('Raw Data'!K22), IFERROR('Raw Data'!K22 = ROUND('Raw Data'!K22, 2),FALSE)),"",_xlfn.REGEXEXTRACT(CELL("address",K22), "\$([A-Z]+)\$[0-9]+"))),_xlfn.REGEXEXTRACT(CELL("address",K22), "\$([A-Z]+)\$[0-9]+"))</f>
        <v/>
      </c>
      <c r="L22" s="7" t="str">
        <f t="array" aca="1" ref="L22" ca="1">IFERROR(IF(OR('Raw Data'!L22="",LEN(TRIM('Raw Data'!L22))=0),"",IF(AND(ISNUMBER('Raw Data'!L22), IFERROR('Raw Data'!L22 = ROUND('Raw Data'!L22, 2),FALSE)),"",_xlfn.REGEXEXTRACT(CELL("address",L22), "\$([A-Z]+)\$[0-9]+"))),_xlfn.REGEXEXTRACT(CELL("address",L22), "\$([A-Z]+)\$[0-9]+"))</f>
        <v/>
      </c>
      <c r="M22" s="7" t="str">
        <f t="array" aca="1" ref="M22" ca="1">IFERROR(IF(OR('Raw Data'!M22="",LEN(TRIM('Raw Data'!M22))=0),"",IF(AND(ISNUMBER('Raw Data'!M22), IFERROR('Raw Data'!M22 = ROUND('Raw Data'!M22, 2),FALSE)),"",_xlfn.REGEXEXTRACT(CELL("address",M22), "\$([A-Z]+)\$[0-9]+"))),_xlfn.REGEXEXTRACT(CELL("address",M22), "\$([A-Z]+)\$[0-9]+"))</f>
        <v/>
      </c>
      <c r="N22" s="7" t="str">
        <f t="array" aca="1" ref="N22" ca="1">IFERROR(IF(OR('Raw Data'!N22="",LEN(TRIM('Raw Data'!N22))=0),"",IF(AND(ISNUMBER('Raw Data'!N22), IFERROR('Raw Data'!N22 = ROUND('Raw Data'!N22, 2),FALSE)),"",_xlfn.REGEXEXTRACT(CELL("address",N22), "\$([A-Z]+)\$[0-9]+"))),_xlfn.REGEXEXTRACT(CELL("address",N22), "\$([A-Z]+)\$[0-9]+"))</f>
        <v/>
      </c>
      <c r="O22" s="7" t="str">
        <f t="array" aca="1" ref="O22" ca="1">IFERROR(IF(OR('Raw Data'!O22="",LEN(TRIM('Raw Data'!O22))=0),"",IF(AND(ISNUMBER('Raw Data'!O22),'Raw Data'!O22&gt;=Configuration!$D$2),"",_xlfn.REGEXEXTRACT(CELL("address",'Raw Data'!O22),"\$([A-Z]+)\$[0-9]+"))),_xlfn.REGEXEXTRACT(CELL("address",O22), "\$([A-Z]+)\$[0-9]+"))</f>
        <v/>
      </c>
      <c r="P22" s="7" t="str">
        <f t="array" aca="1" ref="P22" ca="1">IFERROR(IF(OR('Raw Data'!P22="",LEN(TRIM('Raw Data'!P22))=0),"",IF(AND(ISNUMBER('Raw Data'!P22), IFERROR('Raw Data'!P22 = ROUND('Raw Data'!P22, 2),FALSE)),"",_xlfn.REGEXEXTRACT(CELL("address",P22), "\$([A-Z]+)\$[0-9]+"))),_xlfn.REGEXEXTRACT(CELL("address",P22), "\$([A-Z]+)\$[0-9]+"))</f>
        <v/>
      </c>
      <c r="Q22" s="7" t="str">
        <f t="array" aca="1" ref="Q22" ca="1">IFERROR(IF(OR('Raw Data'!Q22="",LEN(TRIM('Raw Data'!Q22))=0),"",IF(AND(ISNUMBER('Raw Data'!Q22), IFERROR('Raw Data'!Q22 = ROUND('Raw Data'!Q22, 2),FALSE)),"",_xlfn.REGEXEXTRACT(CELL("address",Q22), "\$([A-Z]+)\$[0-9]+"))),_xlfn.REGEXEXTRACT(CELL("address",Q22), "\$([A-Z]+)\$[0-9]+"))</f>
        <v/>
      </c>
      <c r="R22" s="7" t="str">
        <f t="array" aca="1" ref="R22" ca="1">IFERROR(IF(OR('Raw Data'!R22="",LEN(TRIM('Raw Data'!R22))=0),"",IF(AND(LEN('Raw Data'!R22) &lt;= 50,LEN('Raw Data'!R22)&gt; 0),"",_xlfn.REGEXEXTRACT(CELL("address",'Raw Data'!R22),"\$([A-Z]+)\$[0-9]+"))),_xlfn.REGEXEXTRACT(CELL("address",'Raw Data'!R22),"\$([A-Z]+)\$[0-9]+"))</f>
        <v/>
      </c>
      <c r="S22" s="7" t="str">
        <f t="array" aca="1" ref="S22" ca="1">IFERROR(IF(OR('Raw Data'!S22="",LEN(TRIM('Raw Data'!S22))=0),"",IF(AND(LEN('Raw Data'!S22) &lt;= 50,LEN('Raw Data'!S22)&gt; 0),"",_xlfn.REGEXEXTRACT(CELL("address",'Raw Data'!S22),"\$([A-Z]+)\$[0-9]+"))),_xlfn.REGEXEXTRACT(CELL("address",'Raw Data'!S22),"\$([A-Z]+)\$[0-9]+"))</f>
        <v/>
      </c>
      <c r="T22" s="7" t="str">
        <f t="array" aca="1" ref="T22" ca="1">IFERROR(IF(OR('Raw Data'!T22="",LEN(TRIM('Raw Data'!T22))=0),"",IF(AND(ISNUMBER('Raw Data'!T22), IFERROR('Raw Data'!T22 = ROUND('Raw Data'!T22, 2),FALSE)),"",_xlfn.REGEXEXTRACT(CELL("address",T22), "\$([A-Z]+)\$[0-9]+"))),_xlfn.REGEXEXTRACT(CELL("address",T22), "\$([A-Z]+)\$[0-9]+"))</f>
        <v/>
      </c>
      <c r="U22" s="7" t="str">
        <f t="array" aca="1" ref="U22" ca="1">IFERROR(IF(OR('Raw Data'!U22="",LEN(TRIM('Raw Data'!U22))=0),"",IF(AND(ISNUMBER('Raw Data'!U22), IFERROR('Raw Data'!U22 = ROUND('Raw Data'!U22, 2),FALSE)),"",_xlfn.REGEXEXTRACT(CELL("address",U22), "\$([A-Z]+)\$[0-9]+"))),_xlfn.REGEXEXTRACT(CELL("address",U22), "\$([A-Z]+)\$[0-9]+"))</f>
        <v/>
      </c>
      <c r="V22" s="7" t="str">
        <f t="array" aca="1" ref="V22" ca="1">IFERROR(IF(OR('Raw Data'!V22="",LEN(TRIM('Raw Data'!V22))=0),"",IF(AND(ISNUMBER('Raw Data'!V22), IFERROR('Raw Data'!V22 = ROUND('Raw Data'!V22, 2),FALSE)),"",_xlfn.REGEXEXTRACT(CELL("address",V22), "\$([A-Z]+)\$[0-9]+"))),_xlfn.REGEXEXTRACT(CELL("address",V22), "\$([A-Z]+)\$[0-9]+"))</f>
        <v/>
      </c>
      <c r="W22" s="7" t="str">
        <f t="array" aca="1" ref="W22" ca="1">IFERROR(IF(OR('Raw Data'!W22="",LEN(TRIM('Raw Data'!W22))=0),"",IF(AND(ISNUMBER('Raw Data'!W22), IFERROR('Raw Data'!W22 = ROUND('Raw Data'!W22, 2),FALSE)),"",_xlfn.REGEXEXTRACT(CELL("address",W22), "\$([A-Z]+)\$[0-9]+"))),_xlfn.REGEXEXTRACT(CELL("address",W22), "\$([A-Z]+)\$[0-9]+"))</f>
        <v/>
      </c>
      <c r="X22" s="7" t="str">
        <f t="array" aca="1" ref="X22" ca="1">IFERROR(IF(OR('Raw Data'!X22="",LEN(TRIM('Raw Data'!X22))=0),"",IF(AND(ISNUMBER('Raw Data'!X22), IFERROR('Raw Data'!X22 = ROUND('Raw Data'!X22, 2),FALSE)),"",_xlfn.REGEXEXTRACT(CELL("address",X22), "\$([A-Z]+)\$[0-9]+"))),_xlfn.REGEXEXTRACT(CELL("address",X22), "\$([A-Z]+)\$[0-9]+"))</f>
        <v/>
      </c>
      <c r="Y22" s="7" t="str">
        <f t="array" aca="1" ref="Y22" ca="1">IFERROR(IF(OR('Raw Data'!Y22="",LEN(TRIM('Raw Data'!Y22))=0),"",IF(AND(ISNUMBER('Raw Data'!Y22), IFERROR('Raw Data'!Y22 = ROUND('Raw Data'!Y22, 2),FALSE)),"",_xlfn.REGEXEXTRACT(CELL("address",Y22), "\$([A-Z]+)\$[0-9]+"))),_xlfn.REGEXEXTRACT(CELL("address",Y22), "\$([A-Z]+)\$[0-9]+"))</f>
        <v/>
      </c>
      <c r="Z22" s="7" t="str">
        <f t="array" aca="1" ref="Z22" ca="1">IFERROR(IF(OR('Raw Data'!Z22="",LEN(TRIM('Raw Data'!Z22))=0),"",IF(AND(ISNUMBER('Raw Data'!Z22), IFERROR('Raw Data'!Z22 = ROUND('Raw Data'!Z22, 2),FALSE)),"",_xlfn.REGEXEXTRACT(CELL("address",Z22), "\$([A-Z]+)\$[0-9]+"))),_xlfn.REGEXEXTRACT(CELL("address",Z22), "\$([A-Z]+)\$[0-9]+"))</f>
        <v/>
      </c>
      <c r="AA22" s="7" t="str">
        <f t="array" aca="1" ref="AA22" ca="1">IFERROR(IF(OR('Raw Data'!AA22="",LEN(TRIM('Raw Data'!AA22))=0),"",IF(AND(ISNUMBER('Raw Data'!AA22), IFERROR('Raw Data'!AA22 = ROUND('Raw Data'!AA22, 2),FALSE)),"",_xlfn.REGEXEXTRACT(CELL("address",AA22), "\$([A-Z]+)\$[0-9]+"))),_xlfn.REGEXEXTRACT(CELL("address",AA22), "\$([A-Z]+)\$[0-9]+"))</f>
        <v/>
      </c>
      <c r="AB22" s="7" t="str">
        <f t="array" aca="1" ref="AB22" ca="1">IFERROR(IF(OR('Raw Data'!AB22="",LEN(TRIM('Raw Data'!AB22))=0),"",IF(AND(ISNUMBER('Raw Data'!AB22), IFERROR('Raw Data'!AB22 = ROUND('Raw Data'!AB22, 2),FALSE)),"",_xlfn.REGEXEXTRACT(CELL("address",AB22), "\$([A-Z]+)\$[0-9]+"))),_xlfn.REGEXEXTRACT(CELL("address",AB22), "\$([A-Z]+)\$[0-9]+"))</f>
        <v/>
      </c>
      <c r="AC22" s="7" t="str">
        <f t="array" aca="1" ref="AC22" ca="1">IFERROR(IF(OR('Raw Data'!AC22="",LEN(TRIM('Raw Data'!AC22))=0),"",IF(AND(ISNUMBER('Raw Data'!AC22), IFERROR('Raw Data'!AC22 = ROUND('Raw Data'!AC22, 2),FALSE)),"",_xlfn.REGEXEXTRACT(CELL("address",AC22), "\$([A-Z]+)\$[0-9]+"))),_xlfn.REGEXEXTRACT(CELL("address",AC22), "\$([A-Z]+)\$[0-9]+"))</f>
        <v/>
      </c>
      <c r="AD22" s="7" t="str">
        <f t="array" aca="1" ref="AD22" ca="1">IFERROR(IF(OR('Raw Data'!AD22="",LEN(TRIM('Raw Data'!AD22))=0),"",IF(AND(ISNUMBER('Raw Data'!AD22), IFERROR('Raw Data'!AD22 = ROUND('Raw Data'!AD22, 2),FALSE)),"",_xlfn.REGEXEXTRACT(CELL("address",AD22), "\$([A-Z]+)\$[0-9]+"))),_xlfn.REGEXEXTRACT(CELL("address",AD22), "\$([A-Z]+)\$[0-9]+"))</f>
        <v/>
      </c>
      <c r="AE22" s="7" t="str">
        <f t="array" aca="1" ref="AE22" ca="1">IFERROR(IF(OR('Raw Data'!AE22="",LEN(TRIM('Raw Data'!AE22))=0),"",IF(AND(ISNUMBER('Raw Data'!AE22), IFERROR('Raw Data'!AE22 = ROUND('Raw Data'!AE22, 2),FALSE)),"",_xlfn.REGEXEXTRACT(CELL("address",AE22), "\$([A-Z]+)\$[0-9]+"))),_xlfn.REGEXEXTRACT(CELL("address",AE22), "\$([A-Z]+)\$[0-9]+"))</f>
        <v/>
      </c>
      <c r="AF22" s="7" t="str">
        <f t="array" aca="1" ref="AF22" ca="1">IFERROR(IF(OR('Raw Data'!AF22="",LEN(TRIM('Raw Data'!AF22))=0),"",IF(AND(ISNUMBER('Raw Data'!AF22), IFERROR('Raw Data'!AF22 = ROUND('Raw Data'!AF22, 2),FALSE)),"",_xlfn.REGEXEXTRACT(CELL("address",AF22), "\$([A-Z]+)\$[0-9]+"))),_xlfn.REGEXEXTRACT(CELL("address",AF22), "\$([A-Z]+)\$[0-9]+"))</f>
        <v/>
      </c>
      <c r="AG22" s="7" t="str">
        <f t="array" aca="1" ref="AG22" ca="1">IFERROR(IF(OR('Raw Data'!AG22="",LEN(TRIM('Raw Data'!AG22))=0),"",IF(AND(ISNUMBER('Raw Data'!AG22), IFERROR('Raw Data'!AG22 = ROUND('Raw Data'!AG22, 2),FALSE)),"",_xlfn.REGEXEXTRACT(CELL("address",AG22), "\$([A-Z]+)\$[0-9]+"))),_xlfn.REGEXEXTRACT(CELL("address",AG22), "\$([A-Z]+)\$[0-9]+"))</f>
        <v/>
      </c>
      <c r="AH22" s="7" t="str">
        <f t="array" aca="1" ref="AH22" ca="1">IFERROR(IF(OR('Raw Data'!AH22="",LEN(TRIM('Raw Data'!AH22))=0),"",IF(AND(ISNUMBER('Raw Data'!AH22), IFERROR('Raw Data'!AH22 = ROUND('Raw Data'!AH22, 2),FALSE)),"",_xlfn.REGEXEXTRACT(CELL("address",AH22), "\$([A-Z]+)\$[0-9]+"))),_xlfn.REGEXEXTRACT(CELL("address",AH22), "\$([A-Z]+)\$[0-9]+"))</f>
        <v/>
      </c>
      <c r="AI22" s="7" t="str">
        <f t="array" aca="1" ref="AI22" ca="1">IFERROR(IF(OR('Raw Data'!AI22="",LEN(TRIM('Raw Data'!AI22))=0),"",IF(AND(ISNUMBER('Raw Data'!AI22), IFERROR('Raw Data'!AI22 = ROUND('Raw Data'!AI22, 2),FALSE)),"",_xlfn.REGEXEXTRACT(CELL("address",AI22), "\$([A-Z]+)\$[0-9]+"))),_xlfn.REGEXEXTRACT(CELL("address",AI22), "\$([A-Z]+)\$[0-9]+"))</f>
        <v/>
      </c>
      <c r="AJ22" s="7" t="str">
        <f t="array" aca="1" ref="AJ22" ca="1">IFERROR(IF(OR('Raw Data'!AJ22="",LEN(TRIM('Raw Data'!AJ22))=0),"",IF(AND(ISNUMBER('Raw Data'!AJ22), IFERROR('Raw Data'!AJ22 = ROUND('Raw Data'!AJ22, 4),FALSE)),"",_xlfn.REGEXEXTRACT(CELL("address",AJ22), "\$([A-Z]+)\$[0-9]+"))),_xlfn.REGEXEXTRACT(CELL("address",AJ22), "\$([A-Z]+)\$[0-9]+"))</f>
        <v/>
      </c>
      <c r="AK22" s="7" t="str">
        <f t="array" aca="1" ref="AK22" ca="1">IFERROR(IF(OR('Raw Data'!AK22="",LEN(TRIM('Raw Data'!AK22))=0),"",IF(AND(ISNUMBER('Raw Data'!AK22), IFERROR('Raw Data'!AK22 = ROUND('Raw Data'!AK22, 2),FALSE)),"",_xlfn.REGEXEXTRACT(CELL("address",AK22), "\$([A-Z]+)\$[0-9]+"))),_xlfn.REGEXEXTRACT(CELL("address",AK22), "\$([A-Z]+)\$[0-9]+"))</f>
        <v/>
      </c>
      <c r="AL22" s="7" t="str">
        <f t="array" aca="1" ref="AL22" ca="1">IFERROR(IF(OR('Raw Data'!AL22="",LEN(TRIM('Raw Data'!AL22))=0),"",IF(AND(ISNUMBER('Raw Data'!AL22), IFERROR('Raw Data'!AL22 = ROUND('Raw Data'!AL22, 2),FALSE)),"",_xlfn.REGEXEXTRACT(CELL("address",AL22), "\$([A-Z]+)\$[0-9]+"))),_xlfn.REGEXEXTRACT(CELL("address",AL22), "\$([A-Z]+)\$[0-9]+"))</f>
        <v/>
      </c>
      <c r="AM22" s="7" t="str">
        <f t="array" aca="1" ref="AM22" ca="1">IFERROR(IF(OR('Raw Data'!AM22="",LEN(TRIM('Raw Data'!AM22))=0),"",IF(AND(ISNUMBER('Raw Data'!AM22), IFERROR('Raw Data'!AM22 = ROUND('Raw Data'!AM22, 2),FALSE)),"",_xlfn.REGEXEXTRACT(CELL("address",AM22), "\$([A-Z]+)\$[0-9]+"))),_xlfn.REGEXEXTRACT(CELL("address",AM22), "\$([A-Z]+)\$[0-9]+"))</f>
        <v/>
      </c>
      <c r="AN22" s="7" t="str">
        <f t="array" aca="1" ref="AN22" ca="1">IFERROR(IF(OR('Raw Data'!AN22="",LEN(TRIM('Raw Data'!AN22))=0),"",IF(AND(ISNUMBER('Raw Data'!AN22), IFERROR('Raw Data'!AN22 = ROUND('Raw Data'!AN22, 2),FALSE)),"",_xlfn.REGEXEXTRACT(CELL("address",AN22), "\$([A-Z]+)\$[0-9]+"))),_xlfn.REGEXEXTRACT(CELL("address",AN22), "\$([A-Z]+)\$[0-9]+"))</f>
        <v/>
      </c>
      <c r="AO22" s="7" t="str">
        <f t="array" aca="1" ref="AO22" ca="1">IFERROR(IF(OR('Raw Data'!AO22="",LEN(TRIM('Raw Data'!AO22))=0),"",IF(AND(ISNUMBER('Raw Data'!AO22), IFERROR('Raw Data'!AO22 = ROUND('Raw Data'!AO22, 2),FALSE)),"",_xlfn.REGEXEXTRACT(CELL("address",AO22), "\$([A-Z]+)\$[0-9]+"))),_xlfn.REGEXEXTRACT(CELL("address",AO22), "\$([A-Z]+)\$[0-9]+"))</f>
        <v/>
      </c>
      <c r="AP22" s="7" t="str">
        <f t="array" aca="1" ref="AP22" ca="1">IFERROR(IF(OR('Raw Data'!AP22="",LEN(TRIM('Raw Data'!AP22))=0),"",IF(AND(ISNUMBER('Raw Data'!AP22), IFERROR('Raw Data'!AP22 = ROUND('Raw Data'!AP22, 2),FALSE)),"",_xlfn.REGEXEXTRACT(CELL("address",AP22), "\$([A-Z]+)\$[0-9]+"))),_xlfn.REGEXEXTRACT(CELL("address",AP22), "\$([A-Z]+)\$[0-9]+"))</f>
        <v/>
      </c>
    </row>
    <row r="23" spans="2:42" x14ac:dyDescent="0.25">
      <c r="B23" s="7" t="str">
        <f t="array" aca="1" ref="B23" ca="1">IFERROR(IF(OR('Raw Data'!B23="",LEN(TRIM('Raw Data'!B23))=0),"",IF(AND(LEN('Raw Data'!B23) &lt;= 255,LEN('Raw Data'!B23)&gt; 0),"",_xlfn.REGEXEXTRACT(CELL("address",'Raw Data'!B23),"\$([A-Z]+)\$[0-9]+"))),_xlfn.REGEXEXTRACT(CELL("address",'Raw Data'!B23),"\$([A-Z]+)\$[0-9]+"))</f>
        <v/>
      </c>
      <c r="C23" s="7" t="str">
        <f t="array" aca="1" ref="C23" ca="1">IFERROR(IF(OR('Raw Data'!C23="",LEN(TRIM('Raw Data'!C23))=0),"",IF(AND(LEN('Raw Data'!C23) &lt;= 50,LEN('Raw Data'!C23)&gt; 0),"",_xlfn.REGEXEXTRACT(CELL("address",'Raw Data'!C23),"\$([A-Z]+)\$[0-9]+"))),_xlfn.REGEXEXTRACT(CELL("address",'Raw Data'!C23),"\$([A-Z]+)\$[0-9]+"))</f>
        <v/>
      </c>
      <c r="D23" s="7" t="str">
        <f t="array" aca="1" ref="D23" ca="1">IFERROR(IF(OR('Raw Data'!D23="",LEN(TRIM('Raw Data'!D23))=0),"",IF(AND(LEN('Raw Data'!D23) &lt;= 500,LEN('Raw Data'!D23)&gt; 0),"",_xlfn.REGEXEXTRACT(CELL("address",'Raw Data'!D23),"\$([A-Z]+)\$[0-9]+"))),_xlfn.REGEXEXTRACT(CELL("address",'Raw Data'!D23),"\$([A-Z]+)\$[0-9]+"))</f>
        <v/>
      </c>
      <c r="E23" s="7" t="str">
        <f t="array" aca="1" ref="E23" ca="1">IFERROR(IF(OR('Raw Data'!E23="",LEN(TRIM('Raw Data'!E23))=0),"",IF(AND(LEN('Raw Data'!E23) &lt;= 50,LEN('Raw Data'!E23)&gt; 0),"",_xlfn.REGEXEXTRACT(CELL("address",'Raw Data'!E23),"\$([A-Z]+)\$[0-9]+"))),_xlfn.REGEXEXTRACT(CELL("address",'Raw Data'!E23),"\$([A-Z]+)\$[0-9]+"))</f>
        <v/>
      </c>
      <c r="F23" s="7" t="str">
        <f t="array" aca="1" ref="F23" ca="1">IFERROR(IF(OR('Raw Data'!F23="",LEN(TRIM('Raw Data'!F23))=0),"",IF(AND(LEN('Raw Data'!F23) &lt;= 50,LEN('Raw Data'!F23)&gt; 0),"",_xlfn.REGEXEXTRACT(CELL("address",'Raw Data'!F23),"\$([A-Z]+)\$[0-9]+"))),_xlfn.REGEXEXTRACT(CELL("address",'Raw Data'!F23),"\$([A-Z]+)\$[0-9]+"))</f>
        <v/>
      </c>
      <c r="G23" s="7" t="str">
        <f t="array" aca="1" ref="G23" ca="1">IFERROR(IF(OR('Raw Data'!G23="",LEN(TRIM('Raw Data'!G23))=0),"",IF(AND(LEN('Raw Data'!G23) &lt;= 50,LEN('Raw Data'!G23)&gt; 0),"",_xlfn.REGEXEXTRACT(CELL("address",'Raw Data'!G23),"\$([A-Z]+)\$[0-9]+"))),_xlfn.REGEXEXTRACT(CELL("address",'Raw Data'!G23),"\$([A-Z]+)\$[0-9]+"))</f>
        <v/>
      </c>
      <c r="H23" s="7" t="str">
        <f t="array" aca="1" ref="H23" ca="1">IFERROR(IF(OR('Raw Data'!H23="",LEN(TRIM('Raw Data'!H23))=0),"",IF(AND(LEN('Raw Data'!H23) &lt;= 50,LEN('Raw Data'!H23)&gt; 0),"",_xlfn.REGEXEXTRACT(CELL("address",'Raw Data'!H23),"\$([A-Z]+)\$[0-9]+"))),_xlfn.REGEXEXTRACT(CELL("address",'Raw Data'!H23),"\$([A-Z]+)\$[0-9]+"))</f>
        <v/>
      </c>
      <c r="I23" s="7" t="str">
        <f t="array" aca="1" ref="I23" ca="1">IFERROR(IF(OR('Raw Data'!I23="",LEN(TRIM('Raw Data'!I23))=0),"",IF(AND(LEN('Raw Data'!I23) &lt;= 50,LEN('Raw Data'!I23)&gt; 0),"",_xlfn.REGEXEXTRACT(CELL("address",'Raw Data'!I23),"\$([A-Z]+)\$[0-9]+"))),_xlfn.REGEXEXTRACT(CELL("address",'Raw Data'!I23),"\$([A-Z]+)\$[0-9]+"))</f>
        <v/>
      </c>
      <c r="J23" s="7" t="str">
        <f t="array" aca="1" ref="J23" ca="1">IFERROR(IF(OR('Raw Data'!J23="",LEN(TRIM('Raw Data'!J23))=0),"",IF(AND(ISNUMBER('Raw Data'!J23), IFERROR('Raw Data'!J23 = ROUND('Raw Data'!J23, 2),FALSE)),"",_xlfn.REGEXEXTRACT(CELL("address",J23), "\$([A-Z]+)\$[0-9]+"))),_xlfn.REGEXEXTRACT(CELL("address",J23), "\$([A-Z]+)\$[0-9]+"))</f>
        <v/>
      </c>
      <c r="K23" s="7" t="str">
        <f t="array" aca="1" ref="K23" ca="1">IFERROR(IF(OR('Raw Data'!K23="",LEN(TRIM('Raw Data'!K23))=0),"",IF(AND(ISNUMBER('Raw Data'!K23), IFERROR('Raw Data'!K23 = ROUND('Raw Data'!K23, 2),FALSE)),"",_xlfn.REGEXEXTRACT(CELL("address",K23), "\$([A-Z]+)\$[0-9]+"))),_xlfn.REGEXEXTRACT(CELL("address",K23), "\$([A-Z]+)\$[0-9]+"))</f>
        <v/>
      </c>
      <c r="L23" s="7" t="str">
        <f t="array" aca="1" ref="L23" ca="1">IFERROR(IF(OR('Raw Data'!L23="",LEN(TRIM('Raw Data'!L23))=0),"",IF(AND(ISNUMBER('Raw Data'!L23), IFERROR('Raw Data'!L23 = ROUND('Raw Data'!L23, 2),FALSE)),"",_xlfn.REGEXEXTRACT(CELL("address",L23), "\$([A-Z]+)\$[0-9]+"))),_xlfn.REGEXEXTRACT(CELL("address",L23), "\$([A-Z]+)\$[0-9]+"))</f>
        <v/>
      </c>
      <c r="M23" s="7" t="str">
        <f t="array" aca="1" ref="M23" ca="1">IFERROR(IF(OR('Raw Data'!M23="",LEN(TRIM('Raw Data'!M23))=0),"",IF(AND(ISNUMBER('Raw Data'!M23), IFERROR('Raw Data'!M23 = ROUND('Raw Data'!M23, 2),FALSE)),"",_xlfn.REGEXEXTRACT(CELL("address",M23), "\$([A-Z]+)\$[0-9]+"))),_xlfn.REGEXEXTRACT(CELL("address",M23), "\$([A-Z]+)\$[0-9]+"))</f>
        <v/>
      </c>
      <c r="N23" s="7" t="str">
        <f t="array" aca="1" ref="N23" ca="1">IFERROR(IF(OR('Raw Data'!N23="",LEN(TRIM('Raw Data'!N23))=0),"",IF(AND(ISNUMBER('Raw Data'!N23), IFERROR('Raw Data'!N23 = ROUND('Raw Data'!N23, 2),FALSE)),"",_xlfn.REGEXEXTRACT(CELL("address",N23), "\$([A-Z]+)\$[0-9]+"))),_xlfn.REGEXEXTRACT(CELL("address",N23), "\$([A-Z]+)\$[0-9]+"))</f>
        <v/>
      </c>
      <c r="O23" s="7" t="str">
        <f t="array" aca="1" ref="O23" ca="1">IFERROR(IF(OR('Raw Data'!O23="",LEN(TRIM('Raw Data'!O23))=0),"",IF(AND(ISNUMBER('Raw Data'!O23),'Raw Data'!O23&gt;=Configuration!$D$2),"",_xlfn.REGEXEXTRACT(CELL("address",'Raw Data'!O23),"\$([A-Z]+)\$[0-9]+"))),_xlfn.REGEXEXTRACT(CELL("address",O23), "\$([A-Z]+)\$[0-9]+"))</f>
        <v/>
      </c>
      <c r="P23" s="7" t="str">
        <f t="array" aca="1" ref="P23" ca="1">IFERROR(IF(OR('Raw Data'!P23="",LEN(TRIM('Raw Data'!P23))=0),"",IF(AND(ISNUMBER('Raw Data'!P23), IFERROR('Raw Data'!P23 = ROUND('Raw Data'!P23, 2),FALSE)),"",_xlfn.REGEXEXTRACT(CELL("address",P23), "\$([A-Z]+)\$[0-9]+"))),_xlfn.REGEXEXTRACT(CELL("address",P23), "\$([A-Z]+)\$[0-9]+"))</f>
        <v/>
      </c>
      <c r="Q23" s="7" t="str">
        <f t="array" aca="1" ref="Q23" ca="1">IFERROR(IF(OR('Raw Data'!Q23="",LEN(TRIM('Raw Data'!Q23))=0),"",IF(AND(ISNUMBER('Raw Data'!Q23), IFERROR('Raw Data'!Q23 = ROUND('Raw Data'!Q23, 2),FALSE)),"",_xlfn.REGEXEXTRACT(CELL("address",Q23), "\$([A-Z]+)\$[0-9]+"))),_xlfn.REGEXEXTRACT(CELL("address",Q23), "\$([A-Z]+)\$[0-9]+"))</f>
        <v/>
      </c>
      <c r="R23" s="7" t="str">
        <f t="array" aca="1" ref="R23" ca="1">IFERROR(IF(OR('Raw Data'!R23="",LEN(TRIM('Raw Data'!R23))=0),"",IF(AND(LEN('Raw Data'!R23) &lt;= 50,LEN('Raw Data'!R23)&gt; 0),"",_xlfn.REGEXEXTRACT(CELL("address",'Raw Data'!R23),"\$([A-Z]+)\$[0-9]+"))),_xlfn.REGEXEXTRACT(CELL("address",'Raw Data'!R23),"\$([A-Z]+)\$[0-9]+"))</f>
        <v/>
      </c>
      <c r="S23" s="7" t="str">
        <f t="array" aca="1" ref="S23" ca="1">IFERROR(IF(OR('Raw Data'!S23="",LEN(TRIM('Raw Data'!S23))=0),"",IF(AND(LEN('Raw Data'!S23) &lt;= 50,LEN('Raw Data'!S23)&gt; 0),"",_xlfn.REGEXEXTRACT(CELL("address",'Raw Data'!S23),"\$([A-Z]+)\$[0-9]+"))),_xlfn.REGEXEXTRACT(CELL("address",'Raw Data'!S23),"\$([A-Z]+)\$[0-9]+"))</f>
        <v/>
      </c>
      <c r="T23" s="7" t="str">
        <f t="array" aca="1" ref="T23" ca="1">IFERROR(IF(OR('Raw Data'!T23="",LEN(TRIM('Raw Data'!T23))=0),"",IF(AND(ISNUMBER('Raw Data'!T23), IFERROR('Raw Data'!T23 = ROUND('Raw Data'!T23, 2),FALSE)),"",_xlfn.REGEXEXTRACT(CELL("address",T23), "\$([A-Z]+)\$[0-9]+"))),_xlfn.REGEXEXTRACT(CELL("address",T23), "\$([A-Z]+)\$[0-9]+"))</f>
        <v/>
      </c>
      <c r="U23" s="7" t="str">
        <f t="array" aca="1" ref="U23" ca="1">IFERROR(IF(OR('Raw Data'!U23="",LEN(TRIM('Raw Data'!U23))=0),"",IF(AND(ISNUMBER('Raw Data'!U23), IFERROR('Raw Data'!U23 = ROUND('Raw Data'!U23, 2),FALSE)),"",_xlfn.REGEXEXTRACT(CELL("address",U23), "\$([A-Z]+)\$[0-9]+"))),_xlfn.REGEXEXTRACT(CELL("address",U23), "\$([A-Z]+)\$[0-9]+"))</f>
        <v/>
      </c>
      <c r="V23" s="7" t="str">
        <f t="array" aca="1" ref="V23" ca="1">IFERROR(IF(OR('Raw Data'!V23="",LEN(TRIM('Raw Data'!V23))=0),"",IF(AND(ISNUMBER('Raw Data'!V23), IFERROR('Raw Data'!V23 = ROUND('Raw Data'!V23, 2),FALSE)),"",_xlfn.REGEXEXTRACT(CELL("address",V23), "\$([A-Z]+)\$[0-9]+"))),_xlfn.REGEXEXTRACT(CELL("address",V23), "\$([A-Z]+)\$[0-9]+"))</f>
        <v/>
      </c>
      <c r="W23" s="7" t="str">
        <f t="array" aca="1" ref="W23" ca="1">IFERROR(IF(OR('Raw Data'!W23="",LEN(TRIM('Raw Data'!W23))=0),"",IF(AND(ISNUMBER('Raw Data'!W23), IFERROR('Raw Data'!W23 = ROUND('Raw Data'!W23, 2),FALSE)),"",_xlfn.REGEXEXTRACT(CELL("address",W23), "\$([A-Z]+)\$[0-9]+"))),_xlfn.REGEXEXTRACT(CELL("address",W23), "\$([A-Z]+)\$[0-9]+"))</f>
        <v/>
      </c>
      <c r="X23" s="7" t="str">
        <f t="array" aca="1" ref="X23" ca="1">IFERROR(IF(OR('Raw Data'!X23="",LEN(TRIM('Raw Data'!X23))=0),"",IF(AND(ISNUMBER('Raw Data'!X23), IFERROR('Raw Data'!X23 = ROUND('Raw Data'!X23, 2),FALSE)),"",_xlfn.REGEXEXTRACT(CELL("address",X23), "\$([A-Z]+)\$[0-9]+"))),_xlfn.REGEXEXTRACT(CELL("address",X23), "\$([A-Z]+)\$[0-9]+"))</f>
        <v/>
      </c>
      <c r="Y23" s="7" t="str">
        <f t="array" aca="1" ref="Y23" ca="1">IFERROR(IF(OR('Raw Data'!Y23="",LEN(TRIM('Raw Data'!Y23))=0),"",IF(AND(ISNUMBER('Raw Data'!Y23), IFERROR('Raw Data'!Y23 = ROUND('Raw Data'!Y23, 2),FALSE)),"",_xlfn.REGEXEXTRACT(CELL("address",Y23), "\$([A-Z]+)\$[0-9]+"))),_xlfn.REGEXEXTRACT(CELL("address",Y23), "\$([A-Z]+)\$[0-9]+"))</f>
        <v/>
      </c>
      <c r="Z23" s="7" t="str">
        <f t="array" aca="1" ref="Z23" ca="1">IFERROR(IF(OR('Raw Data'!Z23="",LEN(TRIM('Raw Data'!Z23))=0),"",IF(AND(ISNUMBER('Raw Data'!Z23), IFERROR('Raw Data'!Z23 = ROUND('Raw Data'!Z23, 2),FALSE)),"",_xlfn.REGEXEXTRACT(CELL("address",Z23), "\$([A-Z]+)\$[0-9]+"))),_xlfn.REGEXEXTRACT(CELL("address",Z23), "\$([A-Z]+)\$[0-9]+"))</f>
        <v/>
      </c>
      <c r="AA23" s="7" t="str">
        <f t="array" aca="1" ref="AA23" ca="1">IFERROR(IF(OR('Raw Data'!AA23="",LEN(TRIM('Raw Data'!AA23))=0),"",IF(AND(ISNUMBER('Raw Data'!AA23), IFERROR('Raw Data'!AA23 = ROUND('Raw Data'!AA23, 2),FALSE)),"",_xlfn.REGEXEXTRACT(CELL("address",AA23), "\$([A-Z]+)\$[0-9]+"))),_xlfn.REGEXEXTRACT(CELL("address",AA23), "\$([A-Z]+)\$[0-9]+"))</f>
        <v/>
      </c>
      <c r="AB23" s="7" t="str">
        <f t="array" aca="1" ref="AB23" ca="1">IFERROR(IF(OR('Raw Data'!AB23="",LEN(TRIM('Raw Data'!AB23))=0),"",IF(AND(ISNUMBER('Raw Data'!AB23), IFERROR('Raw Data'!AB23 = ROUND('Raw Data'!AB23, 2),FALSE)),"",_xlfn.REGEXEXTRACT(CELL("address",AB23), "\$([A-Z]+)\$[0-9]+"))),_xlfn.REGEXEXTRACT(CELL("address",AB23), "\$([A-Z]+)\$[0-9]+"))</f>
        <v/>
      </c>
      <c r="AC23" s="7" t="str">
        <f t="array" aca="1" ref="AC23" ca="1">IFERROR(IF(OR('Raw Data'!AC23="",LEN(TRIM('Raw Data'!AC23))=0),"",IF(AND(ISNUMBER('Raw Data'!AC23), IFERROR('Raw Data'!AC23 = ROUND('Raw Data'!AC23, 2),FALSE)),"",_xlfn.REGEXEXTRACT(CELL("address",AC23), "\$([A-Z]+)\$[0-9]+"))),_xlfn.REGEXEXTRACT(CELL("address",AC23), "\$([A-Z]+)\$[0-9]+"))</f>
        <v/>
      </c>
      <c r="AD23" s="7" t="str">
        <f t="array" aca="1" ref="AD23" ca="1">IFERROR(IF(OR('Raw Data'!AD23="",LEN(TRIM('Raw Data'!AD23))=0),"",IF(AND(ISNUMBER('Raw Data'!AD23), IFERROR('Raw Data'!AD23 = ROUND('Raw Data'!AD23, 2),FALSE)),"",_xlfn.REGEXEXTRACT(CELL("address",AD23), "\$([A-Z]+)\$[0-9]+"))),_xlfn.REGEXEXTRACT(CELL("address",AD23), "\$([A-Z]+)\$[0-9]+"))</f>
        <v/>
      </c>
      <c r="AE23" s="7" t="str">
        <f t="array" aca="1" ref="AE23" ca="1">IFERROR(IF(OR('Raw Data'!AE23="",LEN(TRIM('Raw Data'!AE23))=0),"",IF(AND(ISNUMBER('Raw Data'!AE23), IFERROR('Raw Data'!AE23 = ROUND('Raw Data'!AE23, 2),FALSE)),"",_xlfn.REGEXEXTRACT(CELL("address",AE23), "\$([A-Z]+)\$[0-9]+"))),_xlfn.REGEXEXTRACT(CELL("address",AE23), "\$([A-Z]+)\$[0-9]+"))</f>
        <v/>
      </c>
      <c r="AF23" s="7" t="str">
        <f t="array" aca="1" ref="AF23" ca="1">IFERROR(IF(OR('Raw Data'!AF23="",LEN(TRIM('Raw Data'!AF23))=0),"",IF(AND(ISNUMBER('Raw Data'!AF23), IFERROR('Raw Data'!AF23 = ROUND('Raw Data'!AF23, 2),FALSE)),"",_xlfn.REGEXEXTRACT(CELL("address",AF23), "\$([A-Z]+)\$[0-9]+"))),_xlfn.REGEXEXTRACT(CELL("address",AF23), "\$([A-Z]+)\$[0-9]+"))</f>
        <v/>
      </c>
      <c r="AG23" s="7" t="str">
        <f t="array" aca="1" ref="AG23" ca="1">IFERROR(IF(OR('Raw Data'!AG23="",LEN(TRIM('Raw Data'!AG23))=0),"",IF(AND(ISNUMBER('Raw Data'!AG23), IFERROR('Raw Data'!AG23 = ROUND('Raw Data'!AG23, 2),FALSE)),"",_xlfn.REGEXEXTRACT(CELL("address",AG23), "\$([A-Z]+)\$[0-9]+"))),_xlfn.REGEXEXTRACT(CELL("address",AG23), "\$([A-Z]+)\$[0-9]+"))</f>
        <v/>
      </c>
      <c r="AH23" s="7" t="str">
        <f t="array" aca="1" ref="AH23" ca="1">IFERROR(IF(OR('Raw Data'!AH23="",LEN(TRIM('Raw Data'!AH23))=0),"",IF(AND(ISNUMBER('Raw Data'!AH23), IFERROR('Raw Data'!AH23 = ROUND('Raw Data'!AH23, 2),FALSE)),"",_xlfn.REGEXEXTRACT(CELL("address",AH23), "\$([A-Z]+)\$[0-9]+"))),_xlfn.REGEXEXTRACT(CELL("address",AH23), "\$([A-Z]+)\$[0-9]+"))</f>
        <v/>
      </c>
      <c r="AI23" s="7" t="str">
        <f t="array" aca="1" ref="AI23" ca="1">IFERROR(IF(OR('Raw Data'!AI23="",LEN(TRIM('Raw Data'!AI23))=0),"",IF(AND(ISNUMBER('Raw Data'!AI23), IFERROR('Raw Data'!AI23 = ROUND('Raw Data'!AI23, 2),FALSE)),"",_xlfn.REGEXEXTRACT(CELL("address",AI23), "\$([A-Z]+)\$[0-9]+"))),_xlfn.REGEXEXTRACT(CELL("address",AI23), "\$([A-Z]+)\$[0-9]+"))</f>
        <v/>
      </c>
      <c r="AJ23" s="7" t="str">
        <f t="array" aca="1" ref="AJ23" ca="1">IFERROR(IF(OR('Raw Data'!AJ23="",LEN(TRIM('Raw Data'!AJ23))=0),"",IF(AND(ISNUMBER('Raw Data'!AJ23), IFERROR('Raw Data'!AJ23 = ROUND('Raw Data'!AJ23, 4),FALSE)),"",_xlfn.REGEXEXTRACT(CELL("address",AJ23), "\$([A-Z]+)\$[0-9]+"))),_xlfn.REGEXEXTRACT(CELL("address",AJ23), "\$([A-Z]+)\$[0-9]+"))</f>
        <v/>
      </c>
      <c r="AK23" s="7" t="str">
        <f t="array" aca="1" ref="AK23" ca="1">IFERROR(IF(OR('Raw Data'!AK23="",LEN(TRIM('Raw Data'!AK23))=0),"",IF(AND(ISNUMBER('Raw Data'!AK23), IFERROR('Raw Data'!AK23 = ROUND('Raw Data'!AK23, 2),FALSE)),"",_xlfn.REGEXEXTRACT(CELL("address",AK23), "\$([A-Z]+)\$[0-9]+"))),_xlfn.REGEXEXTRACT(CELL("address",AK23), "\$([A-Z]+)\$[0-9]+"))</f>
        <v/>
      </c>
      <c r="AL23" s="7" t="str">
        <f t="array" aca="1" ref="AL23" ca="1">IFERROR(IF(OR('Raw Data'!AL23="",LEN(TRIM('Raw Data'!AL23))=0),"",IF(AND(ISNUMBER('Raw Data'!AL23), IFERROR('Raw Data'!AL23 = ROUND('Raw Data'!AL23, 2),FALSE)),"",_xlfn.REGEXEXTRACT(CELL("address",AL23), "\$([A-Z]+)\$[0-9]+"))),_xlfn.REGEXEXTRACT(CELL("address",AL23), "\$([A-Z]+)\$[0-9]+"))</f>
        <v/>
      </c>
      <c r="AM23" s="7" t="str">
        <f t="array" aca="1" ref="AM23" ca="1">IFERROR(IF(OR('Raw Data'!AM23="",LEN(TRIM('Raw Data'!AM23))=0),"",IF(AND(ISNUMBER('Raw Data'!AM23), IFERROR('Raw Data'!AM23 = ROUND('Raw Data'!AM23, 2),FALSE)),"",_xlfn.REGEXEXTRACT(CELL("address",AM23), "\$([A-Z]+)\$[0-9]+"))),_xlfn.REGEXEXTRACT(CELL("address",AM23), "\$([A-Z]+)\$[0-9]+"))</f>
        <v/>
      </c>
      <c r="AN23" s="7" t="str">
        <f t="array" aca="1" ref="AN23" ca="1">IFERROR(IF(OR('Raw Data'!AN23="",LEN(TRIM('Raw Data'!AN23))=0),"",IF(AND(ISNUMBER('Raw Data'!AN23), IFERROR('Raw Data'!AN23 = ROUND('Raw Data'!AN23, 2),FALSE)),"",_xlfn.REGEXEXTRACT(CELL("address",AN23), "\$([A-Z]+)\$[0-9]+"))),_xlfn.REGEXEXTRACT(CELL("address",AN23), "\$([A-Z]+)\$[0-9]+"))</f>
        <v/>
      </c>
      <c r="AO23" s="7" t="str">
        <f t="array" aca="1" ref="AO23" ca="1">IFERROR(IF(OR('Raw Data'!AO23="",LEN(TRIM('Raw Data'!AO23))=0),"",IF(AND(ISNUMBER('Raw Data'!AO23), IFERROR('Raw Data'!AO23 = ROUND('Raw Data'!AO23, 2),FALSE)),"",_xlfn.REGEXEXTRACT(CELL("address",AO23), "\$([A-Z]+)\$[0-9]+"))),_xlfn.REGEXEXTRACT(CELL("address",AO23), "\$([A-Z]+)\$[0-9]+"))</f>
        <v/>
      </c>
      <c r="AP23" s="7" t="str">
        <f t="array" aca="1" ref="AP23" ca="1">IFERROR(IF(OR('Raw Data'!AP23="",LEN(TRIM('Raw Data'!AP23))=0),"",IF(AND(ISNUMBER('Raw Data'!AP23), IFERROR('Raw Data'!AP23 = ROUND('Raw Data'!AP23, 2),FALSE)),"",_xlfn.REGEXEXTRACT(CELL("address",AP23), "\$([A-Z]+)\$[0-9]+"))),_xlfn.REGEXEXTRACT(CELL("address",AP23), "\$([A-Z]+)\$[0-9]+"))</f>
        <v/>
      </c>
    </row>
    <row r="24" spans="2:42" x14ac:dyDescent="0.25">
      <c r="B24" s="7" t="str">
        <f t="array" aca="1" ref="B24" ca="1">IFERROR(IF(OR('Raw Data'!B24="",LEN(TRIM('Raw Data'!B24))=0),"",IF(AND(LEN('Raw Data'!B24) &lt;= 255,LEN('Raw Data'!B24)&gt; 0),"",_xlfn.REGEXEXTRACT(CELL("address",'Raw Data'!B24),"\$([A-Z]+)\$[0-9]+"))),_xlfn.REGEXEXTRACT(CELL("address",'Raw Data'!B24),"\$([A-Z]+)\$[0-9]+"))</f>
        <v/>
      </c>
      <c r="C24" s="7" t="str">
        <f t="array" aca="1" ref="C24" ca="1">IFERROR(IF(OR('Raw Data'!C24="",LEN(TRIM('Raw Data'!C24))=0),"",IF(AND(LEN('Raw Data'!C24) &lt;= 50,LEN('Raw Data'!C24)&gt; 0),"",_xlfn.REGEXEXTRACT(CELL("address",'Raw Data'!C24),"\$([A-Z]+)\$[0-9]+"))),_xlfn.REGEXEXTRACT(CELL("address",'Raw Data'!C24),"\$([A-Z]+)\$[0-9]+"))</f>
        <v/>
      </c>
      <c r="D24" s="7" t="str">
        <f t="array" aca="1" ref="D24" ca="1">IFERROR(IF(OR('Raw Data'!D24="",LEN(TRIM('Raw Data'!D24))=0),"",IF(AND(LEN('Raw Data'!D24) &lt;= 500,LEN('Raw Data'!D24)&gt; 0),"",_xlfn.REGEXEXTRACT(CELL("address",'Raw Data'!D24),"\$([A-Z]+)\$[0-9]+"))),_xlfn.REGEXEXTRACT(CELL("address",'Raw Data'!D24),"\$([A-Z]+)\$[0-9]+"))</f>
        <v/>
      </c>
      <c r="E24" s="7" t="str">
        <f t="array" aca="1" ref="E24" ca="1">IFERROR(IF(OR('Raw Data'!E24="",LEN(TRIM('Raw Data'!E24))=0),"",IF(AND(LEN('Raw Data'!E24) &lt;= 50,LEN('Raw Data'!E24)&gt; 0),"",_xlfn.REGEXEXTRACT(CELL("address",'Raw Data'!E24),"\$([A-Z]+)\$[0-9]+"))),_xlfn.REGEXEXTRACT(CELL("address",'Raw Data'!E24),"\$([A-Z]+)\$[0-9]+"))</f>
        <v/>
      </c>
      <c r="F24" s="7" t="str">
        <f t="array" aca="1" ref="F24" ca="1">IFERROR(IF(OR('Raw Data'!F24="",LEN(TRIM('Raw Data'!F24))=0),"",IF(AND(LEN('Raw Data'!F24) &lt;= 50,LEN('Raw Data'!F24)&gt; 0),"",_xlfn.REGEXEXTRACT(CELL("address",'Raw Data'!F24),"\$([A-Z]+)\$[0-9]+"))),_xlfn.REGEXEXTRACT(CELL("address",'Raw Data'!F24),"\$([A-Z]+)\$[0-9]+"))</f>
        <v/>
      </c>
      <c r="G24" s="7" t="str">
        <f t="array" aca="1" ref="G24" ca="1">IFERROR(IF(OR('Raw Data'!G24="",LEN(TRIM('Raw Data'!G24))=0),"",IF(AND(LEN('Raw Data'!G24) &lt;= 50,LEN('Raw Data'!G24)&gt; 0),"",_xlfn.REGEXEXTRACT(CELL("address",'Raw Data'!G24),"\$([A-Z]+)\$[0-9]+"))),_xlfn.REGEXEXTRACT(CELL("address",'Raw Data'!G24),"\$([A-Z]+)\$[0-9]+"))</f>
        <v/>
      </c>
      <c r="H24" s="7" t="str">
        <f t="array" aca="1" ref="H24" ca="1">IFERROR(IF(OR('Raw Data'!H24="",LEN(TRIM('Raw Data'!H24))=0),"",IF(AND(LEN('Raw Data'!H24) &lt;= 50,LEN('Raw Data'!H24)&gt; 0),"",_xlfn.REGEXEXTRACT(CELL("address",'Raw Data'!H24),"\$([A-Z]+)\$[0-9]+"))),_xlfn.REGEXEXTRACT(CELL("address",'Raw Data'!H24),"\$([A-Z]+)\$[0-9]+"))</f>
        <v/>
      </c>
      <c r="I24" s="7" t="str">
        <f t="array" aca="1" ref="I24" ca="1">IFERROR(IF(OR('Raw Data'!I24="",LEN(TRIM('Raw Data'!I24))=0),"",IF(AND(LEN('Raw Data'!I24) &lt;= 50,LEN('Raw Data'!I24)&gt; 0),"",_xlfn.REGEXEXTRACT(CELL("address",'Raw Data'!I24),"\$([A-Z]+)\$[0-9]+"))),_xlfn.REGEXEXTRACT(CELL("address",'Raw Data'!I24),"\$([A-Z]+)\$[0-9]+"))</f>
        <v/>
      </c>
      <c r="J24" s="7" t="str">
        <f t="array" aca="1" ref="J24" ca="1">IFERROR(IF(OR('Raw Data'!J24="",LEN(TRIM('Raw Data'!J24))=0),"",IF(AND(ISNUMBER('Raw Data'!J24), IFERROR('Raw Data'!J24 = ROUND('Raw Data'!J24, 2),FALSE)),"",_xlfn.REGEXEXTRACT(CELL("address",J24), "\$([A-Z]+)\$[0-9]+"))),_xlfn.REGEXEXTRACT(CELL("address",J24), "\$([A-Z]+)\$[0-9]+"))</f>
        <v/>
      </c>
      <c r="K24" s="7" t="str">
        <f t="array" aca="1" ref="K24" ca="1">IFERROR(IF(OR('Raw Data'!K24="",LEN(TRIM('Raw Data'!K24))=0),"",IF(AND(ISNUMBER('Raw Data'!K24), IFERROR('Raw Data'!K24 = ROUND('Raw Data'!K24, 2),FALSE)),"",_xlfn.REGEXEXTRACT(CELL("address",K24), "\$([A-Z]+)\$[0-9]+"))),_xlfn.REGEXEXTRACT(CELL("address",K24), "\$([A-Z]+)\$[0-9]+"))</f>
        <v/>
      </c>
      <c r="L24" s="7" t="str">
        <f t="array" aca="1" ref="L24" ca="1">IFERROR(IF(OR('Raw Data'!L24="",LEN(TRIM('Raw Data'!L24))=0),"",IF(AND(ISNUMBER('Raw Data'!L24), IFERROR('Raw Data'!L24 = ROUND('Raw Data'!L24, 2),FALSE)),"",_xlfn.REGEXEXTRACT(CELL("address",L24), "\$([A-Z]+)\$[0-9]+"))),_xlfn.REGEXEXTRACT(CELL("address",L24), "\$([A-Z]+)\$[0-9]+"))</f>
        <v/>
      </c>
      <c r="M24" s="7" t="str">
        <f t="array" aca="1" ref="M24" ca="1">IFERROR(IF(OR('Raw Data'!M24="",LEN(TRIM('Raw Data'!M24))=0),"",IF(AND(ISNUMBER('Raw Data'!M24), IFERROR('Raw Data'!M24 = ROUND('Raw Data'!M24, 2),FALSE)),"",_xlfn.REGEXEXTRACT(CELL("address",M24), "\$([A-Z]+)\$[0-9]+"))),_xlfn.REGEXEXTRACT(CELL("address",M24), "\$([A-Z]+)\$[0-9]+"))</f>
        <v/>
      </c>
      <c r="N24" s="7" t="str">
        <f t="array" aca="1" ref="N24" ca="1">IFERROR(IF(OR('Raw Data'!N24="",LEN(TRIM('Raw Data'!N24))=0),"",IF(AND(ISNUMBER('Raw Data'!N24), IFERROR('Raw Data'!N24 = ROUND('Raw Data'!N24, 2),FALSE)),"",_xlfn.REGEXEXTRACT(CELL("address",N24), "\$([A-Z]+)\$[0-9]+"))),_xlfn.REGEXEXTRACT(CELL("address",N24), "\$([A-Z]+)\$[0-9]+"))</f>
        <v/>
      </c>
      <c r="O24" s="7" t="str">
        <f t="array" aca="1" ref="O24" ca="1">IFERROR(IF(OR('Raw Data'!O24="",LEN(TRIM('Raw Data'!O24))=0),"",IF(AND(ISNUMBER('Raw Data'!O24),'Raw Data'!O24&gt;=Configuration!$D$2),"",_xlfn.REGEXEXTRACT(CELL("address",'Raw Data'!O24),"\$([A-Z]+)\$[0-9]+"))),_xlfn.REGEXEXTRACT(CELL("address",O24), "\$([A-Z]+)\$[0-9]+"))</f>
        <v/>
      </c>
      <c r="P24" s="7" t="str">
        <f t="array" aca="1" ref="P24" ca="1">IFERROR(IF(OR('Raw Data'!P24="",LEN(TRIM('Raw Data'!P24))=0),"",IF(AND(ISNUMBER('Raw Data'!P24), IFERROR('Raw Data'!P24 = ROUND('Raw Data'!P24, 2),FALSE)),"",_xlfn.REGEXEXTRACT(CELL("address",P24), "\$([A-Z]+)\$[0-9]+"))),_xlfn.REGEXEXTRACT(CELL("address",P24), "\$([A-Z]+)\$[0-9]+"))</f>
        <v/>
      </c>
      <c r="Q24" s="7" t="str">
        <f t="array" aca="1" ref="Q24" ca="1">IFERROR(IF(OR('Raw Data'!Q24="",LEN(TRIM('Raw Data'!Q24))=0),"",IF(AND(ISNUMBER('Raw Data'!Q24), IFERROR('Raw Data'!Q24 = ROUND('Raw Data'!Q24, 2),FALSE)),"",_xlfn.REGEXEXTRACT(CELL("address",Q24), "\$([A-Z]+)\$[0-9]+"))),_xlfn.REGEXEXTRACT(CELL("address",Q24), "\$([A-Z]+)\$[0-9]+"))</f>
        <v/>
      </c>
      <c r="R24" s="7" t="str">
        <f t="array" aca="1" ref="R24" ca="1">IFERROR(IF(OR('Raw Data'!R24="",LEN(TRIM('Raw Data'!R24))=0),"",IF(AND(LEN('Raw Data'!R24) &lt;= 50,LEN('Raw Data'!R24)&gt; 0),"",_xlfn.REGEXEXTRACT(CELL("address",'Raw Data'!R24),"\$([A-Z]+)\$[0-9]+"))),_xlfn.REGEXEXTRACT(CELL("address",'Raw Data'!R24),"\$([A-Z]+)\$[0-9]+"))</f>
        <v/>
      </c>
      <c r="S24" s="7" t="str">
        <f t="array" aca="1" ref="S24" ca="1">IFERROR(IF(OR('Raw Data'!S24="",LEN(TRIM('Raw Data'!S24))=0),"",IF(AND(LEN('Raw Data'!S24) &lt;= 50,LEN('Raw Data'!S24)&gt; 0),"",_xlfn.REGEXEXTRACT(CELL("address",'Raw Data'!S24),"\$([A-Z]+)\$[0-9]+"))),_xlfn.REGEXEXTRACT(CELL("address",'Raw Data'!S24),"\$([A-Z]+)\$[0-9]+"))</f>
        <v/>
      </c>
      <c r="T24" s="7" t="str">
        <f t="array" aca="1" ref="T24" ca="1">IFERROR(IF(OR('Raw Data'!T24="",LEN(TRIM('Raw Data'!T24))=0),"",IF(AND(ISNUMBER('Raw Data'!T24), IFERROR('Raw Data'!T24 = ROUND('Raw Data'!T24, 2),FALSE)),"",_xlfn.REGEXEXTRACT(CELL("address",T24), "\$([A-Z]+)\$[0-9]+"))),_xlfn.REGEXEXTRACT(CELL("address",T24), "\$([A-Z]+)\$[0-9]+"))</f>
        <v/>
      </c>
      <c r="U24" s="7" t="str">
        <f t="array" aca="1" ref="U24" ca="1">IFERROR(IF(OR('Raw Data'!U24="",LEN(TRIM('Raw Data'!U24))=0),"",IF(AND(ISNUMBER('Raw Data'!U24), IFERROR('Raw Data'!U24 = ROUND('Raw Data'!U24, 2),FALSE)),"",_xlfn.REGEXEXTRACT(CELL("address",U24), "\$([A-Z]+)\$[0-9]+"))),_xlfn.REGEXEXTRACT(CELL("address",U24), "\$([A-Z]+)\$[0-9]+"))</f>
        <v/>
      </c>
      <c r="V24" s="7" t="str">
        <f t="array" aca="1" ref="V24" ca="1">IFERROR(IF(OR('Raw Data'!V24="",LEN(TRIM('Raw Data'!V24))=0),"",IF(AND(ISNUMBER('Raw Data'!V24), IFERROR('Raw Data'!V24 = ROUND('Raw Data'!V24, 2),FALSE)),"",_xlfn.REGEXEXTRACT(CELL("address",V24), "\$([A-Z]+)\$[0-9]+"))),_xlfn.REGEXEXTRACT(CELL("address",V24), "\$([A-Z]+)\$[0-9]+"))</f>
        <v/>
      </c>
      <c r="W24" s="7" t="str">
        <f t="array" aca="1" ref="W24" ca="1">IFERROR(IF(OR('Raw Data'!W24="",LEN(TRIM('Raw Data'!W24))=0),"",IF(AND(ISNUMBER('Raw Data'!W24), IFERROR('Raw Data'!W24 = ROUND('Raw Data'!W24, 2),FALSE)),"",_xlfn.REGEXEXTRACT(CELL("address",W24), "\$([A-Z]+)\$[0-9]+"))),_xlfn.REGEXEXTRACT(CELL("address",W24), "\$([A-Z]+)\$[0-9]+"))</f>
        <v/>
      </c>
      <c r="X24" s="7" t="str">
        <f t="array" aca="1" ref="X24" ca="1">IFERROR(IF(OR('Raw Data'!X24="",LEN(TRIM('Raw Data'!X24))=0),"",IF(AND(ISNUMBER('Raw Data'!X24), IFERROR('Raw Data'!X24 = ROUND('Raw Data'!X24, 2),FALSE)),"",_xlfn.REGEXEXTRACT(CELL("address",X24), "\$([A-Z]+)\$[0-9]+"))),_xlfn.REGEXEXTRACT(CELL("address",X24), "\$([A-Z]+)\$[0-9]+"))</f>
        <v/>
      </c>
      <c r="Y24" s="7" t="str">
        <f t="array" aca="1" ref="Y24" ca="1">IFERROR(IF(OR('Raw Data'!Y24="",LEN(TRIM('Raw Data'!Y24))=0),"",IF(AND(ISNUMBER('Raw Data'!Y24), IFERROR('Raw Data'!Y24 = ROUND('Raw Data'!Y24, 2),FALSE)),"",_xlfn.REGEXEXTRACT(CELL("address",Y24), "\$([A-Z]+)\$[0-9]+"))),_xlfn.REGEXEXTRACT(CELL("address",Y24), "\$([A-Z]+)\$[0-9]+"))</f>
        <v/>
      </c>
      <c r="Z24" s="7" t="str">
        <f t="array" aca="1" ref="Z24" ca="1">IFERROR(IF(OR('Raw Data'!Z24="",LEN(TRIM('Raw Data'!Z24))=0),"",IF(AND(ISNUMBER('Raw Data'!Z24), IFERROR('Raw Data'!Z24 = ROUND('Raw Data'!Z24, 2),FALSE)),"",_xlfn.REGEXEXTRACT(CELL("address",Z24), "\$([A-Z]+)\$[0-9]+"))),_xlfn.REGEXEXTRACT(CELL("address",Z24), "\$([A-Z]+)\$[0-9]+"))</f>
        <v/>
      </c>
      <c r="AA24" s="7" t="str">
        <f t="array" aca="1" ref="AA24" ca="1">IFERROR(IF(OR('Raw Data'!AA24="",LEN(TRIM('Raw Data'!AA24))=0),"",IF(AND(ISNUMBER('Raw Data'!AA24), IFERROR('Raw Data'!AA24 = ROUND('Raw Data'!AA24, 2),FALSE)),"",_xlfn.REGEXEXTRACT(CELL("address",AA24), "\$([A-Z]+)\$[0-9]+"))),_xlfn.REGEXEXTRACT(CELL("address",AA24), "\$([A-Z]+)\$[0-9]+"))</f>
        <v/>
      </c>
      <c r="AB24" s="7" t="str">
        <f t="array" aca="1" ref="AB24" ca="1">IFERROR(IF(OR('Raw Data'!AB24="",LEN(TRIM('Raw Data'!AB24))=0),"",IF(AND(ISNUMBER('Raw Data'!AB24), IFERROR('Raw Data'!AB24 = ROUND('Raw Data'!AB24, 2),FALSE)),"",_xlfn.REGEXEXTRACT(CELL("address",AB24), "\$([A-Z]+)\$[0-9]+"))),_xlfn.REGEXEXTRACT(CELL("address",AB24), "\$([A-Z]+)\$[0-9]+"))</f>
        <v/>
      </c>
      <c r="AC24" s="7" t="str">
        <f t="array" aca="1" ref="AC24" ca="1">IFERROR(IF(OR('Raw Data'!AC24="",LEN(TRIM('Raw Data'!AC24))=0),"",IF(AND(ISNUMBER('Raw Data'!AC24), IFERROR('Raw Data'!AC24 = ROUND('Raw Data'!AC24, 2),FALSE)),"",_xlfn.REGEXEXTRACT(CELL("address",AC24), "\$([A-Z]+)\$[0-9]+"))),_xlfn.REGEXEXTRACT(CELL("address",AC24), "\$([A-Z]+)\$[0-9]+"))</f>
        <v/>
      </c>
      <c r="AD24" s="7" t="str">
        <f t="array" aca="1" ref="AD24" ca="1">IFERROR(IF(OR('Raw Data'!AD24="",LEN(TRIM('Raw Data'!AD24))=0),"",IF(AND(ISNUMBER('Raw Data'!AD24), IFERROR('Raw Data'!AD24 = ROUND('Raw Data'!AD24, 2),FALSE)),"",_xlfn.REGEXEXTRACT(CELL("address",AD24), "\$([A-Z]+)\$[0-9]+"))),_xlfn.REGEXEXTRACT(CELL("address",AD24), "\$([A-Z]+)\$[0-9]+"))</f>
        <v/>
      </c>
      <c r="AE24" s="7" t="str">
        <f t="array" aca="1" ref="AE24" ca="1">IFERROR(IF(OR('Raw Data'!AE24="",LEN(TRIM('Raw Data'!AE24))=0),"",IF(AND(ISNUMBER('Raw Data'!AE24), IFERROR('Raw Data'!AE24 = ROUND('Raw Data'!AE24, 2),FALSE)),"",_xlfn.REGEXEXTRACT(CELL("address",AE24), "\$([A-Z]+)\$[0-9]+"))),_xlfn.REGEXEXTRACT(CELL("address",AE24), "\$([A-Z]+)\$[0-9]+"))</f>
        <v/>
      </c>
      <c r="AF24" s="7" t="str">
        <f t="array" aca="1" ref="AF24" ca="1">IFERROR(IF(OR('Raw Data'!AF24="",LEN(TRIM('Raw Data'!AF24))=0),"",IF(AND(ISNUMBER('Raw Data'!AF24), IFERROR('Raw Data'!AF24 = ROUND('Raw Data'!AF24, 2),FALSE)),"",_xlfn.REGEXEXTRACT(CELL("address",AF24), "\$([A-Z]+)\$[0-9]+"))),_xlfn.REGEXEXTRACT(CELL("address",AF24), "\$([A-Z]+)\$[0-9]+"))</f>
        <v/>
      </c>
      <c r="AG24" s="7" t="str">
        <f t="array" aca="1" ref="AG24" ca="1">IFERROR(IF(OR('Raw Data'!AG24="",LEN(TRIM('Raw Data'!AG24))=0),"",IF(AND(ISNUMBER('Raw Data'!AG24), IFERROR('Raw Data'!AG24 = ROUND('Raw Data'!AG24, 2),FALSE)),"",_xlfn.REGEXEXTRACT(CELL("address",AG24), "\$([A-Z]+)\$[0-9]+"))),_xlfn.REGEXEXTRACT(CELL("address",AG24), "\$([A-Z]+)\$[0-9]+"))</f>
        <v/>
      </c>
      <c r="AH24" s="7" t="str">
        <f t="array" aca="1" ref="AH24" ca="1">IFERROR(IF(OR('Raw Data'!AH24="",LEN(TRIM('Raw Data'!AH24))=0),"",IF(AND(ISNUMBER('Raw Data'!AH24), IFERROR('Raw Data'!AH24 = ROUND('Raw Data'!AH24, 2),FALSE)),"",_xlfn.REGEXEXTRACT(CELL("address",AH24), "\$([A-Z]+)\$[0-9]+"))),_xlfn.REGEXEXTRACT(CELL("address",AH24), "\$([A-Z]+)\$[0-9]+"))</f>
        <v/>
      </c>
      <c r="AI24" s="7" t="str">
        <f t="array" aca="1" ref="AI24" ca="1">IFERROR(IF(OR('Raw Data'!AI24="",LEN(TRIM('Raw Data'!AI24))=0),"",IF(AND(ISNUMBER('Raw Data'!AI24), IFERROR('Raw Data'!AI24 = ROUND('Raw Data'!AI24, 2),FALSE)),"",_xlfn.REGEXEXTRACT(CELL("address",AI24), "\$([A-Z]+)\$[0-9]+"))),_xlfn.REGEXEXTRACT(CELL("address",AI24), "\$([A-Z]+)\$[0-9]+"))</f>
        <v/>
      </c>
      <c r="AJ24" s="7" t="str">
        <f t="array" aca="1" ref="AJ24" ca="1">IFERROR(IF(OR('Raw Data'!AJ24="",LEN(TRIM('Raw Data'!AJ24))=0),"",IF(AND(ISNUMBER('Raw Data'!AJ24), IFERROR('Raw Data'!AJ24 = ROUND('Raw Data'!AJ24, 4),FALSE)),"",_xlfn.REGEXEXTRACT(CELL("address",AJ24), "\$([A-Z]+)\$[0-9]+"))),_xlfn.REGEXEXTRACT(CELL("address",AJ24), "\$([A-Z]+)\$[0-9]+"))</f>
        <v/>
      </c>
      <c r="AK24" s="7" t="str">
        <f t="array" aca="1" ref="AK24" ca="1">IFERROR(IF(OR('Raw Data'!AK24="",LEN(TRIM('Raw Data'!AK24))=0),"",IF(AND(ISNUMBER('Raw Data'!AK24), IFERROR('Raw Data'!AK24 = ROUND('Raw Data'!AK24, 2),FALSE)),"",_xlfn.REGEXEXTRACT(CELL("address",AK24), "\$([A-Z]+)\$[0-9]+"))),_xlfn.REGEXEXTRACT(CELL("address",AK24), "\$([A-Z]+)\$[0-9]+"))</f>
        <v/>
      </c>
      <c r="AL24" s="7" t="str">
        <f t="array" aca="1" ref="AL24" ca="1">IFERROR(IF(OR('Raw Data'!AL24="",LEN(TRIM('Raw Data'!AL24))=0),"",IF(AND(ISNUMBER('Raw Data'!AL24), IFERROR('Raw Data'!AL24 = ROUND('Raw Data'!AL24, 2),FALSE)),"",_xlfn.REGEXEXTRACT(CELL("address",AL24), "\$([A-Z]+)\$[0-9]+"))),_xlfn.REGEXEXTRACT(CELL("address",AL24), "\$([A-Z]+)\$[0-9]+"))</f>
        <v/>
      </c>
      <c r="AM24" s="7" t="str">
        <f t="array" aca="1" ref="AM24" ca="1">IFERROR(IF(OR('Raw Data'!AM24="",LEN(TRIM('Raw Data'!AM24))=0),"",IF(AND(ISNUMBER('Raw Data'!AM24), IFERROR('Raw Data'!AM24 = ROUND('Raw Data'!AM24, 2),FALSE)),"",_xlfn.REGEXEXTRACT(CELL("address",AM24), "\$([A-Z]+)\$[0-9]+"))),_xlfn.REGEXEXTRACT(CELL("address",AM24), "\$([A-Z]+)\$[0-9]+"))</f>
        <v/>
      </c>
      <c r="AN24" s="7" t="str">
        <f t="array" aca="1" ref="AN24" ca="1">IFERROR(IF(OR('Raw Data'!AN24="",LEN(TRIM('Raw Data'!AN24))=0),"",IF(AND(ISNUMBER('Raw Data'!AN24), IFERROR('Raw Data'!AN24 = ROUND('Raw Data'!AN24, 2),FALSE)),"",_xlfn.REGEXEXTRACT(CELL("address",AN24), "\$([A-Z]+)\$[0-9]+"))),_xlfn.REGEXEXTRACT(CELL("address",AN24), "\$([A-Z]+)\$[0-9]+"))</f>
        <v/>
      </c>
      <c r="AO24" s="7" t="str">
        <f t="array" aca="1" ref="AO24" ca="1">IFERROR(IF(OR('Raw Data'!AO24="",LEN(TRIM('Raw Data'!AO24))=0),"",IF(AND(ISNUMBER('Raw Data'!AO24), IFERROR('Raw Data'!AO24 = ROUND('Raw Data'!AO24, 2),FALSE)),"",_xlfn.REGEXEXTRACT(CELL("address",AO24), "\$([A-Z]+)\$[0-9]+"))),_xlfn.REGEXEXTRACT(CELL("address",AO24), "\$([A-Z]+)\$[0-9]+"))</f>
        <v/>
      </c>
      <c r="AP24" s="7" t="str">
        <f t="array" aca="1" ref="AP24" ca="1">IFERROR(IF(OR('Raw Data'!AP24="",LEN(TRIM('Raw Data'!AP24))=0),"",IF(AND(ISNUMBER('Raw Data'!AP24), IFERROR('Raw Data'!AP24 = ROUND('Raw Data'!AP24, 2),FALSE)),"",_xlfn.REGEXEXTRACT(CELL("address",AP24), "\$([A-Z]+)\$[0-9]+"))),_xlfn.REGEXEXTRACT(CELL("address",AP24), "\$([A-Z]+)\$[0-9]+"))</f>
        <v/>
      </c>
    </row>
    <row r="25" spans="2:42" x14ac:dyDescent="0.25">
      <c r="B25" s="7" t="str">
        <f t="array" aca="1" ref="B25" ca="1">IFERROR(IF(OR('Raw Data'!B25="",LEN(TRIM('Raw Data'!B25))=0),"",IF(AND(LEN('Raw Data'!B25) &lt;= 255,LEN('Raw Data'!B25)&gt; 0),"",_xlfn.REGEXEXTRACT(CELL("address",'Raw Data'!B25),"\$([A-Z]+)\$[0-9]+"))),_xlfn.REGEXEXTRACT(CELL("address",'Raw Data'!B25),"\$([A-Z]+)\$[0-9]+"))</f>
        <v/>
      </c>
      <c r="C25" s="7" t="str">
        <f t="array" aca="1" ref="C25" ca="1">IFERROR(IF(OR('Raw Data'!C25="",LEN(TRIM('Raw Data'!C25))=0),"",IF(AND(LEN('Raw Data'!C25) &lt;= 50,LEN('Raw Data'!C25)&gt; 0),"",_xlfn.REGEXEXTRACT(CELL("address",'Raw Data'!C25),"\$([A-Z]+)\$[0-9]+"))),_xlfn.REGEXEXTRACT(CELL("address",'Raw Data'!C25),"\$([A-Z]+)\$[0-9]+"))</f>
        <v/>
      </c>
      <c r="D25" s="7" t="str">
        <f t="array" aca="1" ref="D25" ca="1">IFERROR(IF(OR('Raw Data'!D25="",LEN(TRIM('Raw Data'!D25))=0),"",IF(AND(LEN('Raw Data'!D25) &lt;= 500,LEN('Raw Data'!D25)&gt; 0),"",_xlfn.REGEXEXTRACT(CELL("address",'Raw Data'!D25),"\$([A-Z]+)\$[0-9]+"))),_xlfn.REGEXEXTRACT(CELL("address",'Raw Data'!D25),"\$([A-Z]+)\$[0-9]+"))</f>
        <v/>
      </c>
      <c r="E25" s="7" t="str">
        <f t="array" aca="1" ref="E25" ca="1">IFERROR(IF(OR('Raw Data'!E25="",LEN(TRIM('Raw Data'!E25))=0),"",IF(AND(LEN('Raw Data'!E25) &lt;= 50,LEN('Raw Data'!E25)&gt; 0),"",_xlfn.REGEXEXTRACT(CELL("address",'Raw Data'!E25),"\$([A-Z]+)\$[0-9]+"))),_xlfn.REGEXEXTRACT(CELL("address",'Raw Data'!E25),"\$([A-Z]+)\$[0-9]+"))</f>
        <v/>
      </c>
      <c r="F25" s="7" t="str">
        <f t="array" aca="1" ref="F25" ca="1">IFERROR(IF(OR('Raw Data'!F25="",LEN(TRIM('Raw Data'!F25))=0),"",IF(AND(LEN('Raw Data'!F25) &lt;= 50,LEN('Raw Data'!F25)&gt; 0),"",_xlfn.REGEXEXTRACT(CELL("address",'Raw Data'!F25),"\$([A-Z]+)\$[0-9]+"))),_xlfn.REGEXEXTRACT(CELL("address",'Raw Data'!F25),"\$([A-Z]+)\$[0-9]+"))</f>
        <v/>
      </c>
      <c r="G25" s="7" t="str">
        <f t="array" aca="1" ref="G25" ca="1">IFERROR(IF(OR('Raw Data'!G25="",LEN(TRIM('Raw Data'!G25))=0),"",IF(AND(LEN('Raw Data'!G25) &lt;= 50,LEN('Raw Data'!G25)&gt; 0),"",_xlfn.REGEXEXTRACT(CELL("address",'Raw Data'!G25),"\$([A-Z]+)\$[0-9]+"))),_xlfn.REGEXEXTRACT(CELL("address",'Raw Data'!G25),"\$([A-Z]+)\$[0-9]+"))</f>
        <v/>
      </c>
      <c r="H25" s="7" t="str">
        <f t="array" aca="1" ref="H25" ca="1">IFERROR(IF(OR('Raw Data'!H25="",LEN(TRIM('Raw Data'!H25))=0),"",IF(AND(LEN('Raw Data'!H25) &lt;= 50,LEN('Raw Data'!H25)&gt; 0),"",_xlfn.REGEXEXTRACT(CELL("address",'Raw Data'!H25),"\$([A-Z]+)\$[0-9]+"))),_xlfn.REGEXEXTRACT(CELL("address",'Raw Data'!H25),"\$([A-Z]+)\$[0-9]+"))</f>
        <v/>
      </c>
      <c r="I25" s="7" t="str">
        <f t="array" aca="1" ref="I25" ca="1">IFERROR(IF(OR('Raw Data'!I25="",LEN(TRIM('Raw Data'!I25))=0),"",IF(AND(LEN('Raw Data'!I25) &lt;= 50,LEN('Raw Data'!I25)&gt; 0),"",_xlfn.REGEXEXTRACT(CELL("address",'Raw Data'!I25),"\$([A-Z]+)\$[0-9]+"))),_xlfn.REGEXEXTRACT(CELL("address",'Raw Data'!I25),"\$([A-Z]+)\$[0-9]+"))</f>
        <v/>
      </c>
      <c r="J25" s="7" t="str">
        <f t="array" aca="1" ref="J25" ca="1">IFERROR(IF(OR('Raw Data'!J25="",LEN(TRIM('Raw Data'!J25))=0),"",IF(AND(ISNUMBER('Raw Data'!J25), IFERROR('Raw Data'!J25 = ROUND('Raw Data'!J25, 2),FALSE)),"",_xlfn.REGEXEXTRACT(CELL("address",J25), "\$([A-Z]+)\$[0-9]+"))),_xlfn.REGEXEXTRACT(CELL("address",J25), "\$([A-Z]+)\$[0-9]+"))</f>
        <v/>
      </c>
      <c r="K25" s="7" t="str">
        <f t="array" aca="1" ref="K25" ca="1">IFERROR(IF(OR('Raw Data'!K25="",LEN(TRIM('Raw Data'!K25))=0),"",IF(AND(ISNUMBER('Raw Data'!K25), IFERROR('Raw Data'!K25 = ROUND('Raw Data'!K25, 2),FALSE)),"",_xlfn.REGEXEXTRACT(CELL("address",K25), "\$([A-Z]+)\$[0-9]+"))),_xlfn.REGEXEXTRACT(CELL("address",K25), "\$([A-Z]+)\$[0-9]+"))</f>
        <v/>
      </c>
      <c r="L25" s="7" t="str">
        <f t="array" aca="1" ref="L25" ca="1">IFERROR(IF(OR('Raw Data'!L25="",LEN(TRIM('Raw Data'!L25))=0),"",IF(AND(ISNUMBER('Raw Data'!L25), IFERROR('Raw Data'!L25 = ROUND('Raw Data'!L25, 2),FALSE)),"",_xlfn.REGEXEXTRACT(CELL("address",L25), "\$([A-Z]+)\$[0-9]+"))),_xlfn.REGEXEXTRACT(CELL("address",L25), "\$([A-Z]+)\$[0-9]+"))</f>
        <v/>
      </c>
      <c r="M25" s="7" t="str">
        <f t="array" aca="1" ref="M25" ca="1">IFERROR(IF(OR('Raw Data'!M25="",LEN(TRIM('Raw Data'!M25))=0),"",IF(AND(ISNUMBER('Raw Data'!M25), IFERROR('Raw Data'!M25 = ROUND('Raw Data'!M25, 2),FALSE)),"",_xlfn.REGEXEXTRACT(CELL("address",M25), "\$([A-Z]+)\$[0-9]+"))),_xlfn.REGEXEXTRACT(CELL("address",M25), "\$([A-Z]+)\$[0-9]+"))</f>
        <v/>
      </c>
      <c r="N25" s="7" t="str">
        <f t="array" aca="1" ref="N25" ca="1">IFERROR(IF(OR('Raw Data'!N25="",LEN(TRIM('Raw Data'!N25))=0),"",IF(AND(ISNUMBER('Raw Data'!N25), IFERROR('Raw Data'!N25 = ROUND('Raw Data'!N25, 2),FALSE)),"",_xlfn.REGEXEXTRACT(CELL("address",N25), "\$([A-Z]+)\$[0-9]+"))),_xlfn.REGEXEXTRACT(CELL("address",N25), "\$([A-Z]+)\$[0-9]+"))</f>
        <v/>
      </c>
      <c r="O25" s="7" t="str">
        <f t="array" aca="1" ref="O25" ca="1">IFERROR(IF(OR('Raw Data'!O25="",LEN(TRIM('Raw Data'!O25))=0),"",IF(AND(ISNUMBER('Raw Data'!O25),'Raw Data'!O25&gt;=Configuration!$D$2),"",_xlfn.REGEXEXTRACT(CELL("address",'Raw Data'!O25),"\$([A-Z]+)\$[0-9]+"))),_xlfn.REGEXEXTRACT(CELL("address",O25), "\$([A-Z]+)\$[0-9]+"))</f>
        <v/>
      </c>
      <c r="P25" s="7" t="str">
        <f t="array" aca="1" ref="P25" ca="1">IFERROR(IF(OR('Raw Data'!P25="",LEN(TRIM('Raw Data'!P25))=0),"",IF(AND(ISNUMBER('Raw Data'!P25), IFERROR('Raw Data'!P25 = ROUND('Raw Data'!P25, 2),FALSE)),"",_xlfn.REGEXEXTRACT(CELL("address",P25), "\$([A-Z]+)\$[0-9]+"))),_xlfn.REGEXEXTRACT(CELL("address",P25), "\$([A-Z]+)\$[0-9]+"))</f>
        <v/>
      </c>
      <c r="Q25" s="7" t="str">
        <f t="array" aca="1" ref="Q25" ca="1">IFERROR(IF(OR('Raw Data'!Q25="",LEN(TRIM('Raw Data'!Q25))=0),"",IF(AND(ISNUMBER('Raw Data'!Q25), IFERROR('Raw Data'!Q25 = ROUND('Raw Data'!Q25, 2),FALSE)),"",_xlfn.REGEXEXTRACT(CELL("address",Q25), "\$([A-Z]+)\$[0-9]+"))),_xlfn.REGEXEXTRACT(CELL("address",Q25), "\$([A-Z]+)\$[0-9]+"))</f>
        <v/>
      </c>
      <c r="R25" s="7" t="str">
        <f t="array" aca="1" ref="R25" ca="1">IFERROR(IF(OR('Raw Data'!R25="",LEN(TRIM('Raw Data'!R25))=0),"",IF(AND(LEN('Raw Data'!R25) &lt;= 50,LEN('Raw Data'!R25)&gt; 0),"",_xlfn.REGEXEXTRACT(CELL("address",'Raw Data'!R25),"\$([A-Z]+)\$[0-9]+"))),_xlfn.REGEXEXTRACT(CELL("address",'Raw Data'!R25),"\$([A-Z]+)\$[0-9]+"))</f>
        <v/>
      </c>
      <c r="S25" s="7" t="str">
        <f t="array" aca="1" ref="S25" ca="1">IFERROR(IF(OR('Raw Data'!S25="",LEN(TRIM('Raw Data'!S25))=0),"",IF(AND(LEN('Raw Data'!S25) &lt;= 50,LEN('Raw Data'!S25)&gt; 0),"",_xlfn.REGEXEXTRACT(CELL("address",'Raw Data'!S25),"\$([A-Z]+)\$[0-9]+"))),_xlfn.REGEXEXTRACT(CELL("address",'Raw Data'!S25),"\$([A-Z]+)\$[0-9]+"))</f>
        <v/>
      </c>
      <c r="T25" s="7" t="str">
        <f t="array" aca="1" ref="T25" ca="1">IFERROR(IF(OR('Raw Data'!T25="",LEN(TRIM('Raw Data'!T25))=0),"",IF(AND(ISNUMBER('Raw Data'!T25), IFERROR('Raw Data'!T25 = ROUND('Raw Data'!T25, 2),FALSE)),"",_xlfn.REGEXEXTRACT(CELL("address",T25), "\$([A-Z]+)\$[0-9]+"))),_xlfn.REGEXEXTRACT(CELL("address",T25), "\$([A-Z]+)\$[0-9]+"))</f>
        <v/>
      </c>
      <c r="U25" s="7" t="str">
        <f t="array" aca="1" ref="U25" ca="1">IFERROR(IF(OR('Raw Data'!U25="",LEN(TRIM('Raw Data'!U25))=0),"",IF(AND(ISNUMBER('Raw Data'!U25), IFERROR('Raw Data'!U25 = ROUND('Raw Data'!U25, 2),FALSE)),"",_xlfn.REGEXEXTRACT(CELL("address",U25), "\$([A-Z]+)\$[0-9]+"))),_xlfn.REGEXEXTRACT(CELL("address",U25), "\$([A-Z]+)\$[0-9]+"))</f>
        <v/>
      </c>
      <c r="V25" s="7" t="str">
        <f t="array" aca="1" ref="V25" ca="1">IFERROR(IF(OR('Raw Data'!V25="",LEN(TRIM('Raw Data'!V25))=0),"",IF(AND(ISNUMBER('Raw Data'!V25), IFERROR('Raw Data'!V25 = ROUND('Raw Data'!V25, 2),FALSE)),"",_xlfn.REGEXEXTRACT(CELL("address",V25), "\$([A-Z]+)\$[0-9]+"))),_xlfn.REGEXEXTRACT(CELL("address",V25), "\$([A-Z]+)\$[0-9]+"))</f>
        <v/>
      </c>
      <c r="W25" s="7" t="str">
        <f t="array" aca="1" ref="W25" ca="1">IFERROR(IF(OR('Raw Data'!W25="",LEN(TRIM('Raw Data'!W25))=0),"",IF(AND(ISNUMBER('Raw Data'!W25), IFERROR('Raw Data'!W25 = ROUND('Raw Data'!W25, 2),FALSE)),"",_xlfn.REGEXEXTRACT(CELL("address",W25), "\$([A-Z]+)\$[0-9]+"))),_xlfn.REGEXEXTRACT(CELL("address",W25), "\$([A-Z]+)\$[0-9]+"))</f>
        <v/>
      </c>
      <c r="X25" s="7" t="str">
        <f t="array" aca="1" ref="X25" ca="1">IFERROR(IF(OR('Raw Data'!X25="",LEN(TRIM('Raw Data'!X25))=0),"",IF(AND(ISNUMBER('Raw Data'!X25), IFERROR('Raw Data'!X25 = ROUND('Raw Data'!X25, 2),FALSE)),"",_xlfn.REGEXEXTRACT(CELL("address",X25), "\$([A-Z]+)\$[0-9]+"))),_xlfn.REGEXEXTRACT(CELL("address",X25), "\$([A-Z]+)\$[0-9]+"))</f>
        <v/>
      </c>
      <c r="Y25" s="7" t="str">
        <f t="array" aca="1" ref="Y25" ca="1">IFERROR(IF(OR('Raw Data'!Y25="",LEN(TRIM('Raw Data'!Y25))=0),"",IF(AND(ISNUMBER('Raw Data'!Y25), IFERROR('Raw Data'!Y25 = ROUND('Raw Data'!Y25, 2),FALSE)),"",_xlfn.REGEXEXTRACT(CELL("address",Y25), "\$([A-Z]+)\$[0-9]+"))),_xlfn.REGEXEXTRACT(CELL("address",Y25), "\$([A-Z]+)\$[0-9]+"))</f>
        <v/>
      </c>
      <c r="Z25" s="7" t="str">
        <f t="array" aca="1" ref="Z25" ca="1">IFERROR(IF(OR('Raw Data'!Z25="",LEN(TRIM('Raw Data'!Z25))=0),"",IF(AND(ISNUMBER('Raw Data'!Z25), IFERROR('Raw Data'!Z25 = ROUND('Raw Data'!Z25, 2),FALSE)),"",_xlfn.REGEXEXTRACT(CELL("address",Z25), "\$([A-Z]+)\$[0-9]+"))),_xlfn.REGEXEXTRACT(CELL("address",Z25), "\$([A-Z]+)\$[0-9]+"))</f>
        <v/>
      </c>
      <c r="AA25" s="7" t="str">
        <f t="array" aca="1" ref="AA25" ca="1">IFERROR(IF(OR('Raw Data'!AA25="",LEN(TRIM('Raw Data'!AA25))=0),"",IF(AND(ISNUMBER('Raw Data'!AA25), IFERROR('Raw Data'!AA25 = ROUND('Raw Data'!AA25, 2),FALSE)),"",_xlfn.REGEXEXTRACT(CELL("address",AA25), "\$([A-Z]+)\$[0-9]+"))),_xlfn.REGEXEXTRACT(CELL("address",AA25), "\$([A-Z]+)\$[0-9]+"))</f>
        <v/>
      </c>
      <c r="AB25" s="7" t="str">
        <f t="array" aca="1" ref="AB25" ca="1">IFERROR(IF(OR('Raw Data'!AB25="",LEN(TRIM('Raw Data'!AB25))=0),"",IF(AND(ISNUMBER('Raw Data'!AB25), IFERROR('Raw Data'!AB25 = ROUND('Raw Data'!AB25, 2),FALSE)),"",_xlfn.REGEXEXTRACT(CELL("address",AB25), "\$([A-Z]+)\$[0-9]+"))),_xlfn.REGEXEXTRACT(CELL("address",AB25), "\$([A-Z]+)\$[0-9]+"))</f>
        <v/>
      </c>
      <c r="AC25" s="7" t="str">
        <f t="array" aca="1" ref="AC25" ca="1">IFERROR(IF(OR('Raw Data'!AC25="",LEN(TRIM('Raw Data'!AC25))=0),"",IF(AND(ISNUMBER('Raw Data'!AC25), IFERROR('Raw Data'!AC25 = ROUND('Raw Data'!AC25, 2),FALSE)),"",_xlfn.REGEXEXTRACT(CELL("address",AC25), "\$([A-Z]+)\$[0-9]+"))),_xlfn.REGEXEXTRACT(CELL("address",AC25), "\$([A-Z]+)\$[0-9]+"))</f>
        <v/>
      </c>
      <c r="AD25" s="7" t="str">
        <f t="array" aca="1" ref="AD25" ca="1">IFERROR(IF(OR('Raw Data'!AD25="",LEN(TRIM('Raw Data'!AD25))=0),"",IF(AND(ISNUMBER('Raw Data'!AD25), IFERROR('Raw Data'!AD25 = ROUND('Raw Data'!AD25, 2),FALSE)),"",_xlfn.REGEXEXTRACT(CELL("address",AD25), "\$([A-Z]+)\$[0-9]+"))),_xlfn.REGEXEXTRACT(CELL("address",AD25), "\$([A-Z]+)\$[0-9]+"))</f>
        <v/>
      </c>
      <c r="AE25" s="7" t="str">
        <f t="array" aca="1" ref="AE25" ca="1">IFERROR(IF(OR('Raw Data'!AE25="",LEN(TRIM('Raw Data'!AE25))=0),"",IF(AND(ISNUMBER('Raw Data'!AE25), IFERROR('Raw Data'!AE25 = ROUND('Raw Data'!AE25, 2),FALSE)),"",_xlfn.REGEXEXTRACT(CELL("address",AE25), "\$([A-Z]+)\$[0-9]+"))),_xlfn.REGEXEXTRACT(CELL("address",AE25), "\$([A-Z]+)\$[0-9]+"))</f>
        <v/>
      </c>
      <c r="AF25" s="7" t="str">
        <f t="array" aca="1" ref="AF25" ca="1">IFERROR(IF(OR('Raw Data'!AF25="",LEN(TRIM('Raw Data'!AF25))=0),"",IF(AND(ISNUMBER('Raw Data'!AF25), IFERROR('Raw Data'!AF25 = ROUND('Raw Data'!AF25, 2),FALSE)),"",_xlfn.REGEXEXTRACT(CELL("address",AF25), "\$([A-Z]+)\$[0-9]+"))),_xlfn.REGEXEXTRACT(CELL("address",AF25), "\$([A-Z]+)\$[0-9]+"))</f>
        <v/>
      </c>
      <c r="AG25" s="7" t="str">
        <f t="array" aca="1" ref="AG25" ca="1">IFERROR(IF(OR('Raw Data'!AG25="",LEN(TRIM('Raw Data'!AG25))=0),"",IF(AND(ISNUMBER('Raw Data'!AG25), IFERROR('Raw Data'!AG25 = ROUND('Raw Data'!AG25, 2),FALSE)),"",_xlfn.REGEXEXTRACT(CELL("address",AG25), "\$([A-Z]+)\$[0-9]+"))),_xlfn.REGEXEXTRACT(CELL("address",AG25), "\$([A-Z]+)\$[0-9]+"))</f>
        <v/>
      </c>
      <c r="AH25" s="7" t="str">
        <f t="array" aca="1" ref="AH25" ca="1">IFERROR(IF(OR('Raw Data'!AH25="",LEN(TRIM('Raw Data'!AH25))=0),"",IF(AND(ISNUMBER('Raw Data'!AH25), IFERROR('Raw Data'!AH25 = ROUND('Raw Data'!AH25, 2),FALSE)),"",_xlfn.REGEXEXTRACT(CELL("address",AH25), "\$([A-Z]+)\$[0-9]+"))),_xlfn.REGEXEXTRACT(CELL("address",AH25), "\$([A-Z]+)\$[0-9]+"))</f>
        <v/>
      </c>
      <c r="AI25" s="7" t="str">
        <f t="array" aca="1" ref="AI25" ca="1">IFERROR(IF(OR('Raw Data'!AI25="",LEN(TRIM('Raw Data'!AI25))=0),"",IF(AND(ISNUMBER('Raw Data'!AI25), IFERROR('Raw Data'!AI25 = ROUND('Raw Data'!AI25, 2),FALSE)),"",_xlfn.REGEXEXTRACT(CELL("address",AI25), "\$([A-Z]+)\$[0-9]+"))),_xlfn.REGEXEXTRACT(CELL("address",AI25), "\$([A-Z]+)\$[0-9]+"))</f>
        <v/>
      </c>
      <c r="AJ25" s="7" t="str">
        <f t="array" aca="1" ref="AJ25" ca="1">IFERROR(IF(OR('Raw Data'!AJ25="",LEN(TRIM('Raw Data'!AJ25))=0),"",IF(AND(ISNUMBER('Raw Data'!AJ25), IFERROR('Raw Data'!AJ25 = ROUND('Raw Data'!AJ25, 4),FALSE)),"",_xlfn.REGEXEXTRACT(CELL("address",AJ25), "\$([A-Z]+)\$[0-9]+"))),_xlfn.REGEXEXTRACT(CELL("address",AJ25), "\$([A-Z]+)\$[0-9]+"))</f>
        <v/>
      </c>
      <c r="AK25" s="7" t="str">
        <f t="array" aca="1" ref="AK25" ca="1">IFERROR(IF(OR('Raw Data'!AK25="",LEN(TRIM('Raw Data'!AK25))=0),"",IF(AND(ISNUMBER('Raw Data'!AK25), IFERROR('Raw Data'!AK25 = ROUND('Raw Data'!AK25, 2),FALSE)),"",_xlfn.REGEXEXTRACT(CELL("address",AK25), "\$([A-Z]+)\$[0-9]+"))),_xlfn.REGEXEXTRACT(CELL("address",AK25), "\$([A-Z]+)\$[0-9]+"))</f>
        <v/>
      </c>
      <c r="AL25" s="7" t="str">
        <f t="array" aca="1" ref="AL25" ca="1">IFERROR(IF(OR('Raw Data'!AL25="",LEN(TRIM('Raw Data'!AL25))=0),"",IF(AND(ISNUMBER('Raw Data'!AL25), IFERROR('Raw Data'!AL25 = ROUND('Raw Data'!AL25, 2),FALSE)),"",_xlfn.REGEXEXTRACT(CELL("address",AL25), "\$([A-Z]+)\$[0-9]+"))),_xlfn.REGEXEXTRACT(CELL("address",AL25), "\$([A-Z]+)\$[0-9]+"))</f>
        <v/>
      </c>
      <c r="AM25" s="7" t="str">
        <f t="array" aca="1" ref="AM25" ca="1">IFERROR(IF(OR('Raw Data'!AM25="",LEN(TRIM('Raw Data'!AM25))=0),"",IF(AND(ISNUMBER('Raw Data'!AM25), IFERROR('Raw Data'!AM25 = ROUND('Raw Data'!AM25, 2),FALSE)),"",_xlfn.REGEXEXTRACT(CELL("address",AM25), "\$([A-Z]+)\$[0-9]+"))),_xlfn.REGEXEXTRACT(CELL("address",AM25), "\$([A-Z]+)\$[0-9]+"))</f>
        <v/>
      </c>
      <c r="AN25" s="7" t="str">
        <f t="array" aca="1" ref="AN25" ca="1">IFERROR(IF(OR('Raw Data'!AN25="",LEN(TRIM('Raw Data'!AN25))=0),"",IF(AND(ISNUMBER('Raw Data'!AN25), IFERROR('Raw Data'!AN25 = ROUND('Raw Data'!AN25, 2),FALSE)),"",_xlfn.REGEXEXTRACT(CELL("address",AN25), "\$([A-Z]+)\$[0-9]+"))),_xlfn.REGEXEXTRACT(CELL("address",AN25), "\$([A-Z]+)\$[0-9]+"))</f>
        <v/>
      </c>
      <c r="AO25" s="7" t="str">
        <f t="array" aca="1" ref="AO25" ca="1">IFERROR(IF(OR('Raw Data'!AO25="",LEN(TRIM('Raw Data'!AO25))=0),"",IF(AND(ISNUMBER('Raw Data'!AO25), IFERROR('Raw Data'!AO25 = ROUND('Raw Data'!AO25, 2),FALSE)),"",_xlfn.REGEXEXTRACT(CELL("address",AO25), "\$([A-Z]+)\$[0-9]+"))),_xlfn.REGEXEXTRACT(CELL("address",AO25), "\$([A-Z]+)\$[0-9]+"))</f>
        <v/>
      </c>
      <c r="AP25" s="7" t="str">
        <f t="array" aca="1" ref="AP25" ca="1">IFERROR(IF(OR('Raw Data'!AP25="",LEN(TRIM('Raw Data'!AP25))=0),"",IF(AND(ISNUMBER('Raw Data'!AP25), IFERROR('Raw Data'!AP25 = ROUND('Raw Data'!AP25, 2),FALSE)),"",_xlfn.REGEXEXTRACT(CELL("address",AP25), "\$([A-Z]+)\$[0-9]+"))),_xlfn.REGEXEXTRACT(CELL("address",AP25), "\$([A-Z]+)\$[0-9]+"))</f>
        <v/>
      </c>
    </row>
    <row r="26" spans="2:42" x14ac:dyDescent="0.25">
      <c r="B26" s="7" t="str">
        <f t="array" aca="1" ref="B26" ca="1">IFERROR(IF(OR('Raw Data'!B26="",LEN(TRIM('Raw Data'!B26))=0),"",IF(AND(LEN('Raw Data'!B26) &lt;= 255,LEN('Raw Data'!B26)&gt; 0),"",_xlfn.REGEXEXTRACT(CELL("address",'Raw Data'!B26),"\$([A-Z]+)\$[0-9]+"))),_xlfn.REGEXEXTRACT(CELL("address",'Raw Data'!B26),"\$([A-Z]+)\$[0-9]+"))</f>
        <v/>
      </c>
      <c r="C26" s="7" t="str">
        <f t="array" aca="1" ref="C26" ca="1">IFERROR(IF(OR('Raw Data'!C26="",LEN(TRIM('Raw Data'!C26))=0),"",IF(AND(LEN('Raw Data'!C26) &lt;= 50,LEN('Raw Data'!C26)&gt; 0),"",_xlfn.REGEXEXTRACT(CELL("address",'Raw Data'!C26),"\$([A-Z]+)\$[0-9]+"))),_xlfn.REGEXEXTRACT(CELL("address",'Raw Data'!C26),"\$([A-Z]+)\$[0-9]+"))</f>
        <v/>
      </c>
      <c r="D26" s="7" t="str">
        <f t="array" aca="1" ref="D26" ca="1">IFERROR(IF(OR('Raw Data'!D26="",LEN(TRIM('Raw Data'!D26))=0),"",IF(AND(LEN('Raw Data'!D26) &lt;= 500,LEN('Raw Data'!D26)&gt; 0),"",_xlfn.REGEXEXTRACT(CELL("address",'Raw Data'!D26),"\$([A-Z]+)\$[0-9]+"))),_xlfn.REGEXEXTRACT(CELL("address",'Raw Data'!D26),"\$([A-Z]+)\$[0-9]+"))</f>
        <v/>
      </c>
      <c r="E26" s="7" t="str">
        <f t="array" aca="1" ref="E26" ca="1">IFERROR(IF(OR('Raw Data'!E26="",LEN(TRIM('Raw Data'!E26))=0),"",IF(AND(LEN('Raw Data'!E26) &lt;= 50,LEN('Raw Data'!E26)&gt; 0),"",_xlfn.REGEXEXTRACT(CELL("address",'Raw Data'!E26),"\$([A-Z]+)\$[0-9]+"))),_xlfn.REGEXEXTRACT(CELL("address",'Raw Data'!E26),"\$([A-Z]+)\$[0-9]+"))</f>
        <v/>
      </c>
      <c r="F26" s="7" t="str">
        <f t="array" aca="1" ref="F26" ca="1">IFERROR(IF(OR('Raw Data'!F26="",LEN(TRIM('Raw Data'!F26))=0),"",IF(AND(LEN('Raw Data'!F26) &lt;= 50,LEN('Raw Data'!F26)&gt; 0),"",_xlfn.REGEXEXTRACT(CELL("address",'Raw Data'!F26),"\$([A-Z]+)\$[0-9]+"))),_xlfn.REGEXEXTRACT(CELL("address",'Raw Data'!F26),"\$([A-Z]+)\$[0-9]+"))</f>
        <v/>
      </c>
      <c r="G26" s="7" t="str">
        <f t="array" aca="1" ref="G26" ca="1">IFERROR(IF(OR('Raw Data'!G26="",LEN(TRIM('Raw Data'!G26))=0),"",IF(AND(LEN('Raw Data'!G26) &lt;= 50,LEN('Raw Data'!G26)&gt; 0),"",_xlfn.REGEXEXTRACT(CELL("address",'Raw Data'!G26),"\$([A-Z]+)\$[0-9]+"))),_xlfn.REGEXEXTRACT(CELL("address",'Raw Data'!G26),"\$([A-Z]+)\$[0-9]+"))</f>
        <v/>
      </c>
      <c r="H26" s="7" t="str">
        <f t="array" aca="1" ref="H26" ca="1">IFERROR(IF(OR('Raw Data'!H26="",LEN(TRIM('Raw Data'!H26))=0),"",IF(AND(LEN('Raw Data'!H26) &lt;= 50,LEN('Raw Data'!H26)&gt; 0),"",_xlfn.REGEXEXTRACT(CELL("address",'Raw Data'!H26),"\$([A-Z]+)\$[0-9]+"))),_xlfn.REGEXEXTRACT(CELL("address",'Raw Data'!H26),"\$([A-Z]+)\$[0-9]+"))</f>
        <v/>
      </c>
      <c r="I26" s="7" t="str">
        <f t="array" aca="1" ref="I26" ca="1">IFERROR(IF(OR('Raw Data'!I26="",LEN(TRIM('Raw Data'!I26))=0),"",IF(AND(LEN('Raw Data'!I26) &lt;= 50,LEN('Raw Data'!I26)&gt; 0),"",_xlfn.REGEXEXTRACT(CELL("address",'Raw Data'!I26),"\$([A-Z]+)\$[0-9]+"))),_xlfn.REGEXEXTRACT(CELL("address",'Raw Data'!I26),"\$([A-Z]+)\$[0-9]+"))</f>
        <v/>
      </c>
      <c r="J26" s="7" t="str">
        <f t="array" aca="1" ref="J26" ca="1">IFERROR(IF(OR('Raw Data'!J26="",LEN(TRIM('Raw Data'!J26))=0),"",IF(AND(ISNUMBER('Raw Data'!J26), IFERROR('Raw Data'!J26 = ROUND('Raw Data'!J26, 2),FALSE)),"",_xlfn.REGEXEXTRACT(CELL("address",J26), "\$([A-Z]+)\$[0-9]+"))),_xlfn.REGEXEXTRACT(CELL("address",J26), "\$([A-Z]+)\$[0-9]+"))</f>
        <v/>
      </c>
      <c r="K26" s="7" t="str">
        <f t="array" aca="1" ref="K26" ca="1">IFERROR(IF(OR('Raw Data'!K26="",LEN(TRIM('Raw Data'!K26))=0),"",IF(AND(ISNUMBER('Raw Data'!K26), IFERROR('Raw Data'!K26 = ROUND('Raw Data'!K26, 2),FALSE)),"",_xlfn.REGEXEXTRACT(CELL("address",K26), "\$([A-Z]+)\$[0-9]+"))),_xlfn.REGEXEXTRACT(CELL("address",K26), "\$([A-Z]+)\$[0-9]+"))</f>
        <v/>
      </c>
      <c r="L26" s="7" t="str">
        <f t="array" aca="1" ref="L26" ca="1">IFERROR(IF(OR('Raw Data'!L26="",LEN(TRIM('Raw Data'!L26))=0),"",IF(AND(ISNUMBER('Raw Data'!L26), IFERROR('Raw Data'!L26 = ROUND('Raw Data'!L26, 2),FALSE)),"",_xlfn.REGEXEXTRACT(CELL("address",L26), "\$([A-Z]+)\$[0-9]+"))),_xlfn.REGEXEXTRACT(CELL("address",L26), "\$([A-Z]+)\$[0-9]+"))</f>
        <v/>
      </c>
      <c r="M26" s="7" t="str">
        <f t="array" aca="1" ref="M26" ca="1">IFERROR(IF(OR('Raw Data'!M26="",LEN(TRIM('Raw Data'!M26))=0),"",IF(AND(ISNUMBER('Raw Data'!M26), IFERROR('Raw Data'!M26 = ROUND('Raw Data'!M26, 2),FALSE)),"",_xlfn.REGEXEXTRACT(CELL("address",M26), "\$([A-Z]+)\$[0-9]+"))),_xlfn.REGEXEXTRACT(CELL("address",M26), "\$([A-Z]+)\$[0-9]+"))</f>
        <v/>
      </c>
      <c r="N26" s="7" t="str">
        <f t="array" aca="1" ref="N26" ca="1">IFERROR(IF(OR('Raw Data'!N26="",LEN(TRIM('Raw Data'!N26))=0),"",IF(AND(ISNUMBER('Raw Data'!N26), IFERROR('Raw Data'!N26 = ROUND('Raw Data'!N26, 2),FALSE)),"",_xlfn.REGEXEXTRACT(CELL("address",N26), "\$([A-Z]+)\$[0-9]+"))),_xlfn.REGEXEXTRACT(CELL("address",N26), "\$([A-Z]+)\$[0-9]+"))</f>
        <v/>
      </c>
      <c r="O26" s="7" t="str">
        <f t="array" aca="1" ref="O26" ca="1">IFERROR(IF(OR('Raw Data'!O26="",LEN(TRIM('Raw Data'!O26))=0),"",IF(AND(ISNUMBER('Raw Data'!O26),'Raw Data'!O26&gt;=Configuration!$D$2),"",_xlfn.REGEXEXTRACT(CELL("address",'Raw Data'!O26),"\$([A-Z]+)\$[0-9]+"))),_xlfn.REGEXEXTRACT(CELL("address",O26), "\$([A-Z]+)\$[0-9]+"))</f>
        <v/>
      </c>
      <c r="P26" s="7" t="str">
        <f t="array" aca="1" ref="P26" ca="1">IFERROR(IF(OR('Raw Data'!P26="",LEN(TRIM('Raw Data'!P26))=0),"",IF(AND(ISNUMBER('Raw Data'!P26), IFERROR('Raw Data'!P26 = ROUND('Raw Data'!P26, 2),FALSE)),"",_xlfn.REGEXEXTRACT(CELL("address",P26), "\$([A-Z]+)\$[0-9]+"))),_xlfn.REGEXEXTRACT(CELL("address",P26), "\$([A-Z]+)\$[0-9]+"))</f>
        <v/>
      </c>
      <c r="Q26" s="7" t="str">
        <f t="array" aca="1" ref="Q26" ca="1">IFERROR(IF(OR('Raw Data'!Q26="",LEN(TRIM('Raw Data'!Q26))=0),"",IF(AND(ISNUMBER('Raw Data'!Q26), IFERROR('Raw Data'!Q26 = ROUND('Raw Data'!Q26, 2),FALSE)),"",_xlfn.REGEXEXTRACT(CELL("address",Q26), "\$([A-Z]+)\$[0-9]+"))),_xlfn.REGEXEXTRACT(CELL("address",Q26), "\$([A-Z]+)\$[0-9]+"))</f>
        <v/>
      </c>
      <c r="R26" s="7" t="str">
        <f t="array" aca="1" ref="R26" ca="1">IFERROR(IF(OR('Raw Data'!R26="",LEN(TRIM('Raw Data'!R26))=0),"",IF(AND(LEN('Raw Data'!R26) &lt;= 50,LEN('Raw Data'!R26)&gt; 0),"",_xlfn.REGEXEXTRACT(CELL("address",'Raw Data'!R26),"\$([A-Z]+)\$[0-9]+"))),_xlfn.REGEXEXTRACT(CELL("address",'Raw Data'!R26),"\$([A-Z]+)\$[0-9]+"))</f>
        <v/>
      </c>
      <c r="S26" s="7" t="str">
        <f t="array" aca="1" ref="S26" ca="1">IFERROR(IF(OR('Raw Data'!S26="",LEN(TRIM('Raw Data'!S26))=0),"",IF(AND(LEN('Raw Data'!S26) &lt;= 50,LEN('Raw Data'!S26)&gt; 0),"",_xlfn.REGEXEXTRACT(CELL("address",'Raw Data'!S26),"\$([A-Z]+)\$[0-9]+"))),_xlfn.REGEXEXTRACT(CELL("address",'Raw Data'!S26),"\$([A-Z]+)\$[0-9]+"))</f>
        <v/>
      </c>
      <c r="T26" s="7" t="str">
        <f t="array" aca="1" ref="T26" ca="1">IFERROR(IF(OR('Raw Data'!T26="",LEN(TRIM('Raw Data'!T26))=0),"",IF(AND(ISNUMBER('Raw Data'!T26), IFERROR('Raw Data'!T26 = ROUND('Raw Data'!T26, 2),FALSE)),"",_xlfn.REGEXEXTRACT(CELL("address",T26), "\$([A-Z]+)\$[0-9]+"))),_xlfn.REGEXEXTRACT(CELL("address",T26), "\$([A-Z]+)\$[0-9]+"))</f>
        <v/>
      </c>
      <c r="U26" s="7" t="str">
        <f t="array" aca="1" ref="U26" ca="1">IFERROR(IF(OR('Raw Data'!U26="",LEN(TRIM('Raw Data'!U26))=0),"",IF(AND(ISNUMBER('Raw Data'!U26), IFERROR('Raw Data'!U26 = ROUND('Raw Data'!U26, 2),FALSE)),"",_xlfn.REGEXEXTRACT(CELL("address",U26), "\$([A-Z]+)\$[0-9]+"))),_xlfn.REGEXEXTRACT(CELL("address",U26), "\$([A-Z]+)\$[0-9]+"))</f>
        <v/>
      </c>
      <c r="V26" s="7" t="str">
        <f t="array" aca="1" ref="V26" ca="1">IFERROR(IF(OR('Raw Data'!V26="",LEN(TRIM('Raw Data'!V26))=0),"",IF(AND(ISNUMBER('Raw Data'!V26), IFERROR('Raw Data'!V26 = ROUND('Raw Data'!V26, 2),FALSE)),"",_xlfn.REGEXEXTRACT(CELL("address",V26), "\$([A-Z]+)\$[0-9]+"))),_xlfn.REGEXEXTRACT(CELL("address",V26), "\$([A-Z]+)\$[0-9]+"))</f>
        <v/>
      </c>
      <c r="W26" s="7" t="str">
        <f t="array" aca="1" ref="W26" ca="1">IFERROR(IF(OR('Raw Data'!W26="",LEN(TRIM('Raw Data'!W26))=0),"",IF(AND(ISNUMBER('Raw Data'!W26), IFERROR('Raw Data'!W26 = ROUND('Raw Data'!W26, 2),FALSE)),"",_xlfn.REGEXEXTRACT(CELL("address",W26), "\$([A-Z]+)\$[0-9]+"))),_xlfn.REGEXEXTRACT(CELL("address",W26), "\$([A-Z]+)\$[0-9]+"))</f>
        <v/>
      </c>
      <c r="X26" s="7" t="str">
        <f t="array" aca="1" ref="X26" ca="1">IFERROR(IF(OR('Raw Data'!X26="",LEN(TRIM('Raw Data'!X26))=0),"",IF(AND(ISNUMBER('Raw Data'!X26), IFERROR('Raw Data'!X26 = ROUND('Raw Data'!X26, 2),FALSE)),"",_xlfn.REGEXEXTRACT(CELL("address",X26), "\$([A-Z]+)\$[0-9]+"))),_xlfn.REGEXEXTRACT(CELL("address",X26), "\$([A-Z]+)\$[0-9]+"))</f>
        <v/>
      </c>
      <c r="Y26" s="7" t="str">
        <f t="array" aca="1" ref="Y26" ca="1">IFERROR(IF(OR('Raw Data'!Y26="",LEN(TRIM('Raw Data'!Y26))=0),"",IF(AND(ISNUMBER('Raw Data'!Y26), IFERROR('Raw Data'!Y26 = ROUND('Raw Data'!Y26, 2),FALSE)),"",_xlfn.REGEXEXTRACT(CELL("address",Y26), "\$([A-Z]+)\$[0-9]+"))),_xlfn.REGEXEXTRACT(CELL("address",Y26), "\$([A-Z]+)\$[0-9]+"))</f>
        <v/>
      </c>
      <c r="Z26" s="7" t="str">
        <f t="array" aca="1" ref="Z26" ca="1">IFERROR(IF(OR('Raw Data'!Z26="",LEN(TRIM('Raw Data'!Z26))=0),"",IF(AND(ISNUMBER('Raw Data'!Z26), IFERROR('Raw Data'!Z26 = ROUND('Raw Data'!Z26, 2),FALSE)),"",_xlfn.REGEXEXTRACT(CELL("address",Z26), "\$([A-Z]+)\$[0-9]+"))),_xlfn.REGEXEXTRACT(CELL("address",Z26), "\$([A-Z]+)\$[0-9]+"))</f>
        <v/>
      </c>
      <c r="AA26" s="7" t="str">
        <f t="array" aca="1" ref="AA26" ca="1">IFERROR(IF(OR('Raw Data'!AA26="",LEN(TRIM('Raw Data'!AA26))=0),"",IF(AND(ISNUMBER('Raw Data'!AA26), IFERROR('Raw Data'!AA26 = ROUND('Raw Data'!AA26, 2),FALSE)),"",_xlfn.REGEXEXTRACT(CELL("address",AA26), "\$([A-Z]+)\$[0-9]+"))),_xlfn.REGEXEXTRACT(CELL("address",AA26), "\$([A-Z]+)\$[0-9]+"))</f>
        <v/>
      </c>
      <c r="AB26" s="7" t="str">
        <f t="array" aca="1" ref="AB26" ca="1">IFERROR(IF(OR('Raw Data'!AB26="",LEN(TRIM('Raw Data'!AB26))=0),"",IF(AND(ISNUMBER('Raw Data'!AB26), IFERROR('Raw Data'!AB26 = ROUND('Raw Data'!AB26, 2),FALSE)),"",_xlfn.REGEXEXTRACT(CELL("address",AB26), "\$([A-Z]+)\$[0-9]+"))),_xlfn.REGEXEXTRACT(CELL("address",AB26), "\$([A-Z]+)\$[0-9]+"))</f>
        <v/>
      </c>
      <c r="AC26" s="7" t="str">
        <f t="array" aca="1" ref="AC26" ca="1">IFERROR(IF(OR('Raw Data'!AC26="",LEN(TRIM('Raw Data'!AC26))=0),"",IF(AND(ISNUMBER('Raw Data'!AC26), IFERROR('Raw Data'!AC26 = ROUND('Raw Data'!AC26, 2),FALSE)),"",_xlfn.REGEXEXTRACT(CELL("address",AC26), "\$([A-Z]+)\$[0-9]+"))),_xlfn.REGEXEXTRACT(CELL("address",AC26), "\$([A-Z]+)\$[0-9]+"))</f>
        <v/>
      </c>
      <c r="AD26" s="7" t="str">
        <f t="array" aca="1" ref="AD26" ca="1">IFERROR(IF(OR('Raw Data'!AD26="",LEN(TRIM('Raw Data'!AD26))=0),"",IF(AND(ISNUMBER('Raw Data'!AD26), IFERROR('Raw Data'!AD26 = ROUND('Raw Data'!AD26, 2),FALSE)),"",_xlfn.REGEXEXTRACT(CELL("address",AD26), "\$([A-Z]+)\$[0-9]+"))),_xlfn.REGEXEXTRACT(CELL("address",AD26), "\$([A-Z]+)\$[0-9]+"))</f>
        <v/>
      </c>
      <c r="AE26" s="7" t="str">
        <f t="array" aca="1" ref="AE26" ca="1">IFERROR(IF(OR('Raw Data'!AE26="",LEN(TRIM('Raw Data'!AE26))=0),"",IF(AND(ISNUMBER('Raw Data'!AE26), IFERROR('Raw Data'!AE26 = ROUND('Raw Data'!AE26, 2),FALSE)),"",_xlfn.REGEXEXTRACT(CELL("address",AE26), "\$([A-Z]+)\$[0-9]+"))),_xlfn.REGEXEXTRACT(CELL("address",AE26), "\$([A-Z]+)\$[0-9]+"))</f>
        <v/>
      </c>
      <c r="AF26" s="7" t="str">
        <f t="array" aca="1" ref="AF26" ca="1">IFERROR(IF(OR('Raw Data'!AF26="",LEN(TRIM('Raw Data'!AF26))=0),"",IF(AND(ISNUMBER('Raw Data'!AF26), IFERROR('Raw Data'!AF26 = ROUND('Raw Data'!AF26, 2),FALSE)),"",_xlfn.REGEXEXTRACT(CELL("address",AF26), "\$([A-Z]+)\$[0-9]+"))),_xlfn.REGEXEXTRACT(CELL("address",AF26), "\$([A-Z]+)\$[0-9]+"))</f>
        <v/>
      </c>
      <c r="AG26" s="7" t="str">
        <f t="array" aca="1" ref="AG26" ca="1">IFERROR(IF(OR('Raw Data'!AG26="",LEN(TRIM('Raw Data'!AG26))=0),"",IF(AND(ISNUMBER('Raw Data'!AG26), IFERROR('Raw Data'!AG26 = ROUND('Raw Data'!AG26, 2),FALSE)),"",_xlfn.REGEXEXTRACT(CELL("address",AG26), "\$([A-Z]+)\$[0-9]+"))),_xlfn.REGEXEXTRACT(CELL("address",AG26), "\$([A-Z]+)\$[0-9]+"))</f>
        <v/>
      </c>
      <c r="AH26" s="7" t="str">
        <f t="array" aca="1" ref="AH26" ca="1">IFERROR(IF(OR('Raw Data'!AH26="",LEN(TRIM('Raw Data'!AH26))=0),"",IF(AND(ISNUMBER('Raw Data'!AH26), IFERROR('Raw Data'!AH26 = ROUND('Raw Data'!AH26, 2),FALSE)),"",_xlfn.REGEXEXTRACT(CELL("address",AH26), "\$([A-Z]+)\$[0-9]+"))),_xlfn.REGEXEXTRACT(CELL("address",AH26), "\$([A-Z]+)\$[0-9]+"))</f>
        <v/>
      </c>
      <c r="AI26" s="7" t="str">
        <f t="array" aca="1" ref="AI26" ca="1">IFERROR(IF(OR('Raw Data'!AI26="",LEN(TRIM('Raw Data'!AI26))=0),"",IF(AND(ISNUMBER('Raw Data'!AI26), IFERROR('Raw Data'!AI26 = ROUND('Raw Data'!AI26, 2),FALSE)),"",_xlfn.REGEXEXTRACT(CELL("address",AI26), "\$([A-Z]+)\$[0-9]+"))),_xlfn.REGEXEXTRACT(CELL("address",AI26), "\$([A-Z]+)\$[0-9]+"))</f>
        <v/>
      </c>
      <c r="AJ26" s="7" t="str">
        <f t="array" aca="1" ref="AJ26" ca="1">IFERROR(IF(OR('Raw Data'!AJ26="",LEN(TRIM('Raw Data'!AJ26))=0),"",IF(AND(ISNUMBER('Raw Data'!AJ26), IFERROR('Raw Data'!AJ26 = ROUND('Raw Data'!AJ26, 4),FALSE)),"",_xlfn.REGEXEXTRACT(CELL("address",AJ26), "\$([A-Z]+)\$[0-9]+"))),_xlfn.REGEXEXTRACT(CELL("address",AJ26), "\$([A-Z]+)\$[0-9]+"))</f>
        <v/>
      </c>
      <c r="AK26" s="7" t="str">
        <f t="array" aca="1" ref="AK26" ca="1">IFERROR(IF(OR('Raw Data'!AK26="",LEN(TRIM('Raw Data'!AK26))=0),"",IF(AND(ISNUMBER('Raw Data'!AK26), IFERROR('Raw Data'!AK26 = ROUND('Raw Data'!AK26, 2),FALSE)),"",_xlfn.REGEXEXTRACT(CELL("address",AK26), "\$([A-Z]+)\$[0-9]+"))),_xlfn.REGEXEXTRACT(CELL("address",AK26), "\$([A-Z]+)\$[0-9]+"))</f>
        <v/>
      </c>
      <c r="AL26" s="7" t="str">
        <f t="array" aca="1" ref="AL26" ca="1">IFERROR(IF(OR('Raw Data'!AL26="",LEN(TRIM('Raw Data'!AL26))=0),"",IF(AND(ISNUMBER('Raw Data'!AL26), IFERROR('Raw Data'!AL26 = ROUND('Raw Data'!AL26, 2),FALSE)),"",_xlfn.REGEXEXTRACT(CELL("address",AL26), "\$([A-Z]+)\$[0-9]+"))),_xlfn.REGEXEXTRACT(CELL("address",AL26), "\$([A-Z]+)\$[0-9]+"))</f>
        <v/>
      </c>
      <c r="AM26" s="7" t="str">
        <f t="array" aca="1" ref="AM26" ca="1">IFERROR(IF(OR('Raw Data'!AM26="",LEN(TRIM('Raw Data'!AM26))=0),"",IF(AND(ISNUMBER('Raw Data'!AM26), IFERROR('Raw Data'!AM26 = ROUND('Raw Data'!AM26, 2),FALSE)),"",_xlfn.REGEXEXTRACT(CELL("address",AM26), "\$([A-Z]+)\$[0-9]+"))),_xlfn.REGEXEXTRACT(CELL("address",AM26), "\$([A-Z]+)\$[0-9]+"))</f>
        <v/>
      </c>
      <c r="AN26" s="7" t="str">
        <f t="array" aca="1" ref="AN26" ca="1">IFERROR(IF(OR('Raw Data'!AN26="",LEN(TRIM('Raw Data'!AN26))=0),"",IF(AND(ISNUMBER('Raw Data'!AN26), IFERROR('Raw Data'!AN26 = ROUND('Raw Data'!AN26, 2),FALSE)),"",_xlfn.REGEXEXTRACT(CELL("address",AN26), "\$([A-Z]+)\$[0-9]+"))),_xlfn.REGEXEXTRACT(CELL("address",AN26), "\$([A-Z]+)\$[0-9]+"))</f>
        <v/>
      </c>
      <c r="AO26" s="7" t="str">
        <f t="array" aca="1" ref="AO26" ca="1">IFERROR(IF(OR('Raw Data'!AO26="",LEN(TRIM('Raw Data'!AO26))=0),"",IF(AND(ISNUMBER('Raw Data'!AO26), IFERROR('Raw Data'!AO26 = ROUND('Raw Data'!AO26, 2),FALSE)),"",_xlfn.REGEXEXTRACT(CELL("address",AO26), "\$([A-Z]+)\$[0-9]+"))),_xlfn.REGEXEXTRACT(CELL("address",AO26), "\$([A-Z]+)\$[0-9]+"))</f>
        <v/>
      </c>
      <c r="AP26" s="7" t="str">
        <f t="array" aca="1" ref="AP26" ca="1">IFERROR(IF(OR('Raw Data'!AP26="",LEN(TRIM('Raw Data'!AP26))=0),"",IF(AND(ISNUMBER('Raw Data'!AP26), IFERROR('Raw Data'!AP26 = ROUND('Raw Data'!AP26, 2),FALSE)),"",_xlfn.REGEXEXTRACT(CELL("address",AP26), "\$([A-Z]+)\$[0-9]+"))),_xlfn.REGEXEXTRACT(CELL("address",AP26), "\$([A-Z]+)\$[0-9]+"))</f>
        <v/>
      </c>
    </row>
    <row r="27" spans="2:42" x14ac:dyDescent="0.25">
      <c r="B27" s="7" t="str">
        <f t="array" aca="1" ref="B27" ca="1">IFERROR(IF(OR('Raw Data'!B27="",LEN(TRIM('Raw Data'!B27))=0),"",IF(AND(LEN('Raw Data'!B27) &lt;= 255,LEN('Raw Data'!B27)&gt; 0),"",_xlfn.REGEXEXTRACT(CELL("address",'Raw Data'!B27),"\$([A-Z]+)\$[0-9]+"))),_xlfn.REGEXEXTRACT(CELL("address",'Raw Data'!B27),"\$([A-Z]+)\$[0-9]+"))</f>
        <v/>
      </c>
      <c r="C27" s="7" t="str">
        <f t="array" aca="1" ref="C27" ca="1">IFERROR(IF(OR('Raw Data'!C27="",LEN(TRIM('Raw Data'!C27))=0),"",IF(AND(LEN('Raw Data'!C27) &lt;= 50,LEN('Raw Data'!C27)&gt; 0),"",_xlfn.REGEXEXTRACT(CELL("address",'Raw Data'!C27),"\$([A-Z]+)\$[0-9]+"))),_xlfn.REGEXEXTRACT(CELL("address",'Raw Data'!C27),"\$([A-Z]+)\$[0-9]+"))</f>
        <v/>
      </c>
      <c r="D27" s="7" t="str">
        <f t="array" aca="1" ref="D27" ca="1">IFERROR(IF(OR('Raw Data'!D27="",LEN(TRIM('Raw Data'!D27))=0),"",IF(AND(LEN('Raw Data'!D27) &lt;= 500,LEN('Raw Data'!D27)&gt; 0),"",_xlfn.REGEXEXTRACT(CELL("address",'Raw Data'!D27),"\$([A-Z]+)\$[0-9]+"))),_xlfn.REGEXEXTRACT(CELL("address",'Raw Data'!D27),"\$([A-Z]+)\$[0-9]+"))</f>
        <v/>
      </c>
      <c r="E27" s="7" t="str">
        <f t="array" aca="1" ref="E27" ca="1">IFERROR(IF(OR('Raw Data'!E27="",LEN(TRIM('Raw Data'!E27))=0),"",IF(AND(LEN('Raw Data'!E27) &lt;= 50,LEN('Raw Data'!E27)&gt; 0),"",_xlfn.REGEXEXTRACT(CELL("address",'Raw Data'!E27),"\$([A-Z]+)\$[0-9]+"))),_xlfn.REGEXEXTRACT(CELL("address",'Raw Data'!E27),"\$([A-Z]+)\$[0-9]+"))</f>
        <v/>
      </c>
      <c r="F27" s="7" t="str">
        <f t="array" aca="1" ref="F27" ca="1">IFERROR(IF(OR('Raw Data'!F27="",LEN(TRIM('Raw Data'!F27))=0),"",IF(AND(LEN('Raw Data'!F27) &lt;= 50,LEN('Raw Data'!F27)&gt; 0),"",_xlfn.REGEXEXTRACT(CELL("address",'Raw Data'!F27),"\$([A-Z]+)\$[0-9]+"))),_xlfn.REGEXEXTRACT(CELL("address",'Raw Data'!F27),"\$([A-Z]+)\$[0-9]+"))</f>
        <v/>
      </c>
      <c r="G27" s="7" t="str">
        <f t="array" aca="1" ref="G27" ca="1">IFERROR(IF(OR('Raw Data'!G27="",LEN(TRIM('Raw Data'!G27))=0),"",IF(AND(LEN('Raw Data'!G27) &lt;= 50,LEN('Raw Data'!G27)&gt; 0),"",_xlfn.REGEXEXTRACT(CELL("address",'Raw Data'!G27),"\$([A-Z]+)\$[0-9]+"))),_xlfn.REGEXEXTRACT(CELL("address",'Raw Data'!G27),"\$([A-Z]+)\$[0-9]+"))</f>
        <v/>
      </c>
      <c r="H27" s="7" t="str">
        <f t="array" aca="1" ref="H27" ca="1">IFERROR(IF(OR('Raw Data'!H27="",LEN(TRIM('Raw Data'!H27))=0),"",IF(AND(LEN('Raw Data'!H27) &lt;= 50,LEN('Raw Data'!H27)&gt; 0),"",_xlfn.REGEXEXTRACT(CELL("address",'Raw Data'!H27),"\$([A-Z]+)\$[0-9]+"))),_xlfn.REGEXEXTRACT(CELL("address",'Raw Data'!H27),"\$([A-Z]+)\$[0-9]+"))</f>
        <v/>
      </c>
      <c r="I27" s="7" t="str">
        <f t="array" aca="1" ref="I27" ca="1">IFERROR(IF(OR('Raw Data'!I27="",LEN(TRIM('Raw Data'!I27))=0),"",IF(AND(LEN('Raw Data'!I27) &lt;= 50,LEN('Raw Data'!I27)&gt; 0),"",_xlfn.REGEXEXTRACT(CELL("address",'Raw Data'!I27),"\$([A-Z]+)\$[0-9]+"))),_xlfn.REGEXEXTRACT(CELL("address",'Raw Data'!I27),"\$([A-Z]+)\$[0-9]+"))</f>
        <v/>
      </c>
      <c r="J27" s="7" t="str">
        <f t="array" aca="1" ref="J27" ca="1">IFERROR(IF(OR('Raw Data'!J27="",LEN(TRIM('Raw Data'!J27))=0),"",IF(AND(ISNUMBER('Raw Data'!J27), IFERROR('Raw Data'!J27 = ROUND('Raw Data'!J27, 2),FALSE)),"",_xlfn.REGEXEXTRACT(CELL("address",J27), "\$([A-Z]+)\$[0-9]+"))),_xlfn.REGEXEXTRACT(CELL("address",J27), "\$([A-Z]+)\$[0-9]+"))</f>
        <v/>
      </c>
      <c r="K27" s="7" t="str">
        <f t="array" aca="1" ref="K27" ca="1">IFERROR(IF(OR('Raw Data'!K27="",LEN(TRIM('Raw Data'!K27))=0),"",IF(AND(ISNUMBER('Raw Data'!K27), IFERROR('Raw Data'!K27 = ROUND('Raw Data'!K27, 2),FALSE)),"",_xlfn.REGEXEXTRACT(CELL("address",K27), "\$([A-Z]+)\$[0-9]+"))),_xlfn.REGEXEXTRACT(CELL("address",K27), "\$([A-Z]+)\$[0-9]+"))</f>
        <v/>
      </c>
      <c r="L27" s="7" t="str">
        <f t="array" aca="1" ref="L27" ca="1">IFERROR(IF(OR('Raw Data'!L27="",LEN(TRIM('Raw Data'!L27))=0),"",IF(AND(ISNUMBER('Raw Data'!L27), IFERROR('Raw Data'!L27 = ROUND('Raw Data'!L27, 2),FALSE)),"",_xlfn.REGEXEXTRACT(CELL("address",L27), "\$([A-Z]+)\$[0-9]+"))),_xlfn.REGEXEXTRACT(CELL("address",L27), "\$([A-Z]+)\$[0-9]+"))</f>
        <v/>
      </c>
      <c r="M27" s="7" t="str">
        <f t="array" aca="1" ref="M27" ca="1">IFERROR(IF(OR('Raw Data'!M27="",LEN(TRIM('Raw Data'!M27))=0),"",IF(AND(ISNUMBER('Raw Data'!M27), IFERROR('Raw Data'!M27 = ROUND('Raw Data'!M27, 2),FALSE)),"",_xlfn.REGEXEXTRACT(CELL("address",M27), "\$([A-Z]+)\$[0-9]+"))),_xlfn.REGEXEXTRACT(CELL("address",M27), "\$([A-Z]+)\$[0-9]+"))</f>
        <v/>
      </c>
      <c r="N27" s="7" t="str">
        <f t="array" aca="1" ref="N27" ca="1">IFERROR(IF(OR('Raw Data'!N27="",LEN(TRIM('Raw Data'!N27))=0),"",IF(AND(ISNUMBER('Raw Data'!N27), IFERROR('Raw Data'!N27 = ROUND('Raw Data'!N27, 2),FALSE)),"",_xlfn.REGEXEXTRACT(CELL("address",N27), "\$([A-Z]+)\$[0-9]+"))),_xlfn.REGEXEXTRACT(CELL("address",N27), "\$([A-Z]+)\$[0-9]+"))</f>
        <v/>
      </c>
      <c r="O27" s="7" t="str">
        <f t="array" aca="1" ref="O27" ca="1">IFERROR(IF(OR('Raw Data'!O27="",LEN(TRIM('Raw Data'!O27))=0),"",IF(AND(ISNUMBER('Raw Data'!O27),'Raw Data'!O27&gt;=Configuration!$D$2),"",_xlfn.REGEXEXTRACT(CELL("address",'Raw Data'!O27),"\$([A-Z]+)\$[0-9]+"))),_xlfn.REGEXEXTRACT(CELL("address",O27), "\$([A-Z]+)\$[0-9]+"))</f>
        <v/>
      </c>
      <c r="P27" s="7" t="str">
        <f t="array" aca="1" ref="P27" ca="1">IFERROR(IF(OR('Raw Data'!P27="",LEN(TRIM('Raw Data'!P27))=0),"",IF(AND(ISNUMBER('Raw Data'!P27), IFERROR('Raw Data'!P27 = ROUND('Raw Data'!P27, 2),FALSE)),"",_xlfn.REGEXEXTRACT(CELL("address",P27), "\$([A-Z]+)\$[0-9]+"))),_xlfn.REGEXEXTRACT(CELL("address",P27), "\$([A-Z]+)\$[0-9]+"))</f>
        <v/>
      </c>
      <c r="Q27" s="7" t="str">
        <f t="array" aca="1" ref="Q27" ca="1">IFERROR(IF(OR('Raw Data'!Q27="",LEN(TRIM('Raw Data'!Q27))=0),"",IF(AND(ISNUMBER('Raw Data'!Q27), IFERROR('Raw Data'!Q27 = ROUND('Raw Data'!Q27, 2),FALSE)),"",_xlfn.REGEXEXTRACT(CELL("address",Q27), "\$([A-Z]+)\$[0-9]+"))),_xlfn.REGEXEXTRACT(CELL("address",Q27), "\$([A-Z]+)\$[0-9]+"))</f>
        <v/>
      </c>
      <c r="R27" s="7" t="str">
        <f t="array" aca="1" ref="R27" ca="1">IFERROR(IF(OR('Raw Data'!R27="",LEN(TRIM('Raw Data'!R27))=0),"",IF(AND(LEN('Raw Data'!R27) &lt;= 50,LEN('Raw Data'!R27)&gt; 0),"",_xlfn.REGEXEXTRACT(CELL("address",'Raw Data'!R27),"\$([A-Z]+)\$[0-9]+"))),_xlfn.REGEXEXTRACT(CELL("address",'Raw Data'!R27),"\$([A-Z]+)\$[0-9]+"))</f>
        <v/>
      </c>
      <c r="S27" s="7" t="str">
        <f t="array" aca="1" ref="S27" ca="1">IFERROR(IF(OR('Raw Data'!S27="",LEN(TRIM('Raw Data'!S27))=0),"",IF(AND(LEN('Raw Data'!S27) &lt;= 50,LEN('Raw Data'!S27)&gt; 0),"",_xlfn.REGEXEXTRACT(CELL("address",'Raw Data'!S27),"\$([A-Z]+)\$[0-9]+"))),_xlfn.REGEXEXTRACT(CELL("address",'Raw Data'!S27),"\$([A-Z]+)\$[0-9]+"))</f>
        <v/>
      </c>
      <c r="T27" s="7" t="str">
        <f t="array" aca="1" ref="T27" ca="1">IFERROR(IF(OR('Raw Data'!T27="",LEN(TRIM('Raw Data'!T27))=0),"",IF(AND(ISNUMBER('Raw Data'!T27), IFERROR('Raw Data'!T27 = ROUND('Raw Data'!T27, 2),FALSE)),"",_xlfn.REGEXEXTRACT(CELL("address",T27), "\$([A-Z]+)\$[0-9]+"))),_xlfn.REGEXEXTRACT(CELL("address",T27), "\$([A-Z]+)\$[0-9]+"))</f>
        <v/>
      </c>
      <c r="U27" s="7" t="str">
        <f t="array" aca="1" ref="U27" ca="1">IFERROR(IF(OR('Raw Data'!U27="",LEN(TRIM('Raw Data'!U27))=0),"",IF(AND(ISNUMBER('Raw Data'!U27), IFERROR('Raw Data'!U27 = ROUND('Raw Data'!U27, 2),FALSE)),"",_xlfn.REGEXEXTRACT(CELL("address",U27), "\$([A-Z]+)\$[0-9]+"))),_xlfn.REGEXEXTRACT(CELL("address",U27), "\$([A-Z]+)\$[0-9]+"))</f>
        <v/>
      </c>
      <c r="V27" s="7" t="str">
        <f t="array" aca="1" ref="V27" ca="1">IFERROR(IF(OR('Raw Data'!V27="",LEN(TRIM('Raw Data'!V27))=0),"",IF(AND(ISNUMBER('Raw Data'!V27), IFERROR('Raw Data'!V27 = ROUND('Raw Data'!V27, 2),FALSE)),"",_xlfn.REGEXEXTRACT(CELL("address",V27), "\$([A-Z]+)\$[0-9]+"))),_xlfn.REGEXEXTRACT(CELL("address",V27), "\$([A-Z]+)\$[0-9]+"))</f>
        <v/>
      </c>
      <c r="W27" s="7" t="str">
        <f t="array" aca="1" ref="W27" ca="1">IFERROR(IF(OR('Raw Data'!W27="",LEN(TRIM('Raw Data'!W27))=0),"",IF(AND(ISNUMBER('Raw Data'!W27), IFERROR('Raw Data'!W27 = ROUND('Raw Data'!W27, 2),FALSE)),"",_xlfn.REGEXEXTRACT(CELL("address",W27), "\$([A-Z]+)\$[0-9]+"))),_xlfn.REGEXEXTRACT(CELL("address",W27), "\$([A-Z]+)\$[0-9]+"))</f>
        <v/>
      </c>
      <c r="X27" s="7" t="str">
        <f t="array" aca="1" ref="X27" ca="1">IFERROR(IF(OR('Raw Data'!X27="",LEN(TRIM('Raw Data'!X27))=0),"",IF(AND(ISNUMBER('Raw Data'!X27), IFERROR('Raw Data'!X27 = ROUND('Raw Data'!X27, 2),FALSE)),"",_xlfn.REGEXEXTRACT(CELL("address",X27), "\$([A-Z]+)\$[0-9]+"))),_xlfn.REGEXEXTRACT(CELL("address",X27), "\$([A-Z]+)\$[0-9]+"))</f>
        <v/>
      </c>
      <c r="Y27" s="7" t="str">
        <f t="array" aca="1" ref="Y27" ca="1">IFERROR(IF(OR('Raw Data'!Y27="",LEN(TRIM('Raw Data'!Y27))=0),"",IF(AND(ISNUMBER('Raw Data'!Y27), IFERROR('Raw Data'!Y27 = ROUND('Raw Data'!Y27, 2),FALSE)),"",_xlfn.REGEXEXTRACT(CELL("address",Y27), "\$([A-Z]+)\$[0-9]+"))),_xlfn.REGEXEXTRACT(CELL("address",Y27), "\$([A-Z]+)\$[0-9]+"))</f>
        <v/>
      </c>
      <c r="Z27" s="7" t="str">
        <f t="array" aca="1" ref="Z27" ca="1">IFERROR(IF(OR('Raw Data'!Z27="",LEN(TRIM('Raw Data'!Z27))=0),"",IF(AND(ISNUMBER('Raw Data'!Z27), IFERROR('Raw Data'!Z27 = ROUND('Raw Data'!Z27, 2),FALSE)),"",_xlfn.REGEXEXTRACT(CELL("address",Z27), "\$([A-Z]+)\$[0-9]+"))),_xlfn.REGEXEXTRACT(CELL("address",Z27), "\$([A-Z]+)\$[0-9]+"))</f>
        <v/>
      </c>
      <c r="AA27" s="7" t="str">
        <f t="array" aca="1" ref="AA27" ca="1">IFERROR(IF(OR('Raw Data'!AA27="",LEN(TRIM('Raw Data'!AA27))=0),"",IF(AND(ISNUMBER('Raw Data'!AA27), IFERROR('Raw Data'!AA27 = ROUND('Raw Data'!AA27, 2),FALSE)),"",_xlfn.REGEXEXTRACT(CELL("address",AA27), "\$([A-Z]+)\$[0-9]+"))),_xlfn.REGEXEXTRACT(CELL("address",AA27), "\$([A-Z]+)\$[0-9]+"))</f>
        <v/>
      </c>
      <c r="AB27" s="7" t="str">
        <f t="array" aca="1" ref="AB27" ca="1">IFERROR(IF(OR('Raw Data'!AB27="",LEN(TRIM('Raw Data'!AB27))=0),"",IF(AND(ISNUMBER('Raw Data'!AB27), IFERROR('Raw Data'!AB27 = ROUND('Raw Data'!AB27, 2),FALSE)),"",_xlfn.REGEXEXTRACT(CELL("address",AB27), "\$([A-Z]+)\$[0-9]+"))),_xlfn.REGEXEXTRACT(CELL("address",AB27), "\$([A-Z]+)\$[0-9]+"))</f>
        <v/>
      </c>
      <c r="AC27" s="7" t="str">
        <f t="array" aca="1" ref="AC27" ca="1">IFERROR(IF(OR('Raw Data'!AC27="",LEN(TRIM('Raw Data'!AC27))=0),"",IF(AND(ISNUMBER('Raw Data'!AC27), IFERROR('Raw Data'!AC27 = ROUND('Raw Data'!AC27, 2),FALSE)),"",_xlfn.REGEXEXTRACT(CELL("address",AC27), "\$([A-Z]+)\$[0-9]+"))),_xlfn.REGEXEXTRACT(CELL("address",AC27), "\$([A-Z]+)\$[0-9]+"))</f>
        <v/>
      </c>
      <c r="AD27" s="7" t="str">
        <f t="array" aca="1" ref="AD27" ca="1">IFERROR(IF(OR('Raw Data'!AD27="",LEN(TRIM('Raw Data'!AD27))=0),"",IF(AND(ISNUMBER('Raw Data'!AD27), IFERROR('Raw Data'!AD27 = ROUND('Raw Data'!AD27, 2),FALSE)),"",_xlfn.REGEXEXTRACT(CELL("address",AD27), "\$([A-Z]+)\$[0-9]+"))),_xlfn.REGEXEXTRACT(CELL("address",AD27), "\$([A-Z]+)\$[0-9]+"))</f>
        <v/>
      </c>
      <c r="AE27" s="7" t="str">
        <f t="array" aca="1" ref="AE27" ca="1">IFERROR(IF(OR('Raw Data'!AE27="",LEN(TRIM('Raw Data'!AE27))=0),"",IF(AND(ISNUMBER('Raw Data'!AE27), IFERROR('Raw Data'!AE27 = ROUND('Raw Data'!AE27, 2),FALSE)),"",_xlfn.REGEXEXTRACT(CELL("address",AE27), "\$([A-Z]+)\$[0-9]+"))),_xlfn.REGEXEXTRACT(CELL("address",AE27), "\$([A-Z]+)\$[0-9]+"))</f>
        <v/>
      </c>
      <c r="AF27" s="7" t="str">
        <f t="array" aca="1" ref="AF27" ca="1">IFERROR(IF(OR('Raw Data'!AF27="",LEN(TRIM('Raw Data'!AF27))=0),"",IF(AND(ISNUMBER('Raw Data'!AF27), IFERROR('Raw Data'!AF27 = ROUND('Raw Data'!AF27, 2),FALSE)),"",_xlfn.REGEXEXTRACT(CELL("address",AF27), "\$([A-Z]+)\$[0-9]+"))),_xlfn.REGEXEXTRACT(CELL("address",AF27), "\$([A-Z]+)\$[0-9]+"))</f>
        <v/>
      </c>
      <c r="AG27" s="7" t="str">
        <f t="array" aca="1" ref="AG27" ca="1">IFERROR(IF(OR('Raw Data'!AG27="",LEN(TRIM('Raw Data'!AG27))=0),"",IF(AND(ISNUMBER('Raw Data'!AG27), IFERROR('Raw Data'!AG27 = ROUND('Raw Data'!AG27, 2),FALSE)),"",_xlfn.REGEXEXTRACT(CELL("address",AG27), "\$([A-Z]+)\$[0-9]+"))),_xlfn.REGEXEXTRACT(CELL("address",AG27), "\$([A-Z]+)\$[0-9]+"))</f>
        <v/>
      </c>
      <c r="AH27" s="7" t="str">
        <f t="array" aca="1" ref="AH27" ca="1">IFERROR(IF(OR('Raw Data'!AH27="",LEN(TRIM('Raw Data'!AH27))=0),"",IF(AND(ISNUMBER('Raw Data'!AH27), IFERROR('Raw Data'!AH27 = ROUND('Raw Data'!AH27, 2),FALSE)),"",_xlfn.REGEXEXTRACT(CELL("address",AH27), "\$([A-Z]+)\$[0-9]+"))),_xlfn.REGEXEXTRACT(CELL("address",AH27), "\$([A-Z]+)\$[0-9]+"))</f>
        <v/>
      </c>
      <c r="AI27" s="7" t="str">
        <f t="array" aca="1" ref="AI27" ca="1">IFERROR(IF(OR('Raw Data'!AI27="",LEN(TRIM('Raw Data'!AI27))=0),"",IF(AND(ISNUMBER('Raw Data'!AI27), IFERROR('Raw Data'!AI27 = ROUND('Raw Data'!AI27, 2),FALSE)),"",_xlfn.REGEXEXTRACT(CELL("address",AI27), "\$([A-Z]+)\$[0-9]+"))),_xlfn.REGEXEXTRACT(CELL("address",AI27), "\$([A-Z]+)\$[0-9]+"))</f>
        <v/>
      </c>
      <c r="AJ27" s="7" t="str">
        <f t="array" aca="1" ref="AJ27" ca="1">IFERROR(IF(OR('Raw Data'!AJ27="",LEN(TRIM('Raw Data'!AJ27))=0),"",IF(AND(ISNUMBER('Raw Data'!AJ27), IFERROR('Raw Data'!AJ27 = ROUND('Raw Data'!AJ27, 4),FALSE)),"",_xlfn.REGEXEXTRACT(CELL("address",AJ27), "\$([A-Z]+)\$[0-9]+"))),_xlfn.REGEXEXTRACT(CELL("address",AJ27), "\$([A-Z]+)\$[0-9]+"))</f>
        <v/>
      </c>
      <c r="AK27" s="7" t="str">
        <f t="array" aca="1" ref="AK27" ca="1">IFERROR(IF(OR('Raw Data'!AK27="",LEN(TRIM('Raw Data'!AK27))=0),"",IF(AND(ISNUMBER('Raw Data'!AK27), IFERROR('Raw Data'!AK27 = ROUND('Raw Data'!AK27, 2),FALSE)),"",_xlfn.REGEXEXTRACT(CELL("address",AK27), "\$([A-Z]+)\$[0-9]+"))),_xlfn.REGEXEXTRACT(CELL("address",AK27), "\$([A-Z]+)\$[0-9]+"))</f>
        <v/>
      </c>
      <c r="AL27" s="7" t="str">
        <f t="array" aca="1" ref="AL27" ca="1">IFERROR(IF(OR('Raw Data'!AL27="",LEN(TRIM('Raw Data'!AL27))=0),"",IF(AND(ISNUMBER('Raw Data'!AL27), IFERROR('Raw Data'!AL27 = ROUND('Raw Data'!AL27, 2),FALSE)),"",_xlfn.REGEXEXTRACT(CELL("address",AL27), "\$([A-Z]+)\$[0-9]+"))),_xlfn.REGEXEXTRACT(CELL("address",AL27), "\$([A-Z]+)\$[0-9]+"))</f>
        <v/>
      </c>
      <c r="AM27" s="7" t="str">
        <f t="array" aca="1" ref="AM27" ca="1">IFERROR(IF(OR('Raw Data'!AM27="",LEN(TRIM('Raw Data'!AM27))=0),"",IF(AND(ISNUMBER('Raw Data'!AM27), IFERROR('Raw Data'!AM27 = ROUND('Raw Data'!AM27, 2),FALSE)),"",_xlfn.REGEXEXTRACT(CELL("address",AM27), "\$([A-Z]+)\$[0-9]+"))),_xlfn.REGEXEXTRACT(CELL("address",AM27), "\$([A-Z]+)\$[0-9]+"))</f>
        <v/>
      </c>
      <c r="AN27" s="7" t="str">
        <f t="array" aca="1" ref="AN27" ca="1">IFERROR(IF(OR('Raw Data'!AN27="",LEN(TRIM('Raw Data'!AN27))=0),"",IF(AND(ISNUMBER('Raw Data'!AN27), IFERROR('Raw Data'!AN27 = ROUND('Raw Data'!AN27, 2),FALSE)),"",_xlfn.REGEXEXTRACT(CELL("address",AN27), "\$([A-Z]+)\$[0-9]+"))),_xlfn.REGEXEXTRACT(CELL("address",AN27), "\$([A-Z]+)\$[0-9]+"))</f>
        <v/>
      </c>
      <c r="AO27" s="7" t="str">
        <f t="array" aca="1" ref="AO27" ca="1">IFERROR(IF(OR('Raw Data'!AO27="",LEN(TRIM('Raw Data'!AO27))=0),"",IF(AND(ISNUMBER('Raw Data'!AO27), IFERROR('Raw Data'!AO27 = ROUND('Raw Data'!AO27, 2),FALSE)),"",_xlfn.REGEXEXTRACT(CELL("address",AO27), "\$([A-Z]+)\$[0-9]+"))),_xlfn.REGEXEXTRACT(CELL("address",AO27), "\$([A-Z]+)\$[0-9]+"))</f>
        <v/>
      </c>
      <c r="AP27" s="7" t="str">
        <f t="array" aca="1" ref="AP27" ca="1">IFERROR(IF(OR('Raw Data'!AP27="",LEN(TRIM('Raw Data'!AP27))=0),"",IF(AND(ISNUMBER('Raw Data'!AP27), IFERROR('Raw Data'!AP27 = ROUND('Raw Data'!AP27, 2),FALSE)),"",_xlfn.REGEXEXTRACT(CELL("address",AP27), "\$([A-Z]+)\$[0-9]+"))),_xlfn.REGEXEXTRACT(CELL("address",AP27), "\$([A-Z]+)\$[0-9]+"))</f>
        <v/>
      </c>
    </row>
    <row r="28" spans="2:42" x14ac:dyDescent="0.25">
      <c r="B28" s="7" t="str">
        <f t="array" aca="1" ref="B28" ca="1">IFERROR(IF(OR('Raw Data'!B28="",LEN(TRIM('Raw Data'!B28))=0),"",IF(AND(LEN('Raw Data'!B28) &lt;= 255,LEN('Raw Data'!B28)&gt; 0),"",_xlfn.REGEXEXTRACT(CELL("address",'Raw Data'!B28),"\$([A-Z]+)\$[0-9]+"))),_xlfn.REGEXEXTRACT(CELL("address",'Raw Data'!B28),"\$([A-Z]+)\$[0-9]+"))</f>
        <v/>
      </c>
      <c r="C28" s="7" t="str">
        <f t="array" aca="1" ref="C28" ca="1">IFERROR(IF(OR('Raw Data'!C28="",LEN(TRIM('Raw Data'!C28))=0),"",IF(AND(LEN('Raw Data'!C28) &lt;= 50,LEN('Raw Data'!C28)&gt; 0),"",_xlfn.REGEXEXTRACT(CELL("address",'Raw Data'!C28),"\$([A-Z]+)\$[0-9]+"))),_xlfn.REGEXEXTRACT(CELL("address",'Raw Data'!C28),"\$([A-Z]+)\$[0-9]+"))</f>
        <v/>
      </c>
      <c r="D28" s="7" t="str">
        <f t="array" aca="1" ref="D28" ca="1">IFERROR(IF(OR('Raw Data'!D28="",LEN(TRIM('Raw Data'!D28))=0),"",IF(AND(LEN('Raw Data'!D28) &lt;= 500,LEN('Raw Data'!D28)&gt; 0),"",_xlfn.REGEXEXTRACT(CELL("address",'Raw Data'!D28),"\$([A-Z]+)\$[0-9]+"))),_xlfn.REGEXEXTRACT(CELL("address",'Raw Data'!D28),"\$([A-Z]+)\$[0-9]+"))</f>
        <v/>
      </c>
      <c r="E28" s="7" t="str">
        <f t="array" aca="1" ref="E28" ca="1">IFERROR(IF(OR('Raw Data'!E28="",LEN(TRIM('Raw Data'!E28))=0),"",IF(AND(LEN('Raw Data'!E28) &lt;= 50,LEN('Raw Data'!E28)&gt; 0),"",_xlfn.REGEXEXTRACT(CELL("address",'Raw Data'!E28),"\$([A-Z]+)\$[0-9]+"))),_xlfn.REGEXEXTRACT(CELL("address",'Raw Data'!E28),"\$([A-Z]+)\$[0-9]+"))</f>
        <v/>
      </c>
      <c r="F28" s="7" t="str">
        <f t="array" aca="1" ref="F28" ca="1">IFERROR(IF(OR('Raw Data'!F28="",LEN(TRIM('Raw Data'!F28))=0),"",IF(AND(LEN('Raw Data'!F28) &lt;= 50,LEN('Raw Data'!F28)&gt; 0),"",_xlfn.REGEXEXTRACT(CELL("address",'Raw Data'!F28),"\$([A-Z]+)\$[0-9]+"))),_xlfn.REGEXEXTRACT(CELL("address",'Raw Data'!F28),"\$([A-Z]+)\$[0-9]+"))</f>
        <v/>
      </c>
      <c r="G28" s="7" t="str">
        <f t="array" aca="1" ref="G28" ca="1">IFERROR(IF(OR('Raw Data'!G28="",LEN(TRIM('Raw Data'!G28))=0),"",IF(AND(LEN('Raw Data'!G28) &lt;= 50,LEN('Raw Data'!G28)&gt; 0),"",_xlfn.REGEXEXTRACT(CELL("address",'Raw Data'!G28),"\$([A-Z]+)\$[0-9]+"))),_xlfn.REGEXEXTRACT(CELL("address",'Raw Data'!G28),"\$([A-Z]+)\$[0-9]+"))</f>
        <v/>
      </c>
      <c r="H28" s="7" t="str">
        <f t="array" aca="1" ref="H28" ca="1">IFERROR(IF(OR('Raw Data'!H28="",LEN(TRIM('Raw Data'!H28))=0),"",IF(AND(LEN('Raw Data'!H28) &lt;= 50,LEN('Raw Data'!H28)&gt; 0),"",_xlfn.REGEXEXTRACT(CELL("address",'Raw Data'!H28),"\$([A-Z]+)\$[0-9]+"))),_xlfn.REGEXEXTRACT(CELL("address",'Raw Data'!H28),"\$([A-Z]+)\$[0-9]+"))</f>
        <v/>
      </c>
      <c r="I28" s="7" t="str">
        <f t="array" aca="1" ref="I28" ca="1">IFERROR(IF(OR('Raw Data'!I28="",LEN(TRIM('Raw Data'!I28))=0),"",IF(AND(LEN('Raw Data'!I28) &lt;= 50,LEN('Raw Data'!I28)&gt; 0),"",_xlfn.REGEXEXTRACT(CELL("address",'Raw Data'!I28),"\$([A-Z]+)\$[0-9]+"))),_xlfn.REGEXEXTRACT(CELL("address",'Raw Data'!I28),"\$([A-Z]+)\$[0-9]+"))</f>
        <v/>
      </c>
      <c r="J28" s="7" t="str">
        <f t="array" aca="1" ref="J28" ca="1">IFERROR(IF(OR('Raw Data'!J28="",LEN(TRIM('Raw Data'!J28))=0),"",IF(AND(ISNUMBER('Raw Data'!J28), IFERROR('Raw Data'!J28 = ROUND('Raw Data'!J28, 2),FALSE)),"",_xlfn.REGEXEXTRACT(CELL("address",J28), "\$([A-Z]+)\$[0-9]+"))),_xlfn.REGEXEXTRACT(CELL("address",J28), "\$([A-Z]+)\$[0-9]+"))</f>
        <v/>
      </c>
      <c r="K28" s="7" t="str">
        <f t="array" aca="1" ref="K28" ca="1">IFERROR(IF(OR('Raw Data'!K28="",LEN(TRIM('Raw Data'!K28))=0),"",IF(AND(ISNUMBER('Raw Data'!K28), IFERROR('Raw Data'!K28 = ROUND('Raw Data'!K28, 2),FALSE)),"",_xlfn.REGEXEXTRACT(CELL("address",K28), "\$([A-Z]+)\$[0-9]+"))),_xlfn.REGEXEXTRACT(CELL("address",K28), "\$([A-Z]+)\$[0-9]+"))</f>
        <v/>
      </c>
      <c r="L28" s="7" t="str">
        <f t="array" aca="1" ref="L28" ca="1">IFERROR(IF(OR('Raw Data'!L28="",LEN(TRIM('Raw Data'!L28))=0),"",IF(AND(ISNUMBER('Raw Data'!L28), IFERROR('Raw Data'!L28 = ROUND('Raw Data'!L28, 2),FALSE)),"",_xlfn.REGEXEXTRACT(CELL("address",L28), "\$([A-Z]+)\$[0-9]+"))),_xlfn.REGEXEXTRACT(CELL("address",L28), "\$([A-Z]+)\$[0-9]+"))</f>
        <v/>
      </c>
      <c r="M28" s="7" t="str">
        <f t="array" aca="1" ref="M28" ca="1">IFERROR(IF(OR('Raw Data'!M28="",LEN(TRIM('Raw Data'!M28))=0),"",IF(AND(ISNUMBER('Raw Data'!M28), IFERROR('Raw Data'!M28 = ROUND('Raw Data'!M28, 2),FALSE)),"",_xlfn.REGEXEXTRACT(CELL("address",M28), "\$([A-Z]+)\$[0-9]+"))),_xlfn.REGEXEXTRACT(CELL("address",M28), "\$([A-Z]+)\$[0-9]+"))</f>
        <v/>
      </c>
      <c r="N28" s="7" t="str">
        <f t="array" aca="1" ref="N28" ca="1">IFERROR(IF(OR('Raw Data'!N28="",LEN(TRIM('Raw Data'!N28))=0),"",IF(AND(ISNUMBER('Raw Data'!N28), IFERROR('Raw Data'!N28 = ROUND('Raw Data'!N28, 2),FALSE)),"",_xlfn.REGEXEXTRACT(CELL("address",N28), "\$([A-Z]+)\$[0-9]+"))),_xlfn.REGEXEXTRACT(CELL("address",N28), "\$([A-Z]+)\$[0-9]+"))</f>
        <v/>
      </c>
      <c r="O28" s="7" t="str">
        <f t="array" aca="1" ref="O28" ca="1">IFERROR(IF(OR('Raw Data'!O28="",LEN(TRIM('Raw Data'!O28))=0),"",IF(AND(ISNUMBER('Raw Data'!O28),'Raw Data'!O28&gt;=Configuration!$D$2),"",_xlfn.REGEXEXTRACT(CELL("address",'Raw Data'!O28),"\$([A-Z]+)\$[0-9]+"))),_xlfn.REGEXEXTRACT(CELL("address",O28), "\$([A-Z]+)\$[0-9]+"))</f>
        <v/>
      </c>
      <c r="P28" s="7" t="str">
        <f t="array" aca="1" ref="P28" ca="1">IFERROR(IF(OR('Raw Data'!P28="",LEN(TRIM('Raw Data'!P28))=0),"",IF(AND(ISNUMBER('Raw Data'!P28), IFERROR('Raw Data'!P28 = ROUND('Raw Data'!P28, 2),FALSE)),"",_xlfn.REGEXEXTRACT(CELL("address",P28), "\$([A-Z]+)\$[0-9]+"))),_xlfn.REGEXEXTRACT(CELL("address",P28), "\$([A-Z]+)\$[0-9]+"))</f>
        <v/>
      </c>
      <c r="Q28" s="7" t="str">
        <f t="array" aca="1" ref="Q28" ca="1">IFERROR(IF(OR('Raw Data'!Q28="",LEN(TRIM('Raw Data'!Q28))=0),"",IF(AND(ISNUMBER('Raw Data'!Q28), IFERROR('Raw Data'!Q28 = ROUND('Raw Data'!Q28, 2),FALSE)),"",_xlfn.REGEXEXTRACT(CELL("address",Q28), "\$([A-Z]+)\$[0-9]+"))),_xlfn.REGEXEXTRACT(CELL("address",Q28), "\$([A-Z]+)\$[0-9]+"))</f>
        <v/>
      </c>
      <c r="R28" s="7" t="str">
        <f t="array" aca="1" ref="R28" ca="1">IFERROR(IF(OR('Raw Data'!R28="",LEN(TRIM('Raw Data'!R28))=0),"",IF(AND(LEN('Raw Data'!R28) &lt;= 50,LEN('Raw Data'!R28)&gt; 0),"",_xlfn.REGEXEXTRACT(CELL("address",'Raw Data'!R28),"\$([A-Z]+)\$[0-9]+"))),_xlfn.REGEXEXTRACT(CELL("address",'Raw Data'!R28),"\$([A-Z]+)\$[0-9]+"))</f>
        <v/>
      </c>
      <c r="S28" s="7" t="str">
        <f t="array" aca="1" ref="S28" ca="1">IFERROR(IF(OR('Raw Data'!S28="",LEN(TRIM('Raw Data'!S28))=0),"",IF(AND(LEN('Raw Data'!S28) &lt;= 50,LEN('Raw Data'!S28)&gt; 0),"",_xlfn.REGEXEXTRACT(CELL("address",'Raw Data'!S28),"\$([A-Z]+)\$[0-9]+"))),_xlfn.REGEXEXTRACT(CELL("address",'Raw Data'!S28),"\$([A-Z]+)\$[0-9]+"))</f>
        <v/>
      </c>
      <c r="T28" s="7" t="str">
        <f t="array" aca="1" ref="T28" ca="1">IFERROR(IF(OR('Raw Data'!T28="",LEN(TRIM('Raw Data'!T28))=0),"",IF(AND(ISNUMBER('Raw Data'!T28), IFERROR('Raw Data'!T28 = ROUND('Raw Data'!T28, 2),FALSE)),"",_xlfn.REGEXEXTRACT(CELL("address",T28), "\$([A-Z]+)\$[0-9]+"))),_xlfn.REGEXEXTRACT(CELL("address",T28), "\$([A-Z]+)\$[0-9]+"))</f>
        <v/>
      </c>
      <c r="U28" s="7" t="str">
        <f t="array" aca="1" ref="U28" ca="1">IFERROR(IF(OR('Raw Data'!U28="",LEN(TRIM('Raw Data'!U28))=0),"",IF(AND(ISNUMBER('Raw Data'!U28), IFERROR('Raw Data'!U28 = ROUND('Raw Data'!U28, 2),FALSE)),"",_xlfn.REGEXEXTRACT(CELL("address",U28), "\$([A-Z]+)\$[0-9]+"))),_xlfn.REGEXEXTRACT(CELL("address",U28), "\$([A-Z]+)\$[0-9]+"))</f>
        <v/>
      </c>
      <c r="V28" s="7" t="str">
        <f t="array" aca="1" ref="V28" ca="1">IFERROR(IF(OR('Raw Data'!V28="",LEN(TRIM('Raw Data'!V28))=0),"",IF(AND(ISNUMBER('Raw Data'!V28), IFERROR('Raw Data'!V28 = ROUND('Raw Data'!V28, 2),FALSE)),"",_xlfn.REGEXEXTRACT(CELL("address",V28), "\$([A-Z]+)\$[0-9]+"))),_xlfn.REGEXEXTRACT(CELL("address",V28), "\$([A-Z]+)\$[0-9]+"))</f>
        <v/>
      </c>
      <c r="W28" s="7" t="str">
        <f t="array" aca="1" ref="W28" ca="1">IFERROR(IF(OR('Raw Data'!W28="",LEN(TRIM('Raw Data'!W28))=0),"",IF(AND(ISNUMBER('Raw Data'!W28), IFERROR('Raw Data'!W28 = ROUND('Raw Data'!W28, 2),FALSE)),"",_xlfn.REGEXEXTRACT(CELL("address",W28), "\$([A-Z]+)\$[0-9]+"))),_xlfn.REGEXEXTRACT(CELL("address",W28), "\$([A-Z]+)\$[0-9]+"))</f>
        <v/>
      </c>
      <c r="X28" s="7" t="str">
        <f t="array" aca="1" ref="X28" ca="1">IFERROR(IF(OR('Raw Data'!X28="",LEN(TRIM('Raw Data'!X28))=0),"",IF(AND(ISNUMBER('Raw Data'!X28), IFERROR('Raw Data'!X28 = ROUND('Raw Data'!X28, 2),FALSE)),"",_xlfn.REGEXEXTRACT(CELL("address",X28), "\$([A-Z]+)\$[0-9]+"))),_xlfn.REGEXEXTRACT(CELL("address",X28), "\$([A-Z]+)\$[0-9]+"))</f>
        <v/>
      </c>
      <c r="Y28" s="7" t="str">
        <f t="array" aca="1" ref="Y28" ca="1">IFERROR(IF(OR('Raw Data'!Y28="",LEN(TRIM('Raw Data'!Y28))=0),"",IF(AND(ISNUMBER('Raw Data'!Y28), IFERROR('Raw Data'!Y28 = ROUND('Raw Data'!Y28, 2),FALSE)),"",_xlfn.REGEXEXTRACT(CELL("address",Y28), "\$([A-Z]+)\$[0-9]+"))),_xlfn.REGEXEXTRACT(CELL("address",Y28), "\$([A-Z]+)\$[0-9]+"))</f>
        <v/>
      </c>
      <c r="Z28" s="7" t="str">
        <f t="array" aca="1" ref="Z28" ca="1">IFERROR(IF(OR('Raw Data'!Z28="",LEN(TRIM('Raw Data'!Z28))=0),"",IF(AND(ISNUMBER('Raw Data'!Z28), IFERROR('Raw Data'!Z28 = ROUND('Raw Data'!Z28, 2),FALSE)),"",_xlfn.REGEXEXTRACT(CELL("address",Z28), "\$([A-Z]+)\$[0-9]+"))),_xlfn.REGEXEXTRACT(CELL("address",Z28), "\$([A-Z]+)\$[0-9]+"))</f>
        <v/>
      </c>
      <c r="AA28" s="7" t="str">
        <f t="array" aca="1" ref="AA28" ca="1">IFERROR(IF(OR('Raw Data'!AA28="",LEN(TRIM('Raw Data'!AA28))=0),"",IF(AND(ISNUMBER('Raw Data'!AA28), IFERROR('Raw Data'!AA28 = ROUND('Raw Data'!AA28, 2),FALSE)),"",_xlfn.REGEXEXTRACT(CELL("address",AA28), "\$([A-Z]+)\$[0-9]+"))),_xlfn.REGEXEXTRACT(CELL("address",AA28), "\$([A-Z]+)\$[0-9]+"))</f>
        <v/>
      </c>
      <c r="AB28" s="7" t="str">
        <f t="array" aca="1" ref="AB28" ca="1">IFERROR(IF(OR('Raw Data'!AB28="",LEN(TRIM('Raw Data'!AB28))=0),"",IF(AND(ISNUMBER('Raw Data'!AB28), IFERROR('Raw Data'!AB28 = ROUND('Raw Data'!AB28, 2),FALSE)),"",_xlfn.REGEXEXTRACT(CELL("address",AB28), "\$([A-Z]+)\$[0-9]+"))),_xlfn.REGEXEXTRACT(CELL("address",AB28), "\$([A-Z]+)\$[0-9]+"))</f>
        <v/>
      </c>
      <c r="AC28" s="7" t="str">
        <f t="array" aca="1" ref="AC28" ca="1">IFERROR(IF(OR('Raw Data'!AC28="",LEN(TRIM('Raw Data'!AC28))=0),"",IF(AND(ISNUMBER('Raw Data'!AC28), IFERROR('Raw Data'!AC28 = ROUND('Raw Data'!AC28, 2),FALSE)),"",_xlfn.REGEXEXTRACT(CELL("address",AC28), "\$([A-Z]+)\$[0-9]+"))),_xlfn.REGEXEXTRACT(CELL("address",AC28), "\$([A-Z]+)\$[0-9]+"))</f>
        <v/>
      </c>
      <c r="AD28" s="7" t="str">
        <f t="array" aca="1" ref="AD28" ca="1">IFERROR(IF(OR('Raw Data'!AD28="",LEN(TRIM('Raw Data'!AD28))=0),"",IF(AND(ISNUMBER('Raw Data'!AD28), IFERROR('Raw Data'!AD28 = ROUND('Raw Data'!AD28, 2),FALSE)),"",_xlfn.REGEXEXTRACT(CELL("address",AD28), "\$([A-Z]+)\$[0-9]+"))),_xlfn.REGEXEXTRACT(CELL("address",AD28), "\$([A-Z]+)\$[0-9]+"))</f>
        <v/>
      </c>
      <c r="AE28" s="7" t="str">
        <f t="array" aca="1" ref="AE28" ca="1">IFERROR(IF(OR('Raw Data'!AE28="",LEN(TRIM('Raw Data'!AE28))=0),"",IF(AND(ISNUMBER('Raw Data'!AE28), IFERROR('Raw Data'!AE28 = ROUND('Raw Data'!AE28, 2),FALSE)),"",_xlfn.REGEXEXTRACT(CELL("address",AE28), "\$([A-Z]+)\$[0-9]+"))),_xlfn.REGEXEXTRACT(CELL("address",AE28), "\$([A-Z]+)\$[0-9]+"))</f>
        <v/>
      </c>
      <c r="AF28" s="7" t="str">
        <f t="array" aca="1" ref="AF28" ca="1">IFERROR(IF(OR('Raw Data'!AF28="",LEN(TRIM('Raw Data'!AF28))=0),"",IF(AND(ISNUMBER('Raw Data'!AF28), IFERROR('Raw Data'!AF28 = ROUND('Raw Data'!AF28, 2),FALSE)),"",_xlfn.REGEXEXTRACT(CELL("address",AF28), "\$([A-Z]+)\$[0-9]+"))),_xlfn.REGEXEXTRACT(CELL("address",AF28), "\$([A-Z]+)\$[0-9]+"))</f>
        <v/>
      </c>
      <c r="AG28" s="7" t="str">
        <f t="array" aca="1" ref="AG28" ca="1">IFERROR(IF(OR('Raw Data'!AG28="",LEN(TRIM('Raw Data'!AG28))=0),"",IF(AND(ISNUMBER('Raw Data'!AG28), IFERROR('Raw Data'!AG28 = ROUND('Raw Data'!AG28, 2),FALSE)),"",_xlfn.REGEXEXTRACT(CELL("address",AG28), "\$([A-Z]+)\$[0-9]+"))),_xlfn.REGEXEXTRACT(CELL("address",AG28), "\$([A-Z]+)\$[0-9]+"))</f>
        <v/>
      </c>
      <c r="AH28" s="7" t="str">
        <f t="array" aca="1" ref="AH28" ca="1">IFERROR(IF(OR('Raw Data'!AH28="",LEN(TRIM('Raw Data'!AH28))=0),"",IF(AND(ISNUMBER('Raw Data'!AH28), IFERROR('Raw Data'!AH28 = ROUND('Raw Data'!AH28, 2),FALSE)),"",_xlfn.REGEXEXTRACT(CELL("address",AH28), "\$([A-Z]+)\$[0-9]+"))),_xlfn.REGEXEXTRACT(CELL("address",AH28), "\$([A-Z]+)\$[0-9]+"))</f>
        <v/>
      </c>
      <c r="AI28" s="7" t="str">
        <f t="array" aca="1" ref="AI28" ca="1">IFERROR(IF(OR('Raw Data'!AI28="",LEN(TRIM('Raw Data'!AI28))=0),"",IF(AND(ISNUMBER('Raw Data'!AI28), IFERROR('Raw Data'!AI28 = ROUND('Raw Data'!AI28, 2),FALSE)),"",_xlfn.REGEXEXTRACT(CELL("address",AI28), "\$([A-Z]+)\$[0-9]+"))),_xlfn.REGEXEXTRACT(CELL("address",AI28), "\$([A-Z]+)\$[0-9]+"))</f>
        <v/>
      </c>
      <c r="AJ28" s="7" t="str">
        <f t="array" aca="1" ref="AJ28" ca="1">IFERROR(IF(OR('Raw Data'!AJ28="",LEN(TRIM('Raw Data'!AJ28))=0),"",IF(AND(ISNUMBER('Raw Data'!AJ28), IFERROR('Raw Data'!AJ28 = ROUND('Raw Data'!AJ28, 4),FALSE)),"",_xlfn.REGEXEXTRACT(CELL("address",AJ28), "\$([A-Z]+)\$[0-9]+"))),_xlfn.REGEXEXTRACT(CELL("address",AJ28), "\$([A-Z]+)\$[0-9]+"))</f>
        <v/>
      </c>
      <c r="AK28" s="7" t="str">
        <f t="array" aca="1" ref="AK28" ca="1">IFERROR(IF(OR('Raw Data'!AK28="",LEN(TRIM('Raw Data'!AK28))=0),"",IF(AND(ISNUMBER('Raw Data'!AK28), IFERROR('Raw Data'!AK28 = ROUND('Raw Data'!AK28, 2),FALSE)),"",_xlfn.REGEXEXTRACT(CELL("address",AK28), "\$([A-Z]+)\$[0-9]+"))),_xlfn.REGEXEXTRACT(CELL("address",AK28), "\$([A-Z]+)\$[0-9]+"))</f>
        <v/>
      </c>
      <c r="AL28" s="7" t="str">
        <f t="array" aca="1" ref="AL28" ca="1">IFERROR(IF(OR('Raw Data'!AL28="",LEN(TRIM('Raw Data'!AL28))=0),"",IF(AND(ISNUMBER('Raw Data'!AL28), IFERROR('Raw Data'!AL28 = ROUND('Raw Data'!AL28, 2),FALSE)),"",_xlfn.REGEXEXTRACT(CELL("address",AL28), "\$([A-Z]+)\$[0-9]+"))),_xlfn.REGEXEXTRACT(CELL("address",AL28), "\$([A-Z]+)\$[0-9]+"))</f>
        <v/>
      </c>
      <c r="AM28" s="7" t="str">
        <f t="array" aca="1" ref="AM28" ca="1">IFERROR(IF(OR('Raw Data'!AM28="",LEN(TRIM('Raw Data'!AM28))=0),"",IF(AND(ISNUMBER('Raw Data'!AM28), IFERROR('Raw Data'!AM28 = ROUND('Raw Data'!AM28, 2),FALSE)),"",_xlfn.REGEXEXTRACT(CELL("address",AM28), "\$([A-Z]+)\$[0-9]+"))),_xlfn.REGEXEXTRACT(CELL("address",AM28), "\$([A-Z]+)\$[0-9]+"))</f>
        <v/>
      </c>
      <c r="AN28" s="7" t="str">
        <f t="array" aca="1" ref="AN28" ca="1">IFERROR(IF(OR('Raw Data'!AN28="",LEN(TRIM('Raw Data'!AN28))=0),"",IF(AND(ISNUMBER('Raw Data'!AN28), IFERROR('Raw Data'!AN28 = ROUND('Raw Data'!AN28, 2),FALSE)),"",_xlfn.REGEXEXTRACT(CELL("address",AN28), "\$([A-Z]+)\$[0-9]+"))),_xlfn.REGEXEXTRACT(CELL("address",AN28), "\$([A-Z]+)\$[0-9]+"))</f>
        <v/>
      </c>
      <c r="AO28" s="7" t="str">
        <f t="array" aca="1" ref="AO28" ca="1">IFERROR(IF(OR('Raw Data'!AO28="",LEN(TRIM('Raw Data'!AO28))=0),"",IF(AND(ISNUMBER('Raw Data'!AO28), IFERROR('Raw Data'!AO28 = ROUND('Raw Data'!AO28, 2),FALSE)),"",_xlfn.REGEXEXTRACT(CELL("address",AO28), "\$([A-Z]+)\$[0-9]+"))),_xlfn.REGEXEXTRACT(CELL("address",AO28), "\$([A-Z]+)\$[0-9]+"))</f>
        <v/>
      </c>
      <c r="AP28" s="7" t="str">
        <f t="array" aca="1" ref="AP28" ca="1">IFERROR(IF(OR('Raw Data'!AP28="",LEN(TRIM('Raw Data'!AP28))=0),"",IF(AND(ISNUMBER('Raw Data'!AP28), IFERROR('Raw Data'!AP28 = ROUND('Raw Data'!AP28, 2),FALSE)),"",_xlfn.REGEXEXTRACT(CELL("address",AP28), "\$([A-Z]+)\$[0-9]+"))),_xlfn.REGEXEXTRACT(CELL("address",AP28), "\$([A-Z]+)\$[0-9]+"))</f>
        <v/>
      </c>
    </row>
    <row r="29" spans="2:42" x14ac:dyDescent="0.25">
      <c r="B29" s="7" t="str">
        <f t="array" aca="1" ref="B29" ca="1">IFERROR(IF(OR('Raw Data'!B29="",LEN(TRIM('Raw Data'!B29))=0),"",IF(AND(LEN('Raw Data'!B29) &lt;= 255,LEN('Raw Data'!B29)&gt; 0),"",_xlfn.REGEXEXTRACT(CELL("address",'Raw Data'!B29),"\$([A-Z]+)\$[0-9]+"))),_xlfn.REGEXEXTRACT(CELL("address",'Raw Data'!B29),"\$([A-Z]+)\$[0-9]+"))</f>
        <v/>
      </c>
      <c r="C29" s="7" t="str">
        <f t="array" aca="1" ref="C29" ca="1">IFERROR(IF(OR('Raw Data'!C29="",LEN(TRIM('Raw Data'!C29))=0),"",IF(AND(LEN('Raw Data'!C29) &lt;= 50,LEN('Raw Data'!C29)&gt; 0),"",_xlfn.REGEXEXTRACT(CELL("address",'Raw Data'!C29),"\$([A-Z]+)\$[0-9]+"))),_xlfn.REGEXEXTRACT(CELL("address",'Raw Data'!C29),"\$([A-Z]+)\$[0-9]+"))</f>
        <v/>
      </c>
      <c r="D29" s="7" t="str">
        <f t="array" aca="1" ref="D29" ca="1">IFERROR(IF(OR('Raw Data'!D29="",LEN(TRIM('Raw Data'!D29))=0),"",IF(AND(LEN('Raw Data'!D29) &lt;= 500,LEN('Raw Data'!D29)&gt; 0),"",_xlfn.REGEXEXTRACT(CELL("address",'Raw Data'!D29),"\$([A-Z]+)\$[0-9]+"))),_xlfn.REGEXEXTRACT(CELL("address",'Raw Data'!D29),"\$([A-Z]+)\$[0-9]+"))</f>
        <v/>
      </c>
      <c r="E29" s="7" t="str">
        <f t="array" aca="1" ref="E29" ca="1">IFERROR(IF(OR('Raw Data'!E29="",LEN(TRIM('Raw Data'!E29))=0),"",IF(AND(LEN('Raw Data'!E29) &lt;= 50,LEN('Raw Data'!E29)&gt; 0),"",_xlfn.REGEXEXTRACT(CELL("address",'Raw Data'!E29),"\$([A-Z]+)\$[0-9]+"))),_xlfn.REGEXEXTRACT(CELL("address",'Raw Data'!E29),"\$([A-Z]+)\$[0-9]+"))</f>
        <v/>
      </c>
      <c r="F29" s="7" t="str">
        <f t="array" aca="1" ref="F29" ca="1">IFERROR(IF(OR('Raw Data'!F29="",LEN(TRIM('Raw Data'!F29))=0),"",IF(AND(LEN('Raw Data'!F29) &lt;= 50,LEN('Raw Data'!F29)&gt; 0),"",_xlfn.REGEXEXTRACT(CELL("address",'Raw Data'!F29),"\$([A-Z]+)\$[0-9]+"))),_xlfn.REGEXEXTRACT(CELL("address",'Raw Data'!F29),"\$([A-Z]+)\$[0-9]+"))</f>
        <v/>
      </c>
      <c r="G29" s="7" t="str">
        <f t="array" aca="1" ref="G29" ca="1">IFERROR(IF(OR('Raw Data'!G29="",LEN(TRIM('Raw Data'!G29))=0),"",IF(AND(LEN('Raw Data'!G29) &lt;= 50,LEN('Raw Data'!G29)&gt; 0),"",_xlfn.REGEXEXTRACT(CELL("address",'Raw Data'!G29),"\$([A-Z]+)\$[0-9]+"))),_xlfn.REGEXEXTRACT(CELL("address",'Raw Data'!G29),"\$([A-Z]+)\$[0-9]+"))</f>
        <v/>
      </c>
      <c r="H29" s="7" t="str">
        <f t="array" aca="1" ref="H29" ca="1">IFERROR(IF(OR('Raw Data'!H29="",LEN(TRIM('Raw Data'!H29))=0),"",IF(AND(LEN('Raw Data'!H29) &lt;= 50,LEN('Raw Data'!H29)&gt; 0),"",_xlfn.REGEXEXTRACT(CELL("address",'Raw Data'!H29),"\$([A-Z]+)\$[0-9]+"))),_xlfn.REGEXEXTRACT(CELL("address",'Raw Data'!H29),"\$([A-Z]+)\$[0-9]+"))</f>
        <v/>
      </c>
      <c r="I29" s="7" t="str">
        <f t="array" aca="1" ref="I29" ca="1">IFERROR(IF(OR('Raw Data'!I29="",LEN(TRIM('Raw Data'!I29))=0),"",IF(AND(LEN('Raw Data'!I29) &lt;= 50,LEN('Raw Data'!I29)&gt; 0),"",_xlfn.REGEXEXTRACT(CELL("address",'Raw Data'!I29),"\$([A-Z]+)\$[0-9]+"))),_xlfn.REGEXEXTRACT(CELL("address",'Raw Data'!I29),"\$([A-Z]+)\$[0-9]+"))</f>
        <v/>
      </c>
      <c r="J29" s="7" t="str">
        <f t="array" aca="1" ref="J29" ca="1">IFERROR(IF(OR('Raw Data'!J29="",LEN(TRIM('Raw Data'!J29))=0),"",IF(AND(ISNUMBER('Raw Data'!J29), IFERROR('Raw Data'!J29 = ROUND('Raw Data'!J29, 2),FALSE)),"",_xlfn.REGEXEXTRACT(CELL("address",J29), "\$([A-Z]+)\$[0-9]+"))),_xlfn.REGEXEXTRACT(CELL("address",J29), "\$([A-Z]+)\$[0-9]+"))</f>
        <v/>
      </c>
      <c r="K29" s="7" t="str">
        <f t="array" aca="1" ref="K29" ca="1">IFERROR(IF(OR('Raw Data'!K29="",LEN(TRIM('Raw Data'!K29))=0),"",IF(AND(ISNUMBER('Raw Data'!K29), IFERROR('Raw Data'!K29 = ROUND('Raw Data'!K29, 2),FALSE)),"",_xlfn.REGEXEXTRACT(CELL("address",K29), "\$([A-Z]+)\$[0-9]+"))),_xlfn.REGEXEXTRACT(CELL("address",K29), "\$([A-Z]+)\$[0-9]+"))</f>
        <v/>
      </c>
      <c r="L29" s="7" t="str">
        <f t="array" aca="1" ref="L29" ca="1">IFERROR(IF(OR('Raw Data'!L29="",LEN(TRIM('Raw Data'!L29))=0),"",IF(AND(ISNUMBER('Raw Data'!L29), IFERROR('Raw Data'!L29 = ROUND('Raw Data'!L29, 2),FALSE)),"",_xlfn.REGEXEXTRACT(CELL("address",L29), "\$([A-Z]+)\$[0-9]+"))),_xlfn.REGEXEXTRACT(CELL("address",L29), "\$([A-Z]+)\$[0-9]+"))</f>
        <v/>
      </c>
      <c r="M29" s="7" t="str">
        <f t="array" aca="1" ref="M29" ca="1">IFERROR(IF(OR('Raw Data'!M29="",LEN(TRIM('Raw Data'!M29))=0),"",IF(AND(ISNUMBER('Raw Data'!M29), IFERROR('Raw Data'!M29 = ROUND('Raw Data'!M29, 2),FALSE)),"",_xlfn.REGEXEXTRACT(CELL("address",M29), "\$([A-Z]+)\$[0-9]+"))),_xlfn.REGEXEXTRACT(CELL("address",M29), "\$([A-Z]+)\$[0-9]+"))</f>
        <v/>
      </c>
      <c r="N29" s="7" t="str">
        <f t="array" aca="1" ref="N29" ca="1">IFERROR(IF(OR('Raw Data'!N29="",LEN(TRIM('Raw Data'!N29))=0),"",IF(AND(ISNUMBER('Raw Data'!N29), IFERROR('Raw Data'!N29 = ROUND('Raw Data'!N29, 2),FALSE)),"",_xlfn.REGEXEXTRACT(CELL("address",N29), "\$([A-Z]+)\$[0-9]+"))),_xlfn.REGEXEXTRACT(CELL("address",N29), "\$([A-Z]+)\$[0-9]+"))</f>
        <v/>
      </c>
      <c r="O29" s="7" t="str">
        <f t="array" aca="1" ref="O29" ca="1">IFERROR(IF(OR('Raw Data'!O29="",LEN(TRIM('Raw Data'!O29))=0),"",IF(AND(ISNUMBER('Raw Data'!O29),'Raw Data'!O29&gt;=Configuration!$D$2),"",_xlfn.REGEXEXTRACT(CELL("address",'Raw Data'!O29),"\$([A-Z]+)\$[0-9]+"))),_xlfn.REGEXEXTRACT(CELL("address",O29), "\$([A-Z]+)\$[0-9]+"))</f>
        <v/>
      </c>
      <c r="P29" s="7" t="str">
        <f t="array" aca="1" ref="P29" ca="1">IFERROR(IF(OR('Raw Data'!P29="",LEN(TRIM('Raw Data'!P29))=0),"",IF(AND(ISNUMBER('Raw Data'!P29), IFERROR('Raw Data'!P29 = ROUND('Raw Data'!P29, 2),FALSE)),"",_xlfn.REGEXEXTRACT(CELL("address",P29), "\$([A-Z]+)\$[0-9]+"))),_xlfn.REGEXEXTRACT(CELL("address",P29), "\$([A-Z]+)\$[0-9]+"))</f>
        <v/>
      </c>
      <c r="Q29" s="7" t="str">
        <f t="array" aca="1" ref="Q29" ca="1">IFERROR(IF(OR('Raw Data'!Q29="",LEN(TRIM('Raw Data'!Q29))=0),"",IF(AND(ISNUMBER('Raw Data'!Q29), IFERROR('Raw Data'!Q29 = ROUND('Raw Data'!Q29, 2),FALSE)),"",_xlfn.REGEXEXTRACT(CELL("address",Q29), "\$([A-Z]+)\$[0-9]+"))),_xlfn.REGEXEXTRACT(CELL("address",Q29), "\$([A-Z]+)\$[0-9]+"))</f>
        <v/>
      </c>
      <c r="R29" s="7" t="str">
        <f t="array" aca="1" ref="R29" ca="1">IFERROR(IF(OR('Raw Data'!R29="",LEN(TRIM('Raw Data'!R29))=0),"",IF(AND(LEN('Raw Data'!R29) &lt;= 50,LEN('Raw Data'!R29)&gt; 0),"",_xlfn.REGEXEXTRACT(CELL("address",'Raw Data'!R29),"\$([A-Z]+)\$[0-9]+"))),_xlfn.REGEXEXTRACT(CELL("address",'Raw Data'!R29),"\$([A-Z]+)\$[0-9]+"))</f>
        <v/>
      </c>
      <c r="S29" s="7" t="str">
        <f t="array" aca="1" ref="S29" ca="1">IFERROR(IF(OR('Raw Data'!S29="",LEN(TRIM('Raw Data'!S29))=0),"",IF(AND(LEN('Raw Data'!S29) &lt;= 50,LEN('Raw Data'!S29)&gt; 0),"",_xlfn.REGEXEXTRACT(CELL("address",'Raw Data'!S29),"\$([A-Z]+)\$[0-9]+"))),_xlfn.REGEXEXTRACT(CELL("address",'Raw Data'!S29),"\$([A-Z]+)\$[0-9]+"))</f>
        <v/>
      </c>
      <c r="T29" s="7" t="str">
        <f t="array" aca="1" ref="T29" ca="1">IFERROR(IF(OR('Raw Data'!T29="",LEN(TRIM('Raw Data'!T29))=0),"",IF(AND(ISNUMBER('Raw Data'!T29), IFERROR('Raw Data'!T29 = ROUND('Raw Data'!T29, 2),FALSE)),"",_xlfn.REGEXEXTRACT(CELL("address",T29), "\$([A-Z]+)\$[0-9]+"))),_xlfn.REGEXEXTRACT(CELL("address",T29), "\$([A-Z]+)\$[0-9]+"))</f>
        <v/>
      </c>
      <c r="U29" s="7" t="str">
        <f t="array" aca="1" ref="U29" ca="1">IFERROR(IF(OR('Raw Data'!U29="",LEN(TRIM('Raw Data'!U29))=0),"",IF(AND(ISNUMBER('Raw Data'!U29), IFERROR('Raw Data'!U29 = ROUND('Raw Data'!U29, 2),FALSE)),"",_xlfn.REGEXEXTRACT(CELL("address",U29), "\$([A-Z]+)\$[0-9]+"))),_xlfn.REGEXEXTRACT(CELL("address",U29), "\$([A-Z]+)\$[0-9]+"))</f>
        <v/>
      </c>
      <c r="V29" s="7" t="str">
        <f t="array" aca="1" ref="V29" ca="1">IFERROR(IF(OR('Raw Data'!V29="",LEN(TRIM('Raw Data'!V29))=0),"",IF(AND(ISNUMBER('Raw Data'!V29), IFERROR('Raw Data'!V29 = ROUND('Raw Data'!V29, 2),FALSE)),"",_xlfn.REGEXEXTRACT(CELL("address",V29), "\$([A-Z]+)\$[0-9]+"))),_xlfn.REGEXEXTRACT(CELL("address",V29), "\$([A-Z]+)\$[0-9]+"))</f>
        <v/>
      </c>
      <c r="W29" s="7" t="str">
        <f t="array" aca="1" ref="W29" ca="1">IFERROR(IF(OR('Raw Data'!W29="",LEN(TRIM('Raw Data'!W29))=0),"",IF(AND(ISNUMBER('Raw Data'!W29), IFERROR('Raw Data'!W29 = ROUND('Raw Data'!W29, 2),FALSE)),"",_xlfn.REGEXEXTRACT(CELL("address",W29), "\$([A-Z]+)\$[0-9]+"))),_xlfn.REGEXEXTRACT(CELL("address",W29), "\$([A-Z]+)\$[0-9]+"))</f>
        <v/>
      </c>
      <c r="X29" s="7" t="str">
        <f t="array" aca="1" ref="X29" ca="1">IFERROR(IF(OR('Raw Data'!X29="",LEN(TRIM('Raw Data'!X29))=0),"",IF(AND(ISNUMBER('Raw Data'!X29), IFERROR('Raw Data'!X29 = ROUND('Raw Data'!X29, 2),FALSE)),"",_xlfn.REGEXEXTRACT(CELL("address",X29), "\$([A-Z]+)\$[0-9]+"))),_xlfn.REGEXEXTRACT(CELL("address",X29), "\$([A-Z]+)\$[0-9]+"))</f>
        <v/>
      </c>
      <c r="Y29" s="7" t="str">
        <f t="array" aca="1" ref="Y29" ca="1">IFERROR(IF(OR('Raw Data'!Y29="",LEN(TRIM('Raw Data'!Y29))=0),"",IF(AND(ISNUMBER('Raw Data'!Y29), IFERROR('Raw Data'!Y29 = ROUND('Raw Data'!Y29, 2),FALSE)),"",_xlfn.REGEXEXTRACT(CELL("address",Y29), "\$([A-Z]+)\$[0-9]+"))),_xlfn.REGEXEXTRACT(CELL("address",Y29), "\$([A-Z]+)\$[0-9]+"))</f>
        <v/>
      </c>
      <c r="Z29" s="7" t="str">
        <f t="array" aca="1" ref="Z29" ca="1">IFERROR(IF(OR('Raw Data'!Z29="",LEN(TRIM('Raw Data'!Z29))=0),"",IF(AND(ISNUMBER('Raw Data'!Z29), IFERROR('Raw Data'!Z29 = ROUND('Raw Data'!Z29, 2),FALSE)),"",_xlfn.REGEXEXTRACT(CELL("address",Z29), "\$([A-Z]+)\$[0-9]+"))),_xlfn.REGEXEXTRACT(CELL("address",Z29), "\$([A-Z]+)\$[0-9]+"))</f>
        <v/>
      </c>
      <c r="AA29" s="7" t="str">
        <f t="array" aca="1" ref="AA29" ca="1">IFERROR(IF(OR('Raw Data'!AA29="",LEN(TRIM('Raw Data'!AA29))=0),"",IF(AND(ISNUMBER('Raw Data'!AA29), IFERROR('Raw Data'!AA29 = ROUND('Raw Data'!AA29, 2),FALSE)),"",_xlfn.REGEXEXTRACT(CELL("address",AA29), "\$([A-Z]+)\$[0-9]+"))),_xlfn.REGEXEXTRACT(CELL("address",AA29), "\$([A-Z]+)\$[0-9]+"))</f>
        <v/>
      </c>
      <c r="AB29" s="7" t="str">
        <f t="array" aca="1" ref="AB29" ca="1">IFERROR(IF(OR('Raw Data'!AB29="",LEN(TRIM('Raw Data'!AB29))=0),"",IF(AND(ISNUMBER('Raw Data'!AB29), IFERROR('Raw Data'!AB29 = ROUND('Raw Data'!AB29, 2),FALSE)),"",_xlfn.REGEXEXTRACT(CELL("address",AB29), "\$([A-Z]+)\$[0-9]+"))),_xlfn.REGEXEXTRACT(CELL("address",AB29), "\$([A-Z]+)\$[0-9]+"))</f>
        <v/>
      </c>
      <c r="AC29" s="7" t="str">
        <f t="array" aca="1" ref="AC29" ca="1">IFERROR(IF(OR('Raw Data'!AC29="",LEN(TRIM('Raw Data'!AC29))=0),"",IF(AND(ISNUMBER('Raw Data'!AC29), IFERROR('Raw Data'!AC29 = ROUND('Raw Data'!AC29, 2),FALSE)),"",_xlfn.REGEXEXTRACT(CELL("address",AC29), "\$([A-Z]+)\$[0-9]+"))),_xlfn.REGEXEXTRACT(CELL("address",AC29), "\$([A-Z]+)\$[0-9]+"))</f>
        <v/>
      </c>
      <c r="AD29" s="7" t="str">
        <f t="array" aca="1" ref="AD29" ca="1">IFERROR(IF(OR('Raw Data'!AD29="",LEN(TRIM('Raw Data'!AD29))=0),"",IF(AND(ISNUMBER('Raw Data'!AD29), IFERROR('Raw Data'!AD29 = ROUND('Raw Data'!AD29, 2),FALSE)),"",_xlfn.REGEXEXTRACT(CELL("address",AD29), "\$([A-Z]+)\$[0-9]+"))),_xlfn.REGEXEXTRACT(CELL("address",AD29), "\$([A-Z]+)\$[0-9]+"))</f>
        <v/>
      </c>
      <c r="AE29" s="7" t="str">
        <f t="array" aca="1" ref="AE29" ca="1">IFERROR(IF(OR('Raw Data'!AE29="",LEN(TRIM('Raw Data'!AE29))=0),"",IF(AND(ISNUMBER('Raw Data'!AE29), IFERROR('Raw Data'!AE29 = ROUND('Raw Data'!AE29, 2),FALSE)),"",_xlfn.REGEXEXTRACT(CELL("address",AE29), "\$([A-Z]+)\$[0-9]+"))),_xlfn.REGEXEXTRACT(CELL("address",AE29), "\$([A-Z]+)\$[0-9]+"))</f>
        <v/>
      </c>
      <c r="AF29" s="7" t="str">
        <f t="array" aca="1" ref="AF29" ca="1">IFERROR(IF(OR('Raw Data'!AF29="",LEN(TRIM('Raw Data'!AF29))=0),"",IF(AND(ISNUMBER('Raw Data'!AF29), IFERROR('Raw Data'!AF29 = ROUND('Raw Data'!AF29, 2),FALSE)),"",_xlfn.REGEXEXTRACT(CELL("address",AF29), "\$([A-Z]+)\$[0-9]+"))),_xlfn.REGEXEXTRACT(CELL("address",AF29), "\$([A-Z]+)\$[0-9]+"))</f>
        <v/>
      </c>
      <c r="AG29" s="7" t="str">
        <f t="array" aca="1" ref="AG29" ca="1">IFERROR(IF(OR('Raw Data'!AG29="",LEN(TRIM('Raw Data'!AG29))=0),"",IF(AND(ISNUMBER('Raw Data'!AG29), IFERROR('Raw Data'!AG29 = ROUND('Raw Data'!AG29, 2),FALSE)),"",_xlfn.REGEXEXTRACT(CELL("address",AG29), "\$([A-Z]+)\$[0-9]+"))),_xlfn.REGEXEXTRACT(CELL("address",AG29), "\$([A-Z]+)\$[0-9]+"))</f>
        <v/>
      </c>
      <c r="AH29" s="7" t="str">
        <f t="array" aca="1" ref="AH29" ca="1">IFERROR(IF(OR('Raw Data'!AH29="",LEN(TRIM('Raw Data'!AH29))=0),"",IF(AND(ISNUMBER('Raw Data'!AH29), IFERROR('Raw Data'!AH29 = ROUND('Raw Data'!AH29, 2),FALSE)),"",_xlfn.REGEXEXTRACT(CELL("address",AH29), "\$([A-Z]+)\$[0-9]+"))),_xlfn.REGEXEXTRACT(CELL("address",AH29), "\$([A-Z]+)\$[0-9]+"))</f>
        <v/>
      </c>
      <c r="AI29" s="7" t="str">
        <f t="array" aca="1" ref="AI29" ca="1">IFERROR(IF(OR('Raw Data'!AI29="",LEN(TRIM('Raw Data'!AI29))=0),"",IF(AND(ISNUMBER('Raw Data'!AI29), IFERROR('Raw Data'!AI29 = ROUND('Raw Data'!AI29, 2),FALSE)),"",_xlfn.REGEXEXTRACT(CELL("address",AI29), "\$([A-Z]+)\$[0-9]+"))),_xlfn.REGEXEXTRACT(CELL("address",AI29), "\$([A-Z]+)\$[0-9]+"))</f>
        <v/>
      </c>
      <c r="AJ29" s="7" t="str">
        <f t="array" aca="1" ref="AJ29" ca="1">IFERROR(IF(OR('Raw Data'!AJ29="",LEN(TRIM('Raw Data'!AJ29))=0),"",IF(AND(ISNUMBER('Raw Data'!AJ29), IFERROR('Raw Data'!AJ29 = ROUND('Raw Data'!AJ29, 4),FALSE)),"",_xlfn.REGEXEXTRACT(CELL("address",AJ29), "\$([A-Z]+)\$[0-9]+"))),_xlfn.REGEXEXTRACT(CELL("address",AJ29), "\$([A-Z]+)\$[0-9]+"))</f>
        <v/>
      </c>
      <c r="AK29" s="7" t="str">
        <f t="array" aca="1" ref="AK29" ca="1">IFERROR(IF(OR('Raw Data'!AK29="",LEN(TRIM('Raw Data'!AK29))=0),"",IF(AND(ISNUMBER('Raw Data'!AK29), IFERROR('Raw Data'!AK29 = ROUND('Raw Data'!AK29, 2),FALSE)),"",_xlfn.REGEXEXTRACT(CELL("address",AK29), "\$([A-Z]+)\$[0-9]+"))),_xlfn.REGEXEXTRACT(CELL("address",AK29), "\$([A-Z]+)\$[0-9]+"))</f>
        <v/>
      </c>
      <c r="AL29" s="7" t="str">
        <f t="array" aca="1" ref="AL29" ca="1">IFERROR(IF(OR('Raw Data'!AL29="",LEN(TRIM('Raw Data'!AL29))=0),"",IF(AND(ISNUMBER('Raw Data'!AL29), IFERROR('Raw Data'!AL29 = ROUND('Raw Data'!AL29, 2),FALSE)),"",_xlfn.REGEXEXTRACT(CELL("address",AL29), "\$([A-Z]+)\$[0-9]+"))),_xlfn.REGEXEXTRACT(CELL("address",AL29), "\$([A-Z]+)\$[0-9]+"))</f>
        <v/>
      </c>
      <c r="AM29" s="7" t="str">
        <f t="array" aca="1" ref="AM29" ca="1">IFERROR(IF(OR('Raw Data'!AM29="",LEN(TRIM('Raw Data'!AM29))=0),"",IF(AND(ISNUMBER('Raw Data'!AM29), IFERROR('Raw Data'!AM29 = ROUND('Raw Data'!AM29, 2),FALSE)),"",_xlfn.REGEXEXTRACT(CELL("address",AM29), "\$([A-Z]+)\$[0-9]+"))),_xlfn.REGEXEXTRACT(CELL("address",AM29), "\$([A-Z]+)\$[0-9]+"))</f>
        <v/>
      </c>
      <c r="AN29" s="7" t="str">
        <f t="array" aca="1" ref="AN29" ca="1">IFERROR(IF(OR('Raw Data'!AN29="",LEN(TRIM('Raw Data'!AN29))=0),"",IF(AND(ISNUMBER('Raw Data'!AN29), IFERROR('Raw Data'!AN29 = ROUND('Raw Data'!AN29, 2),FALSE)),"",_xlfn.REGEXEXTRACT(CELL("address",AN29), "\$([A-Z]+)\$[0-9]+"))),_xlfn.REGEXEXTRACT(CELL("address",AN29), "\$([A-Z]+)\$[0-9]+"))</f>
        <v/>
      </c>
      <c r="AO29" s="7" t="str">
        <f t="array" aca="1" ref="AO29" ca="1">IFERROR(IF(OR('Raw Data'!AO29="",LEN(TRIM('Raw Data'!AO29))=0),"",IF(AND(ISNUMBER('Raw Data'!AO29), IFERROR('Raw Data'!AO29 = ROUND('Raw Data'!AO29, 2),FALSE)),"",_xlfn.REGEXEXTRACT(CELL("address",AO29), "\$([A-Z]+)\$[0-9]+"))),_xlfn.REGEXEXTRACT(CELL("address",AO29), "\$([A-Z]+)\$[0-9]+"))</f>
        <v/>
      </c>
      <c r="AP29" s="7" t="str">
        <f t="array" aca="1" ref="AP29" ca="1">IFERROR(IF(OR('Raw Data'!AP29="",LEN(TRIM('Raw Data'!AP29))=0),"",IF(AND(ISNUMBER('Raw Data'!AP29), IFERROR('Raw Data'!AP29 = ROUND('Raw Data'!AP29, 2),FALSE)),"",_xlfn.REGEXEXTRACT(CELL("address",AP29), "\$([A-Z]+)\$[0-9]+"))),_xlfn.REGEXEXTRACT(CELL("address",AP29), "\$([A-Z]+)\$[0-9]+"))</f>
        <v/>
      </c>
    </row>
    <row r="30" spans="2:42" x14ac:dyDescent="0.25">
      <c r="B30" s="7" t="str">
        <f t="array" aca="1" ref="B30" ca="1">IFERROR(IF(OR('Raw Data'!B30="",LEN(TRIM('Raw Data'!B30))=0),"",IF(AND(LEN('Raw Data'!B30) &lt;= 255,LEN('Raw Data'!B30)&gt; 0),"",_xlfn.REGEXEXTRACT(CELL("address",'Raw Data'!B30),"\$([A-Z]+)\$[0-9]+"))),_xlfn.REGEXEXTRACT(CELL("address",'Raw Data'!B30),"\$([A-Z]+)\$[0-9]+"))</f>
        <v/>
      </c>
      <c r="C30" s="7" t="str">
        <f t="array" aca="1" ref="C30" ca="1">IFERROR(IF(OR('Raw Data'!C30="",LEN(TRIM('Raw Data'!C30))=0),"",IF(AND(LEN('Raw Data'!C30) &lt;= 50,LEN('Raw Data'!C30)&gt; 0),"",_xlfn.REGEXEXTRACT(CELL("address",'Raw Data'!C30),"\$([A-Z]+)\$[0-9]+"))),_xlfn.REGEXEXTRACT(CELL("address",'Raw Data'!C30),"\$([A-Z]+)\$[0-9]+"))</f>
        <v/>
      </c>
      <c r="D30" s="7" t="str">
        <f t="array" aca="1" ref="D30" ca="1">IFERROR(IF(OR('Raw Data'!D30="",LEN(TRIM('Raw Data'!D30))=0),"",IF(AND(LEN('Raw Data'!D30) &lt;= 500,LEN('Raw Data'!D30)&gt; 0),"",_xlfn.REGEXEXTRACT(CELL("address",'Raw Data'!D30),"\$([A-Z]+)\$[0-9]+"))),_xlfn.REGEXEXTRACT(CELL("address",'Raw Data'!D30),"\$([A-Z]+)\$[0-9]+"))</f>
        <v/>
      </c>
      <c r="E30" s="7" t="str">
        <f t="array" aca="1" ref="E30" ca="1">IFERROR(IF(OR('Raw Data'!E30="",LEN(TRIM('Raw Data'!E30))=0),"",IF(AND(LEN('Raw Data'!E30) &lt;= 50,LEN('Raw Data'!E30)&gt; 0),"",_xlfn.REGEXEXTRACT(CELL("address",'Raw Data'!E30),"\$([A-Z]+)\$[0-9]+"))),_xlfn.REGEXEXTRACT(CELL("address",'Raw Data'!E30),"\$([A-Z]+)\$[0-9]+"))</f>
        <v/>
      </c>
      <c r="F30" s="7" t="str">
        <f t="array" aca="1" ref="F30" ca="1">IFERROR(IF(OR('Raw Data'!F30="",LEN(TRIM('Raw Data'!F30))=0),"",IF(AND(LEN('Raw Data'!F30) &lt;= 50,LEN('Raw Data'!F30)&gt; 0),"",_xlfn.REGEXEXTRACT(CELL("address",'Raw Data'!F30),"\$([A-Z]+)\$[0-9]+"))),_xlfn.REGEXEXTRACT(CELL("address",'Raw Data'!F30),"\$([A-Z]+)\$[0-9]+"))</f>
        <v/>
      </c>
      <c r="G30" s="7" t="str">
        <f t="array" aca="1" ref="G30" ca="1">IFERROR(IF(OR('Raw Data'!G30="",LEN(TRIM('Raw Data'!G30))=0),"",IF(AND(LEN('Raw Data'!G30) &lt;= 50,LEN('Raw Data'!G30)&gt; 0),"",_xlfn.REGEXEXTRACT(CELL("address",'Raw Data'!G30),"\$([A-Z]+)\$[0-9]+"))),_xlfn.REGEXEXTRACT(CELL("address",'Raw Data'!G30),"\$([A-Z]+)\$[0-9]+"))</f>
        <v/>
      </c>
      <c r="H30" s="7" t="str">
        <f t="array" aca="1" ref="H30" ca="1">IFERROR(IF(OR('Raw Data'!H30="",LEN(TRIM('Raw Data'!H30))=0),"",IF(AND(LEN('Raw Data'!H30) &lt;= 50,LEN('Raw Data'!H30)&gt; 0),"",_xlfn.REGEXEXTRACT(CELL("address",'Raw Data'!H30),"\$([A-Z]+)\$[0-9]+"))),_xlfn.REGEXEXTRACT(CELL("address",'Raw Data'!H30),"\$([A-Z]+)\$[0-9]+"))</f>
        <v/>
      </c>
      <c r="I30" s="7" t="str">
        <f t="array" aca="1" ref="I30" ca="1">IFERROR(IF(OR('Raw Data'!I30="",LEN(TRIM('Raw Data'!I30))=0),"",IF(AND(LEN('Raw Data'!I30) &lt;= 50,LEN('Raw Data'!I30)&gt; 0),"",_xlfn.REGEXEXTRACT(CELL("address",'Raw Data'!I30),"\$([A-Z]+)\$[0-9]+"))),_xlfn.REGEXEXTRACT(CELL("address",'Raw Data'!I30),"\$([A-Z]+)\$[0-9]+"))</f>
        <v/>
      </c>
      <c r="J30" s="7" t="str">
        <f t="array" aca="1" ref="J30" ca="1">IFERROR(IF(OR('Raw Data'!J30="",LEN(TRIM('Raw Data'!J30))=0),"",IF(AND(ISNUMBER('Raw Data'!J30), IFERROR('Raw Data'!J30 = ROUND('Raw Data'!J30, 2),FALSE)),"",_xlfn.REGEXEXTRACT(CELL("address",J30), "\$([A-Z]+)\$[0-9]+"))),_xlfn.REGEXEXTRACT(CELL("address",J30), "\$([A-Z]+)\$[0-9]+"))</f>
        <v/>
      </c>
      <c r="K30" s="7" t="str">
        <f t="array" aca="1" ref="K30" ca="1">IFERROR(IF(OR('Raw Data'!K30="",LEN(TRIM('Raw Data'!K30))=0),"",IF(AND(ISNUMBER('Raw Data'!K30), IFERROR('Raw Data'!K30 = ROUND('Raw Data'!K30, 2),FALSE)),"",_xlfn.REGEXEXTRACT(CELL("address",K30), "\$([A-Z]+)\$[0-9]+"))),_xlfn.REGEXEXTRACT(CELL("address",K30), "\$([A-Z]+)\$[0-9]+"))</f>
        <v/>
      </c>
      <c r="L30" s="7" t="str">
        <f t="array" aca="1" ref="L30" ca="1">IFERROR(IF(OR('Raw Data'!L30="",LEN(TRIM('Raw Data'!L30))=0),"",IF(AND(ISNUMBER('Raw Data'!L30), IFERROR('Raw Data'!L30 = ROUND('Raw Data'!L30, 2),FALSE)),"",_xlfn.REGEXEXTRACT(CELL("address",L30), "\$([A-Z]+)\$[0-9]+"))),_xlfn.REGEXEXTRACT(CELL("address",L30), "\$([A-Z]+)\$[0-9]+"))</f>
        <v/>
      </c>
      <c r="M30" s="7" t="str">
        <f t="array" aca="1" ref="M30" ca="1">IFERROR(IF(OR('Raw Data'!M30="",LEN(TRIM('Raw Data'!M30))=0),"",IF(AND(ISNUMBER('Raw Data'!M30), IFERROR('Raw Data'!M30 = ROUND('Raw Data'!M30, 2),FALSE)),"",_xlfn.REGEXEXTRACT(CELL("address",M30), "\$([A-Z]+)\$[0-9]+"))),_xlfn.REGEXEXTRACT(CELL("address",M30), "\$([A-Z]+)\$[0-9]+"))</f>
        <v/>
      </c>
      <c r="N30" s="7" t="str">
        <f t="array" aca="1" ref="N30" ca="1">IFERROR(IF(OR('Raw Data'!N30="",LEN(TRIM('Raw Data'!N30))=0),"",IF(AND(ISNUMBER('Raw Data'!N30), IFERROR('Raw Data'!N30 = ROUND('Raw Data'!N30, 2),FALSE)),"",_xlfn.REGEXEXTRACT(CELL("address",N30), "\$([A-Z]+)\$[0-9]+"))),_xlfn.REGEXEXTRACT(CELL("address",N30), "\$([A-Z]+)\$[0-9]+"))</f>
        <v/>
      </c>
      <c r="O30" s="7" t="str">
        <f t="array" aca="1" ref="O30" ca="1">IFERROR(IF(OR('Raw Data'!O30="",LEN(TRIM('Raw Data'!O30))=0),"",IF(AND(ISNUMBER('Raw Data'!O30),'Raw Data'!O30&gt;=Configuration!$D$2),"",_xlfn.REGEXEXTRACT(CELL("address",'Raw Data'!O30),"\$([A-Z]+)\$[0-9]+"))),_xlfn.REGEXEXTRACT(CELL("address",O30), "\$([A-Z]+)\$[0-9]+"))</f>
        <v/>
      </c>
      <c r="P30" s="7" t="str">
        <f t="array" aca="1" ref="P30" ca="1">IFERROR(IF(OR('Raw Data'!P30="",LEN(TRIM('Raw Data'!P30))=0),"",IF(AND(ISNUMBER('Raw Data'!P30), IFERROR('Raw Data'!P30 = ROUND('Raw Data'!P30, 2),FALSE)),"",_xlfn.REGEXEXTRACT(CELL("address",P30), "\$([A-Z]+)\$[0-9]+"))),_xlfn.REGEXEXTRACT(CELL("address",P30), "\$([A-Z]+)\$[0-9]+"))</f>
        <v/>
      </c>
      <c r="Q30" s="7" t="str">
        <f t="array" aca="1" ref="Q30" ca="1">IFERROR(IF(OR('Raw Data'!Q30="",LEN(TRIM('Raw Data'!Q30))=0),"",IF(AND(ISNUMBER('Raw Data'!Q30), IFERROR('Raw Data'!Q30 = ROUND('Raw Data'!Q30, 2),FALSE)),"",_xlfn.REGEXEXTRACT(CELL("address",Q30), "\$([A-Z]+)\$[0-9]+"))),_xlfn.REGEXEXTRACT(CELL("address",Q30), "\$([A-Z]+)\$[0-9]+"))</f>
        <v/>
      </c>
      <c r="R30" s="7" t="str">
        <f t="array" aca="1" ref="R30" ca="1">IFERROR(IF(OR('Raw Data'!R30="",LEN(TRIM('Raw Data'!R30))=0),"",IF(AND(LEN('Raw Data'!R30) &lt;= 50,LEN('Raw Data'!R30)&gt; 0),"",_xlfn.REGEXEXTRACT(CELL("address",'Raw Data'!R30),"\$([A-Z]+)\$[0-9]+"))),_xlfn.REGEXEXTRACT(CELL("address",'Raw Data'!R30),"\$([A-Z]+)\$[0-9]+"))</f>
        <v/>
      </c>
      <c r="S30" s="7" t="str">
        <f t="array" aca="1" ref="S30" ca="1">IFERROR(IF(OR('Raw Data'!S30="",LEN(TRIM('Raw Data'!S30))=0),"",IF(AND(LEN('Raw Data'!S30) &lt;= 50,LEN('Raw Data'!S30)&gt; 0),"",_xlfn.REGEXEXTRACT(CELL("address",'Raw Data'!S30),"\$([A-Z]+)\$[0-9]+"))),_xlfn.REGEXEXTRACT(CELL("address",'Raw Data'!S30),"\$([A-Z]+)\$[0-9]+"))</f>
        <v/>
      </c>
      <c r="T30" s="7" t="str">
        <f t="array" aca="1" ref="T30" ca="1">IFERROR(IF(OR('Raw Data'!T30="",LEN(TRIM('Raw Data'!T30))=0),"",IF(AND(ISNUMBER('Raw Data'!T30), IFERROR('Raw Data'!T30 = ROUND('Raw Data'!T30, 2),FALSE)),"",_xlfn.REGEXEXTRACT(CELL("address",T30), "\$([A-Z]+)\$[0-9]+"))),_xlfn.REGEXEXTRACT(CELL("address",T30), "\$([A-Z]+)\$[0-9]+"))</f>
        <v/>
      </c>
      <c r="U30" s="7" t="str">
        <f t="array" aca="1" ref="U30" ca="1">IFERROR(IF(OR('Raw Data'!U30="",LEN(TRIM('Raw Data'!U30))=0),"",IF(AND(ISNUMBER('Raw Data'!U30), IFERROR('Raw Data'!U30 = ROUND('Raw Data'!U30, 2),FALSE)),"",_xlfn.REGEXEXTRACT(CELL("address",U30), "\$([A-Z]+)\$[0-9]+"))),_xlfn.REGEXEXTRACT(CELL("address",U30), "\$([A-Z]+)\$[0-9]+"))</f>
        <v/>
      </c>
      <c r="V30" s="7" t="str">
        <f t="array" aca="1" ref="V30" ca="1">IFERROR(IF(OR('Raw Data'!V30="",LEN(TRIM('Raw Data'!V30))=0),"",IF(AND(ISNUMBER('Raw Data'!V30), IFERROR('Raw Data'!V30 = ROUND('Raw Data'!V30, 2),FALSE)),"",_xlfn.REGEXEXTRACT(CELL("address",V30), "\$([A-Z]+)\$[0-9]+"))),_xlfn.REGEXEXTRACT(CELL("address",V30), "\$([A-Z]+)\$[0-9]+"))</f>
        <v/>
      </c>
      <c r="W30" s="7" t="str">
        <f t="array" aca="1" ref="W30" ca="1">IFERROR(IF(OR('Raw Data'!W30="",LEN(TRIM('Raw Data'!W30))=0),"",IF(AND(ISNUMBER('Raw Data'!W30), IFERROR('Raw Data'!W30 = ROUND('Raw Data'!W30, 2),FALSE)),"",_xlfn.REGEXEXTRACT(CELL("address",W30), "\$([A-Z]+)\$[0-9]+"))),_xlfn.REGEXEXTRACT(CELL("address",W30), "\$([A-Z]+)\$[0-9]+"))</f>
        <v/>
      </c>
      <c r="X30" s="7" t="str">
        <f t="array" aca="1" ref="X30" ca="1">IFERROR(IF(OR('Raw Data'!X30="",LEN(TRIM('Raw Data'!X30))=0),"",IF(AND(ISNUMBER('Raw Data'!X30), IFERROR('Raw Data'!X30 = ROUND('Raw Data'!X30, 2),FALSE)),"",_xlfn.REGEXEXTRACT(CELL("address",X30), "\$([A-Z]+)\$[0-9]+"))),_xlfn.REGEXEXTRACT(CELL("address",X30), "\$([A-Z]+)\$[0-9]+"))</f>
        <v/>
      </c>
      <c r="Y30" s="7" t="str">
        <f t="array" aca="1" ref="Y30" ca="1">IFERROR(IF(OR('Raw Data'!Y30="",LEN(TRIM('Raw Data'!Y30))=0),"",IF(AND(ISNUMBER('Raw Data'!Y30), IFERROR('Raw Data'!Y30 = ROUND('Raw Data'!Y30, 2),FALSE)),"",_xlfn.REGEXEXTRACT(CELL("address",Y30), "\$([A-Z]+)\$[0-9]+"))),_xlfn.REGEXEXTRACT(CELL("address",Y30), "\$([A-Z]+)\$[0-9]+"))</f>
        <v/>
      </c>
      <c r="Z30" s="7" t="str">
        <f t="array" aca="1" ref="Z30" ca="1">IFERROR(IF(OR('Raw Data'!Z30="",LEN(TRIM('Raw Data'!Z30))=0),"",IF(AND(ISNUMBER('Raw Data'!Z30), IFERROR('Raw Data'!Z30 = ROUND('Raw Data'!Z30, 2),FALSE)),"",_xlfn.REGEXEXTRACT(CELL("address",Z30), "\$([A-Z]+)\$[0-9]+"))),_xlfn.REGEXEXTRACT(CELL("address",Z30), "\$([A-Z]+)\$[0-9]+"))</f>
        <v/>
      </c>
      <c r="AA30" s="7" t="str">
        <f t="array" aca="1" ref="AA30" ca="1">IFERROR(IF(OR('Raw Data'!AA30="",LEN(TRIM('Raw Data'!AA30))=0),"",IF(AND(ISNUMBER('Raw Data'!AA30), IFERROR('Raw Data'!AA30 = ROUND('Raw Data'!AA30, 2),FALSE)),"",_xlfn.REGEXEXTRACT(CELL("address",AA30), "\$([A-Z]+)\$[0-9]+"))),_xlfn.REGEXEXTRACT(CELL("address",AA30), "\$([A-Z]+)\$[0-9]+"))</f>
        <v/>
      </c>
      <c r="AB30" s="7" t="str">
        <f t="array" aca="1" ref="AB30" ca="1">IFERROR(IF(OR('Raw Data'!AB30="",LEN(TRIM('Raw Data'!AB30))=0),"",IF(AND(ISNUMBER('Raw Data'!AB30), IFERROR('Raw Data'!AB30 = ROUND('Raw Data'!AB30, 2),FALSE)),"",_xlfn.REGEXEXTRACT(CELL("address",AB30), "\$([A-Z]+)\$[0-9]+"))),_xlfn.REGEXEXTRACT(CELL("address",AB30), "\$([A-Z]+)\$[0-9]+"))</f>
        <v/>
      </c>
      <c r="AC30" s="7" t="str">
        <f t="array" aca="1" ref="AC30" ca="1">IFERROR(IF(OR('Raw Data'!AC30="",LEN(TRIM('Raw Data'!AC30))=0),"",IF(AND(ISNUMBER('Raw Data'!AC30), IFERROR('Raw Data'!AC30 = ROUND('Raw Data'!AC30, 2),FALSE)),"",_xlfn.REGEXEXTRACT(CELL("address",AC30), "\$([A-Z]+)\$[0-9]+"))),_xlfn.REGEXEXTRACT(CELL("address",AC30), "\$([A-Z]+)\$[0-9]+"))</f>
        <v/>
      </c>
      <c r="AD30" s="7" t="str">
        <f t="array" aca="1" ref="AD30" ca="1">IFERROR(IF(OR('Raw Data'!AD30="",LEN(TRIM('Raw Data'!AD30))=0),"",IF(AND(ISNUMBER('Raw Data'!AD30), IFERROR('Raw Data'!AD30 = ROUND('Raw Data'!AD30, 2),FALSE)),"",_xlfn.REGEXEXTRACT(CELL("address",AD30), "\$([A-Z]+)\$[0-9]+"))),_xlfn.REGEXEXTRACT(CELL("address",AD30), "\$([A-Z]+)\$[0-9]+"))</f>
        <v/>
      </c>
      <c r="AE30" s="7" t="str">
        <f t="array" aca="1" ref="AE30" ca="1">IFERROR(IF(OR('Raw Data'!AE30="",LEN(TRIM('Raw Data'!AE30))=0),"",IF(AND(ISNUMBER('Raw Data'!AE30), IFERROR('Raw Data'!AE30 = ROUND('Raw Data'!AE30, 2),FALSE)),"",_xlfn.REGEXEXTRACT(CELL("address",AE30), "\$([A-Z]+)\$[0-9]+"))),_xlfn.REGEXEXTRACT(CELL("address",AE30), "\$([A-Z]+)\$[0-9]+"))</f>
        <v/>
      </c>
      <c r="AF30" s="7" t="str">
        <f t="array" aca="1" ref="AF30" ca="1">IFERROR(IF(OR('Raw Data'!AF30="",LEN(TRIM('Raw Data'!AF30))=0),"",IF(AND(ISNUMBER('Raw Data'!AF30), IFERROR('Raw Data'!AF30 = ROUND('Raw Data'!AF30, 2),FALSE)),"",_xlfn.REGEXEXTRACT(CELL("address",AF30), "\$([A-Z]+)\$[0-9]+"))),_xlfn.REGEXEXTRACT(CELL("address",AF30), "\$([A-Z]+)\$[0-9]+"))</f>
        <v/>
      </c>
      <c r="AG30" s="7" t="str">
        <f t="array" aca="1" ref="AG30" ca="1">IFERROR(IF(OR('Raw Data'!AG30="",LEN(TRIM('Raw Data'!AG30))=0),"",IF(AND(ISNUMBER('Raw Data'!AG30), IFERROR('Raw Data'!AG30 = ROUND('Raw Data'!AG30, 2),FALSE)),"",_xlfn.REGEXEXTRACT(CELL("address",AG30), "\$([A-Z]+)\$[0-9]+"))),_xlfn.REGEXEXTRACT(CELL("address",AG30), "\$([A-Z]+)\$[0-9]+"))</f>
        <v/>
      </c>
      <c r="AH30" s="7" t="str">
        <f t="array" aca="1" ref="AH30" ca="1">IFERROR(IF(OR('Raw Data'!AH30="",LEN(TRIM('Raw Data'!AH30))=0),"",IF(AND(ISNUMBER('Raw Data'!AH30), IFERROR('Raw Data'!AH30 = ROUND('Raw Data'!AH30, 2),FALSE)),"",_xlfn.REGEXEXTRACT(CELL("address",AH30), "\$([A-Z]+)\$[0-9]+"))),_xlfn.REGEXEXTRACT(CELL("address",AH30), "\$([A-Z]+)\$[0-9]+"))</f>
        <v/>
      </c>
      <c r="AI30" s="7" t="str">
        <f t="array" aca="1" ref="AI30" ca="1">IFERROR(IF(OR('Raw Data'!AI30="",LEN(TRIM('Raw Data'!AI30))=0),"",IF(AND(ISNUMBER('Raw Data'!AI30), IFERROR('Raw Data'!AI30 = ROUND('Raw Data'!AI30, 2),FALSE)),"",_xlfn.REGEXEXTRACT(CELL("address",AI30), "\$([A-Z]+)\$[0-9]+"))),_xlfn.REGEXEXTRACT(CELL("address",AI30), "\$([A-Z]+)\$[0-9]+"))</f>
        <v/>
      </c>
      <c r="AJ30" s="7" t="str">
        <f t="array" aca="1" ref="AJ30" ca="1">IFERROR(IF(OR('Raw Data'!AJ30="",LEN(TRIM('Raw Data'!AJ30))=0),"",IF(AND(ISNUMBER('Raw Data'!AJ30), IFERROR('Raw Data'!AJ30 = ROUND('Raw Data'!AJ30, 4),FALSE)),"",_xlfn.REGEXEXTRACT(CELL("address",AJ30), "\$([A-Z]+)\$[0-9]+"))),_xlfn.REGEXEXTRACT(CELL("address",AJ30), "\$([A-Z]+)\$[0-9]+"))</f>
        <v/>
      </c>
      <c r="AK30" s="7" t="str">
        <f t="array" aca="1" ref="AK30" ca="1">IFERROR(IF(OR('Raw Data'!AK30="",LEN(TRIM('Raw Data'!AK30))=0),"",IF(AND(ISNUMBER('Raw Data'!AK30), IFERROR('Raw Data'!AK30 = ROUND('Raw Data'!AK30, 2),FALSE)),"",_xlfn.REGEXEXTRACT(CELL("address",AK30), "\$([A-Z]+)\$[0-9]+"))),_xlfn.REGEXEXTRACT(CELL("address",AK30), "\$([A-Z]+)\$[0-9]+"))</f>
        <v/>
      </c>
      <c r="AL30" s="7" t="str">
        <f t="array" aca="1" ref="AL30" ca="1">IFERROR(IF(OR('Raw Data'!AL30="",LEN(TRIM('Raw Data'!AL30))=0),"",IF(AND(ISNUMBER('Raw Data'!AL30), IFERROR('Raw Data'!AL30 = ROUND('Raw Data'!AL30, 2),FALSE)),"",_xlfn.REGEXEXTRACT(CELL("address",AL30), "\$([A-Z]+)\$[0-9]+"))),_xlfn.REGEXEXTRACT(CELL("address",AL30), "\$([A-Z]+)\$[0-9]+"))</f>
        <v/>
      </c>
      <c r="AM30" s="7" t="str">
        <f t="array" aca="1" ref="AM30" ca="1">IFERROR(IF(OR('Raw Data'!AM30="",LEN(TRIM('Raw Data'!AM30))=0),"",IF(AND(ISNUMBER('Raw Data'!AM30), IFERROR('Raw Data'!AM30 = ROUND('Raw Data'!AM30, 2),FALSE)),"",_xlfn.REGEXEXTRACT(CELL("address",AM30), "\$([A-Z]+)\$[0-9]+"))),_xlfn.REGEXEXTRACT(CELL("address",AM30), "\$([A-Z]+)\$[0-9]+"))</f>
        <v/>
      </c>
      <c r="AN30" s="7" t="str">
        <f t="array" aca="1" ref="AN30" ca="1">IFERROR(IF(OR('Raw Data'!AN30="",LEN(TRIM('Raw Data'!AN30))=0),"",IF(AND(ISNUMBER('Raw Data'!AN30), IFERROR('Raw Data'!AN30 = ROUND('Raw Data'!AN30, 2),FALSE)),"",_xlfn.REGEXEXTRACT(CELL("address",AN30), "\$([A-Z]+)\$[0-9]+"))),_xlfn.REGEXEXTRACT(CELL("address",AN30), "\$([A-Z]+)\$[0-9]+"))</f>
        <v/>
      </c>
      <c r="AO30" s="7" t="str">
        <f t="array" aca="1" ref="AO30" ca="1">IFERROR(IF(OR('Raw Data'!AO30="",LEN(TRIM('Raw Data'!AO30))=0),"",IF(AND(ISNUMBER('Raw Data'!AO30), IFERROR('Raw Data'!AO30 = ROUND('Raw Data'!AO30, 2),FALSE)),"",_xlfn.REGEXEXTRACT(CELL("address",AO30), "\$([A-Z]+)\$[0-9]+"))),_xlfn.REGEXEXTRACT(CELL("address",AO30), "\$([A-Z]+)\$[0-9]+"))</f>
        <v/>
      </c>
      <c r="AP30" s="7" t="str">
        <f t="array" aca="1" ref="AP30" ca="1">IFERROR(IF(OR('Raw Data'!AP30="",LEN(TRIM('Raw Data'!AP30))=0),"",IF(AND(ISNUMBER('Raw Data'!AP30), IFERROR('Raw Data'!AP30 = ROUND('Raw Data'!AP30, 2),FALSE)),"",_xlfn.REGEXEXTRACT(CELL("address",AP30), "\$([A-Z]+)\$[0-9]+"))),_xlfn.REGEXEXTRACT(CELL("address",AP30), "\$([A-Z]+)\$[0-9]+"))</f>
        <v/>
      </c>
    </row>
    <row r="31" spans="2:42" x14ac:dyDescent="0.25">
      <c r="B31" s="7" t="str">
        <f t="array" aca="1" ref="B31" ca="1">IFERROR(IF(OR('Raw Data'!B31="",LEN(TRIM('Raw Data'!B31))=0),"",IF(AND(LEN('Raw Data'!B31) &lt;= 255,LEN('Raw Data'!B31)&gt; 0),"",_xlfn.REGEXEXTRACT(CELL("address",'Raw Data'!B31),"\$([A-Z]+)\$[0-9]+"))),_xlfn.REGEXEXTRACT(CELL("address",'Raw Data'!B31),"\$([A-Z]+)\$[0-9]+"))</f>
        <v/>
      </c>
      <c r="C31" s="7" t="str">
        <f t="array" aca="1" ref="C31" ca="1">IFERROR(IF(OR('Raw Data'!C31="",LEN(TRIM('Raw Data'!C31))=0),"",IF(AND(LEN('Raw Data'!C31) &lt;= 50,LEN('Raw Data'!C31)&gt; 0),"",_xlfn.REGEXEXTRACT(CELL("address",'Raw Data'!C31),"\$([A-Z]+)\$[0-9]+"))),_xlfn.REGEXEXTRACT(CELL("address",'Raw Data'!C31),"\$([A-Z]+)\$[0-9]+"))</f>
        <v/>
      </c>
      <c r="D31" s="7" t="str">
        <f t="array" aca="1" ref="D31" ca="1">IFERROR(IF(OR('Raw Data'!D31="",LEN(TRIM('Raw Data'!D31))=0),"",IF(AND(LEN('Raw Data'!D31) &lt;= 500,LEN('Raw Data'!D31)&gt; 0),"",_xlfn.REGEXEXTRACT(CELL("address",'Raw Data'!D31),"\$([A-Z]+)\$[0-9]+"))),_xlfn.REGEXEXTRACT(CELL("address",'Raw Data'!D31),"\$([A-Z]+)\$[0-9]+"))</f>
        <v/>
      </c>
      <c r="E31" s="7" t="str">
        <f t="array" aca="1" ref="E31" ca="1">IFERROR(IF(OR('Raw Data'!E31="",LEN(TRIM('Raw Data'!E31))=0),"",IF(AND(LEN('Raw Data'!E31) &lt;= 50,LEN('Raw Data'!E31)&gt; 0),"",_xlfn.REGEXEXTRACT(CELL("address",'Raw Data'!E31),"\$([A-Z]+)\$[0-9]+"))),_xlfn.REGEXEXTRACT(CELL("address",'Raw Data'!E31),"\$([A-Z]+)\$[0-9]+"))</f>
        <v/>
      </c>
      <c r="F31" s="7" t="str">
        <f t="array" aca="1" ref="F31" ca="1">IFERROR(IF(OR('Raw Data'!F31="",LEN(TRIM('Raw Data'!F31))=0),"",IF(AND(LEN('Raw Data'!F31) &lt;= 50,LEN('Raw Data'!F31)&gt; 0),"",_xlfn.REGEXEXTRACT(CELL("address",'Raw Data'!F31),"\$([A-Z]+)\$[0-9]+"))),_xlfn.REGEXEXTRACT(CELL("address",'Raw Data'!F31),"\$([A-Z]+)\$[0-9]+"))</f>
        <v/>
      </c>
      <c r="G31" s="7" t="str">
        <f t="array" aca="1" ref="G31" ca="1">IFERROR(IF(OR('Raw Data'!G31="",LEN(TRIM('Raw Data'!G31))=0),"",IF(AND(LEN('Raw Data'!G31) &lt;= 50,LEN('Raw Data'!G31)&gt; 0),"",_xlfn.REGEXEXTRACT(CELL("address",'Raw Data'!G31),"\$([A-Z]+)\$[0-9]+"))),_xlfn.REGEXEXTRACT(CELL("address",'Raw Data'!G31),"\$([A-Z]+)\$[0-9]+"))</f>
        <v/>
      </c>
      <c r="H31" s="7" t="str">
        <f t="array" aca="1" ref="H31" ca="1">IFERROR(IF(OR('Raw Data'!H31="",LEN(TRIM('Raw Data'!H31))=0),"",IF(AND(LEN('Raw Data'!H31) &lt;= 50,LEN('Raw Data'!H31)&gt; 0),"",_xlfn.REGEXEXTRACT(CELL("address",'Raw Data'!H31),"\$([A-Z]+)\$[0-9]+"))),_xlfn.REGEXEXTRACT(CELL("address",'Raw Data'!H31),"\$([A-Z]+)\$[0-9]+"))</f>
        <v/>
      </c>
      <c r="I31" s="7" t="str">
        <f t="array" aca="1" ref="I31" ca="1">IFERROR(IF(OR('Raw Data'!I31="",LEN(TRIM('Raw Data'!I31))=0),"",IF(AND(LEN('Raw Data'!I31) &lt;= 50,LEN('Raw Data'!I31)&gt; 0),"",_xlfn.REGEXEXTRACT(CELL("address",'Raw Data'!I31),"\$([A-Z]+)\$[0-9]+"))),_xlfn.REGEXEXTRACT(CELL("address",'Raw Data'!I31),"\$([A-Z]+)\$[0-9]+"))</f>
        <v/>
      </c>
      <c r="J31" s="7" t="str">
        <f t="array" aca="1" ref="J31" ca="1">IFERROR(IF(OR('Raw Data'!J31="",LEN(TRIM('Raw Data'!J31))=0),"",IF(AND(ISNUMBER('Raw Data'!J31), IFERROR('Raw Data'!J31 = ROUND('Raw Data'!J31, 2),FALSE)),"",_xlfn.REGEXEXTRACT(CELL("address",J31), "\$([A-Z]+)\$[0-9]+"))),_xlfn.REGEXEXTRACT(CELL("address",J31), "\$([A-Z]+)\$[0-9]+"))</f>
        <v/>
      </c>
      <c r="K31" s="7" t="str">
        <f t="array" aca="1" ref="K31" ca="1">IFERROR(IF(OR('Raw Data'!K31="",LEN(TRIM('Raw Data'!K31))=0),"",IF(AND(ISNUMBER('Raw Data'!K31), IFERROR('Raw Data'!K31 = ROUND('Raw Data'!K31, 2),FALSE)),"",_xlfn.REGEXEXTRACT(CELL("address",K31), "\$([A-Z]+)\$[0-9]+"))),_xlfn.REGEXEXTRACT(CELL("address",K31), "\$([A-Z]+)\$[0-9]+"))</f>
        <v/>
      </c>
      <c r="L31" s="7" t="str">
        <f t="array" aca="1" ref="L31" ca="1">IFERROR(IF(OR('Raw Data'!L31="",LEN(TRIM('Raw Data'!L31))=0),"",IF(AND(ISNUMBER('Raw Data'!L31), IFERROR('Raw Data'!L31 = ROUND('Raw Data'!L31, 2),FALSE)),"",_xlfn.REGEXEXTRACT(CELL("address",L31), "\$([A-Z]+)\$[0-9]+"))),_xlfn.REGEXEXTRACT(CELL("address",L31), "\$([A-Z]+)\$[0-9]+"))</f>
        <v/>
      </c>
      <c r="M31" s="7" t="str">
        <f t="array" aca="1" ref="M31" ca="1">IFERROR(IF(OR('Raw Data'!M31="",LEN(TRIM('Raw Data'!M31))=0),"",IF(AND(ISNUMBER('Raw Data'!M31), IFERROR('Raw Data'!M31 = ROUND('Raw Data'!M31, 2),FALSE)),"",_xlfn.REGEXEXTRACT(CELL("address",M31), "\$([A-Z]+)\$[0-9]+"))),_xlfn.REGEXEXTRACT(CELL("address",M31), "\$([A-Z]+)\$[0-9]+"))</f>
        <v/>
      </c>
      <c r="N31" s="7" t="str">
        <f t="array" aca="1" ref="N31" ca="1">IFERROR(IF(OR('Raw Data'!N31="",LEN(TRIM('Raw Data'!N31))=0),"",IF(AND(ISNUMBER('Raw Data'!N31), IFERROR('Raw Data'!N31 = ROUND('Raw Data'!N31, 2),FALSE)),"",_xlfn.REGEXEXTRACT(CELL("address",N31), "\$([A-Z]+)\$[0-9]+"))),_xlfn.REGEXEXTRACT(CELL("address",N31), "\$([A-Z]+)\$[0-9]+"))</f>
        <v/>
      </c>
      <c r="O31" s="7" t="str">
        <f t="array" aca="1" ref="O31" ca="1">IFERROR(IF(OR('Raw Data'!O31="",LEN(TRIM('Raw Data'!O31))=0),"",IF(AND(ISNUMBER('Raw Data'!O31),'Raw Data'!O31&gt;=Configuration!$D$2),"",_xlfn.REGEXEXTRACT(CELL("address",'Raw Data'!O31),"\$([A-Z]+)\$[0-9]+"))),_xlfn.REGEXEXTRACT(CELL("address",O31), "\$([A-Z]+)\$[0-9]+"))</f>
        <v/>
      </c>
      <c r="P31" s="7" t="str">
        <f t="array" aca="1" ref="P31" ca="1">IFERROR(IF(OR('Raw Data'!P31="",LEN(TRIM('Raw Data'!P31))=0),"",IF(AND(ISNUMBER('Raw Data'!P31), IFERROR('Raw Data'!P31 = ROUND('Raw Data'!P31, 2),FALSE)),"",_xlfn.REGEXEXTRACT(CELL("address",P31), "\$([A-Z]+)\$[0-9]+"))),_xlfn.REGEXEXTRACT(CELL("address",P31), "\$([A-Z]+)\$[0-9]+"))</f>
        <v/>
      </c>
      <c r="Q31" s="7" t="str">
        <f t="array" aca="1" ref="Q31" ca="1">IFERROR(IF(OR('Raw Data'!Q31="",LEN(TRIM('Raw Data'!Q31))=0),"",IF(AND(ISNUMBER('Raw Data'!Q31), IFERROR('Raw Data'!Q31 = ROUND('Raw Data'!Q31, 2),FALSE)),"",_xlfn.REGEXEXTRACT(CELL("address",Q31), "\$([A-Z]+)\$[0-9]+"))),_xlfn.REGEXEXTRACT(CELL("address",Q31), "\$([A-Z]+)\$[0-9]+"))</f>
        <v/>
      </c>
      <c r="R31" s="7" t="str">
        <f t="array" aca="1" ref="R31" ca="1">IFERROR(IF(OR('Raw Data'!R31="",LEN(TRIM('Raw Data'!R31))=0),"",IF(AND(LEN('Raw Data'!R31) &lt;= 50,LEN('Raw Data'!R31)&gt; 0),"",_xlfn.REGEXEXTRACT(CELL("address",'Raw Data'!R31),"\$([A-Z]+)\$[0-9]+"))),_xlfn.REGEXEXTRACT(CELL("address",'Raw Data'!R31),"\$([A-Z]+)\$[0-9]+"))</f>
        <v/>
      </c>
      <c r="S31" s="7" t="str">
        <f t="array" aca="1" ref="S31" ca="1">IFERROR(IF(OR('Raw Data'!S31="",LEN(TRIM('Raw Data'!S31))=0),"",IF(AND(LEN('Raw Data'!S31) &lt;= 50,LEN('Raw Data'!S31)&gt; 0),"",_xlfn.REGEXEXTRACT(CELL("address",'Raw Data'!S31),"\$([A-Z]+)\$[0-9]+"))),_xlfn.REGEXEXTRACT(CELL("address",'Raw Data'!S31),"\$([A-Z]+)\$[0-9]+"))</f>
        <v/>
      </c>
      <c r="T31" s="7" t="str">
        <f t="array" aca="1" ref="T31" ca="1">IFERROR(IF(OR('Raw Data'!T31="",LEN(TRIM('Raw Data'!T31))=0),"",IF(AND(ISNUMBER('Raw Data'!T31), IFERROR('Raw Data'!T31 = ROUND('Raw Data'!T31, 2),FALSE)),"",_xlfn.REGEXEXTRACT(CELL("address",T31), "\$([A-Z]+)\$[0-9]+"))),_xlfn.REGEXEXTRACT(CELL("address",T31), "\$([A-Z]+)\$[0-9]+"))</f>
        <v/>
      </c>
      <c r="U31" s="7" t="str">
        <f t="array" aca="1" ref="U31" ca="1">IFERROR(IF(OR('Raw Data'!U31="",LEN(TRIM('Raw Data'!U31))=0),"",IF(AND(ISNUMBER('Raw Data'!U31), IFERROR('Raw Data'!U31 = ROUND('Raw Data'!U31, 2),FALSE)),"",_xlfn.REGEXEXTRACT(CELL("address",U31), "\$([A-Z]+)\$[0-9]+"))),_xlfn.REGEXEXTRACT(CELL("address",U31), "\$([A-Z]+)\$[0-9]+"))</f>
        <v/>
      </c>
      <c r="V31" s="7" t="str">
        <f t="array" aca="1" ref="V31" ca="1">IFERROR(IF(OR('Raw Data'!V31="",LEN(TRIM('Raw Data'!V31))=0),"",IF(AND(ISNUMBER('Raw Data'!V31), IFERROR('Raw Data'!V31 = ROUND('Raw Data'!V31, 2),FALSE)),"",_xlfn.REGEXEXTRACT(CELL("address",V31), "\$([A-Z]+)\$[0-9]+"))),_xlfn.REGEXEXTRACT(CELL("address",V31), "\$([A-Z]+)\$[0-9]+"))</f>
        <v/>
      </c>
      <c r="W31" s="7" t="str">
        <f t="array" aca="1" ref="W31" ca="1">IFERROR(IF(OR('Raw Data'!W31="",LEN(TRIM('Raw Data'!W31))=0),"",IF(AND(ISNUMBER('Raw Data'!W31), IFERROR('Raw Data'!W31 = ROUND('Raw Data'!W31, 2),FALSE)),"",_xlfn.REGEXEXTRACT(CELL("address",W31), "\$([A-Z]+)\$[0-9]+"))),_xlfn.REGEXEXTRACT(CELL("address",W31), "\$([A-Z]+)\$[0-9]+"))</f>
        <v/>
      </c>
      <c r="X31" s="7" t="str">
        <f t="array" aca="1" ref="X31" ca="1">IFERROR(IF(OR('Raw Data'!X31="",LEN(TRIM('Raw Data'!X31))=0),"",IF(AND(ISNUMBER('Raw Data'!X31), IFERROR('Raw Data'!X31 = ROUND('Raw Data'!X31, 2),FALSE)),"",_xlfn.REGEXEXTRACT(CELL("address",X31), "\$([A-Z]+)\$[0-9]+"))),_xlfn.REGEXEXTRACT(CELL("address",X31), "\$([A-Z]+)\$[0-9]+"))</f>
        <v/>
      </c>
      <c r="Y31" s="7" t="str">
        <f t="array" aca="1" ref="Y31" ca="1">IFERROR(IF(OR('Raw Data'!Y31="",LEN(TRIM('Raw Data'!Y31))=0),"",IF(AND(ISNUMBER('Raw Data'!Y31), IFERROR('Raw Data'!Y31 = ROUND('Raw Data'!Y31, 2),FALSE)),"",_xlfn.REGEXEXTRACT(CELL("address",Y31), "\$([A-Z]+)\$[0-9]+"))),_xlfn.REGEXEXTRACT(CELL("address",Y31), "\$([A-Z]+)\$[0-9]+"))</f>
        <v/>
      </c>
      <c r="Z31" s="7" t="str">
        <f t="array" aca="1" ref="Z31" ca="1">IFERROR(IF(OR('Raw Data'!Z31="",LEN(TRIM('Raw Data'!Z31))=0),"",IF(AND(ISNUMBER('Raw Data'!Z31), IFERROR('Raw Data'!Z31 = ROUND('Raw Data'!Z31, 2),FALSE)),"",_xlfn.REGEXEXTRACT(CELL("address",Z31), "\$([A-Z]+)\$[0-9]+"))),_xlfn.REGEXEXTRACT(CELL("address",Z31), "\$([A-Z]+)\$[0-9]+"))</f>
        <v/>
      </c>
      <c r="AA31" s="7" t="str">
        <f t="array" aca="1" ref="AA31" ca="1">IFERROR(IF(OR('Raw Data'!AA31="",LEN(TRIM('Raw Data'!AA31))=0),"",IF(AND(ISNUMBER('Raw Data'!AA31), IFERROR('Raw Data'!AA31 = ROUND('Raw Data'!AA31, 2),FALSE)),"",_xlfn.REGEXEXTRACT(CELL("address",AA31), "\$([A-Z]+)\$[0-9]+"))),_xlfn.REGEXEXTRACT(CELL("address",AA31), "\$([A-Z]+)\$[0-9]+"))</f>
        <v/>
      </c>
      <c r="AB31" s="7" t="str">
        <f t="array" aca="1" ref="AB31" ca="1">IFERROR(IF(OR('Raw Data'!AB31="",LEN(TRIM('Raw Data'!AB31))=0),"",IF(AND(ISNUMBER('Raw Data'!AB31), IFERROR('Raw Data'!AB31 = ROUND('Raw Data'!AB31, 2),FALSE)),"",_xlfn.REGEXEXTRACT(CELL("address",AB31), "\$([A-Z]+)\$[0-9]+"))),_xlfn.REGEXEXTRACT(CELL("address",AB31), "\$([A-Z]+)\$[0-9]+"))</f>
        <v/>
      </c>
      <c r="AC31" s="7" t="str">
        <f t="array" aca="1" ref="AC31" ca="1">IFERROR(IF(OR('Raw Data'!AC31="",LEN(TRIM('Raw Data'!AC31))=0),"",IF(AND(ISNUMBER('Raw Data'!AC31), IFERROR('Raw Data'!AC31 = ROUND('Raw Data'!AC31, 2),FALSE)),"",_xlfn.REGEXEXTRACT(CELL("address",AC31), "\$([A-Z]+)\$[0-9]+"))),_xlfn.REGEXEXTRACT(CELL("address",AC31), "\$([A-Z]+)\$[0-9]+"))</f>
        <v/>
      </c>
      <c r="AD31" s="7" t="str">
        <f t="array" aca="1" ref="AD31" ca="1">IFERROR(IF(OR('Raw Data'!AD31="",LEN(TRIM('Raw Data'!AD31))=0),"",IF(AND(ISNUMBER('Raw Data'!AD31), IFERROR('Raw Data'!AD31 = ROUND('Raw Data'!AD31, 2),FALSE)),"",_xlfn.REGEXEXTRACT(CELL("address",AD31), "\$([A-Z]+)\$[0-9]+"))),_xlfn.REGEXEXTRACT(CELL("address",AD31), "\$([A-Z]+)\$[0-9]+"))</f>
        <v/>
      </c>
      <c r="AE31" s="7" t="str">
        <f t="array" aca="1" ref="AE31" ca="1">IFERROR(IF(OR('Raw Data'!AE31="",LEN(TRIM('Raw Data'!AE31))=0),"",IF(AND(ISNUMBER('Raw Data'!AE31), IFERROR('Raw Data'!AE31 = ROUND('Raw Data'!AE31, 2),FALSE)),"",_xlfn.REGEXEXTRACT(CELL("address",AE31), "\$([A-Z]+)\$[0-9]+"))),_xlfn.REGEXEXTRACT(CELL("address",AE31), "\$([A-Z]+)\$[0-9]+"))</f>
        <v/>
      </c>
      <c r="AF31" s="7" t="str">
        <f t="array" aca="1" ref="AF31" ca="1">IFERROR(IF(OR('Raw Data'!AF31="",LEN(TRIM('Raw Data'!AF31))=0),"",IF(AND(ISNUMBER('Raw Data'!AF31), IFERROR('Raw Data'!AF31 = ROUND('Raw Data'!AF31, 2),FALSE)),"",_xlfn.REGEXEXTRACT(CELL("address",AF31), "\$([A-Z]+)\$[0-9]+"))),_xlfn.REGEXEXTRACT(CELL("address",AF31), "\$([A-Z]+)\$[0-9]+"))</f>
        <v/>
      </c>
      <c r="AG31" s="7" t="str">
        <f t="array" aca="1" ref="AG31" ca="1">IFERROR(IF(OR('Raw Data'!AG31="",LEN(TRIM('Raw Data'!AG31))=0),"",IF(AND(ISNUMBER('Raw Data'!AG31), IFERROR('Raw Data'!AG31 = ROUND('Raw Data'!AG31, 2),FALSE)),"",_xlfn.REGEXEXTRACT(CELL("address",AG31), "\$([A-Z]+)\$[0-9]+"))),_xlfn.REGEXEXTRACT(CELL("address",AG31), "\$([A-Z]+)\$[0-9]+"))</f>
        <v/>
      </c>
      <c r="AH31" s="7" t="str">
        <f t="array" aca="1" ref="AH31" ca="1">IFERROR(IF(OR('Raw Data'!AH31="",LEN(TRIM('Raw Data'!AH31))=0),"",IF(AND(ISNUMBER('Raw Data'!AH31), IFERROR('Raw Data'!AH31 = ROUND('Raw Data'!AH31, 2),FALSE)),"",_xlfn.REGEXEXTRACT(CELL("address",AH31), "\$([A-Z]+)\$[0-9]+"))),_xlfn.REGEXEXTRACT(CELL("address",AH31), "\$([A-Z]+)\$[0-9]+"))</f>
        <v/>
      </c>
      <c r="AI31" s="7" t="str">
        <f t="array" aca="1" ref="AI31" ca="1">IFERROR(IF(OR('Raw Data'!AI31="",LEN(TRIM('Raw Data'!AI31))=0),"",IF(AND(ISNUMBER('Raw Data'!AI31), IFERROR('Raw Data'!AI31 = ROUND('Raw Data'!AI31, 2),FALSE)),"",_xlfn.REGEXEXTRACT(CELL("address",AI31), "\$([A-Z]+)\$[0-9]+"))),_xlfn.REGEXEXTRACT(CELL("address",AI31), "\$([A-Z]+)\$[0-9]+"))</f>
        <v/>
      </c>
      <c r="AJ31" s="7" t="str">
        <f t="array" aca="1" ref="AJ31" ca="1">IFERROR(IF(OR('Raw Data'!AJ31="",LEN(TRIM('Raw Data'!AJ31))=0),"",IF(AND(ISNUMBER('Raw Data'!AJ31), IFERROR('Raw Data'!AJ31 = ROUND('Raw Data'!AJ31, 4),FALSE)),"",_xlfn.REGEXEXTRACT(CELL("address",AJ31), "\$([A-Z]+)\$[0-9]+"))),_xlfn.REGEXEXTRACT(CELL("address",AJ31), "\$([A-Z]+)\$[0-9]+"))</f>
        <v/>
      </c>
      <c r="AK31" s="7" t="str">
        <f t="array" aca="1" ref="AK31" ca="1">IFERROR(IF(OR('Raw Data'!AK31="",LEN(TRIM('Raw Data'!AK31))=0),"",IF(AND(ISNUMBER('Raw Data'!AK31), IFERROR('Raw Data'!AK31 = ROUND('Raw Data'!AK31, 2),FALSE)),"",_xlfn.REGEXEXTRACT(CELL("address",AK31), "\$([A-Z]+)\$[0-9]+"))),_xlfn.REGEXEXTRACT(CELL("address",AK31), "\$([A-Z]+)\$[0-9]+"))</f>
        <v/>
      </c>
      <c r="AL31" s="7" t="str">
        <f t="array" aca="1" ref="AL31" ca="1">IFERROR(IF(OR('Raw Data'!AL31="",LEN(TRIM('Raw Data'!AL31))=0),"",IF(AND(ISNUMBER('Raw Data'!AL31), IFERROR('Raw Data'!AL31 = ROUND('Raw Data'!AL31, 2),FALSE)),"",_xlfn.REGEXEXTRACT(CELL("address",AL31), "\$([A-Z]+)\$[0-9]+"))),_xlfn.REGEXEXTRACT(CELL("address",AL31), "\$([A-Z]+)\$[0-9]+"))</f>
        <v/>
      </c>
      <c r="AM31" s="7" t="str">
        <f t="array" aca="1" ref="AM31" ca="1">IFERROR(IF(OR('Raw Data'!AM31="",LEN(TRIM('Raw Data'!AM31))=0),"",IF(AND(ISNUMBER('Raw Data'!AM31), IFERROR('Raw Data'!AM31 = ROUND('Raw Data'!AM31, 2),FALSE)),"",_xlfn.REGEXEXTRACT(CELL("address",AM31), "\$([A-Z]+)\$[0-9]+"))),_xlfn.REGEXEXTRACT(CELL("address",AM31), "\$([A-Z]+)\$[0-9]+"))</f>
        <v/>
      </c>
      <c r="AN31" s="7" t="str">
        <f t="array" aca="1" ref="AN31" ca="1">IFERROR(IF(OR('Raw Data'!AN31="",LEN(TRIM('Raw Data'!AN31))=0),"",IF(AND(ISNUMBER('Raw Data'!AN31), IFERROR('Raw Data'!AN31 = ROUND('Raw Data'!AN31, 2),FALSE)),"",_xlfn.REGEXEXTRACT(CELL("address",AN31), "\$([A-Z]+)\$[0-9]+"))),_xlfn.REGEXEXTRACT(CELL("address",AN31), "\$([A-Z]+)\$[0-9]+"))</f>
        <v/>
      </c>
      <c r="AO31" s="7" t="str">
        <f t="array" aca="1" ref="AO31" ca="1">IFERROR(IF(OR('Raw Data'!AO31="",LEN(TRIM('Raw Data'!AO31))=0),"",IF(AND(ISNUMBER('Raw Data'!AO31), IFERROR('Raw Data'!AO31 = ROUND('Raw Data'!AO31, 2),FALSE)),"",_xlfn.REGEXEXTRACT(CELL("address",AO31), "\$([A-Z]+)\$[0-9]+"))),_xlfn.REGEXEXTRACT(CELL("address",AO31), "\$([A-Z]+)\$[0-9]+"))</f>
        <v/>
      </c>
      <c r="AP31" s="7" t="str">
        <f t="array" aca="1" ref="AP31" ca="1">IFERROR(IF(OR('Raw Data'!AP31="",LEN(TRIM('Raw Data'!AP31))=0),"",IF(AND(ISNUMBER('Raw Data'!AP31), IFERROR('Raw Data'!AP31 = ROUND('Raw Data'!AP31, 2),FALSE)),"",_xlfn.REGEXEXTRACT(CELL("address",AP31), "\$([A-Z]+)\$[0-9]+"))),_xlfn.REGEXEXTRACT(CELL("address",AP31), "\$([A-Z]+)\$[0-9]+"))</f>
        <v/>
      </c>
    </row>
    <row r="32" spans="2:42" x14ac:dyDescent="0.25">
      <c r="B32" s="7" t="str">
        <f t="array" aca="1" ref="B32" ca="1">IFERROR(IF(OR('Raw Data'!B32="",LEN(TRIM('Raw Data'!B32))=0),"",IF(AND(LEN('Raw Data'!B32) &lt;= 255,LEN('Raw Data'!B32)&gt; 0),"",_xlfn.REGEXEXTRACT(CELL("address",'Raw Data'!B32),"\$([A-Z]+)\$[0-9]+"))),_xlfn.REGEXEXTRACT(CELL("address",'Raw Data'!B32),"\$([A-Z]+)\$[0-9]+"))</f>
        <v/>
      </c>
      <c r="C32" s="7" t="str">
        <f t="array" aca="1" ref="C32" ca="1">IFERROR(IF(OR('Raw Data'!C32="",LEN(TRIM('Raw Data'!C32))=0),"",IF(AND(LEN('Raw Data'!C32) &lt;= 50,LEN('Raw Data'!C32)&gt; 0),"",_xlfn.REGEXEXTRACT(CELL("address",'Raw Data'!C32),"\$([A-Z]+)\$[0-9]+"))),_xlfn.REGEXEXTRACT(CELL("address",'Raw Data'!C32),"\$([A-Z]+)\$[0-9]+"))</f>
        <v/>
      </c>
      <c r="D32" s="7" t="str">
        <f t="array" aca="1" ref="D32" ca="1">IFERROR(IF(OR('Raw Data'!D32="",LEN(TRIM('Raw Data'!D32))=0),"",IF(AND(LEN('Raw Data'!D32) &lt;= 500,LEN('Raw Data'!D32)&gt; 0),"",_xlfn.REGEXEXTRACT(CELL("address",'Raw Data'!D32),"\$([A-Z]+)\$[0-9]+"))),_xlfn.REGEXEXTRACT(CELL("address",'Raw Data'!D32),"\$([A-Z]+)\$[0-9]+"))</f>
        <v/>
      </c>
      <c r="E32" s="7" t="str">
        <f t="array" aca="1" ref="E32" ca="1">IFERROR(IF(OR('Raw Data'!E32="",LEN(TRIM('Raw Data'!E32))=0),"",IF(AND(LEN('Raw Data'!E32) &lt;= 50,LEN('Raw Data'!E32)&gt; 0),"",_xlfn.REGEXEXTRACT(CELL("address",'Raw Data'!E32),"\$([A-Z]+)\$[0-9]+"))),_xlfn.REGEXEXTRACT(CELL("address",'Raw Data'!E32),"\$([A-Z]+)\$[0-9]+"))</f>
        <v/>
      </c>
      <c r="F32" s="7" t="str">
        <f t="array" aca="1" ref="F32" ca="1">IFERROR(IF(OR('Raw Data'!F32="",LEN(TRIM('Raw Data'!F32))=0),"",IF(AND(LEN('Raw Data'!F32) &lt;= 50,LEN('Raw Data'!F32)&gt; 0),"",_xlfn.REGEXEXTRACT(CELL("address",'Raw Data'!F32),"\$([A-Z]+)\$[0-9]+"))),_xlfn.REGEXEXTRACT(CELL("address",'Raw Data'!F32),"\$([A-Z]+)\$[0-9]+"))</f>
        <v/>
      </c>
      <c r="G32" s="7" t="str">
        <f t="array" aca="1" ref="G32" ca="1">IFERROR(IF(OR('Raw Data'!G32="",LEN(TRIM('Raw Data'!G32))=0),"",IF(AND(LEN('Raw Data'!G32) &lt;= 50,LEN('Raw Data'!G32)&gt; 0),"",_xlfn.REGEXEXTRACT(CELL("address",'Raw Data'!G32),"\$([A-Z]+)\$[0-9]+"))),_xlfn.REGEXEXTRACT(CELL("address",'Raw Data'!G32),"\$([A-Z]+)\$[0-9]+"))</f>
        <v/>
      </c>
      <c r="H32" s="7" t="str">
        <f t="array" aca="1" ref="H32" ca="1">IFERROR(IF(OR('Raw Data'!H32="",LEN(TRIM('Raw Data'!H32))=0),"",IF(AND(LEN('Raw Data'!H32) &lt;= 50,LEN('Raw Data'!H32)&gt; 0),"",_xlfn.REGEXEXTRACT(CELL("address",'Raw Data'!H32),"\$([A-Z]+)\$[0-9]+"))),_xlfn.REGEXEXTRACT(CELL("address",'Raw Data'!H32),"\$([A-Z]+)\$[0-9]+"))</f>
        <v/>
      </c>
      <c r="I32" s="7" t="str">
        <f t="array" aca="1" ref="I32" ca="1">IFERROR(IF(OR('Raw Data'!I32="",LEN(TRIM('Raw Data'!I32))=0),"",IF(AND(LEN('Raw Data'!I32) &lt;= 50,LEN('Raw Data'!I32)&gt; 0),"",_xlfn.REGEXEXTRACT(CELL("address",'Raw Data'!I32),"\$([A-Z]+)\$[0-9]+"))),_xlfn.REGEXEXTRACT(CELL("address",'Raw Data'!I32),"\$([A-Z]+)\$[0-9]+"))</f>
        <v/>
      </c>
      <c r="J32" s="7" t="str">
        <f t="array" aca="1" ref="J32" ca="1">IFERROR(IF(OR('Raw Data'!J32="",LEN(TRIM('Raw Data'!J32))=0),"",IF(AND(ISNUMBER('Raw Data'!J32), IFERROR('Raw Data'!J32 = ROUND('Raw Data'!J32, 2),FALSE)),"",_xlfn.REGEXEXTRACT(CELL("address",J32), "\$([A-Z]+)\$[0-9]+"))),_xlfn.REGEXEXTRACT(CELL("address",J32), "\$([A-Z]+)\$[0-9]+"))</f>
        <v/>
      </c>
      <c r="K32" s="7" t="str">
        <f t="array" aca="1" ref="K32" ca="1">IFERROR(IF(OR('Raw Data'!K32="",LEN(TRIM('Raw Data'!K32))=0),"",IF(AND(ISNUMBER('Raw Data'!K32), IFERROR('Raw Data'!K32 = ROUND('Raw Data'!K32, 2),FALSE)),"",_xlfn.REGEXEXTRACT(CELL("address",K32), "\$([A-Z]+)\$[0-9]+"))),_xlfn.REGEXEXTRACT(CELL("address",K32), "\$([A-Z]+)\$[0-9]+"))</f>
        <v/>
      </c>
      <c r="L32" s="7" t="str">
        <f t="array" aca="1" ref="L32" ca="1">IFERROR(IF(OR('Raw Data'!L32="",LEN(TRIM('Raw Data'!L32))=0),"",IF(AND(ISNUMBER('Raw Data'!L32), IFERROR('Raw Data'!L32 = ROUND('Raw Data'!L32, 2),FALSE)),"",_xlfn.REGEXEXTRACT(CELL("address",L32), "\$([A-Z]+)\$[0-9]+"))),_xlfn.REGEXEXTRACT(CELL("address",L32), "\$([A-Z]+)\$[0-9]+"))</f>
        <v/>
      </c>
      <c r="M32" s="7" t="str">
        <f t="array" aca="1" ref="M32" ca="1">IFERROR(IF(OR('Raw Data'!M32="",LEN(TRIM('Raw Data'!M32))=0),"",IF(AND(ISNUMBER('Raw Data'!M32), IFERROR('Raw Data'!M32 = ROUND('Raw Data'!M32, 2),FALSE)),"",_xlfn.REGEXEXTRACT(CELL("address",M32), "\$([A-Z]+)\$[0-9]+"))),_xlfn.REGEXEXTRACT(CELL("address",M32), "\$([A-Z]+)\$[0-9]+"))</f>
        <v/>
      </c>
      <c r="N32" s="7" t="str">
        <f t="array" aca="1" ref="N32" ca="1">IFERROR(IF(OR('Raw Data'!N32="",LEN(TRIM('Raw Data'!N32))=0),"",IF(AND(ISNUMBER('Raw Data'!N32), IFERROR('Raw Data'!N32 = ROUND('Raw Data'!N32, 2),FALSE)),"",_xlfn.REGEXEXTRACT(CELL("address",N32), "\$([A-Z]+)\$[0-9]+"))),_xlfn.REGEXEXTRACT(CELL("address",N32), "\$([A-Z]+)\$[0-9]+"))</f>
        <v/>
      </c>
      <c r="O32" s="7" t="str">
        <f t="array" aca="1" ref="O32" ca="1">IFERROR(IF(OR('Raw Data'!O32="",LEN(TRIM('Raw Data'!O32))=0),"",IF(AND(ISNUMBER('Raw Data'!O32),'Raw Data'!O32&gt;=Configuration!$D$2),"",_xlfn.REGEXEXTRACT(CELL("address",'Raw Data'!O32),"\$([A-Z]+)\$[0-9]+"))),_xlfn.REGEXEXTRACT(CELL("address",O32), "\$([A-Z]+)\$[0-9]+"))</f>
        <v/>
      </c>
      <c r="P32" s="7" t="str">
        <f t="array" aca="1" ref="P32" ca="1">IFERROR(IF(OR('Raw Data'!P32="",LEN(TRIM('Raw Data'!P32))=0),"",IF(AND(ISNUMBER('Raw Data'!P32), IFERROR('Raw Data'!P32 = ROUND('Raw Data'!P32, 2),FALSE)),"",_xlfn.REGEXEXTRACT(CELL("address",P32), "\$([A-Z]+)\$[0-9]+"))),_xlfn.REGEXEXTRACT(CELL("address",P32), "\$([A-Z]+)\$[0-9]+"))</f>
        <v/>
      </c>
      <c r="Q32" s="7" t="str">
        <f t="array" aca="1" ref="Q32" ca="1">IFERROR(IF(OR('Raw Data'!Q32="",LEN(TRIM('Raw Data'!Q32))=0),"",IF(AND(ISNUMBER('Raw Data'!Q32), IFERROR('Raw Data'!Q32 = ROUND('Raw Data'!Q32, 2),FALSE)),"",_xlfn.REGEXEXTRACT(CELL("address",Q32), "\$([A-Z]+)\$[0-9]+"))),_xlfn.REGEXEXTRACT(CELL("address",Q32), "\$([A-Z]+)\$[0-9]+"))</f>
        <v/>
      </c>
      <c r="R32" s="7" t="str">
        <f t="array" aca="1" ref="R32" ca="1">IFERROR(IF(OR('Raw Data'!R32="",LEN(TRIM('Raw Data'!R32))=0),"",IF(AND(LEN('Raw Data'!R32) &lt;= 50,LEN('Raw Data'!R32)&gt; 0),"",_xlfn.REGEXEXTRACT(CELL("address",'Raw Data'!R32),"\$([A-Z]+)\$[0-9]+"))),_xlfn.REGEXEXTRACT(CELL("address",'Raw Data'!R32),"\$([A-Z]+)\$[0-9]+"))</f>
        <v/>
      </c>
      <c r="S32" s="7" t="str">
        <f t="array" aca="1" ref="S32" ca="1">IFERROR(IF(OR('Raw Data'!S32="",LEN(TRIM('Raw Data'!S32))=0),"",IF(AND(LEN('Raw Data'!S32) &lt;= 50,LEN('Raw Data'!S32)&gt; 0),"",_xlfn.REGEXEXTRACT(CELL("address",'Raw Data'!S32),"\$([A-Z]+)\$[0-9]+"))),_xlfn.REGEXEXTRACT(CELL("address",'Raw Data'!S32),"\$([A-Z]+)\$[0-9]+"))</f>
        <v/>
      </c>
      <c r="T32" s="7" t="str">
        <f t="array" aca="1" ref="T32" ca="1">IFERROR(IF(OR('Raw Data'!T32="",LEN(TRIM('Raw Data'!T32))=0),"",IF(AND(ISNUMBER('Raw Data'!T32), IFERROR('Raw Data'!T32 = ROUND('Raw Data'!T32, 2),FALSE)),"",_xlfn.REGEXEXTRACT(CELL("address",T32), "\$([A-Z]+)\$[0-9]+"))),_xlfn.REGEXEXTRACT(CELL("address",T32), "\$([A-Z]+)\$[0-9]+"))</f>
        <v/>
      </c>
      <c r="U32" s="7" t="str">
        <f t="array" aca="1" ref="U32" ca="1">IFERROR(IF(OR('Raw Data'!U32="",LEN(TRIM('Raw Data'!U32))=0),"",IF(AND(ISNUMBER('Raw Data'!U32), IFERROR('Raw Data'!U32 = ROUND('Raw Data'!U32, 2),FALSE)),"",_xlfn.REGEXEXTRACT(CELL("address",U32), "\$([A-Z]+)\$[0-9]+"))),_xlfn.REGEXEXTRACT(CELL("address",U32), "\$([A-Z]+)\$[0-9]+"))</f>
        <v/>
      </c>
      <c r="V32" s="7" t="str">
        <f t="array" aca="1" ref="V32" ca="1">IFERROR(IF(OR('Raw Data'!V32="",LEN(TRIM('Raw Data'!V32))=0),"",IF(AND(ISNUMBER('Raw Data'!V32), IFERROR('Raw Data'!V32 = ROUND('Raw Data'!V32, 2),FALSE)),"",_xlfn.REGEXEXTRACT(CELL("address",V32), "\$([A-Z]+)\$[0-9]+"))),_xlfn.REGEXEXTRACT(CELL("address",V32), "\$([A-Z]+)\$[0-9]+"))</f>
        <v/>
      </c>
      <c r="W32" s="7" t="str">
        <f t="array" aca="1" ref="W32" ca="1">IFERROR(IF(OR('Raw Data'!W32="",LEN(TRIM('Raw Data'!W32))=0),"",IF(AND(ISNUMBER('Raw Data'!W32), IFERROR('Raw Data'!W32 = ROUND('Raw Data'!W32, 2),FALSE)),"",_xlfn.REGEXEXTRACT(CELL("address",W32), "\$([A-Z]+)\$[0-9]+"))),_xlfn.REGEXEXTRACT(CELL("address",W32), "\$([A-Z]+)\$[0-9]+"))</f>
        <v/>
      </c>
      <c r="X32" s="7" t="str">
        <f t="array" aca="1" ref="X32" ca="1">IFERROR(IF(OR('Raw Data'!X32="",LEN(TRIM('Raw Data'!X32))=0),"",IF(AND(ISNUMBER('Raw Data'!X32), IFERROR('Raw Data'!X32 = ROUND('Raw Data'!X32, 2),FALSE)),"",_xlfn.REGEXEXTRACT(CELL("address",X32), "\$([A-Z]+)\$[0-9]+"))),_xlfn.REGEXEXTRACT(CELL("address",X32), "\$([A-Z]+)\$[0-9]+"))</f>
        <v/>
      </c>
      <c r="Y32" s="7" t="str">
        <f t="array" aca="1" ref="Y32" ca="1">IFERROR(IF(OR('Raw Data'!Y32="",LEN(TRIM('Raw Data'!Y32))=0),"",IF(AND(ISNUMBER('Raw Data'!Y32), IFERROR('Raw Data'!Y32 = ROUND('Raw Data'!Y32, 2),FALSE)),"",_xlfn.REGEXEXTRACT(CELL("address",Y32), "\$([A-Z]+)\$[0-9]+"))),_xlfn.REGEXEXTRACT(CELL("address",Y32), "\$([A-Z]+)\$[0-9]+"))</f>
        <v/>
      </c>
      <c r="Z32" s="7" t="str">
        <f t="array" aca="1" ref="Z32" ca="1">IFERROR(IF(OR('Raw Data'!Z32="",LEN(TRIM('Raw Data'!Z32))=0),"",IF(AND(ISNUMBER('Raw Data'!Z32), IFERROR('Raw Data'!Z32 = ROUND('Raw Data'!Z32, 2),FALSE)),"",_xlfn.REGEXEXTRACT(CELL("address",Z32), "\$([A-Z]+)\$[0-9]+"))),_xlfn.REGEXEXTRACT(CELL("address",Z32), "\$([A-Z]+)\$[0-9]+"))</f>
        <v/>
      </c>
      <c r="AA32" s="7" t="str">
        <f t="array" aca="1" ref="AA32" ca="1">IFERROR(IF(OR('Raw Data'!AA32="",LEN(TRIM('Raw Data'!AA32))=0),"",IF(AND(ISNUMBER('Raw Data'!AA32), IFERROR('Raw Data'!AA32 = ROUND('Raw Data'!AA32, 2),FALSE)),"",_xlfn.REGEXEXTRACT(CELL("address",AA32), "\$([A-Z]+)\$[0-9]+"))),_xlfn.REGEXEXTRACT(CELL("address",AA32), "\$([A-Z]+)\$[0-9]+"))</f>
        <v/>
      </c>
      <c r="AB32" s="7" t="str">
        <f t="array" aca="1" ref="AB32" ca="1">IFERROR(IF(OR('Raw Data'!AB32="",LEN(TRIM('Raw Data'!AB32))=0),"",IF(AND(ISNUMBER('Raw Data'!AB32), IFERROR('Raw Data'!AB32 = ROUND('Raw Data'!AB32, 2),FALSE)),"",_xlfn.REGEXEXTRACT(CELL("address",AB32), "\$([A-Z]+)\$[0-9]+"))),_xlfn.REGEXEXTRACT(CELL("address",AB32), "\$([A-Z]+)\$[0-9]+"))</f>
        <v/>
      </c>
      <c r="AC32" s="7" t="str">
        <f t="array" aca="1" ref="AC32" ca="1">IFERROR(IF(OR('Raw Data'!AC32="",LEN(TRIM('Raw Data'!AC32))=0),"",IF(AND(ISNUMBER('Raw Data'!AC32), IFERROR('Raw Data'!AC32 = ROUND('Raw Data'!AC32, 2),FALSE)),"",_xlfn.REGEXEXTRACT(CELL("address",AC32), "\$([A-Z]+)\$[0-9]+"))),_xlfn.REGEXEXTRACT(CELL("address",AC32), "\$([A-Z]+)\$[0-9]+"))</f>
        <v/>
      </c>
      <c r="AD32" s="7" t="str">
        <f t="array" aca="1" ref="AD32" ca="1">IFERROR(IF(OR('Raw Data'!AD32="",LEN(TRIM('Raw Data'!AD32))=0),"",IF(AND(ISNUMBER('Raw Data'!AD32), IFERROR('Raw Data'!AD32 = ROUND('Raw Data'!AD32, 2),FALSE)),"",_xlfn.REGEXEXTRACT(CELL("address",AD32), "\$([A-Z]+)\$[0-9]+"))),_xlfn.REGEXEXTRACT(CELL("address",AD32), "\$([A-Z]+)\$[0-9]+"))</f>
        <v/>
      </c>
      <c r="AE32" s="7" t="str">
        <f t="array" aca="1" ref="AE32" ca="1">IFERROR(IF(OR('Raw Data'!AE32="",LEN(TRIM('Raw Data'!AE32))=0),"",IF(AND(ISNUMBER('Raw Data'!AE32), IFERROR('Raw Data'!AE32 = ROUND('Raw Data'!AE32, 2),FALSE)),"",_xlfn.REGEXEXTRACT(CELL("address",AE32), "\$([A-Z]+)\$[0-9]+"))),_xlfn.REGEXEXTRACT(CELL("address",AE32), "\$([A-Z]+)\$[0-9]+"))</f>
        <v/>
      </c>
      <c r="AF32" s="7" t="str">
        <f t="array" aca="1" ref="AF32" ca="1">IFERROR(IF(OR('Raw Data'!AF32="",LEN(TRIM('Raw Data'!AF32))=0),"",IF(AND(ISNUMBER('Raw Data'!AF32), IFERROR('Raw Data'!AF32 = ROUND('Raw Data'!AF32, 2),FALSE)),"",_xlfn.REGEXEXTRACT(CELL("address",AF32), "\$([A-Z]+)\$[0-9]+"))),_xlfn.REGEXEXTRACT(CELL("address",AF32), "\$([A-Z]+)\$[0-9]+"))</f>
        <v/>
      </c>
      <c r="AG32" s="7" t="str">
        <f t="array" aca="1" ref="AG32" ca="1">IFERROR(IF(OR('Raw Data'!AG32="",LEN(TRIM('Raw Data'!AG32))=0),"",IF(AND(ISNUMBER('Raw Data'!AG32), IFERROR('Raw Data'!AG32 = ROUND('Raw Data'!AG32, 2),FALSE)),"",_xlfn.REGEXEXTRACT(CELL("address",AG32), "\$([A-Z]+)\$[0-9]+"))),_xlfn.REGEXEXTRACT(CELL("address",AG32), "\$([A-Z]+)\$[0-9]+"))</f>
        <v/>
      </c>
      <c r="AH32" s="7" t="str">
        <f t="array" aca="1" ref="AH32" ca="1">IFERROR(IF(OR('Raw Data'!AH32="",LEN(TRIM('Raw Data'!AH32))=0),"",IF(AND(ISNUMBER('Raw Data'!AH32), IFERROR('Raw Data'!AH32 = ROUND('Raw Data'!AH32, 2),FALSE)),"",_xlfn.REGEXEXTRACT(CELL("address",AH32), "\$([A-Z]+)\$[0-9]+"))),_xlfn.REGEXEXTRACT(CELL("address",AH32), "\$([A-Z]+)\$[0-9]+"))</f>
        <v/>
      </c>
      <c r="AI32" s="7" t="str">
        <f t="array" aca="1" ref="AI32" ca="1">IFERROR(IF(OR('Raw Data'!AI32="",LEN(TRIM('Raw Data'!AI32))=0),"",IF(AND(ISNUMBER('Raw Data'!AI32), IFERROR('Raw Data'!AI32 = ROUND('Raw Data'!AI32, 2),FALSE)),"",_xlfn.REGEXEXTRACT(CELL("address",AI32), "\$([A-Z]+)\$[0-9]+"))),_xlfn.REGEXEXTRACT(CELL("address",AI32), "\$([A-Z]+)\$[0-9]+"))</f>
        <v/>
      </c>
      <c r="AJ32" s="7" t="str">
        <f t="array" aca="1" ref="AJ32" ca="1">IFERROR(IF(OR('Raw Data'!AJ32="",LEN(TRIM('Raw Data'!AJ32))=0),"",IF(AND(ISNUMBER('Raw Data'!AJ32), IFERROR('Raw Data'!AJ32 = ROUND('Raw Data'!AJ32, 4),FALSE)),"",_xlfn.REGEXEXTRACT(CELL("address",AJ32), "\$([A-Z]+)\$[0-9]+"))),_xlfn.REGEXEXTRACT(CELL("address",AJ32), "\$([A-Z]+)\$[0-9]+"))</f>
        <v/>
      </c>
      <c r="AK32" s="7" t="str">
        <f t="array" aca="1" ref="AK32" ca="1">IFERROR(IF(OR('Raw Data'!AK32="",LEN(TRIM('Raw Data'!AK32))=0),"",IF(AND(ISNUMBER('Raw Data'!AK32), IFERROR('Raw Data'!AK32 = ROUND('Raw Data'!AK32, 2),FALSE)),"",_xlfn.REGEXEXTRACT(CELL("address",AK32), "\$([A-Z]+)\$[0-9]+"))),_xlfn.REGEXEXTRACT(CELL("address",AK32), "\$([A-Z]+)\$[0-9]+"))</f>
        <v/>
      </c>
      <c r="AL32" s="7" t="str">
        <f t="array" aca="1" ref="AL32" ca="1">IFERROR(IF(OR('Raw Data'!AL32="",LEN(TRIM('Raw Data'!AL32))=0),"",IF(AND(ISNUMBER('Raw Data'!AL32), IFERROR('Raw Data'!AL32 = ROUND('Raw Data'!AL32, 2),FALSE)),"",_xlfn.REGEXEXTRACT(CELL("address",AL32), "\$([A-Z]+)\$[0-9]+"))),_xlfn.REGEXEXTRACT(CELL("address",AL32), "\$([A-Z]+)\$[0-9]+"))</f>
        <v/>
      </c>
      <c r="AM32" s="7" t="str">
        <f t="array" aca="1" ref="AM32" ca="1">IFERROR(IF(OR('Raw Data'!AM32="",LEN(TRIM('Raw Data'!AM32))=0),"",IF(AND(ISNUMBER('Raw Data'!AM32), IFERROR('Raw Data'!AM32 = ROUND('Raw Data'!AM32, 2),FALSE)),"",_xlfn.REGEXEXTRACT(CELL("address",AM32), "\$([A-Z]+)\$[0-9]+"))),_xlfn.REGEXEXTRACT(CELL("address",AM32), "\$([A-Z]+)\$[0-9]+"))</f>
        <v/>
      </c>
      <c r="AN32" s="7" t="str">
        <f t="array" aca="1" ref="AN32" ca="1">IFERROR(IF(OR('Raw Data'!AN32="",LEN(TRIM('Raw Data'!AN32))=0),"",IF(AND(ISNUMBER('Raw Data'!AN32), IFERROR('Raw Data'!AN32 = ROUND('Raw Data'!AN32, 2),FALSE)),"",_xlfn.REGEXEXTRACT(CELL("address",AN32), "\$([A-Z]+)\$[0-9]+"))),_xlfn.REGEXEXTRACT(CELL("address",AN32), "\$([A-Z]+)\$[0-9]+"))</f>
        <v/>
      </c>
      <c r="AO32" s="7" t="str">
        <f t="array" aca="1" ref="AO32" ca="1">IFERROR(IF(OR('Raw Data'!AO32="",LEN(TRIM('Raw Data'!AO32))=0),"",IF(AND(ISNUMBER('Raw Data'!AO32), IFERROR('Raw Data'!AO32 = ROUND('Raw Data'!AO32, 2),FALSE)),"",_xlfn.REGEXEXTRACT(CELL("address",AO32), "\$([A-Z]+)\$[0-9]+"))),_xlfn.REGEXEXTRACT(CELL("address",AO32), "\$([A-Z]+)\$[0-9]+"))</f>
        <v/>
      </c>
      <c r="AP32" s="7" t="str">
        <f t="array" aca="1" ref="AP32" ca="1">IFERROR(IF(OR('Raw Data'!AP32="",LEN(TRIM('Raw Data'!AP32))=0),"",IF(AND(ISNUMBER('Raw Data'!AP32), IFERROR('Raw Data'!AP32 = ROUND('Raw Data'!AP32, 2),FALSE)),"",_xlfn.REGEXEXTRACT(CELL("address",AP32), "\$([A-Z]+)\$[0-9]+"))),_xlfn.REGEXEXTRACT(CELL("address",AP32), "\$([A-Z]+)\$[0-9]+"))</f>
        <v/>
      </c>
    </row>
    <row r="33" spans="2:42" x14ac:dyDescent="0.25">
      <c r="B33" s="7" t="str">
        <f t="array" aca="1" ref="B33" ca="1">IFERROR(IF(OR('Raw Data'!B33="",LEN(TRIM('Raw Data'!B33))=0),"",IF(AND(LEN('Raw Data'!B33) &lt;= 255,LEN('Raw Data'!B33)&gt; 0),"",_xlfn.REGEXEXTRACT(CELL("address",'Raw Data'!B33),"\$([A-Z]+)\$[0-9]+"))),_xlfn.REGEXEXTRACT(CELL("address",'Raw Data'!B33),"\$([A-Z]+)\$[0-9]+"))</f>
        <v/>
      </c>
      <c r="C33" s="7" t="str">
        <f t="array" aca="1" ref="C33" ca="1">IFERROR(IF(OR('Raw Data'!C33="",LEN(TRIM('Raw Data'!C33))=0),"",IF(AND(LEN('Raw Data'!C33) &lt;= 50,LEN('Raw Data'!C33)&gt; 0),"",_xlfn.REGEXEXTRACT(CELL("address",'Raw Data'!C33),"\$([A-Z]+)\$[0-9]+"))),_xlfn.REGEXEXTRACT(CELL("address",'Raw Data'!C33),"\$([A-Z]+)\$[0-9]+"))</f>
        <v/>
      </c>
      <c r="D33" s="7" t="str">
        <f t="array" aca="1" ref="D33" ca="1">IFERROR(IF(OR('Raw Data'!D33="",LEN(TRIM('Raw Data'!D33))=0),"",IF(AND(LEN('Raw Data'!D33) &lt;= 500,LEN('Raw Data'!D33)&gt; 0),"",_xlfn.REGEXEXTRACT(CELL("address",'Raw Data'!D33),"\$([A-Z]+)\$[0-9]+"))),_xlfn.REGEXEXTRACT(CELL("address",'Raw Data'!D33),"\$([A-Z]+)\$[0-9]+"))</f>
        <v/>
      </c>
      <c r="E33" s="7" t="str">
        <f t="array" aca="1" ref="E33" ca="1">IFERROR(IF(OR('Raw Data'!E33="",LEN(TRIM('Raw Data'!E33))=0),"",IF(AND(LEN('Raw Data'!E33) &lt;= 50,LEN('Raw Data'!E33)&gt; 0),"",_xlfn.REGEXEXTRACT(CELL("address",'Raw Data'!E33),"\$([A-Z]+)\$[0-9]+"))),_xlfn.REGEXEXTRACT(CELL("address",'Raw Data'!E33),"\$([A-Z]+)\$[0-9]+"))</f>
        <v/>
      </c>
      <c r="F33" s="7" t="str">
        <f t="array" aca="1" ref="F33" ca="1">IFERROR(IF(OR('Raw Data'!F33="",LEN(TRIM('Raw Data'!F33))=0),"",IF(AND(LEN('Raw Data'!F33) &lt;= 50,LEN('Raw Data'!F33)&gt; 0),"",_xlfn.REGEXEXTRACT(CELL("address",'Raw Data'!F33),"\$([A-Z]+)\$[0-9]+"))),_xlfn.REGEXEXTRACT(CELL("address",'Raw Data'!F33),"\$([A-Z]+)\$[0-9]+"))</f>
        <v/>
      </c>
      <c r="G33" s="7" t="str">
        <f t="array" aca="1" ref="G33" ca="1">IFERROR(IF(OR('Raw Data'!G33="",LEN(TRIM('Raw Data'!G33))=0),"",IF(AND(LEN('Raw Data'!G33) &lt;= 50,LEN('Raw Data'!G33)&gt; 0),"",_xlfn.REGEXEXTRACT(CELL("address",'Raw Data'!G33),"\$([A-Z]+)\$[0-9]+"))),_xlfn.REGEXEXTRACT(CELL("address",'Raw Data'!G33),"\$([A-Z]+)\$[0-9]+"))</f>
        <v/>
      </c>
      <c r="H33" s="7" t="str">
        <f t="array" aca="1" ref="H33" ca="1">IFERROR(IF(OR('Raw Data'!H33="",LEN(TRIM('Raw Data'!H33))=0),"",IF(AND(LEN('Raw Data'!H33) &lt;= 50,LEN('Raw Data'!H33)&gt; 0),"",_xlfn.REGEXEXTRACT(CELL("address",'Raw Data'!H33),"\$([A-Z]+)\$[0-9]+"))),_xlfn.REGEXEXTRACT(CELL("address",'Raw Data'!H33),"\$([A-Z]+)\$[0-9]+"))</f>
        <v/>
      </c>
      <c r="I33" s="7" t="str">
        <f t="array" aca="1" ref="I33" ca="1">IFERROR(IF(OR('Raw Data'!I33="",LEN(TRIM('Raw Data'!I33))=0),"",IF(AND(LEN('Raw Data'!I33) &lt;= 50,LEN('Raw Data'!I33)&gt; 0),"",_xlfn.REGEXEXTRACT(CELL("address",'Raw Data'!I33),"\$([A-Z]+)\$[0-9]+"))),_xlfn.REGEXEXTRACT(CELL("address",'Raw Data'!I33),"\$([A-Z]+)\$[0-9]+"))</f>
        <v/>
      </c>
      <c r="J33" s="7" t="str">
        <f t="array" aca="1" ref="J33" ca="1">IFERROR(IF(OR('Raw Data'!J33="",LEN(TRIM('Raw Data'!J33))=0),"",IF(AND(ISNUMBER('Raw Data'!J33), IFERROR('Raw Data'!J33 = ROUND('Raw Data'!J33, 2),FALSE)),"",_xlfn.REGEXEXTRACT(CELL("address",J33), "\$([A-Z]+)\$[0-9]+"))),_xlfn.REGEXEXTRACT(CELL("address",J33), "\$([A-Z]+)\$[0-9]+"))</f>
        <v/>
      </c>
      <c r="K33" s="7" t="str">
        <f t="array" aca="1" ref="K33" ca="1">IFERROR(IF(OR('Raw Data'!K33="",LEN(TRIM('Raw Data'!K33))=0),"",IF(AND(ISNUMBER('Raw Data'!K33), IFERROR('Raw Data'!K33 = ROUND('Raw Data'!K33, 2),FALSE)),"",_xlfn.REGEXEXTRACT(CELL("address",K33), "\$([A-Z]+)\$[0-9]+"))),_xlfn.REGEXEXTRACT(CELL("address",K33), "\$([A-Z]+)\$[0-9]+"))</f>
        <v/>
      </c>
      <c r="L33" s="7" t="str">
        <f t="array" aca="1" ref="L33" ca="1">IFERROR(IF(OR('Raw Data'!L33="",LEN(TRIM('Raw Data'!L33))=0),"",IF(AND(ISNUMBER('Raw Data'!L33), IFERROR('Raw Data'!L33 = ROUND('Raw Data'!L33, 2),FALSE)),"",_xlfn.REGEXEXTRACT(CELL("address",L33), "\$([A-Z]+)\$[0-9]+"))),_xlfn.REGEXEXTRACT(CELL("address",L33), "\$([A-Z]+)\$[0-9]+"))</f>
        <v/>
      </c>
      <c r="M33" s="7" t="str">
        <f t="array" aca="1" ref="M33" ca="1">IFERROR(IF(OR('Raw Data'!M33="",LEN(TRIM('Raw Data'!M33))=0),"",IF(AND(ISNUMBER('Raw Data'!M33), IFERROR('Raw Data'!M33 = ROUND('Raw Data'!M33, 2),FALSE)),"",_xlfn.REGEXEXTRACT(CELL("address",M33), "\$([A-Z]+)\$[0-9]+"))),_xlfn.REGEXEXTRACT(CELL("address",M33), "\$([A-Z]+)\$[0-9]+"))</f>
        <v/>
      </c>
      <c r="N33" s="7" t="str">
        <f t="array" aca="1" ref="N33" ca="1">IFERROR(IF(OR('Raw Data'!N33="",LEN(TRIM('Raw Data'!N33))=0),"",IF(AND(ISNUMBER('Raw Data'!N33), IFERROR('Raw Data'!N33 = ROUND('Raw Data'!N33, 2),FALSE)),"",_xlfn.REGEXEXTRACT(CELL("address",N33), "\$([A-Z]+)\$[0-9]+"))),_xlfn.REGEXEXTRACT(CELL("address",N33), "\$([A-Z]+)\$[0-9]+"))</f>
        <v/>
      </c>
      <c r="O33" s="7" t="str">
        <f t="array" aca="1" ref="O33" ca="1">IFERROR(IF(OR('Raw Data'!O33="",LEN(TRIM('Raw Data'!O33))=0),"",IF(AND(ISNUMBER('Raw Data'!O33),'Raw Data'!O33&gt;=Configuration!$D$2),"",_xlfn.REGEXEXTRACT(CELL("address",'Raw Data'!O33),"\$([A-Z]+)\$[0-9]+"))),_xlfn.REGEXEXTRACT(CELL("address",O33), "\$([A-Z]+)\$[0-9]+"))</f>
        <v/>
      </c>
      <c r="P33" s="7" t="str">
        <f t="array" aca="1" ref="P33" ca="1">IFERROR(IF(OR('Raw Data'!P33="",LEN(TRIM('Raw Data'!P33))=0),"",IF(AND(ISNUMBER('Raw Data'!P33), IFERROR('Raw Data'!P33 = ROUND('Raw Data'!P33, 2),FALSE)),"",_xlfn.REGEXEXTRACT(CELL("address",P33), "\$([A-Z]+)\$[0-9]+"))),_xlfn.REGEXEXTRACT(CELL("address",P33), "\$([A-Z]+)\$[0-9]+"))</f>
        <v/>
      </c>
      <c r="Q33" s="7" t="str">
        <f t="array" aca="1" ref="Q33" ca="1">IFERROR(IF(OR('Raw Data'!Q33="",LEN(TRIM('Raw Data'!Q33))=0),"",IF(AND(ISNUMBER('Raw Data'!Q33), IFERROR('Raw Data'!Q33 = ROUND('Raw Data'!Q33, 2),FALSE)),"",_xlfn.REGEXEXTRACT(CELL("address",Q33), "\$([A-Z]+)\$[0-9]+"))),_xlfn.REGEXEXTRACT(CELL("address",Q33), "\$([A-Z]+)\$[0-9]+"))</f>
        <v/>
      </c>
      <c r="R33" s="7" t="str">
        <f t="array" aca="1" ref="R33" ca="1">IFERROR(IF(OR('Raw Data'!R33="",LEN(TRIM('Raw Data'!R33))=0),"",IF(AND(LEN('Raw Data'!R33) &lt;= 50,LEN('Raw Data'!R33)&gt; 0),"",_xlfn.REGEXEXTRACT(CELL("address",'Raw Data'!R33),"\$([A-Z]+)\$[0-9]+"))),_xlfn.REGEXEXTRACT(CELL("address",'Raw Data'!R33),"\$([A-Z]+)\$[0-9]+"))</f>
        <v/>
      </c>
      <c r="S33" s="7" t="str">
        <f t="array" aca="1" ref="S33" ca="1">IFERROR(IF(OR('Raw Data'!S33="",LEN(TRIM('Raw Data'!S33))=0),"",IF(AND(LEN('Raw Data'!S33) &lt;= 50,LEN('Raw Data'!S33)&gt; 0),"",_xlfn.REGEXEXTRACT(CELL("address",'Raw Data'!S33),"\$([A-Z]+)\$[0-9]+"))),_xlfn.REGEXEXTRACT(CELL("address",'Raw Data'!S33),"\$([A-Z]+)\$[0-9]+"))</f>
        <v/>
      </c>
      <c r="T33" s="7" t="str">
        <f t="array" aca="1" ref="T33" ca="1">IFERROR(IF(OR('Raw Data'!T33="",LEN(TRIM('Raw Data'!T33))=0),"",IF(AND(ISNUMBER('Raw Data'!T33), IFERROR('Raw Data'!T33 = ROUND('Raw Data'!T33, 2),FALSE)),"",_xlfn.REGEXEXTRACT(CELL("address",T33), "\$([A-Z]+)\$[0-9]+"))),_xlfn.REGEXEXTRACT(CELL("address",T33), "\$([A-Z]+)\$[0-9]+"))</f>
        <v/>
      </c>
      <c r="U33" s="7" t="str">
        <f t="array" aca="1" ref="U33" ca="1">IFERROR(IF(OR('Raw Data'!U33="",LEN(TRIM('Raw Data'!U33))=0),"",IF(AND(ISNUMBER('Raw Data'!U33), IFERROR('Raw Data'!U33 = ROUND('Raw Data'!U33, 2),FALSE)),"",_xlfn.REGEXEXTRACT(CELL("address",U33), "\$([A-Z]+)\$[0-9]+"))),_xlfn.REGEXEXTRACT(CELL("address",U33), "\$([A-Z]+)\$[0-9]+"))</f>
        <v/>
      </c>
      <c r="V33" s="7" t="str">
        <f t="array" aca="1" ref="V33" ca="1">IFERROR(IF(OR('Raw Data'!V33="",LEN(TRIM('Raw Data'!V33))=0),"",IF(AND(ISNUMBER('Raw Data'!V33), IFERROR('Raw Data'!V33 = ROUND('Raw Data'!V33, 2),FALSE)),"",_xlfn.REGEXEXTRACT(CELL("address",V33), "\$([A-Z]+)\$[0-9]+"))),_xlfn.REGEXEXTRACT(CELL("address",V33), "\$([A-Z]+)\$[0-9]+"))</f>
        <v/>
      </c>
      <c r="W33" s="7" t="str">
        <f t="array" aca="1" ref="W33" ca="1">IFERROR(IF(OR('Raw Data'!W33="",LEN(TRIM('Raw Data'!W33))=0),"",IF(AND(ISNUMBER('Raw Data'!W33), IFERROR('Raw Data'!W33 = ROUND('Raw Data'!W33, 2),FALSE)),"",_xlfn.REGEXEXTRACT(CELL("address",W33), "\$([A-Z]+)\$[0-9]+"))),_xlfn.REGEXEXTRACT(CELL("address",W33), "\$([A-Z]+)\$[0-9]+"))</f>
        <v/>
      </c>
      <c r="X33" s="7" t="str">
        <f t="array" aca="1" ref="X33" ca="1">IFERROR(IF(OR('Raw Data'!X33="",LEN(TRIM('Raw Data'!X33))=0),"",IF(AND(ISNUMBER('Raw Data'!X33), IFERROR('Raw Data'!X33 = ROUND('Raw Data'!X33, 2),FALSE)),"",_xlfn.REGEXEXTRACT(CELL("address",X33), "\$([A-Z]+)\$[0-9]+"))),_xlfn.REGEXEXTRACT(CELL("address",X33), "\$([A-Z]+)\$[0-9]+"))</f>
        <v/>
      </c>
      <c r="Y33" s="7" t="str">
        <f t="array" aca="1" ref="Y33" ca="1">IFERROR(IF(OR('Raw Data'!Y33="",LEN(TRIM('Raw Data'!Y33))=0),"",IF(AND(ISNUMBER('Raw Data'!Y33), IFERROR('Raw Data'!Y33 = ROUND('Raw Data'!Y33, 2),FALSE)),"",_xlfn.REGEXEXTRACT(CELL("address",Y33), "\$([A-Z]+)\$[0-9]+"))),_xlfn.REGEXEXTRACT(CELL("address",Y33), "\$([A-Z]+)\$[0-9]+"))</f>
        <v/>
      </c>
      <c r="Z33" s="7" t="str">
        <f t="array" aca="1" ref="Z33" ca="1">IFERROR(IF(OR('Raw Data'!Z33="",LEN(TRIM('Raw Data'!Z33))=0),"",IF(AND(ISNUMBER('Raw Data'!Z33), IFERROR('Raw Data'!Z33 = ROUND('Raw Data'!Z33, 2),FALSE)),"",_xlfn.REGEXEXTRACT(CELL("address",Z33), "\$([A-Z]+)\$[0-9]+"))),_xlfn.REGEXEXTRACT(CELL("address",Z33), "\$([A-Z]+)\$[0-9]+"))</f>
        <v/>
      </c>
      <c r="AA33" s="7" t="str">
        <f t="array" aca="1" ref="AA33" ca="1">IFERROR(IF(OR('Raw Data'!AA33="",LEN(TRIM('Raw Data'!AA33))=0),"",IF(AND(ISNUMBER('Raw Data'!AA33), IFERROR('Raw Data'!AA33 = ROUND('Raw Data'!AA33, 2),FALSE)),"",_xlfn.REGEXEXTRACT(CELL("address",AA33), "\$([A-Z]+)\$[0-9]+"))),_xlfn.REGEXEXTRACT(CELL("address",AA33), "\$([A-Z]+)\$[0-9]+"))</f>
        <v/>
      </c>
      <c r="AB33" s="7" t="str">
        <f t="array" aca="1" ref="AB33" ca="1">IFERROR(IF(OR('Raw Data'!AB33="",LEN(TRIM('Raw Data'!AB33))=0),"",IF(AND(ISNUMBER('Raw Data'!AB33), IFERROR('Raw Data'!AB33 = ROUND('Raw Data'!AB33, 2),FALSE)),"",_xlfn.REGEXEXTRACT(CELL("address",AB33), "\$([A-Z]+)\$[0-9]+"))),_xlfn.REGEXEXTRACT(CELL("address",AB33), "\$([A-Z]+)\$[0-9]+"))</f>
        <v/>
      </c>
      <c r="AC33" s="7" t="str">
        <f t="array" aca="1" ref="AC33" ca="1">IFERROR(IF(OR('Raw Data'!AC33="",LEN(TRIM('Raw Data'!AC33))=0),"",IF(AND(ISNUMBER('Raw Data'!AC33), IFERROR('Raw Data'!AC33 = ROUND('Raw Data'!AC33, 2),FALSE)),"",_xlfn.REGEXEXTRACT(CELL("address",AC33), "\$([A-Z]+)\$[0-9]+"))),_xlfn.REGEXEXTRACT(CELL("address",AC33), "\$([A-Z]+)\$[0-9]+"))</f>
        <v/>
      </c>
      <c r="AD33" s="7" t="str">
        <f t="array" aca="1" ref="AD33" ca="1">IFERROR(IF(OR('Raw Data'!AD33="",LEN(TRIM('Raw Data'!AD33))=0),"",IF(AND(ISNUMBER('Raw Data'!AD33), IFERROR('Raw Data'!AD33 = ROUND('Raw Data'!AD33, 2),FALSE)),"",_xlfn.REGEXEXTRACT(CELL("address",AD33), "\$([A-Z]+)\$[0-9]+"))),_xlfn.REGEXEXTRACT(CELL("address",AD33), "\$([A-Z]+)\$[0-9]+"))</f>
        <v/>
      </c>
      <c r="AE33" s="7" t="str">
        <f t="array" aca="1" ref="AE33" ca="1">IFERROR(IF(OR('Raw Data'!AE33="",LEN(TRIM('Raw Data'!AE33))=0),"",IF(AND(ISNUMBER('Raw Data'!AE33), IFERROR('Raw Data'!AE33 = ROUND('Raw Data'!AE33, 2),FALSE)),"",_xlfn.REGEXEXTRACT(CELL("address",AE33), "\$([A-Z]+)\$[0-9]+"))),_xlfn.REGEXEXTRACT(CELL("address",AE33), "\$([A-Z]+)\$[0-9]+"))</f>
        <v/>
      </c>
      <c r="AF33" s="7" t="str">
        <f t="array" aca="1" ref="AF33" ca="1">IFERROR(IF(OR('Raw Data'!AF33="",LEN(TRIM('Raw Data'!AF33))=0),"",IF(AND(ISNUMBER('Raw Data'!AF33), IFERROR('Raw Data'!AF33 = ROUND('Raw Data'!AF33, 2),FALSE)),"",_xlfn.REGEXEXTRACT(CELL("address",AF33), "\$([A-Z]+)\$[0-9]+"))),_xlfn.REGEXEXTRACT(CELL("address",AF33), "\$([A-Z]+)\$[0-9]+"))</f>
        <v/>
      </c>
      <c r="AG33" s="7" t="str">
        <f t="array" aca="1" ref="AG33" ca="1">IFERROR(IF(OR('Raw Data'!AG33="",LEN(TRIM('Raw Data'!AG33))=0),"",IF(AND(ISNUMBER('Raw Data'!AG33), IFERROR('Raw Data'!AG33 = ROUND('Raw Data'!AG33, 2),FALSE)),"",_xlfn.REGEXEXTRACT(CELL("address",AG33), "\$([A-Z]+)\$[0-9]+"))),_xlfn.REGEXEXTRACT(CELL("address",AG33), "\$([A-Z]+)\$[0-9]+"))</f>
        <v/>
      </c>
      <c r="AH33" s="7" t="str">
        <f t="array" aca="1" ref="AH33" ca="1">IFERROR(IF(OR('Raw Data'!AH33="",LEN(TRIM('Raw Data'!AH33))=0),"",IF(AND(ISNUMBER('Raw Data'!AH33), IFERROR('Raw Data'!AH33 = ROUND('Raw Data'!AH33, 2),FALSE)),"",_xlfn.REGEXEXTRACT(CELL("address",AH33), "\$([A-Z]+)\$[0-9]+"))),_xlfn.REGEXEXTRACT(CELL("address",AH33), "\$([A-Z]+)\$[0-9]+"))</f>
        <v/>
      </c>
      <c r="AI33" s="7" t="str">
        <f t="array" aca="1" ref="AI33" ca="1">IFERROR(IF(OR('Raw Data'!AI33="",LEN(TRIM('Raw Data'!AI33))=0),"",IF(AND(ISNUMBER('Raw Data'!AI33), IFERROR('Raw Data'!AI33 = ROUND('Raw Data'!AI33, 2),FALSE)),"",_xlfn.REGEXEXTRACT(CELL("address",AI33), "\$([A-Z]+)\$[0-9]+"))),_xlfn.REGEXEXTRACT(CELL("address",AI33), "\$([A-Z]+)\$[0-9]+"))</f>
        <v/>
      </c>
      <c r="AJ33" s="7" t="str">
        <f t="array" aca="1" ref="AJ33" ca="1">IFERROR(IF(OR('Raw Data'!AJ33="",LEN(TRIM('Raw Data'!AJ33))=0),"",IF(AND(ISNUMBER('Raw Data'!AJ33), IFERROR('Raw Data'!AJ33 = ROUND('Raw Data'!AJ33, 4),FALSE)),"",_xlfn.REGEXEXTRACT(CELL("address",AJ33), "\$([A-Z]+)\$[0-9]+"))),_xlfn.REGEXEXTRACT(CELL("address",AJ33), "\$([A-Z]+)\$[0-9]+"))</f>
        <v/>
      </c>
      <c r="AK33" s="7" t="str">
        <f t="array" aca="1" ref="AK33" ca="1">IFERROR(IF(OR('Raw Data'!AK33="",LEN(TRIM('Raw Data'!AK33))=0),"",IF(AND(ISNUMBER('Raw Data'!AK33), IFERROR('Raw Data'!AK33 = ROUND('Raw Data'!AK33, 2),FALSE)),"",_xlfn.REGEXEXTRACT(CELL("address",AK33), "\$([A-Z]+)\$[0-9]+"))),_xlfn.REGEXEXTRACT(CELL("address",AK33), "\$([A-Z]+)\$[0-9]+"))</f>
        <v/>
      </c>
      <c r="AL33" s="7" t="str">
        <f t="array" aca="1" ref="AL33" ca="1">IFERROR(IF(OR('Raw Data'!AL33="",LEN(TRIM('Raw Data'!AL33))=0),"",IF(AND(ISNUMBER('Raw Data'!AL33), IFERROR('Raw Data'!AL33 = ROUND('Raw Data'!AL33, 2),FALSE)),"",_xlfn.REGEXEXTRACT(CELL("address",AL33), "\$([A-Z]+)\$[0-9]+"))),_xlfn.REGEXEXTRACT(CELL("address",AL33), "\$([A-Z]+)\$[0-9]+"))</f>
        <v/>
      </c>
      <c r="AM33" s="7" t="str">
        <f t="array" aca="1" ref="AM33" ca="1">IFERROR(IF(OR('Raw Data'!AM33="",LEN(TRIM('Raw Data'!AM33))=0),"",IF(AND(ISNUMBER('Raw Data'!AM33), IFERROR('Raw Data'!AM33 = ROUND('Raw Data'!AM33, 2),FALSE)),"",_xlfn.REGEXEXTRACT(CELL("address",AM33), "\$([A-Z]+)\$[0-9]+"))),_xlfn.REGEXEXTRACT(CELL("address",AM33), "\$([A-Z]+)\$[0-9]+"))</f>
        <v/>
      </c>
      <c r="AN33" s="7" t="str">
        <f t="array" aca="1" ref="AN33" ca="1">IFERROR(IF(OR('Raw Data'!AN33="",LEN(TRIM('Raw Data'!AN33))=0),"",IF(AND(ISNUMBER('Raw Data'!AN33), IFERROR('Raw Data'!AN33 = ROUND('Raw Data'!AN33, 2),FALSE)),"",_xlfn.REGEXEXTRACT(CELL("address",AN33), "\$([A-Z]+)\$[0-9]+"))),_xlfn.REGEXEXTRACT(CELL("address",AN33), "\$([A-Z]+)\$[0-9]+"))</f>
        <v/>
      </c>
      <c r="AO33" s="7" t="str">
        <f t="array" aca="1" ref="AO33" ca="1">IFERROR(IF(OR('Raw Data'!AO33="",LEN(TRIM('Raw Data'!AO33))=0),"",IF(AND(ISNUMBER('Raw Data'!AO33), IFERROR('Raw Data'!AO33 = ROUND('Raw Data'!AO33, 2),FALSE)),"",_xlfn.REGEXEXTRACT(CELL("address",AO33), "\$([A-Z]+)\$[0-9]+"))),_xlfn.REGEXEXTRACT(CELL("address",AO33), "\$([A-Z]+)\$[0-9]+"))</f>
        <v/>
      </c>
      <c r="AP33" s="7" t="str">
        <f t="array" aca="1" ref="AP33" ca="1">IFERROR(IF(OR('Raw Data'!AP33="",LEN(TRIM('Raw Data'!AP33))=0),"",IF(AND(ISNUMBER('Raw Data'!AP33), IFERROR('Raw Data'!AP33 = ROUND('Raw Data'!AP33, 2),FALSE)),"",_xlfn.REGEXEXTRACT(CELL("address",AP33), "\$([A-Z]+)\$[0-9]+"))),_xlfn.REGEXEXTRACT(CELL("address",AP33), "\$([A-Z]+)\$[0-9]+"))</f>
        <v/>
      </c>
    </row>
    <row r="34" spans="2:42" x14ac:dyDescent="0.25">
      <c r="B34" s="7" t="str">
        <f t="array" aca="1" ref="B34" ca="1">IFERROR(IF(OR('Raw Data'!B34="",LEN(TRIM('Raw Data'!B34))=0),"",IF(AND(LEN('Raw Data'!B34) &lt;= 255,LEN('Raw Data'!B34)&gt; 0),"",_xlfn.REGEXEXTRACT(CELL("address",'Raw Data'!B34),"\$([A-Z]+)\$[0-9]+"))),_xlfn.REGEXEXTRACT(CELL("address",'Raw Data'!B34),"\$([A-Z]+)\$[0-9]+"))</f>
        <v/>
      </c>
      <c r="C34" s="7" t="str">
        <f t="array" aca="1" ref="C34" ca="1">IFERROR(IF(OR('Raw Data'!C34="",LEN(TRIM('Raw Data'!C34))=0),"",IF(AND(LEN('Raw Data'!C34) &lt;= 50,LEN('Raw Data'!C34)&gt; 0),"",_xlfn.REGEXEXTRACT(CELL("address",'Raw Data'!C34),"\$([A-Z]+)\$[0-9]+"))),_xlfn.REGEXEXTRACT(CELL("address",'Raw Data'!C34),"\$([A-Z]+)\$[0-9]+"))</f>
        <v/>
      </c>
      <c r="D34" s="7" t="str">
        <f t="array" aca="1" ref="D34" ca="1">IFERROR(IF(OR('Raw Data'!D34="",LEN(TRIM('Raw Data'!D34))=0),"",IF(AND(LEN('Raw Data'!D34) &lt;= 500,LEN('Raw Data'!D34)&gt; 0),"",_xlfn.REGEXEXTRACT(CELL("address",'Raw Data'!D34),"\$([A-Z]+)\$[0-9]+"))),_xlfn.REGEXEXTRACT(CELL("address",'Raw Data'!D34),"\$([A-Z]+)\$[0-9]+"))</f>
        <v/>
      </c>
      <c r="E34" s="7" t="str">
        <f t="array" aca="1" ref="E34" ca="1">IFERROR(IF(OR('Raw Data'!E34="",LEN(TRIM('Raw Data'!E34))=0),"",IF(AND(LEN('Raw Data'!E34) &lt;= 50,LEN('Raw Data'!E34)&gt; 0),"",_xlfn.REGEXEXTRACT(CELL("address",'Raw Data'!E34),"\$([A-Z]+)\$[0-9]+"))),_xlfn.REGEXEXTRACT(CELL("address",'Raw Data'!E34),"\$([A-Z]+)\$[0-9]+"))</f>
        <v/>
      </c>
      <c r="F34" s="7" t="str">
        <f t="array" aca="1" ref="F34" ca="1">IFERROR(IF(OR('Raw Data'!F34="",LEN(TRIM('Raw Data'!F34))=0),"",IF(AND(LEN('Raw Data'!F34) &lt;= 50,LEN('Raw Data'!F34)&gt; 0),"",_xlfn.REGEXEXTRACT(CELL("address",'Raw Data'!F34),"\$([A-Z]+)\$[0-9]+"))),_xlfn.REGEXEXTRACT(CELL("address",'Raw Data'!F34),"\$([A-Z]+)\$[0-9]+"))</f>
        <v/>
      </c>
      <c r="G34" s="7" t="str">
        <f t="array" aca="1" ref="G34" ca="1">IFERROR(IF(OR('Raw Data'!G34="",LEN(TRIM('Raw Data'!G34))=0),"",IF(AND(LEN('Raw Data'!G34) &lt;= 50,LEN('Raw Data'!G34)&gt; 0),"",_xlfn.REGEXEXTRACT(CELL("address",'Raw Data'!G34),"\$([A-Z]+)\$[0-9]+"))),_xlfn.REGEXEXTRACT(CELL("address",'Raw Data'!G34),"\$([A-Z]+)\$[0-9]+"))</f>
        <v/>
      </c>
      <c r="H34" s="7" t="str">
        <f t="array" aca="1" ref="H34" ca="1">IFERROR(IF(OR('Raw Data'!H34="",LEN(TRIM('Raw Data'!H34))=0),"",IF(AND(LEN('Raw Data'!H34) &lt;= 50,LEN('Raw Data'!H34)&gt; 0),"",_xlfn.REGEXEXTRACT(CELL("address",'Raw Data'!H34),"\$([A-Z]+)\$[0-9]+"))),_xlfn.REGEXEXTRACT(CELL("address",'Raw Data'!H34),"\$([A-Z]+)\$[0-9]+"))</f>
        <v/>
      </c>
      <c r="I34" s="7" t="str">
        <f t="array" aca="1" ref="I34" ca="1">IFERROR(IF(OR('Raw Data'!I34="",LEN(TRIM('Raw Data'!I34))=0),"",IF(AND(LEN('Raw Data'!I34) &lt;= 50,LEN('Raw Data'!I34)&gt; 0),"",_xlfn.REGEXEXTRACT(CELL("address",'Raw Data'!I34),"\$([A-Z]+)\$[0-9]+"))),_xlfn.REGEXEXTRACT(CELL("address",'Raw Data'!I34),"\$([A-Z]+)\$[0-9]+"))</f>
        <v/>
      </c>
      <c r="J34" s="7" t="str">
        <f t="array" aca="1" ref="J34" ca="1">IFERROR(IF(OR('Raw Data'!J34="",LEN(TRIM('Raw Data'!J34))=0),"",IF(AND(ISNUMBER('Raw Data'!J34), IFERROR('Raw Data'!J34 = ROUND('Raw Data'!J34, 2),FALSE)),"",_xlfn.REGEXEXTRACT(CELL("address",J34), "\$([A-Z]+)\$[0-9]+"))),_xlfn.REGEXEXTRACT(CELL("address",J34), "\$([A-Z]+)\$[0-9]+"))</f>
        <v/>
      </c>
      <c r="K34" s="7" t="str">
        <f t="array" aca="1" ref="K34" ca="1">IFERROR(IF(OR('Raw Data'!K34="",LEN(TRIM('Raw Data'!K34))=0),"",IF(AND(ISNUMBER('Raw Data'!K34), IFERROR('Raw Data'!K34 = ROUND('Raw Data'!K34, 2),FALSE)),"",_xlfn.REGEXEXTRACT(CELL("address",K34), "\$([A-Z]+)\$[0-9]+"))),_xlfn.REGEXEXTRACT(CELL("address",K34), "\$([A-Z]+)\$[0-9]+"))</f>
        <v/>
      </c>
      <c r="L34" s="7" t="str">
        <f t="array" aca="1" ref="L34" ca="1">IFERROR(IF(OR('Raw Data'!L34="",LEN(TRIM('Raw Data'!L34))=0),"",IF(AND(ISNUMBER('Raw Data'!L34), IFERROR('Raw Data'!L34 = ROUND('Raw Data'!L34, 2),FALSE)),"",_xlfn.REGEXEXTRACT(CELL("address",L34), "\$([A-Z]+)\$[0-9]+"))),_xlfn.REGEXEXTRACT(CELL("address",L34), "\$([A-Z]+)\$[0-9]+"))</f>
        <v/>
      </c>
      <c r="M34" s="7" t="str">
        <f t="array" aca="1" ref="M34" ca="1">IFERROR(IF(OR('Raw Data'!M34="",LEN(TRIM('Raw Data'!M34))=0),"",IF(AND(ISNUMBER('Raw Data'!M34), IFERROR('Raw Data'!M34 = ROUND('Raw Data'!M34, 2),FALSE)),"",_xlfn.REGEXEXTRACT(CELL("address",M34), "\$([A-Z]+)\$[0-9]+"))),_xlfn.REGEXEXTRACT(CELL("address",M34), "\$([A-Z]+)\$[0-9]+"))</f>
        <v/>
      </c>
      <c r="N34" s="7" t="str">
        <f t="array" aca="1" ref="N34" ca="1">IFERROR(IF(OR('Raw Data'!N34="",LEN(TRIM('Raw Data'!N34))=0),"",IF(AND(ISNUMBER('Raw Data'!N34), IFERROR('Raw Data'!N34 = ROUND('Raw Data'!N34, 2),FALSE)),"",_xlfn.REGEXEXTRACT(CELL("address",N34), "\$([A-Z]+)\$[0-9]+"))),_xlfn.REGEXEXTRACT(CELL("address",N34), "\$([A-Z]+)\$[0-9]+"))</f>
        <v/>
      </c>
      <c r="O34" s="7" t="str">
        <f t="array" aca="1" ref="O34" ca="1">IFERROR(IF(OR('Raw Data'!O34="",LEN(TRIM('Raw Data'!O34))=0),"",IF(AND(ISNUMBER('Raw Data'!O34),'Raw Data'!O34&gt;=Configuration!$D$2),"",_xlfn.REGEXEXTRACT(CELL("address",'Raw Data'!O34),"\$([A-Z]+)\$[0-9]+"))),_xlfn.REGEXEXTRACT(CELL("address",O34), "\$([A-Z]+)\$[0-9]+"))</f>
        <v/>
      </c>
      <c r="P34" s="7" t="str">
        <f t="array" aca="1" ref="P34" ca="1">IFERROR(IF(OR('Raw Data'!P34="",LEN(TRIM('Raw Data'!P34))=0),"",IF(AND(ISNUMBER('Raw Data'!P34), IFERROR('Raw Data'!P34 = ROUND('Raw Data'!P34, 2),FALSE)),"",_xlfn.REGEXEXTRACT(CELL("address",P34), "\$([A-Z]+)\$[0-9]+"))),_xlfn.REGEXEXTRACT(CELL("address",P34), "\$([A-Z]+)\$[0-9]+"))</f>
        <v/>
      </c>
      <c r="Q34" s="7" t="str">
        <f t="array" aca="1" ref="Q34" ca="1">IFERROR(IF(OR('Raw Data'!Q34="",LEN(TRIM('Raw Data'!Q34))=0),"",IF(AND(ISNUMBER('Raw Data'!Q34), IFERROR('Raw Data'!Q34 = ROUND('Raw Data'!Q34, 2),FALSE)),"",_xlfn.REGEXEXTRACT(CELL("address",Q34), "\$([A-Z]+)\$[0-9]+"))),_xlfn.REGEXEXTRACT(CELL("address",Q34), "\$([A-Z]+)\$[0-9]+"))</f>
        <v/>
      </c>
      <c r="R34" s="7" t="str">
        <f t="array" aca="1" ref="R34" ca="1">IFERROR(IF(OR('Raw Data'!R34="",LEN(TRIM('Raw Data'!R34))=0),"",IF(AND(LEN('Raw Data'!R34) &lt;= 50,LEN('Raw Data'!R34)&gt; 0),"",_xlfn.REGEXEXTRACT(CELL("address",'Raw Data'!R34),"\$([A-Z]+)\$[0-9]+"))),_xlfn.REGEXEXTRACT(CELL("address",'Raw Data'!R34),"\$([A-Z]+)\$[0-9]+"))</f>
        <v/>
      </c>
      <c r="S34" s="7" t="str">
        <f t="array" aca="1" ref="S34" ca="1">IFERROR(IF(OR('Raw Data'!S34="",LEN(TRIM('Raw Data'!S34))=0),"",IF(AND(LEN('Raw Data'!S34) &lt;= 50,LEN('Raw Data'!S34)&gt; 0),"",_xlfn.REGEXEXTRACT(CELL("address",'Raw Data'!S34),"\$([A-Z]+)\$[0-9]+"))),_xlfn.REGEXEXTRACT(CELL("address",'Raw Data'!S34),"\$([A-Z]+)\$[0-9]+"))</f>
        <v/>
      </c>
      <c r="T34" s="7" t="str">
        <f t="array" aca="1" ref="T34" ca="1">IFERROR(IF(OR('Raw Data'!T34="",LEN(TRIM('Raw Data'!T34))=0),"",IF(AND(ISNUMBER('Raw Data'!T34), IFERROR('Raw Data'!T34 = ROUND('Raw Data'!T34, 2),FALSE)),"",_xlfn.REGEXEXTRACT(CELL("address",T34), "\$([A-Z]+)\$[0-9]+"))),_xlfn.REGEXEXTRACT(CELL("address",T34), "\$([A-Z]+)\$[0-9]+"))</f>
        <v/>
      </c>
      <c r="U34" s="7" t="str">
        <f t="array" aca="1" ref="U34" ca="1">IFERROR(IF(OR('Raw Data'!U34="",LEN(TRIM('Raw Data'!U34))=0),"",IF(AND(ISNUMBER('Raw Data'!U34), IFERROR('Raw Data'!U34 = ROUND('Raw Data'!U34, 2),FALSE)),"",_xlfn.REGEXEXTRACT(CELL("address",U34), "\$([A-Z]+)\$[0-9]+"))),_xlfn.REGEXEXTRACT(CELL("address",U34), "\$([A-Z]+)\$[0-9]+"))</f>
        <v/>
      </c>
      <c r="V34" s="7" t="str">
        <f t="array" aca="1" ref="V34" ca="1">IFERROR(IF(OR('Raw Data'!V34="",LEN(TRIM('Raw Data'!V34))=0),"",IF(AND(ISNUMBER('Raw Data'!V34), IFERROR('Raw Data'!V34 = ROUND('Raw Data'!V34, 2),FALSE)),"",_xlfn.REGEXEXTRACT(CELL("address",V34), "\$([A-Z]+)\$[0-9]+"))),_xlfn.REGEXEXTRACT(CELL("address",V34), "\$([A-Z]+)\$[0-9]+"))</f>
        <v/>
      </c>
      <c r="W34" s="7" t="str">
        <f t="array" aca="1" ref="W34" ca="1">IFERROR(IF(OR('Raw Data'!W34="",LEN(TRIM('Raw Data'!W34))=0),"",IF(AND(ISNUMBER('Raw Data'!W34), IFERROR('Raw Data'!W34 = ROUND('Raw Data'!W34, 2),FALSE)),"",_xlfn.REGEXEXTRACT(CELL("address",W34), "\$([A-Z]+)\$[0-9]+"))),_xlfn.REGEXEXTRACT(CELL("address",W34), "\$([A-Z]+)\$[0-9]+"))</f>
        <v/>
      </c>
      <c r="X34" s="7" t="str">
        <f t="array" aca="1" ref="X34" ca="1">IFERROR(IF(OR('Raw Data'!X34="",LEN(TRIM('Raw Data'!X34))=0),"",IF(AND(ISNUMBER('Raw Data'!X34), IFERROR('Raw Data'!X34 = ROUND('Raw Data'!X34, 2),FALSE)),"",_xlfn.REGEXEXTRACT(CELL("address",X34), "\$([A-Z]+)\$[0-9]+"))),_xlfn.REGEXEXTRACT(CELL("address",X34), "\$([A-Z]+)\$[0-9]+"))</f>
        <v/>
      </c>
      <c r="Y34" s="7" t="str">
        <f t="array" aca="1" ref="Y34" ca="1">IFERROR(IF(OR('Raw Data'!Y34="",LEN(TRIM('Raw Data'!Y34))=0),"",IF(AND(ISNUMBER('Raw Data'!Y34), IFERROR('Raw Data'!Y34 = ROUND('Raw Data'!Y34, 2),FALSE)),"",_xlfn.REGEXEXTRACT(CELL("address",Y34), "\$([A-Z]+)\$[0-9]+"))),_xlfn.REGEXEXTRACT(CELL("address",Y34), "\$([A-Z]+)\$[0-9]+"))</f>
        <v/>
      </c>
      <c r="Z34" s="7" t="str">
        <f t="array" aca="1" ref="Z34" ca="1">IFERROR(IF(OR('Raw Data'!Z34="",LEN(TRIM('Raw Data'!Z34))=0),"",IF(AND(ISNUMBER('Raw Data'!Z34), IFERROR('Raw Data'!Z34 = ROUND('Raw Data'!Z34, 2),FALSE)),"",_xlfn.REGEXEXTRACT(CELL("address",Z34), "\$([A-Z]+)\$[0-9]+"))),_xlfn.REGEXEXTRACT(CELL("address",Z34), "\$([A-Z]+)\$[0-9]+"))</f>
        <v/>
      </c>
      <c r="AA34" s="7" t="str">
        <f t="array" aca="1" ref="AA34" ca="1">IFERROR(IF(OR('Raw Data'!AA34="",LEN(TRIM('Raw Data'!AA34))=0),"",IF(AND(ISNUMBER('Raw Data'!AA34), IFERROR('Raw Data'!AA34 = ROUND('Raw Data'!AA34, 2),FALSE)),"",_xlfn.REGEXEXTRACT(CELL("address",AA34), "\$([A-Z]+)\$[0-9]+"))),_xlfn.REGEXEXTRACT(CELL("address",AA34), "\$([A-Z]+)\$[0-9]+"))</f>
        <v/>
      </c>
      <c r="AB34" s="7" t="str">
        <f t="array" aca="1" ref="AB34" ca="1">IFERROR(IF(OR('Raw Data'!AB34="",LEN(TRIM('Raw Data'!AB34))=0),"",IF(AND(ISNUMBER('Raw Data'!AB34), IFERROR('Raw Data'!AB34 = ROUND('Raw Data'!AB34, 2),FALSE)),"",_xlfn.REGEXEXTRACT(CELL("address",AB34), "\$([A-Z]+)\$[0-9]+"))),_xlfn.REGEXEXTRACT(CELL("address",AB34), "\$([A-Z]+)\$[0-9]+"))</f>
        <v/>
      </c>
      <c r="AC34" s="7" t="str">
        <f t="array" aca="1" ref="AC34" ca="1">IFERROR(IF(OR('Raw Data'!AC34="",LEN(TRIM('Raw Data'!AC34))=0),"",IF(AND(ISNUMBER('Raw Data'!AC34), IFERROR('Raw Data'!AC34 = ROUND('Raw Data'!AC34, 2),FALSE)),"",_xlfn.REGEXEXTRACT(CELL("address",AC34), "\$([A-Z]+)\$[0-9]+"))),_xlfn.REGEXEXTRACT(CELL("address",AC34), "\$([A-Z]+)\$[0-9]+"))</f>
        <v/>
      </c>
      <c r="AD34" s="7" t="str">
        <f t="array" aca="1" ref="AD34" ca="1">IFERROR(IF(OR('Raw Data'!AD34="",LEN(TRIM('Raw Data'!AD34))=0),"",IF(AND(ISNUMBER('Raw Data'!AD34), IFERROR('Raw Data'!AD34 = ROUND('Raw Data'!AD34, 2),FALSE)),"",_xlfn.REGEXEXTRACT(CELL("address",AD34), "\$([A-Z]+)\$[0-9]+"))),_xlfn.REGEXEXTRACT(CELL("address",AD34), "\$([A-Z]+)\$[0-9]+"))</f>
        <v/>
      </c>
      <c r="AE34" s="7" t="str">
        <f t="array" aca="1" ref="AE34" ca="1">IFERROR(IF(OR('Raw Data'!AE34="",LEN(TRIM('Raw Data'!AE34))=0),"",IF(AND(ISNUMBER('Raw Data'!AE34), IFERROR('Raw Data'!AE34 = ROUND('Raw Data'!AE34, 2),FALSE)),"",_xlfn.REGEXEXTRACT(CELL("address",AE34), "\$([A-Z]+)\$[0-9]+"))),_xlfn.REGEXEXTRACT(CELL("address",AE34), "\$([A-Z]+)\$[0-9]+"))</f>
        <v/>
      </c>
      <c r="AF34" s="7" t="str">
        <f t="array" aca="1" ref="AF34" ca="1">IFERROR(IF(OR('Raw Data'!AF34="",LEN(TRIM('Raw Data'!AF34))=0),"",IF(AND(ISNUMBER('Raw Data'!AF34), IFERROR('Raw Data'!AF34 = ROUND('Raw Data'!AF34, 2),FALSE)),"",_xlfn.REGEXEXTRACT(CELL("address",AF34), "\$([A-Z]+)\$[0-9]+"))),_xlfn.REGEXEXTRACT(CELL("address",AF34), "\$([A-Z]+)\$[0-9]+"))</f>
        <v/>
      </c>
      <c r="AG34" s="7" t="str">
        <f t="array" aca="1" ref="AG34" ca="1">IFERROR(IF(OR('Raw Data'!AG34="",LEN(TRIM('Raw Data'!AG34))=0),"",IF(AND(ISNUMBER('Raw Data'!AG34), IFERROR('Raw Data'!AG34 = ROUND('Raw Data'!AG34, 2),FALSE)),"",_xlfn.REGEXEXTRACT(CELL("address",AG34), "\$([A-Z]+)\$[0-9]+"))),_xlfn.REGEXEXTRACT(CELL("address",AG34), "\$([A-Z]+)\$[0-9]+"))</f>
        <v/>
      </c>
      <c r="AH34" s="7" t="str">
        <f t="array" aca="1" ref="AH34" ca="1">IFERROR(IF(OR('Raw Data'!AH34="",LEN(TRIM('Raw Data'!AH34))=0),"",IF(AND(ISNUMBER('Raw Data'!AH34), IFERROR('Raw Data'!AH34 = ROUND('Raw Data'!AH34, 2),FALSE)),"",_xlfn.REGEXEXTRACT(CELL("address",AH34), "\$([A-Z]+)\$[0-9]+"))),_xlfn.REGEXEXTRACT(CELL("address",AH34), "\$([A-Z]+)\$[0-9]+"))</f>
        <v/>
      </c>
      <c r="AI34" s="7" t="str">
        <f t="array" aca="1" ref="AI34" ca="1">IFERROR(IF(OR('Raw Data'!AI34="",LEN(TRIM('Raw Data'!AI34))=0),"",IF(AND(ISNUMBER('Raw Data'!AI34), IFERROR('Raw Data'!AI34 = ROUND('Raw Data'!AI34, 2),FALSE)),"",_xlfn.REGEXEXTRACT(CELL("address",AI34), "\$([A-Z]+)\$[0-9]+"))),_xlfn.REGEXEXTRACT(CELL("address",AI34), "\$([A-Z]+)\$[0-9]+"))</f>
        <v/>
      </c>
      <c r="AJ34" s="7" t="str">
        <f t="array" aca="1" ref="AJ34" ca="1">IFERROR(IF(OR('Raw Data'!AJ34="",LEN(TRIM('Raw Data'!AJ34))=0),"",IF(AND(ISNUMBER('Raw Data'!AJ34), IFERROR('Raw Data'!AJ34 = ROUND('Raw Data'!AJ34, 4),FALSE)),"",_xlfn.REGEXEXTRACT(CELL("address",AJ34), "\$([A-Z]+)\$[0-9]+"))),_xlfn.REGEXEXTRACT(CELL("address",AJ34), "\$([A-Z]+)\$[0-9]+"))</f>
        <v/>
      </c>
      <c r="AK34" s="7" t="str">
        <f t="array" aca="1" ref="AK34" ca="1">IFERROR(IF(OR('Raw Data'!AK34="",LEN(TRIM('Raw Data'!AK34))=0),"",IF(AND(ISNUMBER('Raw Data'!AK34), IFERROR('Raw Data'!AK34 = ROUND('Raw Data'!AK34, 2),FALSE)),"",_xlfn.REGEXEXTRACT(CELL("address",AK34), "\$([A-Z]+)\$[0-9]+"))),_xlfn.REGEXEXTRACT(CELL("address",AK34), "\$([A-Z]+)\$[0-9]+"))</f>
        <v/>
      </c>
      <c r="AL34" s="7" t="str">
        <f t="array" aca="1" ref="AL34" ca="1">IFERROR(IF(OR('Raw Data'!AL34="",LEN(TRIM('Raw Data'!AL34))=0),"",IF(AND(ISNUMBER('Raw Data'!AL34), IFERROR('Raw Data'!AL34 = ROUND('Raw Data'!AL34, 2),FALSE)),"",_xlfn.REGEXEXTRACT(CELL("address",AL34), "\$([A-Z]+)\$[0-9]+"))),_xlfn.REGEXEXTRACT(CELL("address",AL34), "\$([A-Z]+)\$[0-9]+"))</f>
        <v/>
      </c>
      <c r="AM34" s="7" t="str">
        <f t="array" aca="1" ref="AM34" ca="1">IFERROR(IF(OR('Raw Data'!AM34="",LEN(TRIM('Raw Data'!AM34))=0),"",IF(AND(ISNUMBER('Raw Data'!AM34), IFERROR('Raw Data'!AM34 = ROUND('Raw Data'!AM34, 2),FALSE)),"",_xlfn.REGEXEXTRACT(CELL("address",AM34), "\$([A-Z]+)\$[0-9]+"))),_xlfn.REGEXEXTRACT(CELL("address",AM34), "\$([A-Z]+)\$[0-9]+"))</f>
        <v/>
      </c>
      <c r="AN34" s="7" t="str">
        <f t="array" aca="1" ref="AN34" ca="1">IFERROR(IF(OR('Raw Data'!AN34="",LEN(TRIM('Raw Data'!AN34))=0),"",IF(AND(ISNUMBER('Raw Data'!AN34), IFERROR('Raw Data'!AN34 = ROUND('Raw Data'!AN34, 2),FALSE)),"",_xlfn.REGEXEXTRACT(CELL("address",AN34), "\$([A-Z]+)\$[0-9]+"))),_xlfn.REGEXEXTRACT(CELL("address",AN34), "\$([A-Z]+)\$[0-9]+"))</f>
        <v/>
      </c>
      <c r="AO34" s="7" t="str">
        <f t="array" aca="1" ref="AO34" ca="1">IFERROR(IF(OR('Raw Data'!AO34="",LEN(TRIM('Raw Data'!AO34))=0),"",IF(AND(ISNUMBER('Raw Data'!AO34), IFERROR('Raw Data'!AO34 = ROUND('Raw Data'!AO34, 2),FALSE)),"",_xlfn.REGEXEXTRACT(CELL("address",AO34), "\$([A-Z]+)\$[0-9]+"))),_xlfn.REGEXEXTRACT(CELL("address",AO34), "\$([A-Z]+)\$[0-9]+"))</f>
        <v/>
      </c>
      <c r="AP34" s="7" t="str">
        <f t="array" aca="1" ref="AP34" ca="1">IFERROR(IF(OR('Raw Data'!AP34="",LEN(TRIM('Raw Data'!AP34))=0),"",IF(AND(ISNUMBER('Raw Data'!AP34), IFERROR('Raw Data'!AP34 = ROUND('Raw Data'!AP34, 2),FALSE)),"",_xlfn.REGEXEXTRACT(CELL("address",AP34), "\$([A-Z]+)\$[0-9]+"))),_xlfn.REGEXEXTRACT(CELL("address",AP34), "\$([A-Z]+)\$[0-9]+"))</f>
        <v/>
      </c>
    </row>
    <row r="35" spans="2:42" x14ac:dyDescent="0.25">
      <c r="B35" s="7" t="str">
        <f t="array" aca="1" ref="B35" ca="1">IFERROR(IF(OR('Raw Data'!B35="",LEN(TRIM('Raw Data'!B35))=0),"",IF(AND(LEN('Raw Data'!B35) &lt;= 255,LEN('Raw Data'!B35)&gt; 0),"",_xlfn.REGEXEXTRACT(CELL("address",'Raw Data'!B35),"\$([A-Z]+)\$[0-9]+"))),_xlfn.REGEXEXTRACT(CELL("address",'Raw Data'!B35),"\$([A-Z]+)\$[0-9]+"))</f>
        <v/>
      </c>
      <c r="C35" s="7" t="str">
        <f t="array" aca="1" ref="C35" ca="1">IFERROR(IF(OR('Raw Data'!C35="",LEN(TRIM('Raw Data'!C35))=0),"",IF(AND(LEN('Raw Data'!C35) &lt;= 50,LEN('Raw Data'!C35)&gt; 0),"",_xlfn.REGEXEXTRACT(CELL("address",'Raw Data'!C35),"\$([A-Z]+)\$[0-9]+"))),_xlfn.REGEXEXTRACT(CELL("address",'Raw Data'!C35),"\$([A-Z]+)\$[0-9]+"))</f>
        <v/>
      </c>
      <c r="D35" s="7" t="str">
        <f t="array" aca="1" ref="D35" ca="1">IFERROR(IF(OR('Raw Data'!D35="",LEN(TRIM('Raw Data'!D35))=0),"",IF(AND(LEN('Raw Data'!D35) &lt;= 500,LEN('Raw Data'!D35)&gt; 0),"",_xlfn.REGEXEXTRACT(CELL("address",'Raw Data'!D35),"\$([A-Z]+)\$[0-9]+"))),_xlfn.REGEXEXTRACT(CELL("address",'Raw Data'!D35),"\$([A-Z]+)\$[0-9]+"))</f>
        <v/>
      </c>
      <c r="E35" s="7" t="str">
        <f t="array" aca="1" ref="E35" ca="1">IFERROR(IF(OR('Raw Data'!E35="",LEN(TRIM('Raw Data'!E35))=0),"",IF(AND(LEN('Raw Data'!E35) &lt;= 50,LEN('Raw Data'!E35)&gt; 0),"",_xlfn.REGEXEXTRACT(CELL("address",'Raw Data'!E35),"\$([A-Z]+)\$[0-9]+"))),_xlfn.REGEXEXTRACT(CELL("address",'Raw Data'!E35),"\$([A-Z]+)\$[0-9]+"))</f>
        <v/>
      </c>
      <c r="F35" s="7" t="str">
        <f t="array" aca="1" ref="F35" ca="1">IFERROR(IF(OR('Raw Data'!F35="",LEN(TRIM('Raw Data'!F35))=0),"",IF(AND(LEN('Raw Data'!F35) &lt;= 50,LEN('Raw Data'!F35)&gt; 0),"",_xlfn.REGEXEXTRACT(CELL("address",'Raw Data'!F35),"\$([A-Z]+)\$[0-9]+"))),_xlfn.REGEXEXTRACT(CELL("address",'Raw Data'!F35),"\$([A-Z]+)\$[0-9]+"))</f>
        <v/>
      </c>
      <c r="G35" s="7" t="str">
        <f t="array" aca="1" ref="G35" ca="1">IFERROR(IF(OR('Raw Data'!G35="",LEN(TRIM('Raw Data'!G35))=0),"",IF(AND(LEN('Raw Data'!G35) &lt;= 50,LEN('Raw Data'!G35)&gt; 0),"",_xlfn.REGEXEXTRACT(CELL("address",'Raw Data'!G35),"\$([A-Z]+)\$[0-9]+"))),_xlfn.REGEXEXTRACT(CELL("address",'Raw Data'!G35),"\$([A-Z]+)\$[0-9]+"))</f>
        <v/>
      </c>
      <c r="H35" s="7" t="str">
        <f t="array" aca="1" ref="H35" ca="1">IFERROR(IF(OR('Raw Data'!H35="",LEN(TRIM('Raw Data'!H35))=0),"",IF(AND(LEN('Raw Data'!H35) &lt;= 50,LEN('Raw Data'!H35)&gt; 0),"",_xlfn.REGEXEXTRACT(CELL("address",'Raw Data'!H35),"\$([A-Z]+)\$[0-9]+"))),_xlfn.REGEXEXTRACT(CELL("address",'Raw Data'!H35),"\$([A-Z]+)\$[0-9]+"))</f>
        <v/>
      </c>
      <c r="I35" s="7" t="str">
        <f t="array" aca="1" ref="I35" ca="1">IFERROR(IF(OR('Raw Data'!I35="",LEN(TRIM('Raw Data'!I35))=0),"",IF(AND(LEN('Raw Data'!I35) &lt;= 50,LEN('Raw Data'!I35)&gt; 0),"",_xlfn.REGEXEXTRACT(CELL("address",'Raw Data'!I35),"\$([A-Z]+)\$[0-9]+"))),_xlfn.REGEXEXTRACT(CELL("address",'Raw Data'!I35),"\$([A-Z]+)\$[0-9]+"))</f>
        <v/>
      </c>
      <c r="J35" s="7" t="str">
        <f t="array" aca="1" ref="J35" ca="1">IFERROR(IF(OR('Raw Data'!J35="",LEN(TRIM('Raw Data'!J35))=0),"",IF(AND(ISNUMBER('Raw Data'!J35), IFERROR('Raw Data'!J35 = ROUND('Raw Data'!J35, 2),FALSE)),"",_xlfn.REGEXEXTRACT(CELL("address",J35), "\$([A-Z]+)\$[0-9]+"))),_xlfn.REGEXEXTRACT(CELL("address",J35), "\$([A-Z]+)\$[0-9]+"))</f>
        <v/>
      </c>
      <c r="K35" s="7" t="str">
        <f t="array" aca="1" ref="K35" ca="1">IFERROR(IF(OR('Raw Data'!K35="",LEN(TRIM('Raw Data'!K35))=0),"",IF(AND(ISNUMBER('Raw Data'!K35), IFERROR('Raw Data'!K35 = ROUND('Raw Data'!K35, 2),FALSE)),"",_xlfn.REGEXEXTRACT(CELL("address",K35), "\$([A-Z]+)\$[0-9]+"))),_xlfn.REGEXEXTRACT(CELL("address",K35), "\$([A-Z]+)\$[0-9]+"))</f>
        <v/>
      </c>
      <c r="L35" s="7" t="str">
        <f t="array" aca="1" ref="L35" ca="1">IFERROR(IF(OR('Raw Data'!L35="",LEN(TRIM('Raw Data'!L35))=0),"",IF(AND(ISNUMBER('Raw Data'!L35), IFERROR('Raw Data'!L35 = ROUND('Raw Data'!L35, 2),FALSE)),"",_xlfn.REGEXEXTRACT(CELL("address",L35), "\$([A-Z]+)\$[0-9]+"))),_xlfn.REGEXEXTRACT(CELL("address",L35), "\$([A-Z]+)\$[0-9]+"))</f>
        <v/>
      </c>
      <c r="M35" s="7" t="str">
        <f t="array" aca="1" ref="M35" ca="1">IFERROR(IF(OR('Raw Data'!M35="",LEN(TRIM('Raw Data'!M35))=0),"",IF(AND(ISNUMBER('Raw Data'!M35), IFERROR('Raw Data'!M35 = ROUND('Raw Data'!M35, 2),FALSE)),"",_xlfn.REGEXEXTRACT(CELL("address",M35), "\$([A-Z]+)\$[0-9]+"))),_xlfn.REGEXEXTRACT(CELL("address",M35), "\$([A-Z]+)\$[0-9]+"))</f>
        <v/>
      </c>
      <c r="N35" s="7" t="str">
        <f t="array" aca="1" ref="N35" ca="1">IFERROR(IF(OR('Raw Data'!N35="",LEN(TRIM('Raw Data'!N35))=0),"",IF(AND(ISNUMBER('Raw Data'!N35), IFERROR('Raw Data'!N35 = ROUND('Raw Data'!N35, 2),FALSE)),"",_xlfn.REGEXEXTRACT(CELL("address",N35), "\$([A-Z]+)\$[0-9]+"))),_xlfn.REGEXEXTRACT(CELL("address",N35), "\$([A-Z]+)\$[0-9]+"))</f>
        <v/>
      </c>
      <c r="O35" s="7" t="str">
        <f t="array" aca="1" ref="O35" ca="1">IFERROR(IF(OR('Raw Data'!O35="",LEN(TRIM('Raw Data'!O35))=0),"",IF(AND(ISNUMBER('Raw Data'!O35),'Raw Data'!O35&gt;=Configuration!$D$2),"",_xlfn.REGEXEXTRACT(CELL("address",'Raw Data'!O35),"\$([A-Z]+)\$[0-9]+"))),_xlfn.REGEXEXTRACT(CELL("address",O35), "\$([A-Z]+)\$[0-9]+"))</f>
        <v/>
      </c>
      <c r="P35" s="7" t="str">
        <f t="array" aca="1" ref="P35" ca="1">IFERROR(IF(OR('Raw Data'!P35="",LEN(TRIM('Raw Data'!P35))=0),"",IF(AND(ISNUMBER('Raw Data'!P35), IFERROR('Raw Data'!P35 = ROUND('Raw Data'!P35, 2),FALSE)),"",_xlfn.REGEXEXTRACT(CELL("address",P35), "\$([A-Z]+)\$[0-9]+"))),_xlfn.REGEXEXTRACT(CELL("address",P35), "\$([A-Z]+)\$[0-9]+"))</f>
        <v/>
      </c>
      <c r="Q35" s="7" t="str">
        <f t="array" aca="1" ref="Q35" ca="1">IFERROR(IF(OR('Raw Data'!Q35="",LEN(TRIM('Raw Data'!Q35))=0),"",IF(AND(ISNUMBER('Raw Data'!Q35), IFERROR('Raw Data'!Q35 = ROUND('Raw Data'!Q35, 2),FALSE)),"",_xlfn.REGEXEXTRACT(CELL("address",Q35), "\$([A-Z]+)\$[0-9]+"))),_xlfn.REGEXEXTRACT(CELL("address",Q35), "\$([A-Z]+)\$[0-9]+"))</f>
        <v/>
      </c>
      <c r="R35" s="7" t="str">
        <f t="array" aca="1" ref="R35" ca="1">IFERROR(IF(OR('Raw Data'!R35="",LEN(TRIM('Raw Data'!R35))=0),"",IF(AND(LEN('Raw Data'!R35) &lt;= 50,LEN('Raw Data'!R35)&gt; 0),"",_xlfn.REGEXEXTRACT(CELL("address",'Raw Data'!R35),"\$([A-Z]+)\$[0-9]+"))),_xlfn.REGEXEXTRACT(CELL("address",'Raw Data'!R35),"\$([A-Z]+)\$[0-9]+"))</f>
        <v/>
      </c>
      <c r="S35" s="7" t="str">
        <f t="array" aca="1" ref="S35" ca="1">IFERROR(IF(OR('Raw Data'!S35="",LEN(TRIM('Raw Data'!S35))=0),"",IF(AND(LEN('Raw Data'!S35) &lt;= 50,LEN('Raw Data'!S35)&gt; 0),"",_xlfn.REGEXEXTRACT(CELL("address",'Raw Data'!S35),"\$([A-Z]+)\$[0-9]+"))),_xlfn.REGEXEXTRACT(CELL("address",'Raw Data'!S35),"\$([A-Z]+)\$[0-9]+"))</f>
        <v/>
      </c>
      <c r="T35" s="7" t="str">
        <f t="array" aca="1" ref="T35" ca="1">IFERROR(IF(OR('Raw Data'!T35="",LEN(TRIM('Raw Data'!T35))=0),"",IF(AND(ISNUMBER('Raw Data'!T35), IFERROR('Raw Data'!T35 = ROUND('Raw Data'!T35, 2),FALSE)),"",_xlfn.REGEXEXTRACT(CELL("address",T35), "\$([A-Z]+)\$[0-9]+"))),_xlfn.REGEXEXTRACT(CELL("address",T35), "\$([A-Z]+)\$[0-9]+"))</f>
        <v/>
      </c>
      <c r="U35" s="7" t="str">
        <f t="array" aca="1" ref="U35" ca="1">IFERROR(IF(OR('Raw Data'!U35="",LEN(TRIM('Raw Data'!U35))=0),"",IF(AND(ISNUMBER('Raw Data'!U35), IFERROR('Raw Data'!U35 = ROUND('Raw Data'!U35, 2),FALSE)),"",_xlfn.REGEXEXTRACT(CELL("address",U35), "\$([A-Z]+)\$[0-9]+"))),_xlfn.REGEXEXTRACT(CELL("address",U35), "\$([A-Z]+)\$[0-9]+"))</f>
        <v/>
      </c>
      <c r="V35" s="7" t="str">
        <f t="array" aca="1" ref="V35" ca="1">IFERROR(IF(OR('Raw Data'!V35="",LEN(TRIM('Raw Data'!V35))=0),"",IF(AND(ISNUMBER('Raw Data'!V35), IFERROR('Raw Data'!V35 = ROUND('Raw Data'!V35, 2),FALSE)),"",_xlfn.REGEXEXTRACT(CELL("address",V35), "\$([A-Z]+)\$[0-9]+"))),_xlfn.REGEXEXTRACT(CELL("address",V35), "\$([A-Z]+)\$[0-9]+"))</f>
        <v/>
      </c>
      <c r="W35" s="7" t="str">
        <f t="array" aca="1" ref="W35" ca="1">IFERROR(IF(OR('Raw Data'!W35="",LEN(TRIM('Raw Data'!W35))=0),"",IF(AND(ISNUMBER('Raw Data'!W35), IFERROR('Raw Data'!W35 = ROUND('Raw Data'!W35, 2),FALSE)),"",_xlfn.REGEXEXTRACT(CELL("address",W35), "\$([A-Z]+)\$[0-9]+"))),_xlfn.REGEXEXTRACT(CELL("address",W35), "\$([A-Z]+)\$[0-9]+"))</f>
        <v/>
      </c>
      <c r="X35" s="7" t="str">
        <f t="array" aca="1" ref="X35" ca="1">IFERROR(IF(OR('Raw Data'!X35="",LEN(TRIM('Raw Data'!X35))=0),"",IF(AND(ISNUMBER('Raw Data'!X35), IFERROR('Raw Data'!X35 = ROUND('Raw Data'!X35, 2),FALSE)),"",_xlfn.REGEXEXTRACT(CELL("address",X35), "\$([A-Z]+)\$[0-9]+"))),_xlfn.REGEXEXTRACT(CELL("address",X35), "\$([A-Z]+)\$[0-9]+"))</f>
        <v/>
      </c>
      <c r="Y35" s="7" t="str">
        <f t="array" aca="1" ref="Y35" ca="1">IFERROR(IF(OR('Raw Data'!Y35="",LEN(TRIM('Raw Data'!Y35))=0),"",IF(AND(ISNUMBER('Raw Data'!Y35), IFERROR('Raw Data'!Y35 = ROUND('Raw Data'!Y35, 2),FALSE)),"",_xlfn.REGEXEXTRACT(CELL("address",Y35), "\$([A-Z]+)\$[0-9]+"))),_xlfn.REGEXEXTRACT(CELL("address",Y35), "\$([A-Z]+)\$[0-9]+"))</f>
        <v/>
      </c>
      <c r="Z35" s="7" t="str">
        <f t="array" aca="1" ref="Z35" ca="1">IFERROR(IF(OR('Raw Data'!Z35="",LEN(TRIM('Raw Data'!Z35))=0),"",IF(AND(ISNUMBER('Raw Data'!Z35), IFERROR('Raw Data'!Z35 = ROUND('Raw Data'!Z35, 2),FALSE)),"",_xlfn.REGEXEXTRACT(CELL("address",Z35), "\$([A-Z]+)\$[0-9]+"))),_xlfn.REGEXEXTRACT(CELL("address",Z35), "\$([A-Z]+)\$[0-9]+"))</f>
        <v/>
      </c>
      <c r="AA35" s="7" t="str">
        <f t="array" aca="1" ref="AA35" ca="1">IFERROR(IF(OR('Raw Data'!AA35="",LEN(TRIM('Raw Data'!AA35))=0),"",IF(AND(ISNUMBER('Raw Data'!AA35), IFERROR('Raw Data'!AA35 = ROUND('Raw Data'!AA35, 2),FALSE)),"",_xlfn.REGEXEXTRACT(CELL("address",AA35), "\$([A-Z]+)\$[0-9]+"))),_xlfn.REGEXEXTRACT(CELL("address",AA35), "\$([A-Z]+)\$[0-9]+"))</f>
        <v/>
      </c>
      <c r="AB35" s="7" t="str">
        <f t="array" aca="1" ref="AB35" ca="1">IFERROR(IF(OR('Raw Data'!AB35="",LEN(TRIM('Raw Data'!AB35))=0),"",IF(AND(ISNUMBER('Raw Data'!AB35), IFERROR('Raw Data'!AB35 = ROUND('Raw Data'!AB35, 2),FALSE)),"",_xlfn.REGEXEXTRACT(CELL("address",AB35), "\$([A-Z]+)\$[0-9]+"))),_xlfn.REGEXEXTRACT(CELL("address",AB35), "\$([A-Z]+)\$[0-9]+"))</f>
        <v/>
      </c>
      <c r="AC35" s="7" t="str">
        <f t="array" aca="1" ref="AC35" ca="1">IFERROR(IF(OR('Raw Data'!AC35="",LEN(TRIM('Raw Data'!AC35))=0),"",IF(AND(ISNUMBER('Raw Data'!AC35), IFERROR('Raw Data'!AC35 = ROUND('Raw Data'!AC35, 2),FALSE)),"",_xlfn.REGEXEXTRACT(CELL("address",AC35), "\$([A-Z]+)\$[0-9]+"))),_xlfn.REGEXEXTRACT(CELL("address",AC35), "\$([A-Z]+)\$[0-9]+"))</f>
        <v/>
      </c>
      <c r="AD35" s="7" t="str">
        <f t="array" aca="1" ref="AD35" ca="1">IFERROR(IF(OR('Raw Data'!AD35="",LEN(TRIM('Raw Data'!AD35))=0),"",IF(AND(ISNUMBER('Raw Data'!AD35), IFERROR('Raw Data'!AD35 = ROUND('Raw Data'!AD35, 2),FALSE)),"",_xlfn.REGEXEXTRACT(CELL("address",AD35), "\$([A-Z]+)\$[0-9]+"))),_xlfn.REGEXEXTRACT(CELL("address",AD35), "\$([A-Z]+)\$[0-9]+"))</f>
        <v/>
      </c>
      <c r="AE35" s="7" t="str">
        <f t="array" aca="1" ref="AE35" ca="1">IFERROR(IF(OR('Raw Data'!AE35="",LEN(TRIM('Raw Data'!AE35))=0),"",IF(AND(ISNUMBER('Raw Data'!AE35), IFERROR('Raw Data'!AE35 = ROUND('Raw Data'!AE35, 2),FALSE)),"",_xlfn.REGEXEXTRACT(CELL("address",AE35), "\$([A-Z]+)\$[0-9]+"))),_xlfn.REGEXEXTRACT(CELL("address",AE35), "\$([A-Z]+)\$[0-9]+"))</f>
        <v/>
      </c>
      <c r="AF35" s="7" t="str">
        <f t="array" aca="1" ref="AF35" ca="1">IFERROR(IF(OR('Raw Data'!AF35="",LEN(TRIM('Raw Data'!AF35))=0),"",IF(AND(ISNUMBER('Raw Data'!AF35), IFERROR('Raw Data'!AF35 = ROUND('Raw Data'!AF35, 2),FALSE)),"",_xlfn.REGEXEXTRACT(CELL("address",AF35), "\$([A-Z]+)\$[0-9]+"))),_xlfn.REGEXEXTRACT(CELL("address",AF35), "\$([A-Z]+)\$[0-9]+"))</f>
        <v/>
      </c>
      <c r="AG35" s="7" t="str">
        <f t="array" aca="1" ref="AG35" ca="1">IFERROR(IF(OR('Raw Data'!AG35="",LEN(TRIM('Raw Data'!AG35))=0),"",IF(AND(ISNUMBER('Raw Data'!AG35), IFERROR('Raw Data'!AG35 = ROUND('Raw Data'!AG35, 2),FALSE)),"",_xlfn.REGEXEXTRACT(CELL("address",AG35), "\$([A-Z]+)\$[0-9]+"))),_xlfn.REGEXEXTRACT(CELL("address",AG35), "\$([A-Z]+)\$[0-9]+"))</f>
        <v/>
      </c>
      <c r="AH35" s="7" t="str">
        <f t="array" aca="1" ref="AH35" ca="1">IFERROR(IF(OR('Raw Data'!AH35="",LEN(TRIM('Raw Data'!AH35))=0),"",IF(AND(ISNUMBER('Raw Data'!AH35), IFERROR('Raw Data'!AH35 = ROUND('Raw Data'!AH35, 2),FALSE)),"",_xlfn.REGEXEXTRACT(CELL("address",AH35), "\$([A-Z]+)\$[0-9]+"))),_xlfn.REGEXEXTRACT(CELL("address",AH35), "\$([A-Z]+)\$[0-9]+"))</f>
        <v/>
      </c>
      <c r="AI35" s="7" t="str">
        <f t="array" aca="1" ref="AI35" ca="1">IFERROR(IF(OR('Raw Data'!AI35="",LEN(TRIM('Raw Data'!AI35))=0),"",IF(AND(ISNUMBER('Raw Data'!AI35), IFERROR('Raw Data'!AI35 = ROUND('Raw Data'!AI35, 2),FALSE)),"",_xlfn.REGEXEXTRACT(CELL("address",AI35), "\$([A-Z]+)\$[0-9]+"))),_xlfn.REGEXEXTRACT(CELL("address",AI35), "\$([A-Z]+)\$[0-9]+"))</f>
        <v/>
      </c>
      <c r="AJ35" s="7" t="str">
        <f t="array" aca="1" ref="AJ35" ca="1">IFERROR(IF(OR('Raw Data'!AJ35="",LEN(TRIM('Raw Data'!AJ35))=0),"",IF(AND(ISNUMBER('Raw Data'!AJ35), IFERROR('Raw Data'!AJ35 = ROUND('Raw Data'!AJ35, 4),FALSE)),"",_xlfn.REGEXEXTRACT(CELL("address",AJ35), "\$([A-Z]+)\$[0-9]+"))),_xlfn.REGEXEXTRACT(CELL("address",AJ35), "\$([A-Z]+)\$[0-9]+"))</f>
        <v/>
      </c>
      <c r="AK35" s="7" t="str">
        <f t="array" aca="1" ref="AK35" ca="1">IFERROR(IF(OR('Raw Data'!AK35="",LEN(TRIM('Raw Data'!AK35))=0),"",IF(AND(ISNUMBER('Raw Data'!AK35), IFERROR('Raw Data'!AK35 = ROUND('Raw Data'!AK35, 2),FALSE)),"",_xlfn.REGEXEXTRACT(CELL("address",AK35), "\$([A-Z]+)\$[0-9]+"))),_xlfn.REGEXEXTRACT(CELL("address",AK35), "\$([A-Z]+)\$[0-9]+"))</f>
        <v/>
      </c>
      <c r="AL35" s="7" t="str">
        <f t="array" aca="1" ref="AL35" ca="1">IFERROR(IF(OR('Raw Data'!AL35="",LEN(TRIM('Raw Data'!AL35))=0),"",IF(AND(ISNUMBER('Raw Data'!AL35), IFERROR('Raw Data'!AL35 = ROUND('Raw Data'!AL35, 2),FALSE)),"",_xlfn.REGEXEXTRACT(CELL("address",AL35), "\$([A-Z]+)\$[0-9]+"))),_xlfn.REGEXEXTRACT(CELL("address",AL35), "\$([A-Z]+)\$[0-9]+"))</f>
        <v/>
      </c>
      <c r="AM35" s="7" t="str">
        <f t="array" aca="1" ref="AM35" ca="1">IFERROR(IF(OR('Raw Data'!AM35="",LEN(TRIM('Raw Data'!AM35))=0),"",IF(AND(ISNUMBER('Raw Data'!AM35), IFERROR('Raw Data'!AM35 = ROUND('Raw Data'!AM35, 2),FALSE)),"",_xlfn.REGEXEXTRACT(CELL("address",AM35), "\$([A-Z]+)\$[0-9]+"))),_xlfn.REGEXEXTRACT(CELL("address",AM35), "\$([A-Z]+)\$[0-9]+"))</f>
        <v/>
      </c>
      <c r="AN35" s="7" t="str">
        <f t="array" aca="1" ref="AN35" ca="1">IFERROR(IF(OR('Raw Data'!AN35="",LEN(TRIM('Raw Data'!AN35))=0),"",IF(AND(ISNUMBER('Raw Data'!AN35), IFERROR('Raw Data'!AN35 = ROUND('Raw Data'!AN35, 2),FALSE)),"",_xlfn.REGEXEXTRACT(CELL("address",AN35), "\$([A-Z]+)\$[0-9]+"))),_xlfn.REGEXEXTRACT(CELL("address",AN35), "\$([A-Z]+)\$[0-9]+"))</f>
        <v/>
      </c>
      <c r="AO35" s="7" t="str">
        <f t="array" aca="1" ref="AO35" ca="1">IFERROR(IF(OR('Raw Data'!AO35="",LEN(TRIM('Raw Data'!AO35))=0),"",IF(AND(ISNUMBER('Raw Data'!AO35), IFERROR('Raw Data'!AO35 = ROUND('Raw Data'!AO35, 2),FALSE)),"",_xlfn.REGEXEXTRACT(CELL("address",AO35), "\$([A-Z]+)\$[0-9]+"))),_xlfn.REGEXEXTRACT(CELL("address",AO35), "\$([A-Z]+)\$[0-9]+"))</f>
        <v/>
      </c>
      <c r="AP35" s="7" t="str">
        <f t="array" aca="1" ref="AP35" ca="1">IFERROR(IF(OR('Raw Data'!AP35="",LEN(TRIM('Raw Data'!AP35))=0),"",IF(AND(ISNUMBER('Raw Data'!AP35), IFERROR('Raw Data'!AP35 = ROUND('Raw Data'!AP35, 2),FALSE)),"",_xlfn.REGEXEXTRACT(CELL("address",AP35), "\$([A-Z]+)\$[0-9]+"))),_xlfn.REGEXEXTRACT(CELL("address",AP35), "\$([A-Z]+)\$[0-9]+"))</f>
        <v/>
      </c>
    </row>
    <row r="36" spans="2:42" x14ac:dyDescent="0.25">
      <c r="B36" s="7" t="str">
        <f t="array" aca="1" ref="B36" ca="1">IFERROR(IF(OR('Raw Data'!B36="",LEN(TRIM('Raw Data'!B36))=0),"",IF(AND(LEN('Raw Data'!B36) &lt;= 255,LEN('Raw Data'!B36)&gt; 0),"",_xlfn.REGEXEXTRACT(CELL("address",'Raw Data'!B36),"\$([A-Z]+)\$[0-9]+"))),_xlfn.REGEXEXTRACT(CELL("address",'Raw Data'!B36),"\$([A-Z]+)\$[0-9]+"))</f>
        <v/>
      </c>
      <c r="C36" s="7" t="str">
        <f t="array" aca="1" ref="C36" ca="1">IFERROR(IF(OR('Raw Data'!C36="",LEN(TRIM('Raw Data'!C36))=0),"",IF(AND(LEN('Raw Data'!C36) &lt;= 50,LEN('Raw Data'!C36)&gt; 0),"",_xlfn.REGEXEXTRACT(CELL("address",'Raw Data'!C36),"\$([A-Z]+)\$[0-9]+"))),_xlfn.REGEXEXTRACT(CELL("address",'Raw Data'!C36),"\$([A-Z]+)\$[0-9]+"))</f>
        <v/>
      </c>
      <c r="D36" s="7" t="str">
        <f t="array" aca="1" ref="D36" ca="1">IFERROR(IF(OR('Raw Data'!D36="",LEN(TRIM('Raw Data'!D36))=0),"",IF(AND(LEN('Raw Data'!D36) &lt;= 500,LEN('Raw Data'!D36)&gt; 0),"",_xlfn.REGEXEXTRACT(CELL("address",'Raw Data'!D36),"\$([A-Z]+)\$[0-9]+"))),_xlfn.REGEXEXTRACT(CELL("address",'Raw Data'!D36),"\$([A-Z]+)\$[0-9]+"))</f>
        <v/>
      </c>
      <c r="E36" s="7" t="str">
        <f t="array" aca="1" ref="E36" ca="1">IFERROR(IF(OR('Raw Data'!E36="",LEN(TRIM('Raw Data'!E36))=0),"",IF(AND(LEN('Raw Data'!E36) &lt;= 50,LEN('Raw Data'!E36)&gt; 0),"",_xlfn.REGEXEXTRACT(CELL("address",'Raw Data'!E36),"\$([A-Z]+)\$[0-9]+"))),_xlfn.REGEXEXTRACT(CELL("address",'Raw Data'!E36),"\$([A-Z]+)\$[0-9]+"))</f>
        <v/>
      </c>
      <c r="F36" s="7" t="str">
        <f t="array" aca="1" ref="F36" ca="1">IFERROR(IF(OR('Raw Data'!F36="",LEN(TRIM('Raw Data'!F36))=0),"",IF(AND(LEN('Raw Data'!F36) &lt;= 50,LEN('Raw Data'!F36)&gt; 0),"",_xlfn.REGEXEXTRACT(CELL("address",'Raw Data'!F36),"\$([A-Z]+)\$[0-9]+"))),_xlfn.REGEXEXTRACT(CELL("address",'Raw Data'!F36),"\$([A-Z]+)\$[0-9]+"))</f>
        <v/>
      </c>
      <c r="G36" s="7" t="str">
        <f t="array" aca="1" ref="G36" ca="1">IFERROR(IF(OR('Raw Data'!G36="",LEN(TRIM('Raw Data'!G36))=0),"",IF(AND(LEN('Raw Data'!G36) &lt;= 50,LEN('Raw Data'!G36)&gt; 0),"",_xlfn.REGEXEXTRACT(CELL("address",'Raw Data'!G36),"\$([A-Z]+)\$[0-9]+"))),_xlfn.REGEXEXTRACT(CELL("address",'Raw Data'!G36),"\$([A-Z]+)\$[0-9]+"))</f>
        <v/>
      </c>
      <c r="H36" s="7" t="str">
        <f t="array" aca="1" ref="H36" ca="1">IFERROR(IF(OR('Raw Data'!H36="",LEN(TRIM('Raw Data'!H36))=0),"",IF(AND(LEN('Raw Data'!H36) &lt;= 50,LEN('Raw Data'!H36)&gt; 0),"",_xlfn.REGEXEXTRACT(CELL("address",'Raw Data'!H36),"\$([A-Z]+)\$[0-9]+"))),_xlfn.REGEXEXTRACT(CELL("address",'Raw Data'!H36),"\$([A-Z]+)\$[0-9]+"))</f>
        <v/>
      </c>
      <c r="I36" s="7" t="str">
        <f t="array" aca="1" ref="I36" ca="1">IFERROR(IF(OR('Raw Data'!I36="",LEN(TRIM('Raw Data'!I36))=0),"",IF(AND(LEN('Raw Data'!I36) &lt;= 50,LEN('Raw Data'!I36)&gt; 0),"",_xlfn.REGEXEXTRACT(CELL("address",'Raw Data'!I36),"\$([A-Z]+)\$[0-9]+"))),_xlfn.REGEXEXTRACT(CELL("address",'Raw Data'!I36),"\$([A-Z]+)\$[0-9]+"))</f>
        <v/>
      </c>
      <c r="J36" s="7" t="str">
        <f t="array" aca="1" ref="J36" ca="1">IFERROR(IF(OR('Raw Data'!J36="",LEN(TRIM('Raw Data'!J36))=0),"",IF(AND(ISNUMBER('Raw Data'!J36), IFERROR('Raw Data'!J36 = ROUND('Raw Data'!J36, 2),FALSE)),"",_xlfn.REGEXEXTRACT(CELL("address",J36), "\$([A-Z]+)\$[0-9]+"))),_xlfn.REGEXEXTRACT(CELL("address",J36), "\$([A-Z]+)\$[0-9]+"))</f>
        <v/>
      </c>
      <c r="K36" s="7" t="str">
        <f t="array" aca="1" ref="K36" ca="1">IFERROR(IF(OR('Raw Data'!K36="",LEN(TRIM('Raw Data'!K36))=0),"",IF(AND(ISNUMBER('Raw Data'!K36), IFERROR('Raw Data'!K36 = ROUND('Raw Data'!K36, 2),FALSE)),"",_xlfn.REGEXEXTRACT(CELL("address",K36), "\$([A-Z]+)\$[0-9]+"))),_xlfn.REGEXEXTRACT(CELL("address",K36), "\$([A-Z]+)\$[0-9]+"))</f>
        <v/>
      </c>
      <c r="L36" s="7" t="str">
        <f t="array" aca="1" ref="L36" ca="1">IFERROR(IF(OR('Raw Data'!L36="",LEN(TRIM('Raw Data'!L36))=0),"",IF(AND(ISNUMBER('Raw Data'!L36), IFERROR('Raw Data'!L36 = ROUND('Raw Data'!L36, 2),FALSE)),"",_xlfn.REGEXEXTRACT(CELL("address",L36), "\$([A-Z]+)\$[0-9]+"))),_xlfn.REGEXEXTRACT(CELL("address",L36), "\$([A-Z]+)\$[0-9]+"))</f>
        <v/>
      </c>
      <c r="M36" s="7" t="str">
        <f t="array" aca="1" ref="M36" ca="1">IFERROR(IF(OR('Raw Data'!M36="",LEN(TRIM('Raw Data'!M36))=0),"",IF(AND(ISNUMBER('Raw Data'!M36), IFERROR('Raw Data'!M36 = ROUND('Raw Data'!M36, 2),FALSE)),"",_xlfn.REGEXEXTRACT(CELL("address",M36), "\$([A-Z]+)\$[0-9]+"))),_xlfn.REGEXEXTRACT(CELL("address",M36), "\$([A-Z]+)\$[0-9]+"))</f>
        <v/>
      </c>
      <c r="N36" s="7" t="str">
        <f t="array" aca="1" ref="N36" ca="1">IFERROR(IF(OR('Raw Data'!N36="",LEN(TRIM('Raw Data'!N36))=0),"",IF(AND(ISNUMBER('Raw Data'!N36), IFERROR('Raw Data'!N36 = ROUND('Raw Data'!N36, 2),FALSE)),"",_xlfn.REGEXEXTRACT(CELL("address",N36), "\$([A-Z]+)\$[0-9]+"))),_xlfn.REGEXEXTRACT(CELL("address",N36), "\$([A-Z]+)\$[0-9]+"))</f>
        <v/>
      </c>
      <c r="O36" s="7" t="str">
        <f t="array" aca="1" ref="O36" ca="1">IFERROR(IF(OR('Raw Data'!O36="",LEN(TRIM('Raw Data'!O36))=0),"",IF(AND(ISNUMBER('Raw Data'!O36),'Raw Data'!O36&gt;=Configuration!$D$2),"",_xlfn.REGEXEXTRACT(CELL("address",'Raw Data'!O36),"\$([A-Z]+)\$[0-9]+"))),_xlfn.REGEXEXTRACT(CELL("address",O36), "\$([A-Z]+)\$[0-9]+"))</f>
        <v/>
      </c>
      <c r="P36" s="7" t="str">
        <f t="array" aca="1" ref="P36" ca="1">IFERROR(IF(OR('Raw Data'!P36="",LEN(TRIM('Raw Data'!P36))=0),"",IF(AND(ISNUMBER('Raw Data'!P36), IFERROR('Raw Data'!P36 = ROUND('Raw Data'!P36, 2),FALSE)),"",_xlfn.REGEXEXTRACT(CELL("address",P36), "\$([A-Z]+)\$[0-9]+"))),_xlfn.REGEXEXTRACT(CELL("address",P36), "\$([A-Z]+)\$[0-9]+"))</f>
        <v/>
      </c>
      <c r="Q36" s="7" t="str">
        <f t="array" aca="1" ref="Q36" ca="1">IFERROR(IF(OR('Raw Data'!Q36="",LEN(TRIM('Raw Data'!Q36))=0),"",IF(AND(ISNUMBER('Raw Data'!Q36), IFERROR('Raw Data'!Q36 = ROUND('Raw Data'!Q36, 2),FALSE)),"",_xlfn.REGEXEXTRACT(CELL("address",Q36), "\$([A-Z]+)\$[0-9]+"))),_xlfn.REGEXEXTRACT(CELL("address",Q36), "\$([A-Z]+)\$[0-9]+"))</f>
        <v/>
      </c>
      <c r="R36" s="7" t="str">
        <f t="array" aca="1" ref="R36" ca="1">IFERROR(IF(OR('Raw Data'!R36="",LEN(TRIM('Raw Data'!R36))=0),"",IF(AND(LEN('Raw Data'!R36) &lt;= 50,LEN('Raw Data'!R36)&gt; 0),"",_xlfn.REGEXEXTRACT(CELL("address",'Raw Data'!R36),"\$([A-Z]+)\$[0-9]+"))),_xlfn.REGEXEXTRACT(CELL("address",'Raw Data'!R36),"\$([A-Z]+)\$[0-9]+"))</f>
        <v/>
      </c>
      <c r="S36" s="7" t="str">
        <f t="array" aca="1" ref="S36" ca="1">IFERROR(IF(OR('Raw Data'!S36="",LEN(TRIM('Raw Data'!S36))=0),"",IF(AND(LEN('Raw Data'!S36) &lt;= 50,LEN('Raw Data'!S36)&gt; 0),"",_xlfn.REGEXEXTRACT(CELL("address",'Raw Data'!S36),"\$([A-Z]+)\$[0-9]+"))),_xlfn.REGEXEXTRACT(CELL("address",'Raw Data'!S36),"\$([A-Z]+)\$[0-9]+"))</f>
        <v/>
      </c>
      <c r="T36" s="7" t="str">
        <f t="array" aca="1" ref="T36" ca="1">IFERROR(IF(OR('Raw Data'!T36="",LEN(TRIM('Raw Data'!T36))=0),"",IF(AND(ISNUMBER('Raw Data'!T36), IFERROR('Raw Data'!T36 = ROUND('Raw Data'!T36, 2),FALSE)),"",_xlfn.REGEXEXTRACT(CELL("address",T36), "\$([A-Z]+)\$[0-9]+"))),_xlfn.REGEXEXTRACT(CELL("address",T36), "\$([A-Z]+)\$[0-9]+"))</f>
        <v/>
      </c>
      <c r="U36" s="7" t="str">
        <f t="array" aca="1" ref="U36" ca="1">IFERROR(IF(OR('Raw Data'!U36="",LEN(TRIM('Raw Data'!U36))=0),"",IF(AND(ISNUMBER('Raw Data'!U36), IFERROR('Raw Data'!U36 = ROUND('Raw Data'!U36, 2),FALSE)),"",_xlfn.REGEXEXTRACT(CELL("address",U36), "\$([A-Z]+)\$[0-9]+"))),_xlfn.REGEXEXTRACT(CELL("address",U36), "\$([A-Z]+)\$[0-9]+"))</f>
        <v/>
      </c>
      <c r="V36" s="7" t="str">
        <f t="array" aca="1" ref="V36" ca="1">IFERROR(IF(OR('Raw Data'!V36="",LEN(TRIM('Raw Data'!V36))=0),"",IF(AND(ISNUMBER('Raw Data'!V36), IFERROR('Raw Data'!V36 = ROUND('Raw Data'!V36, 2),FALSE)),"",_xlfn.REGEXEXTRACT(CELL("address",V36), "\$([A-Z]+)\$[0-9]+"))),_xlfn.REGEXEXTRACT(CELL("address",V36), "\$([A-Z]+)\$[0-9]+"))</f>
        <v/>
      </c>
      <c r="W36" s="7" t="str">
        <f t="array" aca="1" ref="W36" ca="1">IFERROR(IF(OR('Raw Data'!W36="",LEN(TRIM('Raw Data'!W36))=0),"",IF(AND(ISNUMBER('Raw Data'!W36), IFERROR('Raw Data'!W36 = ROUND('Raw Data'!W36, 2),FALSE)),"",_xlfn.REGEXEXTRACT(CELL("address",W36), "\$([A-Z]+)\$[0-9]+"))),_xlfn.REGEXEXTRACT(CELL("address",W36), "\$([A-Z]+)\$[0-9]+"))</f>
        <v/>
      </c>
      <c r="X36" s="7" t="str">
        <f t="array" aca="1" ref="X36" ca="1">IFERROR(IF(OR('Raw Data'!X36="",LEN(TRIM('Raw Data'!X36))=0),"",IF(AND(ISNUMBER('Raw Data'!X36), IFERROR('Raw Data'!X36 = ROUND('Raw Data'!X36, 2),FALSE)),"",_xlfn.REGEXEXTRACT(CELL("address",X36), "\$([A-Z]+)\$[0-9]+"))),_xlfn.REGEXEXTRACT(CELL("address",X36), "\$([A-Z]+)\$[0-9]+"))</f>
        <v/>
      </c>
      <c r="Y36" s="7" t="str">
        <f t="array" aca="1" ref="Y36" ca="1">IFERROR(IF(OR('Raw Data'!Y36="",LEN(TRIM('Raw Data'!Y36))=0),"",IF(AND(ISNUMBER('Raw Data'!Y36), IFERROR('Raw Data'!Y36 = ROUND('Raw Data'!Y36, 2),FALSE)),"",_xlfn.REGEXEXTRACT(CELL("address",Y36), "\$([A-Z]+)\$[0-9]+"))),_xlfn.REGEXEXTRACT(CELL("address",Y36), "\$([A-Z]+)\$[0-9]+"))</f>
        <v/>
      </c>
      <c r="Z36" s="7" t="str">
        <f t="array" aca="1" ref="Z36" ca="1">IFERROR(IF(OR('Raw Data'!Z36="",LEN(TRIM('Raw Data'!Z36))=0),"",IF(AND(ISNUMBER('Raw Data'!Z36), IFERROR('Raw Data'!Z36 = ROUND('Raw Data'!Z36, 2),FALSE)),"",_xlfn.REGEXEXTRACT(CELL("address",Z36), "\$([A-Z]+)\$[0-9]+"))),_xlfn.REGEXEXTRACT(CELL("address",Z36), "\$([A-Z]+)\$[0-9]+"))</f>
        <v/>
      </c>
      <c r="AA36" s="7" t="str">
        <f t="array" aca="1" ref="AA36" ca="1">IFERROR(IF(OR('Raw Data'!AA36="",LEN(TRIM('Raw Data'!AA36))=0),"",IF(AND(ISNUMBER('Raw Data'!AA36), IFERROR('Raw Data'!AA36 = ROUND('Raw Data'!AA36, 2),FALSE)),"",_xlfn.REGEXEXTRACT(CELL("address",AA36), "\$([A-Z]+)\$[0-9]+"))),_xlfn.REGEXEXTRACT(CELL("address",AA36), "\$([A-Z]+)\$[0-9]+"))</f>
        <v/>
      </c>
      <c r="AB36" s="7" t="str">
        <f t="array" aca="1" ref="AB36" ca="1">IFERROR(IF(OR('Raw Data'!AB36="",LEN(TRIM('Raw Data'!AB36))=0),"",IF(AND(ISNUMBER('Raw Data'!AB36), IFERROR('Raw Data'!AB36 = ROUND('Raw Data'!AB36, 2),FALSE)),"",_xlfn.REGEXEXTRACT(CELL("address",AB36), "\$([A-Z]+)\$[0-9]+"))),_xlfn.REGEXEXTRACT(CELL("address",AB36), "\$([A-Z]+)\$[0-9]+"))</f>
        <v/>
      </c>
      <c r="AC36" s="7" t="str">
        <f t="array" aca="1" ref="AC36" ca="1">IFERROR(IF(OR('Raw Data'!AC36="",LEN(TRIM('Raw Data'!AC36))=0),"",IF(AND(ISNUMBER('Raw Data'!AC36), IFERROR('Raw Data'!AC36 = ROUND('Raw Data'!AC36, 2),FALSE)),"",_xlfn.REGEXEXTRACT(CELL("address",AC36), "\$([A-Z]+)\$[0-9]+"))),_xlfn.REGEXEXTRACT(CELL("address",AC36), "\$([A-Z]+)\$[0-9]+"))</f>
        <v/>
      </c>
      <c r="AD36" s="7" t="str">
        <f t="array" aca="1" ref="AD36" ca="1">IFERROR(IF(OR('Raw Data'!AD36="",LEN(TRIM('Raw Data'!AD36))=0),"",IF(AND(ISNUMBER('Raw Data'!AD36), IFERROR('Raw Data'!AD36 = ROUND('Raw Data'!AD36, 2),FALSE)),"",_xlfn.REGEXEXTRACT(CELL("address",AD36), "\$([A-Z]+)\$[0-9]+"))),_xlfn.REGEXEXTRACT(CELL("address",AD36), "\$([A-Z]+)\$[0-9]+"))</f>
        <v/>
      </c>
      <c r="AE36" s="7" t="str">
        <f t="array" aca="1" ref="AE36" ca="1">IFERROR(IF(OR('Raw Data'!AE36="",LEN(TRIM('Raw Data'!AE36))=0),"",IF(AND(ISNUMBER('Raw Data'!AE36), IFERROR('Raw Data'!AE36 = ROUND('Raw Data'!AE36, 2),FALSE)),"",_xlfn.REGEXEXTRACT(CELL("address",AE36), "\$([A-Z]+)\$[0-9]+"))),_xlfn.REGEXEXTRACT(CELL("address",AE36), "\$([A-Z]+)\$[0-9]+"))</f>
        <v/>
      </c>
      <c r="AF36" s="7" t="str">
        <f t="array" aca="1" ref="AF36" ca="1">IFERROR(IF(OR('Raw Data'!AF36="",LEN(TRIM('Raw Data'!AF36))=0),"",IF(AND(ISNUMBER('Raw Data'!AF36), IFERROR('Raw Data'!AF36 = ROUND('Raw Data'!AF36, 2),FALSE)),"",_xlfn.REGEXEXTRACT(CELL("address",AF36), "\$([A-Z]+)\$[0-9]+"))),_xlfn.REGEXEXTRACT(CELL("address",AF36), "\$([A-Z]+)\$[0-9]+"))</f>
        <v/>
      </c>
      <c r="AG36" s="7" t="str">
        <f t="array" aca="1" ref="AG36" ca="1">IFERROR(IF(OR('Raw Data'!AG36="",LEN(TRIM('Raw Data'!AG36))=0),"",IF(AND(ISNUMBER('Raw Data'!AG36), IFERROR('Raw Data'!AG36 = ROUND('Raw Data'!AG36, 2),FALSE)),"",_xlfn.REGEXEXTRACT(CELL("address",AG36), "\$([A-Z]+)\$[0-9]+"))),_xlfn.REGEXEXTRACT(CELL("address",AG36), "\$([A-Z]+)\$[0-9]+"))</f>
        <v/>
      </c>
      <c r="AH36" s="7" t="str">
        <f t="array" aca="1" ref="AH36" ca="1">IFERROR(IF(OR('Raw Data'!AH36="",LEN(TRIM('Raw Data'!AH36))=0),"",IF(AND(ISNUMBER('Raw Data'!AH36), IFERROR('Raw Data'!AH36 = ROUND('Raw Data'!AH36, 2),FALSE)),"",_xlfn.REGEXEXTRACT(CELL("address",AH36), "\$([A-Z]+)\$[0-9]+"))),_xlfn.REGEXEXTRACT(CELL("address",AH36), "\$([A-Z]+)\$[0-9]+"))</f>
        <v/>
      </c>
      <c r="AI36" s="7" t="str">
        <f t="array" aca="1" ref="AI36" ca="1">IFERROR(IF(OR('Raw Data'!AI36="",LEN(TRIM('Raw Data'!AI36))=0),"",IF(AND(ISNUMBER('Raw Data'!AI36), IFERROR('Raw Data'!AI36 = ROUND('Raw Data'!AI36, 2),FALSE)),"",_xlfn.REGEXEXTRACT(CELL("address",AI36), "\$([A-Z]+)\$[0-9]+"))),_xlfn.REGEXEXTRACT(CELL("address",AI36), "\$([A-Z]+)\$[0-9]+"))</f>
        <v/>
      </c>
      <c r="AJ36" s="7" t="str">
        <f t="array" aca="1" ref="AJ36" ca="1">IFERROR(IF(OR('Raw Data'!AJ36="",LEN(TRIM('Raw Data'!AJ36))=0),"",IF(AND(ISNUMBER('Raw Data'!AJ36), IFERROR('Raw Data'!AJ36 = ROUND('Raw Data'!AJ36, 4),FALSE)),"",_xlfn.REGEXEXTRACT(CELL("address",AJ36), "\$([A-Z]+)\$[0-9]+"))),_xlfn.REGEXEXTRACT(CELL("address",AJ36), "\$([A-Z]+)\$[0-9]+"))</f>
        <v/>
      </c>
      <c r="AK36" s="7" t="str">
        <f t="array" aca="1" ref="AK36" ca="1">IFERROR(IF(OR('Raw Data'!AK36="",LEN(TRIM('Raw Data'!AK36))=0),"",IF(AND(ISNUMBER('Raw Data'!AK36), IFERROR('Raw Data'!AK36 = ROUND('Raw Data'!AK36, 2),FALSE)),"",_xlfn.REGEXEXTRACT(CELL("address",AK36), "\$([A-Z]+)\$[0-9]+"))),_xlfn.REGEXEXTRACT(CELL("address",AK36), "\$([A-Z]+)\$[0-9]+"))</f>
        <v/>
      </c>
      <c r="AL36" s="7" t="str">
        <f t="array" aca="1" ref="AL36" ca="1">IFERROR(IF(OR('Raw Data'!AL36="",LEN(TRIM('Raw Data'!AL36))=0),"",IF(AND(ISNUMBER('Raw Data'!AL36), IFERROR('Raw Data'!AL36 = ROUND('Raw Data'!AL36, 2),FALSE)),"",_xlfn.REGEXEXTRACT(CELL("address",AL36), "\$([A-Z]+)\$[0-9]+"))),_xlfn.REGEXEXTRACT(CELL("address",AL36), "\$([A-Z]+)\$[0-9]+"))</f>
        <v/>
      </c>
      <c r="AM36" s="7" t="str">
        <f t="array" aca="1" ref="AM36" ca="1">IFERROR(IF(OR('Raw Data'!AM36="",LEN(TRIM('Raw Data'!AM36))=0),"",IF(AND(ISNUMBER('Raw Data'!AM36), IFERROR('Raw Data'!AM36 = ROUND('Raw Data'!AM36, 2),FALSE)),"",_xlfn.REGEXEXTRACT(CELL("address",AM36), "\$([A-Z]+)\$[0-9]+"))),_xlfn.REGEXEXTRACT(CELL("address",AM36), "\$([A-Z]+)\$[0-9]+"))</f>
        <v/>
      </c>
      <c r="AN36" s="7" t="str">
        <f t="array" aca="1" ref="AN36" ca="1">IFERROR(IF(OR('Raw Data'!AN36="",LEN(TRIM('Raw Data'!AN36))=0),"",IF(AND(ISNUMBER('Raw Data'!AN36), IFERROR('Raw Data'!AN36 = ROUND('Raw Data'!AN36, 2),FALSE)),"",_xlfn.REGEXEXTRACT(CELL("address",AN36), "\$([A-Z]+)\$[0-9]+"))),_xlfn.REGEXEXTRACT(CELL("address",AN36), "\$([A-Z]+)\$[0-9]+"))</f>
        <v/>
      </c>
      <c r="AO36" s="7" t="str">
        <f t="array" aca="1" ref="AO36" ca="1">IFERROR(IF(OR('Raw Data'!AO36="",LEN(TRIM('Raw Data'!AO36))=0),"",IF(AND(ISNUMBER('Raw Data'!AO36), IFERROR('Raw Data'!AO36 = ROUND('Raw Data'!AO36, 2),FALSE)),"",_xlfn.REGEXEXTRACT(CELL("address",AO36), "\$([A-Z]+)\$[0-9]+"))),_xlfn.REGEXEXTRACT(CELL("address",AO36), "\$([A-Z]+)\$[0-9]+"))</f>
        <v/>
      </c>
      <c r="AP36" s="7" t="str">
        <f t="array" aca="1" ref="AP36" ca="1">IFERROR(IF(OR('Raw Data'!AP36="",LEN(TRIM('Raw Data'!AP36))=0),"",IF(AND(ISNUMBER('Raw Data'!AP36), IFERROR('Raw Data'!AP36 = ROUND('Raw Data'!AP36, 2),FALSE)),"",_xlfn.REGEXEXTRACT(CELL("address",AP36), "\$([A-Z]+)\$[0-9]+"))),_xlfn.REGEXEXTRACT(CELL("address",AP36), "\$([A-Z]+)\$[0-9]+"))</f>
        <v/>
      </c>
    </row>
    <row r="37" spans="2:42" x14ac:dyDescent="0.25">
      <c r="B37" s="7" t="str">
        <f t="array" aca="1" ref="B37" ca="1">IFERROR(IF(OR('Raw Data'!B37="",LEN(TRIM('Raw Data'!B37))=0),"",IF(AND(LEN('Raw Data'!B37) &lt;= 255,LEN('Raw Data'!B37)&gt; 0),"",_xlfn.REGEXEXTRACT(CELL("address",'Raw Data'!B37),"\$([A-Z]+)\$[0-9]+"))),_xlfn.REGEXEXTRACT(CELL("address",'Raw Data'!B37),"\$([A-Z]+)\$[0-9]+"))</f>
        <v/>
      </c>
      <c r="C37" s="7" t="str">
        <f t="array" aca="1" ref="C37" ca="1">IFERROR(IF(OR('Raw Data'!C37="",LEN(TRIM('Raw Data'!C37))=0),"",IF(AND(LEN('Raw Data'!C37) &lt;= 50,LEN('Raw Data'!C37)&gt; 0),"",_xlfn.REGEXEXTRACT(CELL("address",'Raw Data'!C37),"\$([A-Z]+)\$[0-9]+"))),_xlfn.REGEXEXTRACT(CELL("address",'Raw Data'!C37),"\$([A-Z]+)\$[0-9]+"))</f>
        <v/>
      </c>
      <c r="D37" s="7" t="str">
        <f t="array" aca="1" ref="D37" ca="1">IFERROR(IF(OR('Raw Data'!D37="",LEN(TRIM('Raw Data'!D37))=0),"",IF(AND(LEN('Raw Data'!D37) &lt;= 500,LEN('Raw Data'!D37)&gt; 0),"",_xlfn.REGEXEXTRACT(CELL("address",'Raw Data'!D37),"\$([A-Z]+)\$[0-9]+"))),_xlfn.REGEXEXTRACT(CELL("address",'Raw Data'!D37),"\$([A-Z]+)\$[0-9]+"))</f>
        <v/>
      </c>
      <c r="E37" s="7" t="str">
        <f t="array" aca="1" ref="E37" ca="1">IFERROR(IF(OR('Raw Data'!E37="",LEN(TRIM('Raw Data'!E37))=0),"",IF(AND(LEN('Raw Data'!E37) &lt;= 50,LEN('Raw Data'!E37)&gt; 0),"",_xlfn.REGEXEXTRACT(CELL("address",'Raw Data'!E37),"\$([A-Z]+)\$[0-9]+"))),_xlfn.REGEXEXTRACT(CELL("address",'Raw Data'!E37),"\$([A-Z]+)\$[0-9]+"))</f>
        <v/>
      </c>
      <c r="F37" s="7" t="str">
        <f t="array" aca="1" ref="F37" ca="1">IFERROR(IF(OR('Raw Data'!F37="",LEN(TRIM('Raw Data'!F37))=0),"",IF(AND(LEN('Raw Data'!F37) &lt;= 50,LEN('Raw Data'!F37)&gt; 0),"",_xlfn.REGEXEXTRACT(CELL("address",'Raw Data'!F37),"\$([A-Z]+)\$[0-9]+"))),_xlfn.REGEXEXTRACT(CELL("address",'Raw Data'!F37),"\$([A-Z]+)\$[0-9]+"))</f>
        <v/>
      </c>
      <c r="G37" s="7" t="str">
        <f t="array" aca="1" ref="G37" ca="1">IFERROR(IF(OR('Raw Data'!G37="",LEN(TRIM('Raw Data'!G37))=0),"",IF(AND(LEN('Raw Data'!G37) &lt;= 50,LEN('Raw Data'!G37)&gt; 0),"",_xlfn.REGEXEXTRACT(CELL("address",'Raw Data'!G37),"\$([A-Z]+)\$[0-9]+"))),_xlfn.REGEXEXTRACT(CELL("address",'Raw Data'!G37),"\$([A-Z]+)\$[0-9]+"))</f>
        <v/>
      </c>
      <c r="H37" s="7" t="str">
        <f t="array" aca="1" ref="H37" ca="1">IFERROR(IF(OR('Raw Data'!H37="",LEN(TRIM('Raw Data'!H37))=0),"",IF(AND(LEN('Raw Data'!H37) &lt;= 50,LEN('Raw Data'!H37)&gt; 0),"",_xlfn.REGEXEXTRACT(CELL("address",'Raw Data'!H37),"\$([A-Z]+)\$[0-9]+"))),_xlfn.REGEXEXTRACT(CELL("address",'Raw Data'!H37),"\$([A-Z]+)\$[0-9]+"))</f>
        <v/>
      </c>
      <c r="I37" s="7" t="str">
        <f t="array" aca="1" ref="I37" ca="1">IFERROR(IF(OR('Raw Data'!I37="",LEN(TRIM('Raw Data'!I37))=0),"",IF(AND(LEN('Raw Data'!I37) &lt;= 50,LEN('Raw Data'!I37)&gt; 0),"",_xlfn.REGEXEXTRACT(CELL("address",'Raw Data'!I37),"\$([A-Z]+)\$[0-9]+"))),_xlfn.REGEXEXTRACT(CELL("address",'Raw Data'!I37),"\$([A-Z]+)\$[0-9]+"))</f>
        <v/>
      </c>
      <c r="J37" s="7" t="str">
        <f t="array" aca="1" ref="J37" ca="1">IFERROR(IF(OR('Raw Data'!J37="",LEN(TRIM('Raw Data'!J37))=0),"",IF(AND(ISNUMBER('Raw Data'!J37), IFERROR('Raw Data'!J37 = ROUND('Raw Data'!J37, 2),FALSE)),"",_xlfn.REGEXEXTRACT(CELL("address",J37), "\$([A-Z]+)\$[0-9]+"))),_xlfn.REGEXEXTRACT(CELL("address",J37), "\$([A-Z]+)\$[0-9]+"))</f>
        <v/>
      </c>
      <c r="K37" s="7" t="str">
        <f t="array" aca="1" ref="K37" ca="1">IFERROR(IF(OR('Raw Data'!K37="",LEN(TRIM('Raw Data'!K37))=0),"",IF(AND(ISNUMBER('Raw Data'!K37), IFERROR('Raw Data'!K37 = ROUND('Raw Data'!K37, 2),FALSE)),"",_xlfn.REGEXEXTRACT(CELL("address",K37), "\$([A-Z]+)\$[0-9]+"))),_xlfn.REGEXEXTRACT(CELL("address",K37), "\$([A-Z]+)\$[0-9]+"))</f>
        <v/>
      </c>
      <c r="L37" s="7" t="str">
        <f t="array" aca="1" ref="L37" ca="1">IFERROR(IF(OR('Raw Data'!L37="",LEN(TRIM('Raw Data'!L37))=0),"",IF(AND(ISNUMBER('Raw Data'!L37), IFERROR('Raw Data'!L37 = ROUND('Raw Data'!L37, 2),FALSE)),"",_xlfn.REGEXEXTRACT(CELL("address",L37), "\$([A-Z]+)\$[0-9]+"))),_xlfn.REGEXEXTRACT(CELL("address",L37), "\$([A-Z]+)\$[0-9]+"))</f>
        <v/>
      </c>
      <c r="M37" s="7" t="str">
        <f t="array" aca="1" ref="M37" ca="1">IFERROR(IF(OR('Raw Data'!M37="",LEN(TRIM('Raw Data'!M37))=0),"",IF(AND(ISNUMBER('Raw Data'!M37), IFERROR('Raw Data'!M37 = ROUND('Raw Data'!M37, 2),FALSE)),"",_xlfn.REGEXEXTRACT(CELL("address",M37), "\$([A-Z]+)\$[0-9]+"))),_xlfn.REGEXEXTRACT(CELL("address",M37), "\$([A-Z]+)\$[0-9]+"))</f>
        <v/>
      </c>
      <c r="N37" s="7" t="str">
        <f t="array" aca="1" ref="N37" ca="1">IFERROR(IF(OR('Raw Data'!N37="",LEN(TRIM('Raw Data'!N37))=0),"",IF(AND(ISNUMBER('Raw Data'!N37), IFERROR('Raw Data'!N37 = ROUND('Raw Data'!N37, 2),FALSE)),"",_xlfn.REGEXEXTRACT(CELL("address",N37), "\$([A-Z]+)\$[0-9]+"))),_xlfn.REGEXEXTRACT(CELL("address",N37), "\$([A-Z]+)\$[0-9]+"))</f>
        <v/>
      </c>
      <c r="O37" s="7" t="str">
        <f t="array" aca="1" ref="O37" ca="1">IFERROR(IF(OR('Raw Data'!O37="",LEN(TRIM('Raw Data'!O37))=0),"",IF(AND(ISNUMBER('Raw Data'!O37),'Raw Data'!O37&gt;=Configuration!$D$2),"",_xlfn.REGEXEXTRACT(CELL("address",'Raw Data'!O37),"\$([A-Z]+)\$[0-9]+"))),_xlfn.REGEXEXTRACT(CELL("address",O37), "\$([A-Z]+)\$[0-9]+"))</f>
        <v/>
      </c>
      <c r="P37" s="7" t="str">
        <f t="array" aca="1" ref="P37" ca="1">IFERROR(IF(OR('Raw Data'!P37="",LEN(TRIM('Raw Data'!P37))=0),"",IF(AND(ISNUMBER('Raw Data'!P37), IFERROR('Raw Data'!P37 = ROUND('Raw Data'!P37, 2),FALSE)),"",_xlfn.REGEXEXTRACT(CELL("address",P37), "\$([A-Z]+)\$[0-9]+"))),_xlfn.REGEXEXTRACT(CELL("address",P37), "\$([A-Z]+)\$[0-9]+"))</f>
        <v/>
      </c>
      <c r="Q37" s="7" t="str">
        <f t="array" aca="1" ref="Q37" ca="1">IFERROR(IF(OR('Raw Data'!Q37="",LEN(TRIM('Raw Data'!Q37))=0),"",IF(AND(ISNUMBER('Raw Data'!Q37), IFERROR('Raw Data'!Q37 = ROUND('Raw Data'!Q37, 2),FALSE)),"",_xlfn.REGEXEXTRACT(CELL("address",Q37), "\$([A-Z]+)\$[0-9]+"))),_xlfn.REGEXEXTRACT(CELL("address",Q37), "\$([A-Z]+)\$[0-9]+"))</f>
        <v/>
      </c>
      <c r="R37" s="7" t="str">
        <f t="array" aca="1" ref="R37" ca="1">IFERROR(IF(OR('Raw Data'!R37="",LEN(TRIM('Raw Data'!R37))=0),"",IF(AND(LEN('Raw Data'!R37) &lt;= 50,LEN('Raw Data'!R37)&gt; 0),"",_xlfn.REGEXEXTRACT(CELL("address",'Raw Data'!R37),"\$([A-Z]+)\$[0-9]+"))),_xlfn.REGEXEXTRACT(CELL("address",'Raw Data'!R37),"\$([A-Z]+)\$[0-9]+"))</f>
        <v/>
      </c>
      <c r="S37" s="7" t="str">
        <f t="array" aca="1" ref="S37" ca="1">IFERROR(IF(OR('Raw Data'!S37="",LEN(TRIM('Raw Data'!S37))=0),"",IF(AND(LEN('Raw Data'!S37) &lt;= 50,LEN('Raw Data'!S37)&gt; 0),"",_xlfn.REGEXEXTRACT(CELL("address",'Raw Data'!S37),"\$([A-Z]+)\$[0-9]+"))),_xlfn.REGEXEXTRACT(CELL("address",'Raw Data'!S37),"\$([A-Z]+)\$[0-9]+"))</f>
        <v/>
      </c>
      <c r="T37" s="7" t="str">
        <f t="array" aca="1" ref="T37" ca="1">IFERROR(IF(OR('Raw Data'!T37="",LEN(TRIM('Raw Data'!T37))=0),"",IF(AND(ISNUMBER('Raw Data'!T37), IFERROR('Raw Data'!T37 = ROUND('Raw Data'!T37, 2),FALSE)),"",_xlfn.REGEXEXTRACT(CELL("address",T37), "\$([A-Z]+)\$[0-9]+"))),_xlfn.REGEXEXTRACT(CELL("address",T37), "\$([A-Z]+)\$[0-9]+"))</f>
        <v/>
      </c>
      <c r="U37" s="7" t="str">
        <f t="array" aca="1" ref="U37" ca="1">IFERROR(IF(OR('Raw Data'!U37="",LEN(TRIM('Raw Data'!U37))=0),"",IF(AND(ISNUMBER('Raw Data'!U37), IFERROR('Raw Data'!U37 = ROUND('Raw Data'!U37, 2),FALSE)),"",_xlfn.REGEXEXTRACT(CELL("address",U37), "\$([A-Z]+)\$[0-9]+"))),_xlfn.REGEXEXTRACT(CELL("address",U37), "\$([A-Z]+)\$[0-9]+"))</f>
        <v/>
      </c>
      <c r="V37" s="7" t="str">
        <f t="array" aca="1" ref="V37" ca="1">IFERROR(IF(OR('Raw Data'!V37="",LEN(TRIM('Raw Data'!V37))=0),"",IF(AND(ISNUMBER('Raw Data'!V37), IFERROR('Raw Data'!V37 = ROUND('Raw Data'!V37, 2),FALSE)),"",_xlfn.REGEXEXTRACT(CELL("address",V37), "\$([A-Z]+)\$[0-9]+"))),_xlfn.REGEXEXTRACT(CELL("address",V37), "\$([A-Z]+)\$[0-9]+"))</f>
        <v/>
      </c>
      <c r="W37" s="7" t="str">
        <f t="array" aca="1" ref="W37" ca="1">IFERROR(IF(OR('Raw Data'!W37="",LEN(TRIM('Raw Data'!W37))=0),"",IF(AND(ISNUMBER('Raw Data'!W37), IFERROR('Raw Data'!W37 = ROUND('Raw Data'!W37, 2),FALSE)),"",_xlfn.REGEXEXTRACT(CELL("address",W37), "\$([A-Z]+)\$[0-9]+"))),_xlfn.REGEXEXTRACT(CELL("address",W37), "\$([A-Z]+)\$[0-9]+"))</f>
        <v/>
      </c>
      <c r="X37" s="7" t="str">
        <f t="array" aca="1" ref="X37" ca="1">IFERROR(IF(OR('Raw Data'!X37="",LEN(TRIM('Raw Data'!X37))=0),"",IF(AND(ISNUMBER('Raw Data'!X37), IFERROR('Raw Data'!X37 = ROUND('Raw Data'!X37, 2),FALSE)),"",_xlfn.REGEXEXTRACT(CELL("address",X37), "\$([A-Z]+)\$[0-9]+"))),_xlfn.REGEXEXTRACT(CELL("address",X37), "\$([A-Z]+)\$[0-9]+"))</f>
        <v/>
      </c>
      <c r="Y37" s="7" t="str">
        <f t="array" aca="1" ref="Y37" ca="1">IFERROR(IF(OR('Raw Data'!Y37="",LEN(TRIM('Raw Data'!Y37))=0),"",IF(AND(ISNUMBER('Raw Data'!Y37), IFERROR('Raw Data'!Y37 = ROUND('Raw Data'!Y37, 2),FALSE)),"",_xlfn.REGEXEXTRACT(CELL("address",Y37), "\$([A-Z]+)\$[0-9]+"))),_xlfn.REGEXEXTRACT(CELL("address",Y37), "\$([A-Z]+)\$[0-9]+"))</f>
        <v/>
      </c>
      <c r="Z37" s="7" t="str">
        <f t="array" aca="1" ref="Z37" ca="1">IFERROR(IF(OR('Raw Data'!Z37="",LEN(TRIM('Raw Data'!Z37))=0),"",IF(AND(ISNUMBER('Raw Data'!Z37), IFERROR('Raw Data'!Z37 = ROUND('Raw Data'!Z37, 2),FALSE)),"",_xlfn.REGEXEXTRACT(CELL("address",Z37), "\$([A-Z]+)\$[0-9]+"))),_xlfn.REGEXEXTRACT(CELL("address",Z37), "\$([A-Z]+)\$[0-9]+"))</f>
        <v/>
      </c>
      <c r="AA37" s="7" t="str">
        <f t="array" aca="1" ref="AA37" ca="1">IFERROR(IF(OR('Raw Data'!AA37="",LEN(TRIM('Raw Data'!AA37))=0),"",IF(AND(ISNUMBER('Raw Data'!AA37), IFERROR('Raw Data'!AA37 = ROUND('Raw Data'!AA37, 2),FALSE)),"",_xlfn.REGEXEXTRACT(CELL("address",AA37), "\$([A-Z]+)\$[0-9]+"))),_xlfn.REGEXEXTRACT(CELL("address",AA37), "\$([A-Z]+)\$[0-9]+"))</f>
        <v/>
      </c>
      <c r="AB37" s="7" t="str">
        <f t="array" aca="1" ref="AB37" ca="1">IFERROR(IF(OR('Raw Data'!AB37="",LEN(TRIM('Raw Data'!AB37))=0),"",IF(AND(ISNUMBER('Raw Data'!AB37), IFERROR('Raw Data'!AB37 = ROUND('Raw Data'!AB37, 2),FALSE)),"",_xlfn.REGEXEXTRACT(CELL("address",AB37), "\$([A-Z]+)\$[0-9]+"))),_xlfn.REGEXEXTRACT(CELL("address",AB37), "\$([A-Z]+)\$[0-9]+"))</f>
        <v/>
      </c>
      <c r="AC37" s="7" t="str">
        <f t="array" aca="1" ref="AC37" ca="1">IFERROR(IF(OR('Raw Data'!AC37="",LEN(TRIM('Raw Data'!AC37))=0),"",IF(AND(ISNUMBER('Raw Data'!AC37), IFERROR('Raw Data'!AC37 = ROUND('Raw Data'!AC37, 2),FALSE)),"",_xlfn.REGEXEXTRACT(CELL("address",AC37), "\$([A-Z]+)\$[0-9]+"))),_xlfn.REGEXEXTRACT(CELL("address",AC37), "\$([A-Z]+)\$[0-9]+"))</f>
        <v/>
      </c>
      <c r="AD37" s="7" t="str">
        <f t="array" aca="1" ref="AD37" ca="1">IFERROR(IF(OR('Raw Data'!AD37="",LEN(TRIM('Raw Data'!AD37))=0),"",IF(AND(ISNUMBER('Raw Data'!AD37), IFERROR('Raw Data'!AD37 = ROUND('Raw Data'!AD37, 2),FALSE)),"",_xlfn.REGEXEXTRACT(CELL("address",AD37), "\$([A-Z]+)\$[0-9]+"))),_xlfn.REGEXEXTRACT(CELL("address",AD37), "\$([A-Z]+)\$[0-9]+"))</f>
        <v/>
      </c>
      <c r="AE37" s="7" t="str">
        <f t="array" aca="1" ref="AE37" ca="1">IFERROR(IF(OR('Raw Data'!AE37="",LEN(TRIM('Raw Data'!AE37))=0),"",IF(AND(ISNUMBER('Raw Data'!AE37), IFERROR('Raw Data'!AE37 = ROUND('Raw Data'!AE37, 2),FALSE)),"",_xlfn.REGEXEXTRACT(CELL("address",AE37), "\$([A-Z]+)\$[0-9]+"))),_xlfn.REGEXEXTRACT(CELL("address",AE37), "\$([A-Z]+)\$[0-9]+"))</f>
        <v/>
      </c>
      <c r="AF37" s="7" t="str">
        <f t="array" aca="1" ref="AF37" ca="1">IFERROR(IF(OR('Raw Data'!AF37="",LEN(TRIM('Raw Data'!AF37))=0),"",IF(AND(ISNUMBER('Raw Data'!AF37), IFERROR('Raw Data'!AF37 = ROUND('Raw Data'!AF37, 2),FALSE)),"",_xlfn.REGEXEXTRACT(CELL("address",AF37), "\$([A-Z]+)\$[0-9]+"))),_xlfn.REGEXEXTRACT(CELL("address",AF37), "\$([A-Z]+)\$[0-9]+"))</f>
        <v/>
      </c>
      <c r="AG37" s="7" t="str">
        <f t="array" aca="1" ref="AG37" ca="1">IFERROR(IF(OR('Raw Data'!AG37="",LEN(TRIM('Raw Data'!AG37))=0),"",IF(AND(ISNUMBER('Raw Data'!AG37), IFERROR('Raw Data'!AG37 = ROUND('Raw Data'!AG37, 2),FALSE)),"",_xlfn.REGEXEXTRACT(CELL("address",AG37), "\$([A-Z]+)\$[0-9]+"))),_xlfn.REGEXEXTRACT(CELL("address",AG37), "\$([A-Z]+)\$[0-9]+"))</f>
        <v/>
      </c>
      <c r="AH37" s="7" t="str">
        <f t="array" aca="1" ref="AH37" ca="1">IFERROR(IF(OR('Raw Data'!AH37="",LEN(TRIM('Raw Data'!AH37))=0),"",IF(AND(ISNUMBER('Raw Data'!AH37), IFERROR('Raw Data'!AH37 = ROUND('Raw Data'!AH37, 2),FALSE)),"",_xlfn.REGEXEXTRACT(CELL("address",AH37), "\$([A-Z]+)\$[0-9]+"))),_xlfn.REGEXEXTRACT(CELL("address",AH37), "\$([A-Z]+)\$[0-9]+"))</f>
        <v/>
      </c>
      <c r="AI37" s="7" t="str">
        <f t="array" aca="1" ref="AI37" ca="1">IFERROR(IF(OR('Raw Data'!AI37="",LEN(TRIM('Raw Data'!AI37))=0),"",IF(AND(ISNUMBER('Raw Data'!AI37), IFERROR('Raw Data'!AI37 = ROUND('Raw Data'!AI37, 2),FALSE)),"",_xlfn.REGEXEXTRACT(CELL("address",AI37), "\$([A-Z]+)\$[0-9]+"))),_xlfn.REGEXEXTRACT(CELL("address",AI37), "\$([A-Z]+)\$[0-9]+"))</f>
        <v/>
      </c>
      <c r="AJ37" s="7" t="str">
        <f t="array" aca="1" ref="AJ37" ca="1">IFERROR(IF(OR('Raw Data'!AJ37="",LEN(TRIM('Raw Data'!AJ37))=0),"",IF(AND(ISNUMBER('Raw Data'!AJ37), IFERROR('Raw Data'!AJ37 = ROUND('Raw Data'!AJ37, 4),FALSE)),"",_xlfn.REGEXEXTRACT(CELL("address",AJ37), "\$([A-Z]+)\$[0-9]+"))),_xlfn.REGEXEXTRACT(CELL("address",AJ37), "\$([A-Z]+)\$[0-9]+"))</f>
        <v/>
      </c>
      <c r="AK37" s="7" t="str">
        <f t="array" aca="1" ref="AK37" ca="1">IFERROR(IF(OR('Raw Data'!AK37="",LEN(TRIM('Raw Data'!AK37))=0),"",IF(AND(ISNUMBER('Raw Data'!AK37), IFERROR('Raw Data'!AK37 = ROUND('Raw Data'!AK37, 2),FALSE)),"",_xlfn.REGEXEXTRACT(CELL("address",AK37), "\$([A-Z]+)\$[0-9]+"))),_xlfn.REGEXEXTRACT(CELL("address",AK37), "\$([A-Z]+)\$[0-9]+"))</f>
        <v/>
      </c>
      <c r="AL37" s="7" t="str">
        <f t="array" aca="1" ref="AL37" ca="1">IFERROR(IF(OR('Raw Data'!AL37="",LEN(TRIM('Raw Data'!AL37))=0),"",IF(AND(ISNUMBER('Raw Data'!AL37), IFERROR('Raw Data'!AL37 = ROUND('Raw Data'!AL37, 2),FALSE)),"",_xlfn.REGEXEXTRACT(CELL("address",AL37), "\$([A-Z]+)\$[0-9]+"))),_xlfn.REGEXEXTRACT(CELL("address",AL37), "\$([A-Z]+)\$[0-9]+"))</f>
        <v/>
      </c>
      <c r="AM37" s="7" t="str">
        <f t="array" aca="1" ref="AM37" ca="1">IFERROR(IF(OR('Raw Data'!AM37="",LEN(TRIM('Raw Data'!AM37))=0),"",IF(AND(ISNUMBER('Raw Data'!AM37), IFERROR('Raw Data'!AM37 = ROUND('Raw Data'!AM37, 2),FALSE)),"",_xlfn.REGEXEXTRACT(CELL("address",AM37), "\$([A-Z]+)\$[0-9]+"))),_xlfn.REGEXEXTRACT(CELL("address",AM37), "\$([A-Z]+)\$[0-9]+"))</f>
        <v/>
      </c>
      <c r="AN37" s="7" t="str">
        <f t="array" aca="1" ref="AN37" ca="1">IFERROR(IF(OR('Raw Data'!AN37="",LEN(TRIM('Raw Data'!AN37))=0),"",IF(AND(ISNUMBER('Raw Data'!AN37), IFERROR('Raw Data'!AN37 = ROUND('Raw Data'!AN37, 2),FALSE)),"",_xlfn.REGEXEXTRACT(CELL("address",AN37), "\$([A-Z]+)\$[0-9]+"))),_xlfn.REGEXEXTRACT(CELL("address",AN37), "\$([A-Z]+)\$[0-9]+"))</f>
        <v/>
      </c>
      <c r="AO37" s="7" t="str">
        <f t="array" aca="1" ref="AO37" ca="1">IFERROR(IF(OR('Raw Data'!AO37="",LEN(TRIM('Raw Data'!AO37))=0),"",IF(AND(ISNUMBER('Raw Data'!AO37), IFERROR('Raw Data'!AO37 = ROUND('Raw Data'!AO37, 2),FALSE)),"",_xlfn.REGEXEXTRACT(CELL("address",AO37), "\$([A-Z]+)\$[0-9]+"))),_xlfn.REGEXEXTRACT(CELL("address",AO37), "\$([A-Z]+)\$[0-9]+"))</f>
        <v/>
      </c>
      <c r="AP37" s="7" t="str">
        <f t="array" aca="1" ref="AP37" ca="1">IFERROR(IF(OR('Raw Data'!AP37="",LEN(TRIM('Raw Data'!AP37))=0),"",IF(AND(ISNUMBER('Raw Data'!AP37), IFERROR('Raw Data'!AP37 = ROUND('Raw Data'!AP37, 2),FALSE)),"",_xlfn.REGEXEXTRACT(CELL("address",AP37), "\$([A-Z]+)\$[0-9]+"))),_xlfn.REGEXEXTRACT(CELL("address",AP37), "\$([A-Z]+)\$[0-9]+"))</f>
        <v/>
      </c>
    </row>
    <row r="38" spans="2:42" x14ac:dyDescent="0.25">
      <c r="B38" s="7" t="str">
        <f t="array" aca="1" ref="B38" ca="1">IFERROR(IF(OR('Raw Data'!B38="",LEN(TRIM('Raw Data'!B38))=0),"",IF(AND(LEN('Raw Data'!B38) &lt;= 255,LEN('Raw Data'!B38)&gt; 0),"",_xlfn.REGEXEXTRACT(CELL("address",'Raw Data'!B38),"\$([A-Z]+)\$[0-9]+"))),_xlfn.REGEXEXTRACT(CELL("address",'Raw Data'!B38),"\$([A-Z]+)\$[0-9]+"))</f>
        <v/>
      </c>
      <c r="C38" s="7" t="str">
        <f t="array" aca="1" ref="C38" ca="1">IFERROR(IF(OR('Raw Data'!C38="",LEN(TRIM('Raw Data'!C38))=0),"",IF(AND(LEN('Raw Data'!C38) &lt;= 50,LEN('Raw Data'!C38)&gt; 0),"",_xlfn.REGEXEXTRACT(CELL("address",'Raw Data'!C38),"\$([A-Z]+)\$[0-9]+"))),_xlfn.REGEXEXTRACT(CELL("address",'Raw Data'!C38),"\$([A-Z]+)\$[0-9]+"))</f>
        <v/>
      </c>
      <c r="D38" s="7" t="str">
        <f t="array" aca="1" ref="D38" ca="1">IFERROR(IF(OR('Raw Data'!D38="",LEN(TRIM('Raw Data'!D38))=0),"",IF(AND(LEN('Raw Data'!D38) &lt;= 500,LEN('Raw Data'!D38)&gt; 0),"",_xlfn.REGEXEXTRACT(CELL("address",'Raw Data'!D38),"\$([A-Z]+)\$[0-9]+"))),_xlfn.REGEXEXTRACT(CELL("address",'Raw Data'!D38),"\$([A-Z]+)\$[0-9]+"))</f>
        <v/>
      </c>
      <c r="E38" s="7" t="str">
        <f t="array" aca="1" ref="E38" ca="1">IFERROR(IF(OR('Raw Data'!E38="",LEN(TRIM('Raw Data'!E38))=0),"",IF(AND(LEN('Raw Data'!E38) &lt;= 50,LEN('Raw Data'!E38)&gt; 0),"",_xlfn.REGEXEXTRACT(CELL("address",'Raw Data'!E38),"\$([A-Z]+)\$[0-9]+"))),_xlfn.REGEXEXTRACT(CELL("address",'Raw Data'!E38),"\$([A-Z]+)\$[0-9]+"))</f>
        <v/>
      </c>
      <c r="F38" s="7" t="str">
        <f t="array" aca="1" ref="F38" ca="1">IFERROR(IF(OR('Raw Data'!F38="",LEN(TRIM('Raw Data'!F38))=0),"",IF(AND(LEN('Raw Data'!F38) &lt;= 50,LEN('Raw Data'!F38)&gt; 0),"",_xlfn.REGEXEXTRACT(CELL("address",'Raw Data'!F38),"\$([A-Z]+)\$[0-9]+"))),_xlfn.REGEXEXTRACT(CELL("address",'Raw Data'!F38),"\$([A-Z]+)\$[0-9]+"))</f>
        <v/>
      </c>
      <c r="G38" s="7" t="str">
        <f t="array" aca="1" ref="G38" ca="1">IFERROR(IF(OR('Raw Data'!G38="",LEN(TRIM('Raw Data'!G38))=0),"",IF(AND(LEN('Raw Data'!G38) &lt;= 50,LEN('Raw Data'!G38)&gt; 0),"",_xlfn.REGEXEXTRACT(CELL("address",'Raw Data'!G38),"\$([A-Z]+)\$[0-9]+"))),_xlfn.REGEXEXTRACT(CELL("address",'Raw Data'!G38),"\$([A-Z]+)\$[0-9]+"))</f>
        <v/>
      </c>
      <c r="H38" s="7" t="str">
        <f t="array" aca="1" ref="H38" ca="1">IFERROR(IF(OR('Raw Data'!H38="",LEN(TRIM('Raw Data'!H38))=0),"",IF(AND(LEN('Raw Data'!H38) &lt;= 50,LEN('Raw Data'!H38)&gt; 0),"",_xlfn.REGEXEXTRACT(CELL("address",'Raw Data'!H38),"\$([A-Z]+)\$[0-9]+"))),_xlfn.REGEXEXTRACT(CELL("address",'Raw Data'!H38),"\$([A-Z]+)\$[0-9]+"))</f>
        <v/>
      </c>
      <c r="I38" s="7" t="str">
        <f t="array" aca="1" ref="I38" ca="1">IFERROR(IF(OR('Raw Data'!I38="",LEN(TRIM('Raw Data'!I38))=0),"",IF(AND(LEN('Raw Data'!I38) &lt;= 50,LEN('Raw Data'!I38)&gt; 0),"",_xlfn.REGEXEXTRACT(CELL("address",'Raw Data'!I38),"\$([A-Z]+)\$[0-9]+"))),_xlfn.REGEXEXTRACT(CELL("address",'Raw Data'!I38),"\$([A-Z]+)\$[0-9]+"))</f>
        <v/>
      </c>
      <c r="J38" s="7" t="str">
        <f t="array" aca="1" ref="J38" ca="1">IFERROR(IF(OR('Raw Data'!J38="",LEN(TRIM('Raw Data'!J38))=0),"",IF(AND(ISNUMBER('Raw Data'!J38), IFERROR('Raw Data'!J38 = ROUND('Raw Data'!J38, 2),FALSE)),"",_xlfn.REGEXEXTRACT(CELL("address",J38), "\$([A-Z]+)\$[0-9]+"))),_xlfn.REGEXEXTRACT(CELL("address",J38), "\$([A-Z]+)\$[0-9]+"))</f>
        <v/>
      </c>
      <c r="K38" s="7" t="str">
        <f t="array" aca="1" ref="K38" ca="1">IFERROR(IF(OR('Raw Data'!K38="",LEN(TRIM('Raw Data'!K38))=0),"",IF(AND(ISNUMBER('Raw Data'!K38), IFERROR('Raw Data'!K38 = ROUND('Raw Data'!K38, 2),FALSE)),"",_xlfn.REGEXEXTRACT(CELL("address",K38), "\$([A-Z]+)\$[0-9]+"))),_xlfn.REGEXEXTRACT(CELL("address",K38), "\$([A-Z]+)\$[0-9]+"))</f>
        <v/>
      </c>
      <c r="L38" s="7" t="str">
        <f t="array" aca="1" ref="L38" ca="1">IFERROR(IF(OR('Raw Data'!L38="",LEN(TRIM('Raw Data'!L38))=0),"",IF(AND(ISNUMBER('Raw Data'!L38), IFERROR('Raw Data'!L38 = ROUND('Raw Data'!L38, 2),FALSE)),"",_xlfn.REGEXEXTRACT(CELL("address",L38), "\$([A-Z]+)\$[0-9]+"))),_xlfn.REGEXEXTRACT(CELL("address",L38), "\$([A-Z]+)\$[0-9]+"))</f>
        <v/>
      </c>
      <c r="M38" s="7" t="str">
        <f t="array" aca="1" ref="M38" ca="1">IFERROR(IF(OR('Raw Data'!M38="",LEN(TRIM('Raw Data'!M38))=0),"",IF(AND(ISNUMBER('Raw Data'!M38), IFERROR('Raw Data'!M38 = ROUND('Raw Data'!M38, 2),FALSE)),"",_xlfn.REGEXEXTRACT(CELL("address",M38), "\$([A-Z]+)\$[0-9]+"))),_xlfn.REGEXEXTRACT(CELL("address",M38), "\$([A-Z]+)\$[0-9]+"))</f>
        <v/>
      </c>
      <c r="N38" s="7" t="str">
        <f t="array" aca="1" ref="N38" ca="1">IFERROR(IF(OR('Raw Data'!N38="",LEN(TRIM('Raw Data'!N38))=0),"",IF(AND(ISNUMBER('Raw Data'!N38), IFERROR('Raw Data'!N38 = ROUND('Raw Data'!N38, 2),FALSE)),"",_xlfn.REGEXEXTRACT(CELL("address",N38), "\$([A-Z]+)\$[0-9]+"))),_xlfn.REGEXEXTRACT(CELL("address",N38), "\$([A-Z]+)\$[0-9]+"))</f>
        <v/>
      </c>
      <c r="O38" s="7" t="str">
        <f t="array" aca="1" ref="O38" ca="1">IFERROR(IF(OR('Raw Data'!O38="",LEN(TRIM('Raw Data'!O38))=0),"",IF(AND(ISNUMBER('Raw Data'!O38),'Raw Data'!O38&gt;=Configuration!$D$2),"",_xlfn.REGEXEXTRACT(CELL("address",'Raw Data'!O38),"\$([A-Z]+)\$[0-9]+"))),_xlfn.REGEXEXTRACT(CELL("address",O38), "\$([A-Z]+)\$[0-9]+"))</f>
        <v/>
      </c>
      <c r="P38" s="7" t="str">
        <f t="array" aca="1" ref="P38" ca="1">IFERROR(IF(OR('Raw Data'!P38="",LEN(TRIM('Raw Data'!P38))=0),"",IF(AND(ISNUMBER('Raw Data'!P38), IFERROR('Raw Data'!P38 = ROUND('Raw Data'!P38, 2),FALSE)),"",_xlfn.REGEXEXTRACT(CELL("address",P38), "\$([A-Z]+)\$[0-9]+"))),_xlfn.REGEXEXTRACT(CELL("address",P38), "\$([A-Z]+)\$[0-9]+"))</f>
        <v/>
      </c>
      <c r="Q38" s="7" t="str">
        <f t="array" aca="1" ref="Q38" ca="1">IFERROR(IF(OR('Raw Data'!Q38="",LEN(TRIM('Raw Data'!Q38))=0),"",IF(AND(ISNUMBER('Raw Data'!Q38), IFERROR('Raw Data'!Q38 = ROUND('Raw Data'!Q38, 2),FALSE)),"",_xlfn.REGEXEXTRACT(CELL("address",Q38), "\$([A-Z]+)\$[0-9]+"))),_xlfn.REGEXEXTRACT(CELL("address",Q38), "\$([A-Z]+)\$[0-9]+"))</f>
        <v/>
      </c>
      <c r="R38" s="7" t="str">
        <f t="array" aca="1" ref="R38" ca="1">IFERROR(IF(OR('Raw Data'!R38="",LEN(TRIM('Raw Data'!R38))=0),"",IF(AND(LEN('Raw Data'!R38) &lt;= 50,LEN('Raw Data'!R38)&gt; 0),"",_xlfn.REGEXEXTRACT(CELL("address",'Raw Data'!R38),"\$([A-Z]+)\$[0-9]+"))),_xlfn.REGEXEXTRACT(CELL("address",'Raw Data'!R38),"\$([A-Z]+)\$[0-9]+"))</f>
        <v/>
      </c>
      <c r="S38" s="7" t="str">
        <f t="array" aca="1" ref="S38" ca="1">IFERROR(IF(OR('Raw Data'!S38="",LEN(TRIM('Raw Data'!S38))=0),"",IF(AND(LEN('Raw Data'!S38) &lt;= 50,LEN('Raw Data'!S38)&gt; 0),"",_xlfn.REGEXEXTRACT(CELL("address",'Raw Data'!S38),"\$([A-Z]+)\$[0-9]+"))),_xlfn.REGEXEXTRACT(CELL("address",'Raw Data'!S38),"\$([A-Z]+)\$[0-9]+"))</f>
        <v/>
      </c>
      <c r="T38" s="7" t="str">
        <f t="array" aca="1" ref="T38" ca="1">IFERROR(IF(OR('Raw Data'!T38="",LEN(TRIM('Raw Data'!T38))=0),"",IF(AND(ISNUMBER('Raw Data'!T38), IFERROR('Raw Data'!T38 = ROUND('Raw Data'!T38, 2),FALSE)),"",_xlfn.REGEXEXTRACT(CELL("address",T38), "\$([A-Z]+)\$[0-9]+"))),_xlfn.REGEXEXTRACT(CELL("address",T38), "\$([A-Z]+)\$[0-9]+"))</f>
        <v/>
      </c>
      <c r="U38" s="7" t="str">
        <f t="array" aca="1" ref="U38" ca="1">IFERROR(IF(OR('Raw Data'!U38="",LEN(TRIM('Raw Data'!U38))=0),"",IF(AND(ISNUMBER('Raw Data'!U38), IFERROR('Raw Data'!U38 = ROUND('Raw Data'!U38, 2),FALSE)),"",_xlfn.REGEXEXTRACT(CELL("address",U38), "\$([A-Z]+)\$[0-9]+"))),_xlfn.REGEXEXTRACT(CELL("address",U38), "\$([A-Z]+)\$[0-9]+"))</f>
        <v/>
      </c>
      <c r="V38" s="7" t="str">
        <f t="array" aca="1" ref="V38" ca="1">IFERROR(IF(OR('Raw Data'!V38="",LEN(TRIM('Raw Data'!V38))=0),"",IF(AND(ISNUMBER('Raw Data'!V38), IFERROR('Raw Data'!V38 = ROUND('Raw Data'!V38, 2),FALSE)),"",_xlfn.REGEXEXTRACT(CELL("address",V38), "\$([A-Z]+)\$[0-9]+"))),_xlfn.REGEXEXTRACT(CELL("address",V38), "\$([A-Z]+)\$[0-9]+"))</f>
        <v/>
      </c>
      <c r="W38" s="7" t="str">
        <f t="array" aca="1" ref="W38" ca="1">IFERROR(IF(OR('Raw Data'!W38="",LEN(TRIM('Raw Data'!W38))=0),"",IF(AND(ISNUMBER('Raw Data'!W38), IFERROR('Raw Data'!W38 = ROUND('Raw Data'!W38, 2),FALSE)),"",_xlfn.REGEXEXTRACT(CELL("address",W38), "\$([A-Z]+)\$[0-9]+"))),_xlfn.REGEXEXTRACT(CELL("address",W38), "\$([A-Z]+)\$[0-9]+"))</f>
        <v/>
      </c>
      <c r="X38" s="7" t="str">
        <f t="array" aca="1" ref="X38" ca="1">IFERROR(IF(OR('Raw Data'!X38="",LEN(TRIM('Raw Data'!X38))=0),"",IF(AND(ISNUMBER('Raw Data'!X38), IFERROR('Raw Data'!X38 = ROUND('Raw Data'!X38, 2),FALSE)),"",_xlfn.REGEXEXTRACT(CELL("address",X38), "\$([A-Z]+)\$[0-9]+"))),_xlfn.REGEXEXTRACT(CELL("address",X38), "\$([A-Z]+)\$[0-9]+"))</f>
        <v/>
      </c>
      <c r="Y38" s="7" t="str">
        <f t="array" aca="1" ref="Y38" ca="1">IFERROR(IF(OR('Raw Data'!Y38="",LEN(TRIM('Raw Data'!Y38))=0),"",IF(AND(ISNUMBER('Raw Data'!Y38), IFERROR('Raw Data'!Y38 = ROUND('Raw Data'!Y38, 2),FALSE)),"",_xlfn.REGEXEXTRACT(CELL("address",Y38), "\$([A-Z]+)\$[0-9]+"))),_xlfn.REGEXEXTRACT(CELL("address",Y38), "\$([A-Z]+)\$[0-9]+"))</f>
        <v/>
      </c>
      <c r="Z38" s="7" t="str">
        <f t="array" aca="1" ref="Z38" ca="1">IFERROR(IF(OR('Raw Data'!Z38="",LEN(TRIM('Raw Data'!Z38))=0),"",IF(AND(ISNUMBER('Raw Data'!Z38), IFERROR('Raw Data'!Z38 = ROUND('Raw Data'!Z38, 2),FALSE)),"",_xlfn.REGEXEXTRACT(CELL("address",Z38), "\$([A-Z]+)\$[0-9]+"))),_xlfn.REGEXEXTRACT(CELL("address",Z38), "\$([A-Z]+)\$[0-9]+"))</f>
        <v/>
      </c>
      <c r="AA38" s="7" t="str">
        <f t="array" aca="1" ref="AA38" ca="1">IFERROR(IF(OR('Raw Data'!AA38="",LEN(TRIM('Raw Data'!AA38))=0),"",IF(AND(ISNUMBER('Raw Data'!AA38), IFERROR('Raw Data'!AA38 = ROUND('Raw Data'!AA38, 2),FALSE)),"",_xlfn.REGEXEXTRACT(CELL("address",AA38), "\$([A-Z]+)\$[0-9]+"))),_xlfn.REGEXEXTRACT(CELL("address",AA38), "\$([A-Z]+)\$[0-9]+"))</f>
        <v/>
      </c>
      <c r="AB38" s="7" t="str">
        <f t="array" aca="1" ref="AB38" ca="1">IFERROR(IF(OR('Raw Data'!AB38="",LEN(TRIM('Raw Data'!AB38))=0),"",IF(AND(ISNUMBER('Raw Data'!AB38), IFERROR('Raw Data'!AB38 = ROUND('Raw Data'!AB38, 2),FALSE)),"",_xlfn.REGEXEXTRACT(CELL("address",AB38), "\$([A-Z]+)\$[0-9]+"))),_xlfn.REGEXEXTRACT(CELL("address",AB38), "\$([A-Z]+)\$[0-9]+"))</f>
        <v/>
      </c>
      <c r="AC38" s="7" t="str">
        <f t="array" aca="1" ref="AC38" ca="1">IFERROR(IF(OR('Raw Data'!AC38="",LEN(TRIM('Raw Data'!AC38))=0),"",IF(AND(ISNUMBER('Raw Data'!AC38), IFERROR('Raw Data'!AC38 = ROUND('Raw Data'!AC38, 2),FALSE)),"",_xlfn.REGEXEXTRACT(CELL("address",AC38), "\$([A-Z]+)\$[0-9]+"))),_xlfn.REGEXEXTRACT(CELL("address",AC38), "\$([A-Z]+)\$[0-9]+"))</f>
        <v/>
      </c>
      <c r="AD38" s="7" t="str">
        <f t="array" aca="1" ref="AD38" ca="1">IFERROR(IF(OR('Raw Data'!AD38="",LEN(TRIM('Raw Data'!AD38))=0),"",IF(AND(ISNUMBER('Raw Data'!AD38), IFERROR('Raw Data'!AD38 = ROUND('Raw Data'!AD38, 2),FALSE)),"",_xlfn.REGEXEXTRACT(CELL("address",AD38), "\$([A-Z]+)\$[0-9]+"))),_xlfn.REGEXEXTRACT(CELL("address",AD38), "\$([A-Z]+)\$[0-9]+"))</f>
        <v/>
      </c>
      <c r="AE38" s="7" t="str">
        <f t="array" aca="1" ref="AE38" ca="1">IFERROR(IF(OR('Raw Data'!AE38="",LEN(TRIM('Raw Data'!AE38))=0),"",IF(AND(ISNUMBER('Raw Data'!AE38), IFERROR('Raw Data'!AE38 = ROUND('Raw Data'!AE38, 2),FALSE)),"",_xlfn.REGEXEXTRACT(CELL("address",AE38), "\$([A-Z]+)\$[0-9]+"))),_xlfn.REGEXEXTRACT(CELL("address",AE38), "\$([A-Z]+)\$[0-9]+"))</f>
        <v/>
      </c>
      <c r="AF38" s="7" t="str">
        <f t="array" aca="1" ref="AF38" ca="1">IFERROR(IF(OR('Raw Data'!AF38="",LEN(TRIM('Raw Data'!AF38))=0),"",IF(AND(ISNUMBER('Raw Data'!AF38), IFERROR('Raw Data'!AF38 = ROUND('Raw Data'!AF38, 2),FALSE)),"",_xlfn.REGEXEXTRACT(CELL("address",AF38), "\$([A-Z]+)\$[0-9]+"))),_xlfn.REGEXEXTRACT(CELL("address",AF38), "\$([A-Z]+)\$[0-9]+"))</f>
        <v/>
      </c>
      <c r="AG38" s="7" t="str">
        <f t="array" aca="1" ref="AG38" ca="1">IFERROR(IF(OR('Raw Data'!AG38="",LEN(TRIM('Raw Data'!AG38))=0),"",IF(AND(ISNUMBER('Raw Data'!AG38), IFERROR('Raw Data'!AG38 = ROUND('Raw Data'!AG38, 2),FALSE)),"",_xlfn.REGEXEXTRACT(CELL("address",AG38), "\$([A-Z]+)\$[0-9]+"))),_xlfn.REGEXEXTRACT(CELL("address",AG38), "\$([A-Z]+)\$[0-9]+"))</f>
        <v/>
      </c>
      <c r="AH38" s="7" t="str">
        <f t="array" aca="1" ref="AH38" ca="1">IFERROR(IF(OR('Raw Data'!AH38="",LEN(TRIM('Raw Data'!AH38))=0),"",IF(AND(ISNUMBER('Raw Data'!AH38), IFERROR('Raw Data'!AH38 = ROUND('Raw Data'!AH38, 2),FALSE)),"",_xlfn.REGEXEXTRACT(CELL("address",AH38), "\$([A-Z]+)\$[0-9]+"))),_xlfn.REGEXEXTRACT(CELL("address",AH38), "\$([A-Z]+)\$[0-9]+"))</f>
        <v/>
      </c>
      <c r="AI38" s="7" t="str">
        <f t="array" aca="1" ref="AI38" ca="1">IFERROR(IF(OR('Raw Data'!AI38="",LEN(TRIM('Raw Data'!AI38))=0),"",IF(AND(ISNUMBER('Raw Data'!AI38), IFERROR('Raw Data'!AI38 = ROUND('Raw Data'!AI38, 2),FALSE)),"",_xlfn.REGEXEXTRACT(CELL("address",AI38), "\$([A-Z]+)\$[0-9]+"))),_xlfn.REGEXEXTRACT(CELL("address",AI38), "\$([A-Z]+)\$[0-9]+"))</f>
        <v/>
      </c>
      <c r="AJ38" s="7" t="str">
        <f t="array" aca="1" ref="AJ38" ca="1">IFERROR(IF(OR('Raw Data'!AJ38="",LEN(TRIM('Raw Data'!AJ38))=0),"",IF(AND(ISNUMBER('Raw Data'!AJ38), IFERROR('Raw Data'!AJ38 = ROUND('Raw Data'!AJ38, 4),FALSE)),"",_xlfn.REGEXEXTRACT(CELL("address",AJ38), "\$([A-Z]+)\$[0-9]+"))),_xlfn.REGEXEXTRACT(CELL("address",AJ38), "\$([A-Z]+)\$[0-9]+"))</f>
        <v/>
      </c>
      <c r="AK38" s="7" t="str">
        <f t="array" aca="1" ref="AK38" ca="1">IFERROR(IF(OR('Raw Data'!AK38="",LEN(TRIM('Raw Data'!AK38))=0),"",IF(AND(ISNUMBER('Raw Data'!AK38), IFERROR('Raw Data'!AK38 = ROUND('Raw Data'!AK38, 2),FALSE)),"",_xlfn.REGEXEXTRACT(CELL("address",AK38), "\$([A-Z]+)\$[0-9]+"))),_xlfn.REGEXEXTRACT(CELL("address",AK38), "\$([A-Z]+)\$[0-9]+"))</f>
        <v/>
      </c>
      <c r="AL38" s="7" t="str">
        <f t="array" aca="1" ref="AL38" ca="1">IFERROR(IF(OR('Raw Data'!AL38="",LEN(TRIM('Raw Data'!AL38))=0),"",IF(AND(ISNUMBER('Raw Data'!AL38), IFERROR('Raw Data'!AL38 = ROUND('Raw Data'!AL38, 2),FALSE)),"",_xlfn.REGEXEXTRACT(CELL("address",AL38), "\$([A-Z]+)\$[0-9]+"))),_xlfn.REGEXEXTRACT(CELL("address",AL38), "\$([A-Z]+)\$[0-9]+"))</f>
        <v/>
      </c>
      <c r="AM38" s="7" t="str">
        <f t="array" aca="1" ref="AM38" ca="1">IFERROR(IF(OR('Raw Data'!AM38="",LEN(TRIM('Raw Data'!AM38))=0),"",IF(AND(ISNUMBER('Raw Data'!AM38), IFERROR('Raw Data'!AM38 = ROUND('Raw Data'!AM38, 2),FALSE)),"",_xlfn.REGEXEXTRACT(CELL("address",AM38), "\$([A-Z]+)\$[0-9]+"))),_xlfn.REGEXEXTRACT(CELL("address",AM38), "\$([A-Z]+)\$[0-9]+"))</f>
        <v/>
      </c>
      <c r="AN38" s="7" t="str">
        <f t="array" aca="1" ref="AN38" ca="1">IFERROR(IF(OR('Raw Data'!AN38="",LEN(TRIM('Raw Data'!AN38))=0),"",IF(AND(ISNUMBER('Raw Data'!AN38), IFERROR('Raw Data'!AN38 = ROUND('Raw Data'!AN38, 2),FALSE)),"",_xlfn.REGEXEXTRACT(CELL("address",AN38), "\$([A-Z]+)\$[0-9]+"))),_xlfn.REGEXEXTRACT(CELL("address",AN38), "\$([A-Z]+)\$[0-9]+"))</f>
        <v/>
      </c>
      <c r="AO38" s="7" t="str">
        <f t="array" aca="1" ref="AO38" ca="1">IFERROR(IF(OR('Raw Data'!AO38="",LEN(TRIM('Raw Data'!AO38))=0),"",IF(AND(ISNUMBER('Raw Data'!AO38), IFERROR('Raw Data'!AO38 = ROUND('Raw Data'!AO38, 2),FALSE)),"",_xlfn.REGEXEXTRACT(CELL("address",AO38), "\$([A-Z]+)\$[0-9]+"))),_xlfn.REGEXEXTRACT(CELL("address",AO38), "\$([A-Z]+)\$[0-9]+"))</f>
        <v/>
      </c>
      <c r="AP38" s="7" t="str">
        <f t="array" aca="1" ref="AP38" ca="1">IFERROR(IF(OR('Raw Data'!AP38="",LEN(TRIM('Raw Data'!AP38))=0),"",IF(AND(ISNUMBER('Raw Data'!AP38), IFERROR('Raw Data'!AP38 = ROUND('Raw Data'!AP38, 2),FALSE)),"",_xlfn.REGEXEXTRACT(CELL("address",AP38), "\$([A-Z]+)\$[0-9]+"))),_xlfn.REGEXEXTRACT(CELL("address",AP38), "\$([A-Z]+)\$[0-9]+"))</f>
        <v/>
      </c>
    </row>
    <row r="39" spans="2:42" x14ac:dyDescent="0.25">
      <c r="B39" s="7" t="str">
        <f t="array" aca="1" ref="B39" ca="1">IFERROR(IF(OR('Raw Data'!B39="",LEN(TRIM('Raw Data'!B39))=0),"",IF(AND(LEN('Raw Data'!B39) &lt;= 255,LEN('Raw Data'!B39)&gt; 0),"",_xlfn.REGEXEXTRACT(CELL("address",'Raw Data'!B39),"\$([A-Z]+)\$[0-9]+"))),_xlfn.REGEXEXTRACT(CELL("address",'Raw Data'!B39),"\$([A-Z]+)\$[0-9]+"))</f>
        <v/>
      </c>
      <c r="C39" s="7" t="str">
        <f t="array" aca="1" ref="C39" ca="1">IFERROR(IF(OR('Raw Data'!C39="",LEN(TRIM('Raw Data'!C39))=0),"",IF(AND(LEN('Raw Data'!C39) &lt;= 50,LEN('Raw Data'!C39)&gt; 0),"",_xlfn.REGEXEXTRACT(CELL("address",'Raw Data'!C39),"\$([A-Z]+)\$[0-9]+"))),_xlfn.REGEXEXTRACT(CELL("address",'Raw Data'!C39),"\$([A-Z]+)\$[0-9]+"))</f>
        <v/>
      </c>
      <c r="D39" s="7" t="str">
        <f t="array" aca="1" ref="D39" ca="1">IFERROR(IF(OR('Raw Data'!D39="",LEN(TRIM('Raw Data'!D39))=0),"",IF(AND(LEN('Raw Data'!D39) &lt;= 500,LEN('Raw Data'!D39)&gt; 0),"",_xlfn.REGEXEXTRACT(CELL("address",'Raw Data'!D39),"\$([A-Z]+)\$[0-9]+"))),_xlfn.REGEXEXTRACT(CELL("address",'Raw Data'!D39),"\$([A-Z]+)\$[0-9]+"))</f>
        <v/>
      </c>
      <c r="E39" s="7" t="str">
        <f t="array" aca="1" ref="E39" ca="1">IFERROR(IF(OR('Raw Data'!E39="",LEN(TRIM('Raw Data'!E39))=0),"",IF(AND(LEN('Raw Data'!E39) &lt;= 50,LEN('Raw Data'!E39)&gt; 0),"",_xlfn.REGEXEXTRACT(CELL("address",'Raw Data'!E39),"\$([A-Z]+)\$[0-9]+"))),_xlfn.REGEXEXTRACT(CELL("address",'Raw Data'!E39),"\$([A-Z]+)\$[0-9]+"))</f>
        <v/>
      </c>
      <c r="F39" s="7" t="str">
        <f t="array" aca="1" ref="F39" ca="1">IFERROR(IF(OR('Raw Data'!F39="",LEN(TRIM('Raw Data'!F39))=0),"",IF(AND(LEN('Raw Data'!F39) &lt;= 50,LEN('Raw Data'!F39)&gt; 0),"",_xlfn.REGEXEXTRACT(CELL("address",'Raw Data'!F39),"\$([A-Z]+)\$[0-9]+"))),_xlfn.REGEXEXTRACT(CELL("address",'Raw Data'!F39),"\$([A-Z]+)\$[0-9]+"))</f>
        <v/>
      </c>
      <c r="G39" s="7" t="str">
        <f t="array" aca="1" ref="G39" ca="1">IFERROR(IF(OR('Raw Data'!G39="",LEN(TRIM('Raw Data'!G39))=0),"",IF(AND(LEN('Raw Data'!G39) &lt;= 50,LEN('Raw Data'!G39)&gt; 0),"",_xlfn.REGEXEXTRACT(CELL("address",'Raw Data'!G39),"\$([A-Z]+)\$[0-9]+"))),_xlfn.REGEXEXTRACT(CELL("address",'Raw Data'!G39),"\$([A-Z]+)\$[0-9]+"))</f>
        <v/>
      </c>
      <c r="H39" s="7" t="str">
        <f t="array" aca="1" ref="H39" ca="1">IFERROR(IF(OR('Raw Data'!H39="",LEN(TRIM('Raw Data'!H39))=0),"",IF(AND(LEN('Raw Data'!H39) &lt;= 50,LEN('Raw Data'!H39)&gt; 0),"",_xlfn.REGEXEXTRACT(CELL("address",'Raw Data'!H39),"\$([A-Z]+)\$[0-9]+"))),_xlfn.REGEXEXTRACT(CELL("address",'Raw Data'!H39),"\$([A-Z]+)\$[0-9]+"))</f>
        <v/>
      </c>
      <c r="I39" s="7" t="str">
        <f t="array" aca="1" ref="I39" ca="1">IFERROR(IF(OR('Raw Data'!I39="",LEN(TRIM('Raw Data'!I39))=0),"",IF(AND(LEN('Raw Data'!I39) &lt;= 50,LEN('Raw Data'!I39)&gt; 0),"",_xlfn.REGEXEXTRACT(CELL("address",'Raw Data'!I39),"\$([A-Z]+)\$[0-9]+"))),_xlfn.REGEXEXTRACT(CELL("address",'Raw Data'!I39),"\$([A-Z]+)\$[0-9]+"))</f>
        <v/>
      </c>
      <c r="J39" s="7" t="str">
        <f t="array" aca="1" ref="J39" ca="1">IFERROR(IF(OR('Raw Data'!J39="",LEN(TRIM('Raw Data'!J39))=0),"",IF(AND(ISNUMBER('Raw Data'!J39), IFERROR('Raw Data'!J39 = ROUND('Raw Data'!J39, 2),FALSE)),"",_xlfn.REGEXEXTRACT(CELL("address",J39), "\$([A-Z]+)\$[0-9]+"))),_xlfn.REGEXEXTRACT(CELL("address",J39), "\$([A-Z]+)\$[0-9]+"))</f>
        <v/>
      </c>
      <c r="K39" s="7" t="str">
        <f t="array" aca="1" ref="K39" ca="1">IFERROR(IF(OR('Raw Data'!K39="",LEN(TRIM('Raw Data'!K39))=0),"",IF(AND(ISNUMBER('Raw Data'!K39), IFERROR('Raw Data'!K39 = ROUND('Raw Data'!K39, 2),FALSE)),"",_xlfn.REGEXEXTRACT(CELL("address",K39), "\$([A-Z]+)\$[0-9]+"))),_xlfn.REGEXEXTRACT(CELL("address",K39), "\$([A-Z]+)\$[0-9]+"))</f>
        <v/>
      </c>
      <c r="L39" s="7" t="str">
        <f t="array" aca="1" ref="L39" ca="1">IFERROR(IF(OR('Raw Data'!L39="",LEN(TRIM('Raw Data'!L39))=0),"",IF(AND(ISNUMBER('Raw Data'!L39), IFERROR('Raw Data'!L39 = ROUND('Raw Data'!L39, 2),FALSE)),"",_xlfn.REGEXEXTRACT(CELL("address",L39), "\$([A-Z]+)\$[0-9]+"))),_xlfn.REGEXEXTRACT(CELL("address",L39), "\$([A-Z]+)\$[0-9]+"))</f>
        <v/>
      </c>
      <c r="M39" s="7" t="str">
        <f t="array" aca="1" ref="M39" ca="1">IFERROR(IF(OR('Raw Data'!M39="",LEN(TRIM('Raw Data'!M39))=0),"",IF(AND(ISNUMBER('Raw Data'!M39), IFERROR('Raw Data'!M39 = ROUND('Raw Data'!M39, 2),FALSE)),"",_xlfn.REGEXEXTRACT(CELL("address",M39), "\$([A-Z]+)\$[0-9]+"))),_xlfn.REGEXEXTRACT(CELL("address",M39), "\$([A-Z]+)\$[0-9]+"))</f>
        <v/>
      </c>
      <c r="N39" s="7" t="str">
        <f t="array" aca="1" ref="N39" ca="1">IFERROR(IF(OR('Raw Data'!N39="",LEN(TRIM('Raw Data'!N39))=0),"",IF(AND(ISNUMBER('Raw Data'!N39), IFERROR('Raw Data'!N39 = ROUND('Raw Data'!N39, 2),FALSE)),"",_xlfn.REGEXEXTRACT(CELL("address",N39), "\$([A-Z]+)\$[0-9]+"))),_xlfn.REGEXEXTRACT(CELL("address",N39), "\$([A-Z]+)\$[0-9]+"))</f>
        <v/>
      </c>
      <c r="O39" s="7" t="str">
        <f t="array" aca="1" ref="O39" ca="1">IFERROR(IF(OR('Raw Data'!O39="",LEN(TRIM('Raw Data'!O39))=0),"",IF(AND(ISNUMBER('Raw Data'!O39),'Raw Data'!O39&gt;=Configuration!$D$2),"",_xlfn.REGEXEXTRACT(CELL("address",'Raw Data'!O39),"\$([A-Z]+)\$[0-9]+"))),_xlfn.REGEXEXTRACT(CELL("address",O39), "\$([A-Z]+)\$[0-9]+"))</f>
        <v/>
      </c>
      <c r="P39" s="7" t="str">
        <f t="array" aca="1" ref="P39" ca="1">IFERROR(IF(OR('Raw Data'!P39="",LEN(TRIM('Raw Data'!P39))=0),"",IF(AND(ISNUMBER('Raw Data'!P39), IFERROR('Raw Data'!P39 = ROUND('Raw Data'!P39, 2),FALSE)),"",_xlfn.REGEXEXTRACT(CELL("address",P39), "\$([A-Z]+)\$[0-9]+"))),_xlfn.REGEXEXTRACT(CELL("address",P39), "\$([A-Z]+)\$[0-9]+"))</f>
        <v/>
      </c>
      <c r="Q39" s="7" t="str">
        <f t="array" aca="1" ref="Q39" ca="1">IFERROR(IF(OR('Raw Data'!Q39="",LEN(TRIM('Raw Data'!Q39))=0),"",IF(AND(ISNUMBER('Raw Data'!Q39), IFERROR('Raw Data'!Q39 = ROUND('Raw Data'!Q39, 2),FALSE)),"",_xlfn.REGEXEXTRACT(CELL("address",Q39), "\$([A-Z]+)\$[0-9]+"))),_xlfn.REGEXEXTRACT(CELL("address",Q39), "\$([A-Z]+)\$[0-9]+"))</f>
        <v/>
      </c>
      <c r="R39" s="7" t="str">
        <f t="array" aca="1" ref="R39" ca="1">IFERROR(IF(OR('Raw Data'!R39="",LEN(TRIM('Raw Data'!R39))=0),"",IF(AND(LEN('Raw Data'!R39) &lt;= 50,LEN('Raw Data'!R39)&gt; 0),"",_xlfn.REGEXEXTRACT(CELL("address",'Raw Data'!R39),"\$([A-Z]+)\$[0-9]+"))),_xlfn.REGEXEXTRACT(CELL("address",'Raw Data'!R39),"\$([A-Z]+)\$[0-9]+"))</f>
        <v/>
      </c>
      <c r="S39" s="7" t="str">
        <f t="array" aca="1" ref="S39" ca="1">IFERROR(IF(OR('Raw Data'!S39="",LEN(TRIM('Raw Data'!S39))=0),"",IF(AND(LEN('Raw Data'!S39) &lt;= 50,LEN('Raw Data'!S39)&gt; 0),"",_xlfn.REGEXEXTRACT(CELL("address",'Raw Data'!S39),"\$([A-Z]+)\$[0-9]+"))),_xlfn.REGEXEXTRACT(CELL("address",'Raw Data'!S39),"\$([A-Z]+)\$[0-9]+"))</f>
        <v/>
      </c>
      <c r="T39" s="7" t="str">
        <f t="array" aca="1" ref="T39" ca="1">IFERROR(IF(OR('Raw Data'!T39="",LEN(TRIM('Raw Data'!T39))=0),"",IF(AND(ISNUMBER('Raw Data'!T39), IFERROR('Raw Data'!T39 = ROUND('Raw Data'!T39, 2),FALSE)),"",_xlfn.REGEXEXTRACT(CELL("address",T39), "\$([A-Z]+)\$[0-9]+"))),_xlfn.REGEXEXTRACT(CELL("address",T39), "\$([A-Z]+)\$[0-9]+"))</f>
        <v/>
      </c>
      <c r="U39" s="7" t="str">
        <f t="array" aca="1" ref="U39" ca="1">IFERROR(IF(OR('Raw Data'!U39="",LEN(TRIM('Raw Data'!U39))=0),"",IF(AND(ISNUMBER('Raw Data'!U39), IFERROR('Raw Data'!U39 = ROUND('Raw Data'!U39, 2),FALSE)),"",_xlfn.REGEXEXTRACT(CELL("address",U39), "\$([A-Z]+)\$[0-9]+"))),_xlfn.REGEXEXTRACT(CELL("address",U39), "\$([A-Z]+)\$[0-9]+"))</f>
        <v/>
      </c>
      <c r="V39" s="7" t="str">
        <f t="array" aca="1" ref="V39" ca="1">IFERROR(IF(OR('Raw Data'!V39="",LEN(TRIM('Raw Data'!V39))=0),"",IF(AND(ISNUMBER('Raw Data'!V39), IFERROR('Raw Data'!V39 = ROUND('Raw Data'!V39, 2),FALSE)),"",_xlfn.REGEXEXTRACT(CELL("address",V39), "\$([A-Z]+)\$[0-9]+"))),_xlfn.REGEXEXTRACT(CELL("address",V39), "\$([A-Z]+)\$[0-9]+"))</f>
        <v/>
      </c>
      <c r="W39" s="7" t="str">
        <f t="array" aca="1" ref="W39" ca="1">IFERROR(IF(OR('Raw Data'!W39="",LEN(TRIM('Raw Data'!W39))=0),"",IF(AND(ISNUMBER('Raw Data'!W39), IFERROR('Raw Data'!W39 = ROUND('Raw Data'!W39, 2),FALSE)),"",_xlfn.REGEXEXTRACT(CELL("address",W39), "\$([A-Z]+)\$[0-9]+"))),_xlfn.REGEXEXTRACT(CELL("address",W39), "\$([A-Z]+)\$[0-9]+"))</f>
        <v/>
      </c>
      <c r="X39" s="7" t="str">
        <f t="array" aca="1" ref="X39" ca="1">IFERROR(IF(OR('Raw Data'!X39="",LEN(TRIM('Raw Data'!X39))=0),"",IF(AND(ISNUMBER('Raw Data'!X39), IFERROR('Raw Data'!X39 = ROUND('Raw Data'!X39, 2),FALSE)),"",_xlfn.REGEXEXTRACT(CELL("address",X39), "\$([A-Z]+)\$[0-9]+"))),_xlfn.REGEXEXTRACT(CELL("address",X39), "\$([A-Z]+)\$[0-9]+"))</f>
        <v/>
      </c>
      <c r="Y39" s="7" t="str">
        <f t="array" aca="1" ref="Y39" ca="1">IFERROR(IF(OR('Raw Data'!Y39="",LEN(TRIM('Raw Data'!Y39))=0),"",IF(AND(ISNUMBER('Raw Data'!Y39), IFERROR('Raw Data'!Y39 = ROUND('Raw Data'!Y39, 2),FALSE)),"",_xlfn.REGEXEXTRACT(CELL("address",Y39), "\$([A-Z]+)\$[0-9]+"))),_xlfn.REGEXEXTRACT(CELL("address",Y39), "\$([A-Z]+)\$[0-9]+"))</f>
        <v/>
      </c>
      <c r="Z39" s="7" t="str">
        <f t="array" aca="1" ref="Z39" ca="1">IFERROR(IF(OR('Raw Data'!Z39="",LEN(TRIM('Raw Data'!Z39))=0),"",IF(AND(ISNUMBER('Raw Data'!Z39), IFERROR('Raw Data'!Z39 = ROUND('Raw Data'!Z39, 2),FALSE)),"",_xlfn.REGEXEXTRACT(CELL("address",Z39), "\$([A-Z]+)\$[0-9]+"))),_xlfn.REGEXEXTRACT(CELL("address",Z39), "\$([A-Z]+)\$[0-9]+"))</f>
        <v/>
      </c>
      <c r="AA39" s="7" t="str">
        <f t="array" aca="1" ref="AA39" ca="1">IFERROR(IF(OR('Raw Data'!AA39="",LEN(TRIM('Raw Data'!AA39))=0),"",IF(AND(ISNUMBER('Raw Data'!AA39), IFERROR('Raw Data'!AA39 = ROUND('Raw Data'!AA39, 2),FALSE)),"",_xlfn.REGEXEXTRACT(CELL("address",AA39), "\$([A-Z]+)\$[0-9]+"))),_xlfn.REGEXEXTRACT(CELL("address",AA39), "\$([A-Z]+)\$[0-9]+"))</f>
        <v/>
      </c>
      <c r="AB39" s="7" t="str">
        <f t="array" aca="1" ref="AB39" ca="1">IFERROR(IF(OR('Raw Data'!AB39="",LEN(TRIM('Raw Data'!AB39))=0),"",IF(AND(ISNUMBER('Raw Data'!AB39), IFERROR('Raw Data'!AB39 = ROUND('Raw Data'!AB39, 2),FALSE)),"",_xlfn.REGEXEXTRACT(CELL("address",AB39), "\$([A-Z]+)\$[0-9]+"))),_xlfn.REGEXEXTRACT(CELL("address",AB39), "\$([A-Z]+)\$[0-9]+"))</f>
        <v/>
      </c>
      <c r="AC39" s="7" t="str">
        <f t="array" aca="1" ref="AC39" ca="1">IFERROR(IF(OR('Raw Data'!AC39="",LEN(TRIM('Raw Data'!AC39))=0),"",IF(AND(ISNUMBER('Raw Data'!AC39), IFERROR('Raw Data'!AC39 = ROUND('Raw Data'!AC39, 2),FALSE)),"",_xlfn.REGEXEXTRACT(CELL("address",AC39), "\$([A-Z]+)\$[0-9]+"))),_xlfn.REGEXEXTRACT(CELL("address",AC39), "\$([A-Z]+)\$[0-9]+"))</f>
        <v/>
      </c>
      <c r="AD39" s="7" t="str">
        <f t="array" aca="1" ref="AD39" ca="1">IFERROR(IF(OR('Raw Data'!AD39="",LEN(TRIM('Raw Data'!AD39))=0),"",IF(AND(ISNUMBER('Raw Data'!AD39), IFERROR('Raw Data'!AD39 = ROUND('Raw Data'!AD39, 2),FALSE)),"",_xlfn.REGEXEXTRACT(CELL("address",AD39), "\$([A-Z]+)\$[0-9]+"))),_xlfn.REGEXEXTRACT(CELL("address",AD39), "\$([A-Z]+)\$[0-9]+"))</f>
        <v/>
      </c>
      <c r="AE39" s="7" t="str">
        <f t="array" aca="1" ref="AE39" ca="1">IFERROR(IF(OR('Raw Data'!AE39="",LEN(TRIM('Raw Data'!AE39))=0),"",IF(AND(ISNUMBER('Raw Data'!AE39), IFERROR('Raw Data'!AE39 = ROUND('Raw Data'!AE39, 2),FALSE)),"",_xlfn.REGEXEXTRACT(CELL("address",AE39), "\$([A-Z]+)\$[0-9]+"))),_xlfn.REGEXEXTRACT(CELL("address",AE39), "\$([A-Z]+)\$[0-9]+"))</f>
        <v/>
      </c>
      <c r="AF39" s="7" t="str">
        <f t="array" aca="1" ref="AF39" ca="1">IFERROR(IF(OR('Raw Data'!AF39="",LEN(TRIM('Raw Data'!AF39))=0),"",IF(AND(ISNUMBER('Raw Data'!AF39), IFERROR('Raw Data'!AF39 = ROUND('Raw Data'!AF39, 2),FALSE)),"",_xlfn.REGEXEXTRACT(CELL("address",AF39), "\$([A-Z]+)\$[0-9]+"))),_xlfn.REGEXEXTRACT(CELL("address",AF39), "\$([A-Z]+)\$[0-9]+"))</f>
        <v/>
      </c>
      <c r="AG39" s="7" t="str">
        <f t="array" aca="1" ref="AG39" ca="1">IFERROR(IF(OR('Raw Data'!AG39="",LEN(TRIM('Raw Data'!AG39))=0),"",IF(AND(ISNUMBER('Raw Data'!AG39), IFERROR('Raw Data'!AG39 = ROUND('Raw Data'!AG39, 2),FALSE)),"",_xlfn.REGEXEXTRACT(CELL("address",AG39), "\$([A-Z]+)\$[0-9]+"))),_xlfn.REGEXEXTRACT(CELL("address",AG39), "\$([A-Z]+)\$[0-9]+"))</f>
        <v/>
      </c>
      <c r="AH39" s="7" t="str">
        <f t="array" aca="1" ref="AH39" ca="1">IFERROR(IF(OR('Raw Data'!AH39="",LEN(TRIM('Raw Data'!AH39))=0),"",IF(AND(ISNUMBER('Raw Data'!AH39), IFERROR('Raw Data'!AH39 = ROUND('Raw Data'!AH39, 2),FALSE)),"",_xlfn.REGEXEXTRACT(CELL("address",AH39), "\$([A-Z]+)\$[0-9]+"))),_xlfn.REGEXEXTRACT(CELL("address",AH39), "\$([A-Z]+)\$[0-9]+"))</f>
        <v/>
      </c>
      <c r="AI39" s="7" t="str">
        <f t="array" aca="1" ref="AI39" ca="1">IFERROR(IF(OR('Raw Data'!AI39="",LEN(TRIM('Raw Data'!AI39))=0),"",IF(AND(ISNUMBER('Raw Data'!AI39), IFERROR('Raw Data'!AI39 = ROUND('Raw Data'!AI39, 2),FALSE)),"",_xlfn.REGEXEXTRACT(CELL("address",AI39), "\$([A-Z]+)\$[0-9]+"))),_xlfn.REGEXEXTRACT(CELL("address",AI39), "\$([A-Z]+)\$[0-9]+"))</f>
        <v/>
      </c>
      <c r="AJ39" s="7" t="str">
        <f t="array" aca="1" ref="AJ39" ca="1">IFERROR(IF(OR('Raw Data'!AJ39="",LEN(TRIM('Raw Data'!AJ39))=0),"",IF(AND(ISNUMBER('Raw Data'!AJ39), IFERROR('Raw Data'!AJ39 = ROUND('Raw Data'!AJ39, 4),FALSE)),"",_xlfn.REGEXEXTRACT(CELL("address",AJ39), "\$([A-Z]+)\$[0-9]+"))),_xlfn.REGEXEXTRACT(CELL("address",AJ39), "\$([A-Z]+)\$[0-9]+"))</f>
        <v/>
      </c>
      <c r="AK39" s="7" t="str">
        <f t="array" aca="1" ref="AK39" ca="1">IFERROR(IF(OR('Raw Data'!AK39="",LEN(TRIM('Raw Data'!AK39))=0),"",IF(AND(ISNUMBER('Raw Data'!AK39), IFERROR('Raw Data'!AK39 = ROUND('Raw Data'!AK39, 2),FALSE)),"",_xlfn.REGEXEXTRACT(CELL("address",AK39), "\$([A-Z]+)\$[0-9]+"))),_xlfn.REGEXEXTRACT(CELL("address",AK39), "\$([A-Z]+)\$[0-9]+"))</f>
        <v/>
      </c>
      <c r="AL39" s="7" t="str">
        <f t="array" aca="1" ref="AL39" ca="1">IFERROR(IF(OR('Raw Data'!AL39="",LEN(TRIM('Raw Data'!AL39))=0),"",IF(AND(ISNUMBER('Raw Data'!AL39), IFERROR('Raw Data'!AL39 = ROUND('Raw Data'!AL39, 2),FALSE)),"",_xlfn.REGEXEXTRACT(CELL("address",AL39), "\$([A-Z]+)\$[0-9]+"))),_xlfn.REGEXEXTRACT(CELL("address",AL39), "\$([A-Z]+)\$[0-9]+"))</f>
        <v/>
      </c>
      <c r="AM39" s="7" t="str">
        <f t="array" aca="1" ref="AM39" ca="1">IFERROR(IF(OR('Raw Data'!AM39="",LEN(TRIM('Raw Data'!AM39))=0),"",IF(AND(ISNUMBER('Raw Data'!AM39), IFERROR('Raw Data'!AM39 = ROUND('Raw Data'!AM39, 2),FALSE)),"",_xlfn.REGEXEXTRACT(CELL("address",AM39), "\$([A-Z]+)\$[0-9]+"))),_xlfn.REGEXEXTRACT(CELL("address",AM39), "\$([A-Z]+)\$[0-9]+"))</f>
        <v/>
      </c>
      <c r="AN39" s="7" t="str">
        <f t="array" aca="1" ref="AN39" ca="1">IFERROR(IF(OR('Raw Data'!AN39="",LEN(TRIM('Raw Data'!AN39))=0),"",IF(AND(ISNUMBER('Raw Data'!AN39), IFERROR('Raw Data'!AN39 = ROUND('Raw Data'!AN39, 2),FALSE)),"",_xlfn.REGEXEXTRACT(CELL("address",AN39), "\$([A-Z]+)\$[0-9]+"))),_xlfn.REGEXEXTRACT(CELL("address",AN39), "\$([A-Z]+)\$[0-9]+"))</f>
        <v/>
      </c>
      <c r="AO39" s="7" t="str">
        <f t="array" aca="1" ref="AO39" ca="1">IFERROR(IF(OR('Raw Data'!AO39="",LEN(TRIM('Raw Data'!AO39))=0),"",IF(AND(ISNUMBER('Raw Data'!AO39), IFERROR('Raw Data'!AO39 = ROUND('Raw Data'!AO39, 2),FALSE)),"",_xlfn.REGEXEXTRACT(CELL("address",AO39), "\$([A-Z]+)\$[0-9]+"))),_xlfn.REGEXEXTRACT(CELL("address",AO39), "\$([A-Z]+)\$[0-9]+"))</f>
        <v/>
      </c>
      <c r="AP39" s="7" t="str">
        <f t="array" aca="1" ref="AP39" ca="1">IFERROR(IF(OR('Raw Data'!AP39="",LEN(TRIM('Raw Data'!AP39))=0),"",IF(AND(ISNUMBER('Raw Data'!AP39), IFERROR('Raw Data'!AP39 = ROUND('Raw Data'!AP39, 2),FALSE)),"",_xlfn.REGEXEXTRACT(CELL("address",AP39), "\$([A-Z]+)\$[0-9]+"))),_xlfn.REGEXEXTRACT(CELL("address",AP39), "\$([A-Z]+)\$[0-9]+"))</f>
        <v/>
      </c>
    </row>
    <row r="40" spans="2:42" x14ac:dyDescent="0.25">
      <c r="B40" s="7" t="str">
        <f t="array" aca="1" ref="B40" ca="1">IFERROR(IF(OR('Raw Data'!B40="",LEN(TRIM('Raw Data'!B40))=0),"",IF(AND(LEN('Raw Data'!B40) &lt;= 255,LEN('Raw Data'!B40)&gt; 0),"",_xlfn.REGEXEXTRACT(CELL("address",'Raw Data'!B40),"\$([A-Z]+)\$[0-9]+"))),_xlfn.REGEXEXTRACT(CELL("address",'Raw Data'!B40),"\$([A-Z]+)\$[0-9]+"))</f>
        <v/>
      </c>
      <c r="C40" s="7" t="str">
        <f t="array" aca="1" ref="C40" ca="1">IFERROR(IF(OR('Raw Data'!C40="",LEN(TRIM('Raw Data'!C40))=0),"",IF(AND(LEN('Raw Data'!C40) &lt;= 50,LEN('Raw Data'!C40)&gt; 0),"",_xlfn.REGEXEXTRACT(CELL("address",'Raw Data'!C40),"\$([A-Z]+)\$[0-9]+"))),_xlfn.REGEXEXTRACT(CELL("address",'Raw Data'!C40),"\$([A-Z]+)\$[0-9]+"))</f>
        <v/>
      </c>
      <c r="D40" s="7" t="str">
        <f t="array" aca="1" ref="D40" ca="1">IFERROR(IF(OR('Raw Data'!D40="",LEN(TRIM('Raw Data'!D40))=0),"",IF(AND(LEN('Raw Data'!D40) &lt;= 500,LEN('Raw Data'!D40)&gt; 0),"",_xlfn.REGEXEXTRACT(CELL("address",'Raw Data'!D40),"\$([A-Z]+)\$[0-9]+"))),_xlfn.REGEXEXTRACT(CELL("address",'Raw Data'!D40),"\$([A-Z]+)\$[0-9]+"))</f>
        <v/>
      </c>
      <c r="E40" s="7" t="str">
        <f t="array" aca="1" ref="E40" ca="1">IFERROR(IF(OR('Raw Data'!E40="",LEN(TRIM('Raw Data'!E40))=0),"",IF(AND(LEN('Raw Data'!E40) &lt;= 50,LEN('Raw Data'!E40)&gt; 0),"",_xlfn.REGEXEXTRACT(CELL("address",'Raw Data'!E40),"\$([A-Z]+)\$[0-9]+"))),_xlfn.REGEXEXTRACT(CELL("address",'Raw Data'!E40),"\$([A-Z]+)\$[0-9]+"))</f>
        <v/>
      </c>
      <c r="F40" s="7" t="str">
        <f t="array" aca="1" ref="F40" ca="1">IFERROR(IF(OR('Raw Data'!F40="",LEN(TRIM('Raw Data'!F40))=0),"",IF(AND(LEN('Raw Data'!F40) &lt;= 50,LEN('Raw Data'!F40)&gt; 0),"",_xlfn.REGEXEXTRACT(CELL("address",'Raw Data'!F40),"\$([A-Z]+)\$[0-9]+"))),_xlfn.REGEXEXTRACT(CELL("address",'Raw Data'!F40),"\$([A-Z]+)\$[0-9]+"))</f>
        <v/>
      </c>
      <c r="G40" s="7" t="str">
        <f t="array" aca="1" ref="G40" ca="1">IFERROR(IF(OR('Raw Data'!G40="",LEN(TRIM('Raw Data'!G40))=0),"",IF(AND(LEN('Raw Data'!G40) &lt;= 50,LEN('Raw Data'!G40)&gt; 0),"",_xlfn.REGEXEXTRACT(CELL("address",'Raw Data'!G40),"\$([A-Z]+)\$[0-9]+"))),_xlfn.REGEXEXTRACT(CELL("address",'Raw Data'!G40),"\$([A-Z]+)\$[0-9]+"))</f>
        <v/>
      </c>
      <c r="H40" s="7" t="str">
        <f t="array" aca="1" ref="H40" ca="1">IFERROR(IF(OR('Raw Data'!H40="",LEN(TRIM('Raw Data'!H40))=0),"",IF(AND(LEN('Raw Data'!H40) &lt;= 50,LEN('Raw Data'!H40)&gt; 0),"",_xlfn.REGEXEXTRACT(CELL("address",'Raw Data'!H40),"\$([A-Z]+)\$[0-9]+"))),_xlfn.REGEXEXTRACT(CELL("address",'Raw Data'!H40),"\$([A-Z]+)\$[0-9]+"))</f>
        <v/>
      </c>
      <c r="I40" s="7" t="str">
        <f t="array" aca="1" ref="I40" ca="1">IFERROR(IF(OR('Raw Data'!I40="",LEN(TRIM('Raw Data'!I40))=0),"",IF(AND(LEN('Raw Data'!I40) &lt;= 50,LEN('Raw Data'!I40)&gt; 0),"",_xlfn.REGEXEXTRACT(CELL("address",'Raw Data'!I40),"\$([A-Z]+)\$[0-9]+"))),_xlfn.REGEXEXTRACT(CELL("address",'Raw Data'!I40),"\$([A-Z]+)\$[0-9]+"))</f>
        <v/>
      </c>
      <c r="J40" s="7" t="str">
        <f t="array" aca="1" ref="J40" ca="1">IFERROR(IF(OR('Raw Data'!J40="",LEN(TRIM('Raw Data'!J40))=0),"",IF(AND(ISNUMBER('Raw Data'!J40), IFERROR('Raw Data'!J40 = ROUND('Raw Data'!J40, 2),FALSE)),"",_xlfn.REGEXEXTRACT(CELL("address",J40), "\$([A-Z]+)\$[0-9]+"))),_xlfn.REGEXEXTRACT(CELL("address",J40), "\$([A-Z]+)\$[0-9]+"))</f>
        <v/>
      </c>
      <c r="K40" s="7" t="str">
        <f t="array" aca="1" ref="K40" ca="1">IFERROR(IF(OR('Raw Data'!K40="",LEN(TRIM('Raw Data'!K40))=0),"",IF(AND(ISNUMBER('Raw Data'!K40), IFERROR('Raw Data'!K40 = ROUND('Raw Data'!K40, 2),FALSE)),"",_xlfn.REGEXEXTRACT(CELL("address",K40), "\$([A-Z]+)\$[0-9]+"))),_xlfn.REGEXEXTRACT(CELL("address",K40), "\$([A-Z]+)\$[0-9]+"))</f>
        <v/>
      </c>
      <c r="L40" s="7" t="str">
        <f t="array" aca="1" ref="L40" ca="1">IFERROR(IF(OR('Raw Data'!L40="",LEN(TRIM('Raw Data'!L40))=0),"",IF(AND(ISNUMBER('Raw Data'!L40), IFERROR('Raw Data'!L40 = ROUND('Raw Data'!L40, 2),FALSE)),"",_xlfn.REGEXEXTRACT(CELL("address",L40), "\$([A-Z]+)\$[0-9]+"))),_xlfn.REGEXEXTRACT(CELL("address",L40), "\$([A-Z]+)\$[0-9]+"))</f>
        <v/>
      </c>
      <c r="M40" s="7" t="str">
        <f t="array" aca="1" ref="M40" ca="1">IFERROR(IF(OR('Raw Data'!M40="",LEN(TRIM('Raw Data'!M40))=0),"",IF(AND(ISNUMBER('Raw Data'!M40), IFERROR('Raw Data'!M40 = ROUND('Raw Data'!M40, 2),FALSE)),"",_xlfn.REGEXEXTRACT(CELL("address",M40), "\$([A-Z]+)\$[0-9]+"))),_xlfn.REGEXEXTRACT(CELL("address",M40), "\$([A-Z]+)\$[0-9]+"))</f>
        <v/>
      </c>
      <c r="N40" s="7" t="str">
        <f t="array" aca="1" ref="N40" ca="1">IFERROR(IF(OR('Raw Data'!N40="",LEN(TRIM('Raw Data'!N40))=0),"",IF(AND(ISNUMBER('Raw Data'!N40), IFERROR('Raw Data'!N40 = ROUND('Raw Data'!N40, 2),FALSE)),"",_xlfn.REGEXEXTRACT(CELL("address",N40), "\$([A-Z]+)\$[0-9]+"))),_xlfn.REGEXEXTRACT(CELL("address",N40), "\$([A-Z]+)\$[0-9]+"))</f>
        <v/>
      </c>
      <c r="O40" s="7" t="str">
        <f t="array" aca="1" ref="O40" ca="1">IFERROR(IF(OR('Raw Data'!O40="",LEN(TRIM('Raw Data'!O40))=0),"",IF(AND(ISNUMBER('Raw Data'!O40),'Raw Data'!O40&gt;=Configuration!$D$2),"",_xlfn.REGEXEXTRACT(CELL("address",'Raw Data'!O40),"\$([A-Z]+)\$[0-9]+"))),_xlfn.REGEXEXTRACT(CELL("address",O40), "\$([A-Z]+)\$[0-9]+"))</f>
        <v/>
      </c>
      <c r="P40" s="7" t="str">
        <f t="array" aca="1" ref="P40" ca="1">IFERROR(IF(OR('Raw Data'!P40="",LEN(TRIM('Raw Data'!P40))=0),"",IF(AND(ISNUMBER('Raw Data'!P40), IFERROR('Raw Data'!P40 = ROUND('Raw Data'!P40, 2),FALSE)),"",_xlfn.REGEXEXTRACT(CELL("address",P40), "\$([A-Z]+)\$[0-9]+"))),_xlfn.REGEXEXTRACT(CELL("address",P40), "\$([A-Z]+)\$[0-9]+"))</f>
        <v/>
      </c>
      <c r="Q40" s="7" t="str">
        <f t="array" aca="1" ref="Q40" ca="1">IFERROR(IF(OR('Raw Data'!Q40="",LEN(TRIM('Raw Data'!Q40))=0),"",IF(AND(ISNUMBER('Raw Data'!Q40), IFERROR('Raw Data'!Q40 = ROUND('Raw Data'!Q40, 2),FALSE)),"",_xlfn.REGEXEXTRACT(CELL("address",Q40), "\$([A-Z]+)\$[0-9]+"))),_xlfn.REGEXEXTRACT(CELL("address",Q40), "\$([A-Z]+)\$[0-9]+"))</f>
        <v/>
      </c>
      <c r="R40" s="7" t="str">
        <f t="array" aca="1" ref="R40" ca="1">IFERROR(IF(OR('Raw Data'!R40="",LEN(TRIM('Raw Data'!R40))=0),"",IF(AND(LEN('Raw Data'!R40) &lt;= 50,LEN('Raw Data'!R40)&gt; 0),"",_xlfn.REGEXEXTRACT(CELL("address",'Raw Data'!R40),"\$([A-Z]+)\$[0-9]+"))),_xlfn.REGEXEXTRACT(CELL("address",'Raw Data'!R40),"\$([A-Z]+)\$[0-9]+"))</f>
        <v/>
      </c>
      <c r="S40" s="7" t="str">
        <f t="array" aca="1" ref="S40" ca="1">IFERROR(IF(OR('Raw Data'!S40="",LEN(TRIM('Raw Data'!S40))=0),"",IF(AND(LEN('Raw Data'!S40) &lt;= 50,LEN('Raw Data'!S40)&gt; 0),"",_xlfn.REGEXEXTRACT(CELL("address",'Raw Data'!S40),"\$([A-Z]+)\$[0-9]+"))),_xlfn.REGEXEXTRACT(CELL("address",'Raw Data'!S40),"\$([A-Z]+)\$[0-9]+"))</f>
        <v/>
      </c>
      <c r="T40" s="7" t="str">
        <f t="array" aca="1" ref="T40" ca="1">IFERROR(IF(OR('Raw Data'!T40="",LEN(TRIM('Raw Data'!T40))=0),"",IF(AND(ISNUMBER('Raw Data'!T40), IFERROR('Raw Data'!T40 = ROUND('Raw Data'!T40, 2),FALSE)),"",_xlfn.REGEXEXTRACT(CELL("address",T40), "\$([A-Z]+)\$[0-9]+"))),_xlfn.REGEXEXTRACT(CELL("address",T40), "\$([A-Z]+)\$[0-9]+"))</f>
        <v/>
      </c>
      <c r="U40" s="7" t="str">
        <f t="array" aca="1" ref="U40" ca="1">IFERROR(IF(OR('Raw Data'!U40="",LEN(TRIM('Raw Data'!U40))=0),"",IF(AND(ISNUMBER('Raw Data'!U40), IFERROR('Raw Data'!U40 = ROUND('Raw Data'!U40, 2),FALSE)),"",_xlfn.REGEXEXTRACT(CELL("address",U40), "\$([A-Z]+)\$[0-9]+"))),_xlfn.REGEXEXTRACT(CELL("address",U40), "\$([A-Z]+)\$[0-9]+"))</f>
        <v/>
      </c>
      <c r="V40" s="7" t="str">
        <f t="array" aca="1" ref="V40" ca="1">IFERROR(IF(OR('Raw Data'!V40="",LEN(TRIM('Raw Data'!V40))=0),"",IF(AND(ISNUMBER('Raw Data'!V40), IFERROR('Raw Data'!V40 = ROUND('Raw Data'!V40, 2),FALSE)),"",_xlfn.REGEXEXTRACT(CELL("address",V40), "\$([A-Z]+)\$[0-9]+"))),_xlfn.REGEXEXTRACT(CELL("address",V40), "\$([A-Z]+)\$[0-9]+"))</f>
        <v/>
      </c>
      <c r="W40" s="7" t="str">
        <f t="array" aca="1" ref="W40" ca="1">IFERROR(IF(OR('Raw Data'!W40="",LEN(TRIM('Raw Data'!W40))=0),"",IF(AND(ISNUMBER('Raw Data'!W40), IFERROR('Raw Data'!W40 = ROUND('Raw Data'!W40, 2),FALSE)),"",_xlfn.REGEXEXTRACT(CELL("address",W40), "\$([A-Z]+)\$[0-9]+"))),_xlfn.REGEXEXTRACT(CELL("address",W40), "\$([A-Z]+)\$[0-9]+"))</f>
        <v/>
      </c>
      <c r="X40" s="7" t="str">
        <f t="array" aca="1" ref="X40" ca="1">IFERROR(IF(OR('Raw Data'!X40="",LEN(TRIM('Raw Data'!X40))=0),"",IF(AND(ISNUMBER('Raw Data'!X40), IFERROR('Raw Data'!X40 = ROUND('Raw Data'!X40, 2),FALSE)),"",_xlfn.REGEXEXTRACT(CELL("address",X40), "\$([A-Z]+)\$[0-9]+"))),_xlfn.REGEXEXTRACT(CELL("address",X40), "\$([A-Z]+)\$[0-9]+"))</f>
        <v/>
      </c>
      <c r="Y40" s="7" t="str">
        <f t="array" aca="1" ref="Y40" ca="1">IFERROR(IF(OR('Raw Data'!Y40="",LEN(TRIM('Raw Data'!Y40))=0),"",IF(AND(ISNUMBER('Raw Data'!Y40), IFERROR('Raw Data'!Y40 = ROUND('Raw Data'!Y40, 2),FALSE)),"",_xlfn.REGEXEXTRACT(CELL("address",Y40), "\$([A-Z]+)\$[0-9]+"))),_xlfn.REGEXEXTRACT(CELL("address",Y40), "\$([A-Z]+)\$[0-9]+"))</f>
        <v/>
      </c>
      <c r="Z40" s="7" t="str">
        <f t="array" aca="1" ref="Z40" ca="1">IFERROR(IF(OR('Raw Data'!Z40="",LEN(TRIM('Raw Data'!Z40))=0),"",IF(AND(ISNUMBER('Raw Data'!Z40), IFERROR('Raw Data'!Z40 = ROUND('Raw Data'!Z40, 2),FALSE)),"",_xlfn.REGEXEXTRACT(CELL("address",Z40), "\$([A-Z]+)\$[0-9]+"))),_xlfn.REGEXEXTRACT(CELL("address",Z40), "\$([A-Z]+)\$[0-9]+"))</f>
        <v/>
      </c>
      <c r="AA40" s="7" t="str">
        <f t="array" aca="1" ref="AA40" ca="1">IFERROR(IF(OR('Raw Data'!AA40="",LEN(TRIM('Raw Data'!AA40))=0),"",IF(AND(ISNUMBER('Raw Data'!AA40), IFERROR('Raw Data'!AA40 = ROUND('Raw Data'!AA40, 2),FALSE)),"",_xlfn.REGEXEXTRACT(CELL("address",AA40), "\$([A-Z]+)\$[0-9]+"))),_xlfn.REGEXEXTRACT(CELL("address",AA40), "\$([A-Z]+)\$[0-9]+"))</f>
        <v/>
      </c>
      <c r="AB40" s="7" t="str">
        <f t="array" aca="1" ref="AB40" ca="1">IFERROR(IF(OR('Raw Data'!AB40="",LEN(TRIM('Raw Data'!AB40))=0),"",IF(AND(ISNUMBER('Raw Data'!AB40), IFERROR('Raw Data'!AB40 = ROUND('Raw Data'!AB40, 2),FALSE)),"",_xlfn.REGEXEXTRACT(CELL("address",AB40), "\$([A-Z]+)\$[0-9]+"))),_xlfn.REGEXEXTRACT(CELL("address",AB40), "\$([A-Z]+)\$[0-9]+"))</f>
        <v/>
      </c>
      <c r="AC40" s="7" t="str">
        <f t="array" aca="1" ref="AC40" ca="1">IFERROR(IF(OR('Raw Data'!AC40="",LEN(TRIM('Raw Data'!AC40))=0),"",IF(AND(ISNUMBER('Raw Data'!AC40), IFERROR('Raw Data'!AC40 = ROUND('Raw Data'!AC40, 2),FALSE)),"",_xlfn.REGEXEXTRACT(CELL("address",AC40), "\$([A-Z]+)\$[0-9]+"))),_xlfn.REGEXEXTRACT(CELL("address",AC40), "\$([A-Z]+)\$[0-9]+"))</f>
        <v/>
      </c>
      <c r="AD40" s="7" t="str">
        <f t="array" aca="1" ref="AD40" ca="1">IFERROR(IF(OR('Raw Data'!AD40="",LEN(TRIM('Raw Data'!AD40))=0),"",IF(AND(ISNUMBER('Raw Data'!AD40), IFERROR('Raw Data'!AD40 = ROUND('Raw Data'!AD40, 2),FALSE)),"",_xlfn.REGEXEXTRACT(CELL("address",AD40), "\$([A-Z]+)\$[0-9]+"))),_xlfn.REGEXEXTRACT(CELL("address",AD40), "\$([A-Z]+)\$[0-9]+"))</f>
        <v/>
      </c>
      <c r="AE40" s="7" t="str">
        <f t="array" aca="1" ref="AE40" ca="1">IFERROR(IF(OR('Raw Data'!AE40="",LEN(TRIM('Raw Data'!AE40))=0),"",IF(AND(ISNUMBER('Raw Data'!AE40), IFERROR('Raw Data'!AE40 = ROUND('Raw Data'!AE40, 2),FALSE)),"",_xlfn.REGEXEXTRACT(CELL("address",AE40), "\$([A-Z]+)\$[0-9]+"))),_xlfn.REGEXEXTRACT(CELL("address",AE40), "\$([A-Z]+)\$[0-9]+"))</f>
        <v/>
      </c>
      <c r="AF40" s="7" t="str">
        <f t="array" aca="1" ref="AF40" ca="1">IFERROR(IF(OR('Raw Data'!AF40="",LEN(TRIM('Raw Data'!AF40))=0),"",IF(AND(ISNUMBER('Raw Data'!AF40), IFERROR('Raw Data'!AF40 = ROUND('Raw Data'!AF40, 2),FALSE)),"",_xlfn.REGEXEXTRACT(CELL("address",AF40), "\$([A-Z]+)\$[0-9]+"))),_xlfn.REGEXEXTRACT(CELL("address",AF40), "\$([A-Z]+)\$[0-9]+"))</f>
        <v/>
      </c>
      <c r="AG40" s="7" t="str">
        <f t="array" aca="1" ref="AG40" ca="1">IFERROR(IF(OR('Raw Data'!AG40="",LEN(TRIM('Raw Data'!AG40))=0),"",IF(AND(ISNUMBER('Raw Data'!AG40), IFERROR('Raw Data'!AG40 = ROUND('Raw Data'!AG40, 2),FALSE)),"",_xlfn.REGEXEXTRACT(CELL("address",AG40), "\$([A-Z]+)\$[0-9]+"))),_xlfn.REGEXEXTRACT(CELL("address",AG40), "\$([A-Z]+)\$[0-9]+"))</f>
        <v/>
      </c>
      <c r="AH40" s="7" t="str">
        <f t="array" aca="1" ref="AH40" ca="1">IFERROR(IF(OR('Raw Data'!AH40="",LEN(TRIM('Raw Data'!AH40))=0),"",IF(AND(ISNUMBER('Raw Data'!AH40), IFERROR('Raw Data'!AH40 = ROUND('Raw Data'!AH40, 2),FALSE)),"",_xlfn.REGEXEXTRACT(CELL("address",AH40), "\$([A-Z]+)\$[0-9]+"))),_xlfn.REGEXEXTRACT(CELL("address",AH40), "\$([A-Z]+)\$[0-9]+"))</f>
        <v/>
      </c>
      <c r="AI40" s="7" t="str">
        <f t="array" aca="1" ref="AI40" ca="1">IFERROR(IF(OR('Raw Data'!AI40="",LEN(TRIM('Raw Data'!AI40))=0),"",IF(AND(ISNUMBER('Raw Data'!AI40), IFERROR('Raw Data'!AI40 = ROUND('Raw Data'!AI40, 2),FALSE)),"",_xlfn.REGEXEXTRACT(CELL("address",AI40), "\$([A-Z]+)\$[0-9]+"))),_xlfn.REGEXEXTRACT(CELL("address",AI40), "\$([A-Z]+)\$[0-9]+"))</f>
        <v/>
      </c>
      <c r="AJ40" s="7" t="str">
        <f t="array" aca="1" ref="AJ40" ca="1">IFERROR(IF(OR('Raw Data'!AJ40="",LEN(TRIM('Raw Data'!AJ40))=0),"",IF(AND(ISNUMBER('Raw Data'!AJ40), IFERROR('Raw Data'!AJ40 = ROUND('Raw Data'!AJ40, 4),FALSE)),"",_xlfn.REGEXEXTRACT(CELL("address",AJ40), "\$([A-Z]+)\$[0-9]+"))),_xlfn.REGEXEXTRACT(CELL("address",AJ40), "\$([A-Z]+)\$[0-9]+"))</f>
        <v/>
      </c>
      <c r="AK40" s="7" t="str">
        <f t="array" aca="1" ref="AK40" ca="1">IFERROR(IF(OR('Raw Data'!AK40="",LEN(TRIM('Raw Data'!AK40))=0),"",IF(AND(ISNUMBER('Raw Data'!AK40), IFERROR('Raw Data'!AK40 = ROUND('Raw Data'!AK40, 2),FALSE)),"",_xlfn.REGEXEXTRACT(CELL("address",AK40), "\$([A-Z]+)\$[0-9]+"))),_xlfn.REGEXEXTRACT(CELL("address",AK40), "\$([A-Z]+)\$[0-9]+"))</f>
        <v/>
      </c>
      <c r="AL40" s="7" t="str">
        <f t="array" aca="1" ref="AL40" ca="1">IFERROR(IF(OR('Raw Data'!AL40="",LEN(TRIM('Raw Data'!AL40))=0),"",IF(AND(ISNUMBER('Raw Data'!AL40), IFERROR('Raw Data'!AL40 = ROUND('Raw Data'!AL40, 2),FALSE)),"",_xlfn.REGEXEXTRACT(CELL("address",AL40), "\$([A-Z]+)\$[0-9]+"))),_xlfn.REGEXEXTRACT(CELL("address",AL40), "\$([A-Z]+)\$[0-9]+"))</f>
        <v/>
      </c>
      <c r="AM40" s="7" t="str">
        <f t="array" aca="1" ref="AM40" ca="1">IFERROR(IF(OR('Raw Data'!AM40="",LEN(TRIM('Raw Data'!AM40))=0),"",IF(AND(ISNUMBER('Raw Data'!AM40), IFERROR('Raw Data'!AM40 = ROUND('Raw Data'!AM40, 2),FALSE)),"",_xlfn.REGEXEXTRACT(CELL("address",AM40), "\$([A-Z]+)\$[0-9]+"))),_xlfn.REGEXEXTRACT(CELL("address",AM40), "\$([A-Z]+)\$[0-9]+"))</f>
        <v/>
      </c>
      <c r="AN40" s="7" t="str">
        <f t="array" aca="1" ref="AN40" ca="1">IFERROR(IF(OR('Raw Data'!AN40="",LEN(TRIM('Raw Data'!AN40))=0),"",IF(AND(ISNUMBER('Raw Data'!AN40), IFERROR('Raw Data'!AN40 = ROUND('Raw Data'!AN40, 2),FALSE)),"",_xlfn.REGEXEXTRACT(CELL("address",AN40), "\$([A-Z]+)\$[0-9]+"))),_xlfn.REGEXEXTRACT(CELL("address",AN40), "\$([A-Z]+)\$[0-9]+"))</f>
        <v/>
      </c>
      <c r="AO40" s="7" t="str">
        <f t="array" aca="1" ref="AO40" ca="1">IFERROR(IF(OR('Raw Data'!AO40="",LEN(TRIM('Raw Data'!AO40))=0),"",IF(AND(ISNUMBER('Raw Data'!AO40), IFERROR('Raw Data'!AO40 = ROUND('Raw Data'!AO40, 2),FALSE)),"",_xlfn.REGEXEXTRACT(CELL("address",AO40), "\$([A-Z]+)\$[0-9]+"))),_xlfn.REGEXEXTRACT(CELL("address",AO40), "\$([A-Z]+)\$[0-9]+"))</f>
        <v/>
      </c>
      <c r="AP40" s="7" t="str">
        <f t="array" aca="1" ref="AP40" ca="1">IFERROR(IF(OR('Raw Data'!AP40="",LEN(TRIM('Raw Data'!AP40))=0),"",IF(AND(ISNUMBER('Raw Data'!AP40), IFERROR('Raw Data'!AP40 = ROUND('Raw Data'!AP40, 2),FALSE)),"",_xlfn.REGEXEXTRACT(CELL("address",AP40), "\$([A-Z]+)\$[0-9]+"))),_xlfn.REGEXEXTRACT(CELL("address",AP40), "\$([A-Z]+)\$[0-9]+"))</f>
        <v/>
      </c>
    </row>
    <row r="41" spans="2:42" x14ac:dyDescent="0.25">
      <c r="B41" s="7" t="str">
        <f t="array" aca="1" ref="B41" ca="1">IFERROR(IF(OR('Raw Data'!B41="",LEN(TRIM('Raw Data'!B41))=0),"",IF(AND(LEN('Raw Data'!B41) &lt;= 255,LEN('Raw Data'!B41)&gt; 0),"",_xlfn.REGEXEXTRACT(CELL("address",'Raw Data'!B41),"\$([A-Z]+)\$[0-9]+"))),_xlfn.REGEXEXTRACT(CELL("address",'Raw Data'!B41),"\$([A-Z]+)\$[0-9]+"))</f>
        <v/>
      </c>
      <c r="C41" s="7" t="str">
        <f t="array" aca="1" ref="C41" ca="1">IFERROR(IF(OR('Raw Data'!C41="",LEN(TRIM('Raw Data'!C41))=0),"",IF(AND(LEN('Raw Data'!C41) &lt;= 50,LEN('Raw Data'!C41)&gt; 0),"",_xlfn.REGEXEXTRACT(CELL("address",'Raw Data'!C41),"\$([A-Z]+)\$[0-9]+"))),_xlfn.REGEXEXTRACT(CELL("address",'Raw Data'!C41),"\$([A-Z]+)\$[0-9]+"))</f>
        <v/>
      </c>
      <c r="D41" s="7" t="str">
        <f t="array" aca="1" ref="D41" ca="1">IFERROR(IF(OR('Raw Data'!D41="",LEN(TRIM('Raw Data'!D41))=0),"",IF(AND(LEN('Raw Data'!D41) &lt;= 500,LEN('Raw Data'!D41)&gt; 0),"",_xlfn.REGEXEXTRACT(CELL("address",'Raw Data'!D41),"\$([A-Z]+)\$[0-9]+"))),_xlfn.REGEXEXTRACT(CELL("address",'Raw Data'!D41),"\$([A-Z]+)\$[0-9]+"))</f>
        <v/>
      </c>
      <c r="E41" s="7" t="str">
        <f t="array" aca="1" ref="E41" ca="1">IFERROR(IF(OR('Raw Data'!E41="",LEN(TRIM('Raw Data'!E41))=0),"",IF(AND(LEN('Raw Data'!E41) &lt;= 50,LEN('Raw Data'!E41)&gt; 0),"",_xlfn.REGEXEXTRACT(CELL("address",'Raw Data'!E41),"\$([A-Z]+)\$[0-9]+"))),_xlfn.REGEXEXTRACT(CELL("address",'Raw Data'!E41),"\$([A-Z]+)\$[0-9]+"))</f>
        <v/>
      </c>
      <c r="F41" s="7" t="str">
        <f t="array" aca="1" ref="F41" ca="1">IFERROR(IF(OR('Raw Data'!F41="",LEN(TRIM('Raw Data'!F41))=0),"",IF(AND(LEN('Raw Data'!F41) &lt;= 50,LEN('Raw Data'!F41)&gt; 0),"",_xlfn.REGEXEXTRACT(CELL("address",'Raw Data'!F41),"\$([A-Z]+)\$[0-9]+"))),_xlfn.REGEXEXTRACT(CELL("address",'Raw Data'!F41),"\$([A-Z]+)\$[0-9]+"))</f>
        <v/>
      </c>
      <c r="G41" s="7" t="str">
        <f t="array" aca="1" ref="G41" ca="1">IFERROR(IF(OR('Raw Data'!G41="",LEN(TRIM('Raw Data'!G41))=0),"",IF(AND(LEN('Raw Data'!G41) &lt;= 50,LEN('Raw Data'!G41)&gt; 0),"",_xlfn.REGEXEXTRACT(CELL("address",'Raw Data'!G41),"\$([A-Z]+)\$[0-9]+"))),_xlfn.REGEXEXTRACT(CELL("address",'Raw Data'!G41),"\$([A-Z]+)\$[0-9]+"))</f>
        <v/>
      </c>
      <c r="H41" s="7" t="str">
        <f t="array" aca="1" ref="H41" ca="1">IFERROR(IF(OR('Raw Data'!H41="",LEN(TRIM('Raw Data'!H41))=0),"",IF(AND(LEN('Raw Data'!H41) &lt;= 50,LEN('Raw Data'!H41)&gt; 0),"",_xlfn.REGEXEXTRACT(CELL("address",'Raw Data'!H41),"\$([A-Z]+)\$[0-9]+"))),_xlfn.REGEXEXTRACT(CELL("address",'Raw Data'!H41),"\$([A-Z]+)\$[0-9]+"))</f>
        <v/>
      </c>
      <c r="I41" s="7" t="str">
        <f t="array" aca="1" ref="I41" ca="1">IFERROR(IF(OR('Raw Data'!I41="",LEN(TRIM('Raw Data'!I41))=0),"",IF(AND(LEN('Raw Data'!I41) &lt;= 50,LEN('Raw Data'!I41)&gt; 0),"",_xlfn.REGEXEXTRACT(CELL("address",'Raw Data'!I41),"\$([A-Z]+)\$[0-9]+"))),_xlfn.REGEXEXTRACT(CELL("address",'Raw Data'!I41),"\$([A-Z]+)\$[0-9]+"))</f>
        <v/>
      </c>
      <c r="J41" s="7" t="str">
        <f t="array" aca="1" ref="J41" ca="1">IFERROR(IF(OR('Raw Data'!J41="",LEN(TRIM('Raw Data'!J41))=0),"",IF(AND(ISNUMBER('Raw Data'!J41), IFERROR('Raw Data'!J41 = ROUND('Raw Data'!J41, 2),FALSE)),"",_xlfn.REGEXEXTRACT(CELL("address",J41), "\$([A-Z]+)\$[0-9]+"))),_xlfn.REGEXEXTRACT(CELL("address",J41), "\$([A-Z]+)\$[0-9]+"))</f>
        <v/>
      </c>
      <c r="K41" s="7" t="str">
        <f t="array" aca="1" ref="K41" ca="1">IFERROR(IF(OR('Raw Data'!K41="",LEN(TRIM('Raw Data'!K41))=0),"",IF(AND(ISNUMBER('Raw Data'!K41), IFERROR('Raw Data'!K41 = ROUND('Raw Data'!K41, 2),FALSE)),"",_xlfn.REGEXEXTRACT(CELL("address",K41), "\$([A-Z]+)\$[0-9]+"))),_xlfn.REGEXEXTRACT(CELL("address",K41), "\$([A-Z]+)\$[0-9]+"))</f>
        <v/>
      </c>
      <c r="L41" s="7" t="str">
        <f t="array" aca="1" ref="L41" ca="1">IFERROR(IF(OR('Raw Data'!L41="",LEN(TRIM('Raw Data'!L41))=0),"",IF(AND(ISNUMBER('Raw Data'!L41), IFERROR('Raw Data'!L41 = ROUND('Raw Data'!L41, 2),FALSE)),"",_xlfn.REGEXEXTRACT(CELL("address",L41), "\$([A-Z]+)\$[0-9]+"))),_xlfn.REGEXEXTRACT(CELL("address",L41), "\$([A-Z]+)\$[0-9]+"))</f>
        <v/>
      </c>
      <c r="M41" s="7" t="str">
        <f t="array" aca="1" ref="M41" ca="1">IFERROR(IF(OR('Raw Data'!M41="",LEN(TRIM('Raw Data'!M41))=0),"",IF(AND(ISNUMBER('Raw Data'!M41), IFERROR('Raw Data'!M41 = ROUND('Raw Data'!M41, 2),FALSE)),"",_xlfn.REGEXEXTRACT(CELL("address",M41), "\$([A-Z]+)\$[0-9]+"))),_xlfn.REGEXEXTRACT(CELL("address",M41), "\$([A-Z]+)\$[0-9]+"))</f>
        <v/>
      </c>
      <c r="N41" s="7" t="str">
        <f t="array" aca="1" ref="N41" ca="1">IFERROR(IF(OR('Raw Data'!N41="",LEN(TRIM('Raw Data'!N41))=0),"",IF(AND(ISNUMBER('Raw Data'!N41), IFERROR('Raw Data'!N41 = ROUND('Raw Data'!N41, 2),FALSE)),"",_xlfn.REGEXEXTRACT(CELL("address",N41), "\$([A-Z]+)\$[0-9]+"))),_xlfn.REGEXEXTRACT(CELL("address",N41), "\$([A-Z]+)\$[0-9]+"))</f>
        <v/>
      </c>
      <c r="O41" s="7" t="str">
        <f t="array" aca="1" ref="O41" ca="1">IFERROR(IF(OR('Raw Data'!O41="",LEN(TRIM('Raw Data'!O41))=0),"",IF(AND(ISNUMBER('Raw Data'!O41),'Raw Data'!O41&gt;=Configuration!$D$2),"",_xlfn.REGEXEXTRACT(CELL("address",'Raw Data'!O41),"\$([A-Z]+)\$[0-9]+"))),_xlfn.REGEXEXTRACT(CELL("address",O41), "\$([A-Z]+)\$[0-9]+"))</f>
        <v/>
      </c>
      <c r="P41" s="7" t="str">
        <f t="array" aca="1" ref="P41" ca="1">IFERROR(IF(OR('Raw Data'!P41="",LEN(TRIM('Raw Data'!P41))=0),"",IF(AND(ISNUMBER('Raw Data'!P41), IFERROR('Raw Data'!P41 = ROUND('Raw Data'!P41, 2),FALSE)),"",_xlfn.REGEXEXTRACT(CELL("address",P41), "\$([A-Z]+)\$[0-9]+"))),_xlfn.REGEXEXTRACT(CELL("address",P41), "\$([A-Z]+)\$[0-9]+"))</f>
        <v/>
      </c>
      <c r="Q41" s="7" t="str">
        <f t="array" aca="1" ref="Q41" ca="1">IFERROR(IF(OR('Raw Data'!Q41="",LEN(TRIM('Raw Data'!Q41))=0),"",IF(AND(ISNUMBER('Raw Data'!Q41), IFERROR('Raw Data'!Q41 = ROUND('Raw Data'!Q41, 2),FALSE)),"",_xlfn.REGEXEXTRACT(CELL("address",Q41), "\$([A-Z]+)\$[0-9]+"))),_xlfn.REGEXEXTRACT(CELL("address",Q41), "\$([A-Z]+)\$[0-9]+"))</f>
        <v/>
      </c>
      <c r="R41" s="7" t="str">
        <f t="array" aca="1" ref="R41" ca="1">IFERROR(IF(OR('Raw Data'!R41="",LEN(TRIM('Raw Data'!R41))=0),"",IF(AND(LEN('Raw Data'!R41) &lt;= 50,LEN('Raw Data'!R41)&gt; 0),"",_xlfn.REGEXEXTRACT(CELL("address",'Raw Data'!R41),"\$([A-Z]+)\$[0-9]+"))),_xlfn.REGEXEXTRACT(CELL("address",'Raw Data'!R41),"\$([A-Z]+)\$[0-9]+"))</f>
        <v/>
      </c>
      <c r="S41" s="7" t="str">
        <f t="array" aca="1" ref="S41" ca="1">IFERROR(IF(OR('Raw Data'!S41="",LEN(TRIM('Raw Data'!S41))=0),"",IF(AND(LEN('Raw Data'!S41) &lt;= 50,LEN('Raw Data'!S41)&gt; 0),"",_xlfn.REGEXEXTRACT(CELL("address",'Raw Data'!S41),"\$([A-Z]+)\$[0-9]+"))),_xlfn.REGEXEXTRACT(CELL("address",'Raw Data'!S41),"\$([A-Z]+)\$[0-9]+"))</f>
        <v/>
      </c>
      <c r="T41" s="7" t="str">
        <f t="array" aca="1" ref="T41" ca="1">IFERROR(IF(OR('Raw Data'!T41="",LEN(TRIM('Raw Data'!T41))=0),"",IF(AND(ISNUMBER('Raw Data'!T41), IFERROR('Raw Data'!T41 = ROUND('Raw Data'!T41, 2),FALSE)),"",_xlfn.REGEXEXTRACT(CELL("address",T41), "\$([A-Z]+)\$[0-9]+"))),_xlfn.REGEXEXTRACT(CELL("address",T41), "\$([A-Z]+)\$[0-9]+"))</f>
        <v/>
      </c>
      <c r="U41" s="7" t="str">
        <f t="array" aca="1" ref="U41" ca="1">IFERROR(IF(OR('Raw Data'!U41="",LEN(TRIM('Raw Data'!U41))=0),"",IF(AND(ISNUMBER('Raw Data'!U41), IFERROR('Raw Data'!U41 = ROUND('Raw Data'!U41, 2),FALSE)),"",_xlfn.REGEXEXTRACT(CELL("address",U41), "\$([A-Z]+)\$[0-9]+"))),_xlfn.REGEXEXTRACT(CELL("address",U41), "\$([A-Z]+)\$[0-9]+"))</f>
        <v/>
      </c>
      <c r="V41" s="7" t="str">
        <f t="array" aca="1" ref="V41" ca="1">IFERROR(IF(OR('Raw Data'!V41="",LEN(TRIM('Raw Data'!V41))=0),"",IF(AND(ISNUMBER('Raw Data'!V41), IFERROR('Raw Data'!V41 = ROUND('Raw Data'!V41, 2),FALSE)),"",_xlfn.REGEXEXTRACT(CELL("address",V41), "\$([A-Z]+)\$[0-9]+"))),_xlfn.REGEXEXTRACT(CELL("address",V41), "\$([A-Z]+)\$[0-9]+"))</f>
        <v/>
      </c>
      <c r="W41" s="7" t="str">
        <f t="array" aca="1" ref="W41" ca="1">IFERROR(IF(OR('Raw Data'!W41="",LEN(TRIM('Raw Data'!W41))=0),"",IF(AND(ISNUMBER('Raw Data'!W41), IFERROR('Raw Data'!W41 = ROUND('Raw Data'!W41, 2),FALSE)),"",_xlfn.REGEXEXTRACT(CELL("address",W41), "\$([A-Z]+)\$[0-9]+"))),_xlfn.REGEXEXTRACT(CELL("address",W41), "\$([A-Z]+)\$[0-9]+"))</f>
        <v/>
      </c>
      <c r="X41" s="7" t="str">
        <f t="array" aca="1" ref="X41" ca="1">IFERROR(IF(OR('Raw Data'!X41="",LEN(TRIM('Raw Data'!X41))=0),"",IF(AND(ISNUMBER('Raw Data'!X41), IFERROR('Raw Data'!X41 = ROUND('Raw Data'!X41, 2),FALSE)),"",_xlfn.REGEXEXTRACT(CELL("address",X41), "\$([A-Z]+)\$[0-9]+"))),_xlfn.REGEXEXTRACT(CELL("address",X41), "\$([A-Z]+)\$[0-9]+"))</f>
        <v/>
      </c>
      <c r="Y41" s="7" t="str">
        <f t="array" aca="1" ref="Y41" ca="1">IFERROR(IF(OR('Raw Data'!Y41="",LEN(TRIM('Raw Data'!Y41))=0),"",IF(AND(ISNUMBER('Raw Data'!Y41), IFERROR('Raw Data'!Y41 = ROUND('Raw Data'!Y41, 2),FALSE)),"",_xlfn.REGEXEXTRACT(CELL("address",Y41), "\$([A-Z]+)\$[0-9]+"))),_xlfn.REGEXEXTRACT(CELL("address",Y41), "\$([A-Z]+)\$[0-9]+"))</f>
        <v/>
      </c>
      <c r="Z41" s="7" t="str">
        <f t="array" aca="1" ref="Z41" ca="1">IFERROR(IF(OR('Raw Data'!Z41="",LEN(TRIM('Raw Data'!Z41))=0),"",IF(AND(ISNUMBER('Raw Data'!Z41), IFERROR('Raw Data'!Z41 = ROUND('Raw Data'!Z41, 2),FALSE)),"",_xlfn.REGEXEXTRACT(CELL("address",Z41), "\$([A-Z]+)\$[0-9]+"))),_xlfn.REGEXEXTRACT(CELL("address",Z41), "\$([A-Z]+)\$[0-9]+"))</f>
        <v/>
      </c>
      <c r="AA41" s="7" t="str">
        <f t="array" aca="1" ref="AA41" ca="1">IFERROR(IF(OR('Raw Data'!AA41="",LEN(TRIM('Raw Data'!AA41))=0),"",IF(AND(ISNUMBER('Raw Data'!AA41), IFERROR('Raw Data'!AA41 = ROUND('Raw Data'!AA41, 2),FALSE)),"",_xlfn.REGEXEXTRACT(CELL("address",AA41), "\$([A-Z]+)\$[0-9]+"))),_xlfn.REGEXEXTRACT(CELL("address",AA41), "\$([A-Z]+)\$[0-9]+"))</f>
        <v/>
      </c>
      <c r="AB41" s="7" t="str">
        <f t="array" aca="1" ref="AB41" ca="1">IFERROR(IF(OR('Raw Data'!AB41="",LEN(TRIM('Raw Data'!AB41))=0),"",IF(AND(ISNUMBER('Raw Data'!AB41), IFERROR('Raw Data'!AB41 = ROUND('Raw Data'!AB41, 2),FALSE)),"",_xlfn.REGEXEXTRACT(CELL("address",AB41), "\$([A-Z]+)\$[0-9]+"))),_xlfn.REGEXEXTRACT(CELL("address",AB41), "\$([A-Z]+)\$[0-9]+"))</f>
        <v/>
      </c>
      <c r="AC41" s="7" t="str">
        <f t="array" aca="1" ref="AC41" ca="1">IFERROR(IF(OR('Raw Data'!AC41="",LEN(TRIM('Raw Data'!AC41))=0),"",IF(AND(ISNUMBER('Raw Data'!AC41), IFERROR('Raw Data'!AC41 = ROUND('Raw Data'!AC41, 2),FALSE)),"",_xlfn.REGEXEXTRACT(CELL("address",AC41), "\$([A-Z]+)\$[0-9]+"))),_xlfn.REGEXEXTRACT(CELL("address",AC41), "\$([A-Z]+)\$[0-9]+"))</f>
        <v/>
      </c>
      <c r="AD41" s="7" t="str">
        <f t="array" aca="1" ref="AD41" ca="1">IFERROR(IF(OR('Raw Data'!AD41="",LEN(TRIM('Raw Data'!AD41))=0),"",IF(AND(ISNUMBER('Raw Data'!AD41), IFERROR('Raw Data'!AD41 = ROUND('Raw Data'!AD41, 2),FALSE)),"",_xlfn.REGEXEXTRACT(CELL("address",AD41), "\$([A-Z]+)\$[0-9]+"))),_xlfn.REGEXEXTRACT(CELL("address",AD41), "\$([A-Z]+)\$[0-9]+"))</f>
        <v/>
      </c>
      <c r="AE41" s="7" t="str">
        <f t="array" aca="1" ref="AE41" ca="1">IFERROR(IF(OR('Raw Data'!AE41="",LEN(TRIM('Raw Data'!AE41))=0),"",IF(AND(ISNUMBER('Raw Data'!AE41), IFERROR('Raw Data'!AE41 = ROUND('Raw Data'!AE41, 2),FALSE)),"",_xlfn.REGEXEXTRACT(CELL("address",AE41), "\$([A-Z]+)\$[0-9]+"))),_xlfn.REGEXEXTRACT(CELL("address",AE41), "\$([A-Z]+)\$[0-9]+"))</f>
        <v/>
      </c>
      <c r="AF41" s="7" t="str">
        <f t="array" aca="1" ref="AF41" ca="1">IFERROR(IF(OR('Raw Data'!AF41="",LEN(TRIM('Raw Data'!AF41))=0),"",IF(AND(ISNUMBER('Raw Data'!AF41), IFERROR('Raw Data'!AF41 = ROUND('Raw Data'!AF41, 2),FALSE)),"",_xlfn.REGEXEXTRACT(CELL("address",AF41), "\$([A-Z]+)\$[0-9]+"))),_xlfn.REGEXEXTRACT(CELL("address",AF41), "\$([A-Z]+)\$[0-9]+"))</f>
        <v/>
      </c>
      <c r="AG41" s="7" t="str">
        <f t="array" aca="1" ref="AG41" ca="1">IFERROR(IF(OR('Raw Data'!AG41="",LEN(TRIM('Raw Data'!AG41))=0),"",IF(AND(ISNUMBER('Raw Data'!AG41), IFERROR('Raw Data'!AG41 = ROUND('Raw Data'!AG41, 2),FALSE)),"",_xlfn.REGEXEXTRACT(CELL("address",AG41), "\$([A-Z]+)\$[0-9]+"))),_xlfn.REGEXEXTRACT(CELL("address",AG41), "\$([A-Z]+)\$[0-9]+"))</f>
        <v/>
      </c>
      <c r="AH41" s="7" t="str">
        <f t="array" aca="1" ref="AH41" ca="1">IFERROR(IF(OR('Raw Data'!AH41="",LEN(TRIM('Raw Data'!AH41))=0),"",IF(AND(ISNUMBER('Raw Data'!AH41), IFERROR('Raw Data'!AH41 = ROUND('Raw Data'!AH41, 2),FALSE)),"",_xlfn.REGEXEXTRACT(CELL("address",AH41), "\$([A-Z]+)\$[0-9]+"))),_xlfn.REGEXEXTRACT(CELL("address",AH41), "\$([A-Z]+)\$[0-9]+"))</f>
        <v/>
      </c>
      <c r="AI41" s="7" t="str">
        <f t="array" aca="1" ref="AI41" ca="1">IFERROR(IF(OR('Raw Data'!AI41="",LEN(TRIM('Raw Data'!AI41))=0),"",IF(AND(ISNUMBER('Raw Data'!AI41), IFERROR('Raw Data'!AI41 = ROUND('Raw Data'!AI41, 2),FALSE)),"",_xlfn.REGEXEXTRACT(CELL("address",AI41), "\$([A-Z]+)\$[0-9]+"))),_xlfn.REGEXEXTRACT(CELL("address",AI41), "\$([A-Z]+)\$[0-9]+"))</f>
        <v/>
      </c>
      <c r="AJ41" s="7" t="str">
        <f t="array" aca="1" ref="AJ41" ca="1">IFERROR(IF(OR('Raw Data'!AJ41="",LEN(TRIM('Raw Data'!AJ41))=0),"",IF(AND(ISNUMBER('Raw Data'!AJ41), IFERROR('Raw Data'!AJ41 = ROUND('Raw Data'!AJ41, 4),FALSE)),"",_xlfn.REGEXEXTRACT(CELL("address",AJ41), "\$([A-Z]+)\$[0-9]+"))),_xlfn.REGEXEXTRACT(CELL("address",AJ41), "\$([A-Z]+)\$[0-9]+"))</f>
        <v/>
      </c>
      <c r="AK41" s="7" t="str">
        <f t="array" aca="1" ref="AK41" ca="1">IFERROR(IF(OR('Raw Data'!AK41="",LEN(TRIM('Raw Data'!AK41))=0),"",IF(AND(ISNUMBER('Raw Data'!AK41), IFERROR('Raw Data'!AK41 = ROUND('Raw Data'!AK41, 2),FALSE)),"",_xlfn.REGEXEXTRACT(CELL("address",AK41), "\$([A-Z]+)\$[0-9]+"))),_xlfn.REGEXEXTRACT(CELL("address",AK41), "\$([A-Z]+)\$[0-9]+"))</f>
        <v/>
      </c>
      <c r="AL41" s="7" t="str">
        <f t="array" aca="1" ref="AL41" ca="1">IFERROR(IF(OR('Raw Data'!AL41="",LEN(TRIM('Raw Data'!AL41))=0),"",IF(AND(ISNUMBER('Raw Data'!AL41), IFERROR('Raw Data'!AL41 = ROUND('Raw Data'!AL41, 2),FALSE)),"",_xlfn.REGEXEXTRACT(CELL("address",AL41), "\$([A-Z]+)\$[0-9]+"))),_xlfn.REGEXEXTRACT(CELL("address",AL41), "\$([A-Z]+)\$[0-9]+"))</f>
        <v/>
      </c>
      <c r="AM41" s="7" t="str">
        <f t="array" aca="1" ref="AM41" ca="1">IFERROR(IF(OR('Raw Data'!AM41="",LEN(TRIM('Raw Data'!AM41))=0),"",IF(AND(ISNUMBER('Raw Data'!AM41), IFERROR('Raw Data'!AM41 = ROUND('Raw Data'!AM41, 2),FALSE)),"",_xlfn.REGEXEXTRACT(CELL("address",AM41), "\$([A-Z]+)\$[0-9]+"))),_xlfn.REGEXEXTRACT(CELL("address",AM41), "\$([A-Z]+)\$[0-9]+"))</f>
        <v/>
      </c>
      <c r="AN41" s="7" t="str">
        <f t="array" aca="1" ref="AN41" ca="1">IFERROR(IF(OR('Raw Data'!AN41="",LEN(TRIM('Raw Data'!AN41))=0),"",IF(AND(ISNUMBER('Raw Data'!AN41), IFERROR('Raw Data'!AN41 = ROUND('Raw Data'!AN41, 2),FALSE)),"",_xlfn.REGEXEXTRACT(CELL("address",AN41), "\$([A-Z]+)\$[0-9]+"))),_xlfn.REGEXEXTRACT(CELL("address",AN41), "\$([A-Z]+)\$[0-9]+"))</f>
        <v/>
      </c>
      <c r="AO41" s="7" t="str">
        <f t="array" aca="1" ref="AO41" ca="1">IFERROR(IF(OR('Raw Data'!AO41="",LEN(TRIM('Raw Data'!AO41))=0),"",IF(AND(ISNUMBER('Raw Data'!AO41), IFERROR('Raw Data'!AO41 = ROUND('Raw Data'!AO41, 2),FALSE)),"",_xlfn.REGEXEXTRACT(CELL("address",AO41), "\$([A-Z]+)\$[0-9]+"))),_xlfn.REGEXEXTRACT(CELL("address",AO41), "\$([A-Z]+)\$[0-9]+"))</f>
        <v/>
      </c>
      <c r="AP41" s="7" t="str">
        <f t="array" aca="1" ref="AP41" ca="1">IFERROR(IF(OR('Raw Data'!AP41="",LEN(TRIM('Raw Data'!AP41))=0),"",IF(AND(ISNUMBER('Raw Data'!AP41), IFERROR('Raw Data'!AP41 = ROUND('Raw Data'!AP41, 2),FALSE)),"",_xlfn.REGEXEXTRACT(CELL("address",AP41), "\$([A-Z]+)\$[0-9]+"))),_xlfn.REGEXEXTRACT(CELL("address",AP41), "\$([A-Z]+)\$[0-9]+"))</f>
        <v/>
      </c>
    </row>
    <row r="42" spans="2:42" x14ac:dyDescent="0.25">
      <c r="B42" s="7" t="str">
        <f t="array" aca="1" ref="B42" ca="1">IFERROR(IF(OR('Raw Data'!B42="",LEN(TRIM('Raw Data'!B42))=0),"",IF(AND(LEN('Raw Data'!B42) &lt;= 255,LEN('Raw Data'!B42)&gt; 0),"",_xlfn.REGEXEXTRACT(CELL("address",'Raw Data'!B42),"\$([A-Z]+)\$[0-9]+"))),_xlfn.REGEXEXTRACT(CELL("address",'Raw Data'!B42),"\$([A-Z]+)\$[0-9]+"))</f>
        <v/>
      </c>
      <c r="C42" s="7" t="str">
        <f t="array" aca="1" ref="C42" ca="1">IFERROR(IF(OR('Raw Data'!C42="",LEN(TRIM('Raw Data'!C42))=0),"",IF(AND(LEN('Raw Data'!C42) &lt;= 50,LEN('Raw Data'!C42)&gt; 0),"",_xlfn.REGEXEXTRACT(CELL("address",'Raw Data'!C42),"\$([A-Z]+)\$[0-9]+"))),_xlfn.REGEXEXTRACT(CELL("address",'Raw Data'!C42),"\$([A-Z]+)\$[0-9]+"))</f>
        <v/>
      </c>
      <c r="D42" s="7" t="str">
        <f t="array" aca="1" ref="D42" ca="1">IFERROR(IF(OR('Raw Data'!D42="",LEN(TRIM('Raw Data'!D42))=0),"",IF(AND(LEN('Raw Data'!D42) &lt;= 500,LEN('Raw Data'!D42)&gt; 0),"",_xlfn.REGEXEXTRACT(CELL("address",'Raw Data'!D42),"\$([A-Z]+)\$[0-9]+"))),_xlfn.REGEXEXTRACT(CELL("address",'Raw Data'!D42),"\$([A-Z]+)\$[0-9]+"))</f>
        <v/>
      </c>
      <c r="E42" s="7" t="str">
        <f t="array" aca="1" ref="E42" ca="1">IFERROR(IF(OR('Raw Data'!E42="",LEN(TRIM('Raw Data'!E42))=0),"",IF(AND(LEN('Raw Data'!E42) &lt;= 50,LEN('Raw Data'!E42)&gt; 0),"",_xlfn.REGEXEXTRACT(CELL("address",'Raw Data'!E42),"\$([A-Z]+)\$[0-9]+"))),_xlfn.REGEXEXTRACT(CELL("address",'Raw Data'!E42),"\$([A-Z]+)\$[0-9]+"))</f>
        <v/>
      </c>
      <c r="F42" s="7" t="str">
        <f t="array" aca="1" ref="F42" ca="1">IFERROR(IF(OR('Raw Data'!F42="",LEN(TRIM('Raw Data'!F42))=0),"",IF(AND(LEN('Raw Data'!F42) &lt;= 50,LEN('Raw Data'!F42)&gt; 0),"",_xlfn.REGEXEXTRACT(CELL("address",'Raw Data'!F42),"\$([A-Z]+)\$[0-9]+"))),_xlfn.REGEXEXTRACT(CELL("address",'Raw Data'!F42),"\$([A-Z]+)\$[0-9]+"))</f>
        <v/>
      </c>
      <c r="G42" s="7" t="str">
        <f t="array" aca="1" ref="G42" ca="1">IFERROR(IF(OR('Raw Data'!G42="",LEN(TRIM('Raw Data'!G42))=0),"",IF(AND(LEN('Raw Data'!G42) &lt;= 50,LEN('Raw Data'!G42)&gt; 0),"",_xlfn.REGEXEXTRACT(CELL("address",'Raw Data'!G42),"\$([A-Z]+)\$[0-9]+"))),_xlfn.REGEXEXTRACT(CELL("address",'Raw Data'!G42),"\$([A-Z]+)\$[0-9]+"))</f>
        <v/>
      </c>
      <c r="H42" s="7" t="str">
        <f t="array" aca="1" ref="H42" ca="1">IFERROR(IF(OR('Raw Data'!H42="",LEN(TRIM('Raw Data'!H42))=0),"",IF(AND(LEN('Raw Data'!H42) &lt;= 50,LEN('Raw Data'!H42)&gt; 0),"",_xlfn.REGEXEXTRACT(CELL("address",'Raw Data'!H42),"\$([A-Z]+)\$[0-9]+"))),_xlfn.REGEXEXTRACT(CELL("address",'Raw Data'!H42),"\$([A-Z]+)\$[0-9]+"))</f>
        <v/>
      </c>
      <c r="I42" s="7" t="str">
        <f t="array" aca="1" ref="I42" ca="1">IFERROR(IF(OR('Raw Data'!I42="",LEN(TRIM('Raw Data'!I42))=0),"",IF(AND(LEN('Raw Data'!I42) &lt;= 50,LEN('Raw Data'!I42)&gt; 0),"",_xlfn.REGEXEXTRACT(CELL("address",'Raw Data'!I42),"\$([A-Z]+)\$[0-9]+"))),_xlfn.REGEXEXTRACT(CELL("address",'Raw Data'!I42),"\$([A-Z]+)\$[0-9]+"))</f>
        <v/>
      </c>
      <c r="J42" s="7" t="str">
        <f t="array" aca="1" ref="J42" ca="1">IFERROR(IF(OR('Raw Data'!J42="",LEN(TRIM('Raw Data'!J42))=0),"",IF(AND(ISNUMBER('Raw Data'!J42), IFERROR('Raw Data'!J42 = ROUND('Raw Data'!J42, 2),FALSE)),"",_xlfn.REGEXEXTRACT(CELL("address",J42), "\$([A-Z]+)\$[0-9]+"))),_xlfn.REGEXEXTRACT(CELL("address",J42), "\$([A-Z]+)\$[0-9]+"))</f>
        <v/>
      </c>
      <c r="K42" s="7" t="str">
        <f t="array" aca="1" ref="K42" ca="1">IFERROR(IF(OR('Raw Data'!K42="",LEN(TRIM('Raw Data'!K42))=0),"",IF(AND(ISNUMBER('Raw Data'!K42), IFERROR('Raw Data'!K42 = ROUND('Raw Data'!K42, 2),FALSE)),"",_xlfn.REGEXEXTRACT(CELL("address",K42), "\$([A-Z]+)\$[0-9]+"))),_xlfn.REGEXEXTRACT(CELL("address",K42), "\$([A-Z]+)\$[0-9]+"))</f>
        <v/>
      </c>
      <c r="L42" s="7" t="str">
        <f t="array" aca="1" ref="L42" ca="1">IFERROR(IF(OR('Raw Data'!L42="",LEN(TRIM('Raw Data'!L42))=0),"",IF(AND(ISNUMBER('Raw Data'!L42), IFERROR('Raw Data'!L42 = ROUND('Raw Data'!L42, 2),FALSE)),"",_xlfn.REGEXEXTRACT(CELL("address",L42), "\$([A-Z]+)\$[0-9]+"))),_xlfn.REGEXEXTRACT(CELL("address",L42), "\$([A-Z]+)\$[0-9]+"))</f>
        <v/>
      </c>
      <c r="M42" s="7" t="str">
        <f t="array" aca="1" ref="M42" ca="1">IFERROR(IF(OR('Raw Data'!M42="",LEN(TRIM('Raw Data'!M42))=0),"",IF(AND(ISNUMBER('Raw Data'!M42), IFERROR('Raw Data'!M42 = ROUND('Raw Data'!M42, 2),FALSE)),"",_xlfn.REGEXEXTRACT(CELL("address",M42), "\$([A-Z]+)\$[0-9]+"))),_xlfn.REGEXEXTRACT(CELL("address",M42), "\$([A-Z]+)\$[0-9]+"))</f>
        <v/>
      </c>
      <c r="N42" s="7" t="str">
        <f t="array" aca="1" ref="N42" ca="1">IFERROR(IF(OR('Raw Data'!N42="",LEN(TRIM('Raw Data'!N42))=0),"",IF(AND(ISNUMBER('Raw Data'!N42), IFERROR('Raw Data'!N42 = ROUND('Raw Data'!N42, 2),FALSE)),"",_xlfn.REGEXEXTRACT(CELL("address",N42), "\$([A-Z]+)\$[0-9]+"))),_xlfn.REGEXEXTRACT(CELL("address",N42), "\$([A-Z]+)\$[0-9]+"))</f>
        <v/>
      </c>
      <c r="O42" s="7" t="str">
        <f t="array" aca="1" ref="O42" ca="1">IFERROR(IF(OR('Raw Data'!O42="",LEN(TRIM('Raw Data'!O42))=0),"",IF(AND(ISNUMBER('Raw Data'!O42),'Raw Data'!O42&gt;=Configuration!$D$2),"",_xlfn.REGEXEXTRACT(CELL("address",'Raw Data'!O42),"\$([A-Z]+)\$[0-9]+"))),_xlfn.REGEXEXTRACT(CELL("address",O42), "\$([A-Z]+)\$[0-9]+"))</f>
        <v/>
      </c>
      <c r="P42" s="7" t="str">
        <f t="array" aca="1" ref="P42" ca="1">IFERROR(IF(OR('Raw Data'!P42="",LEN(TRIM('Raw Data'!P42))=0),"",IF(AND(ISNUMBER('Raw Data'!P42), IFERROR('Raw Data'!P42 = ROUND('Raw Data'!P42, 2),FALSE)),"",_xlfn.REGEXEXTRACT(CELL("address",P42), "\$([A-Z]+)\$[0-9]+"))),_xlfn.REGEXEXTRACT(CELL("address",P42), "\$([A-Z]+)\$[0-9]+"))</f>
        <v/>
      </c>
      <c r="Q42" s="7" t="str">
        <f t="array" aca="1" ref="Q42" ca="1">IFERROR(IF(OR('Raw Data'!Q42="",LEN(TRIM('Raw Data'!Q42))=0),"",IF(AND(ISNUMBER('Raw Data'!Q42), IFERROR('Raw Data'!Q42 = ROUND('Raw Data'!Q42, 2),FALSE)),"",_xlfn.REGEXEXTRACT(CELL("address",Q42), "\$([A-Z]+)\$[0-9]+"))),_xlfn.REGEXEXTRACT(CELL("address",Q42), "\$([A-Z]+)\$[0-9]+"))</f>
        <v/>
      </c>
      <c r="R42" s="7" t="str">
        <f t="array" aca="1" ref="R42" ca="1">IFERROR(IF(OR('Raw Data'!R42="",LEN(TRIM('Raw Data'!R42))=0),"",IF(AND(LEN('Raw Data'!R42) &lt;= 50,LEN('Raw Data'!R42)&gt; 0),"",_xlfn.REGEXEXTRACT(CELL("address",'Raw Data'!R42),"\$([A-Z]+)\$[0-9]+"))),_xlfn.REGEXEXTRACT(CELL("address",'Raw Data'!R42),"\$([A-Z]+)\$[0-9]+"))</f>
        <v/>
      </c>
      <c r="S42" s="7" t="str">
        <f t="array" aca="1" ref="S42" ca="1">IFERROR(IF(OR('Raw Data'!S42="",LEN(TRIM('Raw Data'!S42))=0),"",IF(AND(LEN('Raw Data'!S42) &lt;= 50,LEN('Raw Data'!S42)&gt; 0),"",_xlfn.REGEXEXTRACT(CELL("address",'Raw Data'!S42),"\$([A-Z]+)\$[0-9]+"))),_xlfn.REGEXEXTRACT(CELL("address",'Raw Data'!S42),"\$([A-Z]+)\$[0-9]+"))</f>
        <v/>
      </c>
      <c r="T42" s="7" t="str">
        <f t="array" aca="1" ref="T42" ca="1">IFERROR(IF(OR('Raw Data'!T42="",LEN(TRIM('Raw Data'!T42))=0),"",IF(AND(ISNUMBER('Raw Data'!T42), IFERROR('Raw Data'!T42 = ROUND('Raw Data'!T42, 2),FALSE)),"",_xlfn.REGEXEXTRACT(CELL("address",T42), "\$([A-Z]+)\$[0-9]+"))),_xlfn.REGEXEXTRACT(CELL("address",T42), "\$([A-Z]+)\$[0-9]+"))</f>
        <v/>
      </c>
      <c r="U42" s="7" t="str">
        <f t="array" aca="1" ref="U42" ca="1">IFERROR(IF(OR('Raw Data'!U42="",LEN(TRIM('Raw Data'!U42))=0),"",IF(AND(ISNUMBER('Raw Data'!U42), IFERROR('Raw Data'!U42 = ROUND('Raw Data'!U42, 2),FALSE)),"",_xlfn.REGEXEXTRACT(CELL("address",U42), "\$([A-Z]+)\$[0-9]+"))),_xlfn.REGEXEXTRACT(CELL("address",U42), "\$([A-Z]+)\$[0-9]+"))</f>
        <v/>
      </c>
      <c r="V42" s="7" t="str">
        <f t="array" aca="1" ref="V42" ca="1">IFERROR(IF(OR('Raw Data'!V42="",LEN(TRIM('Raw Data'!V42))=0),"",IF(AND(ISNUMBER('Raw Data'!V42), IFERROR('Raw Data'!V42 = ROUND('Raw Data'!V42, 2),FALSE)),"",_xlfn.REGEXEXTRACT(CELL("address",V42), "\$([A-Z]+)\$[0-9]+"))),_xlfn.REGEXEXTRACT(CELL("address",V42), "\$([A-Z]+)\$[0-9]+"))</f>
        <v/>
      </c>
      <c r="W42" s="7" t="str">
        <f t="array" aca="1" ref="W42" ca="1">IFERROR(IF(OR('Raw Data'!W42="",LEN(TRIM('Raw Data'!W42))=0),"",IF(AND(ISNUMBER('Raw Data'!W42), IFERROR('Raw Data'!W42 = ROUND('Raw Data'!W42, 2),FALSE)),"",_xlfn.REGEXEXTRACT(CELL("address",W42), "\$([A-Z]+)\$[0-9]+"))),_xlfn.REGEXEXTRACT(CELL("address",W42), "\$([A-Z]+)\$[0-9]+"))</f>
        <v/>
      </c>
      <c r="X42" s="7" t="str">
        <f t="array" aca="1" ref="X42" ca="1">IFERROR(IF(OR('Raw Data'!X42="",LEN(TRIM('Raw Data'!X42))=0),"",IF(AND(ISNUMBER('Raw Data'!X42), IFERROR('Raw Data'!X42 = ROUND('Raw Data'!X42, 2),FALSE)),"",_xlfn.REGEXEXTRACT(CELL("address",X42), "\$([A-Z]+)\$[0-9]+"))),_xlfn.REGEXEXTRACT(CELL("address",X42), "\$([A-Z]+)\$[0-9]+"))</f>
        <v/>
      </c>
      <c r="Y42" s="7" t="str">
        <f t="array" aca="1" ref="Y42" ca="1">IFERROR(IF(OR('Raw Data'!Y42="",LEN(TRIM('Raw Data'!Y42))=0),"",IF(AND(ISNUMBER('Raw Data'!Y42), IFERROR('Raw Data'!Y42 = ROUND('Raw Data'!Y42, 2),FALSE)),"",_xlfn.REGEXEXTRACT(CELL("address",Y42), "\$([A-Z]+)\$[0-9]+"))),_xlfn.REGEXEXTRACT(CELL("address",Y42), "\$([A-Z]+)\$[0-9]+"))</f>
        <v/>
      </c>
      <c r="Z42" s="7" t="str">
        <f t="array" aca="1" ref="Z42" ca="1">IFERROR(IF(OR('Raw Data'!Z42="",LEN(TRIM('Raw Data'!Z42))=0),"",IF(AND(ISNUMBER('Raw Data'!Z42), IFERROR('Raw Data'!Z42 = ROUND('Raw Data'!Z42, 2),FALSE)),"",_xlfn.REGEXEXTRACT(CELL("address",Z42), "\$([A-Z]+)\$[0-9]+"))),_xlfn.REGEXEXTRACT(CELL("address",Z42), "\$([A-Z]+)\$[0-9]+"))</f>
        <v/>
      </c>
      <c r="AA42" s="7" t="str">
        <f t="array" aca="1" ref="AA42" ca="1">IFERROR(IF(OR('Raw Data'!AA42="",LEN(TRIM('Raw Data'!AA42))=0),"",IF(AND(ISNUMBER('Raw Data'!AA42), IFERROR('Raw Data'!AA42 = ROUND('Raw Data'!AA42, 2),FALSE)),"",_xlfn.REGEXEXTRACT(CELL("address",AA42), "\$([A-Z]+)\$[0-9]+"))),_xlfn.REGEXEXTRACT(CELL("address",AA42), "\$([A-Z]+)\$[0-9]+"))</f>
        <v/>
      </c>
      <c r="AB42" s="7" t="str">
        <f t="array" aca="1" ref="AB42" ca="1">IFERROR(IF(OR('Raw Data'!AB42="",LEN(TRIM('Raw Data'!AB42))=0),"",IF(AND(ISNUMBER('Raw Data'!AB42), IFERROR('Raw Data'!AB42 = ROUND('Raw Data'!AB42, 2),FALSE)),"",_xlfn.REGEXEXTRACT(CELL("address",AB42), "\$([A-Z]+)\$[0-9]+"))),_xlfn.REGEXEXTRACT(CELL("address",AB42), "\$([A-Z]+)\$[0-9]+"))</f>
        <v/>
      </c>
      <c r="AC42" s="7" t="str">
        <f t="array" aca="1" ref="AC42" ca="1">IFERROR(IF(OR('Raw Data'!AC42="",LEN(TRIM('Raw Data'!AC42))=0),"",IF(AND(ISNUMBER('Raw Data'!AC42), IFERROR('Raw Data'!AC42 = ROUND('Raw Data'!AC42, 2),FALSE)),"",_xlfn.REGEXEXTRACT(CELL("address",AC42), "\$([A-Z]+)\$[0-9]+"))),_xlfn.REGEXEXTRACT(CELL("address",AC42), "\$([A-Z]+)\$[0-9]+"))</f>
        <v/>
      </c>
      <c r="AD42" s="7" t="str">
        <f t="array" aca="1" ref="AD42" ca="1">IFERROR(IF(OR('Raw Data'!AD42="",LEN(TRIM('Raw Data'!AD42))=0),"",IF(AND(ISNUMBER('Raw Data'!AD42), IFERROR('Raw Data'!AD42 = ROUND('Raw Data'!AD42, 2),FALSE)),"",_xlfn.REGEXEXTRACT(CELL("address",AD42), "\$([A-Z]+)\$[0-9]+"))),_xlfn.REGEXEXTRACT(CELL("address",AD42), "\$([A-Z]+)\$[0-9]+"))</f>
        <v/>
      </c>
      <c r="AE42" s="7" t="str">
        <f t="array" aca="1" ref="AE42" ca="1">IFERROR(IF(OR('Raw Data'!AE42="",LEN(TRIM('Raw Data'!AE42))=0),"",IF(AND(ISNUMBER('Raw Data'!AE42), IFERROR('Raw Data'!AE42 = ROUND('Raw Data'!AE42, 2),FALSE)),"",_xlfn.REGEXEXTRACT(CELL("address",AE42), "\$([A-Z]+)\$[0-9]+"))),_xlfn.REGEXEXTRACT(CELL("address",AE42), "\$([A-Z]+)\$[0-9]+"))</f>
        <v/>
      </c>
      <c r="AF42" s="7" t="str">
        <f t="array" aca="1" ref="AF42" ca="1">IFERROR(IF(OR('Raw Data'!AF42="",LEN(TRIM('Raw Data'!AF42))=0),"",IF(AND(ISNUMBER('Raw Data'!AF42), IFERROR('Raw Data'!AF42 = ROUND('Raw Data'!AF42, 2),FALSE)),"",_xlfn.REGEXEXTRACT(CELL("address",AF42), "\$([A-Z]+)\$[0-9]+"))),_xlfn.REGEXEXTRACT(CELL("address",AF42), "\$([A-Z]+)\$[0-9]+"))</f>
        <v/>
      </c>
      <c r="AG42" s="7" t="str">
        <f t="array" aca="1" ref="AG42" ca="1">IFERROR(IF(OR('Raw Data'!AG42="",LEN(TRIM('Raw Data'!AG42))=0),"",IF(AND(ISNUMBER('Raw Data'!AG42), IFERROR('Raw Data'!AG42 = ROUND('Raw Data'!AG42, 2),FALSE)),"",_xlfn.REGEXEXTRACT(CELL("address",AG42), "\$([A-Z]+)\$[0-9]+"))),_xlfn.REGEXEXTRACT(CELL("address",AG42), "\$([A-Z]+)\$[0-9]+"))</f>
        <v/>
      </c>
      <c r="AH42" s="7" t="str">
        <f t="array" aca="1" ref="AH42" ca="1">IFERROR(IF(OR('Raw Data'!AH42="",LEN(TRIM('Raw Data'!AH42))=0),"",IF(AND(ISNUMBER('Raw Data'!AH42), IFERROR('Raw Data'!AH42 = ROUND('Raw Data'!AH42, 2),FALSE)),"",_xlfn.REGEXEXTRACT(CELL("address",AH42), "\$([A-Z]+)\$[0-9]+"))),_xlfn.REGEXEXTRACT(CELL("address",AH42), "\$([A-Z]+)\$[0-9]+"))</f>
        <v/>
      </c>
      <c r="AI42" s="7" t="str">
        <f t="array" aca="1" ref="AI42" ca="1">IFERROR(IF(OR('Raw Data'!AI42="",LEN(TRIM('Raw Data'!AI42))=0),"",IF(AND(ISNUMBER('Raw Data'!AI42), IFERROR('Raw Data'!AI42 = ROUND('Raw Data'!AI42, 2),FALSE)),"",_xlfn.REGEXEXTRACT(CELL("address",AI42), "\$([A-Z]+)\$[0-9]+"))),_xlfn.REGEXEXTRACT(CELL("address",AI42), "\$([A-Z]+)\$[0-9]+"))</f>
        <v/>
      </c>
      <c r="AJ42" s="7" t="str">
        <f t="array" aca="1" ref="AJ42" ca="1">IFERROR(IF(OR('Raw Data'!AJ42="",LEN(TRIM('Raw Data'!AJ42))=0),"",IF(AND(ISNUMBER('Raw Data'!AJ42), IFERROR('Raw Data'!AJ42 = ROUND('Raw Data'!AJ42, 4),FALSE)),"",_xlfn.REGEXEXTRACT(CELL("address",AJ42), "\$([A-Z]+)\$[0-9]+"))),_xlfn.REGEXEXTRACT(CELL("address",AJ42), "\$([A-Z]+)\$[0-9]+"))</f>
        <v/>
      </c>
      <c r="AK42" s="7" t="str">
        <f t="array" aca="1" ref="AK42" ca="1">IFERROR(IF(OR('Raw Data'!AK42="",LEN(TRIM('Raw Data'!AK42))=0),"",IF(AND(ISNUMBER('Raw Data'!AK42), IFERROR('Raw Data'!AK42 = ROUND('Raw Data'!AK42, 2),FALSE)),"",_xlfn.REGEXEXTRACT(CELL("address",AK42), "\$([A-Z]+)\$[0-9]+"))),_xlfn.REGEXEXTRACT(CELL("address",AK42), "\$([A-Z]+)\$[0-9]+"))</f>
        <v/>
      </c>
      <c r="AL42" s="7" t="str">
        <f t="array" aca="1" ref="AL42" ca="1">IFERROR(IF(OR('Raw Data'!AL42="",LEN(TRIM('Raw Data'!AL42))=0),"",IF(AND(ISNUMBER('Raw Data'!AL42), IFERROR('Raw Data'!AL42 = ROUND('Raw Data'!AL42, 2),FALSE)),"",_xlfn.REGEXEXTRACT(CELL("address",AL42), "\$([A-Z]+)\$[0-9]+"))),_xlfn.REGEXEXTRACT(CELL("address",AL42), "\$([A-Z]+)\$[0-9]+"))</f>
        <v/>
      </c>
      <c r="AM42" s="7" t="str">
        <f t="array" aca="1" ref="AM42" ca="1">IFERROR(IF(OR('Raw Data'!AM42="",LEN(TRIM('Raw Data'!AM42))=0),"",IF(AND(ISNUMBER('Raw Data'!AM42), IFERROR('Raw Data'!AM42 = ROUND('Raw Data'!AM42, 2),FALSE)),"",_xlfn.REGEXEXTRACT(CELL("address",AM42), "\$([A-Z]+)\$[0-9]+"))),_xlfn.REGEXEXTRACT(CELL("address",AM42), "\$([A-Z]+)\$[0-9]+"))</f>
        <v/>
      </c>
      <c r="AN42" s="7" t="str">
        <f t="array" aca="1" ref="AN42" ca="1">IFERROR(IF(OR('Raw Data'!AN42="",LEN(TRIM('Raw Data'!AN42))=0),"",IF(AND(ISNUMBER('Raw Data'!AN42), IFERROR('Raw Data'!AN42 = ROUND('Raw Data'!AN42, 2),FALSE)),"",_xlfn.REGEXEXTRACT(CELL("address",AN42), "\$([A-Z]+)\$[0-9]+"))),_xlfn.REGEXEXTRACT(CELL("address",AN42), "\$([A-Z]+)\$[0-9]+"))</f>
        <v/>
      </c>
      <c r="AO42" s="7" t="str">
        <f t="array" aca="1" ref="AO42" ca="1">IFERROR(IF(OR('Raw Data'!AO42="",LEN(TRIM('Raw Data'!AO42))=0),"",IF(AND(ISNUMBER('Raw Data'!AO42), IFERROR('Raw Data'!AO42 = ROUND('Raw Data'!AO42, 2),FALSE)),"",_xlfn.REGEXEXTRACT(CELL("address",AO42), "\$([A-Z]+)\$[0-9]+"))),_xlfn.REGEXEXTRACT(CELL("address",AO42), "\$([A-Z]+)\$[0-9]+"))</f>
        <v/>
      </c>
      <c r="AP42" s="7" t="str">
        <f t="array" aca="1" ref="AP42" ca="1">IFERROR(IF(OR('Raw Data'!AP42="",LEN(TRIM('Raw Data'!AP42))=0),"",IF(AND(ISNUMBER('Raw Data'!AP42), IFERROR('Raw Data'!AP42 = ROUND('Raw Data'!AP42, 2),FALSE)),"",_xlfn.REGEXEXTRACT(CELL("address",AP42), "\$([A-Z]+)\$[0-9]+"))),_xlfn.REGEXEXTRACT(CELL("address",AP42), "\$([A-Z]+)\$[0-9]+"))</f>
        <v/>
      </c>
    </row>
    <row r="43" spans="2:42" x14ac:dyDescent="0.25">
      <c r="B43" s="7" t="str">
        <f t="array" aca="1" ref="B43" ca="1">IFERROR(IF(OR('Raw Data'!B43="",LEN(TRIM('Raw Data'!B43))=0),"",IF(AND(LEN('Raw Data'!B43) &lt;= 255,LEN('Raw Data'!B43)&gt; 0),"",_xlfn.REGEXEXTRACT(CELL("address",'Raw Data'!B43),"\$([A-Z]+)\$[0-9]+"))),_xlfn.REGEXEXTRACT(CELL("address",'Raw Data'!B43),"\$([A-Z]+)\$[0-9]+"))</f>
        <v/>
      </c>
      <c r="C43" s="7" t="str">
        <f t="array" aca="1" ref="C43" ca="1">IFERROR(IF(OR('Raw Data'!C43="",LEN(TRIM('Raw Data'!C43))=0),"",IF(AND(LEN('Raw Data'!C43) &lt;= 50,LEN('Raw Data'!C43)&gt; 0),"",_xlfn.REGEXEXTRACT(CELL("address",'Raw Data'!C43),"\$([A-Z]+)\$[0-9]+"))),_xlfn.REGEXEXTRACT(CELL("address",'Raw Data'!C43),"\$([A-Z]+)\$[0-9]+"))</f>
        <v/>
      </c>
      <c r="D43" s="7" t="str">
        <f t="array" aca="1" ref="D43" ca="1">IFERROR(IF(OR('Raw Data'!D43="",LEN(TRIM('Raw Data'!D43))=0),"",IF(AND(LEN('Raw Data'!D43) &lt;= 500,LEN('Raw Data'!D43)&gt; 0),"",_xlfn.REGEXEXTRACT(CELL("address",'Raw Data'!D43),"\$([A-Z]+)\$[0-9]+"))),_xlfn.REGEXEXTRACT(CELL("address",'Raw Data'!D43),"\$([A-Z]+)\$[0-9]+"))</f>
        <v/>
      </c>
      <c r="E43" s="7" t="str">
        <f t="array" aca="1" ref="E43" ca="1">IFERROR(IF(OR('Raw Data'!E43="",LEN(TRIM('Raw Data'!E43))=0),"",IF(AND(LEN('Raw Data'!E43) &lt;= 50,LEN('Raw Data'!E43)&gt; 0),"",_xlfn.REGEXEXTRACT(CELL("address",'Raw Data'!E43),"\$([A-Z]+)\$[0-9]+"))),_xlfn.REGEXEXTRACT(CELL("address",'Raw Data'!E43),"\$([A-Z]+)\$[0-9]+"))</f>
        <v/>
      </c>
      <c r="F43" s="7" t="str">
        <f t="array" aca="1" ref="F43" ca="1">IFERROR(IF(OR('Raw Data'!F43="",LEN(TRIM('Raw Data'!F43))=0),"",IF(AND(LEN('Raw Data'!F43) &lt;= 50,LEN('Raw Data'!F43)&gt; 0),"",_xlfn.REGEXEXTRACT(CELL("address",'Raw Data'!F43),"\$([A-Z]+)\$[0-9]+"))),_xlfn.REGEXEXTRACT(CELL("address",'Raw Data'!F43),"\$([A-Z]+)\$[0-9]+"))</f>
        <v/>
      </c>
      <c r="G43" s="7" t="str">
        <f t="array" aca="1" ref="G43" ca="1">IFERROR(IF(OR('Raw Data'!G43="",LEN(TRIM('Raw Data'!G43))=0),"",IF(AND(LEN('Raw Data'!G43) &lt;= 50,LEN('Raw Data'!G43)&gt; 0),"",_xlfn.REGEXEXTRACT(CELL("address",'Raw Data'!G43),"\$([A-Z]+)\$[0-9]+"))),_xlfn.REGEXEXTRACT(CELL("address",'Raw Data'!G43),"\$([A-Z]+)\$[0-9]+"))</f>
        <v/>
      </c>
      <c r="H43" s="7" t="str">
        <f t="array" aca="1" ref="H43" ca="1">IFERROR(IF(OR('Raw Data'!H43="",LEN(TRIM('Raw Data'!H43))=0),"",IF(AND(LEN('Raw Data'!H43) &lt;= 50,LEN('Raw Data'!H43)&gt; 0),"",_xlfn.REGEXEXTRACT(CELL("address",'Raw Data'!H43),"\$([A-Z]+)\$[0-9]+"))),_xlfn.REGEXEXTRACT(CELL("address",'Raw Data'!H43),"\$([A-Z]+)\$[0-9]+"))</f>
        <v/>
      </c>
      <c r="I43" s="7" t="str">
        <f t="array" aca="1" ref="I43" ca="1">IFERROR(IF(OR('Raw Data'!I43="",LEN(TRIM('Raw Data'!I43))=0),"",IF(AND(LEN('Raw Data'!I43) &lt;= 50,LEN('Raw Data'!I43)&gt; 0),"",_xlfn.REGEXEXTRACT(CELL("address",'Raw Data'!I43),"\$([A-Z]+)\$[0-9]+"))),_xlfn.REGEXEXTRACT(CELL("address",'Raw Data'!I43),"\$([A-Z]+)\$[0-9]+"))</f>
        <v/>
      </c>
      <c r="J43" s="7" t="str">
        <f t="array" aca="1" ref="J43" ca="1">IFERROR(IF(OR('Raw Data'!J43="",LEN(TRIM('Raw Data'!J43))=0),"",IF(AND(ISNUMBER('Raw Data'!J43), IFERROR('Raw Data'!J43 = ROUND('Raw Data'!J43, 2),FALSE)),"",_xlfn.REGEXEXTRACT(CELL("address",J43), "\$([A-Z]+)\$[0-9]+"))),_xlfn.REGEXEXTRACT(CELL("address",J43), "\$([A-Z]+)\$[0-9]+"))</f>
        <v/>
      </c>
      <c r="K43" s="7" t="str">
        <f t="array" aca="1" ref="K43" ca="1">IFERROR(IF(OR('Raw Data'!K43="",LEN(TRIM('Raw Data'!K43))=0),"",IF(AND(ISNUMBER('Raw Data'!K43), IFERROR('Raw Data'!K43 = ROUND('Raw Data'!K43, 2),FALSE)),"",_xlfn.REGEXEXTRACT(CELL("address",K43), "\$([A-Z]+)\$[0-9]+"))),_xlfn.REGEXEXTRACT(CELL("address",K43), "\$([A-Z]+)\$[0-9]+"))</f>
        <v/>
      </c>
      <c r="L43" s="7" t="str">
        <f t="array" aca="1" ref="L43" ca="1">IFERROR(IF(OR('Raw Data'!L43="",LEN(TRIM('Raw Data'!L43))=0),"",IF(AND(ISNUMBER('Raw Data'!L43), IFERROR('Raw Data'!L43 = ROUND('Raw Data'!L43, 2),FALSE)),"",_xlfn.REGEXEXTRACT(CELL("address",L43), "\$([A-Z]+)\$[0-9]+"))),_xlfn.REGEXEXTRACT(CELL("address",L43), "\$([A-Z]+)\$[0-9]+"))</f>
        <v/>
      </c>
      <c r="M43" s="7" t="str">
        <f t="array" aca="1" ref="M43" ca="1">IFERROR(IF(OR('Raw Data'!M43="",LEN(TRIM('Raw Data'!M43))=0),"",IF(AND(ISNUMBER('Raw Data'!M43), IFERROR('Raw Data'!M43 = ROUND('Raw Data'!M43, 2),FALSE)),"",_xlfn.REGEXEXTRACT(CELL("address",M43), "\$([A-Z]+)\$[0-9]+"))),_xlfn.REGEXEXTRACT(CELL("address",M43), "\$([A-Z]+)\$[0-9]+"))</f>
        <v/>
      </c>
      <c r="N43" s="7" t="str">
        <f t="array" aca="1" ref="N43" ca="1">IFERROR(IF(OR('Raw Data'!N43="",LEN(TRIM('Raw Data'!N43))=0),"",IF(AND(ISNUMBER('Raw Data'!N43), IFERROR('Raw Data'!N43 = ROUND('Raw Data'!N43, 2),FALSE)),"",_xlfn.REGEXEXTRACT(CELL("address",N43), "\$([A-Z]+)\$[0-9]+"))),_xlfn.REGEXEXTRACT(CELL("address",N43), "\$([A-Z]+)\$[0-9]+"))</f>
        <v/>
      </c>
      <c r="O43" s="7" t="str">
        <f t="array" aca="1" ref="O43" ca="1">IFERROR(IF(OR('Raw Data'!O43="",LEN(TRIM('Raw Data'!O43))=0),"",IF(AND(ISNUMBER('Raw Data'!O43),'Raw Data'!O43&gt;=Configuration!$D$2),"",_xlfn.REGEXEXTRACT(CELL("address",'Raw Data'!O43),"\$([A-Z]+)\$[0-9]+"))),_xlfn.REGEXEXTRACT(CELL("address",O43), "\$([A-Z]+)\$[0-9]+"))</f>
        <v/>
      </c>
      <c r="P43" s="7" t="str">
        <f t="array" aca="1" ref="P43" ca="1">IFERROR(IF(OR('Raw Data'!P43="",LEN(TRIM('Raw Data'!P43))=0),"",IF(AND(ISNUMBER('Raw Data'!P43), IFERROR('Raw Data'!P43 = ROUND('Raw Data'!P43, 2),FALSE)),"",_xlfn.REGEXEXTRACT(CELL("address",P43), "\$([A-Z]+)\$[0-9]+"))),_xlfn.REGEXEXTRACT(CELL("address",P43), "\$([A-Z]+)\$[0-9]+"))</f>
        <v/>
      </c>
      <c r="Q43" s="7" t="str">
        <f t="array" aca="1" ref="Q43" ca="1">IFERROR(IF(OR('Raw Data'!Q43="",LEN(TRIM('Raw Data'!Q43))=0),"",IF(AND(ISNUMBER('Raw Data'!Q43), IFERROR('Raw Data'!Q43 = ROUND('Raw Data'!Q43, 2),FALSE)),"",_xlfn.REGEXEXTRACT(CELL("address",Q43), "\$([A-Z]+)\$[0-9]+"))),_xlfn.REGEXEXTRACT(CELL("address",Q43), "\$([A-Z]+)\$[0-9]+"))</f>
        <v/>
      </c>
      <c r="R43" s="7" t="str">
        <f t="array" aca="1" ref="R43" ca="1">IFERROR(IF(OR('Raw Data'!R43="",LEN(TRIM('Raw Data'!R43))=0),"",IF(AND(LEN('Raw Data'!R43) &lt;= 50,LEN('Raw Data'!R43)&gt; 0),"",_xlfn.REGEXEXTRACT(CELL("address",'Raw Data'!R43),"\$([A-Z]+)\$[0-9]+"))),_xlfn.REGEXEXTRACT(CELL("address",'Raw Data'!R43),"\$([A-Z]+)\$[0-9]+"))</f>
        <v/>
      </c>
      <c r="S43" s="7" t="str">
        <f t="array" aca="1" ref="S43" ca="1">IFERROR(IF(OR('Raw Data'!S43="",LEN(TRIM('Raw Data'!S43))=0),"",IF(AND(LEN('Raw Data'!S43) &lt;= 50,LEN('Raw Data'!S43)&gt; 0),"",_xlfn.REGEXEXTRACT(CELL("address",'Raw Data'!S43),"\$([A-Z]+)\$[0-9]+"))),_xlfn.REGEXEXTRACT(CELL("address",'Raw Data'!S43),"\$([A-Z]+)\$[0-9]+"))</f>
        <v/>
      </c>
      <c r="T43" s="7" t="str">
        <f t="array" aca="1" ref="T43" ca="1">IFERROR(IF(OR('Raw Data'!T43="",LEN(TRIM('Raw Data'!T43))=0),"",IF(AND(ISNUMBER('Raw Data'!T43), IFERROR('Raw Data'!T43 = ROUND('Raw Data'!T43, 2),FALSE)),"",_xlfn.REGEXEXTRACT(CELL("address",T43), "\$([A-Z]+)\$[0-9]+"))),_xlfn.REGEXEXTRACT(CELL("address",T43), "\$([A-Z]+)\$[0-9]+"))</f>
        <v/>
      </c>
      <c r="U43" s="7" t="str">
        <f t="array" aca="1" ref="U43" ca="1">IFERROR(IF(OR('Raw Data'!U43="",LEN(TRIM('Raw Data'!U43))=0),"",IF(AND(ISNUMBER('Raw Data'!U43), IFERROR('Raw Data'!U43 = ROUND('Raw Data'!U43, 2),FALSE)),"",_xlfn.REGEXEXTRACT(CELL("address",U43), "\$([A-Z]+)\$[0-9]+"))),_xlfn.REGEXEXTRACT(CELL("address",U43), "\$([A-Z]+)\$[0-9]+"))</f>
        <v/>
      </c>
      <c r="V43" s="7" t="str">
        <f t="array" aca="1" ref="V43" ca="1">IFERROR(IF(OR('Raw Data'!V43="",LEN(TRIM('Raw Data'!V43))=0),"",IF(AND(ISNUMBER('Raw Data'!V43), IFERROR('Raw Data'!V43 = ROUND('Raw Data'!V43, 2),FALSE)),"",_xlfn.REGEXEXTRACT(CELL("address",V43), "\$([A-Z]+)\$[0-9]+"))),_xlfn.REGEXEXTRACT(CELL("address",V43), "\$([A-Z]+)\$[0-9]+"))</f>
        <v/>
      </c>
      <c r="W43" s="7" t="str">
        <f t="array" aca="1" ref="W43" ca="1">IFERROR(IF(OR('Raw Data'!W43="",LEN(TRIM('Raw Data'!W43))=0),"",IF(AND(ISNUMBER('Raw Data'!W43), IFERROR('Raw Data'!W43 = ROUND('Raw Data'!W43, 2),FALSE)),"",_xlfn.REGEXEXTRACT(CELL("address",W43), "\$([A-Z]+)\$[0-9]+"))),_xlfn.REGEXEXTRACT(CELL("address",W43), "\$([A-Z]+)\$[0-9]+"))</f>
        <v/>
      </c>
      <c r="X43" s="7" t="str">
        <f t="array" aca="1" ref="X43" ca="1">IFERROR(IF(OR('Raw Data'!X43="",LEN(TRIM('Raw Data'!X43))=0),"",IF(AND(ISNUMBER('Raw Data'!X43), IFERROR('Raw Data'!X43 = ROUND('Raw Data'!X43, 2),FALSE)),"",_xlfn.REGEXEXTRACT(CELL("address",X43), "\$([A-Z]+)\$[0-9]+"))),_xlfn.REGEXEXTRACT(CELL("address",X43), "\$([A-Z]+)\$[0-9]+"))</f>
        <v/>
      </c>
      <c r="Y43" s="7" t="str">
        <f t="array" aca="1" ref="Y43" ca="1">IFERROR(IF(OR('Raw Data'!Y43="",LEN(TRIM('Raw Data'!Y43))=0),"",IF(AND(ISNUMBER('Raw Data'!Y43), IFERROR('Raw Data'!Y43 = ROUND('Raw Data'!Y43, 2),FALSE)),"",_xlfn.REGEXEXTRACT(CELL("address",Y43), "\$([A-Z]+)\$[0-9]+"))),_xlfn.REGEXEXTRACT(CELL("address",Y43), "\$([A-Z]+)\$[0-9]+"))</f>
        <v/>
      </c>
      <c r="Z43" s="7" t="str">
        <f t="array" aca="1" ref="Z43" ca="1">IFERROR(IF(OR('Raw Data'!Z43="",LEN(TRIM('Raw Data'!Z43))=0),"",IF(AND(ISNUMBER('Raw Data'!Z43), IFERROR('Raw Data'!Z43 = ROUND('Raw Data'!Z43, 2),FALSE)),"",_xlfn.REGEXEXTRACT(CELL("address",Z43), "\$([A-Z]+)\$[0-9]+"))),_xlfn.REGEXEXTRACT(CELL("address",Z43), "\$([A-Z]+)\$[0-9]+"))</f>
        <v/>
      </c>
      <c r="AA43" s="7" t="str">
        <f t="array" aca="1" ref="AA43" ca="1">IFERROR(IF(OR('Raw Data'!AA43="",LEN(TRIM('Raw Data'!AA43))=0),"",IF(AND(ISNUMBER('Raw Data'!AA43), IFERROR('Raw Data'!AA43 = ROUND('Raw Data'!AA43, 2),FALSE)),"",_xlfn.REGEXEXTRACT(CELL("address",AA43), "\$([A-Z]+)\$[0-9]+"))),_xlfn.REGEXEXTRACT(CELL("address",AA43), "\$([A-Z]+)\$[0-9]+"))</f>
        <v/>
      </c>
      <c r="AB43" s="7" t="str">
        <f t="array" aca="1" ref="AB43" ca="1">IFERROR(IF(OR('Raw Data'!AB43="",LEN(TRIM('Raw Data'!AB43))=0),"",IF(AND(ISNUMBER('Raw Data'!AB43), IFERROR('Raw Data'!AB43 = ROUND('Raw Data'!AB43, 2),FALSE)),"",_xlfn.REGEXEXTRACT(CELL("address",AB43), "\$([A-Z]+)\$[0-9]+"))),_xlfn.REGEXEXTRACT(CELL("address",AB43), "\$([A-Z]+)\$[0-9]+"))</f>
        <v/>
      </c>
      <c r="AC43" s="7" t="str">
        <f t="array" aca="1" ref="AC43" ca="1">IFERROR(IF(OR('Raw Data'!AC43="",LEN(TRIM('Raw Data'!AC43))=0),"",IF(AND(ISNUMBER('Raw Data'!AC43), IFERROR('Raw Data'!AC43 = ROUND('Raw Data'!AC43, 2),FALSE)),"",_xlfn.REGEXEXTRACT(CELL("address",AC43), "\$([A-Z]+)\$[0-9]+"))),_xlfn.REGEXEXTRACT(CELL("address",AC43), "\$([A-Z]+)\$[0-9]+"))</f>
        <v/>
      </c>
      <c r="AD43" s="7" t="str">
        <f t="array" aca="1" ref="AD43" ca="1">IFERROR(IF(OR('Raw Data'!AD43="",LEN(TRIM('Raw Data'!AD43))=0),"",IF(AND(ISNUMBER('Raw Data'!AD43), IFERROR('Raw Data'!AD43 = ROUND('Raw Data'!AD43, 2),FALSE)),"",_xlfn.REGEXEXTRACT(CELL("address",AD43), "\$([A-Z]+)\$[0-9]+"))),_xlfn.REGEXEXTRACT(CELL("address",AD43), "\$([A-Z]+)\$[0-9]+"))</f>
        <v/>
      </c>
      <c r="AE43" s="7" t="str">
        <f t="array" aca="1" ref="AE43" ca="1">IFERROR(IF(OR('Raw Data'!AE43="",LEN(TRIM('Raw Data'!AE43))=0),"",IF(AND(ISNUMBER('Raw Data'!AE43), IFERROR('Raw Data'!AE43 = ROUND('Raw Data'!AE43, 2),FALSE)),"",_xlfn.REGEXEXTRACT(CELL("address",AE43), "\$([A-Z]+)\$[0-9]+"))),_xlfn.REGEXEXTRACT(CELL("address",AE43), "\$([A-Z]+)\$[0-9]+"))</f>
        <v/>
      </c>
      <c r="AF43" s="7" t="str">
        <f t="array" aca="1" ref="AF43" ca="1">IFERROR(IF(OR('Raw Data'!AF43="",LEN(TRIM('Raw Data'!AF43))=0),"",IF(AND(ISNUMBER('Raw Data'!AF43), IFERROR('Raw Data'!AF43 = ROUND('Raw Data'!AF43, 2),FALSE)),"",_xlfn.REGEXEXTRACT(CELL("address",AF43), "\$([A-Z]+)\$[0-9]+"))),_xlfn.REGEXEXTRACT(CELL("address",AF43), "\$([A-Z]+)\$[0-9]+"))</f>
        <v/>
      </c>
      <c r="AG43" s="7" t="str">
        <f t="array" aca="1" ref="AG43" ca="1">IFERROR(IF(OR('Raw Data'!AG43="",LEN(TRIM('Raw Data'!AG43))=0),"",IF(AND(ISNUMBER('Raw Data'!AG43), IFERROR('Raw Data'!AG43 = ROUND('Raw Data'!AG43, 2),FALSE)),"",_xlfn.REGEXEXTRACT(CELL("address",AG43), "\$([A-Z]+)\$[0-9]+"))),_xlfn.REGEXEXTRACT(CELL("address",AG43), "\$([A-Z]+)\$[0-9]+"))</f>
        <v/>
      </c>
      <c r="AH43" s="7" t="str">
        <f t="array" aca="1" ref="AH43" ca="1">IFERROR(IF(OR('Raw Data'!AH43="",LEN(TRIM('Raw Data'!AH43))=0),"",IF(AND(ISNUMBER('Raw Data'!AH43), IFERROR('Raw Data'!AH43 = ROUND('Raw Data'!AH43, 2),FALSE)),"",_xlfn.REGEXEXTRACT(CELL("address",AH43), "\$([A-Z]+)\$[0-9]+"))),_xlfn.REGEXEXTRACT(CELL("address",AH43), "\$([A-Z]+)\$[0-9]+"))</f>
        <v/>
      </c>
      <c r="AI43" s="7" t="str">
        <f t="array" aca="1" ref="AI43" ca="1">IFERROR(IF(OR('Raw Data'!AI43="",LEN(TRIM('Raw Data'!AI43))=0),"",IF(AND(ISNUMBER('Raw Data'!AI43), IFERROR('Raw Data'!AI43 = ROUND('Raw Data'!AI43, 2),FALSE)),"",_xlfn.REGEXEXTRACT(CELL("address",AI43), "\$([A-Z]+)\$[0-9]+"))),_xlfn.REGEXEXTRACT(CELL("address",AI43), "\$([A-Z]+)\$[0-9]+"))</f>
        <v/>
      </c>
      <c r="AJ43" s="7" t="str">
        <f t="array" aca="1" ref="AJ43" ca="1">IFERROR(IF(OR('Raw Data'!AJ43="",LEN(TRIM('Raw Data'!AJ43))=0),"",IF(AND(ISNUMBER('Raw Data'!AJ43), IFERROR('Raw Data'!AJ43 = ROUND('Raw Data'!AJ43, 4),FALSE)),"",_xlfn.REGEXEXTRACT(CELL("address",AJ43), "\$([A-Z]+)\$[0-9]+"))),_xlfn.REGEXEXTRACT(CELL("address",AJ43), "\$([A-Z]+)\$[0-9]+"))</f>
        <v/>
      </c>
      <c r="AK43" s="7" t="str">
        <f t="array" aca="1" ref="AK43" ca="1">IFERROR(IF(OR('Raw Data'!AK43="",LEN(TRIM('Raw Data'!AK43))=0),"",IF(AND(ISNUMBER('Raw Data'!AK43), IFERROR('Raw Data'!AK43 = ROUND('Raw Data'!AK43, 2),FALSE)),"",_xlfn.REGEXEXTRACT(CELL("address",AK43), "\$([A-Z]+)\$[0-9]+"))),_xlfn.REGEXEXTRACT(CELL("address",AK43), "\$([A-Z]+)\$[0-9]+"))</f>
        <v/>
      </c>
      <c r="AL43" s="7" t="str">
        <f t="array" aca="1" ref="AL43" ca="1">IFERROR(IF(OR('Raw Data'!AL43="",LEN(TRIM('Raw Data'!AL43))=0),"",IF(AND(ISNUMBER('Raw Data'!AL43), IFERROR('Raw Data'!AL43 = ROUND('Raw Data'!AL43, 2),FALSE)),"",_xlfn.REGEXEXTRACT(CELL("address",AL43), "\$([A-Z]+)\$[0-9]+"))),_xlfn.REGEXEXTRACT(CELL("address",AL43), "\$([A-Z]+)\$[0-9]+"))</f>
        <v/>
      </c>
      <c r="AM43" s="7" t="str">
        <f t="array" aca="1" ref="AM43" ca="1">IFERROR(IF(OR('Raw Data'!AM43="",LEN(TRIM('Raw Data'!AM43))=0),"",IF(AND(ISNUMBER('Raw Data'!AM43), IFERROR('Raw Data'!AM43 = ROUND('Raw Data'!AM43, 2),FALSE)),"",_xlfn.REGEXEXTRACT(CELL("address",AM43), "\$([A-Z]+)\$[0-9]+"))),_xlfn.REGEXEXTRACT(CELL("address",AM43), "\$([A-Z]+)\$[0-9]+"))</f>
        <v/>
      </c>
      <c r="AN43" s="7" t="str">
        <f t="array" aca="1" ref="AN43" ca="1">IFERROR(IF(OR('Raw Data'!AN43="",LEN(TRIM('Raw Data'!AN43))=0),"",IF(AND(ISNUMBER('Raw Data'!AN43), IFERROR('Raw Data'!AN43 = ROUND('Raw Data'!AN43, 2),FALSE)),"",_xlfn.REGEXEXTRACT(CELL("address",AN43), "\$([A-Z]+)\$[0-9]+"))),_xlfn.REGEXEXTRACT(CELL("address",AN43), "\$([A-Z]+)\$[0-9]+"))</f>
        <v/>
      </c>
      <c r="AO43" s="7" t="str">
        <f t="array" aca="1" ref="AO43" ca="1">IFERROR(IF(OR('Raw Data'!AO43="",LEN(TRIM('Raw Data'!AO43))=0),"",IF(AND(ISNUMBER('Raw Data'!AO43), IFERROR('Raw Data'!AO43 = ROUND('Raw Data'!AO43, 2),FALSE)),"",_xlfn.REGEXEXTRACT(CELL("address",AO43), "\$([A-Z]+)\$[0-9]+"))),_xlfn.REGEXEXTRACT(CELL("address",AO43), "\$([A-Z]+)\$[0-9]+"))</f>
        <v/>
      </c>
      <c r="AP43" s="7" t="str">
        <f t="array" aca="1" ref="AP43" ca="1">IFERROR(IF(OR('Raw Data'!AP43="",LEN(TRIM('Raw Data'!AP43))=0),"",IF(AND(ISNUMBER('Raw Data'!AP43), IFERROR('Raw Data'!AP43 = ROUND('Raw Data'!AP43, 2),FALSE)),"",_xlfn.REGEXEXTRACT(CELL("address",AP43), "\$([A-Z]+)\$[0-9]+"))),_xlfn.REGEXEXTRACT(CELL("address",AP43), "\$([A-Z]+)\$[0-9]+"))</f>
        <v/>
      </c>
    </row>
    <row r="44" spans="2:42" x14ac:dyDescent="0.25">
      <c r="B44" s="7" t="str">
        <f t="array" aca="1" ref="B44" ca="1">IFERROR(IF(OR('Raw Data'!B44="",LEN(TRIM('Raw Data'!B44))=0),"",IF(AND(LEN('Raw Data'!B44) &lt;= 255,LEN('Raw Data'!B44)&gt; 0),"",_xlfn.REGEXEXTRACT(CELL("address",'Raw Data'!B44),"\$([A-Z]+)\$[0-9]+"))),_xlfn.REGEXEXTRACT(CELL("address",'Raw Data'!B44),"\$([A-Z]+)\$[0-9]+"))</f>
        <v/>
      </c>
      <c r="C44" s="7" t="str">
        <f t="array" aca="1" ref="C44" ca="1">IFERROR(IF(OR('Raw Data'!C44="",LEN(TRIM('Raw Data'!C44))=0),"",IF(AND(LEN('Raw Data'!C44) &lt;= 50,LEN('Raw Data'!C44)&gt; 0),"",_xlfn.REGEXEXTRACT(CELL("address",'Raw Data'!C44),"\$([A-Z]+)\$[0-9]+"))),_xlfn.REGEXEXTRACT(CELL("address",'Raw Data'!C44),"\$([A-Z]+)\$[0-9]+"))</f>
        <v/>
      </c>
      <c r="D44" s="7" t="str">
        <f t="array" aca="1" ref="D44" ca="1">IFERROR(IF(OR('Raw Data'!D44="",LEN(TRIM('Raw Data'!D44))=0),"",IF(AND(LEN('Raw Data'!D44) &lt;= 500,LEN('Raw Data'!D44)&gt; 0),"",_xlfn.REGEXEXTRACT(CELL("address",'Raw Data'!D44),"\$([A-Z]+)\$[0-9]+"))),_xlfn.REGEXEXTRACT(CELL("address",'Raw Data'!D44),"\$([A-Z]+)\$[0-9]+"))</f>
        <v/>
      </c>
      <c r="E44" s="7" t="str">
        <f t="array" aca="1" ref="E44" ca="1">IFERROR(IF(OR('Raw Data'!E44="",LEN(TRIM('Raw Data'!E44))=0),"",IF(AND(LEN('Raw Data'!E44) &lt;= 50,LEN('Raw Data'!E44)&gt; 0),"",_xlfn.REGEXEXTRACT(CELL("address",'Raw Data'!E44),"\$([A-Z]+)\$[0-9]+"))),_xlfn.REGEXEXTRACT(CELL("address",'Raw Data'!E44),"\$([A-Z]+)\$[0-9]+"))</f>
        <v/>
      </c>
      <c r="F44" s="7" t="str">
        <f t="array" aca="1" ref="F44" ca="1">IFERROR(IF(OR('Raw Data'!F44="",LEN(TRIM('Raw Data'!F44))=0),"",IF(AND(LEN('Raw Data'!F44) &lt;= 50,LEN('Raw Data'!F44)&gt; 0),"",_xlfn.REGEXEXTRACT(CELL("address",'Raw Data'!F44),"\$([A-Z]+)\$[0-9]+"))),_xlfn.REGEXEXTRACT(CELL("address",'Raw Data'!F44),"\$([A-Z]+)\$[0-9]+"))</f>
        <v/>
      </c>
      <c r="G44" s="7" t="str">
        <f t="array" aca="1" ref="G44" ca="1">IFERROR(IF(OR('Raw Data'!G44="",LEN(TRIM('Raw Data'!G44))=0),"",IF(AND(LEN('Raw Data'!G44) &lt;= 50,LEN('Raw Data'!G44)&gt; 0),"",_xlfn.REGEXEXTRACT(CELL("address",'Raw Data'!G44),"\$([A-Z]+)\$[0-9]+"))),_xlfn.REGEXEXTRACT(CELL("address",'Raw Data'!G44),"\$([A-Z]+)\$[0-9]+"))</f>
        <v/>
      </c>
      <c r="H44" s="7" t="str">
        <f t="array" aca="1" ref="H44" ca="1">IFERROR(IF(OR('Raw Data'!H44="",LEN(TRIM('Raw Data'!H44))=0),"",IF(AND(LEN('Raw Data'!H44) &lt;= 50,LEN('Raw Data'!H44)&gt; 0),"",_xlfn.REGEXEXTRACT(CELL("address",'Raw Data'!H44),"\$([A-Z]+)\$[0-9]+"))),_xlfn.REGEXEXTRACT(CELL("address",'Raw Data'!H44),"\$([A-Z]+)\$[0-9]+"))</f>
        <v/>
      </c>
      <c r="I44" s="7" t="str">
        <f t="array" aca="1" ref="I44" ca="1">IFERROR(IF(OR('Raw Data'!I44="",LEN(TRIM('Raw Data'!I44))=0),"",IF(AND(LEN('Raw Data'!I44) &lt;= 50,LEN('Raw Data'!I44)&gt; 0),"",_xlfn.REGEXEXTRACT(CELL("address",'Raw Data'!I44),"\$([A-Z]+)\$[0-9]+"))),_xlfn.REGEXEXTRACT(CELL("address",'Raw Data'!I44),"\$([A-Z]+)\$[0-9]+"))</f>
        <v/>
      </c>
      <c r="J44" s="7" t="str">
        <f t="array" aca="1" ref="J44" ca="1">IFERROR(IF(OR('Raw Data'!J44="",LEN(TRIM('Raw Data'!J44))=0),"",IF(AND(ISNUMBER('Raw Data'!J44), IFERROR('Raw Data'!J44 = ROUND('Raw Data'!J44, 2),FALSE)),"",_xlfn.REGEXEXTRACT(CELL("address",J44), "\$([A-Z]+)\$[0-9]+"))),_xlfn.REGEXEXTRACT(CELL("address",J44), "\$([A-Z]+)\$[0-9]+"))</f>
        <v/>
      </c>
      <c r="K44" s="7" t="str">
        <f t="array" aca="1" ref="K44" ca="1">IFERROR(IF(OR('Raw Data'!K44="",LEN(TRIM('Raw Data'!K44))=0),"",IF(AND(ISNUMBER('Raw Data'!K44), IFERROR('Raw Data'!K44 = ROUND('Raw Data'!K44, 2),FALSE)),"",_xlfn.REGEXEXTRACT(CELL("address",K44), "\$([A-Z]+)\$[0-9]+"))),_xlfn.REGEXEXTRACT(CELL("address",K44), "\$([A-Z]+)\$[0-9]+"))</f>
        <v/>
      </c>
      <c r="L44" s="7" t="str">
        <f t="array" aca="1" ref="L44" ca="1">IFERROR(IF(OR('Raw Data'!L44="",LEN(TRIM('Raw Data'!L44))=0),"",IF(AND(ISNUMBER('Raw Data'!L44), IFERROR('Raw Data'!L44 = ROUND('Raw Data'!L44, 2),FALSE)),"",_xlfn.REGEXEXTRACT(CELL("address",L44), "\$([A-Z]+)\$[0-9]+"))),_xlfn.REGEXEXTRACT(CELL("address",L44), "\$([A-Z]+)\$[0-9]+"))</f>
        <v/>
      </c>
      <c r="M44" s="7" t="str">
        <f t="array" aca="1" ref="M44" ca="1">IFERROR(IF(OR('Raw Data'!M44="",LEN(TRIM('Raw Data'!M44))=0),"",IF(AND(ISNUMBER('Raw Data'!M44), IFERROR('Raw Data'!M44 = ROUND('Raw Data'!M44, 2),FALSE)),"",_xlfn.REGEXEXTRACT(CELL("address",M44), "\$([A-Z]+)\$[0-9]+"))),_xlfn.REGEXEXTRACT(CELL("address",M44), "\$([A-Z]+)\$[0-9]+"))</f>
        <v/>
      </c>
      <c r="N44" s="7" t="str">
        <f t="array" aca="1" ref="N44" ca="1">IFERROR(IF(OR('Raw Data'!N44="",LEN(TRIM('Raw Data'!N44))=0),"",IF(AND(ISNUMBER('Raw Data'!N44), IFERROR('Raw Data'!N44 = ROUND('Raw Data'!N44, 2),FALSE)),"",_xlfn.REGEXEXTRACT(CELL("address",N44), "\$([A-Z]+)\$[0-9]+"))),_xlfn.REGEXEXTRACT(CELL("address",N44), "\$([A-Z]+)\$[0-9]+"))</f>
        <v/>
      </c>
      <c r="O44" s="7" t="str">
        <f t="array" aca="1" ref="O44" ca="1">IFERROR(IF(OR('Raw Data'!O44="",LEN(TRIM('Raw Data'!O44))=0),"",IF(AND(ISNUMBER('Raw Data'!O44),'Raw Data'!O44&gt;=Configuration!$D$2),"",_xlfn.REGEXEXTRACT(CELL("address",'Raw Data'!O44),"\$([A-Z]+)\$[0-9]+"))),_xlfn.REGEXEXTRACT(CELL("address",O44), "\$([A-Z]+)\$[0-9]+"))</f>
        <v/>
      </c>
      <c r="P44" s="7" t="str">
        <f t="array" aca="1" ref="P44" ca="1">IFERROR(IF(OR('Raw Data'!P44="",LEN(TRIM('Raw Data'!P44))=0),"",IF(AND(ISNUMBER('Raw Data'!P44), IFERROR('Raw Data'!P44 = ROUND('Raw Data'!P44, 2),FALSE)),"",_xlfn.REGEXEXTRACT(CELL("address",P44), "\$([A-Z]+)\$[0-9]+"))),_xlfn.REGEXEXTRACT(CELL("address",P44), "\$([A-Z]+)\$[0-9]+"))</f>
        <v/>
      </c>
      <c r="Q44" s="7" t="str">
        <f t="array" aca="1" ref="Q44" ca="1">IFERROR(IF(OR('Raw Data'!Q44="",LEN(TRIM('Raw Data'!Q44))=0),"",IF(AND(ISNUMBER('Raw Data'!Q44), IFERROR('Raw Data'!Q44 = ROUND('Raw Data'!Q44, 2),FALSE)),"",_xlfn.REGEXEXTRACT(CELL("address",Q44), "\$([A-Z]+)\$[0-9]+"))),_xlfn.REGEXEXTRACT(CELL("address",Q44), "\$([A-Z]+)\$[0-9]+"))</f>
        <v/>
      </c>
      <c r="R44" s="7" t="str">
        <f t="array" aca="1" ref="R44" ca="1">IFERROR(IF(OR('Raw Data'!R44="",LEN(TRIM('Raw Data'!R44))=0),"",IF(AND(LEN('Raw Data'!R44) &lt;= 50,LEN('Raw Data'!R44)&gt; 0),"",_xlfn.REGEXEXTRACT(CELL("address",'Raw Data'!R44),"\$([A-Z]+)\$[0-9]+"))),_xlfn.REGEXEXTRACT(CELL("address",'Raw Data'!R44),"\$([A-Z]+)\$[0-9]+"))</f>
        <v/>
      </c>
      <c r="S44" s="7" t="str">
        <f t="array" aca="1" ref="S44" ca="1">IFERROR(IF(OR('Raw Data'!S44="",LEN(TRIM('Raw Data'!S44))=0),"",IF(AND(LEN('Raw Data'!S44) &lt;= 50,LEN('Raw Data'!S44)&gt; 0),"",_xlfn.REGEXEXTRACT(CELL("address",'Raw Data'!S44),"\$([A-Z]+)\$[0-9]+"))),_xlfn.REGEXEXTRACT(CELL("address",'Raw Data'!S44),"\$([A-Z]+)\$[0-9]+"))</f>
        <v/>
      </c>
      <c r="T44" s="7" t="str">
        <f t="array" aca="1" ref="T44" ca="1">IFERROR(IF(OR('Raw Data'!T44="",LEN(TRIM('Raw Data'!T44))=0),"",IF(AND(ISNUMBER('Raw Data'!T44), IFERROR('Raw Data'!T44 = ROUND('Raw Data'!T44, 2),FALSE)),"",_xlfn.REGEXEXTRACT(CELL("address",T44), "\$([A-Z]+)\$[0-9]+"))),_xlfn.REGEXEXTRACT(CELL("address",T44), "\$([A-Z]+)\$[0-9]+"))</f>
        <v/>
      </c>
      <c r="U44" s="7" t="str">
        <f t="array" aca="1" ref="U44" ca="1">IFERROR(IF(OR('Raw Data'!U44="",LEN(TRIM('Raw Data'!U44))=0),"",IF(AND(ISNUMBER('Raw Data'!U44), IFERROR('Raw Data'!U44 = ROUND('Raw Data'!U44, 2),FALSE)),"",_xlfn.REGEXEXTRACT(CELL("address",U44), "\$([A-Z]+)\$[0-9]+"))),_xlfn.REGEXEXTRACT(CELL("address",U44), "\$([A-Z]+)\$[0-9]+"))</f>
        <v/>
      </c>
      <c r="V44" s="7" t="str">
        <f t="array" aca="1" ref="V44" ca="1">IFERROR(IF(OR('Raw Data'!V44="",LEN(TRIM('Raw Data'!V44))=0),"",IF(AND(ISNUMBER('Raw Data'!V44), IFERROR('Raw Data'!V44 = ROUND('Raw Data'!V44, 2),FALSE)),"",_xlfn.REGEXEXTRACT(CELL("address",V44), "\$([A-Z]+)\$[0-9]+"))),_xlfn.REGEXEXTRACT(CELL("address",V44), "\$([A-Z]+)\$[0-9]+"))</f>
        <v/>
      </c>
      <c r="W44" s="7" t="str">
        <f t="array" aca="1" ref="W44" ca="1">IFERROR(IF(OR('Raw Data'!W44="",LEN(TRIM('Raw Data'!W44))=0),"",IF(AND(ISNUMBER('Raw Data'!W44), IFERROR('Raw Data'!W44 = ROUND('Raw Data'!W44, 2),FALSE)),"",_xlfn.REGEXEXTRACT(CELL("address",W44), "\$([A-Z]+)\$[0-9]+"))),_xlfn.REGEXEXTRACT(CELL("address",W44), "\$([A-Z]+)\$[0-9]+"))</f>
        <v/>
      </c>
      <c r="X44" s="7" t="str">
        <f t="array" aca="1" ref="X44" ca="1">IFERROR(IF(OR('Raw Data'!X44="",LEN(TRIM('Raw Data'!X44))=0),"",IF(AND(ISNUMBER('Raw Data'!X44), IFERROR('Raw Data'!X44 = ROUND('Raw Data'!X44, 2),FALSE)),"",_xlfn.REGEXEXTRACT(CELL("address",X44), "\$([A-Z]+)\$[0-9]+"))),_xlfn.REGEXEXTRACT(CELL("address",X44), "\$([A-Z]+)\$[0-9]+"))</f>
        <v/>
      </c>
      <c r="Y44" s="7" t="str">
        <f t="array" aca="1" ref="Y44" ca="1">IFERROR(IF(OR('Raw Data'!Y44="",LEN(TRIM('Raw Data'!Y44))=0),"",IF(AND(ISNUMBER('Raw Data'!Y44), IFERROR('Raw Data'!Y44 = ROUND('Raw Data'!Y44, 2),FALSE)),"",_xlfn.REGEXEXTRACT(CELL("address",Y44), "\$([A-Z]+)\$[0-9]+"))),_xlfn.REGEXEXTRACT(CELL("address",Y44), "\$([A-Z]+)\$[0-9]+"))</f>
        <v/>
      </c>
      <c r="Z44" s="7" t="str">
        <f t="array" aca="1" ref="Z44" ca="1">IFERROR(IF(OR('Raw Data'!Z44="",LEN(TRIM('Raw Data'!Z44))=0),"",IF(AND(ISNUMBER('Raw Data'!Z44), IFERROR('Raw Data'!Z44 = ROUND('Raw Data'!Z44, 2),FALSE)),"",_xlfn.REGEXEXTRACT(CELL("address",Z44), "\$([A-Z]+)\$[0-9]+"))),_xlfn.REGEXEXTRACT(CELL("address",Z44), "\$([A-Z]+)\$[0-9]+"))</f>
        <v/>
      </c>
      <c r="AA44" s="7" t="str">
        <f t="array" aca="1" ref="AA44" ca="1">IFERROR(IF(OR('Raw Data'!AA44="",LEN(TRIM('Raw Data'!AA44))=0),"",IF(AND(ISNUMBER('Raw Data'!AA44), IFERROR('Raw Data'!AA44 = ROUND('Raw Data'!AA44, 2),FALSE)),"",_xlfn.REGEXEXTRACT(CELL("address",AA44), "\$([A-Z]+)\$[0-9]+"))),_xlfn.REGEXEXTRACT(CELL("address",AA44), "\$([A-Z]+)\$[0-9]+"))</f>
        <v/>
      </c>
      <c r="AB44" s="7" t="str">
        <f t="array" aca="1" ref="AB44" ca="1">IFERROR(IF(OR('Raw Data'!AB44="",LEN(TRIM('Raw Data'!AB44))=0),"",IF(AND(ISNUMBER('Raw Data'!AB44), IFERROR('Raw Data'!AB44 = ROUND('Raw Data'!AB44, 2),FALSE)),"",_xlfn.REGEXEXTRACT(CELL("address",AB44), "\$([A-Z]+)\$[0-9]+"))),_xlfn.REGEXEXTRACT(CELL("address",AB44), "\$([A-Z]+)\$[0-9]+"))</f>
        <v/>
      </c>
      <c r="AC44" s="7" t="str">
        <f t="array" aca="1" ref="AC44" ca="1">IFERROR(IF(OR('Raw Data'!AC44="",LEN(TRIM('Raw Data'!AC44))=0),"",IF(AND(ISNUMBER('Raw Data'!AC44), IFERROR('Raw Data'!AC44 = ROUND('Raw Data'!AC44, 2),FALSE)),"",_xlfn.REGEXEXTRACT(CELL("address",AC44), "\$([A-Z]+)\$[0-9]+"))),_xlfn.REGEXEXTRACT(CELL("address",AC44), "\$([A-Z]+)\$[0-9]+"))</f>
        <v/>
      </c>
      <c r="AD44" s="7" t="str">
        <f t="array" aca="1" ref="AD44" ca="1">IFERROR(IF(OR('Raw Data'!AD44="",LEN(TRIM('Raw Data'!AD44))=0),"",IF(AND(ISNUMBER('Raw Data'!AD44), IFERROR('Raw Data'!AD44 = ROUND('Raw Data'!AD44, 2),FALSE)),"",_xlfn.REGEXEXTRACT(CELL("address",AD44), "\$([A-Z]+)\$[0-9]+"))),_xlfn.REGEXEXTRACT(CELL("address",AD44), "\$([A-Z]+)\$[0-9]+"))</f>
        <v/>
      </c>
      <c r="AE44" s="7" t="str">
        <f t="array" aca="1" ref="AE44" ca="1">IFERROR(IF(OR('Raw Data'!AE44="",LEN(TRIM('Raw Data'!AE44))=0),"",IF(AND(ISNUMBER('Raw Data'!AE44), IFERROR('Raw Data'!AE44 = ROUND('Raw Data'!AE44, 2),FALSE)),"",_xlfn.REGEXEXTRACT(CELL("address",AE44), "\$([A-Z]+)\$[0-9]+"))),_xlfn.REGEXEXTRACT(CELL("address",AE44), "\$([A-Z]+)\$[0-9]+"))</f>
        <v/>
      </c>
      <c r="AF44" s="7" t="str">
        <f t="array" aca="1" ref="AF44" ca="1">IFERROR(IF(OR('Raw Data'!AF44="",LEN(TRIM('Raw Data'!AF44))=0),"",IF(AND(ISNUMBER('Raw Data'!AF44), IFERROR('Raw Data'!AF44 = ROUND('Raw Data'!AF44, 2),FALSE)),"",_xlfn.REGEXEXTRACT(CELL("address",AF44), "\$([A-Z]+)\$[0-9]+"))),_xlfn.REGEXEXTRACT(CELL("address",AF44), "\$([A-Z]+)\$[0-9]+"))</f>
        <v/>
      </c>
      <c r="AG44" s="7" t="str">
        <f t="array" aca="1" ref="AG44" ca="1">IFERROR(IF(OR('Raw Data'!AG44="",LEN(TRIM('Raw Data'!AG44))=0),"",IF(AND(ISNUMBER('Raw Data'!AG44), IFERROR('Raw Data'!AG44 = ROUND('Raw Data'!AG44, 2),FALSE)),"",_xlfn.REGEXEXTRACT(CELL("address",AG44), "\$([A-Z]+)\$[0-9]+"))),_xlfn.REGEXEXTRACT(CELL("address",AG44), "\$([A-Z]+)\$[0-9]+"))</f>
        <v/>
      </c>
      <c r="AH44" s="7" t="str">
        <f t="array" aca="1" ref="AH44" ca="1">IFERROR(IF(OR('Raw Data'!AH44="",LEN(TRIM('Raw Data'!AH44))=0),"",IF(AND(ISNUMBER('Raw Data'!AH44), IFERROR('Raw Data'!AH44 = ROUND('Raw Data'!AH44, 2),FALSE)),"",_xlfn.REGEXEXTRACT(CELL("address",AH44), "\$([A-Z]+)\$[0-9]+"))),_xlfn.REGEXEXTRACT(CELL("address",AH44), "\$([A-Z]+)\$[0-9]+"))</f>
        <v/>
      </c>
      <c r="AI44" s="7" t="str">
        <f t="array" aca="1" ref="AI44" ca="1">IFERROR(IF(OR('Raw Data'!AI44="",LEN(TRIM('Raw Data'!AI44))=0),"",IF(AND(ISNUMBER('Raw Data'!AI44), IFERROR('Raw Data'!AI44 = ROUND('Raw Data'!AI44, 2),FALSE)),"",_xlfn.REGEXEXTRACT(CELL("address",AI44), "\$([A-Z]+)\$[0-9]+"))),_xlfn.REGEXEXTRACT(CELL("address",AI44), "\$([A-Z]+)\$[0-9]+"))</f>
        <v/>
      </c>
      <c r="AJ44" s="7" t="str">
        <f t="array" aca="1" ref="AJ44" ca="1">IFERROR(IF(OR('Raw Data'!AJ44="",LEN(TRIM('Raw Data'!AJ44))=0),"",IF(AND(ISNUMBER('Raw Data'!AJ44), IFERROR('Raw Data'!AJ44 = ROUND('Raw Data'!AJ44, 4),FALSE)),"",_xlfn.REGEXEXTRACT(CELL("address",AJ44), "\$([A-Z]+)\$[0-9]+"))),_xlfn.REGEXEXTRACT(CELL("address",AJ44), "\$([A-Z]+)\$[0-9]+"))</f>
        <v/>
      </c>
      <c r="AK44" s="7" t="str">
        <f t="array" aca="1" ref="AK44" ca="1">IFERROR(IF(OR('Raw Data'!AK44="",LEN(TRIM('Raw Data'!AK44))=0),"",IF(AND(ISNUMBER('Raw Data'!AK44), IFERROR('Raw Data'!AK44 = ROUND('Raw Data'!AK44, 2),FALSE)),"",_xlfn.REGEXEXTRACT(CELL("address",AK44), "\$([A-Z]+)\$[0-9]+"))),_xlfn.REGEXEXTRACT(CELL("address",AK44), "\$([A-Z]+)\$[0-9]+"))</f>
        <v/>
      </c>
      <c r="AL44" s="7" t="str">
        <f t="array" aca="1" ref="AL44" ca="1">IFERROR(IF(OR('Raw Data'!AL44="",LEN(TRIM('Raw Data'!AL44))=0),"",IF(AND(ISNUMBER('Raw Data'!AL44), IFERROR('Raw Data'!AL44 = ROUND('Raw Data'!AL44, 2),FALSE)),"",_xlfn.REGEXEXTRACT(CELL("address",AL44), "\$([A-Z]+)\$[0-9]+"))),_xlfn.REGEXEXTRACT(CELL("address",AL44), "\$([A-Z]+)\$[0-9]+"))</f>
        <v/>
      </c>
      <c r="AM44" s="7" t="str">
        <f t="array" aca="1" ref="AM44" ca="1">IFERROR(IF(OR('Raw Data'!AM44="",LEN(TRIM('Raw Data'!AM44))=0),"",IF(AND(ISNUMBER('Raw Data'!AM44), IFERROR('Raw Data'!AM44 = ROUND('Raw Data'!AM44, 2),FALSE)),"",_xlfn.REGEXEXTRACT(CELL("address",AM44), "\$([A-Z]+)\$[0-9]+"))),_xlfn.REGEXEXTRACT(CELL("address",AM44), "\$([A-Z]+)\$[0-9]+"))</f>
        <v/>
      </c>
      <c r="AN44" s="7" t="str">
        <f t="array" aca="1" ref="AN44" ca="1">IFERROR(IF(OR('Raw Data'!AN44="",LEN(TRIM('Raw Data'!AN44))=0),"",IF(AND(ISNUMBER('Raw Data'!AN44), IFERROR('Raw Data'!AN44 = ROUND('Raw Data'!AN44, 2),FALSE)),"",_xlfn.REGEXEXTRACT(CELL("address",AN44), "\$([A-Z]+)\$[0-9]+"))),_xlfn.REGEXEXTRACT(CELL("address",AN44), "\$([A-Z]+)\$[0-9]+"))</f>
        <v/>
      </c>
      <c r="AO44" s="7" t="str">
        <f t="array" aca="1" ref="AO44" ca="1">IFERROR(IF(OR('Raw Data'!AO44="",LEN(TRIM('Raw Data'!AO44))=0),"",IF(AND(ISNUMBER('Raw Data'!AO44), IFERROR('Raw Data'!AO44 = ROUND('Raw Data'!AO44, 2),FALSE)),"",_xlfn.REGEXEXTRACT(CELL("address",AO44), "\$([A-Z]+)\$[0-9]+"))),_xlfn.REGEXEXTRACT(CELL("address",AO44), "\$([A-Z]+)\$[0-9]+"))</f>
        <v/>
      </c>
      <c r="AP44" s="7" t="str">
        <f t="array" aca="1" ref="AP44" ca="1">IFERROR(IF(OR('Raw Data'!AP44="",LEN(TRIM('Raw Data'!AP44))=0),"",IF(AND(ISNUMBER('Raw Data'!AP44), IFERROR('Raw Data'!AP44 = ROUND('Raw Data'!AP44, 2),FALSE)),"",_xlfn.REGEXEXTRACT(CELL("address",AP44), "\$([A-Z]+)\$[0-9]+"))),_xlfn.REGEXEXTRACT(CELL("address",AP44), "\$([A-Z]+)\$[0-9]+"))</f>
        <v/>
      </c>
    </row>
    <row r="45" spans="2:42" x14ac:dyDescent="0.25">
      <c r="B45" s="7" t="str">
        <f t="array" aca="1" ref="B45" ca="1">IFERROR(IF(OR('Raw Data'!B45="",LEN(TRIM('Raw Data'!B45))=0),"",IF(AND(LEN('Raw Data'!B45) &lt;= 255,LEN('Raw Data'!B45)&gt; 0),"",_xlfn.REGEXEXTRACT(CELL("address",'Raw Data'!B45),"\$([A-Z]+)\$[0-9]+"))),_xlfn.REGEXEXTRACT(CELL("address",'Raw Data'!B45),"\$([A-Z]+)\$[0-9]+"))</f>
        <v/>
      </c>
      <c r="C45" s="7" t="str">
        <f t="array" aca="1" ref="C45" ca="1">IFERROR(IF(OR('Raw Data'!C45="",LEN(TRIM('Raw Data'!C45))=0),"",IF(AND(LEN('Raw Data'!C45) &lt;= 50,LEN('Raw Data'!C45)&gt; 0),"",_xlfn.REGEXEXTRACT(CELL("address",'Raw Data'!C45),"\$([A-Z]+)\$[0-9]+"))),_xlfn.REGEXEXTRACT(CELL("address",'Raw Data'!C45),"\$([A-Z]+)\$[0-9]+"))</f>
        <v/>
      </c>
      <c r="D45" s="7" t="str">
        <f t="array" aca="1" ref="D45" ca="1">IFERROR(IF(OR('Raw Data'!D45="",LEN(TRIM('Raw Data'!D45))=0),"",IF(AND(LEN('Raw Data'!D45) &lt;= 500,LEN('Raw Data'!D45)&gt; 0),"",_xlfn.REGEXEXTRACT(CELL("address",'Raw Data'!D45),"\$([A-Z]+)\$[0-9]+"))),_xlfn.REGEXEXTRACT(CELL("address",'Raw Data'!D45),"\$([A-Z]+)\$[0-9]+"))</f>
        <v/>
      </c>
      <c r="E45" s="7" t="str">
        <f t="array" aca="1" ref="E45" ca="1">IFERROR(IF(OR('Raw Data'!E45="",LEN(TRIM('Raw Data'!E45))=0),"",IF(AND(LEN('Raw Data'!E45) &lt;= 50,LEN('Raw Data'!E45)&gt; 0),"",_xlfn.REGEXEXTRACT(CELL("address",'Raw Data'!E45),"\$([A-Z]+)\$[0-9]+"))),_xlfn.REGEXEXTRACT(CELL("address",'Raw Data'!E45),"\$([A-Z]+)\$[0-9]+"))</f>
        <v/>
      </c>
      <c r="F45" s="7" t="str">
        <f t="array" aca="1" ref="F45" ca="1">IFERROR(IF(OR('Raw Data'!F45="",LEN(TRIM('Raw Data'!F45))=0),"",IF(AND(LEN('Raw Data'!F45) &lt;= 50,LEN('Raw Data'!F45)&gt; 0),"",_xlfn.REGEXEXTRACT(CELL("address",'Raw Data'!F45),"\$([A-Z]+)\$[0-9]+"))),_xlfn.REGEXEXTRACT(CELL("address",'Raw Data'!F45),"\$([A-Z]+)\$[0-9]+"))</f>
        <v/>
      </c>
      <c r="G45" s="7" t="str">
        <f t="array" aca="1" ref="G45" ca="1">IFERROR(IF(OR('Raw Data'!G45="",LEN(TRIM('Raw Data'!G45))=0),"",IF(AND(LEN('Raw Data'!G45) &lt;= 50,LEN('Raw Data'!G45)&gt; 0),"",_xlfn.REGEXEXTRACT(CELL("address",'Raw Data'!G45),"\$([A-Z]+)\$[0-9]+"))),_xlfn.REGEXEXTRACT(CELL("address",'Raw Data'!G45),"\$([A-Z]+)\$[0-9]+"))</f>
        <v/>
      </c>
      <c r="H45" s="7" t="str">
        <f t="array" aca="1" ref="H45" ca="1">IFERROR(IF(OR('Raw Data'!H45="",LEN(TRIM('Raw Data'!H45))=0),"",IF(AND(LEN('Raw Data'!H45) &lt;= 50,LEN('Raw Data'!H45)&gt; 0),"",_xlfn.REGEXEXTRACT(CELL("address",'Raw Data'!H45),"\$([A-Z]+)\$[0-9]+"))),_xlfn.REGEXEXTRACT(CELL("address",'Raw Data'!H45),"\$([A-Z]+)\$[0-9]+"))</f>
        <v/>
      </c>
      <c r="I45" s="7" t="str">
        <f t="array" aca="1" ref="I45" ca="1">IFERROR(IF(OR('Raw Data'!I45="",LEN(TRIM('Raw Data'!I45))=0),"",IF(AND(LEN('Raw Data'!I45) &lt;= 50,LEN('Raw Data'!I45)&gt; 0),"",_xlfn.REGEXEXTRACT(CELL("address",'Raw Data'!I45),"\$([A-Z]+)\$[0-9]+"))),_xlfn.REGEXEXTRACT(CELL("address",'Raw Data'!I45),"\$([A-Z]+)\$[0-9]+"))</f>
        <v/>
      </c>
      <c r="J45" s="7" t="str">
        <f t="array" aca="1" ref="J45" ca="1">IFERROR(IF(OR('Raw Data'!J45="",LEN(TRIM('Raw Data'!J45))=0),"",IF(AND(ISNUMBER('Raw Data'!J45), IFERROR('Raw Data'!J45 = ROUND('Raw Data'!J45, 2),FALSE)),"",_xlfn.REGEXEXTRACT(CELL("address",J45), "\$([A-Z]+)\$[0-9]+"))),_xlfn.REGEXEXTRACT(CELL("address",J45), "\$([A-Z]+)\$[0-9]+"))</f>
        <v/>
      </c>
      <c r="K45" s="7" t="str">
        <f t="array" aca="1" ref="K45" ca="1">IFERROR(IF(OR('Raw Data'!K45="",LEN(TRIM('Raw Data'!K45))=0),"",IF(AND(ISNUMBER('Raw Data'!K45), IFERROR('Raw Data'!K45 = ROUND('Raw Data'!K45, 2),FALSE)),"",_xlfn.REGEXEXTRACT(CELL("address",K45), "\$([A-Z]+)\$[0-9]+"))),_xlfn.REGEXEXTRACT(CELL("address",K45), "\$([A-Z]+)\$[0-9]+"))</f>
        <v/>
      </c>
      <c r="L45" s="7" t="str">
        <f t="array" aca="1" ref="L45" ca="1">IFERROR(IF(OR('Raw Data'!L45="",LEN(TRIM('Raw Data'!L45))=0),"",IF(AND(ISNUMBER('Raw Data'!L45), IFERROR('Raw Data'!L45 = ROUND('Raw Data'!L45, 2),FALSE)),"",_xlfn.REGEXEXTRACT(CELL("address",L45), "\$([A-Z]+)\$[0-9]+"))),_xlfn.REGEXEXTRACT(CELL("address",L45), "\$([A-Z]+)\$[0-9]+"))</f>
        <v/>
      </c>
      <c r="M45" s="7" t="str">
        <f t="array" aca="1" ref="M45" ca="1">IFERROR(IF(OR('Raw Data'!M45="",LEN(TRIM('Raw Data'!M45))=0),"",IF(AND(ISNUMBER('Raw Data'!M45), IFERROR('Raw Data'!M45 = ROUND('Raw Data'!M45, 2),FALSE)),"",_xlfn.REGEXEXTRACT(CELL("address",M45), "\$([A-Z]+)\$[0-9]+"))),_xlfn.REGEXEXTRACT(CELL("address",M45), "\$([A-Z]+)\$[0-9]+"))</f>
        <v/>
      </c>
      <c r="N45" s="7" t="str">
        <f t="array" aca="1" ref="N45" ca="1">IFERROR(IF(OR('Raw Data'!N45="",LEN(TRIM('Raw Data'!N45))=0),"",IF(AND(ISNUMBER('Raw Data'!N45), IFERROR('Raw Data'!N45 = ROUND('Raw Data'!N45, 2),FALSE)),"",_xlfn.REGEXEXTRACT(CELL("address",N45), "\$([A-Z]+)\$[0-9]+"))),_xlfn.REGEXEXTRACT(CELL("address",N45), "\$([A-Z]+)\$[0-9]+"))</f>
        <v/>
      </c>
      <c r="O45" s="7" t="str">
        <f t="array" aca="1" ref="O45" ca="1">IFERROR(IF(OR('Raw Data'!O45="",LEN(TRIM('Raw Data'!O45))=0),"",IF(AND(ISNUMBER('Raw Data'!O45),'Raw Data'!O45&gt;=Configuration!$D$2),"",_xlfn.REGEXEXTRACT(CELL("address",'Raw Data'!O45),"\$([A-Z]+)\$[0-9]+"))),_xlfn.REGEXEXTRACT(CELL("address",O45), "\$([A-Z]+)\$[0-9]+"))</f>
        <v/>
      </c>
      <c r="P45" s="7" t="str">
        <f t="array" aca="1" ref="P45" ca="1">IFERROR(IF(OR('Raw Data'!P45="",LEN(TRIM('Raw Data'!P45))=0),"",IF(AND(ISNUMBER('Raw Data'!P45), IFERROR('Raw Data'!P45 = ROUND('Raw Data'!P45, 2),FALSE)),"",_xlfn.REGEXEXTRACT(CELL("address",P45), "\$([A-Z]+)\$[0-9]+"))),_xlfn.REGEXEXTRACT(CELL("address",P45), "\$([A-Z]+)\$[0-9]+"))</f>
        <v/>
      </c>
      <c r="Q45" s="7" t="str">
        <f t="array" aca="1" ref="Q45" ca="1">IFERROR(IF(OR('Raw Data'!Q45="",LEN(TRIM('Raw Data'!Q45))=0),"",IF(AND(ISNUMBER('Raw Data'!Q45), IFERROR('Raw Data'!Q45 = ROUND('Raw Data'!Q45, 2),FALSE)),"",_xlfn.REGEXEXTRACT(CELL("address",Q45), "\$([A-Z]+)\$[0-9]+"))),_xlfn.REGEXEXTRACT(CELL("address",Q45), "\$([A-Z]+)\$[0-9]+"))</f>
        <v/>
      </c>
      <c r="R45" s="7" t="str">
        <f t="array" aca="1" ref="R45" ca="1">IFERROR(IF(OR('Raw Data'!R45="",LEN(TRIM('Raw Data'!R45))=0),"",IF(AND(LEN('Raw Data'!R45) &lt;= 50,LEN('Raw Data'!R45)&gt; 0),"",_xlfn.REGEXEXTRACT(CELL("address",'Raw Data'!R45),"\$([A-Z]+)\$[0-9]+"))),_xlfn.REGEXEXTRACT(CELL("address",'Raw Data'!R45),"\$([A-Z]+)\$[0-9]+"))</f>
        <v/>
      </c>
      <c r="S45" s="7" t="str">
        <f t="array" aca="1" ref="S45" ca="1">IFERROR(IF(OR('Raw Data'!S45="",LEN(TRIM('Raw Data'!S45))=0),"",IF(AND(LEN('Raw Data'!S45) &lt;= 50,LEN('Raw Data'!S45)&gt; 0),"",_xlfn.REGEXEXTRACT(CELL("address",'Raw Data'!S45),"\$([A-Z]+)\$[0-9]+"))),_xlfn.REGEXEXTRACT(CELL("address",'Raw Data'!S45),"\$([A-Z]+)\$[0-9]+"))</f>
        <v/>
      </c>
      <c r="T45" s="7" t="str">
        <f t="array" aca="1" ref="T45" ca="1">IFERROR(IF(OR('Raw Data'!T45="",LEN(TRIM('Raw Data'!T45))=0),"",IF(AND(ISNUMBER('Raw Data'!T45), IFERROR('Raw Data'!T45 = ROUND('Raw Data'!T45, 2),FALSE)),"",_xlfn.REGEXEXTRACT(CELL("address",T45), "\$([A-Z]+)\$[0-9]+"))),_xlfn.REGEXEXTRACT(CELL("address",T45), "\$([A-Z]+)\$[0-9]+"))</f>
        <v/>
      </c>
      <c r="U45" s="7" t="str">
        <f t="array" aca="1" ref="U45" ca="1">IFERROR(IF(OR('Raw Data'!U45="",LEN(TRIM('Raw Data'!U45))=0),"",IF(AND(ISNUMBER('Raw Data'!U45), IFERROR('Raw Data'!U45 = ROUND('Raw Data'!U45, 2),FALSE)),"",_xlfn.REGEXEXTRACT(CELL("address",U45), "\$([A-Z]+)\$[0-9]+"))),_xlfn.REGEXEXTRACT(CELL("address",U45), "\$([A-Z]+)\$[0-9]+"))</f>
        <v/>
      </c>
      <c r="V45" s="7" t="str">
        <f t="array" aca="1" ref="V45" ca="1">IFERROR(IF(OR('Raw Data'!V45="",LEN(TRIM('Raw Data'!V45))=0),"",IF(AND(ISNUMBER('Raw Data'!V45), IFERROR('Raw Data'!V45 = ROUND('Raw Data'!V45, 2),FALSE)),"",_xlfn.REGEXEXTRACT(CELL("address",V45), "\$([A-Z]+)\$[0-9]+"))),_xlfn.REGEXEXTRACT(CELL("address",V45), "\$([A-Z]+)\$[0-9]+"))</f>
        <v/>
      </c>
      <c r="W45" s="7" t="str">
        <f t="array" aca="1" ref="W45" ca="1">IFERROR(IF(OR('Raw Data'!W45="",LEN(TRIM('Raw Data'!W45))=0),"",IF(AND(ISNUMBER('Raw Data'!W45), IFERROR('Raw Data'!W45 = ROUND('Raw Data'!W45, 2),FALSE)),"",_xlfn.REGEXEXTRACT(CELL("address",W45), "\$([A-Z]+)\$[0-9]+"))),_xlfn.REGEXEXTRACT(CELL("address",W45), "\$([A-Z]+)\$[0-9]+"))</f>
        <v/>
      </c>
      <c r="X45" s="7" t="str">
        <f t="array" aca="1" ref="X45" ca="1">IFERROR(IF(OR('Raw Data'!X45="",LEN(TRIM('Raw Data'!X45))=0),"",IF(AND(ISNUMBER('Raw Data'!X45), IFERROR('Raw Data'!X45 = ROUND('Raw Data'!X45, 2),FALSE)),"",_xlfn.REGEXEXTRACT(CELL("address",X45), "\$([A-Z]+)\$[0-9]+"))),_xlfn.REGEXEXTRACT(CELL("address",X45), "\$([A-Z]+)\$[0-9]+"))</f>
        <v/>
      </c>
      <c r="Y45" s="7" t="str">
        <f t="array" aca="1" ref="Y45" ca="1">IFERROR(IF(OR('Raw Data'!Y45="",LEN(TRIM('Raw Data'!Y45))=0),"",IF(AND(ISNUMBER('Raw Data'!Y45), IFERROR('Raw Data'!Y45 = ROUND('Raw Data'!Y45, 2),FALSE)),"",_xlfn.REGEXEXTRACT(CELL("address",Y45), "\$([A-Z]+)\$[0-9]+"))),_xlfn.REGEXEXTRACT(CELL("address",Y45), "\$([A-Z]+)\$[0-9]+"))</f>
        <v/>
      </c>
      <c r="Z45" s="7" t="str">
        <f t="array" aca="1" ref="Z45" ca="1">IFERROR(IF(OR('Raw Data'!Z45="",LEN(TRIM('Raw Data'!Z45))=0),"",IF(AND(ISNUMBER('Raw Data'!Z45), IFERROR('Raw Data'!Z45 = ROUND('Raw Data'!Z45, 2),FALSE)),"",_xlfn.REGEXEXTRACT(CELL("address",Z45), "\$([A-Z]+)\$[0-9]+"))),_xlfn.REGEXEXTRACT(CELL("address",Z45), "\$([A-Z]+)\$[0-9]+"))</f>
        <v/>
      </c>
      <c r="AA45" s="7" t="str">
        <f t="array" aca="1" ref="AA45" ca="1">IFERROR(IF(OR('Raw Data'!AA45="",LEN(TRIM('Raw Data'!AA45))=0),"",IF(AND(ISNUMBER('Raw Data'!AA45), IFERROR('Raw Data'!AA45 = ROUND('Raw Data'!AA45, 2),FALSE)),"",_xlfn.REGEXEXTRACT(CELL("address",AA45), "\$([A-Z]+)\$[0-9]+"))),_xlfn.REGEXEXTRACT(CELL("address",AA45), "\$([A-Z]+)\$[0-9]+"))</f>
        <v/>
      </c>
      <c r="AB45" s="7" t="str">
        <f t="array" aca="1" ref="AB45" ca="1">IFERROR(IF(OR('Raw Data'!AB45="",LEN(TRIM('Raw Data'!AB45))=0),"",IF(AND(ISNUMBER('Raw Data'!AB45), IFERROR('Raw Data'!AB45 = ROUND('Raw Data'!AB45, 2),FALSE)),"",_xlfn.REGEXEXTRACT(CELL("address",AB45), "\$([A-Z]+)\$[0-9]+"))),_xlfn.REGEXEXTRACT(CELL("address",AB45), "\$([A-Z]+)\$[0-9]+"))</f>
        <v/>
      </c>
      <c r="AC45" s="7" t="str">
        <f t="array" aca="1" ref="AC45" ca="1">IFERROR(IF(OR('Raw Data'!AC45="",LEN(TRIM('Raw Data'!AC45))=0),"",IF(AND(ISNUMBER('Raw Data'!AC45), IFERROR('Raw Data'!AC45 = ROUND('Raw Data'!AC45, 2),FALSE)),"",_xlfn.REGEXEXTRACT(CELL("address",AC45), "\$([A-Z]+)\$[0-9]+"))),_xlfn.REGEXEXTRACT(CELL("address",AC45), "\$([A-Z]+)\$[0-9]+"))</f>
        <v/>
      </c>
      <c r="AD45" s="7" t="str">
        <f t="array" aca="1" ref="AD45" ca="1">IFERROR(IF(OR('Raw Data'!AD45="",LEN(TRIM('Raw Data'!AD45))=0),"",IF(AND(ISNUMBER('Raw Data'!AD45), IFERROR('Raw Data'!AD45 = ROUND('Raw Data'!AD45, 2),FALSE)),"",_xlfn.REGEXEXTRACT(CELL("address",AD45), "\$([A-Z]+)\$[0-9]+"))),_xlfn.REGEXEXTRACT(CELL("address",AD45), "\$([A-Z]+)\$[0-9]+"))</f>
        <v/>
      </c>
      <c r="AE45" s="7" t="str">
        <f t="array" aca="1" ref="AE45" ca="1">IFERROR(IF(OR('Raw Data'!AE45="",LEN(TRIM('Raw Data'!AE45))=0),"",IF(AND(ISNUMBER('Raw Data'!AE45), IFERROR('Raw Data'!AE45 = ROUND('Raw Data'!AE45, 2),FALSE)),"",_xlfn.REGEXEXTRACT(CELL("address",AE45), "\$([A-Z]+)\$[0-9]+"))),_xlfn.REGEXEXTRACT(CELL("address",AE45), "\$([A-Z]+)\$[0-9]+"))</f>
        <v/>
      </c>
      <c r="AF45" s="7" t="str">
        <f t="array" aca="1" ref="AF45" ca="1">IFERROR(IF(OR('Raw Data'!AF45="",LEN(TRIM('Raw Data'!AF45))=0),"",IF(AND(ISNUMBER('Raw Data'!AF45), IFERROR('Raw Data'!AF45 = ROUND('Raw Data'!AF45, 2),FALSE)),"",_xlfn.REGEXEXTRACT(CELL("address",AF45), "\$([A-Z]+)\$[0-9]+"))),_xlfn.REGEXEXTRACT(CELL("address",AF45), "\$([A-Z]+)\$[0-9]+"))</f>
        <v/>
      </c>
      <c r="AG45" s="7" t="str">
        <f t="array" aca="1" ref="AG45" ca="1">IFERROR(IF(OR('Raw Data'!AG45="",LEN(TRIM('Raw Data'!AG45))=0),"",IF(AND(ISNUMBER('Raw Data'!AG45), IFERROR('Raw Data'!AG45 = ROUND('Raw Data'!AG45, 2),FALSE)),"",_xlfn.REGEXEXTRACT(CELL("address",AG45), "\$([A-Z]+)\$[0-9]+"))),_xlfn.REGEXEXTRACT(CELL("address",AG45), "\$([A-Z]+)\$[0-9]+"))</f>
        <v/>
      </c>
      <c r="AH45" s="7" t="str">
        <f t="array" aca="1" ref="AH45" ca="1">IFERROR(IF(OR('Raw Data'!AH45="",LEN(TRIM('Raw Data'!AH45))=0),"",IF(AND(ISNUMBER('Raw Data'!AH45), IFERROR('Raw Data'!AH45 = ROUND('Raw Data'!AH45, 2),FALSE)),"",_xlfn.REGEXEXTRACT(CELL("address",AH45), "\$([A-Z]+)\$[0-9]+"))),_xlfn.REGEXEXTRACT(CELL("address",AH45), "\$([A-Z]+)\$[0-9]+"))</f>
        <v/>
      </c>
      <c r="AI45" s="7" t="str">
        <f t="array" aca="1" ref="AI45" ca="1">IFERROR(IF(OR('Raw Data'!AI45="",LEN(TRIM('Raw Data'!AI45))=0),"",IF(AND(ISNUMBER('Raw Data'!AI45), IFERROR('Raw Data'!AI45 = ROUND('Raw Data'!AI45, 2),FALSE)),"",_xlfn.REGEXEXTRACT(CELL("address",AI45), "\$([A-Z]+)\$[0-9]+"))),_xlfn.REGEXEXTRACT(CELL("address",AI45), "\$([A-Z]+)\$[0-9]+"))</f>
        <v/>
      </c>
      <c r="AJ45" s="7" t="str">
        <f t="array" aca="1" ref="AJ45" ca="1">IFERROR(IF(OR('Raw Data'!AJ45="",LEN(TRIM('Raw Data'!AJ45))=0),"",IF(AND(ISNUMBER('Raw Data'!AJ45), IFERROR('Raw Data'!AJ45 = ROUND('Raw Data'!AJ45, 4),FALSE)),"",_xlfn.REGEXEXTRACT(CELL("address",AJ45), "\$([A-Z]+)\$[0-9]+"))),_xlfn.REGEXEXTRACT(CELL("address",AJ45), "\$([A-Z]+)\$[0-9]+"))</f>
        <v/>
      </c>
      <c r="AK45" s="7" t="str">
        <f t="array" aca="1" ref="AK45" ca="1">IFERROR(IF(OR('Raw Data'!AK45="",LEN(TRIM('Raw Data'!AK45))=0),"",IF(AND(ISNUMBER('Raw Data'!AK45), IFERROR('Raw Data'!AK45 = ROUND('Raw Data'!AK45, 2),FALSE)),"",_xlfn.REGEXEXTRACT(CELL("address",AK45), "\$([A-Z]+)\$[0-9]+"))),_xlfn.REGEXEXTRACT(CELL("address",AK45), "\$([A-Z]+)\$[0-9]+"))</f>
        <v/>
      </c>
      <c r="AL45" s="7" t="str">
        <f t="array" aca="1" ref="AL45" ca="1">IFERROR(IF(OR('Raw Data'!AL45="",LEN(TRIM('Raw Data'!AL45))=0),"",IF(AND(ISNUMBER('Raw Data'!AL45), IFERROR('Raw Data'!AL45 = ROUND('Raw Data'!AL45, 2),FALSE)),"",_xlfn.REGEXEXTRACT(CELL("address",AL45), "\$([A-Z]+)\$[0-9]+"))),_xlfn.REGEXEXTRACT(CELL("address",AL45), "\$([A-Z]+)\$[0-9]+"))</f>
        <v/>
      </c>
      <c r="AM45" s="7" t="str">
        <f t="array" aca="1" ref="AM45" ca="1">IFERROR(IF(OR('Raw Data'!AM45="",LEN(TRIM('Raw Data'!AM45))=0),"",IF(AND(ISNUMBER('Raw Data'!AM45), IFERROR('Raw Data'!AM45 = ROUND('Raw Data'!AM45, 2),FALSE)),"",_xlfn.REGEXEXTRACT(CELL("address",AM45), "\$([A-Z]+)\$[0-9]+"))),_xlfn.REGEXEXTRACT(CELL("address",AM45), "\$([A-Z]+)\$[0-9]+"))</f>
        <v/>
      </c>
      <c r="AN45" s="7" t="str">
        <f t="array" aca="1" ref="AN45" ca="1">IFERROR(IF(OR('Raw Data'!AN45="",LEN(TRIM('Raw Data'!AN45))=0),"",IF(AND(ISNUMBER('Raw Data'!AN45), IFERROR('Raw Data'!AN45 = ROUND('Raw Data'!AN45, 2),FALSE)),"",_xlfn.REGEXEXTRACT(CELL("address",AN45), "\$([A-Z]+)\$[0-9]+"))),_xlfn.REGEXEXTRACT(CELL("address",AN45), "\$([A-Z]+)\$[0-9]+"))</f>
        <v/>
      </c>
      <c r="AO45" s="7" t="str">
        <f t="array" aca="1" ref="AO45" ca="1">IFERROR(IF(OR('Raw Data'!AO45="",LEN(TRIM('Raw Data'!AO45))=0),"",IF(AND(ISNUMBER('Raw Data'!AO45), IFERROR('Raw Data'!AO45 = ROUND('Raw Data'!AO45, 2),FALSE)),"",_xlfn.REGEXEXTRACT(CELL("address",AO45), "\$([A-Z]+)\$[0-9]+"))),_xlfn.REGEXEXTRACT(CELL("address",AO45), "\$([A-Z]+)\$[0-9]+"))</f>
        <v/>
      </c>
      <c r="AP45" s="7" t="str">
        <f t="array" aca="1" ref="AP45" ca="1">IFERROR(IF(OR('Raw Data'!AP45="",LEN(TRIM('Raw Data'!AP45))=0),"",IF(AND(ISNUMBER('Raw Data'!AP45), IFERROR('Raw Data'!AP45 = ROUND('Raw Data'!AP45, 2),FALSE)),"",_xlfn.REGEXEXTRACT(CELL("address",AP45), "\$([A-Z]+)\$[0-9]+"))),_xlfn.REGEXEXTRACT(CELL("address",AP45), "\$([A-Z]+)\$[0-9]+"))</f>
        <v/>
      </c>
    </row>
    <row r="46" spans="2:42" x14ac:dyDescent="0.25">
      <c r="B46" s="7" t="str">
        <f t="array" aca="1" ref="B46" ca="1">IFERROR(IF(OR('Raw Data'!B46="",LEN(TRIM('Raw Data'!B46))=0),"",IF(AND(LEN('Raw Data'!B46) &lt;= 255,LEN('Raw Data'!B46)&gt; 0),"",_xlfn.REGEXEXTRACT(CELL("address",'Raw Data'!B46),"\$([A-Z]+)\$[0-9]+"))),_xlfn.REGEXEXTRACT(CELL("address",'Raw Data'!B46),"\$([A-Z]+)\$[0-9]+"))</f>
        <v/>
      </c>
      <c r="C46" s="7" t="str">
        <f t="array" aca="1" ref="C46" ca="1">IFERROR(IF(OR('Raw Data'!C46="",LEN(TRIM('Raw Data'!C46))=0),"",IF(AND(LEN('Raw Data'!C46) &lt;= 50,LEN('Raw Data'!C46)&gt; 0),"",_xlfn.REGEXEXTRACT(CELL("address",'Raw Data'!C46),"\$([A-Z]+)\$[0-9]+"))),_xlfn.REGEXEXTRACT(CELL("address",'Raw Data'!C46),"\$([A-Z]+)\$[0-9]+"))</f>
        <v/>
      </c>
      <c r="D46" s="7" t="str">
        <f t="array" aca="1" ref="D46" ca="1">IFERROR(IF(OR('Raw Data'!D46="",LEN(TRIM('Raw Data'!D46))=0),"",IF(AND(LEN('Raw Data'!D46) &lt;= 500,LEN('Raw Data'!D46)&gt; 0),"",_xlfn.REGEXEXTRACT(CELL("address",'Raw Data'!D46),"\$([A-Z]+)\$[0-9]+"))),_xlfn.REGEXEXTRACT(CELL("address",'Raw Data'!D46),"\$([A-Z]+)\$[0-9]+"))</f>
        <v/>
      </c>
      <c r="E46" s="7" t="str">
        <f t="array" aca="1" ref="E46" ca="1">IFERROR(IF(OR('Raw Data'!E46="",LEN(TRIM('Raw Data'!E46))=0),"",IF(AND(LEN('Raw Data'!E46) &lt;= 50,LEN('Raw Data'!E46)&gt; 0),"",_xlfn.REGEXEXTRACT(CELL("address",'Raw Data'!E46),"\$([A-Z]+)\$[0-9]+"))),_xlfn.REGEXEXTRACT(CELL("address",'Raw Data'!E46),"\$([A-Z]+)\$[0-9]+"))</f>
        <v/>
      </c>
      <c r="F46" s="7" t="str">
        <f t="array" aca="1" ref="F46" ca="1">IFERROR(IF(OR('Raw Data'!F46="",LEN(TRIM('Raw Data'!F46))=0),"",IF(AND(LEN('Raw Data'!F46) &lt;= 50,LEN('Raw Data'!F46)&gt; 0),"",_xlfn.REGEXEXTRACT(CELL("address",'Raw Data'!F46),"\$([A-Z]+)\$[0-9]+"))),_xlfn.REGEXEXTRACT(CELL("address",'Raw Data'!F46),"\$([A-Z]+)\$[0-9]+"))</f>
        <v/>
      </c>
      <c r="G46" s="7" t="str">
        <f t="array" aca="1" ref="G46" ca="1">IFERROR(IF(OR('Raw Data'!G46="",LEN(TRIM('Raw Data'!G46))=0),"",IF(AND(LEN('Raw Data'!G46) &lt;= 50,LEN('Raw Data'!G46)&gt; 0),"",_xlfn.REGEXEXTRACT(CELL("address",'Raw Data'!G46),"\$([A-Z]+)\$[0-9]+"))),_xlfn.REGEXEXTRACT(CELL("address",'Raw Data'!G46),"\$([A-Z]+)\$[0-9]+"))</f>
        <v/>
      </c>
      <c r="H46" s="7" t="str">
        <f t="array" aca="1" ref="H46" ca="1">IFERROR(IF(OR('Raw Data'!H46="",LEN(TRIM('Raw Data'!H46))=0),"",IF(AND(LEN('Raw Data'!H46) &lt;= 50,LEN('Raw Data'!H46)&gt; 0),"",_xlfn.REGEXEXTRACT(CELL("address",'Raw Data'!H46),"\$([A-Z]+)\$[0-9]+"))),_xlfn.REGEXEXTRACT(CELL("address",'Raw Data'!H46),"\$([A-Z]+)\$[0-9]+"))</f>
        <v/>
      </c>
      <c r="I46" s="7" t="str">
        <f t="array" aca="1" ref="I46" ca="1">IFERROR(IF(OR('Raw Data'!I46="",LEN(TRIM('Raw Data'!I46))=0),"",IF(AND(LEN('Raw Data'!I46) &lt;= 50,LEN('Raw Data'!I46)&gt; 0),"",_xlfn.REGEXEXTRACT(CELL("address",'Raw Data'!I46),"\$([A-Z]+)\$[0-9]+"))),_xlfn.REGEXEXTRACT(CELL("address",'Raw Data'!I46),"\$([A-Z]+)\$[0-9]+"))</f>
        <v/>
      </c>
      <c r="J46" s="7" t="str">
        <f t="array" aca="1" ref="J46" ca="1">IFERROR(IF(OR('Raw Data'!J46="",LEN(TRIM('Raw Data'!J46))=0),"",IF(AND(ISNUMBER('Raw Data'!J46), IFERROR('Raw Data'!J46 = ROUND('Raw Data'!J46, 2),FALSE)),"",_xlfn.REGEXEXTRACT(CELL("address",J46), "\$([A-Z]+)\$[0-9]+"))),_xlfn.REGEXEXTRACT(CELL("address",J46), "\$([A-Z]+)\$[0-9]+"))</f>
        <v/>
      </c>
      <c r="K46" s="7" t="str">
        <f t="array" aca="1" ref="K46" ca="1">IFERROR(IF(OR('Raw Data'!K46="",LEN(TRIM('Raw Data'!K46))=0),"",IF(AND(ISNUMBER('Raw Data'!K46), IFERROR('Raw Data'!K46 = ROUND('Raw Data'!K46, 2),FALSE)),"",_xlfn.REGEXEXTRACT(CELL("address",K46), "\$([A-Z]+)\$[0-9]+"))),_xlfn.REGEXEXTRACT(CELL("address",K46), "\$([A-Z]+)\$[0-9]+"))</f>
        <v/>
      </c>
      <c r="L46" s="7" t="str">
        <f t="array" aca="1" ref="L46" ca="1">IFERROR(IF(OR('Raw Data'!L46="",LEN(TRIM('Raw Data'!L46))=0),"",IF(AND(ISNUMBER('Raw Data'!L46), IFERROR('Raw Data'!L46 = ROUND('Raw Data'!L46, 2),FALSE)),"",_xlfn.REGEXEXTRACT(CELL("address",L46), "\$([A-Z]+)\$[0-9]+"))),_xlfn.REGEXEXTRACT(CELL("address",L46), "\$([A-Z]+)\$[0-9]+"))</f>
        <v/>
      </c>
      <c r="M46" s="7" t="str">
        <f t="array" aca="1" ref="M46" ca="1">IFERROR(IF(OR('Raw Data'!M46="",LEN(TRIM('Raw Data'!M46))=0),"",IF(AND(ISNUMBER('Raw Data'!M46), IFERROR('Raw Data'!M46 = ROUND('Raw Data'!M46, 2),FALSE)),"",_xlfn.REGEXEXTRACT(CELL("address",M46), "\$([A-Z]+)\$[0-9]+"))),_xlfn.REGEXEXTRACT(CELL("address",M46), "\$([A-Z]+)\$[0-9]+"))</f>
        <v/>
      </c>
      <c r="N46" s="7" t="str">
        <f t="array" aca="1" ref="N46" ca="1">IFERROR(IF(OR('Raw Data'!N46="",LEN(TRIM('Raw Data'!N46))=0),"",IF(AND(ISNUMBER('Raw Data'!N46), IFERROR('Raw Data'!N46 = ROUND('Raw Data'!N46, 2),FALSE)),"",_xlfn.REGEXEXTRACT(CELL("address",N46), "\$([A-Z]+)\$[0-9]+"))),_xlfn.REGEXEXTRACT(CELL("address",N46), "\$([A-Z]+)\$[0-9]+"))</f>
        <v/>
      </c>
      <c r="O46" s="7" t="str">
        <f t="array" aca="1" ref="O46" ca="1">IFERROR(IF(OR('Raw Data'!O46="",LEN(TRIM('Raw Data'!O46))=0),"",IF(AND(ISNUMBER('Raw Data'!O46),'Raw Data'!O46&gt;=Configuration!$D$2),"",_xlfn.REGEXEXTRACT(CELL("address",'Raw Data'!O46),"\$([A-Z]+)\$[0-9]+"))),_xlfn.REGEXEXTRACT(CELL("address",O46), "\$([A-Z]+)\$[0-9]+"))</f>
        <v/>
      </c>
      <c r="P46" s="7" t="str">
        <f t="array" aca="1" ref="P46" ca="1">IFERROR(IF(OR('Raw Data'!P46="",LEN(TRIM('Raw Data'!P46))=0),"",IF(AND(ISNUMBER('Raw Data'!P46), IFERROR('Raw Data'!P46 = ROUND('Raw Data'!P46, 2),FALSE)),"",_xlfn.REGEXEXTRACT(CELL("address",P46), "\$([A-Z]+)\$[0-9]+"))),_xlfn.REGEXEXTRACT(CELL("address",P46), "\$([A-Z]+)\$[0-9]+"))</f>
        <v/>
      </c>
      <c r="Q46" s="7" t="str">
        <f t="array" aca="1" ref="Q46" ca="1">IFERROR(IF(OR('Raw Data'!Q46="",LEN(TRIM('Raw Data'!Q46))=0),"",IF(AND(ISNUMBER('Raw Data'!Q46), IFERROR('Raw Data'!Q46 = ROUND('Raw Data'!Q46, 2),FALSE)),"",_xlfn.REGEXEXTRACT(CELL("address",Q46), "\$([A-Z]+)\$[0-9]+"))),_xlfn.REGEXEXTRACT(CELL("address",Q46), "\$([A-Z]+)\$[0-9]+"))</f>
        <v/>
      </c>
      <c r="R46" s="7" t="str">
        <f t="array" aca="1" ref="R46" ca="1">IFERROR(IF(OR('Raw Data'!R46="",LEN(TRIM('Raw Data'!R46))=0),"",IF(AND(LEN('Raw Data'!R46) &lt;= 50,LEN('Raw Data'!R46)&gt; 0),"",_xlfn.REGEXEXTRACT(CELL("address",'Raw Data'!R46),"\$([A-Z]+)\$[0-9]+"))),_xlfn.REGEXEXTRACT(CELL("address",'Raw Data'!R46),"\$([A-Z]+)\$[0-9]+"))</f>
        <v/>
      </c>
      <c r="S46" s="7" t="str">
        <f t="array" aca="1" ref="S46" ca="1">IFERROR(IF(OR('Raw Data'!S46="",LEN(TRIM('Raw Data'!S46))=0),"",IF(AND(LEN('Raw Data'!S46) &lt;= 50,LEN('Raw Data'!S46)&gt; 0),"",_xlfn.REGEXEXTRACT(CELL("address",'Raw Data'!S46),"\$([A-Z]+)\$[0-9]+"))),_xlfn.REGEXEXTRACT(CELL("address",'Raw Data'!S46),"\$([A-Z]+)\$[0-9]+"))</f>
        <v/>
      </c>
      <c r="T46" s="7" t="str">
        <f t="array" aca="1" ref="T46" ca="1">IFERROR(IF(OR('Raw Data'!T46="",LEN(TRIM('Raw Data'!T46))=0),"",IF(AND(ISNUMBER('Raw Data'!T46), IFERROR('Raw Data'!T46 = ROUND('Raw Data'!T46, 2),FALSE)),"",_xlfn.REGEXEXTRACT(CELL("address",T46), "\$([A-Z]+)\$[0-9]+"))),_xlfn.REGEXEXTRACT(CELL("address",T46), "\$([A-Z]+)\$[0-9]+"))</f>
        <v/>
      </c>
      <c r="U46" s="7" t="str">
        <f t="array" aca="1" ref="U46" ca="1">IFERROR(IF(OR('Raw Data'!U46="",LEN(TRIM('Raw Data'!U46))=0),"",IF(AND(ISNUMBER('Raw Data'!U46), IFERROR('Raw Data'!U46 = ROUND('Raw Data'!U46, 2),FALSE)),"",_xlfn.REGEXEXTRACT(CELL("address",U46), "\$([A-Z]+)\$[0-9]+"))),_xlfn.REGEXEXTRACT(CELL("address",U46), "\$([A-Z]+)\$[0-9]+"))</f>
        <v/>
      </c>
      <c r="V46" s="7" t="str">
        <f t="array" aca="1" ref="V46" ca="1">IFERROR(IF(OR('Raw Data'!V46="",LEN(TRIM('Raw Data'!V46))=0),"",IF(AND(ISNUMBER('Raw Data'!V46), IFERROR('Raw Data'!V46 = ROUND('Raw Data'!V46, 2),FALSE)),"",_xlfn.REGEXEXTRACT(CELL("address",V46), "\$([A-Z]+)\$[0-9]+"))),_xlfn.REGEXEXTRACT(CELL("address",V46), "\$([A-Z]+)\$[0-9]+"))</f>
        <v/>
      </c>
      <c r="W46" s="7" t="str">
        <f t="array" aca="1" ref="W46" ca="1">IFERROR(IF(OR('Raw Data'!W46="",LEN(TRIM('Raw Data'!W46))=0),"",IF(AND(ISNUMBER('Raw Data'!W46), IFERROR('Raw Data'!W46 = ROUND('Raw Data'!W46, 2),FALSE)),"",_xlfn.REGEXEXTRACT(CELL("address",W46), "\$([A-Z]+)\$[0-9]+"))),_xlfn.REGEXEXTRACT(CELL("address",W46), "\$([A-Z]+)\$[0-9]+"))</f>
        <v/>
      </c>
      <c r="X46" s="7" t="str">
        <f t="array" aca="1" ref="X46" ca="1">IFERROR(IF(OR('Raw Data'!X46="",LEN(TRIM('Raw Data'!X46))=0),"",IF(AND(ISNUMBER('Raw Data'!X46), IFERROR('Raw Data'!X46 = ROUND('Raw Data'!X46, 2),FALSE)),"",_xlfn.REGEXEXTRACT(CELL("address",X46), "\$([A-Z]+)\$[0-9]+"))),_xlfn.REGEXEXTRACT(CELL("address",X46), "\$([A-Z]+)\$[0-9]+"))</f>
        <v/>
      </c>
      <c r="Y46" s="7" t="str">
        <f t="array" aca="1" ref="Y46" ca="1">IFERROR(IF(OR('Raw Data'!Y46="",LEN(TRIM('Raw Data'!Y46))=0),"",IF(AND(ISNUMBER('Raw Data'!Y46), IFERROR('Raw Data'!Y46 = ROUND('Raw Data'!Y46, 2),FALSE)),"",_xlfn.REGEXEXTRACT(CELL("address",Y46), "\$([A-Z]+)\$[0-9]+"))),_xlfn.REGEXEXTRACT(CELL("address",Y46), "\$([A-Z]+)\$[0-9]+"))</f>
        <v/>
      </c>
      <c r="Z46" s="7" t="str">
        <f t="array" aca="1" ref="Z46" ca="1">IFERROR(IF(OR('Raw Data'!Z46="",LEN(TRIM('Raw Data'!Z46))=0),"",IF(AND(ISNUMBER('Raw Data'!Z46), IFERROR('Raw Data'!Z46 = ROUND('Raw Data'!Z46, 2),FALSE)),"",_xlfn.REGEXEXTRACT(CELL("address",Z46), "\$([A-Z]+)\$[0-9]+"))),_xlfn.REGEXEXTRACT(CELL("address",Z46), "\$([A-Z]+)\$[0-9]+"))</f>
        <v/>
      </c>
      <c r="AA46" s="7" t="str">
        <f t="array" aca="1" ref="AA46" ca="1">IFERROR(IF(OR('Raw Data'!AA46="",LEN(TRIM('Raw Data'!AA46))=0),"",IF(AND(ISNUMBER('Raw Data'!AA46), IFERROR('Raw Data'!AA46 = ROUND('Raw Data'!AA46, 2),FALSE)),"",_xlfn.REGEXEXTRACT(CELL("address",AA46), "\$([A-Z]+)\$[0-9]+"))),_xlfn.REGEXEXTRACT(CELL("address",AA46), "\$([A-Z]+)\$[0-9]+"))</f>
        <v/>
      </c>
      <c r="AB46" s="7" t="str">
        <f t="array" aca="1" ref="AB46" ca="1">IFERROR(IF(OR('Raw Data'!AB46="",LEN(TRIM('Raw Data'!AB46))=0),"",IF(AND(ISNUMBER('Raw Data'!AB46), IFERROR('Raw Data'!AB46 = ROUND('Raw Data'!AB46, 2),FALSE)),"",_xlfn.REGEXEXTRACT(CELL("address",AB46), "\$([A-Z]+)\$[0-9]+"))),_xlfn.REGEXEXTRACT(CELL("address",AB46), "\$([A-Z]+)\$[0-9]+"))</f>
        <v/>
      </c>
      <c r="AC46" s="7" t="str">
        <f t="array" aca="1" ref="AC46" ca="1">IFERROR(IF(OR('Raw Data'!AC46="",LEN(TRIM('Raw Data'!AC46))=0),"",IF(AND(ISNUMBER('Raw Data'!AC46), IFERROR('Raw Data'!AC46 = ROUND('Raw Data'!AC46, 2),FALSE)),"",_xlfn.REGEXEXTRACT(CELL("address",AC46), "\$([A-Z]+)\$[0-9]+"))),_xlfn.REGEXEXTRACT(CELL("address",AC46), "\$([A-Z]+)\$[0-9]+"))</f>
        <v/>
      </c>
      <c r="AD46" s="7" t="str">
        <f t="array" aca="1" ref="AD46" ca="1">IFERROR(IF(OR('Raw Data'!AD46="",LEN(TRIM('Raw Data'!AD46))=0),"",IF(AND(ISNUMBER('Raw Data'!AD46), IFERROR('Raw Data'!AD46 = ROUND('Raw Data'!AD46, 2),FALSE)),"",_xlfn.REGEXEXTRACT(CELL("address",AD46), "\$([A-Z]+)\$[0-9]+"))),_xlfn.REGEXEXTRACT(CELL("address",AD46), "\$([A-Z]+)\$[0-9]+"))</f>
        <v/>
      </c>
      <c r="AE46" s="7" t="str">
        <f t="array" aca="1" ref="AE46" ca="1">IFERROR(IF(OR('Raw Data'!AE46="",LEN(TRIM('Raw Data'!AE46))=0),"",IF(AND(ISNUMBER('Raw Data'!AE46), IFERROR('Raw Data'!AE46 = ROUND('Raw Data'!AE46, 2),FALSE)),"",_xlfn.REGEXEXTRACT(CELL("address",AE46), "\$([A-Z]+)\$[0-9]+"))),_xlfn.REGEXEXTRACT(CELL("address",AE46), "\$([A-Z]+)\$[0-9]+"))</f>
        <v/>
      </c>
      <c r="AF46" s="7" t="str">
        <f t="array" aca="1" ref="AF46" ca="1">IFERROR(IF(OR('Raw Data'!AF46="",LEN(TRIM('Raw Data'!AF46))=0),"",IF(AND(ISNUMBER('Raw Data'!AF46), IFERROR('Raw Data'!AF46 = ROUND('Raw Data'!AF46, 2),FALSE)),"",_xlfn.REGEXEXTRACT(CELL("address",AF46), "\$([A-Z]+)\$[0-9]+"))),_xlfn.REGEXEXTRACT(CELL("address",AF46), "\$([A-Z]+)\$[0-9]+"))</f>
        <v/>
      </c>
      <c r="AG46" s="7" t="str">
        <f t="array" aca="1" ref="AG46" ca="1">IFERROR(IF(OR('Raw Data'!AG46="",LEN(TRIM('Raw Data'!AG46))=0),"",IF(AND(ISNUMBER('Raw Data'!AG46), IFERROR('Raw Data'!AG46 = ROUND('Raw Data'!AG46, 2),FALSE)),"",_xlfn.REGEXEXTRACT(CELL("address",AG46), "\$([A-Z]+)\$[0-9]+"))),_xlfn.REGEXEXTRACT(CELL("address",AG46), "\$([A-Z]+)\$[0-9]+"))</f>
        <v/>
      </c>
      <c r="AH46" s="7" t="str">
        <f t="array" aca="1" ref="AH46" ca="1">IFERROR(IF(OR('Raw Data'!AH46="",LEN(TRIM('Raw Data'!AH46))=0),"",IF(AND(ISNUMBER('Raw Data'!AH46), IFERROR('Raw Data'!AH46 = ROUND('Raw Data'!AH46, 2),FALSE)),"",_xlfn.REGEXEXTRACT(CELL("address",AH46), "\$([A-Z]+)\$[0-9]+"))),_xlfn.REGEXEXTRACT(CELL("address",AH46), "\$([A-Z]+)\$[0-9]+"))</f>
        <v/>
      </c>
      <c r="AI46" s="7" t="str">
        <f t="array" aca="1" ref="AI46" ca="1">IFERROR(IF(OR('Raw Data'!AI46="",LEN(TRIM('Raw Data'!AI46))=0),"",IF(AND(ISNUMBER('Raw Data'!AI46), IFERROR('Raw Data'!AI46 = ROUND('Raw Data'!AI46, 2),FALSE)),"",_xlfn.REGEXEXTRACT(CELL("address",AI46), "\$([A-Z]+)\$[0-9]+"))),_xlfn.REGEXEXTRACT(CELL("address",AI46), "\$([A-Z]+)\$[0-9]+"))</f>
        <v/>
      </c>
      <c r="AJ46" s="7" t="str">
        <f t="array" aca="1" ref="AJ46" ca="1">IFERROR(IF(OR('Raw Data'!AJ46="",LEN(TRIM('Raw Data'!AJ46))=0),"",IF(AND(ISNUMBER('Raw Data'!AJ46), IFERROR('Raw Data'!AJ46 = ROUND('Raw Data'!AJ46, 4),FALSE)),"",_xlfn.REGEXEXTRACT(CELL("address",AJ46), "\$([A-Z]+)\$[0-9]+"))),_xlfn.REGEXEXTRACT(CELL("address",AJ46), "\$([A-Z]+)\$[0-9]+"))</f>
        <v/>
      </c>
      <c r="AK46" s="7" t="str">
        <f t="array" aca="1" ref="AK46" ca="1">IFERROR(IF(OR('Raw Data'!AK46="",LEN(TRIM('Raw Data'!AK46))=0),"",IF(AND(ISNUMBER('Raw Data'!AK46), IFERROR('Raw Data'!AK46 = ROUND('Raw Data'!AK46, 2),FALSE)),"",_xlfn.REGEXEXTRACT(CELL("address",AK46), "\$([A-Z]+)\$[0-9]+"))),_xlfn.REGEXEXTRACT(CELL("address",AK46), "\$([A-Z]+)\$[0-9]+"))</f>
        <v/>
      </c>
      <c r="AL46" s="7" t="str">
        <f t="array" aca="1" ref="AL46" ca="1">IFERROR(IF(OR('Raw Data'!AL46="",LEN(TRIM('Raw Data'!AL46))=0),"",IF(AND(ISNUMBER('Raw Data'!AL46), IFERROR('Raw Data'!AL46 = ROUND('Raw Data'!AL46, 2),FALSE)),"",_xlfn.REGEXEXTRACT(CELL("address",AL46), "\$([A-Z]+)\$[0-9]+"))),_xlfn.REGEXEXTRACT(CELL("address",AL46), "\$([A-Z]+)\$[0-9]+"))</f>
        <v/>
      </c>
      <c r="AM46" s="7" t="str">
        <f t="array" aca="1" ref="AM46" ca="1">IFERROR(IF(OR('Raw Data'!AM46="",LEN(TRIM('Raw Data'!AM46))=0),"",IF(AND(ISNUMBER('Raw Data'!AM46), IFERROR('Raw Data'!AM46 = ROUND('Raw Data'!AM46, 2),FALSE)),"",_xlfn.REGEXEXTRACT(CELL("address",AM46), "\$([A-Z]+)\$[0-9]+"))),_xlfn.REGEXEXTRACT(CELL("address",AM46), "\$([A-Z]+)\$[0-9]+"))</f>
        <v/>
      </c>
      <c r="AN46" s="7" t="str">
        <f t="array" aca="1" ref="AN46" ca="1">IFERROR(IF(OR('Raw Data'!AN46="",LEN(TRIM('Raw Data'!AN46))=0),"",IF(AND(ISNUMBER('Raw Data'!AN46), IFERROR('Raw Data'!AN46 = ROUND('Raw Data'!AN46, 2),FALSE)),"",_xlfn.REGEXEXTRACT(CELL("address",AN46), "\$([A-Z]+)\$[0-9]+"))),_xlfn.REGEXEXTRACT(CELL("address",AN46), "\$([A-Z]+)\$[0-9]+"))</f>
        <v/>
      </c>
      <c r="AO46" s="7" t="str">
        <f t="array" aca="1" ref="AO46" ca="1">IFERROR(IF(OR('Raw Data'!AO46="",LEN(TRIM('Raw Data'!AO46))=0),"",IF(AND(ISNUMBER('Raw Data'!AO46), IFERROR('Raw Data'!AO46 = ROUND('Raw Data'!AO46, 2),FALSE)),"",_xlfn.REGEXEXTRACT(CELL("address",AO46), "\$([A-Z]+)\$[0-9]+"))),_xlfn.REGEXEXTRACT(CELL("address",AO46), "\$([A-Z]+)\$[0-9]+"))</f>
        <v/>
      </c>
      <c r="AP46" s="7" t="str">
        <f t="array" aca="1" ref="AP46" ca="1">IFERROR(IF(OR('Raw Data'!AP46="",LEN(TRIM('Raw Data'!AP46))=0),"",IF(AND(ISNUMBER('Raw Data'!AP46), IFERROR('Raw Data'!AP46 = ROUND('Raw Data'!AP46, 2),FALSE)),"",_xlfn.REGEXEXTRACT(CELL("address",AP46), "\$([A-Z]+)\$[0-9]+"))),_xlfn.REGEXEXTRACT(CELL("address",AP46), "\$([A-Z]+)\$[0-9]+"))</f>
        <v/>
      </c>
    </row>
    <row r="47" spans="2:42" x14ac:dyDescent="0.25">
      <c r="B47" s="7" t="str">
        <f t="array" aca="1" ref="B47" ca="1">IFERROR(IF(OR('Raw Data'!B47="",LEN(TRIM('Raw Data'!B47))=0),"",IF(AND(LEN('Raw Data'!B47) &lt;= 255,LEN('Raw Data'!B47)&gt; 0),"",_xlfn.REGEXEXTRACT(CELL("address",'Raw Data'!B47),"\$([A-Z]+)\$[0-9]+"))),_xlfn.REGEXEXTRACT(CELL("address",'Raw Data'!B47),"\$([A-Z]+)\$[0-9]+"))</f>
        <v/>
      </c>
      <c r="C47" s="7" t="str">
        <f t="array" aca="1" ref="C47" ca="1">IFERROR(IF(OR('Raw Data'!C47="",LEN(TRIM('Raw Data'!C47))=0),"",IF(AND(LEN('Raw Data'!C47) &lt;= 50,LEN('Raw Data'!C47)&gt; 0),"",_xlfn.REGEXEXTRACT(CELL("address",'Raw Data'!C47),"\$([A-Z]+)\$[0-9]+"))),_xlfn.REGEXEXTRACT(CELL("address",'Raw Data'!C47),"\$([A-Z]+)\$[0-9]+"))</f>
        <v/>
      </c>
      <c r="D47" s="7" t="str">
        <f t="array" aca="1" ref="D47" ca="1">IFERROR(IF(OR('Raw Data'!D47="",LEN(TRIM('Raw Data'!D47))=0),"",IF(AND(LEN('Raw Data'!D47) &lt;= 500,LEN('Raw Data'!D47)&gt; 0),"",_xlfn.REGEXEXTRACT(CELL("address",'Raw Data'!D47),"\$([A-Z]+)\$[0-9]+"))),_xlfn.REGEXEXTRACT(CELL("address",'Raw Data'!D47),"\$([A-Z]+)\$[0-9]+"))</f>
        <v/>
      </c>
      <c r="E47" s="7" t="str">
        <f t="array" aca="1" ref="E47" ca="1">IFERROR(IF(OR('Raw Data'!E47="",LEN(TRIM('Raw Data'!E47))=0),"",IF(AND(LEN('Raw Data'!E47) &lt;= 50,LEN('Raw Data'!E47)&gt; 0),"",_xlfn.REGEXEXTRACT(CELL("address",'Raw Data'!E47),"\$([A-Z]+)\$[0-9]+"))),_xlfn.REGEXEXTRACT(CELL("address",'Raw Data'!E47),"\$([A-Z]+)\$[0-9]+"))</f>
        <v/>
      </c>
      <c r="F47" s="7" t="str">
        <f t="array" aca="1" ref="F47" ca="1">IFERROR(IF(OR('Raw Data'!F47="",LEN(TRIM('Raw Data'!F47))=0),"",IF(AND(LEN('Raw Data'!F47) &lt;= 50,LEN('Raw Data'!F47)&gt; 0),"",_xlfn.REGEXEXTRACT(CELL("address",'Raw Data'!F47),"\$([A-Z]+)\$[0-9]+"))),_xlfn.REGEXEXTRACT(CELL("address",'Raw Data'!F47),"\$([A-Z]+)\$[0-9]+"))</f>
        <v/>
      </c>
      <c r="G47" s="7" t="str">
        <f t="array" aca="1" ref="G47" ca="1">IFERROR(IF(OR('Raw Data'!G47="",LEN(TRIM('Raw Data'!G47))=0),"",IF(AND(LEN('Raw Data'!G47) &lt;= 50,LEN('Raw Data'!G47)&gt; 0),"",_xlfn.REGEXEXTRACT(CELL("address",'Raw Data'!G47),"\$([A-Z]+)\$[0-9]+"))),_xlfn.REGEXEXTRACT(CELL("address",'Raw Data'!G47),"\$([A-Z]+)\$[0-9]+"))</f>
        <v/>
      </c>
      <c r="H47" s="7" t="str">
        <f t="array" aca="1" ref="H47" ca="1">IFERROR(IF(OR('Raw Data'!H47="",LEN(TRIM('Raw Data'!H47))=0),"",IF(AND(LEN('Raw Data'!H47) &lt;= 50,LEN('Raw Data'!H47)&gt; 0),"",_xlfn.REGEXEXTRACT(CELL("address",'Raw Data'!H47),"\$([A-Z]+)\$[0-9]+"))),_xlfn.REGEXEXTRACT(CELL("address",'Raw Data'!H47),"\$([A-Z]+)\$[0-9]+"))</f>
        <v/>
      </c>
      <c r="I47" s="7" t="str">
        <f t="array" aca="1" ref="I47" ca="1">IFERROR(IF(OR('Raw Data'!I47="",LEN(TRIM('Raw Data'!I47))=0),"",IF(AND(LEN('Raw Data'!I47) &lt;= 50,LEN('Raw Data'!I47)&gt; 0),"",_xlfn.REGEXEXTRACT(CELL("address",'Raw Data'!I47),"\$([A-Z]+)\$[0-9]+"))),_xlfn.REGEXEXTRACT(CELL("address",'Raw Data'!I47),"\$([A-Z]+)\$[0-9]+"))</f>
        <v/>
      </c>
      <c r="J47" s="7" t="str">
        <f t="array" aca="1" ref="J47" ca="1">IFERROR(IF(OR('Raw Data'!J47="",LEN(TRIM('Raw Data'!J47))=0),"",IF(AND(ISNUMBER('Raw Data'!J47), IFERROR('Raw Data'!J47 = ROUND('Raw Data'!J47, 2),FALSE)),"",_xlfn.REGEXEXTRACT(CELL("address",J47), "\$([A-Z]+)\$[0-9]+"))),_xlfn.REGEXEXTRACT(CELL("address",J47), "\$([A-Z]+)\$[0-9]+"))</f>
        <v/>
      </c>
      <c r="K47" s="7" t="str">
        <f t="array" aca="1" ref="K47" ca="1">IFERROR(IF(OR('Raw Data'!K47="",LEN(TRIM('Raw Data'!K47))=0),"",IF(AND(ISNUMBER('Raw Data'!K47), IFERROR('Raw Data'!K47 = ROUND('Raw Data'!K47, 2),FALSE)),"",_xlfn.REGEXEXTRACT(CELL("address",K47), "\$([A-Z]+)\$[0-9]+"))),_xlfn.REGEXEXTRACT(CELL("address",K47), "\$([A-Z]+)\$[0-9]+"))</f>
        <v/>
      </c>
      <c r="L47" s="7" t="str">
        <f t="array" aca="1" ref="L47" ca="1">IFERROR(IF(OR('Raw Data'!L47="",LEN(TRIM('Raw Data'!L47))=0),"",IF(AND(ISNUMBER('Raw Data'!L47), IFERROR('Raw Data'!L47 = ROUND('Raw Data'!L47, 2),FALSE)),"",_xlfn.REGEXEXTRACT(CELL("address",L47), "\$([A-Z]+)\$[0-9]+"))),_xlfn.REGEXEXTRACT(CELL("address",L47), "\$([A-Z]+)\$[0-9]+"))</f>
        <v/>
      </c>
      <c r="M47" s="7" t="str">
        <f t="array" aca="1" ref="M47" ca="1">IFERROR(IF(OR('Raw Data'!M47="",LEN(TRIM('Raw Data'!M47))=0),"",IF(AND(ISNUMBER('Raw Data'!M47), IFERROR('Raw Data'!M47 = ROUND('Raw Data'!M47, 2),FALSE)),"",_xlfn.REGEXEXTRACT(CELL("address",M47), "\$([A-Z]+)\$[0-9]+"))),_xlfn.REGEXEXTRACT(CELL("address",M47), "\$([A-Z]+)\$[0-9]+"))</f>
        <v/>
      </c>
      <c r="N47" s="7" t="str">
        <f t="array" aca="1" ref="N47" ca="1">IFERROR(IF(OR('Raw Data'!N47="",LEN(TRIM('Raw Data'!N47))=0),"",IF(AND(ISNUMBER('Raw Data'!N47), IFERROR('Raw Data'!N47 = ROUND('Raw Data'!N47, 2),FALSE)),"",_xlfn.REGEXEXTRACT(CELL("address",N47), "\$([A-Z]+)\$[0-9]+"))),_xlfn.REGEXEXTRACT(CELL("address",N47), "\$([A-Z]+)\$[0-9]+"))</f>
        <v/>
      </c>
      <c r="O47" s="7" t="str">
        <f t="array" aca="1" ref="O47" ca="1">IFERROR(IF(OR('Raw Data'!O47="",LEN(TRIM('Raw Data'!O47))=0),"",IF(AND(ISNUMBER('Raw Data'!O47),'Raw Data'!O47&gt;=Configuration!$D$2),"",_xlfn.REGEXEXTRACT(CELL("address",'Raw Data'!O47),"\$([A-Z]+)\$[0-9]+"))),_xlfn.REGEXEXTRACT(CELL("address",O47), "\$([A-Z]+)\$[0-9]+"))</f>
        <v/>
      </c>
      <c r="P47" s="7" t="str">
        <f t="array" aca="1" ref="P47" ca="1">IFERROR(IF(OR('Raw Data'!P47="",LEN(TRIM('Raw Data'!P47))=0),"",IF(AND(ISNUMBER('Raw Data'!P47), IFERROR('Raw Data'!P47 = ROUND('Raw Data'!P47, 2),FALSE)),"",_xlfn.REGEXEXTRACT(CELL("address",P47), "\$([A-Z]+)\$[0-9]+"))),_xlfn.REGEXEXTRACT(CELL("address",P47), "\$([A-Z]+)\$[0-9]+"))</f>
        <v/>
      </c>
      <c r="Q47" s="7" t="str">
        <f t="array" aca="1" ref="Q47" ca="1">IFERROR(IF(OR('Raw Data'!Q47="",LEN(TRIM('Raw Data'!Q47))=0),"",IF(AND(ISNUMBER('Raw Data'!Q47), IFERROR('Raw Data'!Q47 = ROUND('Raw Data'!Q47, 2),FALSE)),"",_xlfn.REGEXEXTRACT(CELL("address",Q47), "\$([A-Z]+)\$[0-9]+"))),_xlfn.REGEXEXTRACT(CELL("address",Q47), "\$([A-Z]+)\$[0-9]+"))</f>
        <v/>
      </c>
      <c r="R47" s="7" t="str">
        <f t="array" aca="1" ref="R47" ca="1">IFERROR(IF(OR('Raw Data'!R47="",LEN(TRIM('Raw Data'!R47))=0),"",IF(AND(LEN('Raw Data'!R47) &lt;= 50,LEN('Raw Data'!R47)&gt; 0),"",_xlfn.REGEXEXTRACT(CELL("address",'Raw Data'!R47),"\$([A-Z]+)\$[0-9]+"))),_xlfn.REGEXEXTRACT(CELL("address",'Raw Data'!R47),"\$([A-Z]+)\$[0-9]+"))</f>
        <v/>
      </c>
      <c r="S47" s="7" t="str">
        <f t="array" aca="1" ref="S47" ca="1">IFERROR(IF(OR('Raw Data'!S47="",LEN(TRIM('Raw Data'!S47))=0),"",IF(AND(LEN('Raw Data'!S47) &lt;= 50,LEN('Raw Data'!S47)&gt; 0),"",_xlfn.REGEXEXTRACT(CELL("address",'Raw Data'!S47),"\$([A-Z]+)\$[0-9]+"))),_xlfn.REGEXEXTRACT(CELL("address",'Raw Data'!S47),"\$([A-Z]+)\$[0-9]+"))</f>
        <v/>
      </c>
      <c r="T47" s="7" t="str">
        <f t="array" aca="1" ref="T47" ca="1">IFERROR(IF(OR('Raw Data'!T47="",LEN(TRIM('Raw Data'!T47))=0),"",IF(AND(ISNUMBER('Raw Data'!T47), IFERROR('Raw Data'!T47 = ROUND('Raw Data'!T47, 2),FALSE)),"",_xlfn.REGEXEXTRACT(CELL("address",T47), "\$([A-Z]+)\$[0-9]+"))),_xlfn.REGEXEXTRACT(CELL("address",T47), "\$([A-Z]+)\$[0-9]+"))</f>
        <v/>
      </c>
      <c r="U47" s="7" t="str">
        <f t="array" aca="1" ref="U47" ca="1">IFERROR(IF(OR('Raw Data'!U47="",LEN(TRIM('Raw Data'!U47))=0),"",IF(AND(ISNUMBER('Raw Data'!U47), IFERROR('Raw Data'!U47 = ROUND('Raw Data'!U47, 2),FALSE)),"",_xlfn.REGEXEXTRACT(CELL("address",U47), "\$([A-Z]+)\$[0-9]+"))),_xlfn.REGEXEXTRACT(CELL("address",U47), "\$([A-Z]+)\$[0-9]+"))</f>
        <v/>
      </c>
      <c r="V47" s="7" t="str">
        <f t="array" aca="1" ref="V47" ca="1">IFERROR(IF(OR('Raw Data'!V47="",LEN(TRIM('Raw Data'!V47))=0),"",IF(AND(ISNUMBER('Raw Data'!V47), IFERROR('Raw Data'!V47 = ROUND('Raw Data'!V47, 2),FALSE)),"",_xlfn.REGEXEXTRACT(CELL("address",V47), "\$([A-Z]+)\$[0-9]+"))),_xlfn.REGEXEXTRACT(CELL("address",V47), "\$([A-Z]+)\$[0-9]+"))</f>
        <v/>
      </c>
      <c r="W47" s="7" t="str">
        <f t="array" aca="1" ref="W47" ca="1">IFERROR(IF(OR('Raw Data'!W47="",LEN(TRIM('Raw Data'!W47))=0),"",IF(AND(ISNUMBER('Raw Data'!W47), IFERROR('Raw Data'!W47 = ROUND('Raw Data'!W47, 2),FALSE)),"",_xlfn.REGEXEXTRACT(CELL("address",W47), "\$([A-Z]+)\$[0-9]+"))),_xlfn.REGEXEXTRACT(CELL("address",W47), "\$([A-Z]+)\$[0-9]+"))</f>
        <v/>
      </c>
      <c r="X47" s="7" t="str">
        <f t="array" aca="1" ref="X47" ca="1">IFERROR(IF(OR('Raw Data'!X47="",LEN(TRIM('Raw Data'!X47))=0),"",IF(AND(ISNUMBER('Raw Data'!X47), IFERROR('Raw Data'!X47 = ROUND('Raw Data'!X47, 2),FALSE)),"",_xlfn.REGEXEXTRACT(CELL("address",X47), "\$([A-Z]+)\$[0-9]+"))),_xlfn.REGEXEXTRACT(CELL("address",X47), "\$([A-Z]+)\$[0-9]+"))</f>
        <v/>
      </c>
      <c r="Y47" s="7" t="str">
        <f t="array" aca="1" ref="Y47" ca="1">IFERROR(IF(OR('Raw Data'!Y47="",LEN(TRIM('Raw Data'!Y47))=0),"",IF(AND(ISNUMBER('Raw Data'!Y47), IFERROR('Raw Data'!Y47 = ROUND('Raw Data'!Y47, 2),FALSE)),"",_xlfn.REGEXEXTRACT(CELL("address",Y47), "\$([A-Z]+)\$[0-9]+"))),_xlfn.REGEXEXTRACT(CELL("address",Y47), "\$([A-Z]+)\$[0-9]+"))</f>
        <v/>
      </c>
      <c r="Z47" s="7" t="str">
        <f t="array" aca="1" ref="Z47" ca="1">IFERROR(IF(OR('Raw Data'!Z47="",LEN(TRIM('Raw Data'!Z47))=0),"",IF(AND(ISNUMBER('Raw Data'!Z47), IFERROR('Raw Data'!Z47 = ROUND('Raw Data'!Z47, 2),FALSE)),"",_xlfn.REGEXEXTRACT(CELL("address",Z47), "\$([A-Z]+)\$[0-9]+"))),_xlfn.REGEXEXTRACT(CELL("address",Z47), "\$([A-Z]+)\$[0-9]+"))</f>
        <v/>
      </c>
      <c r="AA47" s="7" t="str">
        <f t="array" aca="1" ref="AA47" ca="1">IFERROR(IF(OR('Raw Data'!AA47="",LEN(TRIM('Raw Data'!AA47))=0),"",IF(AND(ISNUMBER('Raw Data'!AA47), IFERROR('Raw Data'!AA47 = ROUND('Raw Data'!AA47, 2),FALSE)),"",_xlfn.REGEXEXTRACT(CELL("address",AA47), "\$([A-Z]+)\$[0-9]+"))),_xlfn.REGEXEXTRACT(CELL("address",AA47), "\$([A-Z]+)\$[0-9]+"))</f>
        <v/>
      </c>
      <c r="AB47" s="7" t="str">
        <f t="array" aca="1" ref="AB47" ca="1">IFERROR(IF(OR('Raw Data'!AB47="",LEN(TRIM('Raw Data'!AB47))=0),"",IF(AND(ISNUMBER('Raw Data'!AB47), IFERROR('Raw Data'!AB47 = ROUND('Raw Data'!AB47, 2),FALSE)),"",_xlfn.REGEXEXTRACT(CELL("address",AB47), "\$([A-Z]+)\$[0-9]+"))),_xlfn.REGEXEXTRACT(CELL("address",AB47), "\$([A-Z]+)\$[0-9]+"))</f>
        <v/>
      </c>
      <c r="AC47" s="7" t="str">
        <f t="array" aca="1" ref="AC47" ca="1">IFERROR(IF(OR('Raw Data'!AC47="",LEN(TRIM('Raw Data'!AC47))=0),"",IF(AND(ISNUMBER('Raw Data'!AC47), IFERROR('Raw Data'!AC47 = ROUND('Raw Data'!AC47, 2),FALSE)),"",_xlfn.REGEXEXTRACT(CELL("address",AC47), "\$([A-Z]+)\$[0-9]+"))),_xlfn.REGEXEXTRACT(CELL("address",AC47), "\$([A-Z]+)\$[0-9]+"))</f>
        <v/>
      </c>
      <c r="AD47" s="7" t="str">
        <f t="array" aca="1" ref="AD47" ca="1">IFERROR(IF(OR('Raw Data'!AD47="",LEN(TRIM('Raw Data'!AD47))=0),"",IF(AND(ISNUMBER('Raw Data'!AD47), IFERROR('Raw Data'!AD47 = ROUND('Raw Data'!AD47, 2),FALSE)),"",_xlfn.REGEXEXTRACT(CELL("address",AD47), "\$([A-Z]+)\$[0-9]+"))),_xlfn.REGEXEXTRACT(CELL("address",AD47), "\$([A-Z]+)\$[0-9]+"))</f>
        <v/>
      </c>
      <c r="AE47" s="7" t="str">
        <f t="array" aca="1" ref="AE47" ca="1">IFERROR(IF(OR('Raw Data'!AE47="",LEN(TRIM('Raw Data'!AE47))=0),"",IF(AND(ISNUMBER('Raw Data'!AE47), IFERROR('Raw Data'!AE47 = ROUND('Raw Data'!AE47, 2),FALSE)),"",_xlfn.REGEXEXTRACT(CELL("address",AE47), "\$([A-Z]+)\$[0-9]+"))),_xlfn.REGEXEXTRACT(CELL("address",AE47), "\$([A-Z]+)\$[0-9]+"))</f>
        <v/>
      </c>
      <c r="AF47" s="7" t="str">
        <f t="array" aca="1" ref="AF47" ca="1">IFERROR(IF(OR('Raw Data'!AF47="",LEN(TRIM('Raw Data'!AF47))=0),"",IF(AND(ISNUMBER('Raw Data'!AF47), IFERROR('Raw Data'!AF47 = ROUND('Raw Data'!AF47, 2),FALSE)),"",_xlfn.REGEXEXTRACT(CELL("address",AF47), "\$([A-Z]+)\$[0-9]+"))),_xlfn.REGEXEXTRACT(CELL("address",AF47), "\$([A-Z]+)\$[0-9]+"))</f>
        <v/>
      </c>
      <c r="AG47" s="7" t="str">
        <f t="array" aca="1" ref="AG47" ca="1">IFERROR(IF(OR('Raw Data'!AG47="",LEN(TRIM('Raw Data'!AG47))=0),"",IF(AND(ISNUMBER('Raw Data'!AG47), IFERROR('Raw Data'!AG47 = ROUND('Raw Data'!AG47, 2),FALSE)),"",_xlfn.REGEXEXTRACT(CELL("address",AG47), "\$([A-Z]+)\$[0-9]+"))),_xlfn.REGEXEXTRACT(CELL("address",AG47), "\$([A-Z]+)\$[0-9]+"))</f>
        <v/>
      </c>
      <c r="AH47" s="7" t="str">
        <f t="array" aca="1" ref="AH47" ca="1">IFERROR(IF(OR('Raw Data'!AH47="",LEN(TRIM('Raw Data'!AH47))=0),"",IF(AND(ISNUMBER('Raw Data'!AH47), IFERROR('Raw Data'!AH47 = ROUND('Raw Data'!AH47, 2),FALSE)),"",_xlfn.REGEXEXTRACT(CELL("address",AH47), "\$([A-Z]+)\$[0-9]+"))),_xlfn.REGEXEXTRACT(CELL("address",AH47), "\$([A-Z]+)\$[0-9]+"))</f>
        <v/>
      </c>
      <c r="AI47" s="7" t="str">
        <f t="array" aca="1" ref="AI47" ca="1">IFERROR(IF(OR('Raw Data'!AI47="",LEN(TRIM('Raw Data'!AI47))=0),"",IF(AND(ISNUMBER('Raw Data'!AI47), IFERROR('Raw Data'!AI47 = ROUND('Raw Data'!AI47, 2),FALSE)),"",_xlfn.REGEXEXTRACT(CELL("address",AI47), "\$([A-Z]+)\$[0-9]+"))),_xlfn.REGEXEXTRACT(CELL("address",AI47), "\$([A-Z]+)\$[0-9]+"))</f>
        <v/>
      </c>
      <c r="AJ47" s="7" t="str">
        <f t="array" aca="1" ref="AJ47" ca="1">IFERROR(IF(OR('Raw Data'!AJ47="",LEN(TRIM('Raw Data'!AJ47))=0),"",IF(AND(ISNUMBER('Raw Data'!AJ47), IFERROR('Raw Data'!AJ47 = ROUND('Raw Data'!AJ47, 4),FALSE)),"",_xlfn.REGEXEXTRACT(CELL("address",AJ47), "\$([A-Z]+)\$[0-9]+"))),_xlfn.REGEXEXTRACT(CELL("address",AJ47), "\$([A-Z]+)\$[0-9]+"))</f>
        <v/>
      </c>
      <c r="AK47" s="7" t="str">
        <f t="array" aca="1" ref="AK47" ca="1">IFERROR(IF(OR('Raw Data'!AK47="",LEN(TRIM('Raw Data'!AK47))=0),"",IF(AND(ISNUMBER('Raw Data'!AK47), IFERROR('Raw Data'!AK47 = ROUND('Raw Data'!AK47, 2),FALSE)),"",_xlfn.REGEXEXTRACT(CELL("address",AK47), "\$([A-Z]+)\$[0-9]+"))),_xlfn.REGEXEXTRACT(CELL("address",AK47), "\$([A-Z]+)\$[0-9]+"))</f>
        <v/>
      </c>
      <c r="AL47" s="7" t="str">
        <f t="array" aca="1" ref="AL47" ca="1">IFERROR(IF(OR('Raw Data'!AL47="",LEN(TRIM('Raw Data'!AL47))=0),"",IF(AND(ISNUMBER('Raw Data'!AL47), IFERROR('Raw Data'!AL47 = ROUND('Raw Data'!AL47, 2),FALSE)),"",_xlfn.REGEXEXTRACT(CELL("address",AL47), "\$([A-Z]+)\$[0-9]+"))),_xlfn.REGEXEXTRACT(CELL("address",AL47), "\$([A-Z]+)\$[0-9]+"))</f>
        <v/>
      </c>
      <c r="AM47" s="7" t="str">
        <f t="array" aca="1" ref="AM47" ca="1">IFERROR(IF(OR('Raw Data'!AM47="",LEN(TRIM('Raw Data'!AM47))=0),"",IF(AND(ISNUMBER('Raw Data'!AM47), IFERROR('Raw Data'!AM47 = ROUND('Raw Data'!AM47, 2),FALSE)),"",_xlfn.REGEXEXTRACT(CELL("address",AM47), "\$([A-Z]+)\$[0-9]+"))),_xlfn.REGEXEXTRACT(CELL("address",AM47), "\$([A-Z]+)\$[0-9]+"))</f>
        <v/>
      </c>
      <c r="AN47" s="7" t="str">
        <f t="array" aca="1" ref="AN47" ca="1">IFERROR(IF(OR('Raw Data'!AN47="",LEN(TRIM('Raw Data'!AN47))=0),"",IF(AND(ISNUMBER('Raw Data'!AN47), IFERROR('Raw Data'!AN47 = ROUND('Raw Data'!AN47, 2),FALSE)),"",_xlfn.REGEXEXTRACT(CELL("address",AN47), "\$([A-Z]+)\$[0-9]+"))),_xlfn.REGEXEXTRACT(CELL("address",AN47), "\$([A-Z]+)\$[0-9]+"))</f>
        <v/>
      </c>
      <c r="AO47" s="7" t="str">
        <f t="array" aca="1" ref="AO47" ca="1">IFERROR(IF(OR('Raw Data'!AO47="",LEN(TRIM('Raw Data'!AO47))=0),"",IF(AND(ISNUMBER('Raw Data'!AO47), IFERROR('Raw Data'!AO47 = ROUND('Raw Data'!AO47, 2),FALSE)),"",_xlfn.REGEXEXTRACT(CELL("address",AO47), "\$([A-Z]+)\$[0-9]+"))),_xlfn.REGEXEXTRACT(CELL("address",AO47), "\$([A-Z]+)\$[0-9]+"))</f>
        <v/>
      </c>
      <c r="AP47" s="7" t="str">
        <f t="array" aca="1" ref="AP47" ca="1">IFERROR(IF(OR('Raw Data'!AP47="",LEN(TRIM('Raw Data'!AP47))=0),"",IF(AND(ISNUMBER('Raw Data'!AP47), IFERROR('Raw Data'!AP47 = ROUND('Raw Data'!AP47, 2),FALSE)),"",_xlfn.REGEXEXTRACT(CELL("address",AP47), "\$([A-Z]+)\$[0-9]+"))),_xlfn.REGEXEXTRACT(CELL("address",AP47), "\$([A-Z]+)\$[0-9]+"))</f>
        <v/>
      </c>
    </row>
    <row r="48" spans="2:42" x14ac:dyDescent="0.25">
      <c r="B48" s="7" t="str">
        <f t="array" aca="1" ref="B48" ca="1">IFERROR(IF(OR('Raw Data'!B48="",LEN(TRIM('Raw Data'!B48))=0),"",IF(AND(LEN('Raw Data'!B48) &lt;= 255,LEN('Raw Data'!B48)&gt; 0),"",_xlfn.REGEXEXTRACT(CELL("address",'Raw Data'!B48),"\$([A-Z]+)\$[0-9]+"))),_xlfn.REGEXEXTRACT(CELL("address",'Raw Data'!B48),"\$([A-Z]+)\$[0-9]+"))</f>
        <v/>
      </c>
      <c r="C48" s="7" t="str">
        <f t="array" aca="1" ref="C48" ca="1">IFERROR(IF(OR('Raw Data'!C48="",LEN(TRIM('Raw Data'!C48))=0),"",IF(AND(LEN('Raw Data'!C48) &lt;= 50,LEN('Raw Data'!C48)&gt; 0),"",_xlfn.REGEXEXTRACT(CELL("address",'Raw Data'!C48),"\$([A-Z]+)\$[0-9]+"))),_xlfn.REGEXEXTRACT(CELL("address",'Raw Data'!C48),"\$([A-Z]+)\$[0-9]+"))</f>
        <v/>
      </c>
      <c r="D48" s="7" t="str">
        <f t="array" aca="1" ref="D48" ca="1">IFERROR(IF(OR('Raw Data'!D48="",LEN(TRIM('Raw Data'!D48))=0),"",IF(AND(LEN('Raw Data'!D48) &lt;= 500,LEN('Raw Data'!D48)&gt; 0),"",_xlfn.REGEXEXTRACT(CELL("address",'Raw Data'!D48),"\$([A-Z]+)\$[0-9]+"))),_xlfn.REGEXEXTRACT(CELL("address",'Raw Data'!D48),"\$([A-Z]+)\$[0-9]+"))</f>
        <v/>
      </c>
      <c r="E48" s="7" t="str">
        <f t="array" aca="1" ref="E48" ca="1">IFERROR(IF(OR('Raw Data'!E48="",LEN(TRIM('Raw Data'!E48))=0),"",IF(AND(LEN('Raw Data'!E48) &lt;= 50,LEN('Raw Data'!E48)&gt; 0),"",_xlfn.REGEXEXTRACT(CELL("address",'Raw Data'!E48),"\$([A-Z]+)\$[0-9]+"))),_xlfn.REGEXEXTRACT(CELL("address",'Raw Data'!E48),"\$([A-Z]+)\$[0-9]+"))</f>
        <v/>
      </c>
      <c r="F48" s="7" t="str">
        <f t="array" aca="1" ref="F48" ca="1">IFERROR(IF(OR('Raw Data'!F48="",LEN(TRIM('Raw Data'!F48))=0),"",IF(AND(LEN('Raw Data'!F48) &lt;= 50,LEN('Raw Data'!F48)&gt; 0),"",_xlfn.REGEXEXTRACT(CELL("address",'Raw Data'!F48),"\$([A-Z]+)\$[0-9]+"))),_xlfn.REGEXEXTRACT(CELL("address",'Raw Data'!F48),"\$([A-Z]+)\$[0-9]+"))</f>
        <v/>
      </c>
      <c r="G48" s="7" t="str">
        <f t="array" aca="1" ref="G48" ca="1">IFERROR(IF(OR('Raw Data'!G48="",LEN(TRIM('Raw Data'!G48))=0),"",IF(AND(LEN('Raw Data'!G48) &lt;= 50,LEN('Raw Data'!G48)&gt; 0),"",_xlfn.REGEXEXTRACT(CELL("address",'Raw Data'!G48),"\$([A-Z]+)\$[0-9]+"))),_xlfn.REGEXEXTRACT(CELL("address",'Raw Data'!G48),"\$([A-Z]+)\$[0-9]+"))</f>
        <v/>
      </c>
      <c r="H48" s="7" t="str">
        <f t="array" aca="1" ref="H48" ca="1">IFERROR(IF(OR('Raw Data'!H48="",LEN(TRIM('Raw Data'!H48))=0),"",IF(AND(LEN('Raw Data'!H48) &lt;= 50,LEN('Raw Data'!H48)&gt; 0),"",_xlfn.REGEXEXTRACT(CELL("address",'Raw Data'!H48),"\$([A-Z]+)\$[0-9]+"))),_xlfn.REGEXEXTRACT(CELL("address",'Raw Data'!H48),"\$([A-Z]+)\$[0-9]+"))</f>
        <v/>
      </c>
      <c r="I48" s="7" t="str">
        <f t="array" aca="1" ref="I48" ca="1">IFERROR(IF(OR('Raw Data'!I48="",LEN(TRIM('Raw Data'!I48))=0),"",IF(AND(LEN('Raw Data'!I48) &lt;= 50,LEN('Raw Data'!I48)&gt; 0),"",_xlfn.REGEXEXTRACT(CELL("address",'Raw Data'!I48),"\$([A-Z]+)\$[0-9]+"))),_xlfn.REGEXEXTRACT(CELL("address",'Raw Data'!I48),"\$([A-Z]+)\$[0-9]+"))</f>
        <v/>
      </c>
      <c r="J48" s="7" t="str">
        <f t="array" aca="1" ref="J48" ca="1">IFERROR(IF(OR('Raw Data'!J48="",LEN(TRIM('Raw Data'!J48))=0),"",IF(AND(ISNUMBER('Raw Data'!J48), IFERROR('Raw Data'!J48 = ROUND('Raw Data'!J48, 2),FALSE)),"",_xlfn.REGEXEXTRACT(CELL("address",J48), "\$([A-Z]+)\$[0-9]+"))),_xlfn.REGEXEXTRACT(CELL("address",J48), "\$([A-Z]+)\$[0-9]+"))</f>
        <v/>
      </c>
      <c r="K48" s="7" t="str">
        <f t="array" aca="1" ref="K48" ca="1">IFERROR(IF(OR('Raw Data'!K48="",LEN(TRIM('Raw Data'!K48))=0),"",IF(AND(ISNUMBER('Raw Data'!K48), IFERROR('Raw Data'!K48 = ROUND('Raw Data'!K48, 2),FALSE)),"",_xlfn.REGEXEXTRACT(CELL("address",K48), "\$([A-Z]+)\$[0-9]+"))),_xlfn.REGEXEXTRACT(CELL("address",K48), "\$([A-Z]+)\$[0-9]+"))</f>
        <v/>
      </c>
      <c r="L48" s="7" t="str">
        <f t="array" aca="1" ref="L48" ca="1">IFERROR(IF(OR('Raw Data'!L48="",LEN(TRIM('Raw Data'!L48))=0),"",IF(AND(ISNUMBER('Raw Data'!L48), IFERROR('Raw Data'!L48 = ROUND('Raw Data'!L48, 2),FALSE)),"",_xlfn.REGEXEXTRACT(CELL("address",L48), "\$([A-Z]+)\$[0-9]+"))),_xlfn.REGEXEXTRACT(CELL("address",L48), "\$([A-Z]+)\$[0-9]+"))</f>
        <v/>
      </c>
      <c r="M48" s="7" t="str">
        <f t="array" aca="1" ref="M48" ca="1">IFERROR(IF(OR('Raw Data'!M48="",LEN(TRIM('Raw Data'!M48))=0),"",IF(AND(ISNUMBER('Raw Data'!M48), IFERROR('Raw Data'!M48 = ROUND('Raw Data'!M48, 2),FALSE)),"",_xlfn.REGEXEXTRACT(CELL("address",M48), "\$([A-Z]+)\$[0-9]+"))),_xlfn.REGEXEXTRACT(CELL("address",M48), "\$([A-Z]+)\$[0-9]+"))</f>
        <v/>
      </c>
      <c r="N48" s="7" t="str">
        <f t="array" aca="1" ref="N48" ca="1">IFERROR(IF(OR('Raw Data'!N48="",LEN(TRIM('Raw Data'!N48))=0),"",IF(AND(ISNUMBER('Raw Data'!N48), IFERROR('Raw Data'!N48 = ROUND('Raw Data'!N48, 2),FALSE)),"",_xlfn.REGEXEXTRACT(CELL("address",N48), "\$([A-Z]+)\$[0-9]+"))),_xlfn.REGEXEXTRACT(CELL("address",N48), "\$([A-Z]+)\$[0-9]+"))</f>
        <v/>
      </c>
      <c r="O48" s="7" t="str">
        <f t="array" aca="1" ref="O48" ca="1">IFERROR(IF(OR('Raw Data'!O48="",LEN(TRIM('Raw Data'!O48))=0),"",IF(AND(ISNUMBER('Raw Data'!O48),'Raw Data'!O48&gt;=Configuration!$D$2),"",_xlfn.REGEXEXTRACT(CELL("address",'Raw Data'!O48),"\$([A-Z]+)\$[0-9]+"))),_xlfn.REGEXEXTRACT(CELL("address",O48), "\$([A-Z]+)\$[0-9]+"))</f>
        <v/>
      </c>
      <c r="P48" s="7" t="str">
        <f t="array" aca="1" ref="P48" ca="1">IFERROR(IF(OR('Raw Data'!P48="",LEN(TRIM('Raw Data'!P48))=0),"",IF(AND(ISNUMBER('Raw Data'!P48), IFERROR('Raw Data'!P48 = ROUND('Raw Data'!P48, 2),FALSE)),"",_xlfn.REGEXEXTRACT(CELL("address",P48), "\$([A-Z]+)\$[0-9]+"))),_xlfn.REGEXEXTRACT(CELL("address",P48), "\$([A-Z]+)\$[0-9]+"))</f>
        <v/>
      </c>
      <c r="Q48" s="7" t="str">
        <f t="array" aca="1" ref="Q48" ca="1">IFERROR(IF(OR('Raw Data'!Q48="",LEN(TRIM('Raw Data'!Q48))=0),"",IF(AND(ISNUMBER('Raw Data'!Q48), IFERROR('Raw Data'!Q48 = ROUND('Raw Data'!Q48, 2),FALSE)),"",_xlfn.REGEXEXTRACT(CELL("address",Q48), "\$([A-Z]+)\$[0-9]+"))),_xlfn.REGEXEXTRACT(CELL("address",Q48), "\$([A-Z]+)\$[0-9]+"))</f>
        <v/>
      </c>
      <c r="R48" s="7" t="str">
        <f t="array" aca="1" ref="R48" ca="1">IFERROR(IF(OR('Raw Data'!R48="",LEN(TRIM('Raw Data'!R48))=0),"",IF(AND(LEN('Raw Data'!R48) &lt;= 50,LEN('Raw Data'!R48)&gt; 0),"",_xlfn.REGEXEXTRACT(CELL("address",'Raw Data'!R48),"\$([A-Z]+)\$[0-9]+"))),_xlfn.REGEXEXTRACT(CELL("address",'Raw Data'!R48),"\$([A-Z]+)\$[0-9]+"))</f>
        <v/>
      </c>
      <c r="S48" s="7" t="str">
        <f t="array" aca="1" ref="S48" ca="1">IFERROR(IF(OR('Raw Data'!S48="",LEN(TRIM('Raw Data'!S48))=0),"",IF(AND(LEN('Raw Data'!S48) &lt;= 50,LEN('Raw Data'!S48)&gt; 0),"",_xlfn.REGEXEXTRACT(CELL("address",'Raw Data'!S48),"\$([A-Z]+)\$[0-9]+"))),_xlfn.REGEXEXTRACT(CELL("address",'Raw Data'!S48),"\$([A-Z]+)\$[0-9]+"))</f>
        <v/>
      </c>
      <c r="T48" s="7" t="str">
        <f t="array" aca="1" ref="T48" ca="1">IFERROR(IF(OR('Raw Data'!T48="",LEN(TRIM('Raw Data'!T48))=0),"",IF(AND(ISNUMBER('Raw Data'!T48), IFERROR('Raw Data'!T48 = ROUND('Raw Data'!T48, 2),FALSE)),"",_xlfn.REGEXEXTRACT(CELL("address",T48), "\$([A-Z]+)\$[0-9]+"))),_xlfn.REGEXEXTRACT(CELL("address",T48), "\$([A-Z]+)\$[0-9]+"))</f>
        <v/>
      </c>
      <c r="U48" s="7" t="str">
        <f t="array" aca="1" ref="U48" ca="1">IFERROR(IF(OR('Raw Data'!U48="",LEN(TRIM('Raw Data'!U48))=0),"",IF(AND(ISNUMBER('Raw Data'!U48), IFERROR('Raw Data'!U48 = ROUND('Raw Data'!U48, 2),FALSE)),"",_xlfn.REGEXEXTRACT(CELL("address",U48), "\$([A-Z]+)\$[0-9]+"))),_xlfn.REGEXEXTRACT(CELL("address",U48), "\$([A-Z]+)\$[0-9]+"))</f>
        <v/>
      </c>
      <c r="V48" s="7" t="str">
        <f t="array" aca="1" ref="V48" ca="1">IFERROR(IF(OR('Raw Data'!V48="",LEN(TRIM('Raw Data'!V48))=0),"",IF(AND(ISNUMBER('Raw Data'!V48), IFERROR('Raw Data'!V48 = ROUND('Raw Data'!V48, 2),FALSE)),"",_xlfn.REGEXEXTRACT(CELL("address",V48), "\$([A-Z]+)\$[0-9]+"))),_xlfn.REGEXEXTRACT(CELL("address",V48), "\$([A-Z]+)\$[0-9]+"))</f>
        <v/>
      </c>
      <c r="W48" s="7" t="str">
        <f t="array" aca="1" ref="W48" ca="1">IFERROR(IF(OR('Raw Data'!W48="",LEN(TRIM('Raw Data'!W48))=0),"",IF(AND(ISNUMBER('Raw Data'!W48), IFERROR('Raw Data'!W48 = ROUND('Raw Data'!W48, 2),FALSE)),"",_xlfn.REGEXEXTRACT(CELL("address",W48), "\$([A-Z]+)\$[0-9]+"))),_xlfn.REGEXEXTRACT(CELL("address",W48), "\$([A-Z]+)\$[0-9]+"))</f>
        <v/>
      </c>
      <c r="X48" s="7" t="str">
        <f t="array" aca="1" ref="X48" ca="1">IFERROR(IF(OR('Raw Data'!X48="",LEN(TRIM('Raw Data'!X48))=0),"",IF(AND(ISNUMBER('Raw Data'!X48), IFERROR('Raw Data'!X48 = ROUND('Raw Data'!X48, 2),FALSE)),"",_xlfn.REGEXEXTRACT(CELL("address",X48), "\$([A-Z]+)\$[0-9]+"))),_xlfn.REGEXEXTRACT(CELL("address",X48), "\$([A-Z]+)\$[0-9]+"))</f>
        <v/>
      </c>
      <c r="Y48" s="7" t="str">
        <f t="array" aca="1" ref="Y48" ca="1">IFERROR(IF(OR('Raw Data'!Y48="",LEN(TRIM('Raw Data'!Y48))=0),"",IF(AND(ISNUMBER('Raw Data'!Y48), IFERROR('Raw Data'!Y48 = ROUND('Raw Data'!Y48, 2),FALSE)),"",_xlfn.REGEXEXTRACT(CELL("address",Y48), "\$([A-Z]+)\$[0-9]+"))),_xlfn.REGEXEXTRACT(CELL("address",Y48), "\$([A-Z]+)\$[0-9]+"))</f>
        <v/>
      </c>
      <c r="Z48" s="7" t="str">
        <f t="array" aca="1" ref="Z48" ca="1">IFERROR(IF(OR('Raw Data'!Z48="",LEN(TRIM('Raw Data'!Z48))=0),"",IF(AND(ISNUMBER('Raw Data'!Z48), IFERROR('Raw Data'!Z48 = ROUND('Raw Data'!Z48, 2),FALSE)),"",_xlfn.REGEXEXTRACT(CELL("address",Z48), "\$([A-Z]+)\$[0-9]+"))),_xlfn.REGEXEXTRACT(CELL("address",Z48), "\$([A-Z]+)\$[0-9]+"))</f>
        <v/>
      </c>
      <c r="AA48" s="7" t="str">
        <f t="array" aca="1" ref="AA48" ca="1">IFERROR(IF(OR('Raw Data'!AA48="",LEN(TRIM('Raw Data'!AA48))=0),"",IF(AND(ISNUMBER('Raw Data'!AA48), IFERROR('Raw Data'!AA48 = ROUND('Raw Data'!AA48, 2),FALSE)),"",_xlfn.REGEXEXTRACT(CELL("address",AA48), "\$([A-Z]+)\$[0-9]+"))),_xlfn.REGEXEXTRACT(CELL("address",AA48), "\$([A-Z]+)\$[0-9]+"))</f>
        <v/>
      </c>
      <c r="AB48" s="7" t="str">
        <f t="array" aca="1" ref="AB48" ca="1">IFERROR(IF(OR('Raw Data'!AB48="",LEN(TRIM('Raw Data'!AB48))=0),"",IF(AND(ISNUMBER('Raw Data'!AB48), IFERROR('Raw Data'!AB48 = ROUND('Raw Data'!AB48, 2),FALSE)),"",_xlfn.REGEXEXTRACT(CELL("address",AB48), "\$([A-Z]+)\$[0-9]+"))),_xlfn.REGEXEXTRACT(CELL("address",AB48), "\$([A-Z]+)\$[0-9]+"))</f>
        <v/>
      </c>
      <c r="AC48" s="7" t="str">
        <f t="array" aca="1" ref="AC48" ca="1">IFERROR(IF(OR('Raw Data'!AC48="",LEN(TRIM('Raw Data'!AC48))=0),"",IF(AND(ISNUMBER('Raw Data'!AC48), IFERROR('Raw Data'!AC48 = ROUND('Raw Data'!AC48, 2),FALSE)),"",_xlfn.REGEXEXTRACT(CELL("address",AC48), "\$([A-Z]+)\$[0-9]+"))),_xlfn.REGEXEXTRACT(CELL("address",AC48), "\$([A-Z]+)\$[0-9]+"))</f>
        <v/>
      </c>
      <c r="AD48" s="7" t="str">
        <f t="array" aca="1" ref="AD48" ca="1">IFERROR(IF(OR('Raw Data'!AD48="",LEN(TRIM('Raw Data'!AD48))=0),"",IF(AND(ISNUMBER('Raw Data'!AD48), IFERROR('Raw Data'!AD48 = ROUND('Raw Data'!AD48, 2),FALSE)),"",_xlfn.REGEXEXTRACT(CELL("address",AD48), "\$([A-Z]+)\$[0-9]+"))),_xlfn.REGEXEXTRACT(CELL("address",AD48), "\$([A-Z]+)\$[0-9]+"))</f>
        <v/>
      </c>
      <c r="AE48" s="7" t="str">
        <f t="array" aca="1" ref="AE48" ca="1">IFERROR(IF(OR('Raw Data'!AE48="",LEN(TRIM('Raw Data'!AE48))=0),"",IF(AND(ISNUMBER('Raw Data'!AE48), IFERROR('Raw Data'!AE48 = ROUND('Raw Data'!AE48, 2),FALSE)),"",_xlfn.REGEXEXTRACT(CELL("address",AE48), "\$([A-Z]+)\$[0-9]+"))),_xlfn.REGEXEXTRACT(CELL("address",AE48), "\$([A-Z]+)\$[0-9]+"))</f>
        <v/>
      </c>
      <c r="AF48" s="7" t="str">
        <f t="array" aca="1" ref="AF48" ca="1">IFERROR(IF(OR('Raw Data'!AF48="",LEN(TRIM('Raw Data'!AF48))=0),"",IF(AND(ISNUMBER('Raw Data'!AF48), IFERROR('Raw Data'!AF48 = ROUND('Raw Data'!AF48, 2),FALSE)),"",_xlfn.REGEXEXTRACT(CELL("address",AF48), "\$([A-Z]+)\$[0-9]+"))),_xlfn.REGEXEXTRACT(CELL("address",AF48), "\$([A-Z]+)\$[0-9]+"))</f>
        <v/>
      </c>
      <c r="AG48" s="7" t="str">
        <f t="array" aca="1" ref="AG48" ca="1">IFERROR(IF(OR('Raw Data'!AG48="",LEN(TRIM('Raw Data'!AG48))=0),"",IF(AND(ISNUMBER('Raw Data'!AG48), IFERROR('Raw Data'!AG48 = ROUND('Raw Data'!AG48, 2),FALSE)),"",_xlfn.REGEXEXTRACT(CELL("address",AG48), "\$([A-Z]+)\$[0-9]+"))),_xlfn.REGEXEXTRACT(CELL("address",AG48), "\$([A-Z]+)\$[0-9]+"))</f>
        <v/>
      </c>
      <c r="AH48" s="7" t="str">
        <f t="array" aca="1" ref="AH48" ca="1">IFERROR(IF(OR('Raw Data'!AH48="",LEN(TRIM('Raw Data'!AH48))=0),"",IF(AND(ISNUMBER('Raw Data'!AH48), IFERROR('Raw Data'!AH48 = ROUND('Raw Data'!AH48, 2),FALSE)),"",_xlfn.REGEXEXTRACT(CELL("address",AH48), "\$([A-Z]+)\$[0-9]+"))),_xlfn.REGEXEXTRACT(CELL("address",AH48), "\$([A-Z]+)\$[0-9]+"))</f>
        <v/>
      </c>
      <c r="AI48" s="7" t="str">
        <f t="array" aca="1" ref="AI48" ca="1">IFERROR(IF(OR('Raw Data'!AI48="",LEN(TRIM('Raw Data'!AI48))=0),"",IF(AND(ISNUMBER('Raw Data'!AI48), IFERROR('Raw Data'!AI48 = ROUND('Raw Data'!AI48, 2),FALSE)),"",_xlfn.REGEXEXTRACT(CELL("address",AI48), "\$([A-Z]+)\$[0-9]+"))),_xlfn.REGEXEXTRACT(CELL("address",AI48), "\$([A-Z]+)\$[0-9]+"))</f>
        <v/>
      </c>
      <c r="AJ48" s="7" t="str">
        <f t="array" aca="1" ref="AJ48" ca="1">IFERROR(IF(OR('Raw Data'!AJ48="",LEN(TRIM('Raw Data'!AJ48))=0),"",IF(AND(ISNUMBER('Raw Data'!AJ48), IFERROR('Raw Data'!AJ48 = ROUND('Raw Data'!AJ48, 4),FALSE)),"",_xlfn.REGEXEXTRACT(CELL("address",AJ48), "\$([A-Z]+)\$[0-9]+"))),_xlfn.REGEXEXTRACT(CELL("address",AJ48), "\$([A-Z]+)\$[0-9]+"))</f>
        <v/>
      </c>
      <c r="AK48" s="7" t="str">
        <f t="array" aca="1" ref="AK48" ca="1">IFERROR(IF(OR('Raw Data'!AK48="",LEN(TRIM('Raw Data'!AK48))=0),"",IF(AND(ISNUMBER('Raw Data'!AK48), IFERROR('Raw Data'!AK48 = ROUND('Raw Data'!AK48, 2),FALSE)),"",_xlfn.REGEXEXTRACT(CELL("address",AK48), "\$([A-Z]+)\$[0-9]+"))),_xlfn.REGEXEXTRACT(CELL("address",AK48), "\$([A-Z]+)\$[0-9]+"))</f>
        <v/>
      </c>
      <c r="AL48" s="7" t="str">
        <f t="array" aca="1" ref="AL48" ca="1">IFERROR(IF(OR('Raw Data'!AL48="",LEN(TRIM('Raw Data'!AL48))=0),"",IF(AND(ISNUMBER('Raw Data'!AL48), IFERROR('Raw Data'!AL48 = ROUND('Raw Data'!AL48, 2),FALSE)),"",_xlfn.REGEXEXTRACT(CELL("address",AL48), "\$([A-Z]+)\$[0-9]+"))),_xlfn.REGEXEXTRACT(CELL("address",AL48), "\$([A-Z]+)\$[0-9]+"))</f>
        <v/>
      </c>
      <c r="AM48" s="7" t="str">
        <f t="array" aca="1" ref="AM48" ca="1">IFERROR(IF(OR('Raw Data'!AM48="",LEN(TRIM('Raw Data'!AM48))=0),"",IF(AND(ISNUMBER('Raw Data'!AM48), IFERROR('Raw Data'!AM48 = ROUND('Raw Data'!AM48, 2),FALSE)),"",_xlfn.REGEXEXTRACT(CELL("address",AM48), "\$([A-Z]+)\$[0-9]+"))),_xlfn.REGEXEXTRACT(CELL("address",AM48), "\$([A-Z]+)\$[0-9]+"))</f>
        <v/>
      </c>
      <c r="AN48" s="7" t="str">
        <f t="array" aca="1" ref="AN48" ca="1">IFERROR(IF(OR('Raw Data'!AN48="",LEN(TRIM('Raw Data'!AN48))=0),"",IF(AND(ISNUMBER('Raw Data'!AN48), IFERROR('Raw Data'!AN48 = ROUND('Raw Data'!AN48, 2),FALSE)),"",_xlfn.REGEXEXTRACT(CELL("address",AN48), "\$([A-Z]+)\$[0-9]+"))),_xlfn.REGEXEXTRACT(CELL("address",AN48), "\$([A-Z]+)\$[0-9]+"))</f>
        <v/>
      </c>
      <c r="AO48" s="7" t="str">
        <f t="array" aca="1" ref="AO48" ca="1">IFERROR(IF(OR('Raw Data'!AO48="",LEN(TRIM('Raw Data'!AO48))=0),"",IF(AND(ISNUMBER('Raw Data'!AO48), IFERROR('Raw Data'!AO48 = ROUND('Raw Data'!AO48, 2),FALSE)),"",_xlfn.REGEXEXTRACT(CELL("address",AO48), "\$([A-Z]+)\$[0-9]+"))),_xlfn.REGEXEXTRACT(CELL("address",AO48), "\$([A-Z]+)\$[0-9]+"))</f>
        <v/>
      </c>
      <c r="AP48" s="7" t="str">
        <f t="array" aca="1" ref="AP48" ca="1">IFERROR(IF(OR('Raw Data'!AP48="",LEN(TRIM('Raw Data'!AP48))=0),"",IF(AND(ISNUMBER('Raw Data'!AP48), IFERROR('Raw Data'!AP48 = ROUND('Raw Data'!AP48, 2),FALSE)),"",_xlfn.REGEXEXTRACT(CELL("address",AP48), "\$([A-Z]+)\$[0-9]+"))),_xlfn.REGEXEXTRACT(CELL("address",AP48), "\$([A-Z]+)\$[0-9]+"))</f>
        <v/>
      </c>
    </row>
    <row r="49" spans="2:42" x14ac:dyDescent="0.25">
      <c r="B49" s="7" t="str">
        <f t="array" aca="1" ref="B49" ca="1">IFERROR(IF(OR('Raw Data'!B49="",LEN(TRIM('Raw Data'!B49))=0),"",IF(AND(LEN('Raw Data'!B49) &lt;= 255,LEN('Raw Data'!B49)&gt; 0),"",_xlfn.REGEXEXTRACT(CELL("address",'Raw Data'!B49),"\$([A-Z]+)\$[0-9]+"))),_xlfn.REGEXEXTRACT(CELL("address",'Raw Data'!B49),"\$([A-Z]+)\$[0-9]+"))</f>
        <v/>
      </c>
      <c r="C49" s="7" t="str">
        <f t="array" aca="1" ref="C49" ca="1">IFERROR(IF(OR('Raw Data'!C49="",LEN(TRIM('Raw Data'!C49))=0),"",IF(AND(LEN('Raw Data'!C49) &lt;= 50,LEN('Raw Data'!C49)&gt; 0),"",_xlfn.REGEXEXTRACT(CELL("address",'Raw Data'!C49),"\$([A-Z]+)\$[0-9]+"))),_xlfn.REGEXEXTRACT(CELL("address",'Raw Data'!C49),"\$([A-Z]+)\$[0-9]+"))</f>
        <v/>
      </c>
      <c r="D49" s="7" t="str">
        <f t="array" aca="1" ref="D49" ca="1">IFERROR(IF(OR('Raw Data'!D49="",LEN(TRIM('Raw Data'!D49))=0),"",IF(AND(LEN('Raw Data'!D49) &lt;= 500,LEN('Raw Data'!D49)&gt; 0),"",_xlfn.REGEXEXTRACT(CELL("address",'Raw Data'!D49),"\$([A-Z]+)\$[0-9]+"))),_xlfn.REGEXEXTRACT(CELL("address",'Raw Data'!D49),"\$([A-Z]+)\$[0-9]+"))</f>
        <v/>
      </c>
      <c r="E49" s="7" t="str">
        <f t="array" aca="1" ref="E49" ca="1">IFERROR(IF(OR('Raw Data'!E49="",LEN(TRIM('Raw Data'!E49))=0),"",IF(AND(LEN('Raw Data'!E49) &lt;= 50,LEN('Raw Data'!E49)&gt; 0),"",_xlfn.REGEXEXTRACT(CELL("address",'Raw Data'!E49),"\$([A-Z]+)\$[0-9]+"))),_xlfn.REGEXEXTRACT(CELL("address",'Raw Data'!E49),"\$([A-Z]+)\$[0-9]+"))</f>
        <v/>
      </c>
      <c r="F49" s="7" t="str">
        <f t="array" aca="1" ref="F49" ca="1">IFERROR(IF(OR('Raw Data'!F49="",LEN(TRIM('Raw Data'!F49))=0),"",IF(AND(LEN('Raw Data'!F49) &lt;= 50,LEN('Raw Data'!F49)&gt; 0),"",_xlfn.REGEXEXTRACT(CELL("address",'Raw Data'!F49),"\$([A-Z]+)\$[0-9]+"))),_xlfn.REGEXEXTRACT(CELL("address",'Raw Data'!F49),"\$([A-Z]+)\$[0-9]+"))</f>
        <v/>
      </c>
      <c r="G49" s="7" t="str">
        <f t="array" aca="1" ref="G49" ca="1">IFERROR(IF(OR('Raw Data'!G49="",LEN(TRIM('Raw Data'!G49))=0),"",IF(AND(LEN('Raw Data'!G49) &lt;= 50,LEN('Raw Data'!G49)&gt; 0),"",_xlfn.REGEXEXTRACT(CELL("address",'Raw Data'!G49),"\$([A-Z]+)\$[0-9]+"))),_xlfn.REGEXEXTRACT(CELL("address",'Raw Data'!G49),"\$([A-Z]+)\$[0-9]+"))</f>
        <v/>
      </c>
      <c r="H49" s="7" t="str">
        <f t="array" aca="1" ref="H49" ca="1">IFERROR(IF(OR('Raw Data'!H49="",LEN(TRIM('Raw Data'!H49))=0),"",IF(AND(LEN('Raw Data'!H49) &lt;= 50,LEN('Raw Data'!H49)&gt; 0),"",_xlfn.REGEXEXTRACT(CELL("address",'Raw Data'!H49),"\$([A-Z]+)\$[0-9]+"))),_xlfn.REGEXEXTRACT(CELL("address",'Raw Data'!H49),"\$([A-Z]+)\$[0-9]+"))</f>
        <v/>
      </c>
      <c r="I49" s="7" t="str">
        <f t="array" aca="1" ref="I49" ca="1">IFERROR(IF(OR('Raw Data'!I49="",LEN(TRIM('Raw Data'!I49))=0),"",IF(AND(LEN('Raw Data'!I49) &lt;= 50,LEN('Raw Data'!I49)&gt; 0),"",_xlfn.REGEXEXTRACT(CELL("address",'Raw Data'!I49),"\$([A-Z]+)\$[0-9]+"))),_xlfn.REGEXEXTRACT(CELL("address",'Raw Data'!I49),"\$([A-Z]+)\$[0-9]+"))</f>
        <v/>
      </c>
      <c r="J49" s="7" t="str">
        <f t="array" aca="1" ref="J49" ca="1">IFERROR(IF(OR('Raw Data'!J49="",LEN(TRIM('Raw Data'!J49))=0),"",IF(AND(ISNUMBER('Raw Data'!J49), IFERROR('Raw Data'!J49 = ROUND('Raw Data'!J49, 2),FALSE)),"",_xlfn.REGEXEXTRACT(CELL("address",J49), "\$([A-Z]+)\$[0-9]+"))),_xlfn.REGEXEXTRACT(CELL("address",J49), "\$([A-Z]+)\$[0-9]+"))</f>
        <v/>
      </c>
      <c r="K49" s="7" t="str">
        <f t="array" aca="1" ref="K49" ca="1">IFERROR(IF(OR('Raw Data'!K49="",LEN(TRIM('Raw Data'!K49))=0),"",IF(AND(ISNUMBER('Raw Data'!K49), IFERROR('Raw Data'!K49 = ROUND('Raw Data'!K49, 2),FALSE)),"",_xlfn.REGEXEXTRACT(CELL("address",K49), "\$([A-Z]+)\$[0-9]+"))),_xlfn.REGEXEXTRACT(CELL("address",K49), "\$([A-Z]+)\$[0-9]+"))</f>
        <v/>
      </c>
      <c r="L49" s="7" t="str">
        <f t="array" aca="1" ref="L49" ca="1">IFERROR(IF(OR('Raw Data'!L49="",LEN(TRIM('Raw Data'!L49))=0),"",IF(AND(ISNUMBER('Raw Data'!L49), IFERROR('Raw Data'!L49 = ROUND('Raw Data'!L49, 2),FALSE)),"",_xlfn.REGEXEXTRACT(CELL("address",L49), "\$([A-Z]+)\$[0-9]+"))),_xlfn.REGEXEXTRACT(CELL("address",L49), "\$([A-Z]+)\$[0-9]+"))</f>
        <v/>
      </c>
      <c r="M49" s="7" t="str">
        <f t="array" aca="1" ref="M49" ca="1">IFERROR(IF(OR('Raw Data'!M49="",LEN(TRIM('Raw Data'!M49))=0),"",IF(AND(ISNUMBER('Raw Data'!M49), IFERROR('Raw Data'!M49 = ROUND('Raw Data'!M49, 2),FALSE)),"",_xlfn.REGEXEXTRACT(CELL("address",M49), "\$([A-Z]+)\$[0-9]+"))),_xlfn.REGEXEXTRACT(CELL("address",M49), "\$([A-Z]+)\$[0-9]+"))</f>
        <v/>
      </c>
      <c r="N49" s="7" t="str">
        <f t="array" aca="1" ref="N49" ca="1">IFERROR(IF(OR('Raw Data'!N49="",LEN(TRIM('Raw Data'!N49))=0),"",IF(AND(ISNUMBER('Raw Data'!N49), IFERROR('Raw Data'!N49 = ROUND('Raw Data'!N49, 2),FALSE)),"",_xlfn.REGEXEXTRACT(CELL("address",N49), "\$([A-Z]+)\$[0-9]+"))),_xlfn.REGEXEXTRACT(CELL("address",N49), "\$([A-Z]+)\$[0-9]+"))</f>
        <v/>
      </c>
      <c r="O49" s="7" t="str">
        <f t="array" aca="1" ref="O49" ca="1">IFERROR(IF(OR('Raw Data'!O49="",LEN(TRIM('Raw Data'!O49))=0),"",IF(AND(ISNUMBER('Raw Data'!O49),'Raw Data'!O49&gt;=Configuration!$D$2),"",_xlfn.REGEXEXTRACT(CELL("address",'Raw Data'!O49),"\$([A-Z]+)\$[0-9]+"))),_xlfn.REGEXEXTRACT(CELL("address",O49), "\$([A-Z]+)\$[0-9]+"))</f>
        <v/>
      </c>
      <c r="P49" s="7" t="str">
        <f t="array" aca="1" ref="P49" ca="1">IFERROR(IF(OR('Raw Data'!P49="",LEN(TRIM('Raw Data'!P49))=0),"",IF(AND(ISNUMBER('Raw Data'!P49), IFERROR('Raw Data'!P49 = ROUND('Raw Data'!P49, 2),FALSE)),"",_xlfn.REGEXEXTRACT(CELL("address",P49), "\$([A-Z]+)\$[0-9]+"))),_xlfn.REGEXEXTRACT(CELL("address",P49), "\$([A-Z]+)\$[0-9]+"))</f>
        <v/>
      </c>
      <c r="Q49" s="7" t="str">
        <f t="array" aca="1" ref="Q49" ca="1">IFERROR(IF(OR('Raw Data'!Q49="",LEN(TRIM('Raw Data'!Q49))=0),"",IF(AND(ISNUMBER('Raw Data'!Q49), IFERROR('Raw Data'!Q49 = ROUND('Raw Data'!Q49, 2),FALSE)),"",_xlfn.REGEXEXTRACT(CELL("address",Q49), "\$([A-Z]+)\$[0-9]+"))),_xlfn.REGEXEXTRACT(CELL("address",Q49), "\$([A-Z]+)\$[0-9]+"))</f>
        <v/>
      </c>
      <c r="R49" s="7" t="str">
        <f t="array" aca="1" ref="R49" ca="1">IFERROR(IF(OR('Raw Data'!R49="",LEN(TRIM('Raw Data'!R49))=0),"",IF(AND(LEN('Raw Data'!R49) &lt;= 50,LEN('Raw Data'!R49)&gt; 0),"",_xlfn.REGEXEXTRACT(CELL("address",'Raw Data'!R49),"\$([A-Z]+)\$[0-9]+"))),_xlfn.REGEXEXTRACT(CELL("address",'Raw Data'!R49),"\$([A-Z]+)\$[0-9]+"))</f>
        <v/>
      </c>
      <c r="S49" s="7" t="str">
        <f t="array" aca="1" ref="S49" ca="1">IFERROR(IF(OR('Raw Data'!S49="",LEN(TRIM('Raw Data'!S49))=0),"",IF(AND(LEN('Raw Data'!S49) &lt;= 50,LEN('Raw Data'!S49)&gt; 0),"",_xlfn.REGEXEXTRACT(CELL("address",'Raw Data'!S49),"\$([A-Z]+)\$[0-9]+"))),_xlfn.REGEXEXTRACT(CELL("address",'Raw Data'!S49),"\$([A-Z]+)\$[0-9]+"))</f>
        <v/>
      </c>
      <c r="T49" s="7" t="str">
        <f t="array" aca="1" ref="T49" ca="1">IFERROR(IF(OR('Raw Data'!T49="",LEN(TRIM('Raw Data'!T49))=0),"",IF(AND(ISNUMBER('Raw Data'!T49), IFERROR('Raw Data'!T49 = ROUND('Raw Data'!T49, 2),FALSE)),"",_xlfn.REGEXEXTRACT(CELL("address",T49), "\$([A-Z]+)\$[0-9]+"))),_xlfn.REGEXEXTRACT(CELL("address",T49), "\$([A-Z]+)\$[0-9]+"))</f>
        <v/>
      </c>
      <c r="U49" s="7" t="str">
        <f t="array" aca="1" ref="U49" ca="1">IFERROR(IF(OR('Raw Data'!U49="",LEN(TRIM('Raw Data'!U49))=0),"",IF(AND(ISNUMBER('Raw Data'!U49), IFERROR('Raw Data'!U49 = ROUND('Raw Data'!U49, 2),FALSE)),"",_xlfn.REGEXEXTRACT(CELL("address",U49), "\$([A-Z]+)\$[0-9]+"))),_xlfn.REGEXEXTRACT(CELL("address",U49), "\$([A-Z]+)\$[0-9]+"))</f>
        <v/>
      </c>
      <c r="V49" s="7" t="str">
        <f t="array" aca="1" ref="V49" ca="1">IFERROR(IF(OR('Raw Data'!V49="",LEN(TRIM('Raw Data'!V49))=0),"",IF(AND(ISNUMBER('Raw Data'!V49), IFERROR('Raw Data'!V49 = ROUND('Raw Data'!V49, 2),FALSE)),"",_xlfn.REGEXEXTRACT(CELL("address",V49), "\$([A-Z]+)\$[0-9]+"))),_xlfn.REGEXEXTRACT(CELL("address",V49), "\$([A-Z]+)\$[0-9]+"))</f>
        <v/>
      </c>
      <c r="W49" s="7" t="str">
        <f t="array" aca="1" ref="W49" ca="1">IFERROR(IF(OR('Raw Data'!W49="",LEN(TRIM('Raw Data'!W49))=0),"",IF(AND(ISNUMBER('Raw Data'!W49), IFERROR('Raw Data'!W49 = ROUND('Raw Data'!W49, 2),FALSE)),"",_xlfn.REGEXEXTRACT(CELL("address",W49), "\$([A-Z]+)\$[0-9]+"))),_xlfn.REGEXEXTRACT(CELL("address",W49), "\$([A-Z]+)\$[0-9]+"))</f>
        <v/>
      </c>
      <c r="X49" s="7" t="str">
        <f t="array" aca="1" ref="X49" ca="1">IFERROR(IF(OR('Raw Data'!X49="",LEN(TRIM('Raw Data'!X49))=0),"",IF(AND(ISNUMBER('Raw Data'!X49), IFERROR('Raw Data'!X49 = ROUND('Raw Data'!X49, 2),FALSE)),"",_xlfn.REGEXEXTRACT(CELL("address",X49), "\$([A-Z]+)\$[0-9]+"))),_xlfn.REGEXEXTRACT(CELL("address",X49), "\$([A-Z]+)\$[0-9]+"))</f>
        <v/>
      </c>
      <c r="Y49" s="7" t="str">
        <f t="array" aca="1" ref="Y49" ca="1">IFERROR(IF(OR('Raw Data'!Y49="",LEN(TRIM('Raw Data'!Y49))=0),"",IF(AND(ISNUMBER('Raw Data'!Y49), IFERROR('Raw Data'!Y49 = ROUND('Raw Data'!Y49, 2),FALSE)),"",_xlfn.REGEXEXTRACT(CELL("address",Y49), "\$([A-Z]+)\$[0-9]+"))),_xlfn.REGEXEXTRACT(CELL("address",Y49), "\$([A-Z]+)\$[0-9]+"))</f>
        <v/>
      </c>
      <c r="Z49" s="7" t="str">
        <f t="array" aca="1" ref="Z49" ca="1">IFERROR(IF(OR('Raw Data'!Z49="",LEN(TRIM('Raw Data'!Z49))=0),"",IF(AND(ISNUMBER('Raw Data'!Z49), IFERROR('Raw Data'!Z49 = ROUND('Raw Data'!Z49, 2),FALSE)),"",_xlfn.REGEXEXTRACT(CELL("address",Z49), "\$([A-Z]+)\$[0-9]+"))),_xlfn.REGEXEXTRACT(CELL("address",Z49), "\$([A-Z]+)\$[0-9]+"))</f>
        <v/>
      </c>
      <c r="AA49" s="7" t="str">
        <f t="array" aca="1" ref="AA49" ca="1">IFERROR(IF(OR('Raw Data'!AA49="",LEN(TRIM('Raw Data'!AA49))=0),"",IF(AND(ISNUMBER('Raw Data'!AA49), IFERROR('Raw Data'!AA49 = ROUND('Raw Data'!AA49, 2),FALSE)),"",_xlfn.REGEXEXTRACT(CELL("address",AA49), "\$([A-Z]+)\$[0-9]+"))),_xlfn.REGEXEXTRACT(CELL("address",AA49), "\$([A-Z]+)\$[0-9]+"))</f>
        <v/>
      </c>
      <c r="AB49" s="7" t="str">
        <f t="array" aca="1" ref="AB49" ca="1">IFERROR(IF(OR('Raw Data'!AB49="",LEN(TRIM('Raw Data'!AB49))=0),"",IF(AND(ISNUMBER('Raw Data'!AB49), IFERROR('Raw Data'!AB49 = ROUND('Raw Data'!AB49, 2),FALSE)),"",_xlfn.REGEXEXTRACT(CELL("address",AB49), "\$([A-Z]+)\$[0-9]+"))),_xlfn.REGEXEXTRACT(CELL("address",AB49), "\$([A-Z]+)\$[0-9]+"))</f>
        <v/>
      </c>
      <c r="AC49" s="7" t="str">
        <f t="array" aca="1" ref="AC49" ca="1">IFERROR(IF(OR('Raw Data'!AC49="",LEN(TRIM('Raw Data'!AC49))=0),"",IF(AND(ISNUMBER('Raw Data'!AC49), IFERROR('Raw Data'!AC49 = ROUND('Raw Data'!AC49, 2),FALSE)),"",_xlfn.REGEXEXTRACT(CELL("address",AC49), "\$([A-Z]+)\$[0-9]+"))),_xlfn.REGEXEXTRACT(CELL("address",AC49), "\$([A-Z]+)\$[0-9]+"))</f>
        <v/>
      </c>
      <c r="AD49" s="7" t="str">
        <f t="array" aca="1" ref="AD49" ca="1">IFERROR(IF(OR('Raw Data'!AD49="",LEN(TRIM('Raw Data'!AD49))=0),"",IF(AND(ISNUMBER('Raw Data'!AD49), IFERROR('Raw Data'!AD49 = ROUND('Raw Data'!AD49, 2),FALSE)),"",_xlfn.REGEXEXTRACT(CELL("address",AD49), "\$([A-Z]+)\$[0-9]+"))),_xlfn.REGEXEXTRACT(CELL("address",AD49), "\$([A-Z]+)\$[0-9]+"))</f>
        <v/>
      </c>
      <c r="AE49" s="7" t="str">
        <f t="array" aca="1" ref="AE49" ca="1">IFERROR(IF(OR('Raw Data'!AE49="",LEN(TRIM('Raw Data'!AE49))=0),"",IF(AND(ISNUMBER('Raw Data'!AE49), IFERROR('Raw Data'!AE49 = ROUND('Raw Data'!AE49, 2),FALSE)),"",_xlfn.REGEXEXTRACT(CELL("address",AE49), "\$([A-Z]+)\$[0-9]+"))),_xlfn.REGEXEXTRACT(CELL("address",AE49), "\$([A-Z]+)\$[0-9]+"))</f>
        <v/>
      </c>
      <c r="AF49" s="7" t="str">
        <f t="array" aca="1" ref="AF49" ca="1">IFERROR(IF(OR('Raw Data'!AF49="",LEN(TRIM('Raw Data'!AF49))=0),"",IF(AND(ISNUMBER('Raw Data'!AF49), IFERROR('Raw Data'!AF49 = ROUND('Raw Data'!AF49, 2),FALSE)),"",_xlfn.REGEXEXTRACT(CELL("address",AF49), "\$([A-Z]+)\$[0-9]+"))),_xlfn.REGEXEXTRACT(CELL("address",AF49), "\$([A-Z]+)\$[0-9]+"))</f>
        <v/>
      </c>
      <c r="AG49" s="7" t="str">
        <f t="array" aca="1" ref="AG49" ca="1">IFERROR(IF(OR('Raw Data'!AG49="",LEN(TRIM('Raw Data'!AG49))=0),"",IF(AND(ISNUMBER('Raw Data'!AG49), IFERROR('Raw Data'!AG49 = ROUND('Raw Data'!AG49, 2),FALSE)),"",_xlfn.REGEXEXTRACT(CELL("address",AG49), "\$([A-Z]+)\$[0-9]+"))),_xlfn.REGEXEXTRACT(CELL("address",AG49), "\$([A-Z]+)\$[0-9]+"))</f>
        <v/>
      </c>
      <c r="AH49" s="7" t="str">
        <f t="array" aca="1" ref="AH49" ca="1">IFERROR(IF(OR('Raw Data'!AH49="",LEN(TRIM('Raw Data'!AH49))=0),"",IF(AND(ISNUMBER('Raw Data'!AH49), IFERROR('Raw Data'!AH49 = ROUND('Raw Data'!AH49, 2),FALSE)),"",_xlfn.REGEXEXTRACT(CELL("address",AH49), "\$([A-Z]+)\$[0-9]+"))),_xlfn.REGEXEXTRACT(CELL("address",AH49), "\$([A-Z]+)\$[0-9]+"))</f>
        <v/>
      </c>
      <c r="AI49" s="7" t="str">
        <f t="array" aca="1" ref="AI49" ca="1">IFERROR(IF(OR('Raw Data'!AI49="",LEN(TRIM('Raw Data'!AI49))=0),"",IF(AND(ISNUMBER('Raw Data'!AI49), IFERROR('Raw Data'!AI49 = ROUND('Raw Data'!AI49, 2),FALSE)),"",_xlfn.REGEXEXTRACT(CELL("address",AI49), "\$([A-Z]+)\$[0-9]+"))),_xlfn.REGEXEXTRACT(CELL("address",AI49), "\$([A-Z]+)\$[0-9]+"))</f>
        <v/>
      </c>
      <c r="AJ49" s="7" t="str">
        <f t="array" aca="1" ref="AJ49" ca="1">IFERROR(IF(OR('Raw Data'!AJ49="",LEN(TRIM('Raw Data'!AJ49))=0),"",IF(AND(ISNUMBER('Raw Data'!AJ49), IFERROR('Raw Data'!AJ49 = ROUND('Raw Data'!AJ49, 4),FALSE)),"",_xlfn.REGEXEXTRACT(CELL("address",AJ49), "\$([A-Z]+)\$[0-9]+"))),_xlfn.REGEXEXTRACT(CELL("address",AJ49), "\$([A-Z]+)\$[0-9]+"))</f>
        <v/>
      </c>
      <c r="AK49" s="7" t="str">
        <f t="array" aca="1" ref="AK49" ca="1">IFERROR(IF(OR('Raw Data'!AK49="",LEN(TRIM('Raw Data'!AK49))=0),"",IF(AND(ISNUMBER('Raw Data'!AK49), IFERROR('Raw Data'!AK49 = ROUND('Raw Data'!AK49, 2),FALSE)),"",_xlfn.REGEXEXTRACT(CELL("address",AK49), "\$([A-Z]+)\$[0-9]+"))),_xlfn.REGEXEXTRACT(CELL("address",AK49), "\$([A-Z]+)\$[0-9]+"))</f>
        <v/>
      </c>
      <c r="AL49" s="7" t="str">
        <f t="array" aca="1" ref="AL49" ca="1">IFERROR(IF(OR('Raw Data'!AL49="",LEN(TRIM('Raw Data'!AL49))=0),"",IF(AND(ISNUMBER('Raw Data'!AL49), IFERROR('Raw Data'!AL49 = ROUND('Raw Data'!AL49, 2),FALSE)),"",_xlfn.REGEXEXTRACT(CELL("address",AL49), "\$([A-Z]+)\$[0-9]+"))),_xlfn.REGEXEXTRACT(CELL("address",AL49), "\$([A-Z]+)\$[0-9]+"))</f>
        <v/>
      </c>
      <c r="AM49" s="7" t="str">
        <f t="array" aca="1" ref="AM49" ca="1">IFERROR(IF(OR('Raw Data'!AM49="",LEN(TRIM('Raw Data'!AM49))=0),"",IF(AND(ISNUMBER('Raw Data'!AM49), IFERROR('Raw Data'!AM49 = ROUND('Raw Data'!AM49, 2),FALSE)),"",_xlfn.REGEXEXTRACT(CELL("address",AM49), "\$([A-Z]+)\$[0-9]+"))),_xlfn.REGEXEXTRACT(CELL("address",AM49), "\$([A-Z]+)\$[0-9]+"))</f>
        <v/>
      </c>
      <c r="AN49" s="7" t="str">
        <f t="array" aca="1" ref="AN49" ca="1">IFERROR(IF(OR('Raw Data'!AN49="",LEN(TRIM('Raw Data'!AN49))=0),"",IF(AND(ISNUMBER('Raw Data'!AN49), IFERROR('Raw Data'!AN49 = ROUND('Raw Data'!AN49, 2),FALSE)),"",_xlfn.REGEXEXTRACT(CELL("address",AN49), "\$([A-Z]+)\$[0-9]+"))),_xlfn.REGEXEXTRACT(CELL("address",AN49), "\$([A-Z]+)\$[0-9]+"))</f>
        <v/>
      </c>
      <c r="AO49" s="7" t="str">
        <f t="array" aca="1" ref="AO49" ca="1">IFERROR(IF(OR('Raw Data'!AO49="",LEN(TRIM('Raw Data'!AO49))=0),"",IF(AND(ISNUMBER('Raw Data'!AO49), IFERROR('Raw Data'!AO49 = ROUND('Raw Data'!AO49, 2),FALSE)),"",_xlfn.REGEXEXTRACT(CELL("address",AO49), "\$([A-Z]+)\$[0-9]+"))),_xlfn.REGEXEXTRACT(CELL("address",AO49), "\$([A-Z]+)\$[0-9]+"))</f>
        <v/>
      </c>
      <c r="AP49" s="7" t="str">
        <f t="array" aca="1" ref="AP49" ca="1">IFERROR(IF(OR('Raw Data'!AP49="",LEN(TRIM('Raw Data'!AP49))=0),"",IF(AND(ISNUMBER('Raw Data'!AP49), IFERROR('Raw Data'!AP49 = ROUND('Raw Data'!AP49, 2),FALSE)),"",_xlfn.REGEXEXTRACT(CELL("address",AP49), "\$([A-Z]+)\$[0-9]+"))),_xlfn.REGEXEXTRACT(CELL("address",AP49), "\$([A-Z]+)\$[0-9]+"))</f>
        <v/>
      </c>
    </row>
    <row r="50" spans="2:42" x14ac:dyDescent="0.25">
      <c r="B50" s="7" t="str">
        <f t="array" aca="1" ref="B50" ca="1">IFERROR(IF(OR('Raw Data'!B50="",LEN(TRIM('Raw Data'!B50))=0),"",IF(AND(LEN('Raw Data'!B50) &lt;= 255,LEN('Raw Data'!B50)&gt; 0),"",_xlfn.REGEXEXTRACT(CELL("address",'Raw Data'!B50),"\$([A-Z]+)\$[0-9]+"))),_xlfn.REGEXEXTRACT(CELL("address",'Raw Data'!B50),"\$([A-Z]+)\$[0-9]+"))</f>
        <v/>
      </c>
      <c r="C50" s="7" t="str">
        <f t="array" aca="1" ref="C50" ca="1">IFERROR(IF(OR('Raw Data'!C50="",LEN(TRIM('Raw Data'!C50))=0),"",IF(AND(LEN('Raw Data'!C50) &lt;= 50,LEN('Raw Data'!C50)&gt; 0),"",_xlfn.REGEXEXTRACT(CELL("address",'Raw Data'!C50),"\$([A-Z]+)\$[0-9]+"))),_xlfn.REGEXEXTRACT(CELL("address",'Raw Data'!C50),"\$([A-Z]+)\$[0-9]+"))</f>
        <v/>
      </c>
      <c r="D50" s="7" t="str">
        <f t="array" aca="1" ref="D50" ca="1">IFERROR(IF(OR('Raw Data'!D50="",LEN(TRIM('Raw Data'!D50))=0),"",IF(AND(LEN('Raw Data'!D50) &lt;= 500,LEN('Raw Data'!D50)&gt; 0),"",_xlfn.REGEXEXTRACT(CELL("address",'Raw Data'!D50),"\$([A-Z]+)\$[0-9]+"))),_xlfn.REGEXEXTRACT(CELL("address",'Raw Data'!D50),"\$([A-Z]+)\$[0-9]+"))</f>
        <v/>
      </c>
      <c r="E50" s="7" t="str">
        <f t="array" aca="1" ref="E50" ca="1">IFERROR(IF(OR('Raw Data'!E50="",LEN(TRIM('Raw Data'!E50))=0),"",IF(AND(LEN('Raw Data'!E50) &lt;= 50,LEN('Raw Data'!E50)&gt; 0),"",_xlfn.REGEXEXTRACT(CELL("address",'Raw Data'!E50),"\$([A-Z]+)\$[0-9]+"))),_xlfn.REGEXEXTRACT(CELL("address",'Raw Data'!E50),"\$([A-Z]+)\$[0-9]+"))</f>
        <v/>
      </c>
      <c r="F50" s="7" t="str">
        <f t="array" aca="1" ref="F50" ca="1">IFERROR(IF(OR('Raw Data'!F50="",LEN(TRIM('Raw Data'!F50))=0),"",IF(AND(LEN('Raw Data'!F50) &lt;= 50,LEN('Raw Data'!F50)&gt; 0),"",_xlfn.REGEXEXTRACT(CELL("address",'Raw Data'!F50),"\$([A-Z]+)\$[0-9]+"))),_xlfn.REGEXEXTRACT(CELL("address",'Raw Data'!F50),"\$([A-Z]+)\$[0-9]+"))</f>
        <v/>
      </c>
      <c r="G50" s="7" t="str">
        <f t="array" aca="1" ref="G50" ca="1">IFERROR(IF(OR('Raw Data'!G50="",LEN(TRIM('Raw Data'!G50))=0),"",IF(AND(LEN('Raw Data'!G50) &lt;= 50,LEN('Raw Data'!G50)&gt; 0),"",_xlfn.REGEXEXTRACT(CELL("address",'Raw Data'!G50),"\$([A-Z]+)\$[0-9]+"))),_xlfn.REGEXEXTRACT(CELL("address",'Raw Data'!G50),"\$([A-Z]+)\$[0-9]+"))</f>
        <v/>
      </c>
      <c r="H50" s="7" t="str">
        <f t="array" aca="1" ref="H50" ca="1">IFERROR(IF(OR('Raw Data'!H50="",LEN(TRIM('Raw Data'!H50))=0),"",IF(AND(LEN('Raw Data'!H50) &lt;= 50,LEN('Raw Data'!H50)&gt; 0),"",_xlfn.REGEXEXTRACT(CELL("address",'Raw Data'!H50),"\$([A-Z]+)\$[0-9]+"))),_xlfn.REGEXEXTRACT(CELL("address",'Raw Data'!H50),"\$([A-Z]+)\$[0-9]+"))</f>
        <v/>
      </c>
      <c r="I50" s="7" t="str">
        <f t="array" aca="1" ref="I50" ca="1">IFERROR(IF(OR('Raw Data'!I50="",LEN(TRIM('Raw Data'!I50))=0),"",IF(AND(LEN('Raw Data'!I50) &lt;= 50,LEN('Raw Data'!I50)&gt; 0),"",_xlfn.REGEXEXTRACT(CELL("address",'Raw Data'!I50),"\$([A-Z]+)\$[0-9]+"))),_xlfn.REGEXEXTRACT(CELL("address",'Raw Data'!I50),"\$([A-Z]+)\$[0-9]+"))</f>
        <v/>
      </c>
      <c r="J50" s="7" t="str">
        <f t="array" aca="1" ref="J50" ca="1">IFERROR(IF(OR('Raw Data'!J50="",LEN(TRIM('Raw Data'!J50))=0),"",IF(AND(ISNUMBER('Raw Data'!J50), IFERROR('Raw Data'!J50 = ROUND('Raw Data'!J50, 2),FALSE)),"",_xlfn.REGEXEXTRACT(CELL("address",J50), "\$([A-Z]+)\$[0-9]+"))),_xlfn.REGEXEXTRACT(CELL("address",J50), "\$([A-Z]+)\$[0-9]+"))</f>
        <v/>
      </c>
      <c r="K50" s="7" t="str">
        <f t="array" aca="1" ref="K50" ca="1">IFERROR(IF(OR('Raw Data'!K50="",LEN(TRIM('Raw Data'!K50))=0),"",IF(AND(ISNUMBER('Raw Data'!K50), IFERROR('Raw Data'!K50 = ROUND('Raw Data'!K50, 2),FALSE)),"",_xlfn.REGEXEXTRACT(CELL("address",K50), "\$([A-Z]+)\$[0-9]+"))),_xlfn.REGEXEXTRACT(CELL("address",K50), "\$([A-Z]+)\$[0-9]+"))</f>
        <v/>
      </c>
      <c r="L50" s="7" t="str">
        <f t="array" aca="1" ref="L50" ca="1">IFERROR(IF(OR('Raw Data'!L50="",LEN(TRIM('Raw Data'!L50))=0),"",IF(AND(ISNUMBER('Raw Data'!L50), IFERROR('Raw Data'!L50 = ROUND('Raw Data'!L50, 2),FALSE)),"",_xlfn.REGEXEXTRACT(CELL("address",L50), "\$([A-Z]+)\$[0-9]+"))),_xlfn.REGEXEXTRACT(CELL("address",L50), "\$([A-Z]+)\$[0-9]+"))</f>
        <v/>
      </c>
      <c r="M50" s="7" t="str">
        <f t="array" aca="1" ref="M50" ca="1">IFERROR(IF(OR('Raw Data'!M50="",LEN(TRIM('Raw Data'!M50))=0),"",IF(AND(ISNUMBER('Raw Data'!M50), IFERROR('Raw Data'!M50 = ROUND('Raw Data'!M50, 2),FALSE)),"",_xlfn.REGEXEXTRACT(CELL("address",M50), "\$([A-Z]+)\$[0-9]+"))),_xlfn.REGEXEXTRACT(CELL("address",M50), "\$([A-Z]+)\$[0-9]+"))</f>
        <v/>
      </c>
      <c r="N50" s="7" t="str">
        <f t="array" aca="1" ref="N50" ca="1">IFERROR(IF(OR('Raw Data'!N50="",LEN(TRIM('Raw Data'!N50))=0),"",IF(AND(ISNUMBER('Raw Data'!N50), IFERROR('Raw Data'!N50 = ROUND('Raw Data'!N50, 2),FALSE)),"",_xlfn.REGEXEXTRACT(CELL("address",N50), "\$([A-Z]+)\$[0-9]+"))),_xlfn.REGEXEXTRACT(CELL("address",N50), "\$([A-Z]+)\$[0-9]+"))</f>
        <v/>
      </c>
      <c r="O50" s="7" t="str">
        <f t="array" aca="1" ref="O50" ca="1">IFERROR(IF(OR('Raw Data'!O50="",LEN(TRIM('Raw Data'!O50))=0),"",IF(AND(ISNUMBER('Raw Data'!O50),'Raw Data'!O50&gt;=Configuration!$D$2),"",_xlfn.REGEXEXTRACT(CELL("address",'Raw Data'!O50),"\$([A-Z]+)\$[0-9]+"))),_xlfn.REGEXEXTRACT(CELL("address",O50), "\$([A-Z]+)\$[0-9]+"))</f>
        <v/>
      </c>
      <c r="P50" s="7" t="str">
        <f t="array" aca="1" ref="P50" ca="1">IFERROR(IF(OR('Raw Data'!P50="",LEN(TRIM('Raw Data'!P50))=0),"",IF(AND(ISNUMBER('Raw Data'!P50), IFERROR('Raw Data'!P50 = ROUND('Raw Data'!P50, 2),FALSE)),"",_xlfn.REGEXEXTRACT(CELL("address",P50), "\$([A-Z]+)\$[0-9]+"))),_xlfn.REGEXEXTRACT(CELL("address",P50), "\$([A-Z]+)\$[0-9]+"))</f>
        <v/>
      </c>
      <c r="Q50" s="7" t="str">
        <f t="array" aca="1" ref="Q50" ca="1">IFERROR(IF(OR('Raw Data'!Q50="",LEN(TRIM('Raw Data'!Q50))=0),"",IF(AND(ISNUMBER('Raw Data'!Q50), IFERROR('Raw Data'!Q50 = ROUND('Raw Data'!Q50, 2),FALSE)),"",_xlfn.REGEXEXTRACT(CELL("address",Q50), "\$([A-Z]+)\$[0-9]+"))),_xlfn.REGEXEXTRACT(CELL("address",Q50), "\$([A-Z]+)\$[0-9]+"))</f>
        <v/>
      </c>
      <c r="R50" s="7" t="str">
        <f t="array" aca="1" ref="R50" ca="1">IFERROR(IF(OR('Raw Data'!R50="",LEN(TRIM('Raw Data'!R50))=0),"",IF(AND(LEN('Raw Data'!R50) &lt;= 50,LEN('Raw Data'!R50)&gt; 0),"",_xlfn.REGEXEXTRACT(CELL("address",'Raw Data'!R50),"\$([A-Z]+)\$[0-9]+"))),_xlfn.REGEXEXTRACT(CELL("address",'Raw Data'!R50),"\$([A-Z]+)\$[0-9]+"))</f>
        <v/>
      </c>
      <c r="S50" s="7" t="str">
        <f t="array" aca="1" ref="S50" ca="1">IFERROR(IF(OR('Raw Data'!S50="",LEN(TRIM('Raw Data'!S50))=0),"",IF(AND(LEN('Raw Data'!S50) &lt;= 50,LEN('Raw Data'!S50)&gt; 0),"",_xlfn.REGEXEXTRACT(CELL("address",'Raw Data'!S50),"\$([A-Z]+)\$[0-9]+"))),_xlfn.REGEXEXTRACT(CELL("address",'Raw Data'!S50),"\$([A-Z]+)\$[0-9]+"))</f>
        <v/>
      </c>
      <c r="T50" s="7" t="str">
        <f t="array" aca="1" ref="T50" ca="1">IFERROR(IF(OR('Raw Data'!T50="",LEN(TRIM('Raw Data'!T50))=0),"",IF(AND(ISNUMBER('Raw Data'!T50), IFERROR('Raw Data'!T50 = ROUND('Raw Data'!T50, 2),FALSE)),"",_xlfn.REGEXEXTRACT(CELL("address",T50), "\$([A-Z]+)\$[0-9]+"))),_xlfn.REGEXEXTRACT(CELL("address",T50), "\$([A-Z]+)\$[0-9]+"))</f>
        <v/>
      </c>
      <c r="U50" s="7" t="str">
        <f t="array" aca="1" ref="U50" ca="1">IFERROR(IF(OR('Raw Data'!U50="",LEN(TRIM('Raw Data'!U50))=0),"",IF(AND(ISNUMBER('Raw Data'!U50), IFERROR('Raw Data'!U50 = ROUND('Raw Data'!U50, 2),FALSE)),"",_xlfn.REGEXEXTRACT(CELL("address",U50), "\$([A-Z]+)\$[0-9]+"))),_xlfn.REGEXEXTRACT(CELL("address",U50), "\$([A-Z]+)\$[0-9]+"))</f>
        <v/>
      </c>
      <c r="V50" s="7" t="str">
        <f t="array" aca="1" ref="V50" ca="1">IFERROR(IF(OR('Raw Data'!V50="",LEN(TRIM('Raw Data'!V50))=0),"",IF(AND(ISNUMBER('Raw Data'!V50), IFERROR('Raw Data'!V50 = ROUND('Raw Data'!V50, 2),FALSE)),"",_xlfn.REGEXEXTRACT(CELL("address",V50), "\$([A-Z]+)\$[0-9]+"))),_xlfn.REGEXEXTRACT(CELL("address",V50), "\$([A-Z]+)\$[0-9]+"))</f>
        <v/>
      </c>
      <c r="W50" s="7" t="str">
        <f t="array" aca="1" ref="W50" ca="1">IFERROR(IF(OR('Raw Data'!W50="",LEN(TRIM('Raw Data'!W50))=0),"",IF(AND(ISNUMBER('Raw Data'!W50), IFERROR('Raw Data'!W50 = ROUND('Raw Data'!W50, 2),FALSE)),"",_xlfn.REGEXEXTRACT(CELL("address",W50), "\$([A-Z]+)\$[0-9]+"))),_xlfn.REGEXEXTRACT(CELL("address",W50), "\$([A-Z]+)\$[0-9]+"))</f>
        <v/>
      </c>
      <c r="X50" s="7" t="str">
        <f t="array" aca="1" ref="X50" ca="1">IFERROR(IF(OR('Raw Data'!X50="",LEN(TRIM('Raw Data'!X50))=0),"",IF(AND(ISNUMBER('Raw Data'!X50), IFERROR('Raw Data'!X50 = ROUND('Raw Data'!X50, 2),FALSE)),"",_xlfn.REGEXEXTRACT(CELL("address",X50), "\$([A-Z]+)\$[0-9]+"))),_xlfn.REGEXEXTRACT(CELL("address",X50), "\$([A-Z]+)\$[0-9]+"))</f>
        <v/>
      </c>
      <c r="Y50" s="7" t="str">
        <f t="array" aca="1" ref="Y50" ca="1">IFERROR(IF(OR('Raw Data'!Y50="",LEN(TRIM('Raw Data'!Y50))=0),"",IF(AND(ISNUMBER('Raw Data'!Y50), IFERROR('Raw Data'!Y50 = ROUND('Raw Data'!Y50, 2),FALSE)),"",_xlfn.REGEXEXTRACT(CELL("address",Y50), "\$([A-Z]+)\$[0-9]+"))),_xlfn.REGEXEXTRACT(CELL("address",Y50), "\$([A-Z]+)\$[0-9]+"))</f>
        <v/>
      </c>
      <c r="Z50" s="7" t="str">
        <f t="array" aca="1" ref="Z50" ca="1">IFERROR(IF(OR('Raw Data'!Z50="",LEN(TRIM('Raw Data'!Z50))=0),"",IF(AND(ISNUMBER('Raw Data'!Z50), IFERROR('Raw Data'!Z50 = ROUND('Raw Data'!Z50, 2),FALSE)),"",_xlfn.REGEXEXTRACT(CELL("address",Z50), "\$([A-Z]+)\$[0-9]+"))),_xlfn.REGEXEXTRACT(CELL("address",Z50), "\$([A-Z]+)\$[0-9]+"))</f>
        <v/>
      </c>
      <c r="AA50" s="7" t="str">
        <f t="array" aca="1" ref="AA50" ca="1">IFERROR(IF(OR('Raw Data'!AA50="",LEN(TRIM('Raw Data'!AA50))=0),"",IF(AND(ISNUMBER('Raw Data'!AA50), IFERROR('Raw Data'!AA50 = ROUND('Raw Data'!AA50, 2),FALSE)),"",_xlfn.REGEXEXTRACT(CELL("address",AA50), "\$([A-Z]+)\$[0-9]+"))),_xlfn.REGEXEXTRACT(CELL("address",AA50), "\$([A-Z]+)\$[0-9]+"))</f>
        <v/>
      </c>
      <c r="AB50" s="7" t="str">
        <f t="array" aca="1" ref="AB50" ca="1">IFERROR(IF(OR('Raw Data'!AB50="",LEN(TRIM('Raw Data'!AB50))=0),"",IF(AND(ISNUMBER('Raw Data'!AB50), IFERROR('Raw Data'!AB50 = ROUND('Raw Data'!AB50, 2),FALSE)),"",_xlfn.REGEXEXTRACT(CELL("address",AB50), "\$([A-Z]+)\$[0-9]+"))),_xlfn.REGEXEXTRACT(CELL("address",AB50), "\$([A-Z]+)\$[0-9]+"))</f>
        <v/>
      </c>
      <c r="AC50" s="7" t="str">
        <f t="array" aca="1" ref="AC50" ca="1">IFERROR(IF(OR('Raw Data'!AC50="",LEN(TRIM('Raw Data'!AC50))=0),"",IF(AND(ISNUMBER('Raw Data'!AC50), IFERROR('Raw Data'!AC50 = ROUND('Raw Data'!AC50, 2),FALSE)),"",_xlfn.REGEXEXTRACT(CELL("address",AC50), "\$([A-Z]+)\$[0-9]+"))),_xlfn.REGEXEXTRACT(CELL("address",AC50), "\$([A-Z]+)\$[0-9]+"))</f>
        <v/>
      </c>
      <c r="AD50" s="7" t="str">
        <f t="array" aca="1" ref="AD50" ca="1">IFERROR(IF(OR('Raw Data'!AD50="",LEN(TRIM('Raw Data'!AD50))=0),"",IF(AND(ISNUMBER('Raw Data'!AD50), IFERROR('Raw Data'!AD50 = ROUND('Raw Data'!AD50, 2),FALSE)),"",_xlfn.REGEXEXTRACT(CELL("address",AD50), "\$([A-Z]+)\$[0-9]+"))),_xlfn.REGEXEXTRACT(CELL("address",AD50), "\$([A-Z]+)\$[0-9]+"))</f>
        <v/>
      </c>
      <c r="AE50" s="7" t="str">
        <f t="array" aca="1" ref="AE50" ca="1">IFERROR(IF(OR('Raw Data'!AE50="",LEN(TRIM('Raw Data'!AE50))=0),"",IF(AND(ISNUMBER('Raw Data'!AE50), IFERROR('Raw Data'!AE50 = ROUND('Raw Data'!AE50, 2),FALSE)),"",_xlfn.REGEXEXTRACT(CELL("address",AE50), "\$([A-Z]+)\$[0-9]+"))),_xlfn.REGEXEXTRACT(CELL("address",AE50), "\$([A-Z]+)\$[0-9]+"))</f>
        <v/>
      </c>
      <c r="AF50" s="7" t="str">
        <f t="array" aca="1" ref="AF50" ca="1">IFERROR(IF(OR('Raw Data'!AF50="",LEN(TRIM('Raw Data'!AF50))=0),"",IF(AND(ISNUMBER('Raw Data'!AF50), IFERROR('Raw Data'!AF50 = ROUND('Raw Data'!AF50, 2),FALSE)),"",_xlfn.REGEXEXTRACT(CELL("address",AF50), "\$([A-Z]+)\$[0-9]+"))),_xlfn.REGEXEXTRACT(CELL("address",AF50), "\$([A-Z]+)\$[0-9]+"))</f>
        <v/>
      </c>
      <c r="AG50" s="7" t="str">
        <f t="array" aca="1" ref="AG50" ca="1">IFERROR(IF(OR('Raw Data'!AG50="",LEN(TRIM('Raw Data'!AG50))=0),"",IF(AND(ISNUMBER('Raw Data'!AG50), IFERROR('Raw Data'!AG50 = ROUND('Raw Data'!AG50, 2),FALSE)),"",_xlfn.REGEXEXTRACT(CELL("address",AG50), "\$([A-Z]+)\$[0-9]+"))),_xlfn.REGEXEXTRACT(CELL("address",AG50), "\$([A-Z]+)\$[0-9]+"))</f>
        <v/>
      </c>
      <c r="AH50" s="7" t="str">
        <f t="array" aca="1" ref="AH50" ca="1">IFERROR(IF(OR('Raw Data'!AH50="",LEN(TRIM('Raw Data'!AH50))=0),"",IF(AND(ISNUMBER('Raw Data'!AH50), IFERROR('Raw Data'!AH50 = ROUND('Raw Data'!AH50, 2),FALSE)),"",_xlfn.REGEXEXTRACT(CELL("address",AH50), "\$([A-Z]+)\$[0-9]+"))),_xlfn.REGEXEXTRACT(CELL("address",AH50), "\$([A-Z]+)\$[0-9]+"))</f>
        <v/>
      </c>
      <c r="AI50" s="7" t="str">
        <f t="array" aca="1" ref="AI50" ca="1">IFERROR(IF(OR('Raw Data'!AI50="",LEN(TRIM('Raw Data'!AI50))=0),"",IF(AND(ISNUMBER('Raw Data'!AI50), IFERROR('Raw Data'!AI50 = ROUND('Raw Data'!AI50, 2),FALSE)),"",_xlfn.REGEXEXTRACT(CELL("address",AI50), "\$([A-Z]+)\$[0-9]+"))),_xlfn.REGEXEXTRACT(CELL("address",AI50), "\$([A-Z]+)\$[0-9]+"))</f>
        <v/>
      </c>
      <c r="AJ50" s="7" t="str">
        <f t="array" aca="1" ref="AJ50" ca="1">IFERROR(IF(OR('Raw Data'!AJ50="",LEN(TRIM('Raw Data'!AJ50))=0),"",IF(AND(ISNUMBER('Raw Data'!AJ50), IFERROR('Raw Data'!AJ50 = ROUND('Raw Data'!AJ50, 4),FALSE)),"",_xlfn.REGEXEXTRACT(CELL("address",AJ50), "\$([A-Z]+)\$[0-9]+"))),_xlfn.REGEXEXTRACT(CELL("address",AJ50), "\$([A-Z]+)\$[0-9]+"))</f>
        <v/>
      </c>
      <c r="AK50" s="7" t="str">
        <f t="array" aca="1" ref="AK50" ca="1">IFERROR(IF(OR('Raw Data'!AK50="",LEN(TRIM('Raw Data'!AK50))=0),"",IF(AND(ISNUMBER('Raw Data'!AK50), IFERROR('Raw Data'!AK50 = ROUND('Raw Data'!AK50, 2),FALSE)),"",_xlfn.REGEXEXTRACT(CELL("address",AK50), "\$([A-Z]+)\$[0-9]+"))),_xlfn.REGEXEXTRACT(CELL("address",AK50), "\$([A-Z]+)\$[0-9]+"))</f>
        <v/>
      </c>
      <c r="AL50" s="7" t="str">
        <f t="array" aca="1" ref="AL50" ca="1">IFERROR(IF(OR('Raw Data'!AL50="",LEN(TRIM('Raw Data'!AL50))=0),"",IF(AND(ISNUMBER('Raw Data'!AL50), IFERROR('Raw Data'!AL50 = ROUND('Raw Data'!AL50, 2),FALSE)),"",_xlfn.REGEXEXTRACT(CELL("address",AL50), "\$([A-Z]+)\$[0-9]+"))),_xlfn.REGEXEXTRACT(CELL("address",AL50), "\$([A-Z]+)\$[0-9]+"))</f>
        <v/>
      </c>
      <c r="AM50" s="7" t="str">
        <f t="array" aca="1" ref="AM50" ca="1">IFERROR(IF(OR('Raw Data'!AM50="",LEN(TRIM('Raw Data'!AM50))=0),"",IF(AND(ISNUMBER('Raw Data'!AM50), IFERROR('Raw Data'!AM50 = ROUND('Raw Data'!AM50, 2),FALSE)),"",_xlfn.REGEXEXTRACT(CELL("address",AM50), "\$([A-Z]+)\$[0-9]+"))),_xlfn.REGEXEXTRACT(CELL("address",AM50), "\$([A-Z]+)\$[0-9]+"))</f>
        <v/>
      </c>
      <c r="AN50" s="7" t="str">
        <f t="array" aca="1" ref="AN50" ca="1">IFERROR(IF(OR('Raw Data'!AN50="",LEN(TRIM('Raw Data'!AN50))=0),"",IF(AND(ISNUMBER('Raw Data'!AN50), IFERROR('Raw Data'!AN50 = ROUND('Raw Data'!AN50, 2),FALSE)),"",_xlfn.REGEXEXTRACT(CELL("address",AN50), "\$([A-Z]+)\$[0-9]+"))),_xlfn.REGEXEXTRACT(CELL("address",AN50), "\$([A-Z]+)\$[0-9]+"))</f>
        <v/>
      </c>
      <c r="AO50" s="7" t="str">
        <f t="array" aca="1" ref="AO50" ca="1">IFERROR(IF(OR('Raw Data'!AO50="",LEN(TRIM('Raw Data'!AO50))=0),"",IF(AND(ISNUMBER('Raw Data'!AO50), IFERROR('Raw Data'!AO50 = ROUND('Raw Data'!AO50, 2),FALSE)),"",_xlfn.REGEXEXTRACT(CELL("address",AO50), "\$([A-Z]+)\$[0-9]+"))),_xlfn.REGEXEXTRACT(CELL("address",AO50), "\$([A-Z]+)\$[0-9]+"))</f>
        <v/>
      </c>
      <c r="AP50" s="7" t="str">
        <f t="array" aca="1" ref="AP50" ca="1">IFERROR(IF(OR('Raw Data'!AP50="",LEN(TRIM('Raw Data'!AP50))=0),"",IF(AND(ISNUMBER('Raw Data'!AP50), IFERROR('Raw Data'!AP50 = ROUND('Raw Data'!AP50, 2),FALSE)),"",_xlfn.REGEXEXTRACT(CELL("address",AP50), "\$([A-Z]+)\$[0-9]+"))),_xlfn.REGEXEXTRACT(CELL("address",AP50), "\$([A-Z]+)\$[0-9]+"))</f>
        <v/>
      </c>
    </row>
    <row r="51" spans="2:42" x14ac:dyDescent="0.25">
      <c r="B51" s="7" t="str">
        <f t="array" aca="1" ref="B51" ca="1">IFERROR(IF(OR('Raw Data'!B51="",LEN(TRIM('Raw Data'!B51))=0),"",IF(AND(LEN('Raw Data'!B51) &lt;= 255,LEN('Raw Data'!B51)&gt; 0),"",_xlfn.REGEXEXTRACT(CELL("address",'Raw Data'!B51),"\$([A-Z]+)\$[0-9]+"))),_xlfn.REGEXEXTRACT(CELL("address",'Raw Data'!B51),"\$([A-Z]+)\$[0-9]+"))</f>
        <v/>
      </c>
      <c r="C51" s="7" t="str">
        <f t="array" aca="1" ref="C51" ca="1">IFERROR(IF(OR('Raw Data'!C51="",LEN(TRIM('Raw Data'!C51))=0),"",IF(AND(LEN('Raw Data'!C51) &lt;= 50,LEN('Raw Data'!C51)&gt; 0),"",_xlfn.REGEXEXTRACT(CELL("address",'Raw Data'!C51),"\$([A-Z]+)\$[0-9]+"))),_xlfn.REGEXEXTRACT(CELL("address",'Raw Data'!C51),"\$([A-Z]+)\$[0-9]+"))</f>
        <v/>
      </c>
      <c r="D51" s="7" t="str">
        <f t="array" aca="1" ref="D51" ca="1">IFERROR(IF(OR('Raw Data'!D51="",LEN(TRIM('Raw Data'!D51))=0),"",IF(AND(LEN('Raw Data'!D51) &lt;= 500,LEN('Raw Data'!D51)&gt; 0),"",_xlfn.REGEXEXTRACT(CELL("address",'Raw Data'!D51),"\$([A-Z]+)\$[0-9]+"))),_xlfn.REGEXEXTRACT(CELL("address",'Raw Data'!D51),"\$([A-Z]+)\$[0-9]+"))</f>
        <v/>
      </c>
      <c r="E51" s="7" t="str">
        <f t="array" aca="1" ref="E51" ca="1">IFERROR(IF(OR('Raw Data'!E51="",LEN(TRIM('Raw Data'!E51))=0),"",IF(AND(LEN('Raw Data'!E51) &lt;= 50,LEN('Raw Data'!E51)&gt; 0),"",_xlfn.REGEXEXTRACT(CELL("address",'Raw Data'!E51),"\$([A-Z]+)\$[0-9]+"))),_xlfn.REGEXEXTRACT(CELL("address",'Raw Data'!E51),"\$([A-Z]+)\$[0-9]+"))</f>
        <v/>
      </c>
      <c r="F51" s="7" t="str">
        <f t="array" aca="1" ref="F51" ca="1">IFERROR(IF(OR('Raw Data'!F51="",LEN(TRIM('Raw Data'!F51))=0),"",IF(AND(LEN('Raw Data'!F51) &lt;= 50,LEN('Raw Data'!F51)&gt; 0),"",_xlfn.REGEXEXTRACT(CELL("address",'Raw Data'!F51),"\$([A-Z]+)\$[0-9]+"))),_xlfn.REGEXEXTRACT(CELL("address",'Raw Data'!F51),"\$([A-Z]+)\$[0-9]+"))</f>
        <v/>
      </c>
      <c r="G51" s="7" t="str">
        <f t="array" aca="1" ref="G51" ca="1">IFERROR(IF(OR('Raw Data'!G51="",LEN(TRIM('Raw Data'!G51))=0),"",IF(AND(LEN('Raw Data'!G51) &lt;= 50,LEN('Raw Data'!G51)&gt; 0),"",_xlfn.REGEXEXTRACT(CELL("address",'Raw Data'!G51),"\$([A-Z]+)\$[0-9]+"))),_xlfn.REGEXEXTRACT(CELL("address",'Raw Data'!G51),"\$([A-Z]+)\$[0-9]+"))</f>
        <v/>
      </c>
      <c r="H51" s="7" t="str">
        <f t="array" aca="1" ref="H51" ca="1">IFERROR(IF(OR('Raw Data'!H51="",LEN(TRIM('Raw Data'!H51))=0),"",IF(AND(LEN('Raw Data'!H51) &lt;= 50,LEN('Raw Data'!H51)&gt; 0),"",_xlfn.REGEXEXTRACT(CELL("address",'Raw Data'!H51),"\$([A-Z]+)\$[0-9]+"))),_xlfn.REGEXEXTRACT(CELL("address",'Raw Data'!H51),"\$([A-Z]+)\$[0-9]+"))</f>
        <v/>
      </c>
      <c r="I51" s="7" t="str">
        <f t="array" aca="1" ref="I51" ca="1">IFERROR(IF(OR('Raw Data'!I51="",LEN(TRIM('Raw Data'!I51))=0),"",IF(AND(LEN('Raw Data'!I51) &lt;= 50,LEN('Raw Data'!I51)&gt; 0),"",_xlfn.REGEXEXTRACT(CELL("address",'Raw Data'!I51),"\$([A-Z]+)\$[0-9]+"))),_xlfn.REGEXEXTRACT(CELL("address",'Raw Data'!I51),"\$([A-Z]+)\$[0-9]+"))</f>
        <v/>
      </c>
      <c r="J51" s="7" t="str">
        <f t="array" aca="1" ref="J51" ca="1">IFERROR(IF(OR('Raw Data'!J51="",LEN(TRIM('Raw Data'!J51))=0),"",IF(AND(ISNUMBER('Raw Data'!J51), IFERROR('Raw Data'!J51 = ROUND('Raw Data'!J51, 2),FALSE)),"",_xlfn.REGEXEXTRACT(CELL("address",J51), "\$([A-Z]+)\$[0-9]+"))),_xlfn.REGEXEXTRACT(CELL("address",J51), "\$([A-Z]+)\$[0-9]+"))</f>
        <v/>
      </c>
      <c r="K51" s="7" t="str">
        <f t="array" aca="1" ref="K51" ca="1">IFERROR(IF(OR('Raw Data'!K51="",LEN(TRIM('Raw Data'!K51))=0),"",IF(AND(ISNUMBER('Raw Data'!K51), IFERROR('Raw Data'!K51 = ROUND('Raw Data'!K51, 2),FALSE)),"",_xlfn.REGEXEXTRACT(CELL("address",K51), "\$([A-Z]+)\$[0-9]+"))),_xlfn.REGEXEXTRACT(CELL("address",K51), "\$([A-Z]+)\$[0-9]+"))</f>
        <v/>
      </c>
      <c r="L51" s="7" t="str">
        <f t="array" aca="1" ref="L51" ca="1">IFERROR(IF(OR('Raw Data'!L51="",LEN(TRIM('Raw Data'!L51))=0),"",IF(AND(ISNUMBER('Raw Data'!L51), IFERROR('Raw Data'!L51 = ROUND('Raw Data'!L51, 2),FALSE)),"",_xlfn.REGEXEXTRACT(CELL("address",L51), "\$([A-Z]+)\$[0-9]+"))),_xlfn.REGEXEXTRACT(CELL("address",L51), "\$([A-Z]+)\$[0-9]+"))</f>
        <v/>
      </c>
      <c r="M51" s="7" t="str">
        <f t="array" aca="1" ref="M51" ca="1">IFERROR(IF(OR('Raw Data'!M51="",LEN(TRIM('Raw Data'!M51))=0),"",IF(AND(ISNUMBER('Raw Data'!M51), IFERROR('Raw Data'!M51 = ROUND('Raw Data'!M51, 2),FALSE)),"",_xlfn.REGEXEXTRACT(CELL("address",M51), "\$([A-Z]+)\$[0-9]+"))),_xlfn.REGEXEXTRACT(CELL("address",M51), "\$([A-Z]+)\$[0-9]+"))</f>
        <v/>
      </c>
      <c r="N51" s="7" t="str">
        <f t="array" aca="1" ref="N51" ca="1">IFERROR(IF(OR('Raw Data'!N51="",LEN(TRIM('Raw Data'!N51))=0),"",IF(AND(ISNUMBER('Raw Data'!N51), IFERROR('Raw Data'!N51 = ROUND('Raw Data'!N51, 2),FALSE)),"",_xlfn.REGEXEXTRACT(CELL("address",N51), "\$([A-Z]+)\$[0-9]+"))),_xlfn.REGEXEXTRACT(CELL("address",N51), "\$([A-Z]+)\$[0-9]+"))</f>
        <v/>
      </c>
      <c r="O51" s="7" t="str">
        <f t="array" aca="1" ref="O51" ca="1">IFERROR(IF(OR('Raw Data'!O51="",LEN(TRIM('Raw Data'!O51))=0),"",IF(AND(ISNUMBER('Raw Data'!O51),'Raw Data'!O51&gt;=Configuration!$D$2),"",_xlfn.REGEXEXTRACT(CELL("address",'Raw Data'!O51),"\$([A-Z]+)\$[0-9]+"))),_xlfn.REGEXEXTRACT(CELL("address",O51), "\$([A-Z]+)\$[0-9]+"))</f>
        <v/>
      </c>
      <c r="P51" s="7" t="str">
        <f t="array" aca="1" ref="P51" ca="1">IFERROR(IF(OR('Raw Data'!P51="",LEN(TRIM('Raw Data'!P51))=0),"",IF(AND(ISNUMBER('Raw Data'!P51), IFERROR('Raw Data'!P51 = ROUND('Raw Data'!P51, 2),FALSE)),"",_xlfn.REGEXEXTRACT(CELL("address",P51), "\$([A-Z]+)\$[0-9]+"))),_xlfn.REGEXEXTRACT(CELL("address",P51), "\$([A-Z]+)\$[0-9]+"))</f>
        <v/>
      </c>
      <c r="Q51" s="7" t="str">
        <f t="array" aca="1" ref="Q51" ca="1">IFERROR(IF(OR('Raw Data'!Q51="",LEN(TRIM('Raw Data'!Q51))=0),"",IF(AND(ISNUMBER('Raw Data'!Q51), IFERROR('Raw Data'!Q51 = ROUND('Raw Data'!Q51, 2),FALSE)),"",_xlfn.REGEXEXTRACT(CELL("address",Q51), "\$([A-Z]+)\$[0-9]+"))),_xlfn.REGEXEXTRACT(CELL("address",Q51), "\$([A-Z]+)\$[0-9]+"))</f>
        <v/>
      </c>
      <c r="R51" s="7" t="str">
        <f t="array" aca="1" ref="R51" ca="1">IFERROR(IF(OR('Raw Data'!R51="",LEN(TRIM('Raw Data'!R51))=0),"",IF(AND(LEN('Raw Data'!R51) &lt;= 50,LEN('Raw Data'!R51)&gt; 0),"",_xlfn.REGEXEXTRACT(CELL("address",'Raw Data'!R51),"\$([A-Z]+)\$[0-9]+"))),_xlfn.REGEXEXTRACT(CELL("address",'Raw Data'!R51),"\$([A-Z]+)\$[0-9]+"))</f>
        <v/>
      </c>
      <c r="S51" s="7" t="str">
        <f t="array" aca="1" ref="S51" ca="1">IFERROR(IF(OR('Raw Data'!S51="",LEN(TRIM('Raw Data'!S51))=0),"",IF(AND(LEN('Raw Data'!S51) &lt;= 50,LEN('Raw Data'!S51)&gt; 0),"",_xlfn.REGEXEXTRACT(CELL("address",'Raw Data'!S51),"\$([A-Z]+)\$[0-9]+"))),_xlfn.REGEXEXTRACT(CELL("address",'Raw Data'!S51),"\$([A-Z]+)\$[0-9]+"))</f>
        <v/>
      </c>
      <c r="T51" s="7" t="str">
        <f t="array" aca="1" ref="T51" ca="1">IFERROR(IF(OR('Raw Data'!T51="",LEN(TRIM('Raw Data'!T51))=0),"",IF(AND(ISNUMBER('Raw Data'!T51), IFERROR('Raw Data'!T51 = ROUND('Raw Data'!T51, 2),FALSE)),"",_xlfn.REGEXEXTRACT(CELL("address",T51), "\$([A-Z]+)\$[0-9]+"))),_xlfn.REGEXEXTRACT(CELL("address",T51), "\$([A-Z]+)\$[0-9]+"))</f>
        <v/>
      </c>
      <c r="U51" s="7" t="str">
        <f t="array" aca="1" ref="U51" ca="1">IFERROR(IF(OR('Raw Data'!U51="",LEN(TRIM('Raw Data'!U51))=0),"",IF(AND(ISNUMBER('Raw Data'!U51), IFERROR('Raw Data'!U51 = ROUND('Raw Data'!U51, 2),FALSE)),"",_xlfn.REGEXEXTRACT(CELL("address",U51), "\$([A-Z]+)\$[0-9]+"))),_xlfn.REGEXEXTRACT(CELL("address",U51), "\$([A-Z]+)\$[0-9]+"))</f>
        <v/>
      </c>
      <c r="V51" s="7" t="str">
        <f t="array" aca="1" ref="V51" ca="1">IFERROR(IF(OR('Raw Data'!V51="",LEN(TRIM('Raw Data'!V51))=0),"",IF(AND(ISNUMBER('Raw Data'!V51), IFERROR('Raw Data'!V51 = ROUND('Raw Data'!V51, 2),FALSE)),"",_xlfn.REGEXEXTRACT(CELL("address",V51), "\$([A-Z]+)\$[0-9]+"))),_xlfn.REGEXEXTRACT(CELL("address",V51), "\$([A-Z]+)\$[0-9]+"))</f>
        <v/>
      </c>
      <c r="W51" s="7" t="str">
        <f t="array" aca="1" ref="W51" ca="1">IFERROR(IF(OR('Raw Data'!W51="",LEN(TRIM('Raw Data'!W51))=0),"",IF(AND(ISNUMBER('Raw Data'!W51), IFERROR('Raw Data'!W51 = ROUND('Raw Data'!W51, 2),FALSE)),"",_xlfn.REGEXEXTRACT(CELL("address",W51), "\$([A-Z]+)\$[0-9]+"))),_xlfn.REGEXEXTRACT(CELL("address",W51), "\$([A-Z]+)\$[0-9]+"))</f>
        <v/>
      </c>
      <c r="X51" s="7" t="str">
        <f t="array" aca="1" ref="X51" ca="1">IFERROR(IF(OR('Raw Data'!X51="",LEN(TRIM('Raw Data'!X51))=0),"",IF(AND(ISNUMBER('Raw Data'!X51), IFERROR('Raw Data'!X51 = ROUND('Raw Data'!X51, 2),FALSE)),"",_xlfn.REGEXEXTRACT(CELL("address",X51), "\$([A-Z]+)\$[0-9]+"))),_xlfn.REGEXEXTRACT(CELL("address",X51), "\$([A-Z]+)\$[0-9]+"))</f>
        <v/>
      </c>
      <c r="Y51" s="7" t="str">
        <f t="array" aca="1" ref="Y51" ca="1">IFERROR(IF(OR('Raw Data'!Y51="",LEN(TRIM('Raw Data'!Y51))=0),"",IF(AND(ISNUMBER('Raw Data'!Y51), IFERROR('Raw Data'!Y51 = ROUND('Raw Data'!Y51, 2),FALSE)),"",_xlfn.REGEXEXTRACT(CELL("address",Y51), "\$([A-Z]+)\$[0-9]+"))),_xlfn.REGEXEXTRACT(CELL("address",Y51), "\$([A-Z]+)\$[0-9]+"))</f>
        <v/>
      </c>
      <c r="Z51" s="7" t="str">
        <f t="array" aca="1" ref="Z51" ca="1">IFERROR(IF(OR('Raw Data'!Z51="",LEN(TRIM('Raw Data'!Z51))=0),"",IF(AND(ISNUMBER('Raw Data'!Z51), IFERROR('Raw Data'!Z51 = ROUND('Raw Data'!Z51, 2),FALSE)),"",_xlfn.REGEXEXTRACT(CELL("address",Z51), "\$([A-Z]+)\$[0-9]+"))),_xlfn.REGEXEXTRACT(CELL("address",Z51), "\$([A-Z]+)\$[0-9]+"))</f>
        <v/>
      </c>
      <c r="AA51" s="7" t="str">
        <f t="array" aca="1" ref="AA51" ca="1">IFERROR(IF(OR('Raw Data'!AA51="",LEN(TRIM('Raw Data'!AA51))=0),"",IF(AND(ISNUMBER('Raw Data'!AA51), IFERROR('Raw Data'!AA51 = ROUND('Raw Data'!AA51, 2),FALSE)),"",_xlfn.REGEXEXTRACT(CELL("address",AA51), "\$([A-Z]+)\$[0-9]+"))),_xlfn.REGEXEXTRACT(CELL("address",AA51), "\$([A-Z]+)\$[0-9]+"))</f>
        <v/>
      </c>
      <c r="AB51" s="7" t="str">
        <f t="array" aca="1" ref="AB51" ca="1">IFERROR(IF(OR('Raw Data'!AB51="",LEN(TRIM('Raw Data'!AB51))=0),"",IF(AND(ISNUMBER('Raw Data'!AB51), IFERROR('Raw Data'!AB51 = ROUND('Raw Data'!AB51, 2),FALSE)),"",_xlfn.REGEXEXTRACT(CELL("address",AB51), "\$([A-Z]+)\$[0-9]+"))),_xlfn.REGEXEXTRACT(CELL("address",AB51), "\$([A-Z]+)\$[0-9]+"))</f>
        <v/>
      </c>
      <c r="AC51" s="7" t="str">
        <f t="array" aca="1" ref="AC51" ca="1">IFERROR(IF(OR('Raw Data'!AC51="",LEN(TRIM('Raw Data'!AC51))=0),"",IF(AND(ISNUMBER('Raw Data'!AC51), IFERROR('Raw Data'!AC51 = ROUND('Raw Data'!AC51, 2),FALSE)),"",_xlfn.REGEXEXTRACT(CELL("address",AC51), "\$([A-Z]+)\$[0-9]+"))),_xlfn.REGEXEXTRACT(CELL("address",AC51), "\$([A-Z]+)\$[0-9]+"))</f>
        <v/>
      </c>
      <c r="AD51" s="7" t="str">
        <f t="array" aca="1" ref="AD51" ca="1">IFERROR(IF(OR('Raw Data'!AD51="",LEN(TRIM('Raw Data'!AD51))=0),"",IF(AND(ISNUMBER('Raw Data'!AD51), IFERROR('Raw Data'!AD51 = ROUND('Raw Data'!AD51, 2),FALSE)),"",_xlfn.REGEXEXTRACT(CELL("address",AD51), "\$([A-Z]+)\$[0-9]+"))),_xlfn.REGEXEXTRACT(CELL("address",AD51), "\$([A-Z]+)\$[0-9]+"))</f>
        <v/>
      </c>
      <c r="AE51" s="7" t="str">
        <f t="array" aca="1" ref="AE51" ca="1">IFERROR(IF(OR('Raw Data'!AE51="",LEN(TRIM('Raw Data'!AE51))=0),"",IF(AND(ISNUMBER('Raw Data'!AE51), IFERROR('Raw Data'!AE51 = ROUND('Raw Data'!AE51, 2),FALSE)),"",_xlfn.REGEXEXTRACT(CELL("address",AE51), "\$([A-Z]+)\$[0-9]+"))),_xlfn.REGEXEXTRACT(CELL("address",AE51), "\$([A-Z]+)\$[0-9]+"))</f>
        <v/>
      </c>
      <c r="AF51" s="7" t="str">
        <f t="array" aca="1" ref="AF51" ca="1">IFERROR(IF(OR('Raw Data'!AF51="",LEN(TRIM('Raw Data'!AF51))=0),"",IF(AND(ISNUMBER('Raw Data'!AF51), IFERROR('Raw Data'!AF51 = ROUND('Raw Data'!AF51, 2),FALSE)),"",_xlfn.REGEXEXTRACT(CELL("address",AF51), "\$([A-Z]+)\$[0-9]+"))),_xlfn.REGEXEXTRACT(CELL("address",AF51), "\$([A-Z]+)\$[0-9]+"))</f>
        <v/>
      </c>
      <c r="AG51" s="7" t="str">
        <f t="array" aca="1" ref="AG51" ca="1">IFERROR(IF(OR('Raw Data'!AG51="",LEN(TRIM('Raw Data'!AG51))=0),"",IF(AND(ISNUMBER('Raw Data'!AG51), IFERROR('Raw Data'!AG51 = ROUND('Raw Data'!AG51, 2),FALSE)),"",_xlfn.REGEXEXTRACT(CELL("address",AG51), "\$([A-Z]+)\$[0-9]+"))),_xlfn.REGEXEXTRACT(CELL("address",AG51), "\$([A-Z]+)\$[0-9]+"))</f>
        <v/>
      </c>
      <c r="AH51" s="7" t="str">
        <f t="array" aca="1" ref="AH51" ca="1">IFERROR(IF(OR('Raw Data'!AH51="",LEN(TRIM('Raw Data'!AH51))=0),"",IF(AND(ISNUMBER('Raw Data'!AH51), IFERROR('Raw Data'!AH51 = ROUND('Raw Data'!AH51, 2),FALSE)),"",_xlfn.REGEXEXTRACT(CELL("address",AH51), "\$([A-Z]+)\$[0-9]+"))),_xlfn.REGEXEXTRACT(CELL("address",AH51), "\$([A-Z]+)\$[0-9]+"))</f>
        <v/>
      </c>
      <c r="AI51" s="7" t="str">
        <f t="array" aca="1" ref="AI51" ca="1">IFERROR(IF(OR('Raw Data'!AI51="",LEN(TRIM('Raw Data'!AI51))=0),"",IF(AND(ISNUMBER('Raw Data'!AI51), IFERROR('Raw Data'!AI51 = ROUND('Raw Data'!AI51, 2),FALSE)),"",_xlfn.REGEXEXTRACT(CELL("address",AI51), "\$([A-Z]+)\$[0-9]+"))),_xlfn.REGEXEXTRACT(CELL("address",AI51), "\$([A-Z]+)\$[0-9]+"))</f>
        <v/>
      </c>
      <c r="AJ51" s="7" t="str">
        <f t="array" aca="1" ref="AJ51" ca="1">IFERROR(IF(OR('Raw Data'!AJ51="",LEN(TRIM('Raw Data'!AJ51))=0),"",IF(AND(ISNUMBER('Raw Data'!AJ51), IFERROR('Raw Data'!AJ51 = ROUND('Raw Data'!AJ51, 4),FALSE)),"",_xlfn.REGEXEXTRACT(CELL("address",AJ51), "\$([A-Z]+)\$[0-9]+"))),_xlfn.REGEXEXTRACT(CELL("address",AJ51), "\$([A-Z]+)\$[0-9]+"))</f>
        <v/>
      </c>
      <c r="AK51" s="7" t="str">
        <f t="array" aca="1" ref="AK51" ca="1">IFERROR(IF(OR('Raw Data'!AK51="",LEN(TRIM('Raw Data'!AK51))=0),"",IF(AND(ISNUMBER('Raw Data'!AK51), IFERROR('Raw Data'!AK51 = ROUND('Raw Data'!AK51, 2),FALSE)),"",_xlfn.REGEXEXTRACT(CELL("address",AK51), "\$([A-Z]+)\$[0-9]+"))),_xlfn.REGEXEXTRACT(CELL("address",AK51), "\$([A-Z]+)\$[0-9]+"))</f>
        <v/>
      </c>
      <c r="AL51" s="7" t="str">
        <f t="array" aca="1" ref="AL51" ca="1">IFERROR(IF(OR('Raw Data'!AL51="",LEN(TRIM('Raw Data'!AL51))=0),"",IF(AND(ISNUMBER('Raw Data'!AL51), IFERROR('Raw Data'!AL51 = ROUND('Raw Data'!AL51, 2),FALSE)),"",_xlfn.REGEXEXTRACT(CELL("address",AL51), "\$([A-Z]+)\$[0-9]+"))),_xlfn.REGEXEXTRACT(CELL("address",AL51), "\$([A-Z]+)\$[0-9]+"))</f>
        <v/>
      </c>
      <c r="AM51" s="7" t="str">
        <f t="array" aca="1" ref="AM51" ca="1">IFERROR(IF(OR('Raw Data'!AM51="",LEN(TRIM('Raw Data'!AM51))=0),"",IF(AND(ISNUMBER('Raw Data'!AM51), IFERROR('Raw Data'!AM51 = ROUND('Raw Data'!AM51, 2),FALSE)),"",_xlfn.REGEXEXTRACT(CELL("address",AM51), "\$([A-Z]+)\$[0-9]+"))),_xlfn.REGEXEXTRACT(CELL("address",AM51), "\$([A-Z]+)\$[0-9]+"))</f>
        <v/>
      </c>
      <c r="AN51" s="7" t="str">
        <f t="array" aca="1" ref="AN51" ca="1">IFERROR(IF(OR('Raw Data'!AN51="",LEN(TRIM('Raw Data'!AN51))=0),"",IF(AND(ISNUMBER('Raw Data'!AN51), IFERROR('Raw Data'!AN51 = ROUND('Raw Data'!AN51, 2),FALSE)),"",_xlfn.REGEXEXTRACT(CELL("address",AN51), "\$([A-Z]+)\$[0-9]+"))),_xlfn.REGEXEXTRACT(CELL("address",AN51), "\$([A-Z]+)\$[0-9]+"))</f>
        <v/>
      </c>
      <c r="AO51" s="7" t="str">
        <f t="array" aca="1" ref="AO51" ca="1">IFERROR(IF(OR('Raw Data'!AO51="",LEN(TRIM('Raw Data'!AO51))=0),"",IF(AND(ISNUMBER('Raw Data'!AO51), IFERROR('Raw Data'!AO51 = ROUND('Raw Data'!AO51, 2),FALSE)),"",_xlfn.REGEXEXTRACT(CELL("address",AO51), "\$([A-Z]+)\$[0-9]+"))),_xlfn.REGEXEXTRACT(CELL("address",AO51), "\$([A-Z]+)\$[0-9]+"))</f>
        <v/>
      </c>
      <c r="AP51" s="7" t="str">
        <f t="array" aca="1" ref="AP51" ca="1">IFERROR(IF(OR('Raw Data'!AP51="",LEN(TRIM('Raw Data'!AP51))=0),"",IF(AND(ISNUMBER('Raw Data'!AP51), IFERROR('Raw Data'!AP51 = ROUND('Raw Data'!AP51, 2),FALSE)),"",_xlfn.REGEXEXTRACT(CELL("address",AP51), "\$([A-Z]+)\$[0-9]+"))),_xlfn.REGEXEXTRACT(CELL("address",AP51), "\$([A-Z]+)\$[0-9]+"))</f>
        <v/>
      </c>
    </row>
    <row r="52" spans="2:42" x14ac:dyDescent="0.25">
      <c r="B52" s="7" t="str">
        <f t="array" aca="1" ref="B52" ca="1">IFERROR(IF(OR('Raw Data'!B52="",LEN(TRIM('Raw Data'!B52))=0),"",IF(AND(LEN('Raw Data'!B52) &lt;= 255,LEN('Raw Data'!B52)&gt; 0),"",_xlfn.REGEXEXTRACT(CELL("address",'Raw Data'!B52),"\$([A-Z]+)\$[0-9]+"))),_xlfn.REGEXEXTRACT(CELL("address",'Raw Data'!B52),"\$([A-Z]+)\$[0-9]+"))</f>
        <v/>
      </c>
      <c r="C52" s="7" t="str">
        <f t="array" aca="1" ref="C52" ca="1">IFERROR(IF(OR('Raw Data'!C52="",LEN(TRIM('Raw Data'!C52))=0),"",IF(AND(LEN('Raw Data'!C52) &lt;= 50,LEN('Raw Data'!C52)&gt; 0),"",_xlfn.REGEXEXTRACT(CELL("address",'Raw Data'!C52),"\$([A-Z]+)\$[0-9]+"))),_xlfn.REGEXEXTRACT(CELL("address",'Raw Data'!C52),"\$([A-Z]+)\$[0-9]+"))</f>
        <v/>
      </c>
      <c r="D52" s="7" t="str">
        <f t="array" aca="1" ref="D52" ca="1">IFERROR(IF(OR('Raw Data'!D52="",LEN(TRIM('Raw Data'!D52))=0),"",IF(AND(LEN('Raw Data'!D52) &lt;= 500,LEN('Raw Data'!D52)&gt; 0),"",_xlfn.REGEXEXTRACT(CELL("address",'Raw Data'!D52),"\$([A-Z]+)\$[0-9]+"))),_xlfn.REGEXEXTRACT(CELL("address",'Raw Data'!D52),"\$([A-Z]+)\$[0-9]+"))</f>
        <v/>
      </c>
      <c r="E52" s="7" t="str">
        <f t="array" aca="1" ref="E52" ca="1">IFERROR(IF(OR('Raw Data'!E52="",LEN(TRIM('Raw Data'!E52))=0),"",IF(AND(LEN('Raw Data'!E52) &lt;= 50,LEN('Raw Data'!E52)&gt; 0),"",_xlfn.REGEXEXTRACT(CELL("address",'Raw Data'!E52),"\$([A-Z]+)\$[0-9]+"))),_xlfn.REGEXEXTRACT(CELL("address",'Raw Data'!E52),"\$([A-Z]+)\$[0-9]+"))</f>
        <v/>
      </c>
      <c r="F52" s="7" t="str">
        <f t="array" aca="1" ref="F52" ca="1">IFERROR(IF(OR('Raw Data'!F52="",LEN(TRIM('Raw Data'!F52))=0),"",IF(AND(LEN('Raw Data'!F52) &lt;= 50,LEN('Raw Data'!F52)&gt; 0),"",_xlfn.REGEXEXTRACT(CELL("address",'Raw Data'!F52),"\$([A-Z]+)\$[0-9]+"))),_xlfn.REGEXEXTRACT(CELL("address",'Raw Data'!F52),"\$([A-Z]+)\$[0-9]+"))</f>
        <v/>
      </c>
      <c r="G52" s="7" t="str">
        <f t="array" aca="1" ref="G52" ca="1">IFERROR(IF(OR('Raw Data'!G52="",LEN(TRIM('Raw Data'!G52))=0),"",IF(AND(LEN('Raw Data'!G52) &lt;= 50,LEN('Raw Data'!G52)&gt; 0),"",_xlfn.REGEXEXTRACT(CELL("address",'Raw Data'!G52),"\$([A-Z]+)\$[0-9]+"))),_xlfn.REGEXEXTRACT(CELL("address",'Raw Data'!G52),"\$([A-Z]+)\$[0-9]+"))</f>
        <v/>
      </c>
      <c r="H52" s="7" t="str">
        <f t="array" aca="1" ref="H52" ca="1">IFERROR(IF(OR('Raw Data'!H52="",LEN(TRIM('Raw Data'!H52))=0),"",IF(AND(LEN('Raw Data'!H52) &lt;= 50,LEN('Raw Data'!H52)&gt; 0),"",_xlfn.REGEXEXTRACT(CELL("address",'Raw Data'!H52),"\$([A-Z]+)\$[0-9]+"))),_xlfn.REGEXEXTRACT(CELL("address",'Raw Data'!H52),"\$([A-Z]+)\$[0-9]+"))</f>
        <v/>
      </c>
      <c r="I52" s="7" t="str">
        <f t="array" aca="1" ref="I52" ca="1">IFERROR(IF(OR('Raw Data'!I52="",LEN(TRIM('Raw Data'!I52))=0),"",IF(AND(LEN('Raw Data'!I52) &lt;= 50,LEN('Raw Data'!I52)&gt; 0),"",_xlfn.REGEXEXTRACT(CELL("address",'Raw Data'!I52),"\$([A-Z]+)\$[0-9]+"))),_xlfn.REGEXEXTRACT(CELL("address",'Raw Data'!I52),"\$([A-Z]+)\$[0-9]+"))</f>
        <v/>
      </c>
      <c r="J52" s="7" t="str">
        <f t="array" aca="1" ref="J52" ca="1">IFERROR(IF(OR('Raw Data'!J52="",LEN(TRIM('Raw Data'!J52))=0),"",IF(AND(ISNUMBER('Raw Data'!J52), IFERROR('Raw Data'!J52 = ROUND('Raw Data'!J52, 2),FALSE)),"",_xlfn.REGEXEXTRACT(CELL("address",J52), "\$([A-Z]+)\$[0-9]+"))),_xlfn.REGEXEXTRACT(CELL("address",J52), "\$([A-Z]+)\$[0-9]+"))</f>
        <v/>
      </c>
      <c r="K52" s="7" t="str">
        <f t="array" aca="1" ref="K52" ca="1">IFERROR(IF(OR('Raw Data'!K52="",LEN(TRIM('Raw Data'!K52))=0),"",IF(AND(ISNUMBER('Raw Data'!K52), IFERROR('Raw Data'!K52 = ROUND('Raw Data'!K52, 2),FALSE)),"",_xlfn.REGEXEXTRACT(CELL("address",K52), "\$([A-Z]+)\$[0-9]+"))),_xlfn.REGEXEXTRACT(CELL("address",K52), "\$([A-Z]+)\$[0-9]+"))</f>
        <v/>
      </c>
      <c r="L52" s="7" t="str">
        <f t="array" aca="1" ref="L52" ca="1">IFERROR(IF(OR('Raw Data'!L52="",LEN(TRIM('Raw Data'!L52))=0),"",IF(AND(ISNUMBER('Raw Data'!L52), IFERROR('Raw Data'!L52 = ROUND('Raw Data'!L52, 2),FALSE)),"",_xlfn.REGEXEXTRACT(CELL("address",L52), "\$([A-Z]+)\$[0-9]+"))),_xlfn.REGEXEXTRACT(CELL("address",L52), "\$([A-Z]+)\$[0-9]+"))</f>
        <v/>
      </c>
      <c r="M52" s="7" t="str">
        <f t="array" aca="1" ref="M52" ca="1">IFERROR(IF(OR('Raw Data'!M52="",LEN(TRIM('Raw Data'!M52))=0),"",IF(AND(ISNUMBER('Raw Data'!M52), IFERROR('Raw Data'!M52 = ROUND('Raw Data'!M52, 2),FALSE)),"",_xlfn.REGEXEXTRACT(CELL("address",M52), "\$([A-Z]+)\$[0-9]+"))),_xlfn.REGEXEXTRACT(CELL("address",M52), "\$([A-Z]+)\$[0-9]+"))</f>
        <v/>
      </c>
      <c r="N52" s="7" t="str">
        <f t="array" aca="1" ref="N52" ca="1">IFERROR(IF(OR('Raw Data'!N52="",LEN(TRIM('Raw Data'!N52))=0),"",IF(AND(ISNUMBER('Raw Data'!N52), IFERROR('Raw Data'!N52 = ROUND('Raw Data'!N52, 2),FALSE)),"",_xlfn.REGEXEXTRACT(CELL("address",N52), "\$([A-Z]+)\$[0-9]+"))),_xlfn.REGEXEXTRACT(CELL("address",N52), "\$([A-Z]+)\$[0-9]+"))</f>
        <v/>
      </c>
      <c r="O52" s="7" t="str">
        <f t="array" aca="1" ref="O52" ca="1">IFERROR(IF(OR('Raw Data'!O52="",LEN(TRIM('Raw Data'!O52))=0),"",IF(AND(ISNUMBER('Raw Data'!O52),'Raw Data'!O52&gt;=Configuration!$D$2),"",_xlfn.REGEXEXTRACT(CELL("address",'Raw Data'!O52),"\$([A-Z]+)\$[0-9]+"))),_xlfn.REGEXEXTRACT(CELL("address",O52), "\$([A-Z]+)\$[0-9]+"))</f>
        <v/>
      </c>
      <c r="P52" s="7" t="str">
        <f t="array" aca="1" ref="P52" ca="1">IFERROR(IF(OR('Raw Data'!P52="",LEN(TRIM('Raw Data'!P52))=0),"",IF(AND(ISNUMBER('Raw Data'!P52), IFERROR('Raw Data'!P52 = ROUND('Raw Data'!P52, 2),FALSE)),"",_xlfn.REGEXEXTRACT(CELL("address",P52), "\$([A-Z]+)\$[0-9]+"))),_xlfn.REGEXEXTRACT(CELL("address",P52), "\$([A-Z]+)\$[0-9]+"))</f>
        <v/>
      </c>
      <c r="Q52" s="7" t="str">
        <f t="array" aca="1" ref="Q52" ca="1">IFERROR(IF(OR('Raw Data'!Q52="",LEN(TRIM('Raw Data'!Q52))=0),"",IF(AND(ISNUMBER('Raw Data'!Q52), IFERROR('Raw Data'!Q52 = ROUND('Raw Data'!Q52, 2),FALSE)),"",_xlfn.REGEXEXTRACT(CELL("address",Q52), "\$([A-Z]+)\$[0-9]+"))),_xlfn.REGEXEXTRACT(CELL("address",Q52), "\$([A-Z]+)\$[0-9]+"))</f>
        <v/>
      </c>
      <c r="R52" s="7" t="str">
        <f t="array" aca="1" ref="R52" ca="1">IFERROR(IF(OR('Raw Data'!R52="",LEN(TRIM('Raw Data'!R52))=0),"",IF(AND(LEN('Raw Data'!R52) &lt;= 50,LEN('Raw Data'!R52)&gt; 0),"",_xlfn.REGEXEXTRACT(CELL("address",'Raw Data'!R52),"\$([A-Z]+)\$[0-9]+"))),_xlfn.REGEXEXTRACT(CELL("address",'Raw Data'!R52),"\$([A-Z]+)\$[0-9]+"))</f>
        <v/>
      </c>
      <c r="S52" s="7" t="str">
        <f t="array" aca="1" ref="S52" ca="1">IFERROR(IF(OR('Raw Data'!S52="",LEN(TRIM('Raw Data'!S52))=0),"",IF(AND(LEN('Raw Data'!S52) &lt;= 50,LEN('Raw Data'!S52)&gt; 0),"",_xlfn.REGEXEXTRACT(CELL("address",'Raw Data'!S52),"\$([A-Z]+)\$[0-9]+"))),_xlfn.REGEXEXTRACT(CELL("address",'Raw Data'!S52),"\$([A-Z]+)\$[0-9]+"))</f>
        <v/>
      </c>
      <c r="T52" s="7" t="str">
        <f t="array" aca="1" ref="T52" ca="1">IFERROR(IF(OR('Raw Data'!T52="",LEN(TRIM('Raw Data'!T52))=0),"",IF(AND(ISNUMBER('Raw Data'!T52), IFERROR('Raw Data'!T52 = ROUND('Raw Data'!T52, 2),FALSE)),"",_xlfn.REGEXEXTRACT(CELL("address",T52), "\$([A-Z]+)\$[0-9]+"))),_xlfn.REGEXEXTRACT(CELL("address",T52), "\$([A-Z]+)\$[0-9]+"))</f>
        <v/>
      </c>
      <c r="U52" s="7" t="str">
        <f t="array" aca="1" ref="U52" ca="1">IFERROR(IF(OR('Raw Data'!U52="",LEN(TRIM('Raw Data'!U52))=0),"",IF(AND(ISNUMBER('Raw Data'!U52), IFERROR('Raw Data'!U52 = ROUND('Raw Data'!U52, 2),FALSE)),"",_xlfn.REGEXEXTRACT(CELL("address",U52), "\$([A-Z]+)\$[0-9]+"))),_xlfn.REGEXEXTRACT(CELL("address",U52), "\$([A-Z]+)\$[0-9]+"))</f>
        <v/>
      </c>
      <c r="V52" s="7" t="str">
        <f t="array" aca="1" ref="V52" ca="1">IFERROR(IF(OR('Raw Data'!V52="",LEN(TRIM('Raw Data'!V52))=0),"",IF(AND(ISNUMBER('Raw Data'!V52), IFERROR('Raw Data'!V52 = ROUND('Raw Data'!V52, 2),FALSE)),"",_xlfn.REGEXEXTRACT(CELL("address",V52), "\$([A-Z]+)\$[0-9]+"))),_xlfn.REGEXEXTRACT(CELL("address",V52), "\$([A-Z]+)\$[0-9]+"))</f>
        <v/>
      </c>
      <c r="W52" s="7" t="str">
        <f t="array" aca="1" ref="W52" ca="1">IFERROR(IF(OR('Raw Data'!W52="",LEN(TRIM('Raw Data'!W52))=0),"",IF(AND(ISNUMBER('Raw Data'!W52), IFERROR('Raw Data'!W52 = ROUND('Raw Data'!W52, 2),FALSE)),"",_xlfn.REGEXEXTRACT(CELL("address",W52), "\$([A-Z]+)\$[0-9]+"))),_xlfn.REGEXEXTRACT(CELL("address",W52), "\$([A-Z]+)\$[0-9]+"))</f>
        <v/>
      </c>
      <c r="X52" s="7" t="str">
        <f t="array" aca="1" ref="X52" ca="1">IFERROR(IF(OR('Raw Data'!X52="",LEN(TRIM('Raw Data'!X52))=0),"",IF(AND(ISNUMBER('Raw Data'!X52), IFERROR('Raw Data'!X52 = ROUND('Raw Data'!X52, 2),FALSE)),"",_xlfn.REGEXEXTRACT(CELL("address",X52), "\$([A-Z]+)\$[0-9]+"))),_xlfn.REGEXEXTRACT(CELL("address",X52), "\$([A-Z]+)\$[0-9]+"))</f>
        <v/>
      </c>
      <c r="Y52" s="7" t="str">
        <f t="array" aca="1" ref="Y52" ca="1">IFERROR(IF(OR('Raw Data'!Y52="",LEN(TRIM('Raw Data'!Y52))=0),"",IF(AND(ISNUMBER('Raw Data'!Y52), IFERROR('Raw Data'!Y52 = ROUND('Raw Data'!Y52, 2),FALSE)),"",_xlfn.REGEXEXTRACT(CELL("address",Y52), "\$([A-Z]+)\$[0-9]+"))),_xlfn.REGEXEXTRACT(CELL("address",Y52), "\$([A-Z]+)\$[0-9]+"))</f>
        <v/>
      </c>
      <c r="Z52" s="7" t="str">
        <f t="array" aca="1" ref="Z52" ca="1">IFERROR(IF(OR('Raw Data'!Z52="",LEN(TRIM('Raw Data'!Z52))=0),"",IF(AND(ISNUMBER('Raw Data'!Z52), IFERROR('Raw Data'!Z52 = ROUND('Raw Data'!Z52, 2),FALSE)),"",_xlfn.REGEXEXTRACT(CELL("address",Z52), "\$([A-Z]+)\$[0-9]+"))),_xlfn.REGEXEXTRACT(CELL("address",Z52), "\$([A-Z]+)\$[0-9]+"))</f>
        <v/>
      </c>
      <c r="AA52" s="7" t="str">
        <f t="array" aca="1" ref="AA52" ca="1">IFERROR(IF(OR('Raw Data'!AA52="",LEN(TRIM('Raw Data'!AA52))=0),"",IF(AND(ISNUMBER('Raw Data'!AA52), IFERROR('Raw Data'!AA52 = ROUND('Raw Data'!AA52, 2),FALSE)),"",_xlfn.REGEXEXTRACT(CELL("address",AA52), "\$([A-Z]+)\$[0-9]+"))),_xlfn.REGEXEXTRACT(CELL("address",AA52), "\$([A-Z]+)\$[0-9]+"))</f>
        <v/>
      </c>
      <c r="AB52" s="7" t="str">
        <f t="array" aca="1" ref="AB52" ca="1">IFERROR(IF(OR('Raw Data'!AB52="",LEN(TRIM('Raw Data'!AB52))=0),"",IF(AND(ISNUMBER('Raw Data'!AB52), IFERROR('Raw Data'!AB52 = ROUND('Raw Data'!AB52, 2),FALSE)),"",_xlfn.REGEXEXTRACT(CELL("address",AB52), "\$([A-Z]+)\$[0-9]+"))),_xlfn.REGEXEXTRACT(CELL("address",AB52), "\$([A-Z]+)\$[0-9]+"))</f>
        <v/>
      </c>
      <c r="AC52" s="7" t="str">
        <f t="array" aca="1" ref="AC52" ca="1">IFERROR(IF(OR('Raw Data'!AC52="",LEN(TRIM('Raw Data'!AC52))=0),"",IF(AND(ISNUMBER('Raw Data'!AC52), IFERROR('Raw Data'!AC52 = ROUND('Raw Data'!AC52, 2),FALSE)),"",_xlfn.REGEXEXTRACT(CELL("address",AC52), "\$([A-Z]+)\$[0-9]+"))),_xlfn.REGEXEXTRACT(CELL("address",AC52), "\$([A-Z]+)\$[0-9]+"))</f>
        <v/>
      </c>
      <c r="AD52" s="7" t="str">
        <f t="array" aca="1" ref="AD52" ca="1">IFERROR(IF(OR('Raw Data'!AD52="",LEN(TRIM('Raw Data'!AD52))=0),"",IF(AND(ISNUMBER('Raw Data'!AD52), IFERROR('Raw Data'!AD52 = ROUND('Raw Data'!AD52, 2),FALSE)),"",_xlfn.REGEXEXTRACT(CELL("address",AD52), "\$([A-Z]+)\$[0-9]+"))),_xlfn.REGEXEXTRACT(CELL("address",AD52), "\$([A-Z]+)\$[0-9]+"))</f>
        <v/>
      </c>
      <c r="AE52" s="7" t="str">
        <f t="array" aca="1" ref="AE52" ca="1">IFERROR(IF(OR('Raw Data'!AE52="",LEN(TRIM('Raw Data'!AE52))=0),"",IF(AND(ISNUMBER('Raw Data'!AE52), IFERROR('Raw Data'!AE52 = ROUND('Raw Data'!AE52, 2),FALSE)),"",_xlfn.REGEXEXTRACT(CELL("address",AE52), "\$([A-Z]+)\$[0-9]+"))),_xlfn.REGEXEXTRACT(CELL("address",AE52), "\$([A-Z]+)\$[0-9]+"))</f>
        <v/>
      </c>
      <c r="AF52" s="7" t="str">
        <f t="array" aca="1" ref="AF52" ca="1">IFERROR(IF(OR('Raw Data'!AF52="",LEN(TRIM('Raw Data'!AF52))=0),"",IF(AND(ISNUMBER('Raw Data'!AF52), IFERROR('Raw Data'!AF52 = ROUND('Raw Data'!AF52, 2),FALSE)),"",_xlfn.REGEXEXTRACT(CELL("address",AF52), "\$([A-Z]+)\$[0-9]+"))),_xlfn.REGEXEXTRACT(CELL("address",AF52), "\$([A-Z]+)\$[0-9]+"))</f>
        <v/>
      </c>
      <c r="AG52" s="7" t="str">
        <f t="array" aca="1" ref="AG52" ca="1">IFERROR(IF(OR('Raw Data'!AG52="",LEN(TRIM('Raw Data'!AG52))=0),"",IF(AND(ISNUMBER('Raw Data'!AG52), IFERROR('Raw Data'!AG52 = ROUND('Raw Data'!AG52, 2),FALSE)),"",_xlfn.REGEXEXTRACT(CELL("address",AG52), "\$([A-Z]+)\$[0-9]+"))),_xlfn.REGEXEXTRACT(CELL("address",AG52), "\$([A-Z]+)\$[0-9]+"))</f>
        <v/>
      </c>
      <c r="AH52" s="7" t="str">
        <f t="array" aca="1" ref="AH52" ca="1">IFERROR(IF(OR('Raw Data'!AH52="",LEN(TRIM('Raw Data'!AH52))=0),"",IF(AND(ISNUMBER('Raw Data'!AH52), IFERROR('Raw Data'!AH52 = ROUND('Raw Data'!AH52, 2),FALSE)),"",_xlfn.REGEXEXTRACT(CELL("address",AH52), "\$([A-Z]+)\$[0-9]+"))),_xlfn.REGEXEXTRACT(CELL("address",AH52), "\$([A-Z]+)\$[0-9]+"))</f>
        <v/>
      </c>
      <c r="AI52" s="7" t="str">
        <f t="array" aca="1" ref="AI52" ca="1">IFERROR(IF(OR('Raw Data'!AI52="",LEN(TRIM('Raw Data'!AI52))=0),"",IF(AND(ISNUMBER('Raw Data'!AI52), IFERROR('Raw Data'!AI52 = ROUND('Raw Data'!AI52, 2),FALSE)),"",_xlfn.REGEXEXTRACT(CELL("address",AI52), "\$([A-Z]+)\$[0-9]+"))),_xlfn.REGEXEXTRACT(CELL("address",AI52), "\$([A-Z]+)\$[0-9]+"))</f>
        <v/>
      </c>
      <c r="AJ52" s="7" t="str">
        <f t="array" aca="1" ref="AJ52" ca="1">IFERROR(IF(OR('Raw Data'!AJ52="",LEN(TRIM('Raw Data'!AJ52))=0),"",IF(AND(ISNUMBER('Raw Data'!AJ52), IFERROR('Raw Data'!AJ52 = ROUND('Raw Data'!AJ52, 4),FALSE)),"",_xlfn.REGEXEXTRACT(CELL("address",AJ52), "\$([A-Z]+)\$[0-9]+"))),_xlfn.REGEXEXTRACT(CELL("address",AJ52), "\$([A-Z]+)\$[0-9]+"))</f>
        <v/>
      </c>
      <c r="AK52" s="7" t="str">
        <f t="array" aca="1" ref="AK52" ca="1">IFERROR(IF(OR('Raw Data'!AK52="",LEN(TRIM('Raw Data'!AK52))=0),"",IF(AND(ISNUMBER('Raw Data'!AK52), IFERROR('Raw Data'!AK52 = ROUND('Raw Data'!AK52, 2),FALSE)),"",_xlfn.REGEXEXTRACT(CELL("address",AK52), "\$([A-Z]+)\$[0-9]+"))),_xlfn.REGEXEXTRACT(CELL("address",AK52), "\$([A-Z]+)\$[0-9]+"))</f>
        <v/>
      </c>
      <c r="AL52" s="7" t="str">
        <f t="array" aca="1" ref="AL52" ca="1">IFERROR(IF(OR('Raw Data'!AL52="",LEN(TRIM('Raw Data'!AL52))=0),"",IF(AND(ISNUMBER('Raw Data'!AL52), IFERROR('Raw Data'!AL52 = ROUND('Raw Data'!AL52, 2),FALSE)),"",_xlfn.REGEXEXTRACT(CELL("address",AL52), "\$([A-Z]+)\$[0-9]+"))),_xlfn.REGEXEXTRACT(CELL("address",AL52), "\$([A-Z]+)\$[0-9]+"))</f>
        <v/>
      </c>
      <c r="AM52" s="7" t="str">
        <f t="array" aca="1" ref="AM52" ca="1">IFERROR(IF(OR('Raw Data'!AM52="",LEN(TRIM('Raw Data'!AM52))=0),"",IF(AND(ISNUMBER('Raw Data'!AM52), IFERROR('Raw Data'!AM52 = ROUND('Raw Data'!AM52, 2),FALSE)),"",_xlfn.REGEXEXTRACT(CELL("address",AM52), "\$([A-Z]+)\$[0-9]+"))),_xlfn.REGEXEXTRACT(CELL("address",AM52), "\$([A-Z]+)\$[0-9]+"))</f>
        <v/>
      </c>
      <c r="AN52" s="7" t="str">
        <f t="array" aca="1" ref="AN52" ca="1">IFERROR(IF(OR('Raw Data'!AN52="",LEN(TRIM('Raw Data'!AN52))=0),"",IF(AND(ISNUMBER('Raw Data'!AN52), IFERROR('Raw Data'!AN52 = ROUND('Raw Data'!AN52, 2),FALSE)),"",_xlfn.REGEXEXTRACT(CELL("address",AN52), "\$([A-Z]+)\$[0-9]+"))),_xlfn.REGEXEXTRACT(CELL("address",AN52), "\$([A-Z]+)\$[0-9]+"))</f>
        <v/>
      </c>
      <c r="AO52" s="7" t="str">
        <f t="array" aca="1" ref="AO52" ca="1">IFERROR(IF(OR('Raw Data'!AO52="",LEN(TRIM('Raw Data'!AO52))=0),"",IF(AND(ISNUMBER('Raw Data'!AO52), IFERROR('Raw Data'!AO52 = ROUND('Raw Data'!AO52, 2),FALSE)),"",_xlfn.REGEXEXTRACT(CELL("address",AO52), "\$([A-Z]+)\$[0-9]+"))),_xlfn.REGEXEXTRACT(CELL("address",AO52), "\$([A-Z]+)\$[0-9]+"))</f>
        <v/>
      </c>
      <c r="AP52" s="7" t="str">
        <f t="array" aca="1" ref="AP52" ca="1">IFERROR(IF(OR('Raw Data'!AP52="",LEN(TRIM('Raw Data'!AP52))=0),"",IF(AND(ISNUMBER('Raw Data'!AP52), IFERROR('Raw Data'!AP52 = ROUND('Raw Data'!AP52, 2),FALSE)),"",_xlfn.REGEXEXTRACT(CELL("address",AP52), "\$([A-Z]+)\$[0-9]+"))),_xlfn.REGEXEXTRACT(CELL("address",AP52), "\$([A-Z]+)\$[0-9]+"))</f>
        <v/>
      </c>
    </row>
    <row r="53" spans="2:42" x14ac:dyDescent="0.25">
      <c r="B53" s="7" t="str">
        <f t="array" aca="1" ref="B53" ca="1">IFERROR(IF(OR('Raw Data'!B53="",LEN(TRIM('Raw Data'!B53))=0),"",IF(AND(LEN('Raw Data'!B53) &lt;= 255,LEN('Raw Data'!B53)&gt; 0),"",_xlfn.REGEXEXTRACT(CELL("address",'Raw Data'!B53),"\$([A-Z]+)\$[0-9]+"))),_xlfn.REGEXEXTRACT(CELL("address",'Raw Data'!B53),"\$([A-Z]+)\$[0-9]+"))</f>
        <v/>
      </c>
      <c r="C53" s="7" t="str">
        <f t="array" aca="1" ref="C53" ca="1">IFERROR(IF(OR('Raw Data'!C53="",LEN(TRIM('Raw Data'!C53))=0),"",IF(AND(LEN('Raw Data'!C53) &lt;= 50,LEN('Raw Data'!C53)&gt; 0),"",_xlfn.REGEXEXTRACT(CELL("address",'Raw Data'!C53),"\$([A-Z]+)\$[0-9]+"))),_xlfn.REGEXEXTRACT(CELL("address",'Raw Data'!C53),"\$([A-Z]+)\$[0-9]+"))</f>
        <v/>
      </c>
      <c r="D53" s="7" t="str">
        <f t="array" aca="1" ref="D53" ca="1">IFERROR(IF(OR('Raw Data'!D53="",LEN(TRIM('Raw Data'!D53))=0),"",IF(AND(LEN('Raw Data'!D53) &lt;= 500,LEN('Raw Data'!D53)&gt; 0),"",_xlfn.REGEXEXTRACT(CELL("address",'Raw Data'!D53),"\$([A-Z]+)\$[0-9]+"))),_xlfn.REGEXEXTRACT(CELL("address",'Raw Data'!D53),"\$([A-Z]+)\$[0-9]+"))</f>
        <v/>
      </c>
      <c r="E53" s="7" t="str">
        <f t="array" aca="1" ref="E53" ca="1">IFERROR(IF(OR('Raw Data'!E53="",LEN(TRIM('Raw Data'!E53))=0),"",IF(AND(LEN('Raw Data'!E53) &lt;= 50,LEN('Raw Data'!E53)&gt; 0),"",_xlfn.REGEXEXTRACT(CELL("address",'Raw Data'!E53),"\$([A-Z]+)\$[0-9]+"))),_xlfn.REGEXEXTRACT(CELL("address",'Raw Data'!E53),"\$([A-Z]+)\$[0-9]+"))</f>
        <v/>
      </c>
      <c r="F53" s="7" t="str">
        <f t="array" aca="1" ref="F53" ca="1">IFERROR(IF(OR('Raw Data'!F53="",LEN(TRIM('Raw Data'!F53))=0),"",IF(AND(LEN('Raw Data'!F53) &lt;= 50,LEN('Raw Data'!F53)&gt; 0),"",_xlfn.REGEXEXTRACT(CELL("address",'Raw Data'!F53),"\$([A-Z]+)\$[0-9]+"))),_xlfn.REGEXEXTRACT(CELL("address",'Raw Data'!F53),"\$([A-Z]+)\$[0-9]+"))</f>
        <v/>
      </c>
      <c r="G53" s="7" t="str">
        <f t="array" aca="1" ref="G53" ca="1">IFERROR(IF(OR('Raw Data'!G53="",LEN(TRIM('Raw Data'!G53))=0),"",IF(AND(LEN('Raw Data'!G53) &lt;= 50,LEN('Raw Data'!G53)&gt; 0),"",_xlfn.REGEXEXTRACT(CELL("address",'Raw Data'!G53),"\$([A-Z]+)\$[0-9]+"))),_xlfn.REGEXEXTRACT(CELL("address",'Raw Data'!G53),"\$([A-Z]+)\$[0-9]+"))</f>
        <v/>
      </c>
      <c r="H53" s="7" t="str">
        <f t="array" aca="1" ref="H53" ca="1">IFERROR(IF(OR('Raw Data'!H53="",LEN(TRIM('Raw Data'!H53))=0),"",IF(AND(LEN('Raw Data'!H53) &lt;= 50,LEN('Raw Data'!H53)&gt; 0),"",_xlfn.REGEXEXTRACT(CELL("address",'Raw Data'!H53),"\$([A-Z]+)\$[0-9]+"))),_xlfn.REGEXEXTRACT(CELL("address",'Raw Data'!H53),"\$([A-Z]+)\$[0-9]+"))</f>
        <v/>
      </c>
      <c r="I53" s="7" t="str">
        <f t="array" aca="1" ref="I53" ca="1">IFERROR(IF(OR('Raw Data'!I53="",LEN(TRIM('Raw Data'!I53))=0),"",IF(AND(LEN('Raw Data'!I53) &lt;= 50,LEN('Raw Data'!I53)&gt; 0),"",_xlfn.REGEXEXTRACT(CELL("address",'Raw Data'!I53),"\$([A-Z]+)\$[0-9]+"))),_xlfn.REGEXEXTRACT(CELL("address",'Raw Data'!I53),"\$([A-Z]+)\$[0-9]+"))</f>
        <v/>
      </c>
      <c r="J53" s="7" t="str">
        <f t="array" aca="1" ref="J53" ca="1">IFERROR(IF(OR('Raw Data'!J53="",LEN(TRIM('Raw Data'!J53))=0),"",IF(AND(ISNUMBER('Raw Data'!J53), IFERROR('Raw Data'!J53 = ROUND('Raw Data'!J53, 2),FALSE)),"",_xlfn.REGEXEXTRACT(CELL("address",J53), "\$([A-Z]+)\$[0-9]+"))),_xlfn.REGEXEXTRACT(CELL("address",J53), "\$([A-Z]+)\$[0-9]+"))</f>
        <v/>
      </c>
      <c r="K53" s="7" t="str">
        <f t="array" aca="1" ref="K53" ca="1">IFERROR(IF(OR('Raw Data'!K53="",LEN(TRIM('Raw Data'!K53))=0),"",IF(AND(ISNUMBER('Raw Data'!K53), IFERROR('Raw Data'!K53 = ROUND('Raw Data'!K53, 2),FALSE)),"",_xlfn.REGEXEXTRACT(CELL("address",K53), "\$([A-Z]+)\$[0-9]+"))),_xlfn.REGEXEXTRACT(CELL("address",K53), "\$([A-Z]+)\$[0-9]+"))</f>
        <v/>
      </c>
      <c r="L53" s="7" t="str">
        <f t="array" aca="1" ref="L53" ca="1">IFERROR(IF(OR('Raw Data'!L53="",LEN(TRIM('Raw Data'!L53))=0),"",IF(AND(ISNUMBER('Raw Data'!L53), IFERROR('Raw Data'!L53 = ROUND('Raw Data'!L53, 2),FALSE)),"",_xlfn.REGEXEXTRACT(CELL("address",L53), "\$([A-Z]+)\$[0-9]+"))),_xlfn.REGEXEXTRACT(CELL("address",L53), "\$([A-Z]+)\$[0-9]+"))</f>
        <v/>
      </c>
      <c r="M53" s="7" t="str">
        <f t="array" aca="1" ref="M53" ca="1">IFERROR(IF(OR('Raw Data'!M53="",LEN(TRIM('Raw Data'!M53))=0),"",IF(AND(ISNUMBER('Raw Data'!M53), IFERROR('Raw Data'!M53 = ROUND('Raw Data'!M53, 2),FALSE)),"",_xlfn.REGEXEXTRACT(CELL("address",M53), "\$([A-Z]+)\$[0-9]+"))),_xlfn.REGEXEXTRACT(CELL("address",M53), "\$([A-Z]+)\$[0-9]+"))</f>
        <v/>
      </c>
      <c r="N53" s="7" t="str">
        <f t="array" aca="1" ref="N53" ca="1">IFERROR(IF(OR('Raw Data'!N53="",LEN(TRIM('Raw Data'!N53))=0),"",IF(AND(ISNUMBER('Raw Data'!N53), IFERROR('Raw Data'!N53 = ROUND('Raw Data'!N53, 2),FALSE)),"",_xlfn.REGEXEXTRACT(CELL("address",N53), "\$([A-Z]+)\$[0-9]+"))),_xlfn.REGEXEXTRACT(CELL("address",N53), "\$([A-Z]+)\$[0-9]+"))</f>
        <v/>
      </c>
      <c r="O53" s="7" t="str">
        <f t="array" aca="1" ref="O53" ca="1">IFERROR(IF(OR('Raw Data'!O53="",LEN(TRIM('Raw Data'!O53))=0),"",IF(AND(ISNUMBER('Raw Data'!O53),'Raw Data'!O53&gt;=Configuration!$D$2),"",_xlfn.REGEXEXTRACT(CELL("address",'Raw Data'!O53),"\$([A-Z]+)\$[0-9]+"))),_xlfn.REGEXEXTRACT(CELL("address",O53), "\$([A-Z]+)\$[0-9]+"))</f>
        <v/>
      </c>
      <c r="P53" s="7" t="str">
        <f t="array" aca="1" ref="P53" ca="1">IFERROR(IF(OR('Raw Data'!P53="",LEN(TRIM('Raw Data'!P53))=0),"",IF(AND(ISNUMBER('Raw Data'!P53), IFERROR('Raw Data'!P53 = ROUND('Raw Data'!P53, 2),FALSE)),"",_xlfn.REGEXEXTRACT(CELL("address",P53), "\$([A-Z]+)\$[0-9]+"))),_xlfn.REGEXEXTRACT(CELL("address",P53), "\$([A-Z]+)\$[0-9]+"))</f>
        <v/>
      </c>
      <c r="Q53" s="7" t="str">
        <f t="array" aca="1" ref="Q53" ca="1">IFERROR(IF(OR('Raw Data'!Q53="",LEN(TRIM('Raw Data'!Q53))=0),"",IF(AND(ISNUMBER('Raw Data'!Q53), IFERROR('Raw Data'!Q53 = ROUND('Raw Data'!Q53, 2),FALSE)),"",_xlfn.REGEXEXTRACT(CELL("address",Q53), "\$([A-Z]+)\$[0-9]+"))),_xlfn.REGEXEXTRACT(CELL("address",Q53), "\$([A-Z]+)\$[0-9]+"))</f>
        <v/>
      </c>
      <c r="R53" s="7" t="str">
        <f t="array" aca="1" ref="R53" ca="1">IFERROR(IF(OR('Raw Data'!R53="",LEN(TRIM('Raw Data'!R53))=0),"",IF(AND(LEN('Raw Data'!R53) &lt;= 50,LEN('Raw Data'!R53)&gt; 0),"",_xlfn.REGEXEXTRACT(CELL("address",'Raw Data'!R53),"\$([A-Z]+)\$[0-9]+"))),_xlfn.REGEXEXTRACT(CELL("address",'Raw Data'!R53),"\$([A-Z]+)\$[0-9]+"))</f>
        <v/>
      </c>
      <c r="S53" s="7" t="str">
        <f t="array" aca="1" ref="S53" ca="1">IFERROR(IF(OR('Raw Data'!S53="",LEN(TRIM('Raw Data'!S53))=0),"",IF(AND(LEN('Raw Data'!S53) &lt;= 50,LEN('Raw Data'!S53)&gt; 0),"",_xlfn.REGEXEXTRACT(CELL("address",'Raw Data'!S53),"\$([A-Z]+)\$[0-9]+"))),_xlfn.REGEXEXTRACT(CELL("address",'Raw Data'!S53),"\$([A-Z]+)\$[0-9]+"))</f>
        <v/>
      </c>
      <c r="T53" s="7" t="str">
        <f t="array" aca="1" ref="T53" ca="1">IFERROR(IF(OR('Raw Data'!T53="",LEN(TRIM('Raw Data'!T53))=0),"",IF(AND(ISNUMBER('Raw Data'!T53), IFERROR('Raw Data'!T53 = ROUND('Raw Data'!T53, 2),FALSE)),"",_xlfn.REGEXEXTRACT(CELL("address",T53), "\$([A-Z]+)\$[0-9]+"))),_xlfn.REGEXEXTRACT(CELL("address",T53), "\$([A-Z]+)\$[0-9]+"))</f>
        <v/>
      </c>
      <c r="U53" s="7" t="str">
        <f t="array" aca="1" ref="U53" ca="1">IFERROR(IF(OR('Raw Data'!U53="",LEN(TRIM('Raw Data'!U53))=0),"",IF(AND(ISNUMBER('Raw Data'!U53), IFERROR('Raw Data'!U53 = ROUND('Raw Data'!U53, 2),FALSE)),"",_xlfn.REGEXEXTRACT(CELL("address",U53), "\$([A-Z]+)\$[0-9]+"))),_xlfn.REGEXEXTRACT(CELL("address",U53), "\$([A-Z]+)\$[0-9]+"))</f>
        <v/>
      </c>
      <c r="V53" s="7" t="str">
        <f t="array" aca="1" ref="V53" ca="1">IFERROR(IF(OR('Raw Data'!V53="",LEN(TRIM('Raw Data'!V53))=0),"",IF(AND(ISNUMBER('Raw Data'!V53), IFERROR('Raw Data'!V53 = ROUND('Raw Data'!V53, 2),FALSE)),"",_xlfn.REGEXEXTRACT(CELL("address",V53), "\$([A-Z]+)\$[0-9]+"))),_xlfn.REGEXEXTRACT(CELL("address",V53), "\$([A-Z]+)\$[0-9]+"))</f>
        <v/>
      </c>
      <c r="W53" s="7" t="str">
        <f t="array" aca="1" ref="W53" ca="1">IFERROR(IF(OR('Raw Data'!W53="",LEN(TRIM('Raw Data'!W53))=0),"",IF(AND(ISNUMBER('Raw Data'!W53), IFERROR('Raw Data'!W53 = ROUND('Raw Data'!W53, 2),FALSE)),"",_xlfn.REGEXEXTRACT(CELL("address",W53), "\$([A-Z]+)\$[0-9]+"))),_xlfn.REGEXEXTRACT(CELL("address",W53), "\$([A-Z]+)\$[0-9]+"))</f>
        <v/>
      </c>
      <c r="X53" s="7" t="str">
        <f t="array" aca="1" ref="X53" ca="1">IFERROR(IF(OR('Raw Data'!X53="",LEN(TRIM('Raw Data'!X53))=0),"",IF(AND(ISNUMBER('Raw Data'!X53), IFERROR('Raw Data'!X53 = ROUND('Raw Data'!X53, 2),FALSE)),"",_xlfn.REGEXEXTRACT(CELL("address",X53), "\$([A-Z]+)\$[0-9]+"))),_xlfn.REGEXEXTRACT(CELL("address",X53), "\$([A-Z]+)\$[0-9]+"))</f>
        <v/>
      </c>
      <c r="Y53" s="7" t="str">
        <f t="array" aca="1" ref="Y53" ca="1">IFERROR(IF(OR('Raw Data'!Y53="",LEN(TRIM('Raw Data'!Y53))=0),"",IF(AND(ISNUMBER('Raw Data'!Y53), IFERROR('Raw Data'!Y53 = ROUND('Raw Data'!Y53, 2),FALSE)),"",_xlfn.REGEXEXTRACT(CELL("address",Y53), "\$([A-Z]+)\$[0-9]+"))),_xlfn.REGEXEXTRACT(CELL("address",Y53), "\$([A-Z]+)\$[0-9]+"))</f>
        <v/>
      </c>
      <c r="Z53" s="7" t="str">
        <f t="array" aca="1" ref="Z53" ca="1">IFERROR(IF(OR('Raw Data'!Z53="",LEN(TRIM('Raw Data'!Z53))=0),"",IF(AND(ISNUMBER('Raw Data'!Z53), IFERROR('Raw Data'!Z53 = ROUND('Raw Data'!Z53, 2),FALSE)),"",_xlfn.REGEXEXTRACT(CELL("address",Z53), "\$([A-Z]+)\$[0-9]+"))),_xlfn.REGEXEXTRACT(CELL("address",Z53), "\$([A-Z]+)\$[0-9]+"))</f>
        <v/>
      </c>
      <c r="AA53" s="7" t="str">
        <f t="array" aca="1" ref="AA53" ca="1">IFERROR(IF(OR('Raw Data'!AA53="",LEN(TRIM('Raw Data'!AA53))=0),"",IF(AND(ISNUMBER('Raw Data'!AA53), IFERROR('Raw Data'!AA53 = ROUND('Raw Data'!AA53, 2),FALSE)),"",_xlfn.REGEXEXTRACT(CELL("address",AA53), "\$([A-Z]+)\$[0-9]+"))),_xlfn.REGEXEXTRACT(CELL("address",AA53), "\$([A-Z]+)\$[0-9]+"))</f>
        <v/>
      </c>
      <c r="AB53" s="7" t="str">
        <f t="array" aca="1" ref="AB53" ca="1">IFERROR(IF(OR('Raw Data'!AB53="",LEN(TRIM('Raw Data'!AB53))=0),"",IF(AND(ISNUMBER('Raw Data'!AB53), IFERROR('Raw Data'!AB53 = ROUND('Raw Data'!AB53, 2),FALSE)),"",_xlfn.REGEXEXTRACT(CELL("address",AB53), "\$([A-Z]+)\$[0-9]+"))),_xlfn.REGEXEXTRACT(CELL("address",AB53), "\$([A-Z]+)\$[0-9]+"))</f>
        <v/>
      </c>
      <c r="AC53" s="7" t="str">
        <f t="array" aca="1" ref="AC53" ca="1">IFERROR(IF(OR('Raw Data'!AC53="",LEN(TRIM('Raw Data'!AC53))=0),"",IF(AND(ISNUMBER('Raw Data'!AC53), IFERROR('Raw Data'!AC53 = ROUND('Raw Data'!AC53, 2),FALSE)),"",_xlfn.REGEXEXTRACT(CELL("address",AC53), "\$([A-Z]+)\$[0-9]+"))),_xlfn.REGEXEXTRACT(CELL("address",AC53), "\$([A-Z]+)\$[0-9]+"))</f>
        <v/>
      </c>
      <c r="AD53" s="7" t="str">
        <f t="array" aca="1" ref="AD53" ca="1">IFERROR(IF(OR('Raw Data'!AD53="",LEN(TRIM('Raw Data'!AD53))=0),"",IF(AND(ISNUMBER('Raw Data'!AD53), IFERROR('Raw Data'!AD53 = ROUND('Raw Data'!AD53, 2),FALSE)),"",_xlfn.REGEXEXTRACT(CELL("address",AD53), "\$([A-Z]+)\$[0-9]+"))),_xlfn.REGEXEXTRACT(CELL("address",AD53), "\$([A-Z]+)\$[0-9]+"))</f>
        <v/>
      </c>
      <c r="AE53" s="7" t="str">
        <f t="array" aca="1" ref="AE53" ca="1">IFERROR(IF(OR('Raw Data'!AE53="",LEN(TRIM('Raw Data'!AE53))=0),"",IF(AND(ISNUMBER('Raw Data'!AE53), IFERROR('Raw Data'!AE53 = ROUND('Raw Data'!AE53, 2),FALSE)),"",_xlfn.REGEXEXTRACT(CELL("address",AE53), "\$([A-Z]+)\$[0-9]+"))),_xlfn.REGEXEXTRACT(CELL("address",AE53), "\$([A-Z]+)\$[0-9]+"))</f>
        <v/>
      </c>
      <c r="AF53" s="7" t="str">
        <f t="array" aca="1" ref="AF53" ca="1">IFERROR(IF(OR('Raw Data'!AF53="",LEN(TRIM('Raw Data'!AF53))=0),"",IF(AND(ISNUMBER('Raw Data'!AF53), IFERROR('Raw Data'!AF53 = ROUND('Raw Data'!AF53, 2),FALSE)),"",_xlfn.REGEXEXTRACT(CELL("address",AF53), "\$([A-Z]+)\$[0-9]+"))),_xlfn.REGEXEXTRACT(CELL("address",AF53), "\$([A-Z]+)\$[0-9]+"))</f>
        <v/>
      </c>
      <c r="AG53" s="7" t="str">
        <f t="array" aca="1" ref="AG53" ca="1">IFERROR(IF(OR('Raw Data'!AG53="",LEN(TRIM('Raw Data'!AG53))=0),"",IF(AND(ISNUMBER('Raw Data'!AG53), IFERROR('Raw Data'!AG53 = ROUND('Raw Data'!AG53, 2),FALSE)),"",_xlfn.REGEXEXTRACT(CELL("address",AG53), "\$([A-Z]+)\$[0-9]+"))),_xlfn.REGEXEXTRACT(CELL("address",AG53), "\$([A-Z]+)\$[0-9]+"))</f>
        <v/>
      </c>
      <c r="AH53" s="7" t="str">
        <f t="array" aca="1" ref="AH53" ca="1">IFERROR(IF(OR('Raw Data'!AH53="",LEN(TRIM('Raw Data'!AH53))=0),"",IF(AND(ISNUMBER('Raw Data'!AH53), IFERROR('Raw Data'!AH53 = ROUND('Raw Data'!AH53, 2),FALSE)),"",_xlfn.REGEXEXTRACT(CELL("address",AH53), "\$([A-Z]+)\$[0-9]+"))),_xlfn.REGEXEXTRACT(CELL("address",AH53), "\$([A-Z]+)\$[0-9]+"))</f>
        <v/>
      </c>
      <c r="AI53" s="7" t="str">
        <f t="array" aca="1" ref="AI53" ca="1">IFERROR(IF(OR('Raw Data'!AI53="",LEN(TRIM('Raw Data'!AI53))=0),"",IF(AND(ISNUMBER('Raw Data'!AI53), IFERROR('Raw Data'!AI53 = ROUND('Raw Data'!AI53, 2),FALSE)),"",_xlfn.REGEXEXTRACT(CELL("address",AI53), "\$([A-Z]+)\$[0-9]+"))),_xlfn.REGEXEXTRACT(CELL("address",AI53), "\$([A-Z]+)\$[0-9]+"))</f>
        <v/>
      </c>
      <c r="AJ53" s="7" t="str">
        <f t="array" aca="1" ref="AJ53" ca="1">IFERROR(IF(OR('Raw Data'!AJ53="",LEN(TRIM('Raw Data'!AJ53))=0),"",IF(AND(ISNUMBER('Raw Data'!AJ53), IFERROR('Raw Data'!AJ53 = ROUND('Raw Data'!AJ53, 4),FALSE)),"",_xlfn.REGEXEXTRACT(CELL("address",AJ53), "\$([A-Z]+)\$[0-9]+"))),_xlfn.REGEXEXTRACT(CELL("address",AJ53), "\$([A-Z]+)\$[0-9]+"))</f>
        <v/>
      </c>
      <c r="AK53" s="7" t="str">
        <f t="array" aca="1" ref="AK53" ca="1">IFERROR(IF(OR('Raw Data'!AK53="",LEN(TRIM('Raw Data'!AK53))=0),"",IF(AND(ISNUMBER('Raw Data'!AK53), IFERROR('Raw Data'!AK53 = ROUND('Raw Data'!AK53, 2),FALSE)),"",_xlfn.REGEXEXTRACT(CELL("address",AK53), "\$([A-Z]+)\$[0-9]+"))),_xlfn.REGEXEXTRACT(CELL("address",AK53), "\$([A-Z]+)\$[0-9]+"))</f>
        <v/>
      </c>
      <c r="AL53" s="7" t="str">
        <f t="array" aca="1" ref="AL53" ca="1">IFERROR(IF(OR('Raw Data'!AL53="",LEN(TRIM('Raw Data'!AL53))=0),"",IF(AND(ISNUMBER('Raw Data'!AL53), IFERROR('Raw Data'!AL53 = ROUND('Raw Data'!AL53, 2),FALSE)),"",_xlfn.REGEXEXTRACT(CELL("address",AL53), "\$([A-Z]+)\$[0-9]+"))),_xlfn.REGEXEXTRACT(CELL("address",AL53), "\$([A-Z]+)\$[0-9]+"))</f>
        <v/>
      </c>
      <c r="AM53" s="7" t="str">
        <f t="array" aca="1" ref="AM53" ca="1">IFERROR(IF(OR('Raw Data'!AM53="",LEN(TRIM('Raw Data'!AM53))=0),"",IF(AND(ISNUMBER('Raw Data'!AM53), IFERROR('Raw Data'!AM53 = ROUND('Raw Data'!AM53, 2),FALSE)),"",_xlfn.REGEXEXTRACT(CELL("address",AM53), "\$([A-Z]+)\$[0-9]+"))),_xlfn.REGEXEXTRACT(CELL("address",AM53), "\$([A-Z]+)\$[0-9]+"))</f>
        <v/>
      </c>
      <c r="AN53" s="7" t="str">
        <f t="array" aca="1" ref="AN53" ca="1">IFERROR(IF(OR('Raw Data'!AN53="",LEN(TRIM('Raw Data'!AN53))=0),"",IF(AND(ISNUMBER('Raw Data'!AN53), IFERROR('Raw Data'!AN53 = ROUND('Raw Data'!AN53, 2),FALSE)),"",_xlfn.REGEXEXTRACT(CELL("address",AN53), "\$([A-Z]+)\$[0-9]+"))),_xlfn.REGEXEXTRACT(CELL("address",AN53), "\$([A-Z]+)\$[0-9]+"))</f>
        <v/>
      </c>
      <c r="AO53" s="7" t="str">
        <f t="array" aca="1" ref="AO53" ca="1">IFERROR(IF(OR('Raw Data'!AO53="",LEN(TRIM('Raw Data'!AO53))=0),"",IF(AND(ISNUMBER('Raw Data'!AO53), IFERROR('Raw Data'!AO53 = ROUND('Raw Data'!AO53, 2),FALSE)),"",_xlfn.REGEXEXTRACT(CELL("address",AO53), "\$([A-Z]+)\$[0-9]+"))),_xlfn.REGEXEXTRACT(CELL("address",AO53), "\$([A-Z]+)\$[0-9]+"))</f>
        <v/>
      </c>
      <c r="AP53" s="7" t="str">
        <f t="array" aca="1" ref="AP53" ca="1">IFERROR(IF(OR('Raw Data'!AP53="",LEN(TRIM('Raw Data'!AP53))=0),"",IF(AND(ISNUMBER('Raw Data'!AP53), IFERROR('Raw Data'!AP53 = ROUND('Raw Data'!AP53, 2),FALSE)),"",_xlfn.REGEXEXTRACT(CELL("address",AP53), "\$([A-Z]+)\$[0-9]+"))),_xlfn.REGEXEXTRACT(CELL("address",AP53), "\$([A-Z]+)\$[0-9]+"))</f>
        <v/>
      </c>
    </row>
    <row r="54" spans="2:42" x14ac:dyDescent="0.25">
      <c r="B54" s="7" t="str">
        <f t="array" aca="1" ref="B54" ca="1">IFERROR(IF(OR('Raw Data'!B54="",LEN(TRIM('Raw Data'!B54))=0),"",IF(AND(LEN('Raw Data'!B54) &lt;= 255,LEN('Raw Data'!B54)&gt; 0),"",_xlfn.REGEXEXTRACT(CELL("address",'Raw Data'!B54),"\$([A-Z]+)\$[0-9]+"))),_xlfn.REGEXEXTRACT(CELL("address",'Raw Data'!B54),"\$([A-Z]+)\$[0-9]+"))</f>
        <v/>
      </c>
      <c r="C54" s="7" t="str">
        <f t="array" aca="1" ref="C54" ca="1">IFERROR(IF(OR('Raw Data'!C54="",LEN(TRIM('Raw Data'!C54))=0),"",IF(AND(LEN('Raw Data'!C54) &lt;= 50,LEN('Raw Data'!C54)&gt; 0),"",_xlfn.REGEXEXTRACT(CELL("address",'Raw Data'!C54),"\$([A-Z]+)\$[0-9]+"))),_xlfn.REGEXEXTRACT(CELL("address",'Raw Data'!C54),"\$([A-Z]+)\$[0-9]+"))</f>
        <v/>
      </c>
      <c r="D54" s="7" t="str">
        <f t="array" aca="1" ref="D54" ca="1">IFERROR(IF(OR('Raw Data'!D54="",LEN(TRIM('Raw Data'!D54))=0),"",IF(AND(LEN('Raw Data'!D54) &lt;= 500,LEN('Raw Data'!D54)&gt; 0),"",_xlfn.REGEXEXTRACT(CELL("address",'Raw Data'!D54),"\$([A-Z]+)\$[0-9]+"))),_xlfn.REGEXEXTRACT(CELL("address",'Raw Data'!D54),"\$([A-Z]+)\$[0-9]+"))</f>
        <v/>
      </c>
      <c r="E54" s="7" t="str">
        <f t="array" aca="1" ref="E54" ca="1">IFERROR(IF(OR('Raw Data'!E54="",LEN(TRIM('Raw Data'!E54))=0),"",IF(AND(LEN('Raw Data'!E54) &lt;= 50,LEN('Raw Data'!E54)&gt; 0),"",_xlfn.REGEXEXTRACT(CELL("address",'Raw Data'!E54),"\$([A-Z]+)\$[0-9]+"))),_xlfn.REGEXEXTRACT(CELL("address",'Raw Data'!E54),"\$([A-Z]+)\$[0-9]+"))</f>
        <v/>
      </c>
      <c r="F54" s="7" t="str">
        <f t="array" aca="1" ref="F54" ca="1">IFERROR(IF(OR('Raw Data'!F54="",LEN(TRIM('Raw Data'!F54))=0),"",IF(AND(LEN('Raw Data'!F54) &lt;= 50,LEN('Raw Data'!F54)&gt; 0),"",_xlfn.REGEXEXTRACT(CELL("address",'Raw Data'!F54),"\$([A-Z]+)\$[0-9]+"))),_xlfn.REGEXEXTRACT(CELL("address",'Raw Data'!F54),"\$([A-Z]+)\$[0-9]+"))</f>
        <v/>
      </c>
      <c r="G54" s="7" t="str">
        <f t="array" aca="1" ref="G54" ca="1">IFERROR(IF(OR('Raw Data'!G54="",LEN(TRIM('Raw Data'!G54))=0),"",IF(AND(LEN('Raw Data'!G54) &lt;= 50,LEN('Raw Data'!G54)&gt; 0),"",_xlfn.REGEXEXTRACT(CELL("address",'Raw Data'!G54),"\$([A-Z]+)\$[0-9]+"))),_xlfn.REGEXEXTRACT(CELL("address",'Raw Data'!G54),"\$([A-Z]+)\$[0-9]+"))</f>
        <v/>
      </c>
      <c r="H54" s="7" t="str">
        <f t="array" aca="1" ref="H54" ca="1">IFERROR(IF(OR('Raw Data'!H54="",LEN(TRIM('Raw Data'!H54))=0),"",IF(AND(LEN('Raw Data'!H54) &lt;= 50,LEN('Raw Data'!H54)&gt; 0),"",_xlfn.REGEXEXTRACT(CELL("address",'Raw Data'!H54),"\$([A-Z]+)\$[0-9]+"))),_xlfn.REGEXEXTRACT(CELL("address",'Raw Data'!H54),"\$([A-Z]+)\$[0-9]+"))</f>
        <v/>
      </c>
      <c r="I54" s="7" t="str">
        <f t="array" aca="1" ref="I54" ca="1">IFERROR(IF(OR('Raw Data'!I54="",LEN(TRIM('Raw Data'!I54))=0),"",IF(AND(LEN('Raw Data'!I54) &lt;= 50,LEN('Raw Data'!I54)&gt; 0),"",_xlfn.REGEXEXTRACT(CELL("address",'Raw Data'!I54),"\$([A-Z]+)\$[0-9]+"))),_xlfn.REGEXEXTRACT(CELL("address",'Raw Data'!I54),"\$([A-Z]+)\$[0-9]+"))</f>
        <v/>
      </c>
      <c r="J54" s="7" t="str">
        <f t="array" aca="1" ref="J54" ca="1">IFERROR(IF(OR('Raw Data'!J54="",LEN(TRIM('Raw Data'!J54))=0),"",IF(AND(ISNUMBER('Raw Data'!J54), IFERROR('Raw Data'!J54 = ROUND('Raw Data'!J54, 2),FALSE)),"",_xlfn.REGEXEXTRACT(CELL("address",J54), "\$([A-Z]+)\$[0-9]+"))),_xlfn.REGEXEXTRACT(CELL("address",J54), "\$([A-Z]+)\$[0-9]+"))</f>
        <v/>
      </c>
      <c r="K54" s="7" t="str">
        <f t="array" aca="1" ref="K54" ca="1">IFERROR(IF(OR('Raw Data'!K54="",LEN(TRIM('Raw Data'!K54))=0),"",IF(AND(ISNUMBER('Raw Data'!K54), IFERROR('Raw Data'!K54 = ROUND('Raw Data'!K54, 2),FALSE)),"",_xlfn.REGEXEXTRACT(CELL("address",K54), "\$([A-Z]+)\$[0-9]+"))),_xlfn.REGEXEXTRACT(CELL("address",K54), "\$([A-Z]+)\$[0-9]+"))</f>
        <v/>
      </c>
      <c r="L54" s="7" t="str">
        <f t="array" aca="1" ref="L54" ca="1">IFERROR(IF(OR('Raw Data'!L54="",LEN(TRIM('Raw Data'!L54))=0),"",IF(AND(ISNUMBER('Raw Data'!L54), IFERROR('Raw Data'!L54 = ROUND('Raw Data'!L54, 2),FALSE)),"",_xlfn.REGEXEXTRACT(CELL("address",L54), "\$([A-Z]+)\$[0-9]+"))),_xlfn.REGEXEXTRACT(CELL("address",L54), "\$([A-Z]+)\$[0-9]+"))</f>
        <v/>
      </c>
      <c r="M54" s="7" t="str">
        <f t="array" aca="1" ref="M54" ca="1">IFERROR(IF(OR('Raw Data'!M54="",LEN(TRIM('Raw Data'!M54))=0),"",IF(AND(ISNUMBER('Raw Data'!M54), IFERROR('Raw Data'!M54 = ROUND('Raw Data'!M54, 2),FALSE)),"",_xlfn.REGEXEXTRACT(CELL("address",M54), "\$([A-Z]+)\$[0-9]+"))),_xlfn.REGEXEXTRACT(CELL("address",M54), "\$([A-Z]+)\$[0-9]+"))</f>
        <v/>
      </c>
      <c r="N54" s="7" t="str">
        <f t="array" aca="1" ref="N54" ca="1">IFERROR(IF(OR('Raw Data'!N54="",LEN(TRIM('Raw Data'!N54))=0),"",IF(AND(ISNUMBER('Raw Data'!N54), IFERROR('Raw Data'!N54 = ROUND('Raw Data'!N54, 2),FALSE)),"",_xlfn.REGEXEXTRACT(CELL("address",N54), "\$([A-Z]+)\$[0-9]+"))),_xlfn.REGEXEXTRACT(CELL("address",N54), "\$([A-Z]+)\$[0-9]+"))</f>
        <v/>
      </c>
      <c r="O54" s="7" t="str">
        <f t="array" aca="1" ref="O54" ca="1">IFERROR(IF(OR('Raw Data'!O54="",LEN(TRIM('Raw Data'!O54))=0),"",IF(AND(ISNUMBER('Raw Data'!O54),'Raw Data'!O54&gt;=Configuration!$D$2),"",_xlfn.REGEXEXTRACT(CELL("address",'Raw Data'!O54),"\$([A-Z]+)\$[0-9]+"))),_xlfn.REGEXEXTRACT(CELL("address",O54), "\$([A-Z]+)\$[0-9]+"))</f>
        <v/>
      </c>
      <c r="P54" s="7" t="str">
        <f t="array" aca="1" ref="P54" ca="1">IFERROR(IF(OR('Raw Data'!P54="",LEN(TRIM('Raw Data'!P54))=0),"",IF(AND(ISNUMBER('Raw Data'!P54), IFERROR('Raw Data'!P54 = ROUND('Raw Data'!P54, 2),FALSE)),"",_xlfn.REGEXEXTRACT(CELL("address",P54), "\$([A-Z]+)\$[0-9]+"))),_xlfn.REGEXEXTRACT(CELL("address",P54), "\$([A-Z]+)\$[0-9]+"))</f>
        <v/>
      </c>
      <c r="Q54" s="7" t="str">
        <f t="array" aca="1" ref="Q54" ca="1">IFERROR(IF(OR('Raw Data'!Q54="",LEN(TRIM('Raw Data'!Q54))=0),"",IF(AND(ISNUMBER('Raw Data'!Q54), IFERROR('Raw Data'!Q54 = ROUND('Raw Data'!Q54, 2),FALSE)),"",_xlfn.REGEXEXTRACT(CELL("address",Q54), "\$([A-Z]+)\$[0-9]+"))),_xlfn.REGEXEXTRACT(CELL("address",Q54), "\$([A-Z]+)\$[0-9]+"))</f>
        <v/>
      </c>
      <c r="R54" s="7" t="str">
        <f t="array" aca="1" ref="R54" ca="1">IFERROR(IF(OR('Raw Data'!R54="",LEN(TRIM('Raw Data'!R54))=0),"",IF(AND(LEN('Raw Data'!R54) &lt;= 50,LEN('Raw Data'!R54)&gt; 0),"",_xlfn.REGEXEXTRACT(CELL("address",'Raw Data'!R54),"\$([A-Z]+)\$[0-9]+"))),_xlfn.REGEXEXTRACT(CELL("address",'Raw Data'!R54),"\$([A-Z]+)\$[0-9]+"))</f>
        <v/>
      </c>
      <c r="S54" s="7" t="str">
        <f t="array" aca="1" ref="S54" ca="1">IFERROR(IF(OR('Raw Data'!S54="",LEN(TRIM('Raw Data'!S54))=0),"",IF(AND(LEN('Raw Data'!S54) &lt;= 50,LEN('Raw Data'!S54)&gt; 0),"",_xlfn.REGEXEXTRACT(CELL("address",'Raw Data'!S54),"\$([A-Z]+)\$[0-9]+"))),_xlfn.REGEXEXTRACT(CELL("address",'Raw Data'!S54),"\$([A-Z]+)\$[0-9]+"))</f>
        <v/>
      </c>
      <c r="T54" s="7" t="str">
        <f t="array" aca="1" ref="T54" ca="1">IFERROR(IF(OR('Raw Data'!T54="",LEN(TRIM('Raw Data'!T54))=0),"",IF(AND(ISNUMBER('Raw Data'!T54), IFERROR('Raw Data'!T54 = ROUND('Raw Data'!T54, 2),FALSE)),"",_xlfn.REGEXEXTRACT(CELL("address",T54), "\$([A-Z]+)\$[0-9]+"))),_xlfn.REGEXEXTRACT(CELL("address",T54), "\$([A-Z]+)\$[0-9]+"))</f>
        <v/>
      </c>
      <c r="U54" s="7" t="str">
        <f t="array" aca="1" ref="U54" ca="1">IFERROR(IF(OR('Raw Data'!U54="",LEN(TRIM('Raw Data'!U54))=0),"",IF(AND(ISNUMBER('Raw Data'!U54), IFERROR('Raw Data'!U54 = ROUND('Raw Data'!U54, 2),FALSE)),"",_xlfn.REGEXEXTRACT(CELL("address",U54), "\$([A-Z]+)\$[0-9]+"))),_xlfn.REGEXEXTRACT(CELL("address",U54), "\$([A-Z]+)\$[0-9]+"))</f>
        <v/>
      </c>
      <c r="V54" s="7" t="str">
        <f t="array" aca="1" ref="V54" ca="1">IFERROR(IF(OR('Raw Data'!V54="",LEN(TRIM('Raw Data'!V54))=0),"",IF(AND(ISNUMBER('Raw Data'!V54), IFERROR('Raw Data'!V54 = ROUND('Raw Data'!V54, 2),FALSE)),"",_xlfn.REGEXEXTRACT(CELL("address",V54), "\$([A-Z]+)\$[0-9]+"))),_xlfn.REGEXEXTRACT(CELL("address",V54), "\$([A-Z]+)\$[0-9]+"))</f>
        <v/>
      </c>
      <c r="W54" s="7" t="str">
        <f t="array" aca="1" ref="W54" ca="1">IFERROR(IF(OR('Raw Data'!W54="",LEN(TRIM('Raw Data'!W54))=0),"",IF(AND(ISNUMBER('Raw Data'!W54), IFERROR('Raw Data'!W54 = ROUND('Raw Data'!W54, 2),FALSE)),"",_xlfn.REGEXEXTRACT(CELL("address",W54), "\$([A-Z]+)\$[0-9]+"))),_xlfn.REGEXEXTRACT(CELL("address",W54), "\$([A-Z]+)\$[0-9]+"))</f>
        <v/>
      </c>
      <c r="X54" s="7" t="str">
        <f t="array" aca="1" ref="X54" ca="1">IFERROR(IF(OR('Raw Data'!X54="",LEN(TRIM('Raw Data'!X54))=0),"",IF(AND(ISNUMBER('Raw Data'!X54), IFERROR('Raw Data'!X54 = ROUND('Raw Data'!X54, 2),FALSE)),"",_xlfn.REGEXEXTRACT(CELL("address",X54), "\$([A-Z]+)\$[0-9]+"))),_xlfn.REGEXEXTRACT(CELL("address",X54), "\$([A-Z]+)\$[0-9]+"))</f>
        <v/>
      </c>
      <c r="Y54" s="7" t="str">
        <f t="array" aca="1" ref="Y54" ca="1">IFERROR(IF(OR('Raw Data'!Y54="",LEN(TRIM('Raw Data'!Y54))=0),"",IF(AND(ISNUMBER('Raw Data'!Y54), IFERROR('Raw Data'!Y54 = ROUND('Raw Data'!Y54, 2),FALSE)),"",_xlfn.REGEXEXTRACT(CELL("address",Y54), "\$([A-Z]+)\$[0-9]+"))),_xlfn.REGEXEXTRACT(CELL("address",Y54), "\$([A-Z]+)\$[0-9]+"))</f>
        <v/>
      </c>
      <c r="Z54" s="7" t="str">
        <f t="array" aca="1" ref="Z54" ca="1">IFERROR(IF(OR('Raw Data'!Z54="",LEN(TRIM('Raw Data'!Z54))=0),"",IF(AND(ISNUMBER('Raw Data'!Z54), IFERROR('Raw Data'!Z54 = ROUND('Raw Data'!Z54, 2),FALSE)),"",_xlfn.REGEXEXTRACT(CELL("address",Z54), "\$([A-Z]+)\$[0-9]+"))),_xlfn.REGEXEXTRACT(CELL("address",Z54), "\$([A-Z]+)\$[0-9]+"))</f>
        <v/>
      </c>
      <c r="AA54" s="7" t="str">
        <f t="array" aca="1" ref="AA54" ca="1">IFERROR(IF(OR('Raw Data'!AA54="",LEN(TRIM('Raw Data'!AA54))=0),"",IF(AND(ISNUMBER('Raw Data'!AA54), IFERROR('Raw Data'!AA54 = ROUND('Raw Data'!AA54, 2),FALSE)),"",_xlfn.REGEXEXTRACT(CELL("address",AA54), "\$([A-Z]+)\$[0-9]+"))),_xlfn.REGEXEXTRACT(CELL("address",AA54), "\$([A-Z]+)\$[0-9]+"))</f>
        <v/>
      </c>
      <c r="AB54" s="7" t="str">
        <f t="array" aca="1" ref="AB54" ca="1">IFERROR(IF(OR('Raw Data'!AB54="",LEN(TRIM('Raw Data'!AB54))=0),"",IF(AND(ISNUMBER('Raw Data'!AB54), IFERROR('Raw Data'!AB54 = ROUND('Raw Data'!AB54, 2),FALSE)),"",_xlfn.REGEXEXTRACT(CELL("address",AB54), "\$([A-Z]+)\$[0-9]+"))),_xlfn.REGEXEXTRACT(CELL("address",AB54), "\$([A-Z]+)\$[0-9]+"))</f>
        <v/>
      </c>
      <c r="AC54" s="7" t="str">
        <f t="array" aca="1" ref="AC54" ca="1">IFERROR(IF(OR('Raw Data'!AC54="",LEN(TRIM('Raw Data'!AC54))=0),"",IF(AND(ISNUMBER('Raw Data'!AC54), IFERROR('Raw Data'!AC54 = ROUND('Raw Data'!AC54, 2),FALSE)),"",_xlfn.REGEXEXTRACT(CELL("address",AC54), "\$([A-Z]+)\$[0-9]+"))),_xlfn.REGEXEXTRACT(CELL("address",AC54), "\$([A-Z]+)\$[0-9]+"))</f>
        <v/>
      </c>
      <c r="AD54" s="7" t="str">
        <f t="array" aca="1" ref="AD54" ca="1">IFERROR(IF(OR('Raw Data'!AD54="",LEN(TRIM('Raw Data'!AD54))=0),"",IF(AND(ISNUMBER('Raw Data'!AD54), IFERROR('Raw Data'!AD54 = ROUND('Raw Data'!AD54, 2),FALSE)),"",_xlfn.REGEXEXTRACT(CELL("address",AD54), "\$([A-Z]+)\$[0-9]+"))),_xlfn.REGEXEXTRACT(CELL("address",AD54), "\$([A-Z]+)\$[0-9]+"))</f>
        <v/>
      </c>
      <c r="AE54" s="7" t="str">
        <f t="array" aca="1" ref="AE54" ca="1">IFERROR(IF(OR('Raw Data'!AE54="",LEN(TRIM('Raw Data'!AE54))=0),"",IF(AND(ISNUMBER('Raw Data'!AE54), IFERROR('Raw Data'!AE54 = ROUND('Raw Data'!AE54, 2),FALSE)),"",_xlfn.REGEXEXTRACT(CELL("address",AE54), "\$([A-Z]+)\$[0-9]+"))),_xlfn.REGEXEXTRACT(CELL("address",AE54), "\$([A-Z]+)\$[0-9]+"))</f>
        <v/>
      </c>
      <c r="AF54" s="7" t="str">
        <f t="array" aca="1" ref="AF54" ca="1">IFERROR(IF(OR('Raw Data'!AF54="",LEN(TRIM('Raw Data'!AF54))=0),"",IF(AND(ISNUMBER('Raw Data'!AF54), IFERROR('Raw Data'!AF54 = ROUND('Raw Data'!AF54, 2),FALSE)),"",_xlfn.REGEXEXTRACT(CELL("address",AF54), "\$([A-Z]+)\$[0-9]+"))),_xlfn.REGEXEXTRACT(CELL("address",AF54), "\$([A-Z]+)\$[0-9]+"))</f>
        <v/>
      </c>
      <c r="AG54" s="7" t="str">
        <f t="array" aca="1" ref="AG54" ca="1">IFERROR(IF(OR('Raw Data'!AG54="",LEN(TRIM('Raw Data'!AG54))=0),"",IF(AND(ISNUMBER('Raw Data'!AG54), IFERROR('Raw Data'!AG54 = ROUND('Raw Data'!AG54, 2),FALSE)),"",_xlfn.REGEXEXTRACT(CELL("address",AG54), "\$([A-Z]+)\$[0-9]+"))),_xlfn.REGEXEXTRACT(CELL("address",AG54), "\$([A-Z]+)\$[0-9]+"))</f>
        <v/>
      </c>
      <c r="AH54" s="7" t="str">
        <f t="array" aca="1" ref="AH54" ca="1">IFERROR(IF(OR('Raw Data'!AH54="",LEN(TRIM('Raw Data'!AH54))=0),"",IF(AND(ISNUMBER('Raw Data'!AH54), IFERROR('Raw Data'!AH54 = ROUND('Raw Data'!AH54, 2),FALSE)),"",_xlfn.REGEXEXTRACT(CELL("address",AH54), "\$([A-Z]+)\$[0-9]+"))),_xlfn.REGEXEXTRACT(CELL("address",AH54), "\$([A-Z]+)\$[0-9]+"))</f>
        <v/>
      </c>
      <c r="AI54" s="7" t="str">
        <f t="array" aca="1" ref="AI54" ca="1">IFERROR(IF(OR('Raw Data'!AI54="",LEN(TRIM('Raw Data'!AI54))=0),"",IF(AND(ISNUMBER('Raw Data'!AI54), IFERROR('Raw Data'!AI54 = ROUND('Raw Data'!AI54, 2),FALSE)),"",_xlfn.REGEXEXTRACT(CELL("address",AI54), "\$([A-Z]+)\$[0-9]+"))),_xlfn.REGEXEXTRACT(CELL("address",AI54), "\$([A-Z]+)\$[0-9]+"))</f>
        <v/>
      </c>
      <c r="AJ54" s="7" t="str">
        <f t="array" aca="1" ref="AJ54" ca="1">IFERROR(IF(OR('Raw Data'!AJ54="",LEN(TRIM('Raw Data'!AJ54))=0),"",IF(AND(ISNUMBER('Raw Data'!AJ54), IFERROR('Raw Data'!AJ54 = ROUND('Raw Data'!AJ54, 4),FALSE)),"",_xlfn.REGEXEXTRACT(CELL("address",AJ54), "\$([A-Z]+)\$[0-9]+"))),_xlfn.REGEXEXTRACT(CELL("address",AJ54), "\$([A-Z]+)\$[0-9]+"))</f>
        <v/>
      </c>
      <c r="AK54" s="7" t="str">
        <f t="array" aca="1" ref="AK54" ca="1">IFERROR(IF(OR('Raw Data'!AK54="",LEN(TRIM('Raw Data'!AK54))=0),"",IF(AND(ISNUMBER('Raw Data'!AK54), IFERROR('Raw Data'!AK54 = ROUND('Raw Data'!AK54, 2),FALSE)),"",_xlfn.REGEXEXTRACT(CELL("address",AK54), "\$([A-Z]+)\$[0-9]+"))),_xlfn.REGEXEXTRACT(CELL("address",AK54), "\$([A-Z]+)\$[0-9]+"))</f>
        <v/>
      </c>
      <c r="AL54" s="7" t="str">
        <f t="array" aca="1" ref="AL54" ca="1">IFERROR(IF(OR('Raw Data'!AL54="",LEN(TRIM('Raw Data'!AL54))=0),"",IF(AND(ISNUMBER('Raw Data'!AL54), IFERROR('Raw Data'!AL54 = ROUND('Raw Data'!AL54, 2),FALSE)),"",_xlfn.REGEXEXTRACT(CELL("address",AL54), "\$([A-Z]+)\$[0-9]+"))),_xlfn.REGEXEXTRACT(CELL("address",AL54), "\$([A-Z]+)\$[0-9]+"))</f>
        <v/>
      </c>
      <c r="AM54" s="7" t="str">
        <f t="array" aca="1" ref="AM54" ca="1">IFERROR(IF(OR('Raw Data'!AM54="",LEN(TRIM('Raw Data'!AM54))=0),"",IF(AND(ISNUMBER('Raw Data'!AM54), IFERROR('Raw Data'!AM54 = ROUND('Raw Data'!AM54, 2),FALSE)),"",_xlfn.REGEXEXTRACT(CELL("address",AM54), "\$([A-Z]+)\$[0-9]+"))),_xlfn.REGEXEXTRACT(CELL("address",AM54), "\$([A-Z]+)\$[0-9]+"))</f>
        <v/>
      </c>
      <c r="AN54" s="7" t="str">
        <f t="array" aca="1" ref="AN54" ca="1">IFERROR(IF(OR('Raw Data'!AN54="",LEN(TRIM('Raw Data'!AN54))=0),"",IF(AND(ISNUMBER('Raw Data'!AN54), IFERROR('Raw Data'!AN54 = ROUND('Raw Data'!AN54, 2),FALSE)),"",_xlfn.REGEXEXTRACT(CELL("address",AN54), "\$([A-Z]+)\$[0-9]+"))),_xlfn.REGEXEXTRACT(CELL("address",AN54), "\$([A-Z]+)\$[0-9]+"))</f>
        <v/>
      </c>
      <c r="AO54" s="7" t="str">
        <f t="array" aca="1" ref="AO54" ca="1">IFERROR(IF(OR('Raw Data'!AO54="",LEN(TRIM('Raw Data'!AO54))=0),"",IF(AND(ISNUMBER('Raw Data'!AO54), IFERROR('Raw Data'!AO54 = ROUND('Raw Data'!AO54, 2),FALSE)),"",_xlfn.REGEXEXTRACT(CELL("address",AO54), "\$([A-Z]+)\$[0-9]+"))),_xlfn.REGEXEXTRACT(CELL("address",AO54), "\$([A-Z]+)\$[0-9]+"))</f>
        <v/>
      </c>
      <c r="AP54" s="7" t="str">
        <f t="array" aca="1" ref="AP54" ca="1">IFERROR(IF(OR('Raw Data'!AP54="",LEN(TRIM('Raw Data'!AP54))=0),"",IF(AND(ISNUMBER('Raw Data'!AP54), IFERROR('Raw Data'!AP54 = ROUND('Raw Data'!AP54, 2),FALSE)),"",_xlfn.REGEXEXTRACT(CELL("address",AP54), "\$([A-Z]+)\$[0-9]+"))),_xlfn.REGEXEXTRACT(CELL("address",AP54), "\$([A-Z]+)\$[0-9]+"))</f>
        <v/>
      </c>
    </row>
    <row r="55" spans="2:42" x14ac:dyDescent="0.25">
      <c r="B55" s="7" t="str">
        <f t="array" aca="1" ref="B55" ca="1">IFERROR(IF(OR('Raw Data'!B55="",LEN(TRIM('Raw Data'!B55))=0),"",IF(AND(LEN('Raw Data'!B55) &lt;= 255,LEN('Raw Data'!B55)&gt; 0),"",_xlfn.REGEXEXTRACT(CELL("address",'Raw Data'!B55),"\$([A-Z]+)\$[0-9]+"))),_xlfn.REGEXEXTRACT(CELL("address",'Raw Data'!B55),"\$([A-Z]+)\$[0-9]+"))</f>
        <v/>
      </c>
      <c r="C55" s="7" t="str">
        <f t="array" aca="1" ref="C55" ca="1">IFERROR(IF(OR('Raw Data'!C55="",LEN(TRIM('Raw Data'!C55))=0),"",IF(AND(LEN('Raw Data'!C55) &lt;= 50,LEN('Raw Data'!C55)&gt; 0),"",_xlfn.REGEXEXTRACT(CELL("address",'Raw Data'!C55),"\$([A-Z]+)\$[0-9]+"))),_xlfn.REGEXEXTRACT(CELL("address",'Raw Data'!C55),"\$([A-Z]+)\$[0-9]+"))</f>
        <v/>
      </c>
      <c r="D55" s="7" t="str">
        <f t="array" aca="1" ref="D55" ca="1">IFERROR(IF(OR('Raw Data'!D55="",LEN(TRIM('Raw Data'!D55))=0),"",IF(AND(LEN('Raw Data'!D55) &lt;= 500,LEN('Raw Data'!D55)&gt; 0),"",_xlfn.REGEXEXTRACT(CELL("address",'Raw Data'!D55),"\$([A-Z]+)\$[0-9]+"))),_xlfn.REGEXEXTRACT(CELL("address",'Raw Data'!D55),"\$([A-Z]+)\$[0-9]+"))</f>
        <v/>
      </c>
      <c r="E55" s="7" t="str">
        <f t="array" aca="1" ref="E55" ca="1">IFERROR(IF(OR('Raw Data'!E55="",LEN(TRIM('Raw Data'!E55))=0),"",IF(AND(LEN('Raw Data'!E55) &lt;= 50,LEN('Raw Data'!E55)&gt; 0),"",_xlfn.REGEXEXTRACT(CELL("address",'Raw Data'!E55),"\$([A-Z]+)\$[0-9]+"))),_xlfn.REGEXEXTRACT(CELL("address",'Raw Data'!E55),"\$([A-Z]+)\$[0-9]+"))</f>
        <v/>
      </c>
      <c r="F55" s="7" t="str">
        <f t="array" aca="1" ref="F55" ca="1">IFERROR(IF(OR('Raw Data'!F55="",LEN(TRIM('Raw Data'!F55))=0),"",IF(AND(LEN('Raw Data'!F55) &lt;= 50,LEN('Raw Data'!F55)&gt; 0),"",_xlfn.REGEXEXTRACT(CELL("address",'Raw Data'!F55),"\$([A-Z]+)\$[0-9]+"))),_xlfn.REGEXEXTRACT(CELL("address",'Raw Data'!F55),"\$([A-Z]+)\$[0-9]+"))</f>
        <v/>
      </c>
      <c r="G55" s="7" t="str">
        <f t="array" aca="1" ref="G55" ca="1">IFERROR(IF(OR('Raw Data'!G55="",LEN(TRIM('Raw Data'!G55))=0),"",IF(AND(LEN('Raw Data'!G55) &lt;= 50,LEN('Raw Data'!G55)&gt; 0),"",_xlfn.REGEXEXTRACT(CELL("address",'Raw Data'!G55),"\$([A-Z]+)\$[0-9]+"))),_xlfn.REGEXEXTRACT(CELL("address",'Raw Data'!G55),"\$([A-Z]+)\$[0-9]+"))</f>
        <v/>
      </c>
      <c r="H55" s="7" t="str">
        <f t="array" aca="1" ref="H55" ca="1">IFERROR(IF(OR('Raw Data'!H55="",LEN(TRIM('Raw Data'!H55))=0),"",IF(AND(LEN('Raw Data'!H55) &lt;= 50,LEN('Raw Data'!H55)&gt; 0),"",_xlfn.REGEXEXTRACT(CELL("address",'Raw Data'!H55),"\$([A-Z]+)\$[0-9]+"))),_xlfn.REGEXEXTRACT(CELL("address",'Raw Data'!H55),"\$([A-Z]+)\$[0-9]+"))</f>
        <v/>
      </c>
      <c r="I55" s="7" t="str">
        <f t="array" aca="1" ref="I55" ca="1">IFERROR(IF(OR('Raw Data'!I55="",LEN(TRIM('Raw Data'!I55))=0),"",IF(AND(LEN('Raw Data'!I55) &lt;= 50,LEN('Raw Data'!I55)&gt; 0),"",_xlfn.REGEXEXTRACT(CELL("address",'Raw Data'!I55),"\$([A-Z]+)\$[0-9]+"))),_xlfn.REGEXEXTRACT(CELL("address",'Raw Data'!I55),"\$([A-Z]+)\$[0-9]+"))</f>
        <v/>
      </c>
      <c r="J55" s="7" t="str">
        <f t="array" aca="1" ref="J55" ca="1">IFERROR(IF(OR('Raw Data'!J55="",LEN(TRIM('Raw Data'!J55))=0),"",IF(AND(ISNUMBER('Raw Data'!J55), IFERROR('Raw Data'!J55 = ROUND('Raw Data'!J55, 2),FALSE)),"",_xlfn.REGEXEXTRACT(CELL("address",J55), "\$([A-Z]+)\$[0-9]+"))),_xlfn.REGEXEXTRACT(CELL("address",J55), "\$([A-Z]+)\$[0-9]+"))</f>
        <v/>
      </c>
      <c r="K55" s="7" t="str">
        <f t="array" aca="1" ref="K55" ca="1">IFERROR(IF(OR('Raw Data'!K55="",LEN(TRIM('Raw Data'!K55))=0),"",IF(AND(ISNUMBER('Raw Data'!K55), IFERROR('Raw Data'!K55 = ROUND('Raw Data'!K55, 2),FALSE)),"",_xlfn.REGEXEXTRACT(CELL("address",K55), "\$([A-Z]+)\$[0-9]+"))),_xlfn.REGEXEXTRACT(CELL("address",K55), "\$([A-Z]+)\$[0-9]+"))</f>
        <v/>
      </c>
      <c r="L55" s="7" t="str">
        <f t="array" aca="1" ref="L55" ca="1">IFERROR(IF(OR('Raw Data'!L55="",LEN(TRIM('Raw Data'!L55))=0),"",IF(AND(ISNUMBER('Raw Data'!L55), IFERROR('Raw Data'!L55 = ROUND('Raw Data'!L55, 2),FALSE)),"",_xlfn.REGEXEXTRACT(CELL("address",L55), "\$([A-Z]+)\$[0-9]+"))),_xlfn.REGEXEXTRACT(CELL("address",L55), "\$([A-Z]+)\$[0-9]+"))</f>
        <v/>
      </c>
      <c r="M55" s="7" t="str">
        <f t="array" aca="1" ref="M55" ca="1">IFERROR(IF(OR('Raw Data'!M55="",LEN(TRIM('Raw Data'!M55))=0),"",IF(AND(ISNUMBER('Raw Data'!M55), IFERROR('Raw Data'!M55 = ROUND('Raw Data'!M55, 2),FALSE)),"",_xlfn.REGEXEXTRACT(CELL("address",M55), "\$([A-Z]+)\$[0-9]+"))),_xlfn.REGEXEXTRACT(CELL("address",M55), "\$([A-Z]+)\$[0-9]+"))</f>
        <v/>
      </c>
      <c r="N55" s="7" t="str">
        <f t="array" aca="1" ref="N55" ca="1">IFERROR(IF(OR('Raw Data'!N55="",LEN(TRIM('Raw Data'!N55))=0),"",IF(AND(ISNUMBER('Raw Data'!N55), IFERROR('Raw Data'!N55 = ROUND('Raw Data'!N55, 2),FALSE)),"",_xlfn.REGEXEXTRACT(CELL("address",N55), "\$([A-Z]+)\$[0-9]+"))),_xlfn.REGEXEXTRACT(CELL("address",N55), "\$([A-Z]+)\$[0-9]+"))</f>
        <v/>
      </c>
      <c r="O55" s="7" t="str">
        <f t="array" aca="1" ref="O55" ca="1">IFERROR(IF(OR('Raw Data'!O55="",LEN(TRIM('Raw Data'!O55))=0),"",IF(AND(ISNUMBER('Raw Data'!O55),'Raw Data'!O55&gt;=Configuration!$D$2),"",_xlfn.REGEXEXTRACT(CELL("address",'Raw Data'!O55),"\$([A-Z]+)\$[0-9]+"))),_xlfn.REGEXEXTRACT(CELL("address",O55), "\$([A-Z]+)\$[0-9]+"))</f>
        <v/>
      </c>
      <c r="P55" s="7" t="str">
        <f t="array" aca="1" ref="P55" ca="1">IFERROR(IF(OR('Raw Data'!P55="",LEN(TRIM('Raw Data'!P55))=0),"",IF(AND(ISNUMBER('Raw Data'!P55), IFERROR('Raw Data'!P55 = ROUND('Raw Data'!P55, 2),FALSE)),"",_xlfn.REGEXEXTRACT(CELL("address",P55), "\$([A-Z]+)\$[0-9]+"))),_xlfn.REGEXEXTRACT(CELL("address",P55), "\$([A-Z]+)\$[0-9]+"))</f>
        <v/>
      </c>
      <c r="Q55" s="7" t="str">
        <f t="array" aca="1" ref="Q55" ca="1">IFERROR(IF(OR('Raw Data'!Q55="",LEN(TRIM('Raw Data'!Q55))=0),"",IF(AND(ISNUMBER('Raw Data'!Q55), IFERROR('Raw Data'!Q55 = ROUND('Raw Data'!Q55, 2),FALSE)),"",_xlfn.REGEXEXTRACT(CELL("address",Q55), "\$([A-Z]+)\$[0-9]+"))),_xlfn.REGEXEXTRACT(CELL("address",Q55), "\$([A-Z]+)\$[0-9]+"))</f>
        <v/>
      </c>
      <c r="R55" s="7" t="str">
        <f t="array" aca="1" ref="R55" ca="1">IFERROR(IF(OR('Raw Data'!R55="",LEN(TRIM('Raw Data'!R55))=0),"",IF(AND(LEN('Raw Data'!R55) &lt;= 50,LEN('Raw Data'!R55)&gt; 0),"",_xlfn.REGEXEXTRACT(CELL("address",'Raw Data'!R55),"\$([A-Z]+)\$[0-9]+"))),_xlfn.REGEXEXTRACT(CELL("address",'Raw Data'!R55),"\$([A-Z]+)\$[0-9]+"))</f>
        <v/>
      </c>
      <c r="S55" s="7" t="str">
        <f t="array" aca="1" ref="S55" ca="1">IFERROR(IF(OR('Raw Data'!S55="",LEN(TRIM('Raw Data'!S55))=0),"",IF(AND(LEN('Raw Data'!S55) &lt;= 50,LEN('Raw Data'!S55)&gt; 0),"",_xlfn.REGEXEXTRACT(CELL("address",'Raw Data'!S55),"\$([A-Z]+)\$[0-9]+"))),_xlfn.REGEXEXTRACT(CELL("address",'Raw Data'!S55),"\$([A-Z]+)\$[0-9]+"))</f>
        <v/>
      </c>
      <c r="T55" s="7" t="str">
        <f t="array" aca="1" ref="T55" ca="1">IFERROR(IF(OR('Raw Data'!T55="",LEN(TRIM('Raw Data'!T55))=0),"",IF(AND(ISNUMBER('Raw Data'!T55), IFERROR('Raw Data'!T55 = ROUND('Raw Data'!T55, 2),FALSE)),"",_xlfn.REGEXEXTRACT(CELL("address",T55), "\$([A-Z]+)\$[0-9]+"))),_xlfn.REGEXEXTRACT(CELL("address",T55), "\$([A-Z]+)\$[0-9]+"))</f>
        <v/>
      </c>
      <c r="U55" s="7" t="str">
        <f t="array" aca="1" ref="U55" ca="1">IFERROR(IF(OR('Raw Data'!U55="",LEN(TRIM('Raw Data'!U55))=0),"",IF(AND(ISNUMBER('Raw Data'!U55), IFERROR('Raw Data'!U55 = ROUND('Raw Data'!U55, 2),FALSE)),"",_xlfn.REGEXEXTRACT(CELL("address",U55), "\$([A-Z]+)\$[0-9]+"))),_xlfn.REGEXEXTRACT(CELL("address",U55), "\$([A-Z]+)\$[0-9]+"))</f>
        <v/>
      </c>
      <c r="V55" s="7" t="str">
        <f t="array" aca="1" ref="V55" ca="1">IFERROR(IF(OR('Raw Data'!V55="",LEN(TRIM('Raw Data'!V55))=0),"",IF(AND(ISNUMBER('Raw Data'!V55), IFERROR('Raw Data'!V55 = ROUND('Raw Data'!V55, 2),FALSE)),"",_xlfn.REGEXEXTRACT(CELL("address",V55), "\$([A-Z]+)\$[0-9]+"))),_xlfn.REGEXEXTRACT(CELL("address",V55), "\$([A-Z]+)\$[0-9]+"))</f>
        <v/>
      </c>
      <c r="W55" s="7" t="str">
        <f t="array" aca="1" ref="W55" ca="1">IFERROR(IF(OR('Raw Data'!W55="",LEN(TRIM('Raw Data'!W55))=0),"",IF(AND(ISNUMBER('Raw Data'!W55), IFERROR('Raw Data'!W55 = ROUND('Raw Data'!W55, 2),FALSE)),"",_xlfn.REGEXEXTRACT(CELL("address",W55), "\$([A-Z]+)\$[0-9]+"))),_xlfn.REGEXEXTRACT(CELL("address",W55), "\$([A-Z]+)\$[0-9]+"))</f>
        <v/>
      </c>
      <c r="X55" s="7" t="str">
        <f t="array" aca="1" ref="X55" ca="1">IFERROR(IF(OR('Raw Data'!X55="",LEN(TRIM('Raw Data'!X55))=0),"",IF(AND(ISNUMBER('Raw Data'!X55), IFERROR('Raw Data'!X55 = ROUND('Raw Data'!X55, 2),FALSE)),"",_xlfn.REGEXEXTRACT(CELL("address",X55), "\$([A-Z]+)\$[0-9]+"))),_xlfn.REGEXEXTRACT(CELL("address",X55), "\$([A-Z]+)\$[0-9]+"))</f>
        <v/>
      </c>
      <c r="Y55" s="7" t="str">
        <f t="array" aca="1" ref="Y55" ca="1">IFERROR(IF(OR('Raw Data'!Y55="",LEN(TRIM('Raw Data'!Y55))=0),"",IF(AND(ISNUMBER('Raw Data'!Y55), IFERROR('Raw Data'!Y55 = ROUND('Raw Data'!Y55, 2),FALSE)),"",_xlfn.REGEXEXTRACT(CELL("address",Y55), "\$([A-Z]+)\$[0-9]+"))),_xlfn.REGEXEXTRACT(CELL("address",Y55), "\$([A-Z]+)\$[0-9]+"))</f>
        <v/>
      </c>
      <c r="Z55" s="7" t="str">
        <f t="array" aca="1" ref="Z55" ca="1">IFERROR(IF(OR('Raw Data'!Z55="",LEN(TRIM('Raw Data'!Z55))=0),"",IF(AND(ISNUMBER('Raw Data'!Z55), IFERROR('Raw Data'!Z55 = ROUND('Raw Data'!Z55, 2),FALSE)),"",_xlfn.REGEXEXTRACT(CELL("address",Z55), "\$([A-Z]+)\$[0-9]+"))),_xlfn.REGEXEXTRACT(CELL("address",Z55), "\$([A-Z]+)\$[0-9]+"))</f>
        <v/>
      </c>
      <c r="AA55" s="7" t="str">
        <f t="array" aca="1" ref="AA55" ca="1">IFERROR(IF(OR('Raw Data'!AA55="",LEN(TRIM('Raw Data'!AA55))=0),"",IF(AND(ISNUMBER('Raw Data'!AA55), IFERROR('Raw Data'!AA55 = ROUND('Raw Data'!AA55, 2),FALSE)),"",_xlfn.REGEXEXTRACT(CELL("address",AA55), "\$([A-Z]+)\$[0-9]+"))),_xlfn.REGEXEXTRACT(CELL("address",AA55), "\$([A-Z]+)\$[0-9]+"))</f>
        <v/>
      </c>
      <c r="AB55" s="7" t="str">
        <f t="array" aca="1" ref="AB55" ca="1">IFERROR(IF(OR('Raw Data'!AB55="",LEN(TRIM('Raw Data'!AB55))=0),"",IF(AND(ISNUMBER('Raw Data'!AB55), IFERROR('Raw Data'!AB55 = ROUND('Raw Data'!AB55, 2),FALSE)),"",_xlfn.REGEXEXTRACT(CELL("address",AB55), "\$([A-Z]+)\$[0-9]+"))),_xlfn.REGEXEXTRACT(CELL("address",AB55), "\$([A-Z]+)\$[0-9]+"))</f>
        <v/>
      </c>
      <c r="AC55" s="7" t="str">
        <f t="array" aca="1" ref="AC55" ca="1">IFERROR(IF(OR('Raw Data'!AC55="",LEN(TRIM('Raw Data'!AC55))=0),"",IF(AND(ISNUMBER('Raw Data'!AC55), IFERROR('Raw Data'!AC55 = ROUND('Raw Data'!AC55, 2),FALSE)),"",_xlfn.REGEXEXTRACT(CELL("address",AC55), "\$([A-Z]+)\$[0-9]+"))),_xlfn.REGEXEXTRACT(CELL("address",AC55), "\$([A-Z]+)\$[0-9]+"))</f>
        <v/>
      </c>
      <c r="AD55" s="7" t="str">
        <f t="array" aca="1" ref="AD55" ca="1">IFERROR(IF(OR('Raw Data'!AD55="",LEN(TRIM('Raw Data'!AD55))=0),"",IF(AND(ISNUMBER('Raw Data'!AD55), IFERROR('Raw Data'!AD55 = ROUND('Raw Data'!AD55, 2),FALSE)),"",_xlfn.REGEXEXTRACT(CELL("address",AD55), "\$([A-Z]+)\$[0-9]+"))),_xlfn.REGEXEXTRACT(CELL("address",AD55), "\$([A-Z]+)\$[0-9]+"))</f>
        <v/>
      </c>
      <c r="AE55" s="7" t="str">
        <f t="array" aca="1" ref="AE55" ca="1">IFERROR(IF(OR('Raw Data'!AE55="",LEN(TRIM('Raw Data'!AE55))=0),"",IF(AND(ISNUMBER('Raw Data'!AE55), IFERROR('Raw Data'!AE55 = ROUND('Raw Data'!AE55, 2),FALSE)),"",_xlfn.REGEXEXTRACT(CELL("address",AE55), "\$([A-Z]+)\$[0-9]+"))),_xlfn.REGEXEXTRACT(CELL("address",AE55), "\$([A-Z]+)\$[0-9]+"))</f>
        <v/>
      </c>
      <c r="AF55" s="7" t="str">
        <f t="array" aca="1" ref="AF55" ca="1">IFERROR(IF(OR('Raw Data'!AF55="",LEN(TRIM('Raw Data'!AF55))=0),"",IF(AND(ISNUMBER('Raw Data'!AF55), IFERROR('Raw Data'!AF55 = ROUND('Raw Data'!AF55, 2),FALSE)),"",_xlfn.REGEXEXTRACT(CELL("address",AF55), "\$([A-Z]+)\$[0-9]+"))),_xlfn.REGEXEXTRACT(CELL("address",AF55), "\$([A-Z]+)\$[0-9]+"))</f>
        <v/>
      </c>
      <c r="AG55" s="7" t="str">
        <f t="array" aca="1" ref="AG55" ca="1">IFERROR(IF(OR('Raw Data'!AG55="",LEN(TRIM('Raw Data'!AG55))=0),"",IF(AND(ISNUMBER('Raw Data'!AG55), IFERROR('Raw Data'!AG55 = ROUND('Raw Data'!AG55, 2),FALSE)),"",_xlfn.REGEXEXTRACT(CELL("address",AG55), "\$([A-Z]+)\$[0-9]+"))),_xlfn.REGEXEXTRACT(CELL("address",AG55), "\$([A-Z]+)\$[0-9]+"))</f>
        <v/>
      </c>
      <c r="AH55" s="7" t="str">
        <f t="array" aca="1" ref="AH55" ca="1">IFERROR(IF(OR('Raw Data'!AH55="",LEN(TRIM('Raw Data'!AH55))=0),"",IF(AND(ISNUMBER('Raw Data'!AH55), IFERROR('Raw Data'!AH55 = ROUND('Raw Data'!AH55, 2),FALSE)),"",_xlfn.REGEXEXTRACT(CELL("address",AH55), "\$([A-Z]+)\$[0-9]+"))),_xlfn.REGEXEXTRACT(CELL("address",AH55), "\$([A-Z]+)\$[0-9]+"))</f>
        <v/>
      </c>
      <c r="AI55" s="7" t="str">
        <f t="array" aca="1" ref="AI55" ca="1">IFERROR(IF(OR('Raw Data'!AI55="",LEN(TRIM('Raw Data'!AI55))=0),"",IF(AND(ISNUMBER('Raw Data'!AI55), IFERROR('Raw Data'!AI55 = ROUND('Raw Data'!AI55, 2),FALSE)),"",_xlfn.REGEXEXTRACT(CELL("address",AI55), "\$([A-Z]+)\$[0-9]+"))),_xlfn.REGEXEXTRACT(CELL("address",AI55), "\$([A-Z]+)\$[0-9]+"))</f>
        <v/>
      </c>
      <c r="AJ55" s="7" t="str">
        <f t="array" aca="1" ref="AJ55" ca="1">IFERROR(IF(OR('Raw Data'!AJ55="",LEN(TRIM('Raw Data'!AJ55))=0),"",IF(AND(ISNUMBER('Raw Data'!AJ55), IFERROR('Raw Data'!AJ55 = ROUND('Raw Data'!AJ55, 4),FALSE)),"",_xlfn.REGEXEXTRACT(CELL("address",AJ55), "\$([A-Z]+)\$[0-9]+"))),_xlfn.REGEXEXTRACT(CELL("address",AJ55), "\$([A-Z]+)\$[0-9]+"))</f>
        <v/>
      </c>
      <c r="AK55" s="7" t="str">
        <f t="array" aca="1" ref="AK55" ca="1">IFERROR(IF(OR('Raw Data'!AK55="",LEN(TRIM('Raw Data'!AK55))=0),"",IF(AND(ISNUMBER('Raw Data'!AK55), IFERROR('Raw Data'!AK55 = ROUND('Raw Data'!AK55, 2),FALSE)),"",_xlfn.REGEXEXTRACT(CELL("address",AK55), "\$([A-Z]+)\$[0-9]+"))),_xlfn.REGEXEXTRACT(CELL("address",AK55), "\$([A-Z]+)\$[0-9]+"))</f>
        <v/>
      </c>
      <c r="AL55" s="7" t="str">
        <f t="array" aca="1" ref="AL55" ca="1">IFERROR(IF(OR('Raw Data'!AL55="",LEN(TRIM('Raw Data'!AL55))=0),"",IF(AND(ISNUMBER('Raw Data'!AL55), IFERROR('Raw Data'!AL55 = ROUND('Raw Data'!AL55, 2),FALSE)),"",_xlfn.REGEXEXTRACT(CELL("address",AL55), "\$([A-Z]+)\$[0-9]+"))),_xlfn.REGEXEXTRACT(CELL("address",AL55), "\$([A-Z]+)\$[0-9]+"))</f>
        <v/>
      </c>
      <c r="AM55" s="7" t="str">
        <f t="array" aca="1" ref="AM55" ca="1">IFERROR(IF(OR('Raw Data'!AM55="",LEN(TRIM('Raw Data'!AM55))=0),"",IF(AND(ISNUMBER('Raw Data'!AM55), IFERROR('Raw Data'!AM55 = ROUND('Raw Data'!AM55, 2),FALSE)),"",_xlfn.REGEXEXTRACT(CELL("address",AM55), "\$([A-Z]+)\$[0-9]+"))),_xlfn.REGEXEXTRACT(CELL("address",AM55), "\$([A-Z]+)\$[0-9]+"))</f>
        <v/>
      </c>
      <c r="AN55" s="7" t="str">
        <f t="array" aca="1" ref="AN55" ca="1">IFERROR(IF(OR('Raw Data'!AN55="",LEN(TRIM('Raw Data'!AN55))=0),"",IF(AND(ISNUMBER('Raw Data'!AN55), IFERROR('Raw Data'!AN55 = ROUND('Raw Data'!AN55, 2),FALSE)),"",_xlfn.REGEXEXTRACT(CELL("address",AN55), "\$([A-Z]+)\$[0-9]+"))),_xlfn.REGEXEXTRACT(CELL("address",AN55), "\$([A-Z]+)\$[0-9]+"))</f>
        <v/>
      </c>
      <c r="AO55" s="7" t="str">
        <f t="array" aca="1" ref="AO55" ca="1">IFERROR(IF(OR('Raw Data'!AO55="",LEN(TRIM('Raw Data'!AO55))=0),"",IF(AND(ISNUMBER('Raw Data'!AO55), IFERROR('Raw Data'!AO55 = ROUND('Raw Data'!AO55, 2),FALSE)),"",_xlfn.REGEXEXTRACT(CELL("address",AO55), "\$([A-Z]+)\$[0-9]+"))),_xlfn.REGEXEXTRACT(CELL("address",AO55), "\$([A-Z]+)\$[0-9]+"))</f>
        <v/>
      </c>
      <c r="AP55" s="7" t="str">
        <f t="array" aca="1" ref="AP55" ca="1">IFERROR(IF(OR('Raw Data'!AP55="",LEN(TRIM('Raw Data'!AP55))=0),"",IF(AND(ISNUMBER('Raw Data'!AP55), IFERROR('Raw Data'!AP55 = ROUND('Raw Data'!AP55, 2),FALSE)),"",_xlfn.REGEXEXTRACT(CELL("address",AP55), "\$([A-Z]+)\$[0-9]+"))),_xlfn.REGEXEXTRACT(CELL("address",AP55), "\$([A-Z]+)\$[0-9]+"))</f>
        <v/>
      </c>
    </row>
    <row r="56" spans="2:42" x14ac:dyDescent="0.25">
      <c r="B56" s="7" t="str">
        <f t="array" aca="1" ref="B56" ca="1">IFERROR(IF(OR('Raw Data'!B56="",LEN(TRIM('Raw Data'!B56))=0),"",IF(AND(LEN('Raw Data'!B56) &lt;= 255,LEN('Raw Data'!B56)&gt; 0),"",_xlfn.REGEXEXTRACT(CELL("address",'Raw Data'!B56),"\$([A-Z]+)\$[0-9]+"))),_xlfn.REGEXEXTRACT(CELL("address",'Raw Data'!B56),"\$([A-Z]+)\$[0-9]+"))</f>
        <v/>
      </c>
      <c r="C56" s="7" t="str">
        <f t="array" aca="1" ref="C56" ca="1">IFERROR(IF(OR('Raw Data'!C56="",LEN(TRIM('Raw Data'!C56))=0),"",IF(AND(LEN('Raw Data'!C56) &lt;= 50,LEN('Raw Data'!C56)&gt; 0),"",_xlfn.REGEXEXTRACT(CELL("address",'Raw Data'!C56),"\$([A-Z]+)\$[0-9]+"))),_xlfn.REGEXEXTRACT(CELL("address",'Raw Data'!C56),"\$([A-Z]+)\$[0-9]+"))</f>
        <v/>
      </c>
      <c r="D56" s="7" t="str">
        <f t="array" aca="1" ref="D56" ca="1">IFERROR(IF(OR('Raw Data'!D56="",LEN(TRIM('Raw Data'!D56))=0),"",IF(AND(LEN('Raw Data'!D56) &lt;= 500,LEN('Raw Data'!D56)&gt; 0),"",_xlfn.REGEXEXTRACT(CELL("address",'Raw Data'!D56),"\$([A-Z]+)\$[0-9]+"))),_xlfn.REGEXEXTRACT(CELL("address",'Raw Data'!D56),"\$([A-Z]+)\$[0-9]+"))</f>
        <v/>
      </c>
      <c r="E56" s="7" t="str">
        <f t="array" aca="1" ref="E56" ca="1">IFERROR(IF(OR('Raw Data'!E56="",LEN(TRIM('Raw Data'!E56))=0),"",IF(AND(LEN('Raw Data'!E56) &lt;= 50,LEN('Raw Data'!E56)&gt; 0),"",_xlfn.REGEXEXTRACT(CELL("address",'Raw Data'!E56),"\$([A-Z]+)\$[0-9]+"))),_xlfn.REGEXEXTRACT(CELL("address",'Raw Data'!E56),"\$([A-Z]+)\$[0-9]+"))</f>
        <v/>
      </c>
      <c r="F56" s="7" t="str">
        <f t="array" aca="1" ref="F56" ca="1">IFERROR(IF(OR('Raw Data'!F56="",LEN(TRIM('Raw Data'!F56))=0),"",IF(AND(LEN('Raw Data'!F56) &lt;= 50,LEN('Raw Data'!F56)&gt; 0),"",_xlfn.REGEXEXTRACT(CELL("address",'Raw Data'!F56),"\$([A-Z]+)\$[0-9]+"))),_xlfn.REGEXEXTRACT(CELL("address",'Raw Data'!F56),"\$([A-Z]+)\$[0-9]+"))</f>
        <v/>
      </c>
      <c r="G56" s="7" t="str">
        <f t="array" aca="1" ref="G56" ca="1">IFERROR(IF(OR('Raw Data'!G56="",LEN(TRIM('Raw Data'!G56))=0),"",IF(AND(LEN('Raw Data'!G56) &lt;= 50,LEN('Raw Data'!G56)&gt; 0),"",_xlfn.REGEXEXTRACT(CELL("address",'Raw Data'!G56),"\$([A-Z]+)\$[0-9]+"))),_xlfn.REGEXEXTRACT(CELL("address",'Raw Data'!G56),"\$([A-Z]+)\$[0-9]+"))</f>
        <v/>
      </c>
      <c r="H56" s="7" t="str">
        <f t="array" aca="1" ref="H56" ca="1">IFERROR(IF(OR('Raw Data'!H56="",LEN(TRIM('Raw Data'!H56))=0),"",IF(AND(LEN('Raw Data'!H56) &lt;= 50,LEN('Raw Data'!H56)&gt; 0),"",_xlfn.REGEXEXTRACT(CELL("address",'Raw Data'!H56),"\$([A-Z]+)\$[0-9]+"))),_xlfn.REGEXEXTRACT(CELL("address",'Raw Data'!H56),"\$([A-Z]+)\$[0-9]+"))</f>
        <v/>
      </c>
      <c r="I56" s="7" t="str">
        <f t="array" aca="1" ref="I56" ca="1">IFERROR(IF(OR('Raw Data'!I56="",LEN(TRIM('Raw Data'!I56))=0),"",IF(AND(LEN('Raw Data'!I56) &lt;= 50,LEN('Raw Data'!I56)&gt; 0),"",_xlfn.REGEXEXTRACT(CELL("address",'Raw Data'!I56),"\$([A-Z]+)\$[0-9]+"))),_xlfn.REGEXEXTRACT(CELL("address",'Raw Data'!I56),"\$([A-Z]+)\$[0-9]+"))</f>
        <v/>
      </c>
      <c r="J56" s="7" t="str">
        <f t="array" aca="1" ref="J56" ca="1">IFERROR(IF(OR('Raw Data'!J56="",LEN(TRIM('Raw Data'!J56))=0),"",IF(AND(ISNUMBER('Raw Data'!J56), IFERROR('Raw Data'!J56 = ROUND('Raw Data'!J56, 2),FALSE)),"",_xlfn.REGEXEXTRACT(CELL("address",J56), "\$([A-Z]+)\$[0-9]+"))),_xlfn.REGEXEXTRACT(CELL("address",J56), "\$([A-Z]+)\$[0-9]+"))</f>
        <v/>
      </c>
      <c r="K56" s="7" t="str">
        <f t="array" aca="1" ref="K56" ca="1">IFERROR(IF(OR('Raw Data'!K56="",LEN(TRIM('Raw Data'!K56))=0),"",IF(AND(ISNUMBER('Raw Data'!K56), IFERROR('Raw Data'!K56 = ROUND('Raw Data'!K56, 2),FALSE)),"",_xlfn.REGEXEXTRACT(CELL("address",K56), "\$([A-Z]+)\$[0-9]+"))),_xlfn.REGEXEXTRACT(CELL("address",K56), "\$([A-Z]+)\$[0-9]+"))</f>
        <v/>
      </c>
      <c r="L56" s="7" t="str">
        <f t="array" aca="1" ref="L56" ca="1">IFERROR(IF(OR('Raw Data'!L56="",LEN(TRIM('Raw Data'!L56))=0),"",IF(AND(ISNUMBER('Raw Data'!L56), IFERROR('Raw Data'!L56 = ROUND('Raw Data'!L56, 2),FALSE)),"",_xlfn.REGEXEXTRACT(CELL("address",L56), "\$([A-Z]+)\$[0-9]+"))),_xlfn.REGEXEXTRACT(CELL("address",L56), "\$([A-Z]+)\$[0-9]+"))</f>
        <v/>
      </c>
      <c r="M56" s="7" t="str">
        <f t="array" aca="1" ref="M56" ca="1">IFERROR(IF(OR('Raw Data'!M56="",LEN(TRIM('Raw Data'!M56))=0),"",IF(AND(ISNUMBER('Raw Data'!M56), IFERROR('Raw Data'!M56 = ROUND('Raw Data'!M56, 2),FALSE)),"",_xlfn.REGEXEXTRACT(CELL("address",M56), "\$([A-Z]+)\$[0-9]+"))),_xlfn.REGEXEXTRACT(CELL("address",M56), "\$([A-Z]+)\$[0-9]+"))</f>
        <v/>
      </c>
      <c r="N56" s="7" t="str">
        <f t="array" aca="1" ref="N56" ca="1">IFERROR(IF(OR('Raw Data'!N56="",LEN(TRIM('Raw Data'!N56))=0),"",IF(AND(ISNUMBER('Raw Data'!N56), IFERROR('Raw Data'!N56 = ROUND('Raw Data'!N56, 2),FALSE)),"",_xlfn.REGEXEXTRACT(CELL("address",N56), "\$([A-Z]+)\$[0-9]+"))),_xlfn.REGEXEXTRACT(CELL("address",N56), "\$([A-Z]+)\$[0-9]+"))</f>
        <v/>
      </c>
      <c r="O56" s="7" t="str">
        <f t="array" aca="1" ref="O56" ca="1">IFERROR(IF(OR('Raw Data'!O56="",LEN(TRIM('Raw Data'!O56))=0),"",IF(AND(ISNUMBER('Raw Data'!O56),'Raw Data'!O56&gt;=Configuration!$D$2),"",_xlfn.REGEXEXTRACT(CELL("address",'Raw Data'!O56),"\$([A-Z]+)\$[0-9]+"))),_xlfn.REGEXEXTRACT(CELL("address",O56), "\$([A-Z]+)\$[0-9]+"))</f>
        <v/>
      </c>
      <c r="P56" s="7" t="str">
        <f t="array" aca="1" ref="P56" ca="1">IFERROR(IF(OR('Raw Data'!P56="",LEN(TRIM('Raw Data'!P56))=0),"",IF(AND(ISNUMBER('Raw Data'!P56), IFERROR('Raw Data'!P56 = ROUND('Raw Data'!P56, 2),FALSE)),"",_xlfn.REGEXEXTRACT(CELL("address",P56), "\$([A-Z]+)\$[0-9]+"))),_xlfn.REGEXEXTRACT(CELL("address",P56), "\$([A-Z]+)\$[0-9]+"))</f>
        <v/>
      </c>
      <c r="Q56" s="7" t="str">
        <f t="array" aca="1" ref="Q56" ca="1">IFERROR(IF(OR('Raw Data'!Q56="",LEN(TRIM('Raw Data'!Q56))=0),"",IF(AND(ISNUMBER('Raw Data'!Q56), IFERROR('Raw Data'!Q56 = ROUND('Raw Data'!Q56, 2),FALSE)),"",_xlfn.REGEXEXTRACT(CELL("address",Q56), "\$([A-Z]+)\$[0-9]+"))),_xlfn.REGEXEXTRACT(CELL("address",Q56), "\$([A-Z]+)\$[0-9]+"))</f>
        <v/>
      </c>
      <c r="R56" s="7" t="str">
        <f t="array" aca="1" ref="R56" ca="1">IFERROR(IF(OR('Raw Data'!R56="",LEN(TRIM('Raw Data'!R56))=0),"",IF(AND(LEN('Raw Data'!R56) &lt;= 50,LEN('Raw Data'!R56)&gt; 0),"",_xlfn.REGEXEXTRACT(CELL("address",'Raw Data'!R56),"\$([A-Z]+)\$[0-9]+"))),_xlfn.REGEXEXTRACT(CELL("address",'Raw Data'!R56),"\$([A-Z]+)\$[0-9]+"))</f>
        <v/>
      </c>
      <c r="S56" s="7" t="str">
        <f t="array" aca="1" ref="S56" ca="1">IFERROR(IF(OR('Raw Data'!S56="",LEN(TRIM('Raw Data'!S56))=0),"",IF(AND(LEN('Raw Data'!S56) &lt;= 50,LEN('Raw Data'!S56)&gt; 0),"",_xlfn.REGEXEXTRACT(CELL("address",'Raw Data'!S56),"\$([A-Z]+)\$[0-9]+"))),_xlfn.REGEXEXTRACT(CELL("address",'Raw Data'!S56),"\$([A-Z]+)\$[0-9]+"))</f>
        <v/>
      </c>
      <c r="T56" s="7" t="str">
        <f t="array" aca="1" ref="T56" ca="1">IFERROR(IF(OR('Raw Data'!T56="",LEN(TRIM('Raw Data'!T56))=0),"",IF(AND(ISNUMBER('Raw Data'!T56), IFERROR('Raw Data'!T56 = ROUND('Raw Data'!T56, 2),FALSE)),"",_xlfn.REGEXEXTRACT(CELL("address",T56), "\$([A-Z]+)\$[0-9]+"))),_xlfn.REGEXEXTRACT(CELL("address",T56), "\$([A-Z]+)\$[0-9]+"))</f>
        <v/>
      </c>
      <c r="U56" s="7" t="str">
        <f t="array" aca="1" ref="U56" ca="1">IFERROR(IF(OR('Raw Data'!U56="",LEN(TRIM('Raw Data'!U56))=0),"",IF(AND(ISNUMBER('Raw Data'!U56), IFERROR('Raw Data'!U56 = ROUND('Raw Data'!U56, 2),FALSE)),"",_xlfn.REGEXEXTRACT(CELL("address",U56), "\$([A-Z]+)\$[0-9]+"))),_xlfn.REGEXEXTRACT(CELL("address",U56), "\$([A-Z]+)\$[0-9]+"))</f>
        <v/>
      </c>
      <c r="V56" s="7" t="str">
        <f t="array" aca="1" ref="V56" ca="1">IFERROR(IF(OR('Raw Data'!V56="",LEN(TRIM('Raw Data'!V56))=0),"",IF(AND(ISNUMBER('Raw Data'!V56), IFERROR('Raw Data'!V56 = ROUND('Raw Data'!V56, 2),FALSE)),"",_xlfn.REGEXEXTRACT(CELL("address",V56), "\$([A-Z]+)\$[0-9]+"))),_xlfn.REGEXEXTRACT(CELL("address",V56), "\$([A-Z]+)\$[0-9]+"))</f>
        <v/>
      </c>
      <c r="W56" s="7" t="str">
        <f t="array" aca="1" ref="W56" ca="1">IFERROR(IF(OR('Raw Data'!W56="",LEN(TRIM('Raw Data'!W56))=0),"",IF(AND(ISNUMBER('Raw Data'!W56), IFERROR('Raw Data'!W56 = ROUND('Raw Data'!W56, 2),FALSE)),"",_xlfn.REGEXEXTRACT(CELL("address",W56), "\$([A-Z]+)\$[0-9]+"))),_xlfn.REGEXEXTRACT(CELL("address",W56), "\$([A-Z]+)\$[0-9]+"))</f>
        <v/>
      </c>
      <c r="X56" s="7" t="str">
        <f t="array" aca="1" ref="X56" ca="1">IFERROR(IF(OR('Raw Data'!X56="",LEN(TRIM('Raw Data'!X56))=0),"",IF(AND(ISNUMBER('Raw Data'!X56), IFERROR('Raw Data'!X56 = ROUND('Raw Data'!X56, 2),FALSE)),"",_xlfn.REGEXEXTRACT(CELL("address",X56), "\$([A-Z]+)\$[0-9]+"))),_xlfn.REGEXEXTRACT(CELL("address",X56), "\$([A-Z]+)\$[0-9]+"))</f>
        <v/>
      </c>
      <c r="Y56" s="7" t="str">
        <f t="array" aca="1" ref="Y56" ca="1">IFERROR(IF(OR('Raw Data'!Y56="",LEN(TRIM('Raw Data'!Y56))=0),"",IF(AND(ISNUMBER('Raw Data'!Y56), IFERROR('Raw Data'!Y56 = ROUND('Raw Data'!Y56, 2),FALSE)),"",_xlfn.REGEXEXTRACT(CELL("address",Y56), "\$([A-Z]+)\$[0-9]+"))),_xlfn.REGEXEXTRACT(CELL("address",Y56), "\$([A-Z]+)\$[0-9]+"))</f>
        <v/>
      </c>
      <c r="Z56" s="7" t="str">
        <f t="array" aca="1" ref="Z56" ca="1">IFERROR(IF(OR('Raw Data'!Z56="",LEN(TRIM('Raw Data'!Z56))=0),"",IF(AND(ISNUMBER('Raw Data'!Z56), IFERROR('Raw Data'!Z56 = ROUND('Raw Data'!Z56, 2),FALSE)),"",_xlfn.REGEXEXTRACT(CELL("address",Z56), "\$([A-Z]+)\$[0-9]+"))),_xlfn.REGEXEXTRACT(CELL("address",Z56), "\$([A-Z]+)\$[0-9]+"))</f>
        <v/>
      </c>
      <c r="AA56" s="7" t="str">
        <f t="array" aca="1" ref="AA56" ca="1">IFERROR(IF(OR('Raw Data'!AA56="",LEN(TRIM('Raw Data'!AA56))=0),"",IF(AND(ISNUMBER('Raw Data'!AA56), IFERROR('Raw Data'!AA56 = ROUND('Raw Data'!AA56, 2),FALSE)),"",_xlfn.REGEXEXTRACT(CELL("address",AA56), "\$([A-Z]+)\$[0-9]+"))),_xlfn.REGEXEXTRACT(CELL("address",AA56), "\$([A-Z]+)\$[0-9]+"))</f>
        <v/>
      </c>
      <c r="AB56" s="7" t="str">
        <f t="array" aca="1" ref="AB56" ca="1">IFERROR(IF(OR('Raw Data'!AB56="",LEN(TRIM('Raw Data'!AB56))=0),"",IF(AND(ISNUMBER('Raw Data'!AB56), IFERROR('Raw Data'!AB56 = ROUND('Raw Data'!AB56, 2),FALSE)),"",_xlfn.REGEXEXTRACT(CELL("address",AB56), "\$([A-Z]+)\$[0-9]+"))),_xlfn.REGEXEXTRACT(CELL("address",AB56), "\$([A-Z]+)\$[0-9]+"))</f>
        <v/>
      </c>
      <c r="AC56" s="7" t="str">
        <f t="array" aca="1" ref="AC56" ca="1">IFERROR(IF(OR('Raw Data'!AC56="",LEN(TRIM('Raw Data'!AC56))=0),"",IF(AND(ISNUMBER('Raw Data'!AC56), IFERROR('Raw Data'!AC56 = ROUND('Raw Data'!AC56, 2),FALSE)),"",_xlfn.REGEXEXTRACT(CELL("address",AC56), "\$([A-Z]+)\$[0-9]+"))),_xlfn.REGEXEXTRACT(CELL("address",AC56), "\$([A-Z]+)\$[0-9]+"))</f>
        <v/>
      </c>
      <c r="AD56" s="7" t="str">
        <f t="array" aca="1" ref="AD56" ca="1">IFERROR(IF(OR('Raw Data'!AD56="",LEN(TRIM('Raw Data'!AD56))=0),"",IF(AND(ISNUMBER('Raw Data'!AD56), IFERROR('Raw Data'!AD56 = ROUND('Raw Data'!AD56, 2),FALSE)),"",_xlfn.REGEXEXTRACT(CELL("address",AD56), "\$([A-Z]+)\$[0-9]+"))),_xlfn.REGEXEXTRACT(CELL("address",AD56), "\$([A-Z]+)\$[0-9]+"))</f>
        <v/>
      </c>
      <c r="AE56" s="7" t="str">
        <f t="array" aca="1" ref="AE56" ca="1">IFERROR(IF(OR('Raw Data'!AE56="",LEN(TRIM('Raw Data'!AE56))=0),"",IF(AND(ISNUMBER('Raw Data'!AE56), IFERROR('Raw Data'!AE56 = ROUND('Raw Data'!AE56, 2),FALSE)),"",_xlfn.REGEXEXTRACT(CELL("address",AE56), "\$([A-Z]+)\$[0-9]+"))),_xlfn.REGEXEXTRACT(CELL("address",AE56), "\$([A-Z]+)\$[0-9]+"))</f>
        <v/>
      </c>
      <c r="AF56" s="7" t="str">
        <f t="array" aca="1" ref="AF56" ca="1">IFERROR(IF(OR('Raw Data'!AF56="",LEN(TRIM('Raw Data'!AF56))=0),"",IF(AND(ISNUMBER('Raw Data'!AF56), IFERROR('Raw Data'!AF56 = ROUND('Raw Data'!AF56, 2),FALSE)),"",_xlfn.REGEXEXTRACT(CELL("address",AF56), "\$([A-Z]+)\$[0-9]+"))),_xlfn.REGEXEXTRACT(CELL("address",AF56), "\$([A-Z]+)\$[0-9]+"))</f>
        <v/>
      </c>
      <c r="AG56" s="7" t="str">
        <f t="array" aca="1" ref="AG56" ca="1">IFERROR(IF(OR('Raw Data'!AG56="",LEN(TRIM('Raw Data'!AG56))=0),"",IF(AND(ISNUMBER('Raw Data'!AG56), IFERROR('Raw Data'!AG56 = ROUND('Raw Data'!AG56, 2),FALSE)),"",_xlfn.REGEXEXTRACT(CELL("address",AG56), "\$([A-Z]+)\$[0-9]+"))),_xlfn.REGEXEXTRACT(CELL("address",AG56), "\$([A-Z]+)\$[0-9]+"))</f>
        <v/>
      </c>
      <c r="AH56" s="7" t="str">
        <f t="array" aca="1" ref="AH56" ca="1">IFERROR(IF(OR('Raw Data'!AH56="",LEN(TRIM('Raw Data'!AH56))=0),"",IF(AND(ISNUMBER('Raw Data'!AH56), IFERROR('Raw Data'!AH56 = ROUND('Raw Data'!AH56, 2),FALSE)),"",_xlfn.REGEXEXTRACT(CELL("address",AH56), "\$([A-Z]+)\$[0-9]+"))),_xlfn.REGEXEXTRACT(CELL("address",AH56), "\$([A-Z]+)\$[0-9]+"))</f>
        <v/>
      </c>
      <c r="AI56" s="7" t="str">
        <f t="array" aca="1" ref="AI56" ca="1">IFERROR(IF(OR('Raw Data'!AI56="",LEN(TRIM('Raw Data'!AI56))=0),"",IF(AND(ISNUMBER('Raw Data'!AI56), IFERROR('Raw Data'!AI56 = ROUND('Raw Data'!AI56, 2),FALSE)),"",_xlfn.REGEXEXTRACT(CELL("address",AI56), "\$([A-Z]+)\$[0-9]+"))),_xlfn.REGEXEXTRACT(CELL("address",AI56), "\$([A-Z]+)\$[0-9]+"))</f>
        <v/>
      </c>
      <c r="AJ56" s="7" t="str">
        <f t="array" aca="1" ref="AJ56" ca="1">IFERROR(IF(OR('Raw Data'!AJ56="",LEN(TRIM('Raw Data'!AJ56))=0),"",IF(AND(ISNUMBER('Raw Data'!AJ56), IFERROR('Raw Data'!AJ56 = ROUND('Raw Data'!AJ56, 4),FALSE)),"",_xlfn.REGEXEXTRACT(CELL("address",AJ56), "\$([A-Z]+)\$[0-9]+"))),_xlfn.REGEXEXTRACT(CELL("address",AJ56), "\$([A-Z]+)\$[0-9]+"))</f>
        <v/>
      </c>
      <c r="AK56" s="7" t="str">
        <f t="array" aca="1" ref="AK56" ca="1">IFERROR(IF(OR('Raw Data'!AK56="",LEN(TRIM('Raw Data'!AK56))=0),"",IF(AND(ISNUMBER('Raw Data'!AK56), IFERROR('Raw Data'!AK56 = ROUND('Raw Data'!AK56, 2),FALSE)),"",_xlfn.REGEXEXTRACT(CELL("address",AK56), "\$([A-Z]+)\$[0-9]+"))),_xlfn.REGEXEXTRACT(CELL("address",AK56), "\$([A-Z]+)\$[0-9]+"))</f>
        <v/>
      </c>
      <c r="AL56" s="7" t="str">
        <f t="array" aca="1" ref="AL56" ca="1">IFERROR(IF(OR('Raw Data'!AL56="",LEN(TRIM('Raw Data'!AL56))=0),"",IF(AND(ISNUMBER('Raw Data'!AL56), IFERROR('Raw Data'!AL56 = ROUND('Raw Data'!AL56, 2),FALSE)),"",_xlfn.REGEXEXTRACT(CELL("address",AL56), "\$([A-Z]+)\$[0-9]+"))),_xlfn.REGEXEXTRACT(CELL("address",AL56), "\$([A-Z]+)\$[0-9]+"))</f>
        <v/>
      </c>
      <c r="AM56" s="7" t="str">
        <f t="array" aca="1" ref="AM56" ca="1">IFERROR(IF(OR('Raw Data'!AM56="",LEN(TRIM('Raw Data'!AM56))=0),"",IF(AND(ISNUMBER('Raw Data'!AM56), IFERROR('Raw Data'!AM56 = ROUND('Raw Data'!AM56, 2),FALSE)),"",_xlfn.REGEXEXTRACT(CELL("address",AM56), "\$([A-Z]+)\$[0-9]+"))),_xlfn.REGEXEXTRACT(CELL("address",AM56), "\$([A-Z]+)\$[0-9]+"))</f>
        <v/>
      </c>
      <c r="AN56" s="7" t="str">
        <f t="array" aca="1" ref="AN56" ca="1">IFERROR(IF(OR('Raw Data'!AN56="",LEN(TRIM('Raw Data'!AN56))=0),"",IF(AND(ISNUMBER('Raw Data'!AN56), IFERROR('Raw Data'!AN56 = ROUND('Raw Data'!AN56, 2),FALSE)),"",_xlfn.REGEXEXTRACT(CELL("address",AN56), "\$([A-Z]+)\$[0-9]+"))),_xlfn.REGEXEXTRACT(CELL("address",AN56), "\$([A-Z]+)\$[0-9]+"))</f>
        <v/>
      </c>
      <c r="AO56" s="7" t="str">
        <f t="array" aca="1" ref="AO56" ca="1">IFERROR(IF(OR('Raw Data'!AO56="",LEN(TRIM('Raw Data'!AO56))=0),"",IF(AND(ISNUMBER('Raw Data'!AO56), IFERROR('Raw Data'!AO56 = ROUND('Raw Data'!AO56, 2),FALSE)),"",_xlfn.REGEXEXTRACT(CELL("address",AO56), "\$([A-Z]+)\$[0-9]+"))),_xlfn.REGEXEXTRACT(CELL("address",AO56), "\$([A-Z]+)\$[0-9]+"))</f>
        <v/>
      </c>
      <c r="AP56" s="7" t="str">
        <f t="array" aca="1" ref="AP56" ca="1">IFERROR(IF(OR('Raw Data'!AP56="",LEN(TRIM('Raw Data'!AP56))=0),"",IF(AND(ISNUMBER('Raw Data'!AP56), IFERROR('Raw Data'!AP56 = ROUND('Raw Data'!AP56, 2),FALSE)),"",_xlfn.REGEXEXTRACT(CELL("address",AP56), "\$([A-Z]+)\$[0-9]+"))),_xlfn.REGEXEXTRACT(CELL("address",AP56), "\$([A-Z]+)\$[0-9]+"))</f>
        <v/>
      </c>
    </row>
    <row r="57" spans="2:42" x14ac:dyDescent="0.25">
      <c r="B57" s="7" t="str">
        <f t="array" aca="1" ref="B57" ca="1">IFERROR(IF(OR('Raw Data'!B57="",LEN(TRIM('Raw Data'!B57))=0),"",IF(AND(LEN('Raw Data'!B57) &lt;= 255,LEN('Raw Data'!B57)&gt; 0),"",_xlfn.REGEXEXTRACT(CELL("address",'Raw Data'!B57),"\$([A-Z]+)\$[0-9]+"))),_xlfn.REGEXEXTRACT(CELL("address",'Raw Data'!B57),"\$([A-Z]+)\$[0-9]+"))</f>
        <v/>
      </c>
      <c r="C57" s="7" t="str">
        <f t="array" aca="1" ref="C57" ca="1">IFERROR(IF(OR('Raw Data'!C57="",LEN(TRIM('Raw Data'!C57))=0),"",IF(AND(LEN('Raw Data'!C57) &lt;= 50,LEN('Raw Data'!C57)&gt; 0),"",_xlfn.REGEXEXTRACT(CELL("address",'Raw Data'!C57),"\$([A-Z]+)\$[0-9]+"))),_xlfn.REGEXEXTRACT(CELL("address",'Raw Data'!C57),"\$([A-Z]+)\$[0-9]+"))</f>
        <v/>
      </c>
      <c r="D57" s="7" t="str">
        <f t="array" aca="1" ref="D57" ca="1">IFERROR(IF(OR('Raw Data'!D57="",LEN(TRIM('Raw Data'!D57))=0),"",IF(AND(LEN('Raw Data'!D57) &lt;= 500,LEN('Raw Data'!D57)&gt; 0),"",_xlfn.REGEXEXTRACT(CELL("address",'Raw Data'!D57),"\$([A-Z]+)\$[0-9]+"))),_xlfn.REGEXEXTRACT(CELL("address",'Raw Data'!D57),"\$([A-Z]+)\$[0-9]+"))</f>
        <v/>
      </c>
      <c r="E57" s="7" t="str">
        <f t="array" aca="1" ref="E57" ca="1">IFERROR(IF(OR('Raw Data'!E57="",LEN(TRIM('Raw Data'!E57))=0),"",IF(AND(LEN('Raw Data'!E57) &lt;= 50,LEN('Raw Data'!E57)&gt; 0),"",_xlfn.REGEXEXTRACT(CELL("address",'Raw Data'!E57),"\$([A-Z]+)\$[0-9]+"))),_xlfn.REGEXEXTRACT(CELL("address",'Raw Data'!E57),"\$([A-Z]+)\$[0-9]+"))</f>
        <v/>
      </c>
      <c r="F57" s="7" t="str">
        <f t="array" aca="1" ref="F57" ca="1">IFERROR(IF(OR('Raw Data'!F57="",LEN(TRIM('Raw Data'!F57))=0),"",IF(AND(LEN('Raw Data'!F57) &lt;= 50,LEN('Raw Data'!F57)&gt; 0),"",_xlfn.REGEXEXTRACT(CELL("address",'Raw Data'!F57),"\$([A-Z]+)\$[0-9]+"))),_xlfn.REGEXEXTRACT(CELL("address",'Raw Data'!F57),"\$([A-Z]+)\$[0-9]+"))</f>
        <v/>
      </c>
      <c r="G57" s="7" t="str">
        <f t="array" aca="1" ref="G57" ca="1">IFERROR(IF(OR('Raw Data'!G57="",LEN(TRIM('Raw Data'!G57))=0),"",IF(AND(LEN('Raw Data'!G57) &lt;= 50,LEN('Raw Data'!G57)&gt; 0),"",_xlfn.REGEXEXTRACT(CELL("address",'Raw Data'!G57),"\$([A-Z]+)\$[0-9]+"))),_xlfn.REGEXEXTRACT(CELL("address",'Raw Data'!G57),"\$([A-Z]+)\$[0-9]+"))</f>
        <v/>
      </c>
      <c r="H57" s="7" t="str">
        <f t="array" aca="1" ref="H57" ca="1">IFERROR(IF(OR('Raw Data'!H57="",LEN(TRIM('Raw Data'!H57))=0),"",IF(AND(LEN('Raw Data'!H57) &lt;= 50,LEN('Raw Data'!H57)&gt; 0),"",_xlfn.REGEXEXTRACT(CELL("address",'Raw Data'!H57),"\$([A-Z]+)\$[0-9]+"))),_xlfn.REGEXEXTRACT(CELL("address",'Raw Data'!H57),"\$([A-Z]+)\$[0-9]+"))</f>
        <v/>
      </c>
      <c r="I57" s="7" t="str">
        <f t="array" aca="1" ref="I57" ca="1">IFERROR(IF(OR('Raw Data'!I57="",LEN(TRIM('Raw Data'!I57))=0),"",IF(AND(LEN('Raw Data'!I57) &lt;= 50,LEN('Raw Data'!I57)&gt; 0),"",_xlfn.REGEXEXTRACT(CELL("address",'Raw Data'!I57),"\$([A-Z]+)\$[0-9]+"))),_xlfn.REGEXEXTRACT(CELL("address",'Raw Data'!I57),"\$([A-Z]+)\$[0-9]+"))</f>
        <v/>
      </c>
      <c r="J57" s="7" t="str">
        <f t="array" aca="1" ref="J57" ca="1">IFERROR(IF(OR('Raw Data'!J57="",LEN(TRIM('Raw Data'!J57))=0),"",IF(AND(ISNUMBER('Raw Data'!J57), IFERROR('Raw Data'!J57 = ROUND('Raw Data'!J57, 2),FALSE)),"",_xlfn.REGEXEXTRACT(CELL("address",J57), "\$([A-Z]+)\$[0-9]+"))),_xlfn.REGEXEXTRACT(CELL("address",J57), "\$([A-Z]+)\$[0-9]+"))</f>
        <v/>
      </c>
      <c r="K57" s="7" t="str">
        <f t="array" aca="1" ref="K57" ca="1">IFERROR(IF(OR('Raw Data'!K57="",LEN(TRIM('Raw Data'!K57))=0),"",IF(AND(ISNUMBER('Raw Data'!K57), IFERROR('Raw Data'!K57 = ROUND('Raw Data'!K57, 2),FALSE)),"",_xlfn.REGEXEXTRACT(CELL("address",K57), "\$([A-Z]+)\$[0-9]+"))),_xlfn.REGEXEXTRACT(CELL("address",K57), "\$([A-Z]+)\$[0-9]+"))</f>
        <v/>
      </c>
      <c r="L57" s="7" t="str">
        <f t="array" aca="1" ref="L57" ca="1">IFERROR(IF(OR('Raw Data'!L57="",LEN(TRIM('Raw Data'!L57))=0),"",IF(AND(ISNUMBER('Raw Data'!L57), IFERROR('Raw Data'!L57 = ROUND('Raw Data'!L57, 2),FALSE)),"",_xlfn.REGEXEXTRACT(CELL("address",L57), "\$([A-Z]+)\$[0-9]+"))),_xlfn.REGEXEXTRACT(CELL("address",L57), "\$([A-Z]+)\$[0-9]+"))</f>
        <v/>
      </c>
      <c r="M57" s="7" t="str">
        <f t="array" aca="1" ref="M57" ca="1">IFERROR(IF(OR('Raw Data'!M57="",LEN(TRIM('Raw Data'!M57))=0),"",IF(AND(ISNUMBER('Raw Data'!M57), IFERROR('Raw Data'!M57 = ROUND('Raw Data'!M57, 2),FALSE)),"",_xlfn.REGEXEXTRACT(CELL("address",M57), "\$([A-Z]+)\$[0-9]+"))),_xlfn.REGEXEXTRACT(CELL("address",M57), "\$([A-Z]+)\$[0-9]+"))</f>
        <v/>
      </c>
      <c r="N57" s="7" t="str">
        <f t="array" aca="1" ref="N57" ca="1">IFERROR(IF(OR('Raw Data'!N57="",LEN(TRIM('Raw Data'!N57))=0),"",IF(AND(ISNUMBER('Raw Data'!N57), IFERROR('Raw Data'!N57 = ROUND('Raw Data'!N57, 2),FALSE)),"",_xlfn.REGEXEXTRACT(CELL("address",N57), "\$([A-Z]+)\$[0-9]+"))),_xlfn.REGEXEXTRACT(CELL("address",N57), "\$([A-Z]+)\$[0-9]+"))</f>
        <v/>
      </c>
      <c r="O57" s="7" t="str">
        <f t="array" aca="1" ref="O57" ca="1">IFERROR(IF(OR('Raw Data'!O57="",LEN(TRIM('Raw Data'!O57))=0),"",IF(AND(ISNUMBER('Raw Data'!O57),'Raw Data'!O57&gt;=Configuration!$D$2),"",_xlfn.REGEXEXTRACT(CELL("address",'Raw Data'!O57),"\$([A-Z]+)\$[0-9]+"))),_xlfn.REGEXEXTRACT(CELL("address",O57), "\$([A-Z]+)\$[0-9]+"))</f>
        <v/>
      </c>
      <c r="P57" s="7" t="str">
        <f t="array" aca="1" ref="P57" ca="1">IFERROR(IF(OR('Raw Data'!P57="",LEN(TRIM('Raw Data'!P57))=0),"",IF(AND(ISNUMBER('Raw Data'!P57), IFERROR('Raw Data'!P57 = ROUND('Raw Data'!P57, 2),FALSE)),"",_xlfn.REGEXEXTRACT(CELL("address",P57), "\$([A-Z]+)\$[0-9]+"))),_xlfn.REGEXEXTRACT(CELL("address",P57), "\$([A-Z]+)\$[0-9]+"))</f>
        <v/>
      </c>
      <c r="Q57" s="7" t="str">
        <f t="array" aca="1" ref="Q57" ca="1">IFERROR(IF(OR('Raw Data'!Q57="",LEN(TRIM('Raw Data'!Q57))=0),"",IF(AND(ISNUMBER('Raw Data'!Q57), IFERROR('Raw Data'!Q57 = ROUND('Raw Data'!Q57, 2),FALSE)),"",_xlfn.REGEXEXTRACT(CELL("address",Q57), "\$([A-Z]+)\$[0-9]+"))),_xlfn.REGEXEXTRACT(CELL("address",Q57), "\$([A-Z]+)\$[0-9]+"))</f>
        <v/>
      </c>
      <c r="R57" s="7" t="str">
        <f t="array" aca="1" ref="R57" ca="1">IFERROR(IF(OR('Raw Data'!R57="",LEN(TRIM('Raw Data'!R57))=0),"",IF(AND(LEN('Raw Data'!R57) &lt;= 50,LEN('Raw Data'!R57)&gt; 0),"",_xlfn.REGEXEXTRACT(CELL("address",'Raw Data'!R57),"\$([A-Z]+)\$[0-9]+"))),_xlfn.REGEXEXTRACT(CELL("address",'Raw Data'!R57),"\$([A-Z]+)\$[0-9]+"))</f>
        <v/>
      </c>
      <c r="S57" s="7" t="str">
        <f t="array" aca="1" ref="S57" ca="1">IFERROR(IF(OR('Raw Data'!S57="",LEN(TRIM('Raw Data'!S57))=0),"",IF(AND(LEN('Raw Data'!S57) &lt;= 50,LEN('Raw Data'!S57)&gt; 0),"",_xlfn.REGEXEXTRACT(CELL("address",'Raw Data'!S57),"\$([A-Z]+)\$[0-9]+"))),_xlfn.REGEXEXTRACT(CELL("address",'Raw Data'!S57),"\$([A-Z]+)\$[0-9]+"))</f>
        <v/>
      </c>
      <c r="T57" s="7" t="str">
        <f t="array" aca="1" ref="T57" ca="1">IFERROR(IF(OR('Raw Data'!T57="",LEN(TRIM('Raw Data'!T57))=0),"",IF(AND(ISNUMBER('Raw Data'!T57), IFERROR('Raw Data'!T57 = ROUND('Raw Data'!T57, 2),FALSE)),"",_xlfn.REGEXEXTRACT(CELL("address",T57), "\$([A-Z]+)\$[0-9]+"))),_xlfn.REGEXEXTRACT(CELL("address",T57), "\$([A-Z]+)\$[0-9]+"))</f>
        <v/>
      </c>
      <c r="U57" s="7" t="str">
        <f t="array" aca="1" ref="U57" ca="1">IFERROR(IF(OR('Raw Data'!U57="",LEN(TRIM('Raw Data'!U57))=0),"",IF(AND(ISNUMBER('Raw Data'!U57), IFERROR('Raw Data'!U57 = ROUND('Raw Data'!U57, 2),FALSE)),"",_xlfn.REGEXEXTRACT(CELL("address",U57), "\$([A-Z]+)\$[0-9]+"))),_xlfn.REGEXEXTRACT(CELL("address",U57), "\$([A-Z]+)\$[0-9]+"))</f>
        <v/>
      </c>
      <c r="V57" s="7" t="str">
        <f t="array" aca="1" ref="V57" ca="1">IFERROR(IF(OR('Raw Data'!V57="",LEN(TRIM('Raw Data'!V57))=0),"",IF(AND(ISNUMBER('Raw Data'!V57), IFERROR('Raw Data'!V57 = ROUND('Raw Data'!V57, 2),FALSE)),"",_xlfn.REGEXEXTRACT(CELL("address",V57), "\$([A-Z]+)\$[0-9]+"))),_xlfn.REGEXEXTRACT(CELL("address",V57), "\$([A-Z]+)\$[0-9]+"))</f>
        <v/>
      </c>
      <c r="W57" s="7" t="str">
        <f t="array" aca="1" ref="W57" ca="1">IFERROR(IF(OR('Raw Data'!W57="",LEN(TRIM('Raw Data'!W57))=0),"",IF(AND(ISNUMBER('Raw Data'!W57), IFERROR('Raw Data'!W57 = ROUND('Raw Data'!W57, 2),FALSE)),"",_xlfn.REGEXEXTRACT(CELL("address",W57), "\$([A-Z]+)\$[0-9]+"))),_xlfn.REGEXEXTRACT(CELL("address",W57), "\$([A-Z]+)\$[0-9]+"))</f>
        <v/>
      </c>
      <c r="X57" s="7" t="str">
        <f t="array" aca="1" ref="X57" ca="1">IFERROR(IF(OR('Raw Data'!X57="",LEN(TRIM('Raw Data'!X57))=0),"",IF(AND(ISNUMBER('Raw Data'!X57), IFERROR('Raw Data'!X57 = ROUND('Raw Data'!X57, 2),FALSE)),"",_xlfn.REGEXEXTRACT(CELL("address",X57), "\$([A-Z]+)\$[0-9]+"))),_xlfn.REGEXEXTRACT(CELL("address",X57), "\$([A-Z]+)\$[0-9]+"))</f>
        <v/>
      </c>
      <c r="Y57" s="7" t="str">
        <f t="array" aca="1" ref="Y57" ca="1">IFERROR(IF(OR('Raw Data'!Y57="",LEN(TRIM('Raw Data'!Y57))=0),"",IF(AND(ISNUMBER('Raw Data'!Y57), IFERROR('Raw Data'!Y57 = ROUND('Raw Data'!Y57, 2),FALSE)),"",_xlfn.REGEXEXTRACT(CELL("address",Y57), "\$([A-Z]+)\$[0-9]+"))),_xlfn.REGEXEXTRACT(CELL("address",Y57), "\$([A-Z]+)\$[0-9]+"))</f>
        <v/>
      </c>
      <c r="Z57" s="7" t="str">
        <f t="array" aca="1" ref="Z57" ca="1">IFERROR(IF(OR('Raw Data'!Z57="",LEN(TRIM('Raw Data'!Z57))=0),"",IF(AND(ISNUMBER('Raw Data'!Z57), IFERROR('Raw Data'!Z57 = ROUND('Raw Data'!Z57, 2),FALSE)),"",_xlfn.REGEXEXTRACT(CELL("address",Z57), "\$([A-Z]+)\$[0-9]+"))),_xlfn.REGEXEXTRACT(CELL("address",Z57), "\$([A-Z]+)\$[0-9]+"))</f>
        <v/>
      </c>
      <c r="AA57" s="7" t="str">
        <f t="array" aca="1" ref="AA57" ca="1">IFERROR(IF(OR('Raw Data'!AA57="",LEN(TRIM('Raw Data'!AA57))=0),"",IF(AND(ISNUMBER('Raw Data'!AA57), IFERROR('Raw Data'!AA57 = ROUND('Raw Data'!AA57, 2),FALSE)),"",_xlfn.REGEXEXTRACT(CELL("address",AA57), "\$([A-Z]+)\$[0-9]+"))),_xlfn.REGEXEXTRACT(CELL("address",AA57), "\$([A-Z]+)\$[0-9]+"))</f>
        <v/>
      </c>
      <c r="AB57" s="7" t="str">
        <f t="array" aca="1" ref="AB57" ca="1">IFERROR(IF(OR('Raw Data'!AB57="",LEN(TRIM('Raw Data'!AB57))=0),"",IF(AND(ISNUMBER('Raw Data'!AB57), IFERROR('Raw Data'!AB57 = ROUND('Raw Data'!AB57, 2),FALSE)),"",_xlfn.REGEXEXTRACT(CELL("address",AB57), "\$([A-Z]+)\$[0-9]+"))),_xlfn.REGEXEXTRACT(CELL("address",AB57), "\$([A-Z]+)\$[0-9]+"))</f>
        <v/>
      </c>
      <c r="AC57" s="7" t="str">
        <f t="array" aca="1" ref="AC57" ca="1">IFERROR(IF(OR('Raw Data'!AC57="",LEN(TRIM('Raw Data'!AC57))=0),"",IF(AND(ISNUMBER('Raw Data'!AC57), IFERROR('Raw Data'!AC57 = ROUND('Raw Data'!AC57, 2),FALSE)),"",_xlfn.REGEXEXTRACT(CELL("address",AC57), "\$([A-Z]+)\$[0-9]+"))),_xlfn.REGEXEXTRACT(CELL("address",AC57), "\$([A-Z]+)\$[0-9]+"))</f>
        <v/>
      </c>
      <c r="AD57" s="7" t="str">
        <f t="array" aca="1" ref="AD57" ca="1">IFERROR(IF(OR('Raw Data'!AD57="",LEN(TRIM('Raw Data'!AD57))=0),"",IF(AND(ISNUMBER('Raw Data'!AD57), IFERROR('Raw Data'!AD57 = ROUND('Raw Data'!AD57, 2),FALSE)),"",_xlfn.REGEXEXTRACT(CELL("address",AD57), "\$([A-Z]+)\$[0-9]+"))),_xlfn.REGEXEXTRACT(CELL("address",AD57), "\$([A-Z]+)\$[0-9]+"))</f>
        <v/>
      </c>
      <c r="AE57" s="7" t="str">
        <f t="array" aca="1" ref="AE57" ca="1">IFERROR(IF(OR('Raw Data'!AE57="",LEN(TRIM('Raw Data'!AE57))=0),"",IF(AND(ISNUMBER('Raw Data'!AE57), IFERROR('Raw Data'!AE57 = ROUND('Raw Data'!AE57, 2),FALSE)),"",_xlfn.REGEXEXTRACT(CELL("address",AE57), "\$([A-Z]+)\$[0-9]+"))),_xlfn.REGEXEXTRACT(CELL("address",AE57), "\$([A-Z]+)\$[0-9]+"))</f>
        <v/>
      </c>
      <c r="AF57" s="7" t="str">
        <f t="array" aca="1" ref="AF57" ca="1">IFERROR(IF(OR('Raw Data'!AF57="",LEN(TRIM('Raw Data'!AF57))=0),"",IF(AND(ISNUMBER('Raw Data'!AF57), IFERROR('Raw Data'!AF57 = ROUND('Raw Data'!AF57, 2),FALSE)),"",_xlfn.REGEXEXTRACT(CELL("address",AF57), "\$([A-Z]+)\$[0-9]+"))),_xlfn.REGEXEXTRACT(CELL("address",AF57), "\$([A-Z]+)\$[0-9]+"))</f>
        <v/>
      </c>
      <c r="AG57" s="7" t="str">
        <f t="array" aca="1" ref="AG57" ca="1">IFERROR(IF(OR('Raw Data'!AG57="",LEN(TRIM('Raw Data'!AG57))=0),"",IF(AND(ISNUMBER('Raw Data'!AG57), IFERROR('Raw Data'!AG57 = ROUND('Raw Data'!AG57, 2),FALSE)),"",_xlfn.REGEXEXTRACT(CELL("address",AG57), "\$([A-Z]+)\$[0-9]+"))),_xlfn.REGEXEXTRACT(CELL("address",AG57), "\$([A-Z]+)\$[0-9]+"))</f>
        <v/>
      </c>
      <c r="AH57" s="7" t="str">
        <f t="array" aca="1" ref="AH57" ca="1">IFERROR(IF(OR('Raw Data'!AH57="",LEN(TRIM('Raw Data'!AH57))=0),"",IF(AND(ISNUMBER('Raw Data'!AH57), IFERROR('Raw Data'!AH57 = ROUND('Raw Data'!AH57, 2),FALSE)),"",_xlfn.REGEXEXTRACT(CELL("address",AH57), "\$([A-Z]+)\$[0-9]+"))),_xlfn.REGEXEXTRACT(CELL("address",AH57), "\$([A-Z]+)\$[0-9]+"))</f>
        <v/>
      </c>
      <c r="AI57" s="7" t="str">
        <f t="array" aca="1" ref="AI57" ca="1">IFERROR(IF(OR('Raw Data'!AI57="",LEN(TRIM('Raw Data'!AI57))=0),"",IF(AND(ISNUMBER('Raw Data'!AI57), IFERROR('Raw Data'!AI57 = ROUND('Raw Data'!AI57, 2),FALSE)),"",_xlfn.REGEXEXTRACT(CELL("address",AI57), "\$([A-Z]+)\$[0-9]+"))),_xlfn.REGEXEXTRACT(CELL("address",AI57), "\$([A-Z]+)\$[0-9]+"))</f>
        <v/>
      </c>
      <c r="AJ57" s="7" t="str">
        <f t="array" aca="1" ref="AJ57" ca="1">IFERROR(IF(OR('Raw Data'!AJ57="",LEN(TRIM('Raw Data'!AJ57))=0),"",IF(AND(ISNUMBER('Raw Data'!AJ57), IFERROR('Raw Data'!AJ57 = ROUND('Raw Data'!AJ57, 4),FALSE)),"",_xlfn.REGEXEXTRACT(CELL("address",AJ57), "\$([A-Z]+)\$[0-9]+"))),_xlfn.REGEXEXTRACT(CELL("address",AJ57), "\$([A-Z]+)\$[0-9]+"))</f>
        <v/>
      </c>
      <c r="AK57" s="7" t="str">
        <f t="array" aca="1" ref="AK57" ca="1">IFERROR(IF(OR('Raw Data'!AK57="",LEN(TRIM('Raw Data'!AK57))=0),"",IF(AND(ISNUMBER('Raw Data'!AK57), IFERROR('Raw Data'!AK57 = ROUND('Raw Data'!AK57, 2),FALSE)),"",_xlfn.REGEXEXTRACT(CELL("address",AK57), "\$([A-Z]+)\$[0-9]+"))),_xlfn.REGEXEXTRACT(CELL("address",AK57), "\$([A-Z]+)\$[0-9]+"))</f>
        <v/>
      </c>
      <c r="AL57" s="7" t="str">
        <f t="array" aca="1" ref="AL57" ca="1">IFERROR(IF(OR('Raw Data'!AL57="",LEN(TRIM('Raw Data'!AL57))=0),"",IF(AND(ISNUMBER('Raw Data'!AL57), IFERROR('Raw Data'!AL57 = ROUND('Raw Data'!AL57, 2),FALSE)),"",_xlfn.REGEXEXTRACT(CELL("address",AL57), "\$([A-Z]+)\$[0-9]+"))),_xlfn.REGEXEXTRACT(CELL("address",AL57), "\$([A-Z]+)\$[0-9]+"))</f>
        <v/>
      </c>
      <c r="AM57" s="7" t="str">
        <f t="array" aca="1" ref="AM57" ca="1">IFERROR(IF(OR('Raw Data'!AM57="",LEN(TRIM('Raw Data'!AM57))=0),"",IF(AND(ISNUMBER('Raw Data'!AM57), IFERROR('Raw Data'!AM57 = ROUND('Raw Data'!AM57, 2),FALSE)),"",_xlfn.REGEXEXTRACT(CELL("address",AM57), "\$([A-Z]+)\$[0-9]+"))),_xlfn.REGEXEXTRACT(CELL("address",AM57), "\$([A-Z]+)\$[0-9]+"))</f>
        <v/>
      </c>
      <c r="AN57" s="7" t="str">
        <f t="array" aca="1" ref="AN57" ca="1">IFERROR(IF(OR('Raw Data'!AN57="",LEN(TRIM('Raw Data'!AN57))=0),"",IF(AND(ISNUMBER('Raw Data'!AN57), IFERROR('Raw Data'!AN57 = ROUND('Raw Data'!AN57, 2),FALSE)),"",_xlfn.REGEXEXTRACT(CELL("address",AN57), "\$([A-Z]+)\$[0-9]+"))),_xlfn.REGEXEXTRACT(CELL("address",AN57), "\$([A-Z]+)\$[0-9]+"))</f>
        <v/>
      </c>
      <c r="AO57" s="7" t="str">
        <f t="array" aca="1" ref="AO57" ca="1">IFERROR(IF(OR('Raw Data'!AO57="",LEN(TRIM('Raw Data'!AO57))=0),"",IF(AND(ISNUMBER('Raw Data'!AO57), IFERROR('Raw Data'!AO57 = ROUND('Raw Data'!AO57, 2),FALSE)),"",_xlfn.REGEXEXTRACT(CELL("address",AO57), "\$([A-Z]+)\$[0-9]+"))),_xlfn.REGEXEXTRACT(CELL("address",AO57), "\$([A-Z]+)\$[0-9]+"))</f>
        <v/>
      </c>
      <c r="AP57" s="7" t="str">
        <f t="array" aca="1" ref="AP57" ca="1">IFERROR(IF(OR('Raw Data'!AP57="",LEN(TRIM('Raw Data'!AP57))=0),"",IF(AND(ISNUMBER('Raw Data'!AP57), IFERROR('Raw Data'!AP57 = ROUND('Raw Data'!AP57, 2),FALSE)),"",_xlfn.REGEXEXTRACT(CELL("address",AP57), "\$([A-Z]+)\$[0-9]+"))),_xlfn.REGEXEXTRACT(CELL("address",AP57), "\$([A-Z]+)\$[0-9]+"))</f>
        <v/>
      </c>
    </row>
    <row r="58" spans="2:42" x14ac:dyDescent="0.25">
      <c r="B58" s="7" t="str">
        <f t="array" aca="1" ref="B58" ca="1">IFERROR(IF(OR('Raw Data'!B58="",LEN(TRIM('Raw Data'!B58))=0),"",IF(AND(LEN('Raw Data'!B58) &lt;= 255,LEN('Raw Data'!B58)&gt; 0),"",_xlfn.REGEXEXTRACT(CELL("address",'Raw Data'!B58),"\$([A-Z]+)\$[0-9]+"))),_xlfn.REGEXEXTRACT(CELL("address",'Raw Data'!B58),"\$([A-Z]+)\$[0-9]+"))</f>
        <v/>
      </c>
      <c r="C58" s="7" t="str">
        <f t="array" aca="1" ref="C58" ca="1">IFERROR(IF(OR('Raw Data'!C58="",LEN(TRIM('Raw Data'!C58))=0),"",IF(AND(LEN('Raw Data'!C58) &lt;= 50,LEN('Raw Data'!C58)&gt; 0),"",_xlfn.REGEXEXTRACT(CELL("address",'Raw Data'!C58),"\$([A-Z]+)\$[0-9]+"))),_xlfn.REGEXEXTRACT(CELL("address",'Raw Data'!C58),"\$([A-Z]+)\$[0-9]+"))</f>
        <v/>
      </c>
      <c r="D58" s="7" t="str">
        <f t="array" aca="1" ref="D58" ca="1">IFERROR(IF(OR('Raw Data'!D58="",LEN(TRIM('Raw Data'!D58))=0),"",IF(AND(LEN('Raw Data'!D58) &lt;= 500,LEN('Raw Data'!D58)&gt; 0),"",_xlfn.REGEXEXTRACT(CELL("address",'Raw Data'!D58),"\$([A-Z]+)\$[0-9]+"))),_xlfn.REGEXEXTRACT(CELL("address",'Raw Data'!D58),"\$([A-Z]+)\$[0-9]+"))</f>
        <v/>
      </c>
      <c r="E58" s="7" t="str">
        <f t="array" aca="1" ref="E58" ca="1">IFERROR(IF(OR('Raw Data'!E58="",LEN(TRIM('Raw Data'!E58))=0),"",IF(AND(LEN('Raw Data'!E58) &lt;= 50,LEN('Raw Data'!E58)&gt; 0),"",_xlfn.REGEXEXTRACT(CELL("address",'Raw Data'!E58),"\$([A-Z]+)\$[0-9]+"))),_xlfn.REGEXEXTRACT(CELL("address",'Raw Data'!E58),"\$([A-Z]+)\$[0-9]+"))</f>
        <v/>
      </c>
      <c r="F58" s="7" t="str">
        <f t="array" aca="1" ref="F58" ca="1">IFERROR(IF(OR('Raw Data'!F58="",LEN(TRIM('Raw Data'!F58))=0),"",IF(AND(LEN('Raw Data'!F58) &lt;= 50,LEN('Raw Data'!F58)&gt; 0),"",_xlfn.REGEXEXTRACT(CELL("address",'Raw Data'!F58),"\$([A-Z]+)\$[0-9]+"))),_xlfn.REGEXEXTRACT(CELL("address",'Raw Data'!F58),"\$([A-Z]+)\$[0-9]+"))</f>
        <v/>
      </c>
      <c r="G58" s="7" t="str">
        <f t="array" aca="1" ref="G58" ca="1">IFERROR(IF(OR('Raw Data'!G58="",LEN(TRIM('Raw Data'!G58))=0),"",IF(AND(LEN('Raw Data'!G58) &lt;= 50,LEN('Raw Data'!G58)&gt; 0),"",_xlfn.REGEXEXTRACT(CELL("address",'Raw Data'!G58),"\$([A-Z]+)\$[0-9]+"))),_xlfn.REGEXEXTRACT(CELL("address",'Raw Data'!G58),"\$([A-Z]+)\$[0-9]+"))</f>
        <v/>
      </c>
      <c r="H58" s="7" t="str">
        <f t="array" aca="1" ref="H58" ca="1">IFERROR(IF(OR('Raw Data'!H58="",LEN(TRIM('Raw Data'!H58))=0),"",IF(AND(LEN('Raw Data'!H58) &lt;= 50,LEN('Raw Data'!H58)&gt; 0),"",_xlfn.REGEXEXTRACT(CELL("address",'Raw Data'!H58),"\$([A-Z]+)\$[0-9]+"))),_xlfn.REGEXEXTRACT(CELL("address",'Raw Data'!H58),"\$([A-Z]+)\$[0-9]+"))</f>
        <v/>
      </c>
      <c r="I58" s="7" t="str">
        <f t="array" aca="1" ref="I58" ca="1">IFERROR(IF(OR('Raw Data'!I58="",LEN(TRIM('Raw Data'!I58))=0),"",IF(AND(LEN('Raw Data'!I58) &lt;= 50,LEN('Raw Data'!I58)&gt; 0),"",_xlfn.REGEXEXTRACT(CELL("address",'Raw Data'!I58),"\$([A-Z]+)\$[0-9]+"))),_xlfn.REGEXEXTRACT(CELL("address",'Raw Data'!I58),"\$([A-Z]+)\$[0-9]+"))</f>
        <v/>
      </c>
      <c r="J58" s="7" t="str">
        <f t="array" aca="1" ref="J58" ca="1">IFERROR(IF(OR('Raw Data'!J58="",LEN(TRIM('Raw Data'!J58))=0),"",IF(AND(ISNUMBER('Raw Data'!J58), IFERROR('Raw Data'!J58 = ROUND('Raw Data'!J58, 2),FALSE)),"",_xlfn.REGEXEXTRACT(CELL("address",J58), "\$([A-Z]+)\$[0-9]+"))),_xlfn.REGEXEXTRACT(CELL("address",J58), "\$([A-Z]+)\$[0-9]+"))</f>
        <v/>
      </c>
      <c r="K58" s="7" t="str">
        <f t="array" aca="1" ref="K58" ca="1">IFERROR(IF(OR('Raw Data'!K58="",LEN(TRIM('Raw Data'!K58))=0),"",IF(AND(ISNUMBER('Raw Data'!K58), IFERROR('Raw Data'!K58 = ROUND('Raw Data'!K58, 2),FALSE)),"",_xlfn.REGEXEXTRACT(CELL("address",K58), "\$([A-Z]+)\$[0-9]+"))),_xlfn.REGEXEXTRACT(CELL("address",K58), "\$([A-Z]+)\$[0-9]+"))</f>
        <v/>
      </c>
      <c r="L58" s="7" t="str">
        <f t="array" aca="1" ref="L58" ca="1">IFERROR(IF(OR('Raw Data'!L58="",LEN(TRIM('Raw Data'!L58))=0),"",IF(AND(ISNUMBER('Raw Data'!L58), IFERROR('Raw Data'!L58 = ROUND('Raw Data'!L58, 2),FALSE)),"",_xlfn.REGEXEXTRACT(CELL("address",L58), "\$([A-Z]+)\$[0-9]+"))),_xlfn.REGEXEXTRACT(CELL("address",L58), "\$([A-Z]+)\$[0-9]+"))</f>
        <v/>
      </c>
      <c r="M58" s="7" t="str">
        <f t="array" aca="1" ref="M58" ca="1">IFERROR(IF(OR('Raw Data'!M58="",LEN(TRIM('Raw Data'!M58))=0),"",IF(AND(ISNUMBER('Raw Data'!M58), IFERROR('Raw Data'!M58 = ROUND('Raw Data'!M58, 2),FALSE)),"",_xlfn.REGEXEXTRACT(CELL("address",M58), "\$([A-Z]+)\$[0-9]+"))),_xlfn.REGEXEXTRACT(CELL("address",M58), "\$([A-Z]+)\$[0-9]+"))</f>
        <v/>
      </c>
      <c r="N58" s="7" t="str">
        <f t="array" aca="1" ref="N58" ca="1">IFERROR(IF(OR('Raw Data'!N58="",LEN(TRIM('Raw Data'!N58))=0),"",IF(AND(ISNUMBER('Raw Data'!N58), IFERROR('Raw Data'!N58 = ROUND('Raw Data'!N58, 2),FALSE)),"",_xlfn.REGEXEXTRACT(CELL("address",N58), "\$([A-Z]+)\$[0-9]+"))),_xlfn.REGEXEXTRACT(CELL("address",N58), "\$([A-Z]+)\$[0-9]+"))</f>
        <v/>
      </c>
      <c r="O58" s="7" t="str">
        <f t="array" aca="1" ref="O58" ca="1">IFERROR(IF(OR('Raw Data'!O58="",LEN(TRIM('Raw Data'!O58))=0),"",IF(AND(ISNUMBER('Raw Data'!O58),'Raw Data'!O58&gt;=Configuration!$D$2),"",_xlfn.REGEXEXTRACT(CELL("address",'Raw Data'!O58),"\$([A-Z]+)\$[0-9]+"))),_xlfn.REGEXEXTRACT(CELL("address",O58), "\$([A-Z]+)\$[0-9]+"))</f>
        <v/>
      </c>
      <c r="P58" s="7" t="str">
        <f t="array" aca="1" ref="P58" ca="1">IFERROR(IF(OR('Raw Data'!P58="",LEN(TRIM('Raw Data'!P58))=0),"",IF(AND(ISNUMBER('Raw Data'!P58), IFERROR('Raw Data'!P58 = ROUND('Raw Data'!P58, 2),FALSE)),"",_xlfn.REGEXEXTRACT(CELL("address",P58), "\$([A-Z]+)\$[0-9]+"))),_xlfn.REGEXEXTRACT(CELL("address",P58), "\$([A-Z]+)\$[0-9]+"))</f>
        <v/>
      </c>
      <c r="Q58" s="7" t="str">
        <f t="array" aca="1" ref="Q58" ca="1">IFERROR(IF(OR('Raw Data'!Q58="",LEN(TRIM('Raw Data'!Q58))=0),"",IF(AND(ISNUMBER('Raw Data'!Q58), IFERROR('Raw Data'!Q58 = ROUND('Raw Data'!Q58, 2),FALSE)),"",_xlfn.REGEXEXTRACT(CELL("address",Q58), "\$([A-Z]+)\$[0-9]+"))),_xlfn.REGEXEXTRACT(CELL("address",Q58), "\$([A-Z]+)\$[0-9]+"))</f>
        <v/>
      </c>
      <c r="R58" s="7" t="str">
        <f t="array" aca="1" ref="R58" ca="1">IFERROR(IF(OR('Raw Data'!R58="",LEN(TRIM('Raw Data'!R58))=0),"",IF(AND(LEN('Raw Data'!R58) &lt;= 50,LEN('Raw Data'!R58)&gt; 0),"",_xlfn.REGEXEXTRACT(CELL("address",'Raw Data'!R58),"\$([A-Z]+)\$[0-9]+"))),_xlfn.REGEXEXTRACT(CELL("address",'Raw Data'!R58),"\$([A-Z]+)\$[0-9]+"))</f>
        <v/>
      </c>
      <c r="S58" s="7" t="str">
        <f t="array" aca="1" ref="S58" ca="1">IFERROR(IF(OR('Raw Data'!S58="",LEN(TRIM('Raw Data'!S58))=0),"",IF(AND(LEN('Raw Data'!S58) &lt;= 50,LEN('Raw Data'!S58)&gt; 0),"",_xlfn.REGEXEXTRACT(CELL("address",'Raw Data'!S58),"\$([A-Z]+)\$[0-9]+"))),_xlfn.REGEXEXTRACT(CELL("address",'Raw Data'!S58),"\$([A-Z]+)\$[0-9]+"))</f>
        <v/>
      </c>
      <c r="T58" s="7" t="str">
        <f t="array" aca="1" ref="T58" ca="1">IFERROR(IF(OR('Raw Data'!T58="",LEN(TRIM('Raw Data'!T58))=0),"",IF(AND(ISNUMBER('Raw Data'!T58), IFERROR('Raw Data'!T58 = ROUND('Raw Data'!T58, 2),FALSE)),"",_xlfn.REGEXEXTRACT(CELL("address",T58), "\$([A-Z]+)\$[0-9]+"))),_xlfn.REGEXEXTRACT(CELL("address",T58), "\$([A-Z]+)\$[0-9]+"))</f>
        <v/>
      </c>
      <c r="U58" s="7" t="str">
        <f t="array" aca="1" ref="U58" ca="1">IFERROR(IF(OR('Raw Data'!U58="",LEN(TRIM('Raw Data'!U58))=0),"",IF(AND(ISNUMBER('Raw Data'!U58), IFERROR('Raw Data'!U58 = ROUND('Raw Data'!U58, 2),FALSE)),"",_xlfn.REGEXEXTRACT(CELL("address",U58), "\$([A-Z]+)\$[0-9]+"))),_xlfn.REGEXEXTRACT(CELL("address",U58), "\$([A-Z]+)\$[0-9]+"))</f>
        <v/>
      </c>
      <c r="V58" s="7" t="str">
        <f t="array" aca="1" ref="V58" ca="1">IFERROR(IF(OR('Raw Data'!V58="",LEN(TRIM('Raw Data'!V58))=0),"",IF(AND(ISNUMBER('Raw Data'!V58), IFERROR('Raw Data'!V58 = ROUND('Raw Data'!V58, 2),FALSE)),"",_xlfn.REGEXEXTRACT(CELL("address",V58), "\$([A-Z]+)\$[0-9]+"))),_xlfn.REGEXEXTRACT(CELL("address",V58), "\$([A-Z]+)\$[0-9]+"))</f>
        <v/>
      </c>
      <c r="W58" s="7" t="str">
        <f t="array" aca="1" ref="W58" ca="1">IFERROR(IF(OR('Raw Data'!W58="",LEN(TRIM('Raw Data'!W58))=0),"",IF(AND(ISNUMBER('Raw Data'!W58), IFERROR('Raw Data'!W58 = ROUND('Raw Data'!W58, 2),FALSE)),"",_xlfn.REGEXEXTRACT(CELL("address",W58), "\$([A-Z]+)\$[0-9]+"))),_xlfn.REGEXEXTRACT(CELL("address",W58), "\$([A-Z]+)\$[0-9]+"))</f>
        <v/>
      </c>
      <c r="X58" s="7" t="str">
        <f t="array" aca="1" ref="X58" ca="1">IFERROR(IF(OR('Raw Data'!X58="",LEN(TRIM('Raw Data'!X58))=0),"",IF(AND(ISNUMBER('Raw Data'!X58), IFERROR('Raw Data'!X58 = ROUND('Raw Data'!X58, 2),FALSE)),"",_xlfn.REGEXEXTRACT(CELL("address",X58), "\$([A-Z]+)\$[0-9]+"))),_xlfn.REGEXEXTRACT(CELL("address",X58), "\$([A-Z]+)\$[0-9]+"))</f>
        <v/>
      </c>
      <c r="Y58" s="7" t="str">
        <f t="array" aca="1" ref="Y58" ca="1">IFERROR(IF(OR('Raw Data'!Y58="",LEN(TRIM('Raw Data'!Y58))=0),"",IF(AND(ISNUMBER('Raw Data'!Y58), IFERROR('Raw Data'!Y58 = ROUND('Raw Data'!Y58, 2),FALSE)),"",_xlfn.REGEXEXTRACT(CELL("address",Y58), "\$([A-Z]+)\$[0-9]+"))),_xlfn.REGEXEXTRACT(CELL("address",Y58), "\$([A-Z]+)\$[0-9]+"))</f>
        <v/>
      </c>
      <c r="Z58" s="7" t="str">
        <f t="array" aca="1" ref="Z58" ca="1">IFERROR(IF(OR('Raw Data'!Z58="",LEN(TRIM('Raw Data'!Z58))=0),"",IF(AND(ISNUMBER('Raw Data'!Z58), IFERROR('Raw Data'!Z58 = ROUND('Raw Data'!Z58, 2),FALSE)),"",_xlfn.REGEXEXTRACT(CELL("address",Z58), "\$([A-Z]+)\$[0-9]+"))),_xlfn.REGEXEXTRACT(CELL("address",Z58), "\$([A-Z]+)\$[0-9]+"))</f>
        <v/>
      </c>
      <c r="AA58" s="7" t="str">
        <f t="array" aca="1" ref="AA58" ca="1">IFERROR(IF(OR('Raw Data'!AA58="",LEN(TRIM('Raw Data'!AA58))=0),"",IF(AND(ISNUMBER('Raw Data'!AA58), IFERROR('Raw Data'!AA58 = ROUND('Raw Data'!AA58, 2),FALSE)),"",_xlfn.REGEXEXTRACT(CELL("address",AA58), "\$([A-Z]+)\$[0-9]+"))),_xlfn.REGEXEXTRACT(CELL("address",AA58), "\$([A-Z]+)\$[0-9]+"))</f>
        <v/>
      </c>
      <c r="AB58" s="7" t="str">
        <f t="array" aca="1" ref="AB58" ca="1">IFERROR(IF(OR('Raw Data'!AB58="",LEN(TRIM('Raw Data'!AB58))=0),"",IF(AND(ISNUMBER('Raw Data'!AB58), IFERROR('Raw Data'!AB58 = ROUND('Raw Data'!AB58, 2),FALSE)),"",_xlfn.REGEXEXTRACT(CELL("address",AB58), "\$([A-Z]+)\$[0-9]+"))),_xlfn.REGEXEXTRACT(CELL("address",AB58), "\$([A-Z]+)\$[0-9]+"))</f>
        <v/>
      </c>
      <c r="AC58" s="7" t="str">
        <f t="array" aca="1" ref="AC58" ca="1">IFERROR(IF(OR('Raw Data'!AC58="",LEN(TRIM('Raw Data'!AC58))=0),"",IF(AND(ISNUMBER('Raw Data'!AC58), IFERROR('Raw Data'!AC58 = ROUND('Raw Data'!AC58, 2),FALSE)),"",_xlfn.REGEXEXTRACT(CELL("address",AC58), "\$([A-Z]+)\$[0-9]+"))),_xlfn.REGEXEXTRACT(CELL("address",AC58), "\$([A-Z]+)\$[0-9]+"))</f>
        <v/>
      </c>
      <c r="AD58" s="7" t="str">
        <f t="array" aca="1" ref="AD58" ca="1">IFERROR(IF(OR('Raw Data'!AD58="",LEN(TRIM('Raw Data'!AD58))=0),"",IF(AND(ISNUMBER('Raw Data'!AD58), IFERROR('Raw Data'!AD58 = ROUND('Raw Data'!AD58, 2),FALSE)),"",_xlfn.REGEXEXTRACT(CELL("address",AD58), "\$([A-Z]+)\$[0-9]+"))),_xlfn.REGEXEXTRACT(CELL("address",AD58), "\$([A-Z]+)\$[0-9]+"))</f>
        <v/>
      </c>
      <c r="AE58" s="7" t="str">
        <f t="array" aca="1" ref="AE58" ca="1">IFERROR(IF(OR('Raw Data'!AE58="",LEN(TRIM('Raw Data'!AE58))=0),"",IF(AND(ISNUMBER('Raw Data'!AE58), IFERROR('Raw Data'!AE58 = ROUND('Raw Data'!AE58, 2),FALSE)),"",_xlfn.REGEXEXTRACT(CELL("address",AE58), "\$([A-Z]+)\$[0-9]+"))),_xlfn.REGEXEXTRACT(CELL("address",AE58), "\$([A-Z]+)\$[0-9]+"))</f>
        <v/>
      </c>
      <c r="AF58" s="7" t="str">
        <f t="array" aca="1" ref="AF58" ca="1">IFERROR(IF(OR('Raw Data'!AF58="",LEN(TRIM('Raw Data'!AF58))=0),"",IF(AND(ISNUMBER('Raw Data'!AF58), IFERROR('Raw Data'!AF58 = ROUND('Raw Data'!AF58, 2),FALSE)),"",_xlfn.REGEXEXTRACT(CELL("address",AF58), "\$([A-Z]+)\$[0-9]+"))),_xlfn.REGEXEXTRACT(CELL("address",AF58), "\$([A-Z]+)\$[0-9]+"))</f>
        <v/>
      </c>
      <c r="AG58" s="7" t="str">
        <f t="array" aca="1" ref="AG58" ca="1">IFERROR(IF(OR('Raw Data'!AG58="",LEN(TRIM('Raw Data'!AG58))=0),"",IF(AND(ISNUMBER('Raw Data'!AG58), IFERROR('Raw Data'!AG58 = ROUND('Raw Data'!AG58, 2),FALSE)),"",_xlfn.REGEXEXTRACT(CELL("address",AG58), "\$([A-Z]+)\$[0-9]+"))),_xlfn.REGEXEXTRACT(CELL("address",AG58), "\$([A-Z]+)\$[0-9]+"))</f>
        <v/>
      </c>
      <c r="AH58" s="7" t="str">
        <f t="array" aca="1" ref="AH58" ca="1">IFERROR(IF(OR('Raw Data'!AH58="",LEN(TRIM('Raw Data'!AH58))=0),"",IF(AND(ISNUMBER('Raw Data'!AH58), IFERROR('Raw Data'!AH58 = ROUND('Raw Data'!AH58, 2),FALSE)),"",_xlfn.REGEXEXTRACT(CELL("address",AH58), "\$([A-Z]+)\$[0-9]+"))),_xlfn.REGEXEXTRACT(CELL("address",AH58), "\$([A-Z]+)\$[0-9]+"))</f>
        <v/>
      </c>
      <c r="AI58" s="7" t="str">
        <f t="array" aca="1" ref="AI58" ca="1">IFERROR(IF(OR('Raw Data'!AI58="",LEN(TRIM('Raw Data'!AI58))=0),"",IF(AND(ISNUMBER('Raw Data'!AI58), IFERROR('Raw Data'!AI58 = ROUND('Raw Data'!AI58, 2),FALSE)),"",_xlfn.REGEXEXTRACT(CELL("address",AI58), "\$([A-Z]+)\$[0-9]+"))),_xlfn.REGEXEXTRACT(CELL("address",AI58), "\$([A-Z]+)\$[0-9]+"))</f>
        <v/>
      </c>
      <c r="AJ58" s="7" t="str">
        <f t="array" aca="1" ref="AJ58" ca="1">IFERROR(IF(OR('Raw Data'!AJ58="",LEN(TRIM('Raw Data'!AJ58))=0),"",IF(AND(ISNUMBER('Raw Data'!AJ58), IFERROR('Raw Data'!AJ58 = ROUND('Raw Data'!AJ58, 4),FALSE)),"",_xlfn.REGEXEXTRACT(CELL("address",AJ58), "\$([A-Z]+)\$[0-9]+"))),_xlfn.REGEXEXTRACT(CELL("address",AJ58), "\$([A-Z]+)\$[0-9]+"))</f>
        <v/>
      </c>
      <c r="AK58" s="7" t="str">
        <f t="array" aca="1" ref="AK58" ca="1">IFERROR(IF(OR('Raw Data'!AK58="",LEN(TRIM('Raw Data'!AK58))=0),"",IF(AND(ISNUMBER('Raw Data'!AK58), IFERROR('Raw Data'!AK58 = ROUND('Raw Data'!AK58, 2),FALSE)),"",_xlfn.REGEXEXTRACT(CELL("address",AK58), "\$([A-Z]+)\$[0-9]+"))),_xlfn.REGEXEXTRACT(CELL("address",AK58), "\$([A-Z]+)\$[0-9]+"))</f>
        <v/>
      </c>
      <c r="AL58" s="7" t="str">
        <f t="array" aca="1" ref="AL58" ca="1">IFERROR(IF(OR('Raw Data'!AL58="",LEN(TRIM('Raw Data'!AL58))=0),"",IF(AND(ISNUMBER('Raw Data'!AL58), IFERROR('Raw Data'!AL58 = ROUND('Raw Data'!AL58, 2),FALSE)),"",_xlfn.REGEXEXTRACT(CELL("address",AL58), "\$([A-Z]+)\$[0-9]+"))),_xlfn.REGEXEXTRACT(CELL("address",AL58), "\$([A-Z]+)\$[0-9]+"))</f>
        <v/>
      </c>
      <c r="AM58" s="7" t="str">
        <f t="array" aca="1" ref="AM58" ca="1">IFERROR(IF(OR('Raw Data'!AM58="",LEN(TRIM('Raw Data'!AM58))=0),"",IF(AND(ISNUMBER('Raw Data'!AM58), IFERROR('Raw Data'!AM58 = ROUND('Raw Data'!AM58, 2),FALSE)),"",_xlfn.REGEXEXTRACT(CELL("address",AM58), "\$([A-Z]+)\$[0-9]+"))),_xlfn.REGEXEXTRACT(CELL("address",AM58), "\$([A-Z]+)\$[0-9]+"))</f>
        <v/>
      </c>
      <c r="AN58" s="7" t="str">
        <f t="array" aca="1" ref="AN58" ca="1">IFERROR(IF(OR('Raw Data'!AN58="",LEN(TRIM('Raw Data'!AN58))=0),"",IF(AND(ISNUMBER('Raw Data'!AN58), IFERROR('Raw Data'!AN58 = ROUND('Raw Data'!AN58, 2),FALSE)),"",_xlfn.REGEXEXTRACT(CELL("address",AN58), "\$([A-Z]+)\$[0-9]+"))),_xlfn.REGEXEXTRACT(CELL("address",AN58), "\$([A-Z]+)\$[0-9]+"))</f>
        <v/>
      </c>
      <c r="AO58" s="7" t="str">
        <f t="array" aca="1" ref="AO58" ca="1">IFERROR(IF(OR('Raw Data'!AO58="",LEN(TRIM('Raw Data'!AO58))=0),"",IF(AND(ISNUMBER('Raw Data'!AO58), IFERROR('Raw Data'!AO58 = ROUND('Raw Data'!AO58, 2),FALSE)),"",_xlfn.REGEXEXTRACT(CELL("address",AO58), "\$([A-Z]+)\$[0-9]+"))),_xlfn.REGEXEXTRACT(CELL("address",AO58), "\$([A-Z]+)\$[0-9]+"))</f>
        <v/>
      </c>
      <c r="AP58" s="7" t="str">
        <f t="array" aca="1" ref="AP58" ca="1">IFERROR(IF(OR('Raw Data'!AP58="",LEN(TRIM('Raw Data'!AP58))=0),"",IF(AND(ISNUMBER('Raw Data'!AP58), IFERROR('Raw Data'!AP58 = ROUND('Raw Data'!AP58, 2),FALSE)),"",_xlfn.REGEXEXTRACT(CELL("address",AP58), "\$([A-Z]+)\$[0-9]+"))),_xlfn.REGEXEXTRACT(CELL("address",AP58), "\$([A-Z]+)\$[0-9]+"))</f>
        <v/>
      </c>
    </row>
    <row r="59" spans="2:42" x14ac:dyDescent="0.25">
      <c r="B59" s="7" t="str">
        <f t="array" aca="1" ref="B59" ca="1">IFERROR(IF(OR('Raw Data'!B59="",LEN(TRIM('Raw Data'!B59))=0),"",IF(AND(LEN('Raw Data'!B59) &lt;= 255,LEN('Raw Data'!B59)&gt; 0),"",_xlfn.REGEXEXTRACT(CELL("address",'Raw Data'!B59),"\$([A-Z]+)\$[0-9]+"))),_xlfn.REGEXEXTRACT(CELL("address",'Raw Data'!B59),"\$([A-Z]+)\$[0-9]+"))</f>
        <v/>
      </c>
      <c r="C59" s="7" t="str">
        <f t="array" aca="1" ref="C59" ca="1">IFERROR(IF(OR('Raw Data'!C59="",LEN(TRIM('Raw Data'!C59))=0),"",IF(AND(LEN('Raw Data'!C59) &lt;= 50,LEN('Raw Data'!C59)&gt; 0),"",_xlfn.REGEXEXTRACT(CELL("address",'Raw Data'!C59),"\$([A-Z]+)\$[0-9]+"))),_xlfn.REGEXEXTRACT(CELL("address",'Raw Data'!C59),"\$([A-Z]+)\$[0-9]+"))</f>
        <v/>
      </c>
      <c r="D59" s="7" t="str">
        <f t="array" aca="1" ref="D59" ca="1">IFERROR(IF(OR('Raw Data'!D59="",LEN(TRIM('Raw Data'!D59))=0),"",IF(AND(LEN('Raw Data'!D59) &lt;= 500,LEN('Raw Data'!D59)&gt; 0),"",_xlfn.REGEXEXTRACT(CELL("address",'Raw Data'!D59),"\$([A-Z]+)\$[0-9]+"))),_xlfn.REGEXEXTRACT(CELL("address",'Raw Data'!D59),"\$([A-Z]+)\$[0-9]+"))</f>
        <v/>
      </c>
      <c r="E59" s="7" t="str">
        <f t="array" aca="1" ref="E59" ca="1">IFERROR(IF(OR('Raw Data'!E59="",LEN(TRIM('Raw Data'!E59))=0),"",IF(AND(LEN('Raw Data'!E59) &lt;= 50,LEN('Raw Data'!E59)&gt; 0),"",_xlfn.REGEXEXTRACT(CELL("address",'Raw Data'!E59),"\$([A-Z]+)\$[0-9]+"))),_xlfn.REGEXEXTRACT(CELL("address",'Raw Data'!E59),"\$([A-Z]+)\$[0-9]+"))</f>
        <v/>
      </c>
      <c r="F59" s="7" t="str">
        <f t="array" aca="1" ref="F59" ca="1">IFERROR(IF(OR('Raw Data'!F59="",LEN(TRIM('Raw Data'!F59))=0),"",IF(AND(LEN('Raw Data'!F59) &lt;= 50,LEN('Raw Data'!F59)&gt; 0),"",_xlfn.REGEXEXTRACT(CELL("address",'Raw Data'!F59),"\$([A-Z]+)\$[0-9]+"))),_xlfn.REGEXEXTRACT(CELL("address",'Raw Data'!F59),"\$([A-Z]+)\$[0-9]+"))</f>
        <v/>
      </c>
      <c r="G59" s="7" t="str">
        <f t="array" aca="1" ref="G59" ca="1">IFERROR(IF(OR('Raw Data'!G59="",LEN(TRIM('Raw Data'!G59))=0),"",IF(AND(LEN('Raw Data'!G59) &lt;= 50,LEN('Raw Data'!G59)&gt; 0),"",_xlfn.REGEXEXTRACT(CELL("address",'Raw Data'!G59),"\$([A-Z]+)\$[0-9]+"))),_xlfn.REGEXEXTRACT(CELL("address",'Raw Data'!G59),"\$([A-Z]+)\$[0-9]+"))</f>
        <v/>
      </c>
      <c r="H59" s="7" t="str">
        <f t="array" aca="1" ref="H59" ca="1">IFERROR(IF(OR('Raw Data'!H59="",LEN(TRIM('Raw Data'!H59))=0),"",IF(AND(LEN('Raw Data'!H59) &lt;= 50,LEN('Raw Data'!H59)&gt; 0),"",_xlfn.REGEXEXTRACT(CELL("address",'Raw Data'!H59),"\$([A-Z]+)\$[0-9]+"))),_xlfn.REGEXEXTRACT(CELL("address",'Raw Data'!H59),"\$([A-Z]+)\$[0-9]+"))</f>
        <v/>
      </c>
      <c r="I59" s="7" t="str">
        <f t="array" aca="1" ref="I59" ca="1">IFERROR(IF(OR('Raw Data'!I59="",LEN(TRIM('Raw Data'!I59))=0),"",IF(AND(LEN('Raw Data'!I59) &lt;= 50,LEN('Raw Data'!I59)&gt; 0),"",_xlfn.REGEXEXTRACT(CELL("address",'Raw Data'!I59),"\$([A-Z]+)\$[0-9]+"))),_xlfn.REGEXEXTRACT(CELL("address",'Raw Data'!I59),"\$([A-Z]+)\$[0-9]+"))</f>
        <v/>
      </c>
      <c r="J59" s="7" t="str">
        <f t="array" aca="1" ref="J59" ca="1">IFERROR(IF(OR('Raw Data'!J59="",LEN(TRIM('Raw Data'!J59))=0),"",IF(AND(ISNUMBER('Raw Data'!J59), IFERROR('Raw Data'!J59 = ROUND('Raw Data'!J59, 2),FALSE)),"",_xlfn.REGEXEXTRACT(CELL("address",J59), "\$([A-Z]+)\$[0-9]+"))),_xlfn.REGEXEXTRACT(CELL("address",J59), "\$([A-Z]+)\$[0-9]+"))</f>
        <v/>
      </c>
      <c r="K59" s="7" t="str">
        <f t="array" aca="1" ref="K59" ca="1">IFERROR(IF(OR('Raw Data'!K59="",LEN(TRIM('Raw Data'!K59))=0),"",IF(AND(ISNUMBER('Raw Data'!K59), IFERROR('Raw Data'!K59 = ROUND('Raw Data'!K59, 2),FALSE)),"",_xlfn.REGEXEXTRACT(CELL("address",K59), "\$([A-Z]+)\$[0-9]+"))),_xlfn.REGEXEXTRACT(CELL("address",K59), "\$([A-Z]+)\$[0-9]+"))</f>
        <v/>
      </c>
      <c r="L59" s="7" t="str">
        <f t="array" aca="1" ref="L59" ca="1">IFERROR(IF(OR('Raw Data'!L59="",LEN(TRIM('Raw Data'!L59))=0),"",IF(AND(ISNUMBER('Raw Data'!L59), IFERROR('Raw Data'!L59 = ROUND('Raw Data'!L59, 2),FALSE)),"",_xlfn.REGEXEXTRACT(CELL("address",L59), "\$([A-Z]+)\$[0-9]+"))),_xlfn.REGEXEXTRACT(CELL("address",L59), "\$([A-Z]+)\$[0-9]+"))</f>
        <v/>
      </c>
      <c r="M59" s="7" t="str">
        <f t="array" aca="1" ref="M59" ca="1">IFERROR(IF(OR('Raw Data'!M59="",LEN(TRIM('Raw Data'!M59))=0),"",IF(AND(ISNUMBER('Raw Data'!M59), IFERROR('Raw Data'!M59 = ROUND('Raw Data'!M59, 2),FALSE)),"",_xlfn.REGEXEXTRACT(CELL("address",M59), "\$([A-Z]+)\$[0-9]+"))),_xlfn.REGEXEXTRACT(CELL("address",M59), "\$([A-Z]+)\$[0-9]+"))</f>
        <v/>
      </c>
      <c r="N59" s="7" t="str">
        <f t="array" aca="1" ref="N59" ca="1">IFERROR(IF(OR('Raw Data'!N59="",LEN(TRIM('Raw Data'!N59))=0),"",IF(AND(ISNUMBER('Raw Data'!N59), IFERROR('Raw Data'!N59 = ROUND('Raw Data'!N59, 2),FALSE)),"",_xlfn.REGEXEXTRACT(CELL("address",N59), "\$([A-Z]+)\$[0-9]+"))),_xlfn.REGEXEXTRACT(CELL("address",N59), "\$([A-Z]+)\$[0-9]+"))</f>
        <v/>
      </c>
      <c r="O59" s="7" t="str">
        <f t="array" aca="1" ref="O59" ca="1">IFERROR(IF(OR('Raw Data'!O59="",LEN(TRIM('Raw Data'!O59))=0),"",IF(AND(ISNUMBER('Raw Data'!O59),'Raw Data'!O59&gt;=Configuration!$D$2),"",_xlfn.REGEXEXTRACT(CELL("address",'Raw Data'!O59),"\$([A-Z]+)\$[0-9]+"))),_xlfn.REGEXEXTRACT(CELL("address",O59), "\$([A-Z]+)\$[0-9]+"))</f>
        <v/>
      </c>
      <c r="P59" s="7" t="str">
        <f t="array" aca="1" ref="P59" ca="1">IFERROR(IF(OR('Raw Data'!P59="",LEN(TRIM('Raw Data'!P59))=0),"",IF(AND(ISNUMBER('Raw Data'!P59), IFERROR('Raw Data'!P59 = ROUND('Raw Data'!P59, 2),FALSE)),"",_xlfn.REGEXEXTRACT(CELL("address",P59), "\$([A-Z]+)\$[0-9]+"))),_xlfn.REGEXEXTRACT(CELL("address",P59), "\$([A-Z]+)\$[0-9]+"))</f>
        <v/>
      </c>
      <c r="Q59" s="7" t="str">
        <f t="array" aca="1" ref="Q59" ca="1">IFERROR(IF(OR('Raw Data'!Q59="",LEN(TRIM('Raw Data'!Q59))=0),"",IF(AND(ISNUMBER('Raw Data'!Q59), IFERROR('Raw Data'!Q59 = ROUND('Raw Data'!Q59, 2),FALSE)),"",_xlfn.REGEXEXTRACT(CELL("address",Q59), "\$([A-Z]+)\$[0-9]+"))),_xlfn.REGEXEXTRACT(CELL("address",Q59), "\$([A-Z]+)\$[0-9]+"))</f>
        <v/>
      </c>
      <c r="R59" s="7" t="str">
        <f t="array" aca="1" ref="R59" ca="1">IFERROR(IF(OR('Raw Data'!R59="",LEN(TRIM('Raw Data'!R59))=0),"",IF(AND(LEN('Raw Data'!R59) &lt;= 50,LEN('Raw Data'!R59)&gt; 0),"",_xlfn.REGEXEXTRACT(CELL("address",'Raw Data'!R59),"\$([A-Z]+)\$[0-9]+"))),_xlfn.REGEXEXTRACT(CELL("address",'Raw Data'!R59),"\$([A-Z]+)\$[0-9]+"))</f>
        <v/>
      </c>
      <c r="S59" s="7" t="str">
        <f t="array" aca="1" ref="S59" ca="1">IFERROR(IF(OR('Raw Data'!S59="",LEN(TRIM('Raw Data'!S59))=0),"",IF(AND(LEN('Raw Data'!S59) &lt;= 50,LEN('Raw Data'!S59)&gt; 0),"",_xlfn.REGEXEXTRACT(CELL("address",'Raw Data'!S59),"\$([A-Z]+)\$[0-9]+"))),_xlfn.REGEXEXTRACT(CELL("address",'Raw Data'!S59),"\$([A-Z]+)\$[0-9]+"))</f>
        <v/>
      </c>
      <c r="T59" s="7" t="str">
        <f t="array" aca="1" ref="T59" ca="1">IFERROR(IF(OR('Raw Data'!T59="",LEN(TRIM('Raw Data'!T59))=0),"",IF(AND(ISNUMBER('Raw Data'!T59), IFERROR('Raw Data'!T59 = ROUND('Raw Data'!T59, 2),FALSE)),"",_xlfn.REGEXEXTRACT(CELL("address",T59), "\$([A-Z]+)\$[0-9]+"))),_xlfn.REGEXEXTRACT(CELL("address",T59), "\$([A-Z]+)\$[0-9]+"))</f>
        <v/>
      </c>
      <c r="U59" s="7" t="str">
        <f t="array" aca="1" ref="U59" ca="1">IFERROR(IF(OR('Raw Data'!U59="",LEN(TRIM('Raw Data'!U59))=0),"",IF(AND(ISNUMBER('Raw Data'!U59), IFERROR('Raw Data'!U59 = ROUND('Raw Data'!U59, 2),FALSE)),"",_xlfn.REGEXEXTRACT(CELL("address",U59), "\$([A-Z]+)\$[0-9]+"))),_xlfn.REGEXEXTRACT(CELL("address",U59), "\$([A-Z]+)\$[0-9]+"))</f>
        <v/>
      </c>
      <c r="V59" s="7" t="str">
        <f t="array" aca="1" ref="V59" ca="1">IFERROR(IF(OR('Raw Data'!V59="",LEN(TRIM('Raw Data'!V59))=0),"",IF(AND(ISNUMBER('Raw Data'!V59), IFERROR('Raw Data'!V59 = ROUND('Raw Data'!V59, 2),FALSE)),"",_xlfn.REGEXEXTRACT(CELL("address",V59), "\$([A-Z]+)\$[0-9]+"))),_xlfn.REGEXEXTRACT(CELL("address",V59), "\$([A-Z]+)\$[0-9]+"))</f>
        <v/>
      </c>
      <c r="W59" s="7" t="str">
        <f t="array" aca="1" ref="W59" ca="1">IFERROR(IF(OR('Raw Data'!W59="",LEN(TRIM('Raw Data'!W59))=0),"",IF(AND(ISNUMBER('Raw Data'!W59), IFERROR('Raw Data'!W59 = ROUND('Raw Data'!W59, 2),FALSE)),"",_xlfn.REGEXEXTRACT(CELL("address",W59), "\$([A-Z]+)\$[0-9]+"))),_xlfn.REGEXEXTRACT(CELL("address",W59), "\$([A-Z]+)\$[0-9]+"))</f>
        <v/>
      </c>
      <c r="X59" s="7" t="str">
        <f t="array" aca="1" ref="X59" ca="1">IFERROR(IF(OR('Raw Data'!X59="",LEN(TRIM('Raw Data'!X59))=0),"",IF(AND(ISNUMBER('Raw Data'!X59), IFERROR('Raw Data'!X59 = ROUND('Raw Data'!X59, 2),FALSE)),"",_xlfn.REGEXEXTRACT(CELL("address",X59), "\$([A-Z]+)\$[0-9]+"))),_xlfn.REGEXEXTRACT(CELL("address",X59), "\$([A-Z]+)\$[0-9]+"))</f>
        <v/>
      </c>
      <c r="Y59" s="7" t="str">
        <f t="array" aca="1" ref="Y59" ca="1">IFERROR(IF(OR('Raw Data'!Y59="",LEN(TRIM('Raw Data'!Y59))=0),"",IF(AND(ISNUMBER('Raw Data'!Y59), IFERROR('Raw Data'!Y59 = ROUND('Raw Data'!Y59, 2),FALSE)),"",_xlfn.REGEXEXTRACT(CELL("address",Y59), "\$([A-Z]+)\$[0-9]+"))),_xlfn.REGEXEXTRACT(CELL("address",Y59), "\$([A-Z]+)\$[0-9]+"))</f>
        <v/>
      </c>
      <c r="Z59" s="7" t="str">
        <f t="array" aca="1" ref="Z59" ca="1">IFERROR(IF(OR('Raw Data'!Z59="",LEN(TRIM('Raw Data'!Z59))=0),"",IF(AND(ISNUMBER('Raw Data'!Z59), IFERROR('Raw Data'!Z59 = ROUND('Raw Data'!Z59, 2),FALSE)),"",_xlfn.REGEXEXTRACT(CELL("address",Z59), "\$([A-Z]+)\$[0-9]+"))),_xlfn.REGEXEXTRACT(CELL("address",Z59), "\$([A-Z]+)\$[0-9]+"))</f>
        <v/>
      </c>
      <c r="AA59" s="7" t="str">
        <f t="array" aca="1" ref="AA59" ca="1">IFERROR(IF(OR('Raw Data'!AA59="",LEN(TRIM('Raw Data'!AA59))=0),"",IF(AND(ISNUMBER('Raw Data'!AA59), IFERROR('Raw Data'!AA59 = ROUND('Raw Data'!AA59, 2),FALSE)),"",_xlfn.REGEXEXTRACT(CELL("address",AA59), "\$([A-Z]+)\$[0-9]+"))),_xlfn.REGEXEXTRACT(CELL("address",AA59), "\$([A-Z]+)\$[0-9]+"))</f>
        <v/>
      </c>
      <c r="AB59" s="7" t="str">
        <f t="array" aca="1" ref="AB59" ca="1">IFERROR(IF(OR('Raw Data'!AB59="",LEN(TRIM('Raw Data'!AB59))=0),"",IF(AND(ISNUMBER('Raw Data'!AB59), IFERROR('Raw Data'!AB59 = ROUND('Raw Data'!AB59, 2),FALSE)),"",_xlfn.REGEXEXTRACT(CELL("address",AB59), "\$([A-Z]+)\$[0-9]+"))),_xlfn.REGEXEXTRACT(CELL("address",AB59), "\$([A-Z]+)\$[0-9]+"))</f>
        <v/>
      </c>
      <c r="AC59" s="7" t="str">
        <f t="array" aca="1" ref="AC59" ca="1">IFERROR(IF(OR('Raw Data'!AC59="",LEN(TRIM('Raw Data'!AC59))=0),"",IF(AND(ISNUMBER('Raw Data'!AC59), IFERROR('Raw Data'!AC59 = ROUND('Raw Data'!AC59, 2),FALSE)),"",_xlfn.REGEXEXTRACT(CELL("address",AC59), "\$([A-Z]+)\$[0-9]+"))),_xlfn.REGEXEXTRACT(CELL("address",AC59), "\$([A-Z]+)\$[0-9]+"))</f>
        <v/>
      </c>
      <c r="AD59" s="7" t="str">
        <f t="array" aca="1" ref="AD59" ca="1">IFERROR(IF(OR('Raw Data'!AD59="",LEN(TRIM('Raw Data'!AD59))=0),"",IF(AND(ISNUMBER('Raw Data'!AD59), IFERROR('Raw Data'!AD59 = ROUND('Raw Data'!AD59, 2),FALSE)),"",_xlfn.REGEXEXTRACT(CELL("address",AD59), "\$([A-Z]+)\$[0-9]+"))),_xlfn.REGEXEXTRACT(CELL("address",AD59), "\$([A-Z]+)\$[0-9]+"))</f>
        <v/>
      </c>
      <c r="AE59" s="7" t="str">
        <f t="array" aca="1" ref="AE59" ca="1">IFERROR(IF(OR('Raw Data'!AE59="",LEN(TRIM('Raw Data'!AE59))=0),"",IF(AND(ISNUMBER('Raw Data'!AE59), IFERROR('Raw Data'!AE59 = ROUND('Raw Data'!AE59, 2),FALSE)),"",_xlfn.REGEXEXTRACT(CELL("address",AE59), "\$([A-Z]+)\$[0-9]+"))),_xlfn.REGEXEXTRACT(CELL("address",AE59), "\$([A-Z]+)\$[0-9]+"))</f>
        <v/>
      </c>
      <c r="AF59" s="7" t="str">
        <f t="array" aca="1" ref="AF59" ca="1">IFERROR(IF(OR('Raw Data'!AF59="",LEN(TRIM('Raw Data'!AF59))=0),"",IF(AND(ISNUMBER('Raw Data'!AF59), IFERROR('Raw Data'!AF59 = ROUND('Raw Data'!AF59, 2),FALSE)),"",_xlfn.REGEXEXTRACT(CELL("address",AF59), "\$([A-Z]+)\$[0-9]+"))),_xlfn.REGEXEXTRACT(CELL("address",AF59), "\$([A-Z]+)\$[0-9]+"))</f>
        <v/>
      </c>
      <c r="AG59" s="7" t="str">
        <f t="array" aca="1" ref="AG59" ca="1">IFERROR(IF(OR('Raw Data'!AG59="",LEN(TRIM('Raw Data'!AG59))=0),"",IF(AND(ISNUMBER('Raw Data'!AG59), IFERROR('Raw Data'!AG59 = ROUND('Raw Data'!AG59, 2),FALSE)),"",_xlfn.REGEXEXTRACT(CELL("address",AG59), "\$([A-Z]+)\$[0-9]+"))),_xlfn.REGEXEXTRACT(CELL("address",AG59), "\$([A-Z]+)\$[0-9]+"))</f>
        <v/>
      </c>
      <c r="AH59" s="7" t="str">
        <f t="array" aca="1" ref="AH59" ca="1">IFERROR(IF(OR('Raw Data'!AH59="",LEN(TRIM('Raw Data'!AH59))=0),"",IF(AND(ISNUMBER('Raw Data'!AH59), IFERROR('Raw Data'!AH59 = ROUND('Raw Data'!AH59, 2),FALSE)),"",_xlfn.REGEXEXTRACT(CELL("address",AH59), "\$([A-Z]+)\$[0-9]+"))),_xlfn.REGEXEXTRACT(CELL("address",AH59), "\$([A-Z]+)\$[0-9]+"))</f>
        <v/>
      </c>
      <c r="AI59" s="7" t="str">
        <f t="array" aca="1" ref="AI59" ca="1">IFERROR(IF(OR('Raw Data'!AI59="",LEN(TRIM('Raw Data'!AI59))=0),"",IF(AND(ISNUMBER('Raw Data'!AI59), IFERROR('Raw Data'!AI59 = ROUND('Raw Data'!AI59, 2),FALSE)),"",_xlfn.REGEXEXTRACT(CELL("address",AI59), "\$([A-Z]+)\$[0-9]+"))),_xlfn.REGEXEXTRACT(CELL("address",AI59), "\$([A-Z]+)\$[0-9]+"))</f>
        <v/>
      </c>
      <c r="AJ59" s="7" t="str">
        <f t="array" aca="1" ref="AJ59" ca="1">IFERROR(IF(OR('Raw Data'!AJ59="",LEN(TRIM('Raw Data'!AJ59))=0),"",IF(AND(ISNUMBER('Raw Data'!AJ59), IFERROR('Raw Data'!AJ59 = ROUND('Raw Data'!AJ59, 4),FALSE)),"",_xlfn.REGEXEXTRACT(CELL("address",AJ59), "\$([A-Z]+)\$[0-9]+"))),_xlfn.REGEXEXTRACT(CELL("address",AJ59), "\$([A-Z]+)\$[0-9]+"))</f>
        <v/>
      </c>
      <c r="AK59" s="7" t="str">
        <f t="array" aca="1" ref="AK59" ca="1">IFERROR(IF(OR('Raw Data'!AK59="",LEN(TRIM('Raw Data'!AK59))=0),"",IF(AND(ISNUMBER('Raw Data'!AK59), IFERROR('Raw Data'!AK59 = ROUND('Raw Data'!AK59, 2),FALSE)),"",_xlfn.REGEXEXTRACT(CELL("address",AK59), "\$([A-Z]+)\$[0-9]+"))),_xlfn.REGEXEXTRACT(CELL("address",AK59), "\$([A-Z]+)\$[0-9]+"))</f>
        <v/>
      </c>
      <c r="AL59" s="7" t="str">
        <f t="array" aca="1" ref="AL59" ca="1">IFERROR(IF(OR('Raw Data'!AL59="",LEN(TRIM('Raw Data'!AL59))=0),"",IF(AND(ISNUMBER('Raw Data'!AL59), IFERROR('Raw Data'!AL59 = ROUND('Raw Data'!AL59, 2),FALSE)),"",_xlfn.REGEXEXTRACT(CELL("address",AL59), "\$([A-Z]+)\$[0-9]+"))),_xlfn.REGEXEXTRACT(CELL("address",AL59), "\$([A-Z]+)\$[0-9]+"))</f>
        <v/>
      </c>
      <c r="AM59" s="7" t="str">
        <f t="array" aca="1" ref="AM59" ca="1">IFERROR(IF(OR('Raw Data'!AM59="",LEN(TRIM('Raw Data'!AM59))=0),"",IF(AND(ISNUMBER('Raw Data'!AM59), IFERROR('Raw Data'!AM59 = ROUND('Raw Data'!AM59, 2),FALSE)),"",_xlfn.REGEXEXTRACT(CELL("address",AM59), "\$([A-Z]+)\$[0-9]+"))),_xlfn.REGEXEXTRACT(CELL("address",AM59), "\$([A-Z]+)\$[0-9]+"))</f>
        <v/>
      </c>
      <c r="AN59" s="7" t="str">
        <f t="array" aca="1" ref="AN59" ca="1">IFERROR(IF(OR('Raw Data'!AN59="",LEN(TRIM('Raw Data'!AN59))=0),"",IF(AND(ISNUMBER('Raw Data'!AN59), IFERROR('Raw Data'!AN59 = ROUND('Raw Data'!AN59, 2),FALSE)),"",_xlfn.REGEXEXTRACT(CELL("address",AN59), "\$([A-Z]+)\$[0-9]+"))),_xlfn.REGEXEXTRACT(CELL("address",AN59), "\$([A-Z]+)\$[0-9]+"))</f>
        <v/>
      </c>
      <c r="AO59" s="7" t="str">
        <f t="array" aca="1" ref="AO59" ca="1">IFERROR(IF(OR('Raw Data'!AO59="",LEN(TRIM('Raw Data'!AO59))=0),"",IF(AND(ISNUMBER('Raw Data'!AO59), IFERROR('Raw Data'!AO59 = ROUND('Raw Data'!AO59, 2),FALSE)),"",_xlfn.REGEXEXTRACT(CELL("address",AO59), "\$([A-Z]+)\$[0-9]+"))),_xlfn.REGEXEXTRACT(CELL("address",AO59), "\$([A-Z]+)\$[0-9]+"))</f>
        <v/>
      </c>
      <c r="AP59" s="7" t="str">
        <f t="array" aca="1" ref="AP59" ca="1">IFERROR(IF(OR('Raw Data'!AP59="",LEN(TRIM('Raw Data'!AP59))=0),"",IF(AND(ISNUMBER('Raw Data'!AP59), IFERROR('Raw Data'!AP59 = ROUND('Raw Data'!AP59, 2),FALSE)),"",_xlfn.REGEXEXTRACT(CELL("address",AP59), "\$([A-Z]+)\$[0-9]+"))),_xlfn.REGEXEXTRACT(CELL("address",AP59), "\$([A-Z]+)\$[0-9]+"))</f>
        <v/>
      </c>
    </row>
    <row r="60" spans="2:42" x14ac:dyDescent="0.25">
      <c r="B60" s="7" t="str">
        <f t="array" aca="1" ref="B60" ca="1">IFERROR(IF(OR('Raw Data'!B60="",LEN(TRIM('Raw Data'!B60))=0),"",IF(AND(LEN('Raw Data'!B60) &lt;= 255,LEN('Raw Data'!B60)&gt; 0),"",_xlfn.REGEXEXTRACT(CELL("address",'Raw Data'!B60),"\$([A-Z]+)\$[0-9]+"))),_xlfn.REGEXEXTRACT(CELL("address",'Raw Data'!B60),"\$([A-Z]+)\$[0-9]+"))</f>
        <v/>
      </c>
      <c r="C60" s="7" t="str">
        <f t="array" aca="1" ref="C60" ca="1">IFERROR(IF(OR('Raw Data'!C60="",LEN(TRIM('Raw Data'!C60))=0),"",IF(AND(LEN('Raw Data'!C60) &lt;= 50,LEN('Raw Data'!C60)&gt; 0),"",_xlfn.REGEXEXTRACT(CELL("address",'Raw Data'!C60),"\$([A-Z]+)\$[0-9]+"))),_xlfn.REGEXEXTRACT(CELL("address",'Raw Data'!C60),"\$([A-Z]+)\$[0-9]+"))</f>
        <v/>
      </c>
      <c r="D60" s="7" t="str">
        <f t="array" aca="1" ref="D60" ca="1">IFERROR(IF(OR('Raw Data'!D60="",LEN(TRIM('Raw Data'!D60))=0),"",IF(AND(LEN('Raw Data'!D60) &lt;= 500,LEN('Raw Data'!D60)&gt; 0),"",_xlfn.REGEXEXTRACT(CELL("address",'Raw Data'!D60),"\$([A-Z]+)\$[0-9]+"))),_xlfn.REGEXEXTRACT(CELL("address",'Raw Data'!D60),"\$([A-Z]+)\$[0-9]+"))</f>
        <v/>
      </c>
      <c r="E60" s="7" t="str">
        <f t="array" aca="1" ref="E60" ca="1">IFERROR(IF(OR('Raw Data'!E60="",LEN(TRIM('Raw Data'!E60))=0),"",IF(AND(LEN('Raw Data'!E60) &lt;= 50,LEN('Raw Data'!E60)&gt; 0),"",_xlfn.REGEXEXTRACT(CELL("address",'Raw Data'!E60),"\$([A-Z]+)\$[0-9]+"))),_xlfn.REGEXEXTRACT(CELL("address",'Raw Data'!E60),"\$([A-Z]+)\$[0-9]+"))</f>
        <v/>
      </c>
      <c r="F60" s="7" t="str">
        <f t="array" aca="1" ref="F60" ca="1">IFERROR(IF(OR('Raw Data'!F60="",LEN(TRIM('Raw Data'!F60))=0),"",IF(AND(LEN('Raw Data'!F60) &lt;= 50,LEN('Raw Data'!F60)&gt; 0),"",_xlfn.REGEXEXTRACT(CELL("address",'Raw Data'!F60),"\$([A-Z]+)\$[0-9]+"))),_xlfn.REGEXEXTRACT(CELL("address",'Raw Data'!F60),"\$([A-Z]+)\$[0-9]+"))</f>
        <v/>
      </c>
      <c r="G60" s="7" t="str">
        <f t="array" aca="1" ref="G60" ca="1">IFERROR(IF(OR('Raw Data'!G60="",LEN(TRIM('Raw Data'!G60))=0),"",IF(AND(LEN('Raw Data'!G60) &lt;= 50,LEN('Raw Data'!G60)&gt; 0),"",_xlfn.REGEXEXTRACT(CELL("address",'Raw Data'!G60),"\$([A-Z]+)\$[0-9]+"))),_xlfn.REGEXEXTRACT(CELL("address",'Raw Data'!G60),"\$([A-Z]+)\$[0-9]+"))</f>
        <v/>
      </c>
      <c r="H60" s="7" t="str">
        <f t="array" aca="1" ref="H60" ca="1">IFERROR(IF(OR('Raw Data'!H60="",LEN(TRIM('Raw Data'!H60))=0),"",IF(AND(LEN('Raw Data'!H60) &lt;= 50,LEN('Raw Data'!H60)&gt; 0),"",_xlfn.REGEXEXTRACT(CELL("address",'Raw Data'!H60),"\$([A-Z]+)\$[0-9]+"))),_xlfn.REGEXEXTRACT(CELL("address",'Raw Data'!H60),"\$([A-Z]+)\$[0-9]+"))</f>
        <v/>
      </c>
      <c r="I60" s="7" t="str">
        <f t="array" aca="1" ref="I60" ca="1">IFERROR(IF(OR('Raw Data'!I60="",LEN(TRIM('Raw Data'!I60))=0),"",IF(AND(LEN('Raw Data'!I60) &lt;= 50,LEN('Raw Data'!I60)&gt; 0),"",_xlfn.REGEXEXTRACT(CELL("address",'Raw Data'!I60),"\$([A-Z]+)\$[0-9]+"))),_xlfn.REGEXEXTRACT(CELL("address",'Raw Data'!I60),"\$([A-Z]+)\$[0-9]+"))</f>
        <v/>
      </c>
      <c r="J60" s="7" t="str">
        <f t="array" aca="1" ref="J60" ca="1">IFERROR(IF(OR('Raw Data'!J60="",LEN(TRIM('Raw Data'!J60))=0),"",IF(AND(ISNUMBER('Raw Data'!J60), IFERROR('Raw Data'!J60 = ROUND('Raw Data'!J60, 2),FALSE)),"",_xlfn.REGEXEXTRACT(CELL("address",J60), "\$([A-Z]+)\$[0-9]+"))),_xlfn.REGEXEXTRACT(CELL("address",J60), "\$([A-Z]+)\$[0-9]+"))</f>
        <v/>
      </c>
      <c r="K60" s="7" t="str">
        <f t="array" aca="1" ref="K60" ca="1">IFERROR(IF(OR('Raw Data'!K60="",LEN(TRIM('Raw Data'!K60))=0),"",IF(AND(ISNUMBER('Raw Data'!K60), IFERROR('Raw Data'!K60 = ROUND('Raw Data'!K60, 2),FALSE)),"",_xlfn.REGEXEXTRACT(CELL("address",K60), "\$([A-Z]+)\$[0-9]+"))),_xlfn.REGEXEXTRACT(CELL("address",K60), "\$([A-Z]+)\$[0-9]+"))</f>
        <v/>
      </c>
      <c r="L60" s="7" t="str">
        <f t="array" aca="1" ref="L60" ca="1">IFERROR(IF(OR('Raw Data'!L60="",LEN(TRIM('Raw Data'!L60))=0),"",IF(AND(ISNUMBER('Raw Data'!L60), IFERROR('Raw Data'!L60 = ROUND('Raw Data'!L60, 2),FALSE)),"",_xlfn.REGEXEXTRACT(CELL("address",L60), "\$([A-Z]+)\$[0-9]+"))),_xlfn.REGEXEXTRACT(CELL("address",L60), "\$([A-Z]+)\$[0-9]+"))</f>
        <v/>
      </c>
      <c r="M60" s="7" t="str">
        <f t="array" aca="1" ref="M60" ca="1">IFERROR(IF(OR('Raw Data'!M60="",LEN(TRIM('Raw Data'!M60))=0),"",IF(AND(ISNUMBER('Raw Data'!M60), IFERROR('Raw Data'!M60 = ROUND('Raw Data'!M60, 2),FALSE)),"",_xlfn.REGEXEXTRACT(CELL("address",M60), "\$([A-Z]+)\$[0-9]+"))),_xlfn.REGEXEXTRACT(CELL("address",M60), "\$([A-Z]+)\$[0-9]+"))</f>
        <v/>
      </c>
      <c r="N60" s="7" t="str">
        <f t="array" aca="1" ref="N60" ca="1">IFERROR(IF(OR('Raw Data'!N60="",LEN(TRIM('Raw Data'!N60))=0),"",IF(AND(ISNUMBER('Raw Data'!N60), IFERROR('Raw Data'!N60 = ROUND('Raw Data'!N60, 2),FALSE)),"",_xlfn.REGEXEXTRACT(CELL("address",N60), "\$([A-Z]+)\$[0-9]+"))),_xlfn.REGEXEXTRACT(CELL("address",N60), "\$([A-Z]+)\$[0-9]+"))</f>
        <v/>
      </c>
      <c r="O60" s="7" t="str">
        <f t="array" aca="1" ref="O60" ca="1">IFERROR(IF(OR('Raw Data'!O60="",LEN(TRIM('Raw Data'!O60))=0),"",IF(AND(ISNUMBER('Raw Data'!O60),'Raw Data'!O60&gt;=Configuration!$D$2),"",_xlfn.REGEXEXTRACT(CELL("address",'Raw Data'!O60),"\$([A-Z]+)\$[0-9]+"))),_xlfn.REGEXEXTRACT(CELL("address",O60), "\$([A-Z]+)\$[0-9]+"))</f>
        <v/>
      </c>
      <c r="P60" s="7" t="str">
        <f t="array" aca="1" ref="P60" ca="1">IFERROR(IF(OR('Raw Data'!P60="",LEN(TRIM('Raw Data'!P60))=0),"",IF(AND(ISNUMBER('Raw Data'!P60), IFERROR('Raw Data'!P60 = ROUND('Raw Data'!P60, 2),FALSE)),"",_xlfn.REGEXEXTRACT(CELL("address",P60), "\$([A-Z]+)\$[0-9]+"))),_xlfn.REGEXEXTRACT(CELL("address",P60), "\$([A-Z]+)\$[0-9]+"))</f>
        <v/>
      </c>
      <c r="Q60" s="7" t="str">
        <f t="array" aca="1" ref="Q60" ca="1">IFERROR(IF(OR('Raw Data'!Q60="",LEN(TRIM('Raw Data'!Q60))=0),"",IF(AND(ISNUMBER('Raw Data'!Q60), IFERROR('Raw Data'!Q60 = ROUND('Raw Data'!Q60, 2),FALSE)),"",_xlfn.REGEXEXTRACT(CELL("address",Q60), "\$([A-Z]+)\$[0-9]+"))),_xlfn.REGEXEXTRACT(CELL("address",Q60), "\$([A-Z]+)\$[0-9]+"))</f>
        <v/>
      </c>
      <c r="R60" s="7" t="str">
        <f t="array" aca="1" ref="R60" ca="1">IFERROR(IF(OR('Raw Data'!R60="",LEN(TRIM('Raw Data'!R60))=0),"",IF(AND(LEN('Raw Data'!R60) &lt;= 50,LEN('Raw Data'!R60)&gt; 0),"",_xlfn.REGEXEXTRACT(CELL("address",'Raw Data'!R60),"\$([A-Z]+)\$[0-9]+"))),_xlfn.REGEXEXTRACT(CELL("address",'Raw Data'!R60),"\$([A-Z]+)\$[0-9]+"))</f>
        <v/>
      </c>
      <c r="S60" s="7" t="str">
        <f t="array" aca="1" ref="S60" ca="1">IFERROR(IF(OR('Raw Data'!S60="",LEN(TRIM('Raw Data'!S60))=0),"",IF(AND(LEN('Raw Data'!S60) &lt;= 50,LEN('Raw Data'!S60)&gt; 0),"",_xlfn.REGEXEXTRACT(CELL("address",'Raw Data'!S60),"\$([A-Z]+)\$[0-9]+"))),_xlfn.REGEXEXTRACT(CELL("address",'Raw Data'!S60),"\$([A-Z]+)\$[0-9]+"))</f>
        <v/>
      </c>
      <c r="T60" s="7" t="str">
        <f t="array" aca="1" ref="T60" ca="1">IFERROR(IF(OR('Raw Data'!T60="",LEN(TRIM('Raw Data'!T60))=0),"",IF(AND(ISNUMBER('Raw Data'!T60), IFERROR('Raw Data'!T60 = ROUND('Raw Data'!T60, 2),FALSE)),"",_xlfn.REGEXEXTRACT(CELL("address",T60), "\$([A-Z]+)\$[0-9]+"))),_xlfn.REGEXEXTRACT(CELL("address",T60), "\$([A-Z]+)\$[0-9]+"))</f>
        <v/>
      </c>
      <c r="U60" s="7" t="str">
        <f t="array" aca="1" ref="U60" ca="1">IFERROR(IF(OR('Raw Data'!U60="",LEN(TRIM('Raw Data'!U60))=0),"",IF(AND(ISNUMBER('Raw Data'!U60), IFERROR('Raw Data'!U60 = ROUND('Raw Data'!U60, 2),FALSE)),"",_xlfn.REGEXEXTRACT(CELL("address",U60), "\$([A-Z]+)\$[0-9]+"))),_xlfn.REGEXEXTRACT(CELL("address",U60), "\$([A-Z]+)\$[0-9]+"))</f>
        <v/>
      </c>
      <c r="V60" s="7" t="str">
        <f t="array" aca="1" ref="V60" ca="1">IFERROR(IF(OR('Raw Data'!V60="",LEN(TRIM('Raw Data'!V60))=0),"",IF(AND(ISNUMBER('Raw Data'!V60), IFERROR('Raw Data'!V60 = ROUND('Raw Data'!V60, 2),FALSE)),"",_xlfn.REGEXEXTRACT(CELL("address",V60), "\$([A-Z]+)\$[0-9]+"))),_xlfn.REGEXEXTRACT(CELL("address",V60), "\$([A-Z]+)\$[0-9]+"))</f>
        <v/>
      </c>
      <c r="W60" s="7" t="str">
        <f t="array" aca="1" ref="W60" ca="1">IFERROR(IF(OR('Raw Data'!W60="",LEN(TRIM('Raw Data'!W60))=0),"",IF(AND(ISNUMBER('Raw Data'!W60), IFERROR('Raw Data'!W60 = ROUND('Raw Data'!W60, 2),FALSE)),"",_xlfn.REGEXEXTRACT(CELL("address",W60), "\$([A-Z]+)\$[0-9]+"))),_xlfn.REGEXEXTRACT(CELL("address",W60), "\$([A-Z]+)\$[0-9]+"))</f>
        <v/>
      </c>
      <c r="X60" s="7" t="str">
        <f t="array" aca="1" ref="X60" ca="1">IFERROR(IF(OR('Raw Data'!X60="",LEN(TRIM('Raw Data'!X60))=0),"",IF(AND(ISNUMBER('Raw Data'!X60), IFERROR('Raw Data'!X60 = ROUND('Raw Data'!X60, 2),FALSE)),"",_xlfn.REGEXEXTRACT(CELL("address",X60), "\$([A-Z]+)\$[0-9]+"))),_xlfn.REGEXEXTRACT(CELL("address",X60), "\$([A-Z]+)\$[0-9]+"))</f>
        <v/>
      </c>
      <c r="Y60" s="7" t="str">
        <f t="array" aca="1" ref="Y60" ca="1">IFERROR(IF(OR('Raw Data'!Y60="",LEN(TRIM('Raw Data'!Y60))=0),"",IF(AND(ISNUMBER('Raw Data'!Y60), IFERROR('Raw Data'!Y60 = ROUND('Raw Data'!Y60, 2),FALSE)),"",_xlfn.REGEXEXTRACT(CELL("address",Y60), "\$([A-Z]+)\$[0-9]+"))),_xlfn.REGEXEXTRACT(CELL("address",Y60), "\$([A-Z]+)\$[0-9]+"))</f>
        <v/>
      </c>
      <c r="Z60" s="7" t="str">
        <f t="array" aca="1" ref="Z60" ca="1">IFERROR(IF(OR('Raw Data'!Z60="",LEN(TRIM('Raw Data'!Z60))=0),"",IF(AND(ISNUMBER('Raw Data'!Z60), IFERROR('Raw Data'!Z60 = ROUND('Raw Data'!Z60, 2),FALSE)),"",_xlfn.REGEXEXTRACT(CELL("address",Z60), "\$([A-Z]+)\$[0-9]+"))),_xlfn.REGEXEXTRACT(CELL("address",Z60), "\$([A-Z]+)\$[0-9]+"))</f>
        <v/>
      </c>
      <c r="AA60" s="7" t="str">
        <f t="array" aca="1" ref="AA60" ca="1">IFERROR(IF(OR('Raw Data'!AA60="",LEN(TRIM('Raw Data'!AA60))=0),"",IF(AND(ISNUMBER('Raw Data'!AA60), IFERROR('Raw Data'!AA60 = ROUND('Raw Data'!AA60, 2),FALSE)),"",_xlfn.REGEXEXTRACT(CELL("address",AA60), "\$([A-Z]+)\$[0-9]+"))),_xlfn.REGEXEXTRACT(CELL("address",AA60), "\$([A-Z]+)\$[0-9]+"))</f>
        <v/>
      </c>
      <c r="AB60" s="7" t="str">
        <f t="array" aca="1" ref="AB60" ca="1">IFERROR(IF(OR('Raw Data'!AB60="",LEN(TRIM('Raw Data'!AB60))=0),"",IF(AND(ISNUMBER('Raw Data'!AB60), IFERROR('Raw Data'!AB60 = ROUND('Raw Data'!AB60, 2),FALSE)),"",_xlfn.REGEXEXTRACT(CELL("address",AB60), "\$([A-Z]+)\$[0-9]+"))),_xlfn.REGEXEXTRACT(CELL("address",AB60), "\$([A-Z]+)\$[0-9]+"))</f>
        <v/>
      </c>
      <c r="AC60" s="7" t="str">
        <f t="array" aca="1" ref="AC60" ca="1">IFERROR(IF(OR('Raw Data'!AC60="",LEN(TRIM('Raw Data'!AC60))=0),"",IF(AND(ISNUMBER('Raw Data'!AC60), IFERROR('Raw Data'!AC60 = ROUND('Raw Data'!AC60, 2),FALSE)),"",_xlfn.REGEXEXTRACT(CELL("address",AC60), "\$([A-Z]+)\$[0-9]+"))),_xlfn.REGEXEXTRACT(CELL("address",AC60), "\$([A-Z]+)\$[0-9]+"))</f>
        <v/>
      </c>
      <c r="AD60" s="7" t="str">
        <f t="array" aca="1" ref="AD60" ca="1">IFERROR(IF(OR('Raw Data'!AD60="",LEN(TRIM('Raw Data'!AD60))=0),"",IF(AND(ISNUMBER('Raw Data'!AD60), IFERROR('Raw Data'!AD60 = ROUND('Raw Data'!AD60, 2),FALSE)),"",_xlfn.REGEXEXTRACT(CELL("address",AD60), "\$([A-Z]+)\$[0-9]+"))),_xlfn.REGEXEXTRACT(CELL("address",AD60), "\$([A-Z]+)\$[0-9]+"))</f>
        <v/>
      </c>
      <c r="AE60" s="7" t="str">
        <f t="array" aca="1" ref="AE60" ca="1">IFERROR(IF(OR('Raw Data'!AE60="",LEN(TRIM('Raw Data'!AE60))=0),"",IF(AND(ISNUMBER('Raw Data'!AE60), IFERROR('Raw Data'!AE60 = ROUND('Raw Data'!AE60, 2),FALSE)),"",_xlfn.REGEXEXTRACT(CELL("address",AE60), "\$([A-Z]+)\$[0-9]+"))),_xlfn.REGEXEXTRACT(CELL("address",AE60), "\$([A-Z]+)\$[0-9]+"))</f>
        <v/>
      </c>
      <c r="AF60" s="7" t="str">
        <f t="array" aca="1" ref="AF60" ca="1">IFERROR(IF(OR('Raw Data'!AF60="",LEN(TRIM('Raw Data'!AF60))=0),"",IF(AND(ISNUMBER('Raw Data'!AF60), IFERROR('Raw Data'!AF60 = ROUND('Raw Data'!AF60, 2),FALSE)),"",_xlfn.REGEXEXTRACT(CELL("address",AF60), "\$([A-Z]+)\$[0-9]+"))),_xlfn.REGEXEXTRACT(CELL("address",AF60), "\$([A-Z]+)\$[0-9]+"))</f>
        <v/>
      </c>
      <c r="AG60" s="7" t="str">
        <f t="array" aca="1" ref="AG60" ca="1">IFERROR(IF(OR('Raw Data'!AG60="",LEN(TRIM('Raw Data'!AG60))=0),"",IF(AND(ISNUMBER('Raw Data'!AG60), IFERROR('Raw Data'!AG60 = ROUND('Raw Data'!AG60, 2),FALSE)),"",_xlfn.REGEXEXTRACT(CELL("address",AG60), "\$([A-Z]+)\$[0-9]+"))),_xlfn.REGEXEXTRACT(CELL("address",AG60), "\$([A-Z]+)\$[0-9]+"))</f>
        <v/>
      </c>
      <c r="AH60" s="7" t="str">
        <f t="array" aca="1" ref="AH60" ca="1">IFERROR(IF(OR('Raw Data'!AH60="",LEN(TRIM('Raw Data'!AH60))=0),"",IF(AND(ISNUMBER('Raw Data'!AH60), IFERROR('Raw Data'!AH60 = ROUND('Raw Data'!AH60, 2),FALSE)),"",_xlfn.REGEXEXTRACT(CELL("address",AH60), "\$([A-Z]+)\$[0-9]+"))),_xlfn.REGEXEXTRACT(CELL("address",AH60), "\$([A-Z]+)\$[0-9]+"))</f>
        <v/>
      </c>
      <c r="AI60" s="7" t="str">
        <f t="array" aca="1" ref="AI60" ca="1">IFERROR(IF(OR('Raw Data'!AI60="",LEN(TRIM('Raw Data'!AI60))=0),"",IF(AND(ISNUMBER('Raw Data'!AI60), IFERROR('Raw Data'!AI60 = ROUND('Raw Data'!AI60, 2),FALSE)),"",_xlfn.REGEXEXTRACT(CELL("address",AI60), "\$([A-Z]+)\$[0-9]+"))),_xlfn.REGEXEXTRACT(CELL("address",AI60), "\$([A-Z]+)\$[0-9]+"))</f>
        <v/>
      </c>
      <c r="AJ60" s="7" t="str">
        <f t="array" aca="1" ref="AJ60" ca="1">IFERROR(IF(OR('Raw Data'!AJ60="",LEN(TRIM('Raw Data'!AJ60))=0),"",IF(AND(ISNUMBER('Raw Data'!AJ60), IFERROR('Raw Data'!AJ60 = ROUND('Raw Data'!AJ60, 4),FALSE)),"",_xlfn.REGEXEXTRACT(CELL("address",AJ60), "\$([A-Z]+)\$[0-9]+"))),_xlfn.REGEXEXTRACT(CELL("address",AJ60), "\$([A-Z]+)\$[0-9]+"))</f>
        <v/>
      </c>
      <c r="AK60" s="7" t="str">
        <f t="array" aca="1" ref="AK60" ca="1">IFERROR(IF(OR('Raw Data'!AK60="",LEN(TRIM('Raw Data'!AK60))=0),"",IF(AND(ISNUMBER('Raw Data'!AK60), IFERROR('Raw Data'!AK60 = ROUND('Raw Data'!AK60, 2),FALSE)),"",_xlfn.REGEXEXTRACT(CELL("address",AK60), "\$([A-Z]+)\$[0-9]+"))),_xlfn.REGEXEXTRACT(CELL("address",AK60), "\$([A-Z]+)\$[0-9]+"))</f>
        <v/>
      </c>
      <c r="AL60" s="7" t="str">
        <f t="array" aca="1" ref="AL60" ca="1">IFERROR(IF(OR('Raw Data'!AL60="",LEN(TRIM('Raw Data'!AL60))=0),"",IF(AND(ISNUMBER('Raw Data'!AL60), IFERROR('Raw Data'!AL60 = ROUND('Raw Data'!AL60, 2),FALSE)),"",_xlfn.REGEXEXTRACT(CELL("address",AL60), "\$([A-Z]+)\$[0-9]+"))),_xlfn.REGEXEXTRACT(CELL("address",AL60), "\$([A-Z]+)\$[0-9]+"))</f>
        <v/>
      </c>
      <c r="AM60" s="7" t="str">
        <f t="array" aca="1" ref="AM60" ca="1">IFERROR(IF(OR('Raw Data'!AM60="",LEN(TRIM('Raw Data'!AM60))=0),"",IF(AND(ISNUMBER('Raw Data'!AM60), IFERROR('Raw Data'!AM60 = ROUND('Raw Data'!AM60, 2),FALSE)),"",_xlfn.REGEXEXTRACT(CELL("address",AM60), "\$([A-Z]+)\$[0-9]+"))),_xlfn.REGEXEXTRACT(CELL("address",AM60), "\$([A-Z]+)\$[0-9]+"))</f>
        <v/>
      </c>
      <c r="AN60" s="7" t="str">
        <f t="array" aca="1" ref="AN60" ca="1">IFERROR(IF(OR('Raw Data'!AN60="",LEN(TRIM('Raw Data'!AN60))=0),"",IF(AND(ISNUMBER('Raw Data'!AN60), IFERROR('Raw Data'!AN60 = ROUND('Raw Data'!AN60, 2),FALSE)),"",_xlfn.REGEXEXTRACT(CELL("address",AN60), "\$([A-Z]+)\$[0-9]+"))),_xlfn.REGEXEXTRACT(CELL("address",AN60), "\$([A-Z]+)\$[0-9]+"))</f>
        <v/>
      </c>
      <c r="AO60" s="7" t="str">
        <f t="array" aca="1" ref="AO60" ca="1">IFERROR(IF(OR('Raw Data'!AO60="",LEN(TRIM('Raw Data'!AO60))=0),"",IF(AND(ISNUMBER('Raw Data'!AO60), IFERROR('Raw Data'!AO60 = ROUND('Raw Data'!AO60, 2),FALSE)),"",_xlfn.REGEXEXTRACT(CELL("address",AO60), "\$([A-Z]+)\$[0-9]+"))),_xlfn.REGEXEXTRACT(CELL("address",AO60), "\$([A-Z]+)\$[0-9]+"))</f>
        <v/>
      </c>
      <c r="AP60" s="7" t="str">
        <f t="array" aca="1" ref="AP60" ca="1">IFERROR(IF(OR('Raw Data'!AP60="",LEN(TRIM('Raw Data'!AP60))=0),"",IF(AND(ISNUMBER('Raw Data'!AP60), IFERROR('Raw Data'!AP60 = ROUND('Raw Data'!AP60, 2),FALSE)),"",_xlfn.REGEXEXTRACT(CELL("address",AP60), "\$([A-Z]+)\$[0-9]+"))),_xlfn.REGEXEXTRACT(CELL("address",AP60), "\$([A-Z]+)\$[0-9]+"))</f>
        <v/>
      </c>
    </row>
    <row r="61" spans="2:42" x14ac:dyDescent="0.25">
      <c r="B61" s="7" t="str">
        <f t="array" aca="1" ref="B61" ca="1">IFERROR(IF(OR('Raw Data'!B61="",LEN(TRIM('Raw Data'!B61))=0),"",IF(AND(LEN('Raw Data'!B61) &lt;= 255,LEN('Raw Data'!B61)&gt; 0),"",_xlfn.REGEXEXTRACT(CELL("address",'Raw Data'!B61),"\$([A-Z]+)\$[0-9]+"))),_xlfn.REGEXEXTRACT(CELL("address",'Raw Data'!B61),"\$([A-Z]+)\$[0-9]+"))</f>
        <v/>
      </c>
      <c r="C61" s="7" t="str">
        <f t="array" aca="1" ref="C61" ca="1">IFERROR(IF(OR('Raw Data'!C61="",LEN(TRIM('Raw Data'!C61))=0),"",IF(AND(LEN('Raw Data'!C61) &lt;= 50,LEN('Raw Data'!C61)&gt; 0),"",_xlfn.REGEXEXTRACT(CELL("address",'Raw Data'!C61),"\$([A-Z]+)\$[0-9]+"))),_xlfn.REGEXEXTRACT(CELL("address",'Raw Data'!C61),"\$([A-Z]+)\$[0-9]+"))</f>
        <v/>
      </c>
      <c r="D61" s="7" t="str">
        <f t="array" aca="1" ref="D61" ca="1">IFERROR(IF(OR('Raw Data'!D61="",LEN(TRIM('Raw Data'!D61))=0),"",IF(AND(LEN('Raw Data'!D61) &lt;= 500,LEN('Raw Data'!D61)&gt; 0),"",_xlfn.REGEXEXTRACT(CELL("address",'Raw Data'!D61),"\$([A-Z]+)\$[0-9]+"))),_xlfn.REGEXEXTRACT(CELL("address",'Raw Data'!D61),"\$([A-Z]+)\$[0-9]+"))</f>
        <v/>
      </c>
      <c r="E61" s="7" t="str">
        <f t="array" aca="1" ref="E61" ca="1">IFERROR(IF(OR('Raw Data'!E61="",LEN(TRIM('Raw Data'!E61))=0),"",IF(AND(LEN('Raw Data'!E61) &lt;= 50,LEN('Raw Data'!E61)&gt; 0),"",_xlfn.REGEXEXTRACT(CELL("address",'Raw Data'!E61),"\$([A-Z]+)\$[0-9]+"))),_xlfn.REGEXEXTRACT(CELL("address",'Raw Data'!E61),"\$([A-Z]+)\$[0-9]+"))</f>
        <v/>
      </c>
      <c r="F61" s="7" t="str">
        <f t="array" aca="1" ref="F61" ca="1">IFERROR(IF(OR('Raw Data'!F61="",LEN(TRIM('Raw Data'!F61))=0),"",IF(AND(LEN('Raw Data'!F61) &lt;= 50,LEN('Raw Data'!F61)&gt; 0),"",_xlfn.REGEXEXTRACT(CELL("address",'Raw Data'!F61),"\$([A-Z]+)\$[0-9]+"))),_xlfn.REGEXEXTRACT(CELL("address",'Raw Data'!F61),"\$([A-Z]+)\$[0-9]+"))</f>
        <v/>
      </c>
      <c r="G61" s="7" t="str">
        <f t="array" aca="1" ref="G61" ca="1">IFERROR(IF(OR('Raw Data'!G61="",LEN(TRIM('Raw Data'!G61))=0),"",IF(AND(LEN('Raw Data'!G61) &lt;= 50,LEN('Raw Data'!G61)&gt; 0),"",_xlfn.REGEXEXTRACT(CELL("address",'Raw Data'!G61),"\$([A-Z]+)\$[0-9]+"))),_xlfn.REGEXEXTRACT(CELL("address",'Raw Data'!G61),"\$([A-Z]+)\$[0-9]+"))</f>
        <v/>
      </c>
      <c r="H61" s="7" t="str">
        <f t="array" aca="1" ref="H61" ca="1">IFERROR(IF(OR('Raw Data'!H61="",LEN(TRIM('Raw Data'!H61))=0),"",IF(AND(LEN('Raw Data'!H61) &lt;= 50,LEN('Raw Data'!H61)&gt; 0),"",_xlfn.REGEXEXTRACT(CELL("address",'Raw Data'!H61),"\$([A-Z]+)\$[0-9]+"))),_xlfn.REGEXEXTRACT(CELL("address",'Raw Data'!H61),"\$([A-Z]+)\$[0-9]+"))</f>
        <v/>
      </c>
      <c r="I61" s="7" t="str">
        <f t="array" aca="1" ref="I61" ca="1">IFERROR(IF(OR('Raw Data'!I61="",LEN(TRIM('Raw Data'!I61))=0),"",IF(AND(LEN('Raw Data'!I61) &lt;= 50,LEN('Raw Data'!I61)&gt; 0),"",_xlfn.REGEXEXTRACT(CELL("address",'Raw Data'!I61),"\$([A-Z]+)\$[0-9]+"))),_xlfn.REGEXEXTRACT(CELL("address",'Raw Data'!I61),"\$([A-Z]+)\$[0-9]+"))</f>
        <v/>
      </c>
      <c r="J61" s="7" t="str">
        <f t="array" aca="1" ref="J61" ca="1">IFERROR(IF(OR('Raw Data'!J61="",LEN(TRIM('Raw Data'!J61))=0),"",IF(AND(ISNUMBER('Raw Data'!J61), IFERROR('Raw Data'!J61 = ROUND('Raw Data'!J61, 2),FALSE)),"",_xlfn.REGEXEXTRACT(CELL("address",J61), "\$([A-Z]+)\$[0-9]+"))),_xlfn.REGEXEXTRACT(CELL("address",J61), "\$([A-Z]+)\$[0-9]+"))</f>
        <v/>
      </c>
      <c r="K61" s="7" t="str">
        <f t="array" aca="1" ref="K61" ca="1">IFERROR(IF(OR('Raw Data'!K61="",LEN(TRIM('Raw Data'!K61))=0),"",IF(AND(ISNUMBER('Raw Data'!K61), IFERROR('Raw Data'!K61 = ROUND('Raw Data'!K61, 2),FALSE)),"",_xlfn.REGEXEXTRACT(CELL("address",K61), "\$([A-Z]+)\$[0-9]+"))),_xlfn.REGEXEXTRACT(CELL("address",K61), "\$([A-Z]+)\$[0-9]+"))</f>
        <v/>
      </c>
      <c r="L61" s="7" t="str">
        <f t="array" aca="1" ref="L61" ca="1">IFERROR(IF(OR('Raw Data'!L61="",LEN(TRIM('Raw Data'!L61))=0),"",IF(AND(ISNUMBER('Raw Data'!L61), IFERROR('Raw Data'!L61 = ROUND('Raw Data'!L61, 2),FALSE)),"",_xlfn.REGEXEXTRACT(CELL("address",L61), "\$([A-Z]+)\$[0-9]+"))),_xlfn.REGEXEXTRACT(CELL("address",L61), "\$([A-Z]+)\$[0-9]+"))</f>
        <v/>
      </c>
      <c r="M61" s="7" t="str">
        <f t="array" aca="1" ref="M61" ca="1">IFERROR(IF(OR('Raw Data'!M61="",LEN(TRIM('Raw Data'!M61))=0),"",IF(AND(ISNUMBER('Raw Data'!M61), IFERROR('Raw Data'!M61 = ROUND('Raw Data'!M61, 2),FALSE)),"",_xlfn.REGEXEXTRACT(CELL("address",M61), "\$([A-Z]+)\$[0-9]+"))),_xlfn.REGEXEXTRACT(CELL("address",M61), "\$([A-Z]+)\$[0-9]+"))</f>
        <v/>
      </c>
      <c r="N61" s="7" t="str">
        <f t="array" aca="1" ref="N61" ca="1">IFERROR(IF(OR('Raw Data'!N61="",LEN(TRIM('Raw Data'!N61))=0),"",IF(AND(ISNUMBER('Raw Data'!N61), IFERROR('Raw Data'!N61 = ROUND('Raw Data'!N61, 2),FALSE)),"",_xlfn.REGEXEXTRACT(CELL("address",N61), "\$([A-Z]+)\$[0-9]+"))),_xlfn.REGEXEXTRACT(CELL("address",N61), "\$([A-Z]+)\$[0-9]+"))</f>
        <v/>
      </c>
      <c r="O61" s="7" t="str">
        <f t="array" aca="1" ref="O61" ca="1">IFERROR(IF(OR('Raw Data'!O61="",LEN(TRIM('Raw Data'!O61))=0),"",IF(AND(ISNUMBER('Raw Data'!O61),'Raw Data'!O61&gt;=Configuration!$D$2),"",_xlfn.REGEXEXTRACT(CELL("address",'Raw Data'!O61),"\$([A-Z]+)\$[0-9]+"))),_xlfn.REGEXEXTRACT(CELL("address",O61), "\$([A-Z]+)\$[0-9]+"))</f>
        <v/>
      </c>
      <c r="P61" s="7" t="str">
        <f t="array" aca="1" ref="P61" ca="1">IFERROR(IF(OR('Raw Data'!P61="",LEN(TRIM('Raw Data'!P61))=0),"",IF(AND(ISNUMBER('Raw Data'!P61), IFERROR('Raw Data'!P61 = ROUND('Raw Data'!P61, 2),FALSE)),"",_xlfn.REGEXEXTRACT(CELL("address",P61), "\$([A-Z]+)\$[0-9]+"))),_xlfn.REGEXEXTRACT(CELL("address",P61), "\$([A-Z]+)\$[0-9]+"))</f>
        <v/>
      </c>
      <c r="Q61" s="7" t="str">
        <f t="array" aca="1" ref="Q61" ca="1">IFERROR(IF(OR('Raw Data'!Q61="",LEN(TRIM('Raw Data'!Q61))=0),"",IF(AND(ISNUMBER('Raw Data'!Q61), IFERROR('Raw Data'!Q61 = ROUND('Raw Data'!Q61, 2),FALSE)),"",_xlfn.REGEXEXTRACT(CELL("address",Q61), "\$([A-Z]+)\$[0-9]+"))),_xlfn.REGEXEXTRACT(CELL("address",Q61), "\$([A-Z]+)\$[0-9]+"))</f>
        <v/>
      </c>
      <c r="R61" s="7" t="str">
        <f t="array" aca="1" ref="R61" ca="1">IFERROR(IF(OR('Raw Data'!R61="",LEN(TRIM('Raw Data'!R61))=0),"",IF(AND(LEN('Raw Data'!R61) &lt;= 50,LEN('Raw Data'!R61)&gt; 0),"",_xlfn.REGEXEXTRACT(CELL("address",'Raw Data'!R61),"\$([A-Z]+)\$[0-9]+"))),_xlfn.REGEXEXTRACT(CELL("address",'Raw Data'!R61),"\$([A-Z]+)\$[0-9]+"))</f>
        <v/>
      </c>
      <c r="S61" s="7" t="str">
        <f t="array" aca="1" ref="S61" ca="1">IFERROR(IF(OR('Raw Data'!S61="",LEN(TRIM('Raw Data'!S61))=0),"",IF(AND(LEN('Raw Data'!S61) &lt;= 50,LEN('Raw Data'!S61)&gt; 0),"",_xlfn.REGEXEXTRACT(CELL("address",'Raw Data'!S61),"\$([A-Z]+)\$[0-9]+"))),_xlfn.REGEXEXTRACT(CELL("address",'Raw Data'!S61),"\$([A-Z]+)\$[0-9]+"))</f>
        <v/>
      </c>
      <c r="T61" s="7" t="str">
        <f t="array" aca="1" ref="T61" ca="1">IFERROR(IF(OR('Raw Data'!T61="",LEN(TRIM('Raw Data'!T61))=0),"",IF(AND(ISNUMBER('Raw Data'!T61), IFERROR('Raw Data'!T61 = ROUND('Raw Data'!T61, 2),FALSE)),"",_xlfn.REGEXEXTRACT(CELL("address",T61), "\$([A-Z]+)\$[0-9]+"))),_xlfn.REGEXEXTRACT(CELL("address",T61), "\$([A-Z]+)\$[0-9]+"))</f>
        <v/>
      </c>
      <c r="U61" s="7" t="str">
        <f t="array" aca="1" ref="U61" ca="1">IFERROR(IF(OR('Raw Data'!U61="",LEN(TRIM('Raw Data'!U61))=0),"",IF(AND(ISNUMBER('Raw Data'!U61), IFERROR('Raw Data'!U61 = ROUND('Raw Data'!U61, 2),FALSE)),"",_xlfn.REGEXEXTRACT(CELL("address",U61), "\$([A-Z]+)\$[0-9]+"))),_xlfn.REGEXEXTRACT(CELL("address",U61), "\$([A-Z]+)\$[0-9]+"))</f>
        <v/>
      </c>
      <c r="V61" s="7" t="str">
        <f t="array" aca="1" ref="V61" ca="1">IFERROR(IF(OR('Raw Data'!V61="",LEN(TRIM('Raw Data'!V61))=0),"",IF(AND(ISNUMBER('Raw Data'!V61), IFERROR('Raw Data'!V61 = ROUND('Raw Data'!V61, 2),FALSE)),"",_xlfn.REGEXEXTRACT(CELL("address",V61), "\$([A-Z]+)\$[0-9]+"))),_xlfn.REGEXEXTRACT(CELL("address",V61), "\$([A-Z]+)\$[0-9]+"))</f>
        <v/>
      </c>
      <c r="W61" s="7" t="str">
        <f t="array" aca="1" ref="W61" ca="1">IFERROR(IF(OR('Raw Data'!W61="",LEN(TRIM('Raw Data'!W61))=0),"",IF(AND(ISNUMBER('Raw Data'!W61), IFERROR('Raw Data'!W61 = ROUND('Raw Data'!W61, 2),FALSE)),"",_xlfn.REGEXEXTRACT(CELL("address",W61), "\$([A-Z]+)\$[0-9]+"))),_xlfn.REGEXEXTRACT(CELL("address",W61), "\$([A-Z]+)\$[0-9]+"))</f>
        <v/>
      </c>
      <c r="X61" s="7" t="str">
        <f t="array" aca="1" ref="X61" ca="1">IFERROR(IF(OR('Raw Data'!X61="",LEN(TRIM('Raw Data'!X61))=0),"",IF(AND(ISNUMBER('Raw Data'!X61), IFERROR('Raw Data'!X61 = ROUND('Raw Data'!X61, 2),FALSE)),"",_xlfn.REGEXEXTRACT(CELL("address",X61), "\$([A-Z]+)\$[0-9]+"))),_xlfn.REGEXEXTRACT(CELL("address",X61), "\$([A-Z]+)\$[0-9]+"))</f>
        <v/>
      </c>
      <c r="Y61" s="7" t="str">
        <f t="array" aca="1" ref="Y61" ca="1">IFERROR(IF(OR('Raw Data'!Y61="",LEN(TRIM('Raw Data'!Y61))=0),"",IF(AND(ISNUMBER('Raw Data'!Y61), IFERROR('Raw Data'!Y61 = ROUND('Raw Data'!Y61, 2),FALSE)),"",_xlfn.REGEXEXTRACT(CELL("address",Y61), "\$([A-Z]+)\$[0-9]+"))),_xlfn.REGEXEXTRACT(CELL("address",Y61), "\$([A-Z]+)\$[0-9]+"))</f>
        <v/>
      </c>
      <c r="Z61" s="7" t="str">
        <f t="array" aca="1" ref="Z61" ca="1">IFERROR(IF(OR('Raw Data'!Z61="",LEN(TRIM('Raw Data'!Z61))=0),"",IF(AND(ISNUMBER('Raw Data'!Z61), IFERROR('Raw Data'!Z61 = ROUND('Raw Data'!Z61, 2),FALSE)),"",_xlfn.REGEXEXTRACT(CELL("address",Z61), "\$([A-Z]+)\$[0-9]+"))),_xlfn.REGEXEXTRACT(CELL("address",Z61), "\$([A-Z]+)\$[0-9]+"))</f>
        <v/>
      </c>
      <c r="AA61" s="7" t="str">
        <f t="array" aca="1" ref="AA61" ca="1">IFERROR(IF(OR('Raw Data'!AA61="",LEN(TRIM('Raw Data'!AA61))=0),"",IF(AND(ISNUMBER('Raw Data'!AA61), IFERROR('Raw Data'!AA61 = ROUND('Raw Data'!AA61, 2),FALSE)),"",_xlfn.REGEXEXTRACT(CELL("address",AA61), "\$([A-Z]+)\$[0-9]+"))),_xlfn.REGEXEXTRACT(CELL("address",AA61), "\$([A-Z]+)\$[0-9]+"))</f>
        <v/>
      </c>
      <c r="AB61" s="7" t="str">
        <f t="array" aca="1" ref="AB61" ca="1">IFERROR(IF(OR('Raw Data'!AB61="",LEN(TRIM('Raw Data'!AB61))=0),"",IF(AND(ISNUMBER('Raw Data'!AB61), IFERROR('Raw Data'!AB61 = ROUND('Raw Data'!AB61, 2),FALSE)),"",_xlfn.REGEXEXTRACT(CELL("address",AB61), "\$([A-Z]+)\$[0-9]+"))),_xlfn.REGEXEXTRACT(CELL("address",AB61), "\$([A-Z]+)\$[0-9]+"))</f>
        <v/>
      </c>
      <c r="AC61" s="7" t="str">
        <f t="array" aca="1" ref="AC61" ca="1">IFERROR(IF(OR('Raw Data'!AC61="",LEN(TRIM('Raw Data'!AC61))=0),"",IF(AND(ISNUMBER('Raw Data'!AC61), IFERROR('Raw Data'!AC61 = ROUND('Raw Data'!AC61, 2),FALSE)),"",_xlfn.REGEXEXTRACT(CELL("address",AC61), "\$([A-Z]+)\$[0-9]+"))),_xlfn.REGEXEXTRACT(CELL("address",AC61), "\$([A-Z]+)\$[0-9]+"))</f>
        <v/>
      </c>
      <c r="AD61" s="7" t="str">
        <f t="array" aca="1" ref="AD61" ca="1">IFERROR(IF(OR('Raw Data'!AD61="",LEN(TRIM('Raw Data'!AD61))=0),"",IF(AND(ISNUMBER('Raw Data'!AD61), IFERROR('Raw Data'!AD61 = ROUND('Raw Data'!AD61, 2),FALSE)),"",_xlfn.REGEXEXTRACT(CELL("address",AD61), "\$([A-Z]+)\$[0-9]+"))),_xlfn.REGEXEXTRACT(CELL("address",AD61), "\$([A-Z]+)\$[0-9]+"))</f>
        <v/>
      </c>
      <c r="AE61" s="7" t="str">
        <f t="array" aca="1" ref="AE61" ca="1">IFERROR(IF(OR('Raw Data'!AE61="",LEN(TRIM('Raw Data'!AE61))=0),"",IF(AND(ISNUMBER('Raw Data'!AE61), IFERROR('Raw Data'!AE61 = ROUND('Raw Data'!AE61, 2),FALSE)),"",_xlfn.REGEXEXTRACT(CELL("address",AE61), "\$([A-Z]+)\$[0-9]+"))),_xlfn.REGEXEXTRACT(CELL("address",AE61), "\$([A-Z]+)\$[0-9]+"))</f>
        <v/>
      </c>
      <c r="AF61" s="7" t="str">
        <f t="array" aca="1" ref="AF61" ca="1">IFERROR(IF(OR('Raw Data'!AF61="",LEN(TRIM('Raw Data'!AF61))=0),"",IF(AND(ISNUMBER('Raw Data'!AF61), IFERROR('Raw Data'!AF61 = ROUND('Raw Data'!AF61, 2),FALSE)),"",_xlfn.REGEXEXTRACT(CELL("address",AF61), "\$([A-Z]+)\$[0-9]+"))),_xlfn.REGEXEXTRACT(CELL("address",AF61), "\$([A-Z]+)\$[0-9]+"))</f>
        <v/>
      </c>
      <c r="AG61" s="7" t="str">
        <f t="array" aca="1" ref="AG61" ca="1">IFERROR(IF(OR('Raw Data'!AG61="",LEN(TRIM('Raw Data'!AG61))=0),"",IF(AND(ISNUMBER('Raw Data'!AG61), IFERROR('Raw Data'!AG61 = ROUND('Raw Data'!AG61, 2),FALSE)),"",_xlfn.REGEXEXTRACT(CELL("address",AG61), "\$([A-Z]+)\$[0-9]+"))),_xlfn.REGEXEXTRACT(CELL("address",AG61), "\$([A-Z]+)\$[0-9]+"))</f>
        <v/>
      </c>
      <c r="AH61" s="7" t="str">
        <f t="array" aca="1" ref="AH61" ca="1">IFERROR(IF(OR('Raw Data'!AH61="",LEN(TRIM('Raw Data'!AH61))=0),"",IF(AND(ISNUMBER('Raw Data'!AH61), IFERROR('Raw Data'!AH61 = ROUND('Raw Data'!AH61, 2),FALSE)),"",_xlfn.REGEXEXTRACT(CELL("address",AH61), "\$([A-Z]+)\$[0-9]+"))),_xlfn.REGEXEXTRACT(CELL("address",AH61), "\$([A-Z]+)\$[0-9]+"))</f>
        <v/>
      </c>
      <c r="AI61" s="7" t="str">
        <f t="array" aca="1" ref="AI61" ca="1">IFERROR(IF(OR('Raw Data'!AI61="",LEN(TRIM('Raw Data'!AI61))=0),"",IF(AND(ISNUMBER('Raw Data'!AI61), IFERROR('Raw Data'!AI61 = ROUND('Raw Data'!AI61, 2),FALSE)),"",_xlfn.REGEXEXTRACT(CELL("address",AI61), "\$([A-Z]+)\$[0-9]+"))),_xlfn.REGEXEXTRACT(CELL("address",AI61), "\$([A-Z]+)\$[0-9]+"))</f>
        <v/>
      </c>
      <c r="AJ61" s="7" t="str">
        <f t="array" aca="1" ref="AJ61" ca="1">IFERROR(IF(OR('Raw Data'!AJ61="",LEN(TRIM('Raw Data'!AJ61))=0),"",IF(AND(ISNUMBER('Raw Data'!AJ61), IFERROR('Raw Data'!AJ61 = ROUND('Raw Data'!AJ61, 4),FALSE)),"",_xlfn.REGEXEXTRACT(CELL("address",AJ61), "\$([A-Z]+)\$[0-9]+"))),_xlfn.REGEXEXTRACT(CELL("address",AJ61), "\$([A-Z]+)\$[0-9]+"))</f>
        <v/>
      </c>
      <c r="AK61" s="7" t="str">
        <f t="array" aca="1" ref="AK61" ca="1">IFERROR(IF(OR('Raw Data'!AK61="",LEN(TRIM('Raw Data'!AK61))=0),"",IF(AND(ISNUMBER('Raw Data'!AK61), IFERROR('Raw Data'!AK61 = ROUND('Raw Data'!AK61, 2),FALSE)),"",_xlfn.REGEXEXTRACT(CELL("address",AK61), "\$([A-Z]+)\$[0-9]+"))),_xlfn.REGEXEXTRACT(CELL("address",AK61), "\$([A-Z]+)\$[0-9]+"))</f>
        <v/>
      </c>
      <c r="AL61" s="7" t="str">
        <f t="array" aca="1" ref="AL61" ca="1">IFERROR(IF(OR('Raw Data'!AL61="",LEN(TRIM('Raw Data'!AL61))=0),"",IF(AND(ISNUMBER('Raw Data'!AL61), IFERROR('Raw Data'!AL61 = ROUND('Raw Data'!AL61, 2),FALSE)),"",_xlfn.REGEXEXTRACT(CELL("address",AL61), "\$([A-Z]+)\$[0-9]+"))),_xlfn.REGEXEXTRACT(CELL("address",AL61), "\$([A-Z]+)\$[0-9]+"))</f>
        <v/>
      </c>
      <c r="AM61" s="7" t="str">
        <f t="array" aca="1" ref="AM61" ca="1">IFERROR(IF(OR('Raw Data'!AM61="",LEN(TRIM('Raw Data'!AM61))=0),"",IF(AND(ISNUMBER('Raw Data'!AM61), IFERROR('Raw Data'!AM61 = ROUND('Raw Data'!AM61, 2),FALSE)),"",_xlfn.REGEXEXTRACT(CELL("address",AM61), "\$([A-Z]+)\$[0-9]+"))),_xlfn.REGEXEXTRACT(CELL("address",AM61), "\$([A-Z]+)\$[0-9]+"))</f>
        <v/>
      </c>
      <c r="AN61" s="7" t="str">
        <f t="array" aca="1" ref="AN61" ca="1">IFERROR(IF(OR('Raw Data'!AN61="",LEN(TRIM('Raw Data'!AN61))=0),"",IF(AND(ISNUMBER('Raw Data'!AN61), IFERROR('Raw Data'!AN61 = ROUND('Raw Data'!AN61, 2),FALSE)),"",_xlfn.REGEXEXTRACT(CELL("address",AN61), "\$([A-Z]+)\$[0-9]+"))),_xlfn.REGEXEXTRACT(CELL("address",AN61), "\$([A-Z]+)\$[0-9]+"))</f>
        <v/>
      </c>
      <c r="AO61" s="7" t="str">
        <f t="array" aca="1" ref="AO61" ca="1">IFERROR(IF(OR('Raw Data'!AO61="",LEN(TRIM('Raw Data'!AO61))=0),"",IF(AND(ISNUMBER('Raw Data'!AO61), IFERROR('Raw Data'!AO61 = ROUND('Raw Data'!AO61, 2),FALSE)),"",_xlfn.REGEXEXTRACT(CELL("address",AO61), "\$([A-Z]+)\$[0-9]+"))),_xlfn.REGEXEXTRACT(CELL("address",AO61), "\$([A-Z]+)\$[0-9]+"))</f>
        <v/>
      </c>
      <c r="AP61" s="7" t="str">
        <f t="array" aca="1" ref="AP61" ca="1">IFERROR(IF(OR('Raw Data'!AP61="",LEN(TRIM('Raw Data'!AP61))=0),"",IF(AND(ISNUMBER('Raw Data'!AP61), IFERROR('Raw Data'!AP61 = ROUND('Raw Data'!AP61, 2),FALSE)),"",_xlfn.REGEXEXTRACT(CELL("address",AP61), "\$([A-Z]+)\$[0-9]+"))),_xlfn.REGEXEXTRACT(CELL("address",AP61), "\$([A-Z]+)\$[0-9]+"))</f>
        <v/>
      </c>
    </row>
    <row r="62" spans="2:42" x14ac:dyDescent="0.25">
      <c r="B62" s="7" t="str">
        <f t="array" aca="1" ref="B62" ca="1">IFERROR(IF(OR('Raw Data'!B62="",LEN(TRIM('Raw Data'!B62))=0),"",IF(AND(LEN('Raw Data'!B62) &lt;= 255,LEN('Raw Data'!B62)&gt; 0),"",_xlfn.REGEXEXTRACT(CELL("address",'Raw Data'!B62),"\$([A-Z]+)\$[0-9]+"))),_xlfn.REGEXEXTRACT(CELL("address",'Raw Data'!B62),"\$([A-Z]+)\$[0-9]+"))</f>
        <v/>
      </c>
      <c r="C62" s="7" t="str">
        <f t="array" aca="1" ref="C62" ca="1">IFERROR(IF(OR('Raw Data'!C62="",LEN(TRIM('Raw Data'!C62))=0),"",IF(AND(LEN('Raw Data'!C62) &lt;= 50,LEN('Raw Data'!C62)&gt; 0),"",_xlfn.REGEXEXTRACT(CELL("address",'Raw Data'!C62),"\$([A-Z]+)\$[0-9]+"))),_xlfn.REGEXEXTRACT(CELL("address",'Raw Data'!C62),"\$([A-Z]+)\$[0-9]+"))</f>
        <v/>
      </c>
      <c r="D62" s="7" t="str">
        <f t="array" aca="1" ref="D62" ca="1">IFERROR(IF(OR('Raw Data'!D62="",LEN(TRIM('Raw Data'!D62))=0),"",IF(AND(LEN('Raw Data'!D62) &lt;= 500,LEN('Raw Data'!D62)&gt; 0),"",_xlfn.REGEXEXTRACT(CELL("address",'Raw Data'!D62),"\$([A-Z]+)\$[0-9]+"))),_xlfn.REGEXEXTRACT(CELL("address",'Raw Data'!D62),"\$([A-Z]+)\$[0-9]+"))</f>
        <v/>
      </c>
      <c r="E62" s="7" t="str">
        <f t="array" aca="1" ref="E62" ca="1">IFERROR(IF(OR('Raw Data'!E62="",LEN(TRIM('Raw Data'!E62))=0),"",IF(AND(LEN('Raw Data'!E62) &lt;= 50,LEN('Raw Data'!E62)&gt; 0),"",_xlfn.REGEXEXTRACT(CELL("address",'Raw Data'!E62),"\$([A-Z]+)\$[0-9]+"))),_xlfn.REGEXEXTRACT(CELL("address",'Raw Data'!E62),"\$([A-Z]+)\$[0-9]+"))</f>
        <v/>
      </c>
      <c r="F62" s="7" t="str">
        <f t="array" aca="1" ref="F62" ca="1">IFERROR(IF(OR('Raw Data'!F62="",LEN(TRIM('Raw Data'!F62))=0),"",IF(AND(LEN('Raw Data'!F62) &lt;= 50,LEN('Raw Data'!F62)&gt; 0),"",_xlfn.REGEXEXTRACT(CELL("address",'Raw Data'!F62),"\$([A-Z]+)\$[0-9]+"))),_xlfn.REGEXEXTRACT(CELL("address",'Raw Data'!F62),"\$([A-Z]+)\$[0-9]+"))</f>
        <v/>
      </c>
      <c r="G62" s="7" t="str">
        <f t="array" aca="1" ref="G62" ca="1">IFERROR(IF(OR('Raw Data'!G62="",LEN(TRIM('Raw Data'!G62))=0),"",IF(AND(LEN('Raw Data'!G62) &lt;= 50,LEN('Raw Data'!G62)&gt; 0),"",_xlfn.REGEXEXTRACT(CELL("address",'Raw Data'!G62),"\$([A-Z]+)\$[0-9]+"))),_xlfn.REGEXEXTRACT(CELL("address",'Raw Data'!G62),"\$([A-Z]+)\$[0-9]+"))</f>
        <v/>
      </c>
      <c r="H62" s="7" t="str">
        <f t="array" aca="1" ref="H62" ca="1">IFERROR(IF(OR('Raw Data'!H62="",LEN(TRIM('Raw Data'!H62))=0),"",IF(AND(LEN('Raw Data'!H62) &lt;= 50,LEN('Raw Data'!H62)&gt; 0),"",_xlfn.REGEXEXTRACT(CELL("address",'Raw Data'!H62),"\$([A-Z]+)\$[0-9]+"))),_xlfn.REGEXEXTRACT(CELL("address",'Raw Data'!H62),"\$([A-Z]+)\$[0-9]+"))</f>
        <v/>
      </c>
      <c r="I62" s="7" t="str">
        <f t="array" aca="1" ref="I62" ca="1">IFERROR(IF(OR('Raw Data'!I62="",LEN(TRIM('Raw Data'!I62))=0),"",IF(AND(LEN('Raw Data'!I62) &lt;= 50,LEN('Raw Data'!I62)&gt; 0),"",_xlfn.REGEXEXTRACT(CELL("address",'Raw Data'!I62),"\$([A-Z]+)\$[0-9]+"))),_xlfn.REGEXEXTRACT(CELL("address",'Raw Data'!I62),"\$([A-Z]+)\$[0-9]+"))</f>
        <v/>
      </c>
      <c r="J62" s="7" t="str">
        <f t="array" aca="1" ref="J62" ca="1">IFERROR(IF(OR('Raw Data'!J62="",LEN(TRIM('Raw Data'!J62))=0),"",IF(AND(ISNUMBER('Raw Data'!J62), IFERROR('Raw Data'!J62 = ROUND('Raw Data'!J62, 2),FALSE)),"",_xlfn.REGEXEXTRACT(CELL("address",J62), "\$([A-Z]+)\$[0-9]+"))),_xlfn.REGEXEXTRACT(CELL("address",J62), "\$([A-Z]+)\$[0-9]+"))</f>
        <v/>
      </c>
      <c r="K62" s="7" t="str">
        <f t="array" aca="1" ref="K62" ca="1">IFERROR(IF(OR('Raw Data'!K62="",LEN(TRIM('Raw Data'!K62))=0),"",IF(AND(ISNUMBER('Raw Data'!K62), IFERROR('Raw Data'!K62 = ROUND('Raw Data'!K62, 2),FALSE)),"",_xlfn.REGEXEXTRACT(CELL("address",K62), "\$([A-Z]+)\$[0-9]+"))),_xlfn.REGEXEXTRACT(CELL("address",K62), "\$([A-Z]+)\$[0-9]+"))</f>
        <v/>
      </c>
      <c r="L62" s="7" t="str">
        <f t="array" aca="1" ref="L62" ca="1">IFERROR(IF(OR('Raw Data'!L62="",LEN(TRIM('Raw Data'!L62))=0),"",IF(AND(ISNUMBER('Raw Data'!L62), IFERROR('Raw Data'!L62 = ROUND('Raw Data'!L62, 2),FALSE)),"",_xlfn.REGEXEXTRACT(CELL("address",L62), "\$([A-Z]+)\$[0-9]+"))),_xlfn.REGEXEXTRACT(CELL("address",L62), "\$([A-Z]+)\$[0-9]+"))</f>
        <v/>
      </c>
      <c r="M62" s="7" t="str">
        <f t="array" aca="1" ref="M62" ca="1">IFERROR(IF(OR('Raw Data'!M62="",LEN(TRIM('Raw Data'!M62))=0),"",IF(AND(ISNUMBER('Raw Data'!M62), IFERROR('Raw Data'!M62 = ROUND('Raw Data'!M62, 2),FALSE)),"",_xlfn.REGEXEXTRACT(CELL("address",M62), "\$([A-Z]+)\$[0-9]+"))),_xlfn.REGEXEXTRACT(CELL("address",M62), "\$([A-Z]+)\$[0-9]+"))</f>
        <v/>
      </c>
      <c r="N62" s="7" t="str">
        <f t="array" aca="1" ref="N62" ca="1">IFERROR(IF(OR('Raw Data'!N62="",LEN(TRIM('Raw Data'!N62))=0),"",IF(AND(ISNUMBER('Raw Data'!N62), IFERROR('Raw Data'!N62 = ROUND('Raw Data'!N62, 2),FALSE)),"",_xlfn.REGEXEXTRACT(CELL("address",N62), "\$([A-Z]+)\$[0-9]+"))),_xlfn.REGEXEXTRACT(CELL("address",N62), "\$([A-Z]+)\$[0-9]+"))</f>
        <v/>
      </c>
      <c r="O62" s="7" t="str">
        <f t="array" aca="1" ref="O62" ca="1">IFERROR(IF(OR('Raw Data'!O62="",LEN(TRIM('Raw Data'!O62))=0),"",IF(AND(ISNUMBER('Raw Data'!O62),'Raw Data'!O62&gt;=Configuration!$D$2),"",_xlfn.REGEXEXTRACT(CELL("address",'Raw Data'!O62),"\$([A-Z]+)\$[0-9]+"))),_xlfn.REGEXEXTRACT(CELL("address",O62), "\$([A-Z]+)\$[0-9]+"))</f>
        <v/>
      </c>
      <c r="P62" s="7" t="str">
        <f t="array" aca="1" ref="P62" ca="1">IFERROR(IF(OR('Raw Data'!P62="",LEN(TRIM('Raw Data'!P62))=0),"",IF(AND(ISNUMBER('Raw Data'!P62), IFERROR('Raw Data'!P62 = ROUND('Raw Data'!P62, 2),FALSE)),"",_xlfn.REGEXEXTRACT(CELL("address",P62), "\$([A-Z]+)\$[0-9]+"))),_xlfn.REGEXEXTRACT(CELL("address",P62), "\$([A-Z]+)\$[0-9]+"))</f>
        <v/>
      </c>
      <c r="Q62" s="7" t="str">
        <f t="array" aca="1" ref="Q62" ca="1">IFERROR(IF(OR('Raw Data'!Q62="",LEN(TRIM('Raw Data'!Q62))=0),"",IF(AND(ISNUMBER('Raw Data'!Q62), IFERROR('Raw Data'!Q62 = ROUND('Raw Data'!Q62, 2),FALSE)),"",_xlfn.REGEXEXTRACT(CELL("address",Q62), "\$([A-Z]+)\$[0-9]+"))),_xlfn.REGEXEXTRACT(CELL("address",Q62), "\$([A-Z]+)\$[0-9]+"))</f>
        <v/>
      </c>
      <c r="R62" s="7" t="str">
        <f t="array" aca="1" ref="R62" ca="1">IFERROR(IF(OR('Raw Data'!R62="",LEN(TRIM('Raw Data'!R62))=0),"",IF(AND(LEN('Raw Data'!R62) &lt;= 50,LEN('Raw Data'!R62)&gt; 0),"",_xlfn.REGEXEXTRACT(CELL("address",'Raw Data'!R62),"\$([A-Z]+)\$[0-9]+"))),_xlfn.REGEXEXTRACT(CELL("address",'Raw Data'!R62),"\$([A-Z]+)\$[0-9]+"))</f>
        <v/>
      </c>
      <c r="S62" s="7" t="str">
        <f t="array" aca="1" ref="S62" ca="1">IFERROR(IF(OR('Raw Data'!S62="",LEN(TRIM('Raw Data'!S62))=0),"",IF(AND(LEN('Raw Data'!S62) &lt;= 50,LEN('Raw Data'!S62)&gt; 0),"",_xlfn.REGEXEXTRACT(CELL("address",'Raw Data'!S62),"\$([A-Z]+)\$[0-9]+"))),_xlfn.REGEXEXTRACT(CELL("address",'Raw Data'!S62),"\$([A-Z]+)\$[0-9]+"))</f>
        <v/>
      </c>
      <c r="T62" s="7" t="str">
        <f t="array" aca="1" ref="T62" ca="1">IFERROR(IF(OR('Raw Data'!T62="",LEN(TRIM('Raw Data'!T62))=0),"",IF(AND(ISNUMBER('Raw Data'!T62), IFERROR('Raw Data'!T62 = ROUND('Raw Data'!T62, 2),FALSE)),"",_xlfn.REGEXEXTRACT(CELL("address",T62), "\$([A-Z]+)\$[0-9]+"))),_xlfn.REGEXEXTRACT(CELL("address",T62), "\$([A-Z]+)\$[0-9]+"))</f>
        <v/>
      </c>
      <c r="U62" s="7" t="str">
        <f t="array" aca="1" ref="U62" ca="1">IFERROR(IF(OR('Raw Data'!U62="",LEN(TRIM('Raw Data'!U62))=0),"",IF(AND(ISNUMBER('Raw Data'!U62), IFERROR('Raw Data'!U62 = ROUND('Raw Data'!U62, 2),FALSE)),"",_xlfn.REGEXEXTRACT(CELL("address",U62), "\$([A-Z]+)\$[0-9]+"))),_xlfn.REGEXEXTRACT(CELL("address",U62), "\$([A-Z]+)\$[0-9]+"))</f>
        <v/>
      </c>
      <c r="V62" s="7" t="str">
        <f t="array" aca="1" ref="V62" ca="1">IFERROR(IF(OR('Raw Data'!V62="",LEN(TRIM('Raw Data'!V62))=0),"",IF(AND(ISNUMBER('Raw Data'!V62), IFERROR('Raw Data'!V62 = ROUND('Raw Data'!V62, 2),FALSE)),"",_xlfn.REGEXEXTRACT(CELL("address",V62), "\$([A-Z]+)\$[0-9]+"))),_xlfn.REGEXEXTRACT(CELL("address",V62), "\$([A-Z]+)\$[0-9]+"))</f>
        <v/>
      </c>
      <c r="W62" s="7" t="str">
        <f t="array" aca="1" ref="W62" ca="1">IFERROR(IF(OR('Raw Data'!W62="",LEN(TRIM('Raw Data'!W62))=0),"",IF(AND(ISNUMBER('Raw Data'!W62), IFERROR('Raw Data'!W62 = ROUND('Raw Data'!W62, 2),FALSE)),"",_xlfn.REGEXEXTRACT(CELL("address",W62), "\$([A-Z]+)\$[0-9]+"))),_xlfn.REGEXEXTRACT(CELL("address",W62), "\$([A-Z]+)\$[0-9]+"))</f>
        <v/>
      </c>
      <c r="X62" s="7" t="str">
        <f t="array" aca="1" ref="X62" ca="1">IFERROR(IF(OR('Raw Data'!X62="",LEN(TRIM('Raw Data'!X62))=0),"",IF(AND(ISNUMBER('Raw Data'!X62), IFERROR('Raw Data'!X62 = ROUND('Raw Data'!X62, 2),FALSE)),"",_xlfn.REGEXEXTRACT(CELL("address",X62), "\$([A-Z]+)\$[0-9]+"))),_xlfn.REGEXEXTRACT(CELL("address",X62), "\$([A-Z]+)\$[0-9]+"))</f>
        <v/>
      </c>
      <c r="Y62" s="7" t="str">
        <f t="array" aca="1" ref="Y62" ca="1">IFERROR(IF(OR('Raw Data'!Y62="",LEN(TRIM('Raw Data'!Y62))=0),"",IF(AND(ISNUMBER('Raw Data'!Y62), IFERROR('Raw Data'!Y62 = ROUND('Raw Data'!Y62, 2),FALSE)),"",_xlfn.REGEXEXTRACT(CELL("address",Y62), "\$([A-Z]+)\$[0-9]+"))),_xlfn.REGEXEXTRACT(CELL("address",Y62), "\$([A-Z]+)\$[0-9]+"))</f>
        <v/>
      </c>
      <c r="Z62" s="7" t="str">
        <f t="array" aca="1" ref="Z62" ca="1">IFERROR(IF(OR('Raw Data'!Z62="",LEN(TRIM('Raw Data'!Z62))=0),"",IF(AND(ISNUMBER('Raw Data'!Z62), IFERROR('Raw Data'!Z62 = ROUND('Raw Data'!Z62, 2),FALSE)),"",_xlfn.REGEXEXTRACT(CELL("address",Z62), "\$([A-Z]+)\$[0-9]+"))),_xlfn.REGEXEXTRACT(CELL("address",Z62), "\$([A-Z]+)\$[0-9]+"))</f>
        <v/>
      </c>
      <c r="AA62" s="7" t="str">
        <f t="array" aca="1" ref="AA62" ca="1">IFERROR(IF(OR('Raw Data'!AA62="",LEN(TRIM('Raw Data'!AA62))=0),"",IF(AND(ISNUMBER('Raw Data'!AA62), IFERROR('Raw Data'!AA62 = ROUND('Raw Data'!AA62, 2),FALSE)),"",_xlfn.REGEXEXTRACT(CELL("address",AA62), "\$([A-Z]+)\$[0-9]+"))),_xlfn.REGEXEXTRACT(CELL("address",AA62), "\$([A-Z]+)\$[0-9]+"))</f>
        <v/>
      </c>
      <c r="AB62" s="7" t="str">
        <f t="array" aca="1" ref="AB62" ca="1">IFERROR(IF(OR('Raw Data'!AB62="",LEN(TRIM('Raw Data'!AB62))=0),"",IF(AND(ISNUMBER('Raw Data'!AB62), IFERROR('Raw Data'!AB62 = ROUND('Raw Data'!AB62, 2),FALSE)),"",_xlfn.REGEXEXTRACT(CELL("address",AB62), "\$([A-Z]+)\$[0-9]+"))),_xlfn.REGEXEXTRACT(CELL("address",AB62), "\$([A-Z]+)\$[0-9]+"))</f>
        <v/>
      </c>
      <c r="AC62" s="7" t="str">
        <f t="array" aca="1" ref="AC62" ca="1">IFERROR(IF(OR('Raw Data'!AC62="",LEN(TRIM('Raw Data'!AC62))=0),"",IF(AND(ISNUMBER('Raw Data'!AC62), IFERROR('Raw Data'!AC62 = ROUND('Raw Data'!AC62, 2),FALSE)),"",_xlfn.REGEXEXTRACT(CELL("address",AC62), "\$([A-Z]+)\$[0-9]+"))),_xlfn.REGEXEXTRACT(CELL("address",AC62), "\$([A-Z]+)\$[0-9]+"))</f>
        <v/>
      </c>
      <c r="AD62" s="7" t="str">
        <f t="array" aca="1" ref="AD62" ca="1">IFERROR(IF(OR('Raw Data'!AD62="",LEN(TRIM('Raw Data'!AD62))=0),"",IF(AND(ISNUMBER('Raw Data'!AD62), IFERROR('Raw Data'!AD62 = ROUND('Raw Data'!AD62, 2),FALSE)),"",_xlfn.REGEXEXTRACT(CELL("address",AD62), "\$([A-Z]+)\$[0-9]+"))),_xlfn.REGEXEXTRACT(CELL("address",AD62), "\$([A-Z]+)\$[0-9]+"))</f>
        <v/>
      </c>
      <c r="AE62" s="7" t="str">
        <f t="array" aca="1" ref="AE62" ca="1">IFERROR(IF(OR('Raw Data'!AE62="",LEN(TRIM('Raw Data'!AE62))=0),"",IF(AND(ISNUMBER('Raw Data'!AE62), IFERROR('Raw Data'!AE62 = ROUND('Raw Data'!AE62, 2),FALSE)),"",_xlfn.REGEXEXTRACT(CELL("address",AE62), "\$([A-Z]+)\$[0-9]+"))),_xlfn.REGEXEXTRACT(CELL("address",AE62), "\$([A-Z]+)\$[0-9]+"))</f>
        <v/>
      </c>
      <c r="AF62" s="7" t="str">
        <f t="array" aca="1" ref="AF62" ca="1">IFERROR(IF(OR('Raw Data'!AF62="",LEN(TRIM('Raw Data'!AF62))=0),"",IF(AND(ISNUMBER('Raw Data'!AF62), IFERROR('Raw Data'!AF62 = ROUND('Raw Data'!AF62, 2),FALSE)),"",_xlfn.REGEXEXTRACT(CELL("address",AF62), "\$([A-Z]+)\$[0-9]+"))),_xlfn.REGEXEXTRACT(CELL("address",AF62), "\$([A-Z]+)\$[0-9]+"))</f>
        <v/>
      </c>
      <c r="AG62" s="7" t="str">
        <f t="array" aca="1" ref="AG62" ca="1">IFERROR(IF(OR('Raw Data'!AG62="",LEN(TRIM('Raw Data'!AG62))=0),"",IF(AND(ISNUMBER('Raw Data'!AG62), IFERROR('Raw Data'!AG62 = ROUND('Raw Data'!AG62, 2),FALSE)),"",_xlfn.REGEXEXTRACT(CELL("address",AG62), "\$([A-Z]+)\$[0-9]+"))),_xlfn.REGEXEXTRACT(CELL("address",AG62), "\$([A-Z]+)\$[0-9]+"))</f>
        <v/>
      </c>
      <c r="AH62" s="7" t="str">
        <f t="array" aca="1" ref="AH62" ca="1">IFERROR(IF(OR('Raw Data'!AH62="",LEN(TRIM('Raw Data'!AH62))=0),"",IF(AND(ISNUMBER('Raw Data'!AH62), IFERROR('Raw Data'!AH62 = ROUND('Raw Data'!AH62, 2),FALSE)),"",_xlfn.REGEXEXTRACT(CELL("address",AH62), "\$([A-Z]+)\$[0-9]+"))),_xlfn.REGEXEXTRACT(CELL("address",AH62), "\$([A-Z]+)\$[0-9]+"))</f>
        <v/>
      </c>
      <c r="AI62" s="7" t="str">
        <f t="array" aca="1" ref="AI62" ca="1">IFERROR(IF(OR('Raw Data'!AI62="",LEN(TRIM('Raw Data'!AI62))=0),"",IF(AND(ISNUMBER('Raw Data'!AI62), IFERROR('Raw Data'!AI62 = ROUND('Raw Data'!AI62, 2),FALSE)),"",_xlfn.REGEXEXTRACT(CELL("address",AI62), "\$([A-Z]+)\$[0-9]+"))),_xlfn.REGEXEXTRACT(CELL("address",AI62), "\$([A-Z]+)\$[0-9]+"))</f>
        <v/>
      </c>
      <c r="AJ62" s="7" t="str">
        <f t="array" aca="1" ref="AJ62" ca="1">IFERROR(IF(OR('Raw Data'!AJ62="",LEN(TRIM('Raw Data'!AJ62))=0),"",IF(AND(ISNUMBER('Raw Data'!AJ62), IFERROR('Raw Data'!AJ62 = ROUND('Raw Data'!AJ62, 4),FALSE)),"",_xlfn.REGEXEXTRACT(CELL("address",AJ62), "\$([A-Z]+)\$[0-9]+"))),_xlfn.REGEXEXTRACT(CELL("address",AJ62), "\$([A-Z]+)\$[0-9]+"))</f>
        <v/>
      </c>
      <c r="AK62" s="7" t="str">
        <f t="array" aca="1" ref="AK62" ca="1">IFERROR(IF(OR('Raw Data'!AK62="",LEN(TRIM('Raw Data'!AK62))=0),"",IF(AND(ISNUMBER('Raw Data'!AK62), IFERROR('Raw Data'!AK62 = ROUND('Raw Data'!AK62, 2),FALSE)),"",_xlfn.REGEXEXTRACT(CELL("address",AK62), "\$([A-Z]+)\$[0-9]+"))),_xlfn.REGEXEXTRACT(CELL("address",AK62), "\$([A-Z]+)\$[0-9]+"))</f>
        <v/>
      </c>
      <c r="AL62" s="7" t="str">
        <f t="array" aca="1" ref="AL62" ca="1">IFERROR(IF(OR('Raw Data'!AL62="",LEN(TRIM('Raw Data'!AL62))=0),"",IF(AND(ISNUMBER('Raw Data'!AL62), IFERROR('Raw Data'!AL62 = ROUND('Raw Data'!AL62, 2),FALSE)),"",_xlfn.REGEXEXTRACT(CELL("address",AL62), "\$([A-Z]+)\$[0-9]+"))),_xlfn.REGEXEXTRACT(CELL("address",AL62), "\$([A-Z]+)\$[0-9]+"))</f>
        <v/>
      </c>
      <c r="AM62" s="7" t="str">
        <f t="array" aca="1" ref="AM62" ca="1">IFERROR(IF(OR('Raw Data'!AM62="",LEN(TRIM('Raw Data'!AM62))=0),"",IF(AND(ISNUMBER('Raw Data'!AM62), IFERROR('Raw Data'!AM62 = ROUND('Raw Data'!AM62, 2),FALSE)),"",_xlfn.REGEXEXTRACT(CELL("address",AM62), "\$([A-Z]+)\$[0-9]+"))),_xlfn.REGEXEXTRACT(CELL("address",AM62), "\$([A-Z]+)\$[0-9]+"))</f>
        <v/>
      </c>
      <c r="AN62" s="7" t="str">
        <f t="array" aca="1" ref="AN62" ca="1">IFERROR(IF(OR('Raw Data'!AN62="",LEN(TRIM('Raw Data'!AN62))=0),"",IF(AND(ISNUMBER('Raw Data'!AN62), IFERROR('Raw Data'!AN62 = ROUND('Raw Data'!AN62, 2),FALSE)),"",_xlfn.REGEXEXTRACT(CELL("address",AN62), "\$([A-Z]+)\$[0-9]+"))),_xlfn.REGEXEXTRACT(CELL("address",AN62), "\$([A-Z]+)\$[0-9]+"))</f>
        <v/>
      </c>
      <c r="AO62" s="7" t="str">
        <f t="array" aca="1" ref="AO62" ca="1">IFERROR(IF(OR('Raw Data'!AO62="",LEN(TRIM('Raw Data'!AO62))=0),"",IF(AND(ISNUMBER('Raw Data'!AO62), IFERROR('Raw Data'!AO62 = ROUND('Raw Data'!AO62, 2),FALSE)),"",_xlfn.REGEXEXTRACT(CELL("address",AO62), "\$([A-Z]+)\$[0-9]+"))),_xlfn.REGEXEXTRACT(CELL("address",AO62), "\$([A-Z]+)\$[0-9]+"))</f>
        <v/>
      </c>
      <c r="AP62" s="7" t="str">
        <f t="array" aca="1" ref="AP62" ca="1">IFERROR(IF(OR('Raw Data'!AP62="",LEN(TRIM('Raw Data'!AP62))=0),"",IF(AND(ISNUMBER('Raw Data'!AP62), IFERROR('Raw Data'!AP62 = ROUND('Raw Data'!AP62, 2),FALSE)),"",_xlfn.REGEXEXTRACT(CELL("address",AP62), "\$([A-Z]+)\$[0-9]+"))),_xlfn.REGEXEXTRACT(CELL("address",AP62), "\$([A-Z]+)\$[0-9]+"))</f>
        <v/>
      </c>
    </row>
    <row r="63" spans="2:42" x14ac:dyDescent="0.25">
      <c r="B63" s="7" t="str">
        <f t="array" aca="1" ref="B63" ca="1">IFERROR(IF(OR('Raw Data'!B63="",LEN(TRIM('Raw Data'!B63))=0),"",IF(AND(LEN('Raw Data'!B63) &lt;= 255,LEN('Raw Data'!B63)&gt; 0),"",_xlfn.REGEXEXTRACT(CELL("address",'Raw Data'!B63),"\$([A-Z]+)\$[0-9]+"))),_xlfn.REGEXEXTRACT(CELL("address",'Raw Data'!B63),"\$([A-Z]+)\$[0-9]+"))</f>
        <v/>
      </c>
      <c r="C63" s="7" t="str">
        <f t="array" aca="1" ref="C63" ca="1">IFERROR(IF(OR('Raw Data'!C63="",LEN(TRIM('Raw Data'!C63))=0),"",IF(AND(LEN('Raw Data'!C63) &lt;= 50,LEN('Raw Data'!C63)&gt; 0),"",_xlfn.REGEXEXTRACT(CELL("address",'Raw Data'!C63),"\$([A-Z]+)\$[0-9]+"))),_xlfn.REGEXEXTRACT(CELL("address",'Raw Data'!C63),"\$([A-Z]+)\$[0-9]+"))</f>
        <v/>
      </c>
      <c r="D63" s="7" t="str">
        <f t="array" aca="1" ref="D63" ca="1">IFERROR(IF(OR('Raw Data'!D63="",LEN(TRIM('Raw Data'!D63))=0),"",IF(AND(LEN('Raw Data'!D63) &lt;= 500,LEN('Raw Data'!D63)&gt; 0),"",_xlfn.REGEXEXTRACT(CELL("address",'Raw Data'!D63),"\$([A-Z]+)\$[0-9]+"))),_xlfn.REGEXEXTRACT(CELL("address",'Raw Data'!D63),"\$([A-Z]+)\$[0-9]+"))</f>
        <v/>
      </c>
      <c r="E63" s="7" t="str">
        <f t="array" aca="1" ref="E63" ca="1">IFERROR(IF(OR('Raw Data'!E63="",LEN(TRIM('Raw Data'!E63))=0),"",IF(AND(LEN('Raw Data'!E63) &lt;= 50,LEN('Raw Data'!E63)&gt; 0),"",_xlfn.REGEXEXTRACT(CELL("address",'Raw Data'!E63),"\$([A-Z]+)\$[0-9]+"))),_xlfn.REGEXEXTRACT(CELL("address",'Raw Data'!E63),"\$([A-Z]+)\$[0-9]+"))</f>
        <v/>
      </c>
      <c r="F63" s="7" t="str">
        <f t="array" aca="1" ref="F63" ca="1">IFERROR(IF(OR('Raw Data'!F63="",LEN(TRIM('Raw Data'!F63))=0),"",IF(AND(LEN('Raw Data'!F63) &lt;= 50,LEN('Raw Data'!F63)&gt; 0),"",_xlfn.REGEXEXTRACT(CELL("address",'Raw Data'!F63),"\$([A-Z]+)\$[0-9]+"))),_xlfn.REGEXEXTRACT(CELL("address",'Raw Data'!F63),"\$([A-Z]+)\$[0-9]+"))</f>
        <v/>
      </c>
      <c r="G63" s="7" t="str">
        <f t="array" aca="1" ref="G63" ca="1">IFERROR(IF(OR('Raw Data'!G63="",LEN(TRIM('Raw Data'!G63))=0),"",IF(AND(LEN('Raw Data'!G63) &lt;= 50,LEN('Raw Data'!G63)&gt; 0),"",_xlfn.REGEXEXTRACT(CELL("address",'Raw Data'!G63),"\$([A-Z]+)\$[0-9]+"))),_xlfn.REGEXEXTRACT(CELL("address",'Raw Data'!G63),"\$([A-Z]+)\$[0-9]+"))</f>
        <v/>
      </c>
      <c r="H63" s="7" t="str">
        <f t="array" aca="1" ref="H63" ca="1">IFERROR(IF(OR('Raw Data'!H63="",LEN(TRIM('Raw Data'!H63))=0),"",IF(AND(LEN('Raw Data'!H63) &lt;= 50,LEN('Raw Data'!H63)&gt; 0),"",_xlfn.REGEXEXTRACT(CELL("address",'Raw Data'!H63),"\$([A-Z]+)\$[0-9]+"))),_xlfn.REGEXEXTRACT(CELL("address",'Raw Data'!H63),"\$([A-Z]+)\$[0-9]+"))</f>
        <v/>
      </c>
      <c r="I63" s="7" t="str">
        <f t="array" aca="1" ref="I63" ca="1">IFERROR(IF(OR('Raw Data'!I63="",LEN(TRIM('Raw Data'!I63))=0),"",IF(AND(LEN('Raw Data'!I63) &lt;= 50,LEN('Raw Data'!I63)&gt; 0),"",_xlfn.REGEXEXTRACT(CELL("address",'Raw Data'!I63),"\$([A-Z]+)\$[0-9]+"))),_xlfn.REGEXEXTRACT(CELL("address",'Raw Data'!I63),"\$([A-Z]+)\$[0-9]+"))</f>
        <v/>
      </c>
      <c r="J63" s="7" t="str">
        <f t="array" aca="1" ref="J63" ca="1">IFERROR(IF(OR('Raw Data'!J63="",LEN(TRIM('Raw Data'!J63))=0),"",IF(AND(ISNUMBER('Raw Data'!J63), IFERROR('Raw Data'!J63 = ROUND('Raw Data'!J63, 2),FALSE)),"",_xlfn.REGEXEXTRACT(CELL("address",J63), "\$([A-Z]+)\$[0-9]+"))),_xlfn.REGEXEXTRACT(CELL("address",J63), "\$([A-Z]+)\$[0-9]+"))</f>
        <v/>
      </c>
      <c r="K63" s="7" t="str">
        <f t="array" aca="1" ref="K63" ca="1">IFERROR(IF(OR('Raw Data'!K63="",LEN(TRIM('Raw Data'!K63))=0),"",IF(AND(ISNUMBER('Raw Data'!K63), IFERROR('Raw Data'!K63 = ROUND('Raw Data'!K63, 2),FALSE)),"",_xlfn.REGEXEXTRACT(CELL("address",K63), "\$([A-Z]+)\$[0-9]+"))),_xlfn.REGEXEXTRACT(CELL("address",K63), "\$([A-Z]+)\$[0-9]+"))</f>
        <v/>
      </c>
      <c r="L63" s="7" t="str">
        <f t="array" aca="1" ref="L63" ca="1">IFERROR(IF(OR('Raw Data'!L63="",LEN(TRIM('Raw Data'!L63))=0),"",IF(AND(ISNUMBER('Raw Data'!L63), IFERROR('Raw Data'!L63 = ROUND('Raw Data'!L63, 2),FALSE)),"",_xlfn.REGEXEXTRACT(CELL("address",L63), "\$([A-Z]+)\$[0-9]+"))),_xlfn.REGEXEXTRACT(CELL("address",L63), "\$([A-Z]+)\$[0-9]+"))</f>
        <v/>
      </c>
      <c r="M63" s="7" t="str">
        <f t="array" aca="1" ref="M63" ca="1">IFERROR(IF(OR('Raw Data'!M63="",LEN(TRIM('Raw Data'!M63))=0),"",IF(AND(ISNUMBER('Raw Data'!M63), IFERROR('Raw Data'!M63 = ROUND('Raw Data'!M63, 2),FALSE)),"",_xlfn.REGEXEXTRACT(CELL("address",M63), "\$([A-Z]+)\$[0-9]+"))),_xlfn.REGEXEXTRACT(CELL("address",M63), "\$([A-Z]+)\$[0-9]+"))</f>
        <v/>
      </c>
      <c r="N63" s="7" t="str">
        <f t="array" aca="1" ref="N63" ca="1">IFERROR(IF(OR('Raw Data'!N63="",LEN(TRIM('Raw Data'!N63))=0),"",IF(AND(ISNUMBER('Raw Data'!N63), IFERROR('Raw Data'!N63 = ROUND('Raw Data'!N63, 2),FALSE)),"",_xlfn.REGEXEXTRACT(CELL("address",N63), "\$([A-Z]+)\$[0-9]+"))),_xlfn.REGEXEXTRACT(CELL("address",N63), "\$([A-Z]+)\$[0-9]+"))</f>
        <v/>
      </c>
      <c r="O63" s="7" t="str">
        <f t="array" aca="1" ref="O63" ca="1">IFERROR(IF(OR('Raw Data'!O63="",LEN(TRIM('Raw Data'!O63))=0),"",IF(AND(ISNUMBER('Raw Data'!O63),'Raw Data'!O63&gt;=Configuration!$D$2),"",_xlfn.REGEXEXTRACT(CELL("address",'Raw Data'!O63),"\$([A-Z]+)\$[0-9]+"))),_xlfn.REGEXEXTRACT(CELL("address",O63), "\$([A-Z]+)\$[0-9]+"))</f>
        <v/>
      </c>
      <c r="P63" s="7" t="str">
        <f t="array" aca="1" ref="P63" ca="1">IFERROR(IF(OR('Raw Data'!P63="",LEN(TRIM('Raw Data'!P63))=0),"",IF(AND(ISNUMBER('Raw Data'!P63), IFERROR('Raw Data'!P63 = ROUND('Raw Data'!P63, 2),FALSE)),"",_xlfn.REGEXEXTRACT(CELL("address",P63), "\$([A-Z]+)\$[0-9]+"))),_xlfn.REGEXEXTRACT(CELL("address",P63), "\$([A-Z]+)\$[0-9]+"))</f>
        <v/>
      </c>
      <c r="Q63" s="7" t="str">
        <f t="array" aca="1" ref="Q63" ca="1">IFERROR(IF(OR('Raw Data'!Q63="",LEN(TRIM('Raw Data'!Q63))=0),"",IF(AND(ISNUMBER('Raw Data'!Q63), IFERROR('Raw Data'!Q63 = ROUND('Raw Data'!Q63, 2),FALSE)),"",_xlfn.REGEXEXTRACT(CELL("address",Q63), "\$([A-Z]+)\$[0-9]+"))),_xlfn.REGEXEXTRACT(CELL("address",Q63), "\$([A-Z]+)\$[0-9]+"))</f>
        <v/>
      </c>
      <c r="R63" s="7" t="str">
        <f t="array" aca="1" ref="R63" ca="1">IFERROR(IF(OR('Raw Data'!R63="",LEN(TRIM('Raw Data'!R63))=0),"",IF(AND(LEN('Raw Data'!R63) &lt;= 50,LEN('Raw Data'!R63)&gt; 0),"",_xlfn.REGEXEXTRACT(CELL("address",'Raw Data'!R63),"\$([A-Z]+)\$[0-9]+"))),_xlfn.REGEXEXTRACT(CELL("address",'Raw Data'!R63),"\$([A-Z]+)\$[0-9]+"))</f>
        <v/>
      </c>
      <c r="S63" s="7" t="str">
        <f t="array" aca="1" ref="S63" ca="1">IFERROR(IF(OR('Raw Data'!S63="",LEN(TRIM('Raw Data'!S63))=0),"",IF(AND(LEN('Raw Data'!S63) &lt;= 50,LEN('Raw Data'!S63)&gt; 0),"",_xlfn.REGEXEXTRACT(CELL("address",'Raw Data'!S63),"\$([A-Z]+)\$[0-9]+"))),_xlfn.REGEXEXTRACT(CELL("address",'Raw Data'!S63),"\$([A-Z]+)\$[0-9]+"))</f>
        <v/>
      </c>
      <c r="T63" s="7" t="str">
        <f t="array" aca="1" ref="T63" ca="1">IFERROR(IF(OR('Raw Data'!T63="",LEN(TRIM('Raw Data'!T63))=0),"",IF(AND(ISNUMBER('Raw Data'!T63), IFERROR('Raw Data'!T63 = ROUND('Raw Data'!T63, 2),FALSE)),"",_xlfn.REGEXEXTRACT(CELL("address",T63), "\$([A-Z]+)\$[0-9]+"))),_xlfn.REGEXEXTRACT(CELL("address",T63), "\$([A-Z]+)\$[0-9]+"))</f>
        <v/>
      </c>
      <c r="U63" s="7" t="str">
        <f t="array" aca="1" ref="U63" ca="1">IFERROR(IF(OR('Raw Data'!U63="",LEN(TRIM('Raw Data'!U63))=0),"",IF(AND(ISNUMBER('Raw Data'!U63), IFERROR('Raw Data'!U63 = ROUND('Raw Data'!U63, 2),FALSE)),"",_xlfn.REGEXEXTRACT(CELL("address",U63), "\$([A-Z]+)\$[0-9]+"))),_xlfn.REGEXEXTRACT(CELL("address",U63), "\$([A-Z]+)\$[0-9]+"))</f>
        <v/>
      </c>
      <c r="V63" s="7" t="str">
        <f t="array" aca="1" ref="V63" ca="1">IFERROR(IF(OR('Raw Data'!V63="",LEN(TRIM('Raw Data'!V63))=0),"",IF(AND(ISNUMBER('Raw Data'!V63), IFERROR('Raw Data'!V63 = ROUND('Raw Data'!V63, 2),FALSE)),"",_xlfn.REGEXEXTRACT(CELL("address",V63), "\$([A-Z]+)\$[0-9]+"))),_xlfn.REGEXEXTRACT(CELL("address",V63), "\$([A-Z]+)\$[0-9]+"))</f>
        <v/>
      </c>
      <c r="W63" s="7" t="str">
        <f t="array" aca="1" ref="W63" ca="1">IFERROR(IF(OR('Raw Data'!W63="",LEN(TRIM('Raw Data'!W63))=0),"",IF(AND(ISNUMBER('Raw Data'!W63), IFERROR('Raw Data'!W63 = ROUND('Raw Data'!W63, 2),FALSE)),"",_xlfn.REGEXEXTRACT(CELL("address",W63), "\$([A-Z]+)\$[0-9]+"))),_xlfn.REGEXEXTRACT(CELL("address",W63), "\$([A-Z]+)\$[0-9]+"))</f>
        <v/>
      </c>
      <c r="X63" s="7" t="str">
        <f t="array" aca="1" ref="X63" ca="1">IFERROR(IF(OR('Raw Data'!X63="",LEN(TRIM('Raw Data'!X63))=0),"",IF(AND(ISNUMBER('Raw Data'!X63), IFERROR('Raw Data'!X63 = ROUND('Raw Data'!X63, 2),FALSE)),"",_xlfn.REGEXEXTRACT(CELL("address",X63), "\$([A-Z]+)\$[0-9]+"))),_xlfn.REGEXEXTRACT(CELL("address",X63), "\$([A-Z]+)\$[0-9]+"))</f>
        <v/>
      </c>
      <c r="Y63" s="7" t="str">
        <f t="array" aca="1" ref="Y63" ca="1">IFERROR(IF(OR('Raw Data'!Y63="",LEN(TRIM('Raw Data'!Y63))=0),"",IF(AND(ISNUMBER('Raw Data'!Y63), IFERROR('Raw Data'!Y63 = ROUND('Raw Data'!Y63, 2),FALSE)),"",_xlfn.REGEXEXTRACT(CELL("address",Y63), "\$([A-Z]+)\$[0-9]+"))),_xlfn.REGEXEXTRACT(CELL("address",Y63), "\$([A-Z]+)\$[0-9]+"))</f>
        <v/>
      </c>
      <c r="Z63" s="7" t="str">
        <f t="array" aca="1" ref="Z63" ca="1">IFERROR(IF(OR('Raw Data'!Z63="",LEN(TRIM('Raw Data'!Z63))=0),"",IF(AND(ISNUMBER('Raw Data'!Z63), IFERROR('Raw Data'!Z63 = ROUND('Raw Data'!Z63, 2),FALSE)),"",_xlfn.REGEXEXTRACT(CELL("address",Z63), "\$([A-Z]+)\$[0-9]+"))),_xlfn.REGEXEXTRACT(CELL("address",Z63), "\$([A-Z]+)\$[0-9]+"))</f>
        <v/>
      </c>
      <c r="AA63" s="7" t="str">
        <f t="array" aca="1" ref="AA63" ca="1">IFERROR(IF(OR('Raw Data'!AA63="",LEN(TRIM('Raw Data'!AA63))=0),"",IF(AND(ISNUMBER('Raw Data'!AA63), IFERROR('Raw Data'!AA63 = ROUND('Raw Data'!AA63, 2),FALSE)),"",_xlfn.REGEXEXTRACT(CELL("address",AA63), "\$([A-Z]+)\$[0-9]+"))),_xlfn.REGEXEXTRACT(CELL("address",AA63), "\$([A-Z]+)\$[0-9]+"))</f>
        <v/>
      </c>
      <c r="AB63" s="7" t="str">
        <f t="array" aca="1" ref="AB63" ca="1">IFERROR(IF(OR('Raw Data'!AB63="",LEN(TRIM('Raw Data'!AB63))=0),"",IF(AND(ISNUMBER('Raw Data'!AB63), IFERROR('Raw Data'!AB63 = ROUND('Raw Data'!AB63, 2),FALSE)),"",_xlfn.REGEXEXTRACT(CELL("address",AB63), "\$([A-Z]+)\$[0-9]+"))),_xlfn.REGEXEXTRACT(CELL("address",AB63), "\$([A-Z]+)\$[0-9]+"))</f>
        <v/>
      </c>
      <c r="AC63" s="7" t="str">
        <f t="array" aca="1" ref="AC63" ca="1">IFERROR(IF(OR('Raw Data'!AC63="",LEN(TRIM('Raw Data'!AC63))=0),"",IF(AND(ISNUMBER('Raw Data'!AC63), IFERROR('Raw Data'!AC63 = ROUND('Raw Data'!AC63, 2),FALSE)),"",_xlfn.REGEXEXTRACT(CELL("address",AC63), "\$([A-Z]+)\$[0-9]+"))),_xlfn.REGEXEXTRACT(CELL("address",AC63), "\$([A-Z]+)\$[0-9]+"))</f>
        <v/>
      </c>
      <c r="AD63" s="7" t="str">
        <f t="array" aca="1" ref="AD63" ca="1">IFERROR(IF(OR('Raw Data'!AD63="",LEN(TRIM('Raw Data'!AD63))=0),"",IF(AND(ISNUMBER('Raw Data'!AD63), IFERROR('Raw Data'!AD63 = ROUND('Raw Data'!AD63, 2),FALSE)),"",_xlfn.REGEXEXTRACT(CELL("address",AD63), "\$([A-Z]+)\$[0-9]+"))),_xlfn.REGEXEXTRACT(CELL("address",AD63), "\$([A-Z]+)\$[0-9]+"))</f>
        <v/>
      </c>
      <c r="AE63" s="7" t="str">
        <f t="array" aca="1" ref="AE63" ca="1">IFERROR(IF(OR('Raw Data'!AE63="",LEN(TRIM('Raw Data'!AE63))=0),"",IF(AND(ISNUMBER('Raw Data'!AE63), IFERROR('Raw Data'!AE63 = ROUND('Raw Data'!AE63, 2),FALSE)),"",_xlfn.REGEXEXTRACT(CELL("address",AE63), "\$([A-Z]+)\$[0-9]+"))),_xlfn.REGEXEXTRACT(CELL("address",AE63), "\$([A-Z]+)\$[0-9]+"))</f>
        <v/>
      </c>
      <c r="AF63" s="7" t="str">
        <f t="array" aca="1" ref="AF63" ca="1">IFERROR(IF(OR('Raw Data'!AF63="",LEN(TRIM('Raw Data'!AF63))=0),"",IF(AND(ISNUMBER('Raw Data'!AF63), IFERROR('Raw Data'!AF63 = ROUND('Raw Data'!AF63, 2),FALSE)),"",_xlfn.REGEXEXTRACT(CELL("address",AF63), "\$([A-Z]+)\$[0-9]+"))),_xlfn.REGEXEXTRACT(CELL("address",AF63), "\$([A-Z]+)\$[0-9]+"))</f>
        <v/>
      </c>
      <c r="AG63" s="7" t="str">
        <f t="array" aca="1" ref="AG63" ca="1">IFERROR(IF(OR('Raw Data'!AG63="",LEN(TRIM('Raw Data'!AG63))=0),"",IF(AND(ISNUMBER('Raw Data'!AG63), IFERROR('Raw Data'!AG63 = ROUND('Raw Data'!AG63, 2),FALSE)),"",_xlfn.REGEXEXTRACT(CELL("address",AG63), "\$([A-Z]+)\$[0-9]+"))),_xlfn.REGEXEXTRACT(CELL("address",AG63), "\$([A-Z]+)\$[0-9]+"))</f>
        <v/>
      </c>
      <c r="AH63" s="7" t="str">
        <f t="array" aca="1" ref="AH63" ca="1">IFERROR(IF(OR('Raw Data'!AH63="",LEN(TRIM('Raw Data'!AH63))=0),"",IF(AND(ISNUMBER('Raw Data'!AH63), IFERROR('Raw Data'!AH63 = ROUND('Raw Data'!AH63, 2),FALSE)),"",_xlfn.REGEXEXTRACT(CELL("address",AH63), "\$([A-Z]+)\$[0-9]+"))),_xlfn.REGEXEXTRACT(CELL("address",AH63), "\$([A-Z]+)\$[0-9]+"))</f>
        <v/>
      </c>
      <c r="AI63" s="7" t="str">
        <f t="array" aca="1" ref="AI63" ca="1">IFERROR(IF(OR('Raw Data'!AI63="",LEN(TRIM('Raw Data'!AI63))=0),"",IF(AND(ISNUMBER('Raw Data'!AI63), IFERROR('Raw Data'!AI63 = ROUND('Raw Data'!AI63, 2),FALSE)),"",_xlfn.REGEXEXTRACT(CELL("address",AI63), "\$([A-Z]+)\$[0-9]+"))),_xlfn.REGEXEXTRACT(CELL("address",AI63), "\$([A-Z]+)\$[0-9]+"))</f>
        <v/>
      </c>
      <c r="AJ63" s="7" t="str">
        <f t="array" aca="1" ref="AJ63" ca="1">IFERROR(IF(OR('Raw Data'!AJ63="",LEN(TRIM('Raw Data'!AJ63))=0),"",IF(AND(ISNUMBER('Raw Data'!AJ63), IFERROR('Raw Data'!AJ63 = ROUND('Raw Data'!AJ63, 4),FALSE)),"",_xlfn.REGEXEXTRACT(CELL("address",AJ63), "\$([A-Z]+)\$[0-9]+"))),_xlfn.REGEXEXTRACT(CELL("address",AJ63), "\$([A-Z]+)\$[0-9]+"))</f>
        <v/>
      </c>
      <c r="AK63" s="7" t="str">
        <f t="array" aca="1" ref="AK63" ca="1">IFERROR(IF(OR('Raw Data'!AK63="",LEN(TRIM('Raw Data'!AK63))=0),"",IF(AND(ISNUMBER('Raw Data'!AK63), IFERROR('Raw Data'!AK63 = ROUND('Raw Data'!AK63, 2),FALSE)),"",_xlfn.REGEXEXTRACT(CELL("address",AK63), "\$([A-Z]+)\$[0-9]+"))),_xlfn.REGEXEXTRACT(CELL("address",AK63), "\$([A-Z]+)\$[0-9]+"))</f>
        <v/>
      </c>
      <c r="AL63" s="7" t="str">
        <f t="array" aca="1" ref="AL63" ca="1">IFERROR(IF(OR('Raw Data'!AL63="",LEN(TRIM('Raw Data'!AL63))=0),"",IF(AND(ISNUMBER('Raw Data'!AL63), IFERROR('Raw Data'!AL63 = ROUND('Raw Data'!AL63, 2),FALSE)),"",_xlfn.REGEXEXTRACT(CELL("address",AL63), "\$([A-Z]+)\$[0-9]+"))),_xlfn.REGEXEXTRACT(CELL("address",AL63), "\$([A-Z]+)\$[0-9]+"))</f>
        <v/>
      </c>
      <c r="AM63" s="7" t="str">
        <f t="array" aca="1" ref="AM63" ca="1">IFERROR(IF(OR('Raw Data'!AM63="",LEN(TRIM('Raw Data'!AM63))=0),"",IF(AND(ISNUMBER('Raw Data'!AM63), IFERROR('Raw Data'!AM63 = ROUND('Raw Data'!AM63, 2),FALSE)),"",_xlfn.REGEXEXTRACT(CELL("address",AM63), "\$([A-Z]+)\$[0-9]+"))),_xlfn.REGEXEXTRACT(CELL("address",AM63), "\$([A-Z]+)\$[0-9]+"))</f>
        <v/>
      </c>
      <c r="AN63" s="7" t="str">
        <f t="array" aca="1" ref="AN63" ca="1">IFERROR(IF(OR('Raw Data'!AN63="",LEN(TRIM('Raw Data'!AN63))=0),"",IF(AND(ISNUMBER('Raw Data'!AN63), IFERROR('Raw Data'!AN63 = ROUND('Raw Data'!AN63, 2),FALSE)),"",_xlfn.REGEXEXTRACT(CELL("address",AN63), "\$([A-Z]+)\$[0-9]+"))),_xlfn.REGEXEXTRACT(CELL("address",AN63), "\$([A-Z]+)\$[0-9]+"))</f>
        <v/>
      </c>
      <c r="AO63" s="7" t="str">
        <f t="array" aca="1" ref="AO63" ca="1">IFERROR(IF(OR('Raw Data'!AO63="",LEN(TRIM('Raw Data'!AO63))=0),"",IF(AND(ISNUMBER('Raw Data'!AO63), IFERROR('Raw Data'!AO63 = ROUND('Raw Data'!AO63, 2),FALSE)),"",_xlfn.REGEXEXTRACT(CELL("address",AO63), "\$([A-Z]+)\$[0-9]+"))),_xlfn.REGEXEXTRACT(CELL("address",AO63), "\$([A-Z]+)\$[0-9]+"))</f>
        <v/>
      </c>
      <c r="AP63" s="7" t="str">
        <f t="array" aca="1" ref="AP63" ca="1">IFERROR(IF(OR('Raw Data'!AP63="",LEN(TRIM('Raw Data'!AP63))=0),"",IF(AND(ISNUMBER('Raw Data'!AP63), IFERROR('Raw Data'!AP63 = ROUND('Raw Data'!AP63, 2),FALSE)),"",_xlfn.REGEXEXTRACT(CELL("address",AP63), "\$([A-Z]+)\$[0-9]+"))),_xlfn.REGEXEXTRACT(CELL("address",AP63), "\$([A-Z]+)\$[0-9]+"))</f>
        <v/>
      </c>
    </row>
    <row r="64" spans="2:42" x14ac:dyDescent="0.25">
      <c r="B64" s="7" t="str">
        <f t="array" aca="1" ref="B64" ca="1">IFERROR(IF(OR('Raw Data'!B64="",LEN(TRIM('Raw Data'!B64))=0),"",IF(AND(LEN('Raw Data'!B64) &lt;= 255,LEN('Raw Data'!B64)&gt; 0),"",_xlfn.REGEXEXTRACT(CELL("address",'Raw Data'!B64),"\$([A-Z]+)\$[0-9]+"))),_xlfn.REGEXEXTRACT(CELL("address",'Raw Data'!B64),"\$([A-Z]+)\$[0-9]+"))</f>
        <v/>
      </c>
      <c r="C64" s="7" t="str">
        <f t="array" aca="1" ref="C64" ca="1">IFERROR(IF(OR('Raw Data'!C64="",LEN(TRIM('Raw Data'!C64))=0),"",IF(AND(LEN('Raw Data'!C64) &lt;= 50,LEN('Raw Data'!C64)&gt; 0),"",_xlfn.REGEXEXTRACT(CELL("address",'Raw Data'!C64),"\$([A-Z]+)\$[0-9]+"))),_xlfn.REGEXEXTRACT(CELL("address",'Raw Data'!C64),"\$([A-Z]+)\$[0-9]+"))</f>
        <v/>
      </c>
      <c r="D64" s="7" t="str">
        <f t="array" aca="1" ref="D64" ca="1">IFERROR(IF(OR('Raw Data'!D64="",LEN(TRIM('Raw Data'!D64))=0),"",IF(AND(LEN('Raw Data'!D64) &lt;= 500,LEN('Raw Data'!D64)&gt; 0),"",_xlfn.REGEXEXTRACT(CELL("address",'Raw Data'!D64),"\$([A-Z]+)\$[0-9]+"))),_xlfn.REGEXEXTRACT(CELL("address",'Raw Data'!D64),"\$([A-Z]+)\$[0-9]+"))</f>
        <v/>
      </c>
      <c r="E64" s="7" t="str">
        <f t="array" aca="1" ref="E64" ca="1">IFERROR(IF(OR('Raw Data'!E64="",LEN(TRIM('Raw Data'!E64))=0),"",IF(AND(LEN('Raw Data'!E64) &lt;= 50,LEN('Raw Data'!E64)&gt; 0),"",_xlfn.REGEXEXTRACT(CELL("address",'Raw Data'!E64),"\$([A-Z]+)\$[0-9]+"))),_xlfn.REGEXEXTRACT(CELL("address",'Raw Data'!E64),"\$([A-Z]+)\$[0-9]+"))</f>
        <v/>
      </c>
      <c r="F64" s="7" t="str">
        <f t="array" aca="1" ref="F64" ca="1">IFERROR(IF(OR('Raw Data'!F64="",LEN(TRIM('Raw Data'!F64))=0),"",IF(AND(LEN('Raw Data'!F64) &lt;= 50,LEN('Raw Data'!F64)&gt; 0),"",_xlfn.REGEXEXTRACT(CELL("address",'Raw Data'!F64),"\$([A-Z]+)\$[0-9]+"))),_xlfn.REGEXEXTRACT(CELL("address",'Raw Data'!F64),"\$([A-Z]+)\$[0-9]+"))</f>
        <v/>
      </c>
      <c r="G64" s="7" t="str">
        <f t="array" aca="1" ref="G64" ca="1">IFERROR(IF(OR('Raw Data'!G64="",LEN(TRIM('Raw Data'!G64))=0),"",IF(AND(LEN('Raw Data'!G64) &lt;= 50,LEN('Raw Data'!G64)&gt; 0),"",_xlfn.REGEXEXTRACT(CELL("address",'Raw Data'!G64),"\$([A-Z]+)\$[0-9]+"))),_xlfn.REGEXEXTRACT(CELL("address",'Raw Data'!G64),"\$([A-Z]+)\$[0-9]+"))</f>
        <v/>
      </c>
      <c r="H64" s="7" t="str">
        <f t="array" aca="1" ref="H64" ca="1">IFERROR(IF(OR('Raw Data'!H64="",LEN(TRIM('Raw Data'!H64))=0),"",IF(AND(LEN('Raw Data'!H64) &lt;= 50,LEN('Raw Data'!H64)&gt; 0),"",_xlfn.REGEXEXTRACT(CELL("address",'Raw Data'!H64),"\$([A-Z]+)\$[0-9]+"))),_xlfn.REGEXEXTRACT(CELL("address",'Raw Data'!H64),"\$([A-Z]+)\$[0-9]+"))</f>
        <v/>
      </c>
      <c r="I64" s="7" t="str">
        <f t="array" aca="1" ref="I64" ca="1">IFERROR(IF(OR('Raw Data'!I64="",LEN(TRIM('Raw Data'!I64))=0),"",IF(AND(LEN('Raw Data'!I64) &lt;= 50,LEN('Raw Data'!I64)&gt; 0),"",_xlfn.REGEXEXTRACT(CELL("address",'Raw Data'!I64),"\$([A-Z]+)\$[0-9]+"))),_xlfn.REGEXEXTRACT(CELL("address",'Raw Data'!I64),"\$([A-Z]+)\$[0-9]+"))</f>
        <v/>
      </c>
      <c r="J64" s="7" t="str">
        <f t="array" aca="1" ref="J64" ca="1">IFERROR(IF(OR('Raw Data'!J64="",LEN(TRIM('Raw Data'!J64))=0),"",IF(AND(ISNUMBER('Raw Data'!J64), IFERROR('Raw Data'!J64 = ROUND('Raw Data'!J64, 2),FALSE)),"",_xlfn.REGEXEXTRACT(CELL("address",J64), "\$([A-Z]+)\$[0-9]+"))),_xlfn.REGEXEXTRACT(CELL("address",J64), "\$([A-Z]+)\$[0-9]+"))</f>
        <v/>
      </c>
      <c r="K64" s="7" t="str">
        <f t="array" aca="1" ref="K64" ca="1">IFERROR(IF(OR('Raw Data'!K64="",LEN(TRIM('Raw Data'!K64))=0),"",IF(AND(ISNUMBER('Raw Data'!K64), IFERROR('Raw Data'!K64 = ROUND('Raw Data'!K64, 2),FALSE)),"",_xlfn.REGEXEXTRACT(CELL("address",K64), "\$([A-Z]+)\$[0-9]+"))),_xlfn.REGEXEXTRACT(CELL("address",K64), "\$([A-Z]+)\$[0-9]+"))</f>
        <v/>
      </c>
      <c r="L64" s="7" t="str">
        <f t="array" aca="1" ref="L64" ca="1">IFERROR(IF(OR('Raw Data'!L64="",LEN(TRIM('Raw Data'!L64))=0),"",IF(AND(ISNUMBER('Raw Data'!L64), IFERROR('Raw Data'!L64 = ROUND('Raw Data'!L64, 2),FALSE)),"",_xlfn.REGEXEXTRACT(CELL("address",L64), "\$([A-Z]+)\$[0-9]+"))),_xlfn.REGEXEXTRACT(CELL("address",L64), "\$([A-Z]+)\$[0-9]+"))</f>
        <v/>
      </c>
      <c r="M64" s="7" t="str">
        <f t="array" aca="1" ref="M64" ca="1">IFERROR(IF(OR('Raw Data'!M64="",LEN(TRIM('Raw Data'!M64))=0),"",IF(AND(ISNUMBER('Raw Data'!M64), IFERROR('Raw Data'!M64 = ROUND('Raw Data'!M64, 2),FALSE)),"",_xlfn.REGEXEXTRACT(CELL("address",M64), "\$([A-Z]+)\$[0-9]+"))),_xlfn.REGEXEXTRACT(CELL("address",M64), "\$([A-Z]+)\$[0-9]+"))</f>
        <v/>
      </c>
      <c r="N64" s="7" t="str">
        <f t="array" aca="1" ref="N64" ca="1">IFERROR(IF(OR('Raw Data'!N64="",LEN(TRIM('Raw Data'!N64))=0),"",IF(AND(ISNUMBER('Raw Data'!N64), IFERROR('Raw Data'!N64 = ROUND('Raw Data'!N64, 2),FALSE)),"",_xlfn.REGEXEXTRACT(CELL("address",N64), "\$([A-Z]+)\$[0-9]+"))),_xlfn.REGEXEXTRACT(CELL("address",N64), "\$([A-Z]+)\$[0-9]+"))</f>
        <v/>
      </c>
      <c r="O64" s="7" t="str">
        <f t="array" aca="1" ref="O64" ca="1">IFERROR(IF(OR('Raw Data'!O64="",LEN(TRIM('Raw Data'!O64))=0),"",IF(AND(ISNUMBER('Raw Data'!O64),'Raw Data'!O64&gt;=Configuration!$D$2),"",_xlfn.REGEXEXTRACT(CELL("address",'Raw Data'!O64),"\$([A-Z]+)\$[0-9]+"))),_xlfn.REGEXEXTRACT(CELL("address",O64), "\$([A-Z]+)\$[0-9]+"))</f>
        <v/>
      </c>
      <c r="P64" s="7" t="str">
        <f t="array" aca="1" ref="P64" ca="1">IFERROR(IF(OR('Raw Data'!P64="",LEN(TRIM('Raw Data'!P64))=0),"",IF(AND(ISNUMBER('Raw Data'!P64), IFERROR('Raw Data'!P64 = ROUND('Raw Data'!P64, 2),FALSE)),"",_xlfn.REGEXEXTRACT(CELL("address",P64), "\$([A-Z]+)\$[0-9]+"))),_xlfn.REGEXEXTRACT(CELL("address",P64), "\$([A-Z]+)\$[0-9]+"))</f>
        <v/>
      </c>
      <c r="Q64" s="7" t="str">
        <f t="array" aca="1" ref="Q64" ca="1">IFERROR(IF(OR('Raw Data'!Q64="",LEN(TRIM('Raw Data'!Q64))=0),"",IF(AND(ISNUMBER('Raw Data'!Q64), IFERROR('Raw Data'!Q64 = ROUND('Raw Data'!Q64, 2),FALSE)),"",_xlfn.REGEXEXTRACT(CELL("address",Q64), "\$([A-Z]+)\$[0-9]+"))),_xlfn.REGEXEXTRACT(CELL("address",Q64), "\$([A-Z]+)\$[0-9]+"))</f>
        <v/>
      </c>
      <c r="R64" s="7" t="str">
        <f t="array" aca="1" ref="R64" ca="1">IFERROR(IF(OR('Raw Data'!R64="",LEN(TRIM('Raw Data'!R64))=0),"",IF(AND(LEN('Raw Data'!R64) &lt;= 50,LEN('Raw Data'!R64)&gt; 0),"",_xlfn.REGEXEXTRACT(CELL("address",'Raw Data'!R64),"\$([A-Z]+)\$[0-9]+"))),_xlfn.REGEXEXTRACT(CELL("address",'Raw Data'!R64),"\$([A-Z]+)\$[0-9]+"))</f>
        <v/>
      </c>
      <c r="S64" s="7" t="str">
        <f t="array" aca="1" ref="S64" ca="1">IFERROR(IF(OR('Raw Data'!S64="",LEN(TRIM('Raw Data'!S64))=0),"",IF(AND(LEN('Raw Data'!S64) &lt;= 50,LEN('Raw Data'!S64)&gt; 0),"",_xlfn.REGEXEXTRACT(CELL("address",'Raw Data'!S64),"\$([A-Z]+)\$[0-9]+"))),_xlfn.REGEXEXTRACT(CELL("address",'Raw Data'!S64),"\$([A-Z]+)\$[0-9]+"))</f>
        <v/>
      </c>
      <c r="T64" s="7" t="str">
        <f t="array" aca="1" ref="T64" ca="1">IFERROR(IF(OR('Raw Data'!T64="",LEN(TRIM('Raw Data'!T64))=0),"",IF(AND(ISNUMBER('Raw Data'!T64), IFERROR('Raw Data'!T64 = ROUND('Raw Data'!T64, 2),FALSE)),"",_xlfn.REGEXEXTRACT(CELL("address",T64), "\$([A-Z]+)\$[0-9]+"))),_xlfn.REGEXEXTRACT(CELL("address",T64), "\$([A-Z]+)\$[0-9]+"))</f>
        <v/>
      </c>
      <c r="U64" s="7" t="str">
        <f t="array" aca="1" ref="U64" ca="1">IFERROR(IF(OR('Raw Data'!U64="",LEN(TRIM('Raw Data'!U64))=0),"",IF(AND(ISNUMBER('Raw Data'!U64), IFERROR('Raw Data'!U64 = ROUND('Raw Data'!U64, 2),FALSE)),"",_xlfn.REGEXEXTRACT(CELL("address",U64), "\$([A-Z]+)\$[0-9]+"))),_xlfn.REGEXEXTRACT(CELL("address",U64), "\$([A-Z]+)\$[0-9]+"))</f>
        <v/>
      </c>
      <c r="V64" s="7" t="str">
        <f t="array" aca="1" ref="V64" ca="1">IFERROR(IF(OR('Raw Data'!V64="",LEN(TRIM('Raw Data'!V64))=0),"",IF(AND(ISNUMBER('Raw Data'!V64), IFERROR('Raw Data'!V64 = ROUND('Raw Data'!V64, 2),FALSE)),"",_xlfn.REGEXEXTRACT(CELL("address",V64), "\$([A-Z]+)\$[0-9]+"))),_xlfn.REGEXEXTRACT(CELL("address",V64), "\$([A-Z]+)\$[0-9]+"))</f>
        <v/>
      </c>
      <c r="W64" s="7" t="str">
        <f t="array" aca="1" ref="W64" ca="1">IFERROR(IF(OR('Raw Data'!W64="",LEN(TRIM('Raw Data'!W64))=0),"",IF(AND(ISNUMBER('Raw Data'!W64), IFERROR('Raw Data'!W64 = ROUND('Raw Data'!W64, 2),FALSE)),"",_xlfn.REGEXEXTRACT(CELL("address",W64), "\$([A-Z]+)\$[0-9]+"))),_xlfn.REGEXEXTRACT(CELL("address",W64), "\$([A-Z]+)\$[0-9]+"))</f>
        <v/>
      </c>
      <c r="X64" s="7" t="str">
        <f t="array" aca="1" ref="X64" ca="1">IFERROR(IF(OR('Raw Data'!X64="",LEN(TRIM('Raw Data'!X64))=0),"",IF(AND(ISNUMBER('Raw Data'!X64), IFERROR('Raw Data'!X64 = ROUND('Raw Data'!X64, 2),FALSE)),"",_xlfn.REGEXEXTRACT(CELL("address",X64), "\$([A-Z]+)\$[0-9]+"))),_xlfn.REGEXEXTRACT(CELL("address",X64), "\$([A-Z]+)\$[0-9]+"))</f>
        <v/>
      </c>
      <c r="Y64" s="7" t="str">
        <f t="array" aca="1" ref="Y64" ca="1">IFERROR(IF(OR('Raw Data'!Y64="",LEN(TRIM('Raw Data'!Y64))=0),"",IF(AND(ISNUMBER('Raw Data'!Y64), IFERROR('Raw Data'!Y64 = ROUND('Raw Data'!Y64, 2),FALSE)),"",_xlfn.REGEXEXTRACT(CELL("address",Y64), "\$([A-Z]+)\$[0-9]+"))),_xlfn.REGEXEXTRACT(CELL("address",Y64), "\$([A-Z]+)\$[0-9]+"))</f>
        <v/>
      </c>
      <c r="Z64" s="7" t="str">
        <f t="array" aca="1" ref="Z64" ca="1">IFERROR(IF(OR('Raw Data'!Z64="",LEN(TRIM('Raw Data'!Z64))=0),"",IF(AND(ISNUMBER('Raw Data'!Z64), IFERROR('Raw Data'!Z64 = ROUND('Raw Data'!Z64, 2),FALSE)),"",_xlfn.REGEXEXTRACT(CELL("address",Z64), "\$([A-Z]+)\$[0-9]+"))),_xlfn.REGEXEXTRACT(CELL("address",Z64), "\$([A-Z]+)\$[0-9]+"))</f>
        <v/>
      </c>
      <c r="AA64" s="7" t="str">
        <f t="array" aca="1" ref="AA64" ca="1">IFERROR(IF(OR('Raw Data'!AA64="",LEN(TRIM('Raw Data'!AA64))=0),"",IF(AND(ISNUMBER('Raw Data'!AA64), IFERROR('Raw Data'!AA64 = ROUND('Raw Data'!AA64, 2),FALSE)),"",_xlfn.REGEXEXTRACT(CELL("address",AA64), "\$([A-Z]+)\$[0-9]+"))),_xlfn.REGEXEXTRACT(CELL("address",AA64), "\$([A-Z]+)\$[0-9]+"))</f>
        <v/>
      </c>
      <c r="AB64" s="7" t="str">
        <f t="array" aca="1" ref="AB64" ca="1">IFERROR(IF(OR('Raw Data'!AB64="",LEN(TRIM('Raw Data'!AB64))=0),"",IF(AND(ISNUMBER('Raw Data'!AB64), IFERROR('Raw Data'!AB64 = ROUND('Raw Data'!AB64, 2),FALSE)),"",_xlfn.REGEXEXTRACT(CELL("address",AB64), "\$([A-Z]+)\$[0-9]+"))),_xlfn.REGEXEXTRACT(CELL("address",AB64), "\$([A-Z]+)\$[0-9]+"))</f>
        <v/>
      </c>
      <c r="AC64" s="7" t="str">
        <f t="array" aca="1" ref="AC64" ca="1">IFERROR(IF(OR('Raw Data'!AC64="",LEN(TRIM('Raw Data'!AC64))=0),"",IF(AND(ISNUMBER('Raw Data'!AC64), IFERROR('Raw Data'!AC64 = ROUND('Raw Data'!AC64, 2),FALSE)),"",_xlfn.REGEXEXTRACT(CELL("address",AC64), "\$([A-Z]+)\$[0-9]+"))),_xlfn.REGEXEXTRACT(CELL("address",AC64), "\$([A-Z]+)\$[0-9]+"))</f>
        <v/>
      </c>
      <c r="AD64" s="7" t="str">
        <f t="array" aca="1" ref="AD64" ca="1">IFERROR(IF(OR('Raw Data'!AD64="",LEN(TRIM('Raw Data'!AD64))=0),"",IF(AND(ISNUMBER('Raw Data'!AD64), IFERROR('Raw Data'!AD64 = ROUND('Raw Data'!AD64, 2),FALSE)),"",_xlfn.REGEXEXTRACT(CELL("address",AD64), "\$([A-Z]+)\$[0-9]+"))),_xlfn.REGEXEXTRACT(CELL("address",AD64), "\$([A-Z]+)\$[0-9]+"))</f>
        <v/>
      </c>
      <c r="AE64" s="7" t="str">
        <f t="array" aca="1" ref="AE64" ca="1">IFERROR(IF(OR('Raw Data'!AE64="",LEN(TRIM('Raw Data'!AE64))=0),"",IF(AND(ISNUMBER('Raw Data'!AE64), IFERROR('Raw Data'!AE64 = ROUND('Raw Data'!AE64, 2),FALSE)),"",_xlfn.REGEXEXTRACT(CELL("address",AE64), "\$([A-Z]+)\$[0-9]+"))),_xlfn.REGEXEXTRACT(CELL("address",AE64), "\$([A-Z]+)\$[0-9]+"))</f>
        <v/>
      </c>
      <c r="AF64" s="7" t="str">
        <f t="array" aca="1" ref="AF64" ca="1">IFERROR(IF(OR('Raw Data'!AF64="",LEN(TRIM('Raw Data'!AF64))=0),"",IF(AND(ISNUMBER('Raw Data'!AF64), IFERROR('Raw Data'!AF64 = ROUND('Raw Data'!AF64, 2),FALSE)),"",_xlfn.REGEXEXTRACT(CELL("address",AF64), "\$([A-Z]+)\$[0-9]+"))),_xlfn.REGEXEXTRACT(CELL("address",AF64), "\$([A-Z]+)\$[0-9]+"))</f>
        <v/>
      </c>
      <c r="AG64" s="7" t="str">
        <f t="array" aca="1" ref="AG64" ca="1">IFERROR(IF(OR('Raw Data'!AG64="",LEN(TRIM('Raw Data'!AG64))=0),"",IF(AND(ISNUMBER('Raw Data'!AG64), IFERROR('Raw Data'!AG64 = ROUND('Raw Data'!AG64, 2),FALSE)),"",_xlfn.REGEXEXTRACT(CELL("address",AG64), "\$([A-Z]+)\$[0-9]+"))),_xlfn.REGEXEXTRACT(CELL("address",AG64), "\$([A-Z]+)\$[0-9]+"))</f>
        <v/>
      </c>
      <c r="AH64" s="7" t="str">
        <f t="array" aca="1" ref="AH64" ca="1">IFERROR(IF(OR('Raw Data'!AH64="",LEN(TRIM('Raw Data'!AH64))=0),"",IF(AND(ISNUMBER('Raw Data'!AH64), IFERROR('Raw Data'!AH64 = ROUND('Raw Data'!AH64, 2),FALSE)),"",_xlfn.REGEXEXTRACT(CELL("address",AH64), "\$([A-Z]+)\$[0-9]+"))),_xlfn.REGEXEXTRACT(CELL("address",AH64), "\$([A-Z]+)\$[0-9]+"))</f>
        <v/>
      </c>
      <c r="AI64" s="7" t="str">
        <f t="array" aca="1" ref="AI64" ca="1">IFERROR(IF(OR('Raw Data'!AI64="",LEN(TRIM('Raw Data'!AI64))=0),"",IF(AND(ISNUMBER('Raw Data'!AI64), IFERROR('Raw Data'!AI64 = ROUND('Raw Data'!AI64, 2),FALSE)),"",_xlfn.REGEXEXTRACT(CELL("address",AI64), "\$([A-Z]+)\$[0-9]+"))),_xlfn.REGEXEXTRACT(CELL("address",AI64), "\$([A-Z]+)\$[0-9]+"))</f>
        <v/>
      </c>
      <c r="AJ64" s="7" t="str">
        <f t="array" aca="1" ref="AJ64" ca="1">IFERROR(IF(OR('Raw Data'!AJ64="",LEN(TRIM('Raw Data'!AJ64))=0),"",IF(AND(ISNUMBER('Raw Data'!AJ64), IFERROR('Raw Data'!AJ64 = ROUND('Raw Data'!AJ64, 4),FALSE)),"",_xlfn.REGEXEXTRACT(CELL("address",AJ64), "\$([A-Z]+)\$[0-9]+"))),_xlfn.REGEXEXTRACT(CELL("address",AJ64), "\$([A-Z]+)\$[0-9]+"))</f>
        <v/>
      </c>
      <c r="AK64" s="7" t="str">
        <f t="array" aca="1" ref="AK64" ca="1">IFERROR(IF(OR('Raw Data'!AK64="",LEN(TRIM('Raw Data'!AK64))=0),"",IF(AND(ISNUMBER('Raw Data'!AK64), IFERROR('Raw Data'!AK64 = ROUND('Raw Data'!AK64, 2),FALSE)),"",_xlfn.REGEXEXTRACT(CELL("address",AK64), "\$([A-Z]+)\$[0-9]+"))),_xlfn.REGEXEXTRACT(CELL("address",AK64), "\$([A-Z]+)\$[0-9]+"))</f>
        <v/>
      </c>
      <c r="AL64" s="7" t="str">
        <f t="array" aca="1" ref="AL64" ca="1">IFERROR(IF(OR('Raw Data'!AL64="",LEN(TRIM('Raw Data'!AL64))=0),"",IF(AND(ISNUMBER('Raw Data'!AL64), IFERROR('Raw Data'!AL64 = ROUND('Raw Data'!AL64, 2),FALSE)),"",_xlfn.REGEXEXTRACT(CELL("address",AL64), "\$([A-Z]+)\$[0-9]+"))),_xlfn.REGEXEXTRACT(CELL("address",AL64), "\$([A-Z]+)\$[0-9]+"))</f>
        <v/>
      </c>
      <c r="AM64" s="7" t="str">
        <f t="array" aca="1" ref="AM64" ca="1">IFERROR(IF(OR('Raw Data'!AM64="",LEN(TRIM('Raw Data'!AM64))=0),"",IF(AND(ISNUMBER('Raw Data'!AM64), IFERROR('Raw Data'!AM64 = ROUND('Raw Data'!AM64, 2),FALSE)),"",_xlfn.REGEXEXTRACT(CELL("address",AM64), "\$([A-Z]+)\$[0-9]+"))),_xlfn.REGEXEXTRACT(CELL("address",AM64), "\$([A-Z]+)\$[0-9]+"))</f>
        <v/>
      </c>
      <c r="AN64" s="7" t="str">
        <f t="array" aca="1" ref="AN64" ca="1">IFERROR(IF(OR('Raw Data'!AN64="",LEN(TRIM('Raw Data'!AN64))=0),"",IF(AND(ISNUMBER('Raw Data'!AN64), IFERROR('Raw Data'!AN64 = ROUND('Raw Data'!AN64, 2),FALSE)),"",_xlfn.REGEXEXTRACT(CELL("address",AN64), "\$([A-Z]+)\$[0-9]+"))),_xlfn.REGEXEXTRACT(CELL("address",AN64), "\$([A-Z]+)\$[0-9]+"))</f>
        <v/>
      </c>
      <c r="AO64" s="7" t="str">
        <f t="array" aca="1" ref="AO64" ca="1">IFERROR(IF(OR('Raw Data'!AO64="",LEN(TRIM('Raw Data'!AO64))=0),"",IF(AND(ISNUMBER('Raw Data'!AO64), IFERROR('Raw Data'!AO64 = ROUND('Raw Data'!AO64, 2),FALSE)),"",_xlfn.REGEXEXTRACT(CELL("address",AO64), "\$([A-Z]+)\$[0-9]+"))),_xlfn.REGEXEXTRACT(CELL("address",AO64), "\$([A-Z]+)\$[0-9]+"))</f>
        <v/>
      </c>
      <c r="AP64" s="7" t="str">
        <f t="array" aca="1" ref="AP64" ca="1">IFERROR(IF(OR('Raw Data'!AP64="",LEN(TRIM('Raw Data'!AP64))=0),"",IF(AND(ISNUMBER('Raw Data'!AP64), IFERROR('Raw Data'!AP64 = ROUND('Raw Data'!AP64, 2),FALSE)),"",_xlfn.REGEXEXTRACT(CELL("address",AP64), "\$([A-Z]+)\$[0-9]+"))),_xlfn.REGEXEXTRACT(CELL("address",AP64), "\$([A-Z]+)\$[0-9]+"))</f>
        <v/>
      </c>
    </row>
    <row r="65" spans="2:42" x14ac:dyDescent="0.25">
      <c r="B65" s="7" t="str">
        <f t="array" aca="1" ref="B65" ca="1">IFERROR(IF(OR('Raw Data'!B65="",LEN(TRIM('Raw Data'!B65))=0),"",IF(AND(LEN('Raw Data'!B65) &lt;= 255,LEN('Raw Data'!B65)&gt; 0),"",_xlfn.REGEXEXTRACT(CELL("address",'Raw Data'!B65),"\$([A-Z]+)\$[0-9]+"))),_xlfn.REGEXEXTRACT(CELL("address",'Raw Data'!B65),"\$([A-Z]+)\$[0-9]+"))</f>
        <v/>
      </c>
      <c r="C65" s="7" t="str">
        <f t="array" aca="1" ref="C65" ca="1">IFERROR(IF(OR('Raw Data'!C65="",LEN(TRIM('Raw Data'!C65))=0),"",IF(AND(LEN('Raw Data'!C65) &lt;= 50,LEN('Raw Data'!C65)&gt; 0),"",_xlfn.REGEXEXTRACT(CELL("address",'Raw Data'!C65),"\$([A-Z]+)\$[0-9]+"))),_xlfn.REGEXEXTRACT(CELL("address",'Raw Data'!C65),"\$([A-Z]+)\$[0-9]+"))</f>
        <v/>
      </c>
      <c r="D65" s="7" t="str">
        <f t="array" aca="1" ref="D65" ca="1">IFERROR(IF(OR('Raw Data'!D65="",LEN(TRIM('Raw Data'!D65))=0),"",IF(AND(LEN('Raw Data'!D65) &lt;= 500,LEN('Raw Data'!D65)&gt; 0),"",_xlfn.REGEXEXTRACT(CELL("address",'Raw Data'!D65),"\$([A-Z]+)\$[0-9]+"))),_xlfn.REGEXEXTRACT(CELL("address",'Raw Data'!D65),"\$([A-Z]+)\$[0-9]+"))</f>
        <v/>
      </c>
      <c r="E65" s="7" t="str">
        <f t="array" aca="1" ref="E65" ca="1">IFERROR(IF(OR('Raw Data'!E65="",LEN(TRIM('Raw Data'!E65))=0),"",IF(AND(LEN('Raw Data'!E65) &lt;= 50,LEN('Raw Data'!E65)&gt; 0),"",_xlfn.REGEXEXTRACT(CELL("address",'Raw Data'!E65),"\$([A-Z]+)\$[0-9]+"))),_xlfn.REGEXEXTRACT(CELL("address",'Raw Data'!E65),"\$([A-Z]+)\$[0-9]+"))</f>
        <v/>
      </c>
      <c r="F65" s="7" t="str">
        <f t="array" aca="1" ref="F65" ca="1">IFERROR(IF(OR('Raw Data'!F65="",LEN(TRIM('Raw Data'!F65))=0),"",IF(AND(LEN('Raw Data'!F65) &lt;= 50,LEN('Raw Data'!F65)&gt; 0),"",_xlfn.REGEXEXTRACT(CELL("address",'Raw Data'!F65),"\$([A-Z]+)\$[0-9]+"))),_xlfn.REGEXEXTRACT(CELL("address",'Raw Data'!F65),"\$([A-Z]+)\$[0-9]+"))</f>
        <v/>
      </c>
      <c r="G65" s="7" t="str">
        <f t="array" aca="1" ref="G65" ca="1">IFERROR(IF(OR('Raw Data'!G65="",LEN(TRIM('Raw Data'!G65))=0),"",IF(AND(LEN('Raw Data'!G65) &lt;= 50,LEN('Raw Data'!G65)&gt; 0),"",_xlfn.REGEXEXTRACT(CELL("address",'Raw Data'!G65),"\$([A-Z]+)\$[0-9]+"))),_xlfn.REGEXEXTRACT(CELL("address",'Raw Data'!G65),"\$([A-Z]+)\$[0-9]+"))</f>
        <v/>
      </c>
      <c r="H65" s="7" t="str">
        <f t="array" aca="1" ref="H65" ca="1">IFERROR(IF(OR('Raw Data'!H65="",LEN(TRIM('Raw Data'!H65))=0),"",IF(AND(LEN('Raw Data'!H65) &lt;= 50,LEN('Raw Data'!H65)&gt; 0),"",_xlfn.REGEXEXTRACT(CELL("address",'Raw Data'!H65),"\$([A-Z]+)\$[0-9]+"))),_xlfn.REGEXEXTRACT(CELL("address",'Raw Data'!H65),"\$([A-Z]+)\$[0-9]+"))</f>
        <v/>
      </c>
      <c r="I65" s="7" t="str">
        <f t="array" aca="1" ref="I65" ca="1">IFERROR(IF(OR('Raw Data'!I65="",LEN(TRIM('Raw Data'!I65))=0),"",IF(AND(LEN('Raw Data'!I65) &lt;= 50,LEN('Raw Data'!I65)&gt; 0),"",_xlfn.REGEXEXTRACT(CELL("address",'Raw Data'!I65),"\$([A-Z]+)\$[0-9]+"))),_xlfn.REGEXEXTRACT(CELL("address",'Raw Data'!I65),"\$([A-Z]+)\$[0-9]+"))</f>
        <v/>
      </c>
      <c r="J65" s="7" t="str">
        <f t="array" aca="1" ref="J65" ca="1">IFERROR(IF(OR('Raw Data'!J65="",LEN(TRIM('Raw Data'!J65))=0),"",IF(AND(ISNUMBER('Raw Data'!J65), IFERROR('Raw Data'!J65 = ROUND('Raw Data'!J65, 2),FALSE)),"",_xlfn.REGEXEXTRACT(CELL("address",J65), "\$([A-Z]+)\$[0-9]+"))),_xlfn.REGEXEXTRACT(CELL("address",J65), "\$([A-Z]+)\$[0-9]+"))</f>
        <v/>
      </c>
      <c r="K65" s="7" t="str">
        <f t="array" aca="1" ref="K65" ca="1">IFERROR(IF(OR('Raw Data'!K65="",LEN(TRIM('Raw Data'!K65))=0),"",IF(AND(ISNUMBER('Raw Data'!K65), IFERROR('Raw Data'!K65 = ROUND('Raw Data'!K65, 2),FALSE)),"",_xlfn.REGEXEXTRACT(CELL("address",K65), "\$([A-Z]+)\$[0-9]+"))),_xlfn.REGEXEXTRACT(CELL("address",K65), "\$([A-Z]+)\$[0-9]+"))</f>
        <v/>
      </c>
      <c r="L65" s="7" t="str">
        <f t="array" aca="1" ref="L65" ca="1">IFERROR(IF(OR('Raw Data'!L65="",LEN(TRIM('Raw Data'!L65))=0),"",IF(AND(ISNUMBER('Raw Data'!L65), IFERROR('Raw Data'!L65 = ROUND('Raw Data'!L65, 2),FALSE)),"",_xlfn.REGEXEXTRACT(CELL("address",L65), "\$([A-Z]+)\$[0-9]+"))),_xlfn.REGEXEXTRACT(CELL("address",L65), "\$([A-Z]+)\$[0-9]+"))</f>
        <v/>
      </c>
      <c r="M65" s="7" t="str">
        <f t="array" aca="1" ref="M65" ca="1">IFERROR(IF(OR('Raw Data'!M65="",LEN(TRIM('Raw Data'!M65))=0),"",IF(AND(ISNUMBER('Raw Data'!M65), IFERROR('Raw Data'!M65 = ROUND('Raw Data'!M65, 2),FALSE)),"",_xlfn.REGEXEXTRACT(CELL("address",M65), "\$([A-Z]+)\$[0-9]+"))),_xlfn.REGEXEXTRACT(CELL("address",M65), "\$([A-Z]+)\$[0-9]+"))</f>
        <v/>
      </c>
      <c r="N65" s="7" t="str">
        <f t="array" aca="1" ref="N65" ca="1">IFERROR(IF(OR('Raw Data'!N65="",LEN(TRIM('Raw Data'!N65))=0),"",IF(AND(ISNUMBER('Raw Data'!N65), IFERROR('Raw Data'!N65 = ROUND('Raw Data'!N65, 2),FALSE)),"",_xlfn.REGEXEXTRACT(CELL("address",N65), "\$([A-Z]+)\$[0-9]+"))),_xlfn.REGEXEXTRACT(CELL("address",N65), "\$([A-Z]+)\$[0-9]+"))</f>
        <v/>
      </c>
      <c r="O65" s="7" t="str">
        <f t="array" aca="1" ref="O65" ca="1">IFERROR(IF(OR('Raw Data'!O65="",LEN(TRIM('Raw Data'!O65))=0),"",IF(AND(ISNUMBER('Raw Data'!O65),'Raw Data'!O65&gt;=Configuration!$D$2),"",_xlfn.REGEXEXTRACT(CELL("address",'Raw Data'!O65),"\$([A-Z]+)\$[0-9]+"))),_xlfn.REGEXEXTRACT(CELL("address",O65), "\$([A-Z]+)\$[0-9]+"))</f>
        <v/>
      </c>
      <c r="P65" s="7" t="str">
        <f t="array" aca="1" ref="P65" ca="1">IFERROR(IF(OR('Raw Data'!P65="",LEN(TRIM('Raw Data'!P65))=0),"",IF(AND(ISNUMBER('Raw Data'!P65), IFERROR('Raw Data'!P65 = ROUND('Raw Data'!P65, 2),FALSE)),"",_xlfn.REGEXEXTRACT(CELL("address",P65), "\$([A-Z]+)\$[0-9]+"))),_xlfn.REGEXEXTRACT(CELL("address",P65), "\$([A-Z]+)\$[0-9]+"))</f>
        <v/>
      </c>
      <c r="Q65" s="7" t="str">
        <f t="array" aca="1" ref="Q65" ca="1">IFERROR(IF(OR('Raw Data'!Q65="",LEN(TRIM('Raw Data'!Q65))=0),"",IF(AND(ISNUMBER('Raw Data'!Q65), IFERROR('Raw Data'!Q65 = ROUND('Raw Data'!Q65, 2),FALSE)),"",_xlfn.REGEXEXTRACT(CELL("address",Q65), "\$([A-Z]+)\$[0-9]+"))),_xlfn.REGEXEXTRACT(CELL("address",Q65), "\$([A-Z]+)\$[0-9]+"))</f>
        <v/>
      </c>
      <c r="R65" s="7" t="str">
        <f t="array" aca="1" ref="R65" ca="1">IFERROR(IF(OR('Raw Data'!R65="",LEN(TRIM('Raw Data'!R65))=0),"",IF(AND(LEN('Raw Data'!R65) &lt;= 50,LEN('Raw Data'!R65)&gt; 0),"",_xlfn.REGEXEXTRACT(CELL("address",'Raw Data'!R65),"\$([A-Z]+)\$[0-9]+"))),_xlfn.REGEXEXTRACT(CELL("address",'Raw Data'!R65),"\$([A-Z]+)\$[0-9]+"))</f>
        <v/>
      </c>
      <c r="S65" s="7" t="str">
        <f t="array" aca="1" ref="S65" ca="1">IFERROR(IF(OR('Raw Data'!S65="",LEN(TRIM('Raw Data'!S65))=0),"",IF(AND(LEN('Raw Data'!S65) &lt;= 50,LEN('Raw Data'!S65)&gt; 0),"",_xlfn.REGEXEXTRACT(CELL("address",'Raw Data'!S65),"\$([A-Z]+)\$[0-9]+"))),_xlfn.REGEXEXTRACT(CELL("address",'Raw Data'!S65),"\$([A-Z]+)\$[0-9]+"))</f>
        <v/>
      </c>
      <c r="T65" s="7" t="str">
        <f t="array" aca="1" ref="T65" ca="1">IFERROR(IF(OR('Raw Data'!T65="",LEN(TRIM('Raw Data'!T65))=0),"",IF(AND(ISNUMBER('Raw Data'!T65), IFERROR('Raw Data'!T65 = ROUND('Raw Data'!T65, 2),FALSE)),"",_xlfn.REGEXEXTRACT(CELL("address",T65), "\$([A-Z]+)\$[0-9]+"))),_xlfn.REGEXEXTRACT(CELL("address",T65), "\$([A-Z]+)\$[0-9]+"))</f>
        <v/>
      </c>
      <c r="U65" s="7" t="str">
        <f t="array" aca="1" ref="U65" ca="1">IFERROR(IF(OR('Raw Data'!U65="",LEN(TRIM('Raw Data'!U65))=0),"",IF(AND(ISNUMBER('Raw Data'!U65), IFERROR('Raw Data'!U65 = ROUND('Raw Data'!U65, 2),FALSE)),"",_xlfn.REGEXEXTRACT(CELL("address",U65), "\$([A-Z]+)\$[0-9]+"))),_xlfn.REGEXEXTRACT(CELL("address",U65), "\$([A-Z]+)\$[0-9]+"))</f>
        <v/>
      </c>
      <c r="V65" s="7" t="str">
        <f t="array" aca="1" ref="V65" ca="1">IFERROR(IF(OR('Raw Data'!V65="",LEN(TRIM('Raw Data'!V65))=0),"",IF(AND(ISNUMBER('Raw Data'!V65), IFERROR('Raw Data'!V65 = ROUND('Raw Data'!V65, 2),FALSE)),"",_xlfn.REGEXEXTRACT(CELL("address",V65), "\$([A-Z]+)\$[0-9]+"))),_xlfn.REGEXEXTRACT(CELL("address",V65), "\$([A-Z]+)\$[0-9]+"))</f>
        <v/>
      </c>
      <c r="W65" s="7" t="str">
        <f t="array" aca="1" ref="W65" ca="1">IFERROR(IF(OR('Raw Data'!W65="",LEN(TRIM('Raw Data'!W65))=0),"",IF(AND(ISNUMBER('Raw Data'!W65), IFERROR('Raw Data'!W65 = ROUND('Raw Data'!W65, 2),FALSE)),"",_xlfn.REGEXEXTRACT(CELL("address",W65), "\$([A-Z]+)\$[0-9]+"))),_xlfn.REGEXEXTRACT(CELL("address",W65), "\$([A-Z]+)\$[0-9]+"))</f>
        <v/>
      </c>
      <c r="X65" s="7" t="str">
        <f t="array" aca="1" ref="X65" ca="1">IFERROR(IF(OR('Raw Data'!X65="",LEN(TRIM('Raw Data'!X65))=0),"",IF(AND(ISNUMBER('Raw Data'!X65), IFERROR('Raw Data'!X65 = ROUND('Raw Data'!X65, 2),FALSE)),"",_xlfn.REGEXEXTRACT(CELL("address",X65), "\$([A-Z]+)\$[0-9]+"))),_xlfn.REGEXEXTRACT(CELL("address",X65), "\$([A-Z]+)\$[0-9]+"))</f>
        <v/>
      </c>
      <c r="Y65" s="7" t="str">
        <f t="array" aca="1" ref="Y65" ca="1">IFERROR(IF(OR('Raw Data'!Y65="",LEN(TRIM('Raw Data'!Y65))=0),"",IF(AND(ISNUMBER('Raw Data'!Y65), IFERROR('Raw Data'!Y65 = ROUND('Raw Data'!Y65, 2),FALSE)),"",_xlfn.REGEXEXTRACT(CELL("address",Y65), "\$([A-Z]+)\$[0-9]+"))),_xlfn.REGEXEXTRACT(CELL("address",Y65), "\$([A-Z]+)\$[0-9]+"))</f>
        <v/>
      </c>
      <c r="Z65" s="7" t="str">
        <f t="array" aca="1" ref="Z65" ca="1">IFERROR(IF(OR('Raw Data'!Z65="",LEN(TRIM('Raw Data'!Z65))=0),"",IF(AND(ISNUMBER('Raw Data'!Z65), IFERROR('Raw Data'!Z65 = ROUND('Raw Data'!Z65, 2),FALSE)),"",_xlfn.REGEXEXTRACT(CELL("address",Z65), "\$([A-Z]+)\$[0-9]+"))),_xlfn.REGEXEXTRACT(CELL("address",Z65), "\$([A-Z]+)\$[0-9]+"))</f>
        <v/>
      </c>
      <c r="AA65" s="7" t="str">
        <f t="array" aca="1" ref="AA65" ca="1">IFERROR(IF(OR('Raw Data'!AA65="",LEN(TRIM('Raw Data'!AA65))=0),"",IF(AND(ISNUMBER('Raw Data'!AA65), IFERROR('Raw Data'!AA65 = ROUND('Raw Data'!AA65, 2),FALSE)),"",_xlfn.REGEXEXTRACT(CELL("address",AA65), "\$([A-Z]+)\$[0-9]+"))),_xlfn.REGEXEXTRACT(CELL("address",AA65), "\$([A-Z]+)\$[0-9]+"))</f>
        <v/>
      </c>
      <c r="AB65" s="7" t="str">
        <f t="array" aca="1" ref="AB65" ca="1">IFERROR(IF(OR('Raw Data'!AB65="",LEN(TRIM('Raw Data'!AB65))=0),"",IF(AND(ISNUMBER('Raw Data'!AB65), IFERROR('Raw Data'!AB65 = ROUND('Raw Data'!AB65, 2),FALSE)),"",_xlfn.REGEXEXTRACT(CELL("address",AB65), "\$([A-Z]+)\$[0-9]+"))),_xlfn.REGEXEXTRACT(CELL("address",AB65), "\$([A-Z]+)\$[0-9]+"))</f>
        <v/>
      </c>
      <c r="AC65" s="7" t="str">
        <f t="array" aca="1" ref="AC65" ca="1">IFERROR(IF(OR('Raw Data'!AC65="",LEN(TRIM('Raw Data'!AC65))=0),"",IF(AND(ISNUMBER('Raw Data'!AC65), IFERROR('Raw Data'!AC65 = ROUND('Raw Data'!AC65, 2),FALSE)),"",_xlfn.REGEXEXTRACT(CELL("address",AC65), "\$([A-Z]+)\$[0-9]+"))),_xlfn.REGEXEXTRACT(CELL("address",AC65), "\$([A-Z]+)\$[0-9]+"))</f>
        <v/>
      </c>
      <c r="AD65" s="7" t="str">
        <f t="array" aca="1" ref="AD65" ca="1">IFERROR(IF(OR('Raw Data'!AD65="",LEN(TRIM('Raw Data'!AD65))=0),"",IF(AND(ISNUMBER('Raw Data'!AD65), IFERROR('Raw Data'!AD65 = ROUND('Raw Data'!AD65, 2),FALSE)),"",_xlfn.REGEXEXTRACT(CELL("address",AD65), "\$([A-Z]+)\$[0-9]+"))),_xlfn.REGEXEXTRACT(CELL("address",AD65), "\$([A-Z]+)\$[0-9]+"))</f>
        <v/>
      </c>
      <c r="AE65" s="7" t="str">
        <f t="array" aca="1" ref="AE65" ca="1">IFERROR(IF(OR('Raw Data'!AE65="",LEN(TRIM('Raw Data'!AE65))=0),"",IF(AND(ISNUMBER('Raw Data'!AE65), IFERROR('Raw Data'!AE65 = ROUND('Raw Data'!AE65, 2),FALSE)),"",_xlfn.REGEXEXTRACT(CELL("address",AE65), "\$([A-Z]+)\$[0-9]+"))),_xlfn.REGEXEXTRACT(CELL("address",AE65), "\$([A-Z]+)\$[0-9]+"))</f>
        <v/>
      </c>
      <c r="AF65" s="7" t="str">
        <f t="array" aca="1" ref="AF65" ca="1">IFERROR(IF(OR('Raw Data'!AF65="",LEN(TRIM('Raw Data'!AF65))=0),"",IF(AND(ISNUMBER('Raw Data'!AF65), IFERROR('Raw Data'!AF65 = ROUND('Raw Data'!AF65, 2),FALSE)),"",_xlfn.REGEXEXTRACT(CELL("address",AF65), "\$([A-Z]+)\$[0-9]+"))),_xlfn.REGEXEXTRACT(CELL("address",AF65), "\$([A-Z]+)\$[0-9]+"))</f>
        <v/>
      </c>
      <c r="AG65" s="7" t="str">
        <f t="array" aca="1" ref="AG65" ca="1">IFERROR(IF(OR('Raw Data'!AG65="",LEN(TRIM('Raw Data'!AG65))=0),"",IF(AND(ISNUMBER('Raw Data'!AG65), IFERROR('Raw Data'!AG65 = ROUND('Raw Data'!AG65, 2),FALSE)),"",_xlfn.REGEXEXTRACT(CELL("address",AG65), "\$([A-Z]+)\$[0-9]+"))),_xlfn.REGEXEXTRACT(CELL("address",AG65), "\$([A-Z]+)\$[0-9]+"))</f>
        <v/>
      </c>
      <c r="AH65" s="7" t="str">
        <f t="array" aca="1" ref="AH65" ca="1">IFERROR(IF(OR('Raw Data'!AH65="",LEN(TRIM('Raw Data'!AH65))=0),"",IF(AND(ISNUMBER('Raw Data'!AH65), IFERROR('Raw Data'!AH65 = ROUND('Raw Data'!AH65, 2),FALSE)),"",_xlfn.REGEXEXTRACT(CELL("address",AH65), "\$([A-Z]+)\$[0-9]+"))),_xlfn.REGEXEXTRACT(CELL("address",AH65), "\$([A-Z]+)\$[0-9]+"))</f>
        <v/>
      </c>
      <c r="AI65" s="7" t="str">
        <f t="array" aca="1" ref="AI65" ca="1">IFERROR(IF(OR('Raw Data'!AI65="",LEN(TRIM('Raw Data'!AI65))=0),"",IF(AND(ISNUMBER('Raw Data'!AI65), IFERROR('Raw Data'!AI65 = ROUND('Raw Data'!AI65, 2),FALSE)),"",_xlfn.REGEXEXTRACT(CELL("address",AI65), "\$([A-Z]+)\$[0-9]+"))),_xlfn.REGEXEXTRACT(CELL("address",AI65), "\$([A-Z]+)\$[0-9]+"))</f>
        <v/>
      </c>
      <c r="AJ65" s="7" t="str">
        <f t="array" aca="1" ref="AJ65" ca="1">IFERROR(IF(OR('Raw Data'!AJ65="",LEN(TRIM('Raw Data'!AJ65))=0),"",IF(AND(ISNUMBER('Raw Data'!AJ65), IFERROR('Raw Data'!AJ65 = ROUND('Raw Data'!AJ65, 4),FALSE)),"",_xlfn.REGEXEXTRACT(CELL("address",AJ65), "\$([A-Z]+)\$[0-9]+"))),_xlfn.REGEXEXTRACT(CELL("address",AJ65), "\$([A-Z]+)\$[0-9]+"))</f>
        <v/>
      </c>
      <c r="AK65" s="7" t="str">
        <f t="array" aca="1" ref="AK65" ca="1">IFERROR(IF(OR('Raw Data'!AK65="",LEN(TRIM('Raw Data'!AK65))=0),"",IF(AND(ISNUMBER('Raw Data'!AK65), IFERROR('Raw Data'!AK65 = ROUND('Raw Data'!AK65, 2),FALSE)),"",_xlfn.REGEXEXTRACT(CELL("address",AK65), "\$([A-Z]+)\$[0-9]+"))),_xlfn.REGEXEXTRACT(CELL("address",AK65), "\$([A-Z]+)\$[0-9]+"))</f>
        <v/>
      </c>
      <c r="AL65" s="7" t="str">
        <f t="array" aca="1" ref="AL65" ca="1">IFERROR(IF(OR('Raw Data'!AL65="",LEN(TRIM('Raw Data'!AL65))=0),"",IF(AND(ISNUMBER('Raw Data'!AL65), IFERROR('Raw Data'!AL65 = ROUND('Raw Data'!AL65, 2),FALSE)),"",_xlfn.REGEXEXTRACT(CELL("address",AL65), "\$([A-Z]+)\$[0-9]+"))),_xlfn.REGEXEXTRACT(CELL("address",AL65), "\$([A-Z]+)\$[0-9]+"))</f>
        <v/>
      </c>
      <c r="AM65" s="7" t="str">
        <f t="array" aca="1" ref="AM65" ca="1">IFERROR(IF(OR('Raw Data'!AM65="",LEN(TRIM('Raw Data'!AM65))=0),"",IF(AND(ISNUMBER('Raw Data'!AM65), IFERROR('Raw Data'!AM65 = ROUND('Raw Data'!AM65, 2),FALSE)),"",_xlfn.REGEXEXTRACT(CELL("address",AM65), "\$([A-Z]+)\$[0-9]+"))),_xlfn.REGEXEXTRACT(CELL("address",AM65), "\$([A-Z]+)\$[0-9]+"))</f>
        <v/>
      </c>
      <c r="AN65" s="7" t="str">
        <f t="array" aca="1" ref="AN65" ca="1">IFERROR(IF(OR('Raw Data'!AN65="",LEN(TRIM('Raw Data'!AN65))=0),"",IF(AND(ISNUMBER('Raw Data'!AN65), IFERROR('Raw Data'!AN65 = ROUND('Raw Data'!AN65, 2),FALSE)),"",_xlfn.REGEXEXTRACT(CELL("address",AN65), "\$([A-Z]+)\$[0-9]+"))),_xlfn.REGEXEXTRACT(CELL("address",AN65), "\$([A-Z]+)\$[0-9]+"))</f>
        <v/>
      </c>
      <c r="AO65" s="7" t="str">
        <f t="array" aca="1" ref="AO65" ca="1">IFERROR(IF(OR('Raw Data'!AO65="",LEN(TRIM('Raw Data'!AO65))=0),"",IF(AND(ISNUMBER('Raw Data'!AO65), IFERROR('Raw Data'!AO65 = ROUND('Raw Data'!AO65, 2),FALSE)),"",_xlfn.REGEXEXTRACT(CELL("address",AO65), "\$([A-Z]+)\$[0-9]+"))),_xlfn.REGEXEXTRACT(CELL("address",AO65), "\$([A-Z]+)\$[0-9]+"))</f>
        <v/>
      </c>
      <c r="AP65" s="7" t="str">
        <f t="array" aca="1" ref="AP65" ca="1">IFERROR(IF(OR('Raw Data'!AP65="",LEN(TRIM('Raw Data'!AP65))=0),"",IF(AND(ISNUMBER('Raw Data'!AP65), IFERROR('Raw Data'!AP65 = ROUND('Raw Data'!AP65, 2),FALSE)),"",_xlfn.REGEXEXTRACT(CELL("address",AP65), "\$([A-Z]+)\$[0-9]+"))),_xlfn.REGEXEXTRACT(CELL("address",AP65), "\$([A-Z]+)\$[0-9]+"))</f>
        <v/>
      </c>
    </row>
    <row r="66" spans="2:42" x14ac:dyDescent="0.25">
      <c r="B66" s="7" t="str">
        <f t="array" aca="1" ref="B66" ca="1">IFERROR(IF(OR('Raw Data'!B66="",LEN(TRIM('Raw Data'!B66))=0),"",IF(AND(LEN('Raw Data'!B66) &lt;= 255,LEN('Raw Data'!B66)&gt; 0),"",_xlfn.REGEXEXTRACT(CELL("address",'Raw Data'!B66),"\$([A-Z]+)\$[0-9]+"))),_xlfn.REGEXEXTRACT(CELL("address",'Raw Data'!B66),"\$([A-Z]+)\$[0-9]+"))</f>
        <v/>
      </c>
      <c r="C66" s="7" t="str">
        <f t="array" aca="1" ref="C66" ca="1">IFERROR(IF(OR('Raw Data'!C66="",LEN(TRIM('Raw Data'!C66))=0),"",IF(AND(LEN('Raw Data'!C66) &lt;= 50,LEN('Raw Data'!C66)&gt; 0),"",_xlfn.REGEXEXTRACT(CELL("address",'Raw Data'!C66),"\$([A-Z]+)\$[0-9]+"))),_xlfn.REGEXEXTRACT(CELL("address",'Raw Data'!C66),"\$([A-Z]+)\$[0-9]+"))</f>
        <v/>
      </c>
      <c r="D66" s="7" t="str">
        <f t="array" aca="1" ref="D66" ca="1">IFERROR(IF(OR('Raw Data'!D66="",LEN(TRIM('Raw Data'!D66))=0),"",IF(AND(LEN('Raw Data'!D66) &lt;= 500,LEN('Raw Data'!D66)&gt; 0),"",_xlfn.REGEXEXTRACT(CELL("address",'Raw Data'!D66),"\$([A-Z]+)\$[0-9]+"))),_xlfn.REGEXEXTRACT(CELL("address",'Raw Data'!D66),"\$([A-Z]+)\$[0-9]+"))</f>
        <v/>
      </c>
      <c r="E66" s="7" t="str">
        <f t="array" aca="1" ref="E66" ca="1">IFERROR(IF(OR('Raw Data'!E66="",LEN(TRIM('Raw Data'!E66))=0),"",IF(AND(LEN('Raw Data'!E66) &lt;= 50,LEN('Raw Data'!E66)&gt; 0),"",_xlfn.REGEXEXTRACT(CELL("address",'Raw Data'!E66),"\$([A-Z]+)\$[0-9]+"))),_xlfn.REGEXEXTRACT(CELL("address",'Raw Data'!E66),"\$([A-Z]+)\$[0-9]+"))</f>
        <v/>
      </c>
      <c r="F66" s="7" t="str">
        <f t="array" aca="1" ref="F66" ca="1">IFERROR(IF(OR('Raw Data'!F66="",LEN(TRIM('Raw Data'!F66))=0),"",IF(AND(LEN('Raw Data'!F66) &lt;= 50,LEN('Raw Data'!F66)&gt; 0),"",_xlfn.REGEXEXTRACT(CELL("address",'Raw Data'!F66),"\$([A-Z]+)\$[0-9]+"))),_xlfn.REGEXEXTRACT(CELL("address",'Raw Data'!F66),"\$([A-Z]+)\$[0-9]+"))</f>
        <v/>
      </c>
      <c r="G66" s="7" t="str">
        <f t="array" aca="1" ref="G66" ca="1">IFERROR(IF(OR('Raw Data'!G66="",LEN(TRIM('Raw Data'!G66))=0),"",IF(AND(LEN('Raw Data'!G66) &lt;= 50,LEN('Raw Data'!G66)&gt; 0),"",_xlfn.REGEXEXTRACT(CELL("address",'Raw Data'!G66),"\$([A-Z]+)\$[0-9]+"))),_xlfn.REGEXEXTRACT(CELL("address",'Raw Data'!G66),"\$([A-Z]+)\$[0-9]+"))</f>
        <v/>
      </c>
      <c r="H66" s="7" t="str">
        <f t="array" aca="1" ref="H66" ca="1">IFERROR(IF(OR('Raw Data'!H66="",LEN(TRIM('Raw Data'!H66))=0),"",IF(AND(LEN('Raw Data'!H66) &lt;= 50,LEN('Raw Data'!H66)&gt; 0),"",_xlfn.REGEXEXTRACT(CELL("address",'Raw Data'!H66),"\$([A-Z]+)\$[0-9]+"))),_xlfn.REGEXEXTRACT(CELL("address",'Raw Data'!H66),"\$([A-Z]+)\$[0-9]+"))</f>
        <v/>
      </c>
      <c r="I66" s="7" t="str">
        <f t="array" aca="1" ref="I66" ca="1">IFERROR(IF(OR('Raw Data'!I66="",LEN(TRIM('Raw Data'!I66))=0),"",IF(AND(LEN('Raw Data'!I66) &lt;= 50,LEN('Raw Data'!I66)&gt; 0),"",_xlfn.REGEXEXTRACT(CELL("address",'Raw Data'!I66),"\$([A-Z]+)\$[0-9]+"))),_xlfn.REGEXEXTRACT(CELL("address",'Raw Data'!I66),"\$([A-Z]+)\$[0-9]+"))</f>
        <v/>
      </c>
      <c r="J66" s="7" t="str">
        <f t="array" aca="1" ref="J66" ca="1">IFERROR(IF(OR('Raw Data'!J66="",LEN(TRIM('Raw Data'!J66))=0),"",IF(AND(ISNUMBER('Raw Data'!J66), IFERROR('Raw Data'!J66 = ROUND('Raw Data'!J66, 2),FALSE)),"",_xlfn.REGEXEXTRACT(CELL("address",J66), "\$([A-Z]+)\$[0-9]+"))),_xlfn.REGEXEXTRACT(CELL("address",J66), "\$([A-Z]+)\$[0-9]+"))</f>
        <v/>
      </c>
      <c r="K66" s="7" t="str">
        <f t="array" aca="1" ref="K66" ca="1">IFERROR(IF(OR('Raw Data'!K66="",LEN(TRIM('Raw Data'!K66))=0),"",IF(AND(ISNUMBER('Raw Data'!K66), IFERROR('Raw Data'!K66 = ROUND('Raw Data'!K66, 2),FALSE)),"",_xlfn.REGEXEXTRACT(CELL("address",K66), "\$([A-Z]+)\$[0-9]+"))),_xlfn.REGEXEXTRACT(CELL("address",K66), "\$([A-Z]+)\$[0-9]+"))</f>
        <v/>
      </c>
      <c r="L66" s="7" t="str">
        <f t="array" aca="1" ref="L66" ca="1">IFERROR(IF(OR('Raw Data'!L66="",LEN(TRIM('Raw Data'!L66))=0),"",IF(AND(ISNUMBER('Raw Data'!L66), IFERROR('Raw Data'!L66 = ROUND('Raw Data'!L66, 2),FALSE)),"",_xlfn.REGEXEXTRACT(CELL("address",L66), "\$([A-Z]+)\$[0-9]+"))),_xlfn.REGEXEXTRACT(CELL("address",L66), "\$([A-Z]+)\$[0-9]+"))</f>
        <v/>
      </c>
      <c r="M66" s="7" t="str">
        <f t="array" aca="1" ref="M66" ca="1">IFERROR(IF(OR('Raw Data'!M66="",LEN(TRIM('Raw Data'!M66))=0),"",IF(AND(ISNUMBER('Raw Data'!M66), IFERROR('Raw Data'!M66 = ROUND('Raw Data'!M66, 2),FALSE)),"",_xlfn.REGEXEXTRACT(CELL("address",M66), "\$([A-Z]+)\$[0-9]+"))),_xlfn.REGEXEXTRACT(CELL("address",M66), "\$([A-Z]+)\$[0-9]+"))</f>
        <v/>
      </c>
      <c r="N66" s="7" t="str">
        <f t="array" aca="1" ref="N66" ca="1">IFERROR(IF(OR('Raw Data'!N66="",LEN(TRIM('Raw Data'!N66))=0),"",IF(AND(ISNUMBER('Raw Data'!N66), IFERROR('Raw Data'!N66 = ROUND('Raw Data'!N66, 2),FALSE)),"",_xlfn.REGEXEXTRACT(CELL("address",N66), "\$([A-Z]+)\$[0-9]+"))),_xlfn.REGEXEXTRACT(CELL("address",N66), "\$([A-Z]+)\$[0-9]+"))</f>
        <v/>
      </c>
      <c r="O66" s="7" t="str">
        <f t="array" aca="1" ref="O66" ca="1">IFERROR(IF(OR('Raw Data'!O66="",LEN(TRIM('Raw Data'!O66))=0),"",IF(AND(ISNUMBER('Raw Data'!O66),'Raw Data'!O66&gt;=Configuration!$D$2),"",_xlfn.REGEXEXTRACT(CELL("address",'Raw Data'!O66),"\$([A-Z]+)\$[0-9]+"))),_xlfn.REGEXEXTRACT(CELL("address",O66), "\$([A-Z]+)\$[0-9]+"))</f>
        <v/>
      </c>
      <c r="P66" s="7" t="str">
        <f t="array" aca="1" ref="P66" ca="1">IFERROR(IF(OR('Raw Data'!P66="",LEN(TRIM('Raw Data'!P66))=0),"",IF(AND(ISNUMBER('Raw Data'!P66), IFERROR('Raw Data'!P66 = ROUND('Raw Data'!P66, 2),FALSE)),"",_xlfn.REGEXEXTRACT(CELL("address",P66), "\$([A-Z]+)\$[0-9]+"))),_xlfn.REGEXEXTRACT(CELL("address",P66), "\$([A-Z]+)\$[0-9]+"))</f>
        <v/>
      </c>
      <c r="Q66" s="7" t="str">
        <f t="array" aca="1" ref="Q66" ca="1">IFERROR(IF(OR('Raw Data'!Q66="",LEN(TRIM('Raw Data'!Q66))=0),"",IF(AND(ISNUMBER('Raw Data'!Q66), IFERROR('Raw Data'!Q66 = ROUND('Raw Data'!Q66, 2),FALSE)),"",_xlfn.REGEXEXTRACT(CELL("address",Q66), "\$([A-Z]+)\$[0-9]+"))),_xlfn.REGEXEXTRACT(CELL("address",Q66), "\$([A-Z]+)\$[0-9]+"))</f>
        <v/>
      </c>
      <c r="R66" s="7" t="str">
        <f t="array" aca="1" ref="R66" ca="1">IFERROR(IF(OR('Raw Data'!R66="",LEN(TRIM('Raw Data'!R66))=0),"",IF(AND(LEN('Raw Data'!R66) &lt;= 50,LEN('Raw Data'!R66)&gt; 0),"",_xlfn.REGEXEXTRACT(CELL("address",'Raw Data'!R66),"\$([A-Z]+)\$[0-9]+"))),_xlfn.REGEXEXTRACT(CELL("address",'Raw Data'!R66),"\$([A-Z]+)\$[0-9]+"))</f>
        <v/>
      </c>
      <c r="S66" s="7" t="str">
        <f t="array" aca="1" ref="S66" ca="1">IFERROR(IF(OR('Raw Data'!S66="",LEN(TRIM('Raw Data'!S66))=0),"",IF(AND(LEN('Raw Data'!S66) &lt;= 50,LEN('Raw Data'!S66)&gt; 0),"",_xlfn.REGEXEXTRACT(CELL("address",'Raw Data'!S66),"\$([A-Z]+)\$[0-9]+"))),_xlfn.REGEXEXTRACT(CELL("address",'Raw Data'!S66),"\$([A-Z]+)\$[0-9]+"))</f>
        <v/>
      </c>
      <c r="T66" s="7" t="str">
        <f t="array" aca="1" ref="T66" ca="1">IFERROR(IF(OR('Raw Data'!T66="",LEN(TRIM('Raw Data'!T66))=0),"",IF(AND(ISNUMBER('Raw Data'!T66), IFERROR('Raw Data'!T66 = ROUND('Raw Data'!T66, 2),FALSE)),"",_xlfn.REGEXEXTRACT(CELL("address",T66), "\$([A-Z]+)\$[0-9]+"))),_xlfn.REGEXEXTRACT(CELL("address",T66), "\$([A-Z]+)\$[0-9]+"))</f>
        <v/>
      </c>
      <c r="U66" s="7" t="str">
        <f t="array" aca="1" ref="U66" ca="1">IFERROR(IF(OR('Raw Data'!U66="",LEN(TRIM('Raw Data'!U66))=0),"",IF(AND(ISNUMBER('Raw Data'!U66), IFERROR('Raw Data'!U66 = ROUND('Raw Data'!U66, 2),FALSE)),"",_xlfn.REGEXEXTRACT(CELL("address",U66), "\$([A-Z]+)\$[0-9]+"))),_xlfn.REGEXEXTRACT(CELL("address",U66), "\$([A-Z]+)\$[0-9]+"))</f>
        <v/>
      </c>
      <c r="V66" s="7" t="str">
        <f t="array" aca="1" ref="V66" ca="1">IFERROR(IF(OR('Raw Data'!V66="",LEN(TRIM('Raw Data'!V66))=0),"",IF(AND(ISNUMBER('Raw Data'!V66), IFERROR('Raw Data'!V66 = ROUND('Raw Data'!V66, 2),FALSE)),"",_xlfn.REGEXEXTRACT(CELL("address",V66), "\$([A-Z]+)\$[0-9]+"))),_xlfn.REGEXEXTRACT(CELL("address",V66), "\$([A-Z]+)\$[0-9]+"))</f>
        <v/>
      </c>
      <c r="W66" s="7" t="str">
        <f t="array" aca="1" ref="W66" ca="1">IFERROR(IF(OR('Raw Data'!W66="",LEN(TRIM('Raw Data'!W66))=0),"",IF(AND(ISNUMBER('Raw Data'!W66), IFERROR('Raw Data'!W66 = ROUND('Raw Data'!W66, 2),FALSE)),"",_xlfn.REGEXEXTRACT(CELL("address",W66), "\$([A-Z]+)\$[0-9]+"))),_xlfn.REGEXEXTRACT(CELL("address",W66), "\$([A-Z]+)\$[0-9]+"))</f>
        <v/>
      </c>
      <c r="X66" s="7" t="str">
        <f t="array" aca="1" ref="X66" ca="1">IFERROR(IF(OR('Raw Data'!X66="",LEN(TRIM('Raw Data'!X66))=0),"",IF(AND(ISNUMBER('Raw Data'!X66), IFERROR('Raw Data'!X66 = ROUND('Raw Data'!X66, 2),FALSE)),"",_xlfn.REGEXEXTRACT(CELL("address",X66), "\$([A-Z]+)\$[0-9]+"))),_xlfn.REGEXEXTRACT(CELL("address",X66), "\$([A-Z]+)\$[0-9]+"))</f>
        <v/>
      </c>
      <c r="Y66" s="7" t="str">
        <f t="array" aca="1" ref="Y66" ca="1">IFERROR(IF(OR('Raw Data'!Y66="",LEN(TRIM('Raw Data'!Y66))=0),"",IF(AND(ISNUMBER('Raw Data'!Y66), IFERROR('Raw Data'!Y66 = ROUND('Raw Data'!Y66, 2),FALSE)),"",_xlfn.REGEXEXTRACT(CELL("address",Y66), "\$([A-Z]+)\$[0-9]+"))),_xlfn.REGEXEXTRACT(CELL("address",Y66), "\$([A-Z]+)\$[0-9]+"))</f>
        <v/>
      </c>
      <c r="Z66" s="7" t="str">
        <f t="array" aca="1" ref="Z66" ca="1">IFERROR(IF(OR('Raw Data'!Z66="",LEN(TRIM('Raw Data'!Z66))=0),"",IF(AND(ISNUMBER('Raw Data'!Z66), IFERROR('Raw Data'!Z66 = ROUND('Raw Data'!Z66, 2),FALSE)),"",_xlfn.REGEXEXTRACT(CELL("address",Z66), "\$([A-Z]+)\$[0-9]+"))),_xlfn.REGEXEXTRACT(CELL("address",Z66), "\$([A-Z]+)\$[0-9]+"))</f>
        <v/>
      </c>
      <c r="AA66" s="7" t="str">
        <f t="array" aca="1" ref="AA66" ca="1">IFERROR(IF(OR('Raw Data'!AA66="",LEN(TRIM('Raw Data'!AA66))=0),"",IF(AND(ISNUMBER('Raw Data'!AA66), IFERROR('Raw Data'!AA66 = ROUND('Raw Data'!AA66, 2),FALSE)),"",_xlfn.REGEXEXTRACT(CELL("address",AA66), "\$([A-Z]+)\$[0-9]+"))),_xlfn.REGEXEXTRACT(CELL("address",AA66), "\$([A-Z]+)\$[0-9]+"))</f>
        <v/>
      </c>
      <c r="AB66" s="7" t="str">
        <f t="array" aca="1" ref="AB66" ca="1">IFERROR(IF(OR('Raw Data'!AB66="",LEN(TRIM('Raw Data'!AB66))=0),"",IF(AND(ISNUMBER('Raw Data'!AB66), IFERROR('Raw Data'!AB66 = ROUND('Raw Data'!AB66, 2),FALSE)),"",_xlfn.REGEXEXTRACT(CELL("address",AB66), "\$([A-Z]+)\$[0-9]+"))),_xlfn.REGEXEXTRACT(CELL("address",AB66), "\$([A-Z]+)\$[0-9]+"))</f>
        <v/>
      </c>
      <c r="AC66" s="7" t="str">
        <f t="array" aca="1" ref="AC66" ca="1">IFERROR(IF(OR('Raw Data'!AC66="",LEN(TRIM('Raw Data'!AC66))=0),"",IF(AND(ISNUMBER('Raw Data'!AC66), IFERROR('Raw Data'!AC66 = ROUND('Raw Data'!AC66, 2),FALSE)),"",_xlfn.REGEXEXTRACT(CELL("address",AC66), "\$([A-Z]+)\$[0-9]+"))),_xlfn.REGEXEXTRACT(CELL("address",AC66), "\$([A-Z]+)\$[0-9]+"))</f>
        <v/>
      </c>
      <c r="AD66" s="7" t="str">
        <f t="array" aca="1" ref="AD66" ca="1">IFERROR(IF(OR('Raw Data'!AD66="",LEN(TRIM('Raw Data'!AD66))=0),"",IF(AND(ISNUMBER('Raw Data'!AD66), IFERROR('Raw Data'!AD66 = ROUND('Raw Data'!AD66, 2),FALSE)),"",_xlfn.REGEXEXTRACT(CELL("address",AD66), "\$([A-Z]+)\$[0-9]+"))),_xlfn.REGEXEXTRACT(CELL("address",AD66), "\$([A-Z]+)\$[0-9]+"))</f>
        <v/>
      </c>
      <c r="AE66" s="7" t="str">
        <f t="array" aca="1" ref="AE66" ca="1">IFERROR(IF(OR('Raw Data'!AE66="",LEN(TRIM('Raw Data'!AE66))=0),"",IF(AND(ISNUMBER('Raw Data'!AE66), IFERROR('Raw Data'!AE66 = ROUND('Raw Data'!AE66, 2),FALSE)),"",_xlfn.REGEXEXTRACT(CELL("address",AE66), "\$([A-Z]+)\$[0-9]+"))),_xlfn.REGEXEXTRACT(CELL("address",AE66), "\$([A-Z]+)\$[0-9]+"))</f>
        <v/>
      </c>
      <c r="AF66" s="7" t="str">
        <f t="array" aca="1" ref="AF66" ca="1">IFERROR(IF(OR('Raw Data'!AF66="",LEN(TRIM('Raw Data'!AF66))=0),"",IF(AND(ISNUMBER('Raw Data'!AF66), IFERROR('Raw Data'!AF66 = ROUND('Raw Data'!AF66, 2),FALSE)),"",_xlfn.REGEXEXTRACT(CELL("address",AF66), "\$([A-Z]+)\$[0-9]+"))),_xlfn.REGEXEXTRACT(CELL("address",AF66), "\$([A-Z]+)\$[0-9]+"))</f>
        <v/>
      </c>
      <c r="AG66" s="7" t="str">
        <f t="array" aca="1" ref="AG66" ca="1">IFERROR(IF(OR('Raw Data'!AG66="",LEN(TRIM('Raw Data'!AG66))=0),"",IF(AND(ISNUMBER('Raw Data'!AG66), IFERROR('Raw Data'!AG66 = ROUND('Raw Data'!AG66, 2),FALSE)),"",_xlfn.REGEXEXTRACT(CELL("address",AG66), "\$([A-Z]+)\$[0-9]+"))),_xlfn.REGEXEXTRACT(CELL("address",AG66), "\$([A-Z]+)\$[0-9]+"))</f>
        <v/>
      </c>
      <c r="AH66" s="7" t="str">
        <f t="array" aca="1" ref="AH66" ca="1">IFERROR(IF(OR('Raw Data'!AH66="",LEN(TRIM('Raw Data'!AH66))=0),"",IF(AND(ISNUMBER('Raw Data'!AH66), IFERROR('Raw Data'!AH66 = ROUND('Raw Data'!AH66, 2),FALSE)),"",_xlfn.REGEXEXTRACT(CELL("address",AH66), "\$([A-Z]+)\$[0-9]+"))),_xlfn.REGEXEXTRACT(CELL("address",AH66), "\$([A-Z]+)\$[0-9]+"))</f>
        <v/>
      </c>
      <c r="AI66" s="7" t="str">
        <f t="array" aca="1" ref="AI66" ca="1">IFERROR(IF(OR('Raw Data'!AI66="",LEN(TRIM('Raw Data'!AI66))=0),"",IF(AND(ISNUMBER('Raw Data'!AI66), IFERROR('Raw Data'!AI66 = ROUND('Raw Data'!AI66, 2),FALSE)),"",_xlfn.REGEXEXTRACT(CELL("address",AI66), "\$([A-Z]+)\$[0-9]+"))),_xlfn.REGEXEXTRACT(CELL("address",AI66), "\$([A-Z]+)\$[0-9]+"))</f>
        <v/>
      </c>
      <c r="AJ66" s="7" t="str">
        <f t="array" aca="1" ref="AJ66" ca="1">IFERROR(IF(OR('Raw Data'!AJ66="",LEN(TRIM('Raw Data'!AJ66))=0),"",IF(AND(ISNUMBER('Raw Data'!AJ66), IFERROR('Raw Data'!AJ66 = ROUND('Raw Data'!AJ66, 4),FALSE)),"",_xlfn.REGEXEXTRACT(CELL("address",AJ66), "\$([A-Z]+)\$[0-9]+"))),_xlfn.REGEXEXTRACT(CELL("address",AJ66), "\$([A-Z]+)\$[0-9]+"))</f>
        <v/>
      </c>
      <c r="AK66" s="7" t="str">
        <f t="array" aca="1" ref="AK66" ca="1">IFERROR(IF(OR('Raw Data'!AK66="",LEN(TRIM('Raw Data'!AK66))=0),"",IF(AND(ISNUMBER('Raw Data'!AK66), IFERROR('Raw Data'!AK66 = ROUND('Raw Data'!AK66, 2),FALSE)),"",_xlfn.REGEXEXTRACT(CELL("address",AK66), "\$([A-Z]+)\$[0-9]+"))),_xlfn.REGEXEXTRACT(CELL("address",AK66), "\$([A-Z]+)\$[0-9]+"))</f>
        <v/>
      </c>
      <c r="AL66" s="7" t="str">
        <f t="array" aca="1" ref="AL66" ca="1">IFERROR(IF(OR('Raw Data'!AL66="",LEN(TRIM('Raw Data'!AL66))=0),"",IF(AND(ISNUMBER('Raw Data'!AL66), IFERROR('Raw Data'!AL66 = ROUND('Raw Data'!AL66, 2),FALSE)),"",_xlfn.REGEXEXTRACT(CELL("address",AL66), "\$([A-Z]+)\$[0-9]+"))),_xlfn.REGEXEXTRACT(CELL("address",AL66), "\$([A-Z]+)\$[0-9]+"))</f>
        <v/>
      </c>
      <c r="AM66" s="7" t="str">
        <f t="array" aca="1" ref="AM66" ca="1">IFERROR(IF(OR('Raw Data'!AM66="",LEN(TRIM('Raw Data'!AM66))=0),"",IF(AND(ISNUMBER('Raw Data'!AM66), IFERROR('Raw Data'!AM66 = ROUND('Raw Data'!AM66, 2),FALSE)),"",_xlfn.REGEXEXTRACT(CELL("address",AM66), "\$([A-Z]+)\$[0-9]+"))),_xlfn.REGEXEXTRACT(CELL("address",AM66), "\$([A-Z]+)\$[0-9]+"))</f>
        <v/>
      </c>
      <c r="AN66" s="7" t="str">
        <f t="array" aca="1" ref="AN66" ca="1">IFERROR(IF(OR('Raw Data'!AN66="",LEN(TRIM('Raw Data'!AN66))=0),"",IF(AND(ISNUMBER('Raw Data'!AN66), IFERROR('Raw Data'!AN66 = ROUND('Raw Data'!AN66, 2),FALSE)),"",_xlfn.REGEXEXTRACT(CELL("address",AN66), "\$([A-Z]+)\$[0-9]+"))),_xlfn.REGEXEXTRACT(CELL("address",AN66), "\$([A-Z]+)\$[0-9]+"))</f>
        <v/>
      </c>
      <c r="AO66" s="7" t="str">
        <f t="array" aca="1" ref="AO66" ca="1">IFERROR(IF(OR('Raw Data'!AO66="",LEN(TRIM('Raw Data'!AO66))=0),"",IF(AND(ISNUMBER('Raw Data'!AO66), IFERROR('Raw Data'!AO66 = ROUND('Raw Data'!AO66, 2),FALSE)),"",_xlfn.REGEXEXTRACT(CELL("address",AO66), "\$([A-Z]+)\$[0-9]+"))),_xlfn.REGEXEXTRACT(CELL("address",AO66), "\$([A-Z]+)\$[0-9]+"))</f>
        <v/>
      </c>
      <c r="AP66" s="7" t="str">
        <f t="array" aca="1" ref="AP66" ca="1">IFERROR(IF(OR('Raw Data'!AP66="",LEN(TRIM('Raw Data'!AP66))=0),"",IF(AND(ISNUMBER('Raw Data'!AP66), IFERROR('Raw Data'!AP66 = ROUND('Raw Data'!AP66, 2),FALSE)),"",_xlfn.REGEXEXTRACT(CELL("address",AP66), "\$([A-Z]+)\$[0-9]+"))),_xlfn.REGEXEXTRACT(CELL("address",AP66), "\$([A-Z]+)\$[0-9]+"))</f>
        <v/>
      </c>
    </row>
    <row r="67" spans="2:42" x14ac:dyDescent="0.25">
      <c r="B67" s="7" t="str">
        <f t="array" aca="1" ref="B67" ca="1">IFERROR(IF(OR('Raw Data'!B67="",LEN(TRIM('Raw Data'!B67))=0),"",IF(AND(LEN('Raw Data'!B67) &lt;= 255,LEN('Raw Data'!B67)&gt; 0),"",_xlfn.REGEXEXTRACT(CELL("address",'Raw Data'!B67),"\$([A-Z]+)\$[0-9]+"))),_xlfn.REGEXEXTRACT(CELL("address",'Raw Data'!B67),"\$([A-Z]+)\$[0-9]+"))</f>
        <v/>
      </c>
      <c r="C67" s="7" t="str">
        <f t="array" aca="1" ref="C67" ca="1">IFERROR(IF(OR('Raw Data'!C67="",LEN(TRIM('Raw Data'!C67))=0),"",IF(AND(LEN('Raw Data'!C67) &lt;= 50,LEN('Raw Data'!C67)&gt; 0),"",_xlfn.REGEXEXTRACT(CELL("address",'Raw Data'!C67),"\$([A-Z]+)\$[0-9]+"))),_xlfn.REGEXEXTRACT(CELL("address",'Raw Data'!C67),"\$([A-Z]+)\$[0-9]+"))</f>
        <v/>
      </c>
      <c r="D67" s="7" t="str">
        <f t="array" aca="1" ref="D67" ca="1">IFERROR(IF(OR('Raw Data'!D67="",LEN(TRIM('Raw Data'!D67))=0),"",IF(AND(LEN('Raw Data'!D67) &lt;= 500,LEN('Raw Data'!D67)&gt; 0),"",_xlfn.REGEXEXTRACT(CELL("address",'Raw Data'!D67),"\$([A-Z]+)\$[0-9]+"))),_xlfn.REGEXEXTRACT(CELL("address",'Raw Data'!D67),"\$([A-Z]+)\$[0-9]+"))</f>
        <v/>
      </c>
      <c r="E67" s="7" t="str">
        <f t="array" aca="1" ref="E67" ca="1">IFERROR(IF(OR('Raw Data'!E67="",LEN(TRIM('Raw Data'!E67))=0),"",IF(AND(LEN('Raw Data'!E67) &lt;= 50,LEN('Raw Data'!E67)&gt; 0),"",_xlfn.REGEXEXTRACT(CELL("address",'Raw Data'!E67),"\$([A-Z]+)\$[0-9]+"))),_xlfn.REGEXEXTRACT(CELL("address",'Raw Data'!E67),"\$([A-Z]+)\$[0-9]+"))</f>
        <v/>
      </c>
      <c r="F67" s="7" t="str">
        <f t="array" aca="1" ref="F67" ca="1">IFERROR(IF(OR('Raw Data'!F67="",LEN(TRIM('Raw Data'!F67))=0),"",IF(AND(LEN('Raw Data'!F67) &lt;= 50,LEN('Raw Data'!F67)&gt; 0),"",_xlfn.REGEXEXTRACT(CELL("address",'Raw Data'!F67),"\$([A-Z]+)\$[0-9]+"))),_xlfn.REGEXEXTRACT(CELL("address",'Raw Data'!F67),"\$([A-Z]+)\$[0-9]+"))</f>
        <v/>
      </c>
      <c r="G67" s="7" t="str">
        <f t="array" aca="1" ref="G67" ca="1">IFERROR(IF(OR('Raw Data'!G67="",LEN(TRIM('Raw Data'!G67))=0),"",IF(AND(LEN('Raw Data'!G67) &lt;= 50,LEN('Raw Data'!G67)&gt; 0),"",_xlfn.REGEXEXTRACT(CELL("address",'Raw Data'!G67),"\$([A-Z]+)\$[0-9]+"))),_xlfn.REGEXEXTRACT(CELL("address",'Raw Data'!G67),"\$([A-Z]+)\$[0-9]+"))</f>
        <v/>
      </c>
      <c r="H67" s="7" t="str">
        <f t="array" aca="1" ref="H67" ca="1">IFERROR(IF(OR('Raw Data'!H67="",LEN(TRIM('Raw Data'!H67))=0),"",IF(AND(LEN('Raw Data'!H67) &lt;= 50,LEN('Raw Data'!H67)&gt; 0),"",_xlfn.REGEXEXTRACT(CELL("address",'Raw Data'!H67),"\$([A-Z]+)\$[0-9]+"))),_xlfn.REGEXEXTRACT(CELL("address",'Raw Data'!H67),"\$([A-Z]+)\$[0-9]+"))</f>
        <v/>
      </c>
      <c r="I67" s="7" t="str">
        <f t="array" aca="1" ref="I67" ca="1">IFERROR(IF(OR('Raw Data'!I67="",LEN(TRIM('Raw Data'!I67))=0),"",IF(AND(LEN('Raw Data'!I67) &lt;= 50,LEN('Raw Data'!I67)&gt; 0),"",_xlfn.REGEXEXTRACT(CELL("address",'Raw Data'!I67),"\$([A-Z]+)\$[0-9]+"))),_xlfn.REGEXEXTRACT(CELL("address",'Raw Data'!I67),"\$([A-Z]+)\$[0-9]+"))</f>
        <v/>
      </c>
      <c r="J67" s="7" t="str">
        <f t="array" aca="1" ref="J67" ca="1">IFERROR(IF(OR('Raw Data'!J67="",LEN(TRIM('Raw Data'!J67))=0),"",IF(AND(ISNUMBER('Raw Data'!J67), IFERROR('Raw Data'!J67 = ROUND('Raw Data'!J67, 2),FALSE)),"",_xlfn.REGEXEXTRACT(CELL("address",J67), "\$([A-Z]+)\$[0-9]+"))),_xlfn.REGEXEXTRACT(CELL("address",J67), "\$([A-Z]+)\$[0-9]+"))</f>
        <v/>
      </c>
      <c r="K67" s="7" t="str">
        <f t="array" aca="1" ref="K67" ca="1">IFERROR(IF(OR('Raw Data'!K67="",LEN(TRIM('Raw Data'!K67))=0),"",IF(AND(ISNUMBER('Raw Data'!K67), IFERROR('Raw Data'!K67 = ROUND('Raw Data'!K67, 2),FALSE)),"",_xlfn.REGEXEXTRACT(CELL("address",K67), "\$([A-Z]+)\$[0-9]+"))),_xlfn.REGEXEXTRACT(CELL("address",K67), "\$([A-Z]+)\$[0-9]+"))</f>
        <v/>
      </c>
      <c r="L67" s="7" t="str">
        <f t="array" aca="1" ref="L67" ca="1">IFERROR(IF(OR('Raw Data'!L67="",LEN(TRIM('Raw Data'!L67))=0),"",IF(AND(ISNUMBER('Raw Data'!L67), IFERROR('Raw Data'!L67 = ROUND('Raw Data'!L67, 2),FALSE)),"",_xlfn.REGEXEXTRACT(CELL("address",L67), "\$([A-Z]+)\$[0-9]+"))),_xlfn.REGEXEXTRACT(CELL("address",L67), "\$([A-Z]+)\$[0-9]+"))</f>
        <v/>
      </c>
      <c r="M67" s="7" t="str">
        <f t="array" aca="1" ref="M67" ca="1">IFERROR(IF(OR('Raw Data'!M67="",LEN(TRIM('Raw Data'!M67))=0),"",IF(AND(ISNUMBER('Raw Data'!M67), IFERROR('Raw Data'!M67 = ROUND('Raw Data'!M67, 2),FALSE)),"",_xlfn.REGEXEXTRACT(CELL("address",M67), "\$([A-Z]+)\$[0-9]+"))),_xlfn.REGEXEXTRACT(CELL("address",M67), "\$([A-Z]+)\$[0-9]+"))</f>
        <v/>
      </c>
      <c r="N67" s="7" t="str">
        <f t="array" aca="1" ref="N67" ca="1">IFERROR(IF(OR('Raw Data'!N67="",LEN(TRIM('Raw Data'!N67))=0),"",IF(AND(ISNUMBER('Raw Data'!N67), IFERROR('Raw Data'!N67 = ROUND('Raw Data'!N67, 2),FALSE)),"",_xlfn.REGEXEXTRACT(CELL("address",N67), "\$([A-Z]+)\$[0-9]+"))),_xlfn.REGEXEXTRACT(CELL("address",N67), "\$([A-Z]+)\$[0-9]+"))</f>
        <v/>
      </c>
      <c r="O67" s="7" t="str">
        <f t="array" aca="1" ref="O67" ca="1">IFERROR(IF(OR('Raw Data'!O67="",LEN(TRIM('Raw Data'!O67))=0),"",IF(AND(ISNUMBER('Raw Data'!O67),'Raw Data'!O67&gt;=Configuration!$D$2),"",_xlfn.REGEXEXTRACT(CELL("address",'Raw Data'!O67),"\$([A-Z]+)\$[0-9]+"))),_xlfn.REGEXEXTRACT(CELL("address",O67), "\$([A-Z]+)\$[0-9]+"))</f>
        <v/>
      </c>
      <c r="P67" s="7" t="str">
        <f t="array" aca="1" ref="P67" ca="1">IFERROR(IF(OR('Raw Data'!P67="",LEN(TRIM('Raw Data'!P67))=0),"",IF(AND(ISNUMBER('Raw Data'!P67), IFERROR('Raw Data'!P67 = ROUND('Raw Data'!P67, 2),FALSE)),"",_xlfn.REGEXEXTRACT(CELL("address",P67), "\$([A-Z]+)\$[0-9]+"))),_xlfn.REGEXEXTRACT(CELL("address",P67), "\$([A-Z]+)\$[0-9]+"))</f>
        <v/>
      </c>
      <c r="Q67" s="7" t="str">
        <f t="array" aca="1" ref="Q67" ca="1">IFERROR(IF(OR('Raw Data'!Q67="",LEN(TRIM('Raw Data'!Q67))=0),"",IF(AND(ISNUMBER('Raw Data'!Q67), IFERROR('Raw Data'!Q67 = ROUND('Raw Data'!Q67, 2),FALSE)),"",_xlfn.REGEXEXTRACT(CELL("address",Q67), "\$([A-Z]+)\$[0-9]+"))),_xlfn.REGEXEXTRACT(CELL("address",Q67), "\$([A-Z]+)\$[0-9]+"))</f>
        <v/>
      </c>
      <c r="R67" s="7" t="str">
        <f t="array" aca="1" ref="R67" ca="1">IFERROR(IF(OR('Raw Data'!R67="",LEN(TRIM('Raw Data'!R67))=0),"",IF(AND(LEN('Raw Data'!R67) &lt;= 50,LEN('Raw Data'!R67)&gt; 0),"",_xlfn.REGEXEXTRACT(CELL("address",'Raw Data'!R67),"\$([A-Z]+)\$[0-9]+"))),_xlfn.REGEXEXTRACT(CELL("address",'Raw Data'!R67),"\$([A-Z]+)\$[0-9]+"))</f>
        <v/>
      </c>
      <c r="S67" s="7" t="str">
        <f t="array" aca="1" ref="S67" ca="1">IFERROR(IF(OR('Raw Data'!S67="",LEN(TRIM('Raw Data'!S67))=0),"",IF(AND(LEN('Raw Data'!S67) &lt;= 50,LEN('Raw Data'!S67)&gt; 0),"",_xlfn.REGEXEXTRACT(CELL("address",'Raw Data'!S67),"\$([A-Z]+)\$[0-9]+"))),_xlfn.REGEXEXTRACT(CELL("address",'Raw Data'!S67),"\$([A-Z]+)\$[0-9]+"))</f>
        <v/>
      </c>
      <c r="T67" s="7" t="str">
        <f t="array" aca="1" ref="T67" ca="1">IFERROR(IF(OR('Raw Data'!T67="",LEN(TRIM('Raw Data'!T67))=0),"",IF(AND(ISNUMBER('Raw Data'!T67), IFERROR('Raw Data'!T67 = ROUND('Raw Data'!T67, 2),FALSE)),"",_xlfn.REGEXEXTRACT(CELL("address",T67), "\$([A-Z]+)\$[0-9]+"))),_xlfn.REGEXEXTRACT(CELL("address",T67), "\$([A-Z]+)\$[0-9]+"))</f>
        <v/>
      </c>
      <c r="U67" s="7" t="str">
        <f t="array" aca="1" ref="U67" ca="1">IFERROR(IF(OR('Raw Data'!U67="",LEN(TRIM('Raw Data'!U67))=0),"",IF(AND(ISNUMBER('Raw Data'!U67), IFERROR('Raw Data'!U67 = ROUND('Raw Data'!U67, 2),FALSE)),"",_xlfn.REGEXEXTRACT(CELL("address",U67), "\$([A-Z]+)\$[0-9]+"))),_xlfn.REGEXEXTRACT(CELL("address",U67), "\$([A-Z]+)\$[0-9]+"))</f>
        <v/>
      </c>
      <c r="V67" s="7" t="str">
        <f t="array" aca="1" ref="V67" ca="1">IFERROR(IF(OR('Raw Data'!V67="",LEN(TRIM('Raw Data'!V67))=0),"",IF(AND(ISNUMBER('Raw Data'!V67), IFERROR('Raw Data'!V67 = ROUND('Raw Data'!V67, 2),FALSE)),"",_xlfn.REGEXEXTRACT(CELL("address",V67), "\$([A-Z]+)\$[0-9]+"))),_xlfn.REGEXEXTRACT(CELL("address",V67), "\$([A-Z]+)\$[0-9]+"))</f>
        <v/>
      </c>
      <c r="W67" s="7" t="str">
        <f t="array" aca="1" ref="W67" ca="1">IFERROR(IF(OR('Raw Data'!W67="",LEN(TRIM('Raw Data'!W67))=0),"",IF(AND(ISNUMBER('Raw Data'!W67), IFERROR('Raw Data'!W67 = ROUND('Raw Data'!W67, 2),FALSE)),"",_xlfn.REGEXEXTRACT(CELL("address",W67), "\$([A-Z]+)\$[0-9]+"))),_xlfn.REGEXEXTRACT(CELL("address",W67), "\$([A-Z]+)\$[0-9]+"))</f>
        <v/>
      </c>
      <c r="X67" s="7" t="str">
        <f t="array" aca="1" ref="X67" ca="1">IFERROR(IF(OR('Raw Data'!X67="",LEN(TRIM('Raw Data'!X67))=0),"",IF(AND(ISNUMBER('Raw Data'!X67), IFERROR('Raw Data'!X67 = ROUND('Raw Data'!X67, 2),FALSE)),"",_xlfn.REGEXEXTRACT(CELL("address",X67), "\$([A-Z]+)\$[0-9]+"))),_xlfn.REGEXEXTRACT(CELL("address",X67), "\$([A-Z]+)\$[0-9]+"))</f>
        <v/>
      </c>
      <c r="Y67" s="7" t="str">
        <f t="array" aca="1" ref="Y67" ca="1">IFERROR(IF(OR('Raw Data'!Y67="",LEN(TRIM('Raw Data'!Y67))=0),"",IF(AND(ISNUMBER('Raw Data'!Y67), IFERROR('Raw Data'!Y67 = ROUND('Raw Data'!Y67, 2),FALSE)),"",_xlfn.REGEXEXTRACT(CELL("address",Y67), "\$([A-Z]+)\$[0-9]+"))),_xlfn.REGEXEXTRACT(CELL("address",Y67), "\$([A-Z]+)\$[0-9]+"))</f>
        <v/>
      </c>
      <c r="Z67" s="7" t="str">
        <f t="array" aca="1" ref="Z67" ca="1">IFERROR(IF(OR('Raw Data'!Z67="",LEN(TRIM('Raw Data'!Z67))=0),"",IF(AND(ISNUMBER('Raw Data'!Z67), IFERROR('Raw Data'!Z67 = ROUND('Raw Data'!Z67, 2),FALSE)),"",_xlfn.REGEXEXTRACT(CELL("address",Z67), "\$([A-Z]+)\$[0-9]+"))),_xlfn.REGEXEXTRACT(CELL("address",Z67), "\$([A-Z]+)\$[0-9]+"))</f>
        <v/>
      </c>
      <c r="AA67" s="7" t="str">
        <f t="array" aca="1" ref="AA67" ca="1">IFERROR(IF(OR('Raw Data'!AA67="",LEN(TRIM('Raw Data'!AA67))=0),"",IF(AND(ISNUMBER('Raw Data'!AA67), IFERROR('Raw Data'!AA67 = ROUND('Raw Data'!AA67, 2),FALSE)),"",_xlfn.REGEXEXTRACT(CELL("address",AA67), "\$([A-Z]+)\$[0-9]+"))),_xlfn.REGEXEXTRACT(CELL("address",AA67), "\$([A-Z]+)\$[0-9]+"))</f>
        <v/>
      </c>
      <c r="AB67" s="7" t="str">
        <f t="array" aca="1" ref="AB67" ca="1">IFERROR(IF(OR('Raw Data'!AB67="",LEN(TRIM('Raw Data'!AB67))=0),"",IF(AND(ISNUMBER('Raw Data'!AB67), IFERROR('Raw Data'!AB67 = ROUND('Raw Data'!AB67, 2),FALSE)),"",_xlfn.REGEXEXTRACT(CELL("address",AB67), "\$([A-Z]+)\$[0-9]+"))),_xlfn.REGEXEXTRACT(CELL("address",AB67), "\$([A-Z]+)\$[0-9]+"))</f>
        <v/>
      </c>
      <c r="AC67" s="7" t="str">
        <f t="array" aca="1" ref="AC67" ca="1">IFERROR(IF(OR('Raw Data'!AC67="",LEN(TRIM('Raw Data'!AC67))=0),"",IF(AND(ISNUMBER('Raw Data'!AC67), IFERROR('Raw Data'!AC67 = ROUND('Raw Data'!AC67, 2),FALSE)),"",_xlfn.REGEXEXTRACT(CELL("address",AC67), "\$([A-Z]+)\$[0-9]+"))),_xlfn.REGEXEXTRACT(CELL("address",AC67), "\$([A-Z]+)\$[0-9]+"))</f>
        <v/>
      </c>
      <c r="AD67" s="7" t="str">
        <f t="array" aca="1" ref="AD67" ca="1">IFERROR(IF(OR('Raw Data'!AD67="",LEN(TRIM('Raw Data'!AD67))=0),"",IF(AND(ISNUMBER('Raw Data'!AD67), IFERROR('Raw Data'!AD67 = ROUND('Raw Data'!AD67, 2),FALSE)),"",_xlfn.REGEXEXTRACT(CELL("address",AD67), "\$([A-Z]+)\$[0-9]+"))),_xlfn.REGEXEXTRACT(CELL("address",AD67), "\$([A-Z]+)\$[0-9]+"))</f>
        <v/>
      </c>
      <c r="AE67" s="7" t="str">
        <f t="array" aca="1" ref="AE67" ca="1">IFERROR(IF(OR('Raw Data'!AE67="",LEN(TRIM('Raw Data'!AE67))=0),"",IF(AND(ISNUMBER('Raw Data'!AE67), IFERROR('Raw Data'!AE67 = ROUND('Raw Data'!AE67, 2),FALSE)),"",_xlfn.REGEXEXTRACT(CELL("address",AE67), "\$([A-Z]+)\$[0-9]+"))),_xlfn.REGEXEXTRACT(CELL("address",AE67), "\$([A-Z]+)\$[0-9]+"))</f>
        <v/>
      </c>
      <c r="AF67" s="7" t="str">
        <f t="array" aca="1" ref="AF67" ca="1">IFERROR(IF(OR('Raw Data'!AF67="",LEN(TRIM('Raw Data'!AF67))=0),"",IF(AND(ISNUMBER('Raw Data'!AF67), IFERROR('Raw Data'!AF67 = ROUND('Raw Data'!AF67, 2),FALSE)),"",_xlfn.REGEXEXTRACT(CELL("address",AF67), "\$([A-Z]+)\$[0-9]+"))),_xlfn.REGEXEXTRACT(CELL("address",AF67), "\$([A-Z]+)\$[0-9]+"))</f>
        <v/>
      </c>
      <c r="AG67" s="7" t="str">
        <f t="array" aca="1" ref="AG67" ca="1">IFERROR(IF(OR('Raw Data'!AG67="",LEN(TRIM('Raw Data'!AG67))=0),"",IF(AND(ISNUMBER('Raw Data'!AG67), IFERROR('Raw Data'!AG67 = ROUND('Raw Data'!AG67, 2),FALSE)),"",_xlfn.REGEXEXTRACT(CELL("address",AG67), "\$([A-Z]+)\$[0-9]+"))),_xlfn.REGEXEXTRACT(CELL("address",AG67), "\$([A-Z]+)\$[0-9]+"))</f>
        <v/>
      </c>
      <c r="AH67" s="7" t="str">
        <f t="array" aca="1" ref="AH67" ca="1">IFERROR(IF(OR('Raw Data'!AH67="",LEN(TRIM('Raw Data'!AH67))=0),"",IF(AND(ISNUMBER('Raw Data'!AH67), IFERROR('Raw Data'!AH67 = ROUND('Raw Data'!AH67, 2),FALSE)),"",_xlfn.REGEXEXTRACT(CELL("address",AH67), "\$([A-Z]+)\$[0-9]+"))),_xlfn.REGEXEXTRACT(CELL("address",AH67), "\$([A-Z]+)\$[0-9]+"))</f>
        <v/>
      </c>
      <c r="AI67" s="7" t="str">
        <f t="array" aca="1" ref="AI67" ca="1">IFERROR(IF(OR('Raw Data'!AI67="",LEN(TRIM('Raw Data'!AI67))=0),"",IF(AND(ISNUMBER('Raw Data'!AI67), IFERROR('Raw Data'!AI67 = ROUND('Raw Data'!AI67, 2),FALSE)),"",_xlfn.REGEXEXTRACT(CELL("address",AI67), "\$([A-Z]+)\$[0-9]+"))),_xlfn.REGEXEXTRACT(CELL("address",AI67), "\$([A-Z]+)\$[0-9]+"))</f>
        <v/>
      </c>
      <c r="AJ67" s="7" t="str">
        <f t="array" aca="1" ref="AJ67" ca="1">IFERROR(IF(OR('Raw Data'!AJ67="",LEN(TRIM('Raw Data'!AJ67))=0),"",IF(AND(ISNUMBER('Raw Data'!AJ67), IFERROR('Raw Data'!AJ67 = ROUND('Raw Data'!AJ67, 4),FALSE)),"",_xlfn.REGEXEXTRACT(CELL("address",AJ67), "\$([A-Z]+)\$[0-9]+"))),_xlfn.REGEXEXTRACT(CELL("address",AJ67), "\$([A-Z]+)\$[0-9]+"))</f>
        <v/>
      </c>
      <c r="AK67" s="7" t="str">
        <f t="array" aca="1" ref="AK67" ca="1">IFERROR(IF(OR('Raw Data'!AK67="",LEN(TRIM('Raw Data'!AK67))=0),"",IF(AND(ISNUMBER('Raw Data'!AK67), IFERROR('Raw Data'!AK67 = ROUND('Raw Data'!AK67, 2),FALSE)),"",_xlfn.REGEXEXTRACT(CELL("address",AK67), "\$([A-Z]+)\$[0-9]+"))),_xlfn.REGEXEXTRACT(CELL("address",AK67), "\$([A-Z]+)\$[0-9]+"))</f>
        <v/>
      </c>
      <c r="AL67" s="7" t="str">
        <f t="array" aca="1" ref="AL67" ca="1">IFERROR(IF(OR('Raw Data'!AL67="",LEN(TRIM('Raw Data'!AL67))=0),"",IF(AND(ISNUMBER('Raw Data'!AL67), IFERROR('Raw Data'!AL67 = ROUND('Raw Data'!AL67, 2),FALSE)),"",_xlfn.REGEXEXTRACT(CELL("address",AL67), "\$([A-Z]+)\$[0-9]+"))),_xlfn.REGEXEXTRACT(CELL("address",AL67), "\$([A-Z]+)\$[0-9]+"))</f>
        <v/>
      </c>
      <c r="AM67" s="7" t="str">
        <f t="array" aca="1" ref="AM67" ca="1">IFERROR(IF(OR('Raw Data'!AM67="",LEN(TRIM('Raw Data'!AM67))=0),"",IF(AND(ISNUMBER('Raw Data'!AM67), IFERROR('Raw Data'!AM67 = ROUND('Raw Data'!AM67, 2),FALSE)),"",_xlfn.REGEXEXTRACT(CELL("address",AM67), "\$([A-Z]+)\$[0-9]+"))),_xlfn.REGEXEXTRACT(CELL("address",AM67), "\$([A-Z]+)\$[0-9]+"))</f>
        <v/>
      </c>
      <c r="AN67" s="7" t="str">
        <f t="array" aca="1" ref="AN67" ca="1">IFERROR(IF(OR('Raw Data'!AN67="",LEN(TRIM('Raw Data'!AN67))=0),"",IF(AND(ISNUMBER('Raw Data'!AN67), IFERROR('Raw Data'!AN67 = ROUND('Raw Data'!AN67, 2),FALSE)),"",_xlfn.REGEXEXTRACT(CELL("address",AN67), "\$([A-Z]+)\$[0-9]+"))),_xlfn.REGEXEXTRACT(CELL("address",AN67), "\$([A-Z]+)\$[0-9]+"))</f>
        <v/>
      </c>
      <c r="AO67" s="7" t="str">
        <f t="array" aca="1" ref="AO67" ca="1">IFERROR(IF(OR('Raw Data'!AO67="",LEN(TRIM('Raw Data'!AO67))=0),"",IF(AND(ISNUMBER('Raw Data'!AO67), IFERROR('Raw Data'!AO67 = ROUND('Raw Data'!AO67, 2),FALSE)),"",_xlfn.REGEXEXTRACT(CELL("address",AO67), "\$([A-Z]+)\$[0-9]+"))),_xlfn.REGEXEXTRACT(CELL("address",AO67), "\$([A-Z]+)\$[0-9]+"))</f>
        <v/>
      </c>
      <c r="AP67" s="7" t="str">
        <f t="array" aca="1" ref="AP67" ca="1">IFERROR(IF(OR('Raw Data'!AP67="",LEN(TRIM('Raw Data'!AP67))=0),"",IF(AND(ISNUMBER('Raw Data'!AP67), IFERROR('Raw Data'!AP67 = ROUND('Raw Data'!AP67, 2),FALSE)),"",_xlfn.REGEXEXTRACT(CELL("address",AP67), "\$([A-Z]+)\$[0-9]+"))),_xlfn.REGEXEXTRACT(CELL("address",AP67), "\$([A-Z]+)\$[0-9]+"))</f>
        <v/>
      </c>
    </row>
    <row r="68" spans="2:42" x14ac:dyDescent="0.25">
      <c r="B68" s="7" t="str">
        <f t="array" aca="1" ref="B68" ca="1">IFERROR(IF(OR('Raw Data'!B68="",LEN(TRIM('Raw Data'!B68))=0),"",IF(AND(LEN('Raw Data'!B68) &lt;= 255,LEN('Raw Data'!B68)&gt; 0),"",_xlfn.REGEXEXTRACT(CELL("address",'Raw Data'!B68),"\$([A-Z]+)\$[0-9]+"))),_xlfn.REGEXEXTRACT(CELL("address",'Raw Data'!B68),"\$([A-Z]+)\$[0-9]+"))</f>
        <v/>
      </c>
      <c r="C68" s="7" t="str">
        <f t="array" aca="1" ref="C68" ca="1">IFERROR(IF(OR('Raw Data'!C68="",LEN(TRIM('Raw Data'!C68))=0),"",IF(AND(LEN('Raw Data'!C68) &lt;= 50,LEN('Raw Data'!C68)&gt; 0),"",_xlfn.REGEXEXTRACT(CELL("address",'Raw Data'!C68),"\$([A-Z]+)\$[0-9]+"))),_xlfn.REGEXEXTRACT(CELL("address",'Raw Data'!C68),"\$([A-Z]+)\$[0-9]+"))</f>
        <v/>
      </c>
      <c r="D68" s="7" t="str">
        <f t="array" aca="1" ref="D68" ca="1">IFERROR(IF(OR('Raw Data'!D68="",LEN(TRIM('Raw Data'!D68))=0),"",IF(AND(LEN('Raw Data'!D68) &lt;= 500,LEN('Raw Data'!D68)&gt; 0),"",_xlfn.REGEXEXTRACT(CELL("address",'Raw Data'!D68),"\$([A-Z]+)\$[0-9]+"))),_xlfn.REGEXEXTRACT(CELL("address",'Raw Data'!D68),"\$([A-Z]+)\$[0-9]+"))</f>
        <v/>
      </c>
      <c r="E68" s="7" t="str">
        <f t="array" aca="1" ref="E68" ca="1">IFERROR(IF(OR('Raw Data'!E68="",LEN(TRIM('Raw Data'!E68))=0),"",IF(AND(LEN('Raw Data'!E68) &lt;= 50,LEN('Raw Data'!E68)&gt; 0),"",_xlfn.REGEXEXTRACT(CELL("address",'Raw Data'!E68),"\$([A-Z]+)\$[0-9]+"))),_xlfn.REGEXEXTRACT(CELL("address",'Raw Data'!E68),"\$([A-Z]+)\$[0-9]+"))</f>
        <v/>
      </c>
      <c r="F68" s="7" t="str">
        <f t="array" aca="1" ref="F68" ca="1">IFERROR(IF(OR('Raw Data'!F68="",LEN(TRIM('Raw Data'!F68))=0),"",IF(AND(LEN('Raw Data'!F68) &lt;= 50,LEN('Raw Data'!F68)&gt; 0),"",_xlfn.REGEXEXTRACT(CELL("address",'Raw Data'!F68),"\$([A-Z]+)\$[0-9]+"))),_xlfn.REGEXEXTRACT(CELL("address",'Raw Data'!F68),"\$([A-Z]+)\$[0-9]+"))</f>
        <v/>
      </c>
      <c r="G68" s="7" t="str">
        <f t="array" aca="1" ref="G68" ca="1">IFERROR(IF(OR('Raw Data'!G68="",LEN(TRIM('Raw Data'!G68))=0),"",IF(AND(LEN('Raw Data'!G68) &lt;= 50,LEN('Raw Data'!G68)&gt; 0),"",_xlfn.REGEXEXTRACT(CELL("address",'Raw Data'!G68),"\$([A-Z]+)\$[0-9]+"))),_xlfn.REGEXEXTRACT(CELL("address",'Raw Data'!G68),"\$([A-Z]+)\$[0-9]+"))</f>
        <v/>
      </c>
      <c r="H68" s="7" t="str">
        <f t="array" aca="1" ref="H68" ca="1">IFERROR(IF(OR('Raw Data'!H68="",LEN(TRIM('Raw Data'!H68))=0),"",IF(AND(LEN('Raw Data'!H68) &lt;= 50,LEN('Raw Data'!H68)&gt; 0),"",_xlfn.REGEXEXTRACT(CELL("address",'Raw Data'!H68),"\$([A-Z]+)\$[0-9]+"))),_xlfn.REGEXEXTRACT(CELL("address",'Raw Data'!H68),"\$([A-Z]+)\$[0-9]+"))</f>
        <v/>
      </c>
      <c r="I68" s="7" t="str">
        <f t="array" aca="1" ref="I68" ca="1">IFERROR(IF(OR('Raw Data'!I68="",LEN(TRIM('Raw Data'!I68))=0),"",IF(AND(LEN('Raw Data'!I68) &lt;= 50,LEN('Raw Data'!I68)&gt; 0),"",_xlfn.REGEXEXTRACT(CELL("address",'Raw Data'!I68),"\$([A-Z]+)\$[0-9]+"))),_xlfn.REGEXEXTRACT(CELL("address",'Raw Data'!I68),"\$([A-Z]+)\$[0-9]+"))</f>
        <v/>
      </c>
      <c r="J68" s="7" t="str">
        <f t="array" aca="1" ref="J68" ca="1">IFERROR(IF(OR('Raw Data'!J68="",LEN(TRIM('Raw Data'!J68))=0),"",IF(AND(ISNUMBER('Raw Data'!J68), IFERROR('Raw Data'!J68 = ROUND('Raw Data'!J68, 2),FALSE)),"",_xlfn.REGEXEXTRACT(CELL("address",J68), "\$([A-Z]+)\$[0-9]+"))),_xlfn.REGEXEXTRACT(CELL("address",J68), "\$([A-Z]+)\$[0-9]+"))</f>
        <v/>
      </c>
      <c r="K68" s="7" t="str">
        <f t="array" aca="1" ref="K68" ca="1">IFERROR(IF(OR('Raw Data'!K68="",LEN(TRIM('Raw Data'!K68))=0),"",IF(AND(ISNUMBER('Raw Data'!K68), IFERROR('Raw Data'!K68 = ROUND('Raw Data'!K68, 2),FALSE)),"",_xlfn.REGEXEXTRACT(CELL("address",K68), "\$([A-Z]+)\$[0-9]+"))),_xlfn.REGEXEXTRACT(CELL("address",K68), "\$([A-Z]+)\$[0-9]+"))</f>
        <v/>
      </c>
      <c r="L68" s="7" t="str">
        <f t="array" aca="1" ref="L68" ca="1">IFERROR(IF(OR('Raw Data'!L68="",LEN(TRIM('Raw Data'!L68))=0),"",IF(AND(ISNUMBER('Raw Data'!L68), IFERROR('Raw Data'!L68 = ROUND('Raw Data'!L68, 2),FALSE)),"",_xlfn.REGEXEXTRACT(CELL("address",L68), "\$([A-Z]+)\$[0-9]+"))),_xlfn.REGEXEXTRACT(CELL("address",L68), "\$([A-Z]+)\$[0-9]+"))</f>
        <v/>
      </c>
      <c r="M68" s="7" t="str">
        <f t="array" aca="1" ref="M68" ca="1">IFERROR(IF(OR('Raw Data'!M68="",LEN(TRIM('Raw Data'!M68))=0),"",IF(AND(ISNUMBER('Raw Data'!M68), IFERROR('Raw Data'!M68 = ROUND('Raw Data'!M68, 2),FALSE)),"",_xlfn.REGEXEXTRACT(CELL("address",M68), "\$([A-Z]+)\$[0-9]+"))),_xlfn.REGEXEXTRACT(CELL("address",M68), "\$([A-Z]+)\$[0-9]+"))</f>
        <v/>
      </c>
      <c r="N68" s="7" t="str">
        <f t="array" aca="1" ref="N68" ca="1">IFERROR(IF(OR('Raw Data'!N68="",LEN(TRIM('Raw Data'!N68))=0),"",IF(AND(ISNUMBER('Raw Data'!N68), IFERROR('Raw Data'!N68 = ROUND('Raw Data'!N68, 2),FALSE)),"",_xlfn.REGEXEXTRACT(CELL("address",N68), "\$([A-Z]+)\$[0-9]+"))),_xlfn.REGEXEXTRACT(CELL("address",N68), "\$([A-Z]+)\$[0-9]+"))</f>
        <v/>
      </c>
      <c r="O68" s="7" t="str">
        <f t="array" aca="1" ref="O68" ca="1">IFERROR(IF(OR('Raw Data'!O68="",LEN(TRIM('Raw Data'!O68))=0),"",IF(AND(ISNUMBER('Raw Data'!O68),'Raw Data'!O68&gt;=Configuration!$D$2),"",_xlfn.REGEXEXTRACT(CELL("address",'Raw Data'!O68),"\$([A-Z]+)\$[0-9]+"))),_xlfn.REGEXEXTRACT(CELL("address",O68), "\$([A-Z]+)\$[0-9]+"))</f>
        <v/>
      </c>
      <c r="P68" s="7" t="str">
        <f t="array" aca="1" ref="P68" ca="1">IFERROR(IF(OR('Raw Data'!P68="",LEN(TRIM('Raw Data'!P68))=0),"",IF(AND(ISNUMBER('Raw Data'!P68), IFERROR('Raw Data'!P68 = ROUND('Raw Data'!P68, 2),FALSE)),"",_xlfn.REGEXEXTRACT(CELL("address",P68), "\$([A-Z]+)\$[0-9]+"))),_xlfn.REGEXEXTRACT(CELL("address",P68), "\$([A-Z]+)\$[0-9]+"))</f>
        <v/>
      </c>
      <c r="Q68" s="7" t="str">
        <f t="array" aca="1" ref="Q68" ca="1">IFERROR(IF(OR('Raw Data'!Q68="",LEN(TRIM('Raw Data'!Q68))=0),"",IF(AND(ISNUMBER('Raw Data'!Q68), IFERROR('Raw Data'!Q68 = ROUND('Raw Data'!Q68, 2),FALSE)),"",_xlfn.REGEXEXTRACT(CELL("address",Q68), "\$([A-Z]+)\$[0-9]+"))),_xlfn.REGEXEXTRACT(CELL("address",Q68), "\$([A-Z]+)\$[0-9]+"))</f>
        <v/>
      </c>
      <c r="R68" s="7" t="str">
        <f t="array" aca="1" ref="R68" ca="1">IFERROR(IF(OR('Raw Data'!R68="",LEN(TRIM('Raw Data'!R68))=0),"",IF(AND(LEN('Raw Data'!R68) &lt;= 50,LEN('Raw Data'!R68)&gt; 0),"",_xlfn.REGEXEXTRACT(CELL("address",'Raw Data'!R68),"\$([A-Z]+)\$[0-9]+"))),_xlfn.REGEXEXTRACT(CELL("address",'Raw Data'!R68),"\$([A-Z]+)\$[0-9]+"))</f>
        <v/>
      </c>
      <c r="S68" s="7" t="str">
        <f t="array" aca="1" ref="S68" ca="1">IFERROR(IF(OR('Raw Data'!S68="",LEN(TRIM('Raw Data'!S68))=0),"",IF(AND(LEN('Raw Data'!S68) &lt;= 50,LEN('Raw Data'!S68)&gt; 0),"",_xlfn.REGEXEXTRACT(CELL("address",'Raw Data'!S68),"\$([A-Z]+)\$[0-9]+"))),_xlfn.REGEXEXTRACT(CELL("address",'Raw Data'!S68),"\$([A-Z]+)\$[0-9]+"))</f>
        <v/>
      </c>
      <c r="T68" s="7" t="str">
        <f t="array" aca="1" ref="T68" ca="1">IFERROR(IF(OR('Raw Data'!T68="",LEN(TRIM('Raw Data'!T68))=0),"",IF(AND(ISNUMBER('Raw Data'!T68), IFERROR('Raw Data'!T68 = ROUND('Raw Data'!T68, 2),FALSE)),"",_xlfn.REGEXEXTRACT(CELL("address",T68), "\$([A-Z]+)\$[0-9]+"))),_xlfn.REGEXEXTRACT(CELL("address",T68), "\$([A-Z]+)\$[0-9]+"))</f>
        <v/>
      </c>
      <c r="U68" s="7" t="str">
        <f t="array" aca="1" ref="U68" ca="1">IFERROR(IF(OR('Raw Data'!U68="",LEN(TRIM('Raw Data'!U68))=0),"",IF(AND(ISNUMBER('Raw Data'!U68), IFERROR('Raw Data'!U68 = ROUND('Raw Data'!U68, 2),FALSE)),"",_xlfn.REGEXEXTRACT(CELL("address",U68), "\$([A-Z]+)\$[0-9]+"))),_xlfn.REGEXEXTRACT(CELL("address",U68), "\$([A-Z]+)\$[0-9]+"))</f>
        <v/>
      </c>
      <c r="V68" s="7" t="str">
        <f t="array" aca="1" ref="V68" ca="1">IFERROR(IF(OR('Raw Data'!V68="",LEN(TRIM('Raw Data'!V68))=0),"",IF(AND(ISNUMBER('Raw Data'!V68), IFERROR('Raw Data'!V68 = ROUND('Raw Data'!V68, 2),FALSE)),"",_xlfn.REGEXEXTRACT(CELL("address",V68), "\$([A-Z]+)\$[0-9]+"))),_xlfn.REGEXEXTRACT(CELL("address",V68), "\$([A-Z]+)\$[0-9]+"))</f>
        <v/>
      </c>
      <c r="W68" s="7" t="str">
        <f t="array" aca="1" ref="W68" ca="1">IFERROR(IF(OR('Raw Data'!W68="",LEN(TRIM('Raw Data'!W68))=0),"",IF(AND(ISNUMBER('Raw Data'!W68), IFERROR('Raw Data'!W68 = ROUND('Raw Data'!W68, 2),FALSE)),"",_xlfn.REGEXEXTRACT(CELL("address",W68), "\$([A-Z]+)\$[0-9]+"))),_xlfn.REGEXEXTRACT(CELL("address",W68), "\$([A-Z]+)\$[0-9]+"))</f>
        <v/>
      </c>
      <c r="X68" s="7" t="str">
        <f t="array" aca="1" ref="X68" ca="1">IFERROR(IF(OR('Raw Data'!X68="",LEN(TRIM('Raw Data'!X68))=0),"",IF(AND(ISNUMBER('Raw Data'!X68), IFERROR('Raw Data'!X68 = ROUND('Raw Data'!X68, 2),FALSE)),"",_xlfn.REGEXEXTRACT(CELL("address",X68), "\$([A-Z]+)\$[0-9]+"))),_xlfn.REGEXEXTRACT(CELL("address",X68), "\$([A-Z]+)\$[0-9]+"))</f>
        <v/>
      </c>
      <c r="Y68" s="7" t="str">
        <f t="array" aca="1" ref="Y68" ca="1">IFERROR(IF(OR('Raw Data'!Y68="",LEN(TRIM('Raw Data'!Y68))=0),"",IF(AND(ISNUMBER('Raw Data'!Y68), IFERROR('Raw Data'!Y68 = ROUND('Raw Data'!Y68, 2),FALSE)),"",_xlfn.REGEXEXTRACT(CELL("address",Y68), "\$([A-Z]+)\$[0-9]+"))),_xlfn.REGEXEXTRACT(CELL("address",Y68), "\$([A-Z]+)\$[0-9]+"))</f>
        <v/>
      </c>
      <c r="Z68" s="7" t="str">
        <f t="array" aca="1" ref="Z68" ca="1">IFERROR(IF(OR('Raw Data'!Z68="",LEN(TRIM('Raw Data'!Z68))=0),"",IF(AND(ISNUMBER('Raw Data'!Z68), IFERROR('Raw Data'!Z68 = ROUND('Raw Data'!Z68, 2),FALSE)),"",_xlfn.REGEXEXTRACT(CELL("address",Z68), "\$([A-Z]+)\$[0-9]+"))),_xlfn.REGEXEXTRACT(CELL("address",Z68), "\$([A-Z]+)\$[0-9]+"))</f>
        <v/>
      </c>
      <c r="AA68" s="7" t="str">
        <f t="array" aca="1" ref="AA68" ca="1">IFERROR(IF(OR('Raw Data'!AA68="",LEN(TRIM('Raw Data'!AA68))=0),"",IF(AND(ISNUMBER('Raw Data'!AA68), IFERROR('Raw Data'!AA68 = ROUND('Raw Data'!AA68, 2),FALSE)),"",_xlfn.REGEXEXTRACT(CELL("address",AA68), "\$([A-Z]+)\$[0-9]+"))),_xlfn.REGEXEXTRACT(CELL("address",AA68), "\$([A-Z]+)\$[0-9]+"))</f>
        <v/>
      </c>
      <c r="AB68" s="7" t="str">
        <f t="array" aca="1" ref="AB68" ca="1">IFERROR(IF(OR('Raw Data'!AB68="",LEN(TRIM('Raw Data'!AB68))=0),"",IF(AND(ISNUMBER('Raw Data'!AB68), IFERROR('Raw Data'!AB68 = ROUND('Raw Data'!AB68, 2),FALSE)),"",_xlfn.REGEXEXTRACT(CELL("address",AB68), "\$([A-Z]+)\$[0-9]+"))),_xlfn.REGEXEXTRACT(CELL("address",AB68), "\$([A-Z]+)\$[0-9]+"))</f>
        <v/>
      </c>
      <c r="AC68" s="7" t="str">
        <f t="array" aca="1" ref="AC68" ca="1">IFERROR(IF(OR('Raw Data'!AC68="",LEN(TRIM('Raw Data'!AC68))=0),"",IF(AND(ISNUMBER('Raw Data'!AC68), IFERROR('Raw Data'!AC68 = ROUND('Raw Data'!AC68, 2),FALSE)),"",_xlfn.REGEXEXTRACT(CELL("address",AC68), "\$([A-Z]+)\$[0-9]+"))),_xlfn.REGEXEXTRACT(CELL("address",AC68), "\$([A-Z]+)\$[0-9]+"))</f>
        <v/>
      </c>
      <c r="AD68" s="7" t="str">
        <f t="array" aca="1" ref="AD68" ca="1">IFERROR(IF(OR('Raw Data'!AD68="",LEN(TRIM('Raw Data'!AD68))=0),"",IF(AND(ISNUMBER('Raw Data'!AD68), IFERROR('Raw Data'!AD68 = ROUND('Raw Data'!AD68, 2),FALSE)),"",_xlfn.REGEXEXTRACT(CELL("address",AD68), "\$([A-Z]+)\$[0-9]+"))),_xlfn.REGEXEXTRACT(CELL("address",AD68), "\$([A-Z]+)\$[0-9]+"))</f>
        <v/>
      </c>
      <c r="AE68" s="7" t="str">
        <f t="array" aca="1" ref="AE68" ca="1">IFERROR(IF(OR('Raw Data'!AE68="",LEN(TRIM('Raw Data'!AE68))=0),"",IF(AND(ISNUMBER('Raw Data'!AE68), IFERROR('Raw Data'!AE68 = ROUND('Raw Data'!AE68, 2),FALSE)),"",_xlfn.REGEXEXTRACT(CELL("address",AE68), "\$([A-Z]+)\$[0-9]+"))),_xlfn.REGEXEXTRACT(CELL("address",AE68), "\$([A-Z]+)\$[0-9]+"))</f>
        <v/>
      </c>
      <c r="AF68" s="7" t="str">
        <f t="array" aca="1" ref="AF68" ca="1">IFERROR(IF(OR('Raw Data'!AF68="",LEN(TRIM('Raw Data'!AF68))=0),"",IF(AND(ISNUMBER('Raw Data'!AF68), IFERROR('Raw Data'!AF68 = ROUND('Raw Data'!AF68, 2),FALSE)),"",_xlfn.REGEXEXTRACT(CELL("address",AF68), "\$([A-Z]+)\$[0-9]+"))),_xlfn.REGEXEXTRACT(CELL("address",AF68), "\$([A-Z]+)\$[0-9]+"))</f>
        <v/>
      </c>
      <c r="AG68" s="7" t="str">
        <f t="array" aca="1" ref="AG68" ca="1">IFERROR(IF(OR('Raw Data'!AG68="",LEN(TRIM('Raw Data'!AG68))=0),"",IF(AND(ISNUMBER('Raw Data'!AG68), IFERROR('Raw Data'!AG68 = ROUND('Raw Data'!AG68, 2),FALSE)),"",_xlfn.REGEXEXTRACT(CELL("address",AG68), "\$([A-Z]+)\$[0-9]+"))),_xlfn.REGEXEXTRACT(CELL("address",AG68), "\$([A-Z]+)\$[0-9]+"))</f>
        <v/>
      </c>
      <c r="AH68" s="7" t="str">
        <f t="array" aca="1" ref="AH68" ca="1">IFERROR(IF(OR('Raw Data'!AH68="",LEN(TRIM('Raw Data'!AH68))=0),"",IF(AND(ISNUMBER('Raw Data'!AH68), IFERROR('Raw Data'!AH68 = ROUND('Raw Data'!AH68, 2),FALSE)),"",_xlfn.REGEXEXTRACT(CELL("address",AH68), "\$([A-Z]+)\$[0-9]+"))),_xlfn.REGEXEXTRACT(CELL("address",AH68), "\$([A-Z]+)\$[0-9]+"))</f>
        <v/>
      </c>
      <c r="AI68" s="7" t="str">
        <f t="array" aca="1" ref="AI68" ca="1">IFERROR(IF(OR('Raw Data'!AI68="",LEN(TRIM('Raw Data'!AI68))=0),"",IF(AND(ISNUMBER('Raw Data'!AI68), IFERROR('Raw Data'!AI68 = ROUND('Raw Data'!AI68, 2),FALSE)),"",_xlfn.REGEXEXTRACT(CELL("address",AI68), "\$([A-Z]+)\$[0-9]+"))),_xlfn.REGEXEXTRACT(CELL("address",AI68), "\$([A-Z]+)\$[0-9]+"))</f>
        <v/>
      </c>
      <c r="AJ68" s="7" t="str">
        <f t="array" aca="1" ref="AJ68" ca="1">IFERROR(IF(OR('Raw Data'!AJ68="",LEN(TRIM('Raw Data'!AJ68))=0),"",IF(AND(ISNUMBER('Raw Data'!AJ68), IFERROR('Raw Data'!AJ68 = ROUND('Raw Data'!AJ68, 4),FALSE)),"",_xlfn.REGEXEXTRACT(CELL("address",AJ68), "\$([A-Z]+)\$[0-9]+"))),_xlfn.REGEXEXTRACT(CELL("address",AJ68), "\$([A-Z]+)\$[0-9]+"))</f>
        <v/>
      </c>
      <c r="AK68" s="7" t="str">
        <f t="array" aca="1" ref="AK68" ca="1">IFERROR(IF(OR('Raw Data'!AK68="",LEN(TRIM('Raw Data'!AK68))=0),"",IF(AND(ISNUMBER('Raw Data'!AK68), IFERROR('Raw Data'!AK68 = ROUND('Raw Data'!AK68, 2),FALSE)),"",_xlfn.REGEXEXTRACT(CELL("address",AK68), "\$([A-Z]+)\$[0-9]+"))),_xlfn.REGEXEXTRACT(CELL("address",AK68), "\$([A-Z]+)\$[0-9]+"))</f>
        <v/>
      </c>
      <c r="AL68" s="7" t="str">
        <f t="array" aca="1" ref="AL68" ca="1">IFERROR(IF(OR('Raw Data'!AL68="",LEN(TRIM('Raw Data'!AL68))=0),"",IF(AND(ISNUMBER('Raw Data'!AL68), IFERROR('Raw Data'!AL68 = ROUND('Raw Data'!AL68, 2),FALSE)),"",_xlfn.REGEXEXTRACT(CELL("address",AL68), "\$([A-Z]+)\$[0-9]+"))),_xlfn.REGEXEXTRACT(CELL("address",AL68), "\$([A-Z]+)\$[0-9]+"))</f>
        <v/>
      </c>
      <c r="AM68" s="7" t="str">
        <f t="array" aca="1" ref="AM68" ca="1">IFERROR(IF(OR('Raw Data'!AM68="",LEN(TRIM('Raw Data'!AM68))=0),"",IF(AND(ISNUMBER('Raw Data'!AM68), IFERROR('Raw Data'!AM68 = ROUND('Raw Data'!AM68, 2),FALSE)),"",_xlfn.REGEXEXTRACT(CELL("address",AM68), "\$([A-Z]+)\$[0-9]+"))),_xlfn.REGEXEXTRACT(CELL("address",AM68), "\$([A-Z]+)\$[0-9]+"))</f>
        <v/>
      </c>
      <c r="AN68" s="7" t="str">
        <f t="array" aca="1" ref="AN68" ca="1">IFERROR(IF(OR('Raw Data'!AN68="",LEN(TRIM('Raw Data'!AN68))=0),"",IF(AND(ISNUMBER('Raw Data'!AN68), IFERROR('Raw Data'!AN68 = ROUND('Raw Data'!AN68, 2),FALSE)),"",_xlfn.REGEXEXTRACT(CELL("address",AN68), "\$([A-Z]+)\$[0-9]+"))),_xlfn.REGEXEXTRACT(CELL("address",AN68), "\$([A-Z]+)\$[0-9]+"))</f>
        <v/>
      </c>
      <c r="AO68" s="7" t="str">
        <f t="array" aca="1" ref="AO68" ca="1">IFERROR(IF(OR('Raw Data'!AO68="",LEN(TRIM('Raw Data'!AO68))=0),"",IF(AND(ISNUMBER('Raw Data'!AO68), IFERROR('Raw Data'!AO68 = ROUND('Raw Data'!AO68, 2),FALSE)),"",_xlfn.REGEXEXTRACT(CELL("address",AO68), "\$([A-Z]+)\$[0-9]+"))),_xlfn.REGEXEXTRACT(CELL("address",AO68), "\$([A-Z]+)\$[0-9]+"))</f>
        <v/>
      </c>
      <c r="AP68" s="7" t="str">
        <f t="array" aca="1" ref="AP68" ca="1">IFERROR(IF(OR('Raw Data'!AP68="",LEN(TRIM('Raw Data'!AP68))=0),"",IF(AND(ISNUMBER('Raw Data'!AP68), IFERROR('Raw Data'!AP68 = ROUND('Raw Data'!AP68, 2),FALSE)),"",_xlfn.REGEXEXTRACT(CELL("address",AP68), "\$([A-Z]+)\$[0-9]+"))),_xlfn.REGEXEXTRACT(CELL("address",AP68), "\$([A-Z]+)\$[0-9]+"))</f>
        <v/>
      </c>
    </row>
    <row r="69" spans="2:42" x14ac:dyDescent="0.25">
      <c r="B69" s="7" t="str">
        <f t="array" aca="1" ref="B69" ca="1">IFERROR(IF(OR('Raw Data'!B69="",LEN(TRIM('Raw Data'!B69))=0),"",IF(AND(LEN('Raw Data'!B69) &lt;= 255,LEN('Raw Data'!B69)&gt; 0),"",_xlfn.REGEXEXTRACT(CELL("address",'Raw Data'!B69),"\$([A-Z]+)\$[0-9]+"))),_xlfn.REGEXEXTRACT(CELL("address",'Raw Data'!B69),"\$([A-Z]+)\$[0-9]+"))</f>
        <v/>
      </c>
      <c r="C69" s="7" t="str">
        <f t="array" aca="1" ref="C69" ca="1">IFERROR(IF(OR('Raw Data'!C69="",LEN(TRIM('Raw Data'!C69))=0),"",IF(AND(LEN('Raw Data'!C69) &lt;= 50,LEN('Raw Data'!C69)&gt; 0),"",_xlfn.REGEXEXTRACT(CELL("address",'Raw Data'!C69),"\$([A-Z]+)\$[0-9]+"))),_xlfn.REGEXEXTRACT(CELL("address",'Raw Data'!C69),"\$([A-Z]+)\$[0-9]+"))</f>
        <v/>
      </c>
      <c r="D69" s="7" t="str">
        <f t="array" aca="1" ref="D69" ca="1">IFERROR(IF(OR('Raw Data'!D69="",LEN(TRIM('Raw Data'!D69))=0),"",IF(AND(LEN('Raw Data'!D69) &lt;= 500,LEN('Raw Data'!D69)&gt; 0),"",_xlfn.REGEXEXTRACT(CELL("address",'Raw Data'!D69),"\$([A-Z]+)\$[0-9]+"))),_xlfn.REGEXEXTRACT(CELL("address",'Raw Data'!D69),"\$([A-Z]+)\$[0-9]+"))</f>
        <v/>
      </c>
      <c r="E69" s="7" t="str">
        <f t="array" aca="1" ref="E69" ca="1">IFERROR(IF(OR('Raw Data'!E69="",LEN(TRIM('Raw Data'!E69))=0),"",IF(AND(LEN('Raw Data'!E69) &lt;= 50,LEN('Raw Data'!E69)&gt; 0),"",_xlfn.REGEXEXTRACT(CELL("address",'Raw Data'!E69),"\$([A-Z]+)\$[0-9]+"))),_xlfn.REGEXEXTRACT(CELL("address",'Raw Data'!E69),"\$([A-Z]+)\$[0-9]+"))</f>
        <v/>
      </c>
      <c r="F69" s="7" t="str">
        <f t="array" aca="1" ref="F69" ca="1">IFERROR(IF(OR('Raw Data'!F69="",LEN(TRIM('Raw Data'!F69))=0),"",IF(AND(LEN('Raw Data'!F69) &lt;= 50,LEN('Raw Data'!F69)&gt; 0),"",_xlfn.REGEXEXTRACT(CELL("address",'Raw Data'!F69),"\$([A-Z]+)\$[0-9]+"))),_xlfn.REGEXEXTRACT(CELL("address",'Raw Data'!F69),"\$([A-Z]+)\$[0-9]+"))</f>
        <v/>
      </c>
      <c r="G69" s="7" t="str">
        <f t="array" aca="1" ref="G69" ca="1">IFERROR(IF(OR('Raw Data'!G69="",LEN(TRIM('Raw Data'!G69))=0),"",IF(AND(LEN('Raw Data'!G69) &lt;= 50,LEN('Raw Data'!G69)&gt; 0),"",_xlfn.REGEXEXTRACT(CELL("address",'Raw Data'!G69),"\$([A-Z]+)\$[0-9]+"))),_xlfn.REGEXEXTRACT(CELL("address",'Raw Data'!G69),"\$([A-Z]+)\$[0-9]+"))</f>
        <v/>
      </c>
      <c r="H69" s="7" t="str">
        <f t="array" aca="1" ref="H69" ca="1">IFERROR(IF(OR('Raw Data'!H69="",LEN(TRIM('Raw Data'!H69))=0),"",IF(AND(LEN('Raw Data'!H69) &lt;= 50,LEN('Raw Data'!H69)&gt; 0),"",_xlfn.REGEXEXTRACT(CELL("address",'Raw Data'!H69),"\$([A-Z]+)\$[0-9]+"))),_xlfn.REGEXEXTRACT(CELL("address",'Raw Data'!H69),"\$([A-Z]+)\$[0-9]+"))</f>
        <v/>
      </c>
      <c r="I69" s="7" t="str">
        <f t="array" aca="1" ref="I69" ca="1">IFERROR(IF(OR('Raw Data'!I69="",LEN(TRIM('Raw Data'!I69))=0),"",IF(AND(LEN('Raw Data'!I69) &lt;= 50,LEN('Raw Data'!I69)&gt; 0),"",_xlfn.REGEXEXTRACT(CELL("address",'Raw Data'!I69),"\$([A-Z]+)\$[0-9]+"))),_xlfn.REGEXEXTRACT(CELL("address",'Raw Data'!I69),"\$([A-Z]+)\$[0-9]+"))</f>
        <v/>
      </c>
      <c r="J69" s="7" t="str">
        <f t="array" aca="1" ref="J69" ca="1">IFERROR(IF(OR('Raw Data'!J69="",LEN(TRIM('Raw Data'!J69))=0),"",IF(AND(ISNUMBER('Raw Data'!J69), IFERROR('Raw Data'!J69 = ROUND('Raw Data'!J69, 2),FALSE)),"",_xlfn.REGEXEXTRACT(CELL("address",J69), "\$([A-Z]+)\$[0-9]+"))),_xlfn.REGEXEXTRACT(CELL("address",J69), "\$([A-Z]+)\$[0-9]+"))</f>
        <v/>
      </c>
      <c r="K69" s="7" t="str">
        <f t="array" aca="1" ref="K69" ca="1">IFERROR(IF(OR('Raw Data'!K69="",LEN(TRIM('Raw Data'!K69))=0),"",IF(AND(ISNUMBER('Raw Data'!K69), IFERROR('Raw Data'!K69 = ROUND('Raw Data'!K69, 2),FALSE)),"",_xlfn.REGEXEXTRACT(CELL("address",K69), "\$([A-Z]+)\$[0-9]+"))),_xlfn.REGEXEXTRACT(CELL("address",K69), "\$([A-Z]+)\$[0-9]+"))</f>
        <v/>
      </c>
      <c r="L69" s="7" t="str">
        <f t="array" aca="1" ref="L69" ca="1">IFERROR(IF(OR('Raw Data'!L69="",LEN(TRIM('Raw Data'!L69))=0),"",IF(AND(ISNUMBER('Raw Data'!L69), IFERROR('Raw Data'!L69 = ROUND('Raw Data'!L69, 2),FALSE)),"",_xlfn.REGEXEXTRACT(CELL("address",L69), "\$([A-Z]+)\$[0-9]+"))),_xlfn.REGEXEXTRACT(CELL("address",L69), "\$([A-Z]+)\$[0-9]+"))</f>
        <v/>
      </c>
      <c r="M69" s="7" t="str">
        <f t="array" aca="1" ref="M69" ca="1">IFERROR(IF(OR('Raw Data'!M69="",LEN(TRIM('Raw Data'!M69))=0),"",IF(AND(ISNUMBER('Raw Data'!M69), IFERROR('Raw Data'!M69 = ROUND('Raw Data'!M69, 2),FALSE)),"",_xlfn.REGEXEXTRACT(CELL("address",M69), "\$([A-Z]+)\$[0-9]+"))),_xlfn.REGEXEXTRACT(CELL("address",M69), "\$([A-Z]+)\$[0-9]+"))</f>
        <v/>
      </c>
      <c r="N69" s="7" t="str">
        <f t="array" aca="1" ref="N69" ca="1">IFERROR(IF(OR('Raw Data'!N69="",LEN(TRIM('Raw Data'!N69))=0),"",IF(AND(ISNUMBER('Raw Data'!N69), IFERROR('Raw Data'!N69 = ROUND('Raw Data'!N69, 2),FALSE)),"",_xlfn.REGEXEXTRACT(CELL("address",N69), "\$([A-Z]+)\$[0-9]+"))),_xlfn.REGEXEXTRACT(CELL("address",N69), "\$([A-Z]+)\$[0-9]+"))</f>
        <v/>
      </c>
      <c r="O69" s="7" t="str">
        <f t="array" aca="1" ref="O69" ca="1">IFERROR(IF(OR('Raw Data'!O69="",LEN(TRIM('Raw Data'!O69))=0),"",IF(AND(ISNUMBER('Raw Data'!O69),'Raw Data'!O69&gt;=Configuration!$D$2),"",_xlfn.REGEXEXTRACT(CELL("address",'Raw Data'!O69),"\$([A-Z]+)\$[0-9]+"))),_xlfn.REGEXEXTRACT(CELL("address",O69), "\$([A-Z]+)\$[0-9]+"))</f>
        <v/>
      </c>
      <c r="P69" s="7" t="str">
        <f t="array" aca="1" ref="P69" ca="1">IFERROR(IF(OR('Raw Data'!P69="",LEN(TRIM('Raw Data'!P69))=0),"",IF(AND(ISNUMBER('Raw Data'!P69), IFERROR('Raw Data'!P69 = ROUND('Raw Data'!P69, 2),FALSE)),"",_xlfn.REGEXEXTRACT(CELL("address",P69), "\$([A-Z]+)\$[0-9]+"))),_xlfn.REGEXEXTRACT(CELL("address",P69), "\$([A-Z]+)\$[0-9]+"))</f>
        <v/>
      </c>
      <c r="Q69" s="7" t="str">
        <f t="array" aca="1" ref="Q69" ca="1">IFERROR(IF(OR('Raw Data'!Q69="",LEN(TRIM('Raw Data'!Q69))=0),"",IF(AND(ISNUMBER('Raw Data'!Q69), IFERROR('Raw Data'!Q69 = ROUND('Raw Data'!Q69, 2),FALSE)),"",_xlfn.REGEXEXTRACT(CELL("address",Q69), "\$([A-Z]+)\$[0-9]+"))),_xlfn.REGEXEXTRACT(CELL("address",Q69), "\$([A-Z]+)\$[0-9]+"))</f>
        <v/>
      </c>
      <c r="R69" s="7" t="str">
        <f t="array" aca="1" ref="R69" ca="1">IFERROR(IF(OR('Raw Data'!R69="",LEN(TRIM('Raw Data'!R69))=0),"",IF(AND(LEN('Raw Data'!R69) &lt;= 50,LEN('Raw Data'!R69)&gt; 0),"",_xlfn.REGEXEXTRACT(CELL("address",'Raw Data'!R69),"\$([A-Z]+)\$[0-9]+"))),_xlfn.REGEXEXTRACT(CELL("address",'Raw Data'!R69),"\$([A-Z]+)\$[0-9]+"))</f>
        <v/>
      </c>
      <c r="S69" s="7" t="str">
        <f t="array" aca="1" ref="S69" ca="1">IFERROR(IF(OR('Raw Data'!S69="",LEN(TRIM('Raw Data'!S69))=0),"",IF(AND(LEN('Raw Data'!S69) &lt;= 50,LEN('Raw Data'!S69)&gt; 0),"",_xlfn.REGEXEXTRACT(CELL("address",'Raw Data'!S69),"\$([A-Z]+)\$[0-9]+"))),_xlfn.REGEXEXTRACT(CELL("address",'Raw Data'!S69),"\$([A-Z]+)\$[0-9]+"))</f>
        <v/>
      </c>
      <c r="T69" s="7" t="str">
        <f t="array" aca="1" ref="T69" ca="1">IFERROR(IF(OR('Raw Data'!T69="",LEN(TRIM('Raw Data'!T69))=0),"",IF(AND(ISNUMBER('Raw Data'!T69), IFERROR('Raw Data'!T69 = ROUND('Raw Data'!T69, 2),FALSE)),"",_xlfn.REGEXEXTRACT(CELL("address",T69), "\$([A-Z]+)\$[0-9]+"))),_xlfn.REGEXEXTRACT(CELL("address",T69), "\$([A-Z]+)\$[0-9]+"))</f>
        <v/>
      </c>
      <c r="U69" s="7" t="str">
        <f t="array" aca="1" ref="U69" ca="1">IFERROR(IF(OR('Raw Data'!U69="",LEN(TRIM('Raw Data'!U69))=0),"",IF(AND(ISNUMBER('Raw Data'!U69), IFERROR('Raw Data'!U69 = ROUND('Raw Data'!U69, 2),FALSE)),"",_xlfn.REGEXEXTRACT(CELL("address",U69), "\$([A-Z]+)\$[0-9]+"))),_xlfn.REGEXEXTRACT(CELL("address",U69), "\$([A-Z]+)\$[0-9]+"))</f>
        <v/>
      </c>
      <c r="V69" s="7" t="str">
        <f t="array" aca="1" ref="V69" ca="1">IFERROR(IF(OR('Raw Data'!V69="",LEN(TRIM('Raw Data'!V69))=0),"",IF(AND(ISNUMBER('Raw Data'!V69), IFERROR('Raw Data'!V69 = ROUND('Raw Data'!V69, 2),FALSE)),"",_xlfn.REGEXEXTRACT(CELL("address",V69), "\$([A-Z]+)\$[0-9]+"))),_xlfn.REGEXEXTRACT(CELL("address",V69), "\$([A-Z]+)\$[0-9]+"))</f>
        <v/>
      </c>
      <c r="W69" s="7" t="str">
        <f t="array" aca="1" ref="W69" ca="1">IFERROR(IF(OR('Raw Data'!W69="",LEN(TRIM('Raw Data'!W69))=0),"",IF(AND(ISNUMBER('Raw Data'!W69), IFERROR('Raw Data'!W69 = ROUND('Raw Data'!W69, 2),FALSE)),"",_xlfn.REGEXEXTRACT(CELL("address",W69), "\$([A-Z]+)\$[0-9]+"))),_xlfn.REGEXEXTRACT(CELL("address",W69), "\$([A-Z]+)\$[0-9]+"))</f>
        <v/>
      </c>
      <c r="X69" s="7" t="str">
        <f t="array" aca="1" ref="X69" ca="1">IFERROR(IF(OR('Raw Data'!X69="",LEN(TRIM('Raw Data'!X69))=0),"",IF(AND(ISNUMBER('Raw Data'!X69), IFERROR('Raw Data'!X69 = ROUND('Raw Data'!X69, 2),FALSE)),"",_xlfn.REGEXEXTRACT(CELL("address",X69), "\$([A-Z]+)\$[0-9]+"))),_xlfn.REGEXEXTRACT(CELL("address",X69), "\$([A-Z]+)\$[0-9]+"))</f>
        <v/>
      </c>
      <c r="Y69" s="7" t="str">
        <f t="array" aca="1" ref="Y69" ca="1">IFERROR(IF(OR('Raw Data'!Y69="",LEN(TRIM('Raw Data'!Y69))=0),"",IF(AND(ISNUMBER('Raw Data'!Y69), IFERROR('Raw Data'!Y69 = ROUND('Raw Data'!Y69, 2),FALSE)),"",_xlfn.REGEXEXTRACT(CELL("address",Y69), "\$([A-Z]+)\$[0-9]+"))),_xlfn.REGEXEXTRACT(CELL("address",Y69), "\$([A-Z]+)\$[0-9]+"))</f>
        <v/>
      </c>
      <c r="Z69" s="7" t="str">
        <f t="array" aca="1" ref="Z69" ca="1">IFERROR(IF(OR('Raw Data'!Z69="",LEN(TRIM('Raw Data'!Z69))=0),"",IF(AND(ISNUMBER('Raw Data'!Z69), IFERROR('Raw Data'!Z69 = ROUND('Raw Data'!Z69, 2),FALSE)),"",_xlfn.REGEXEXTRACT(CELL("address",Z69), "\$([A-Z]+)\$[0-9]+"))),_xlfn.REGEXEXTRACT(CELL("address",Z69), "\$([A-Z]+)\$[0-9]+"))</f>
        <v/>
      </c>
      <c r="AA69" s="7" t="str">
        <f t="array" aca="1" ref="AA69" ca="1">IFERROR(IF(OR('Raw Data'!AA69="",LEN(TRIM('Raw Data'!AA69))=0),"",IF(AND(ISNUMBER('Raw Data'!AA69), IFERROR('Raw Data'!AA69 = ROUND('Raw Data'!AA69, 2),FALSE)),"",_xlfn.REGEXEXTRACT(CELL("address",AA69), "\$([A-Z]+)\$[0-9]+"))),_xlfn.REGEXEXTRACT(CELL("address",AA69), "\$([A-Z]+)\$[0-9]+"))</f>
        <v/>
      </c>
      <c r="AB69" s="7" t="str">
        <f t="array" aca="1" ref="AB69" ca="1">IFERROR(IF(OR('Raw Data'!AB69="",LEN(TRIM('Raw Data'!AB69))=0),"",IF(AND(ISNUMBER('Raw Data'!AB69), IFERROR('Raw Data'!AB69 = ROUND('Raw Data'!AB69, 2),FALSE)),"",_xlfn.REGEXEXTRACT(CELL("address",AB69), "\$([A-Z]+)\$[0-9]+"))),_xlfn.REGEXEXTRACT(CELL("address",AB69), "\$([A-Z]+)\$[0-9]+"))</f>
        <v/>
      </c>
      <c r="AC69" s="7" t="str">
        <f t="array" aca="1" ref="AC69" ca="1">IFERROR(IF(OR('Raw Data'!AC69="",LEN(TRIM('Raw Data'!AC69))=0),"",IF(AND(ISNUMBER('Raw Data'!AC69), IFERROR('Raw Data'!AC69 = ROUND('Raw Data'!AC69, 2),FALSE)),"",_xlfn.REGEXEXTRACT(CELL("address",AC69), "\$([A-Z]+)\$[0-9]+"))),_xlfn.REGEXEXTRACT(CELL("address",AC69), "\$([A-Z]+)\$[0-9]+"))</f>
        <v/>
      </c>
      <c r="AD69" s="7" t="str">
        <f t="array" aca="1" ref="AD69" ca="1">IFERROR(IF(OR('Raw Data'!AD69="",LEN(TRIM('Raw Data'!AD69))=0),"",IF(AND(ISNUMBER('Raw Data'!AD69), IFERROR('Raw Data'!AD69 = ROUND('Raw Data'!AD69, 2),FALSE)),"",_xlfn.REGEXEXTRACT(CELL("address",AD69), "\$([A-Z]+)\$[0-9]+"))),_xlfn.REGEXEXTRACT(CELL("address",AD69), "\$([A-Z]+)\$[0-9]+"))</f>
        <v/>
      </c>
      <c r="AE69" s="7" t="str">
        <f t="array" aca="1" ref="AE69" ca="1">IFERROR(IF(OR('Raw Data'!AE69="",LEN(TRIM('Raw Data'!AE69))=0),"",IF(AND(ISNUMBER('Raw Data'!AE69), IFERROR('Raw Data'!AE69 = ROUND('Raw Data'!AE69, 2),FALSE)),"",_xlfn.REGEXEXTRACT(CELL("address",AE69), "\$([A-Z]+)\$[0-9]+"))),_xlfn.REGEXEXTRACT(CELL("address",AE69), "\$([A-Z]+)\$[0-9]+"))</f>
        <v/>
      </c>
      <c r="AF69" s="7" t="str">
        <f t="array" aca="1" ref="AF69" ca="1">IFERROR(IF(OR('Raw Data'!AF69="",LEN(TRIM('Raw Data'!AF69))=0),"",IF(AND(ISNUMBER('Raw Data'!AF69), IFERROR('Raw Data'!AF69 = ROUND('Raw Data'!AF69, 2),FALSE)),"",_xlfn.REGEXEXTRACT(CELL("address",AF69), "\$([A-Z]+)\$[0-9]+"))),_xlfn.REGEXEXTRACT(CELL("address",AF69), "\$([A-Z]+)\$[0-9]+"))</f>
        <v/>
      </c>
      <c r="AG69" s="7" t="str">
        <f t="array" aca="1" ref="AG69" ca="1">IFERROR(IF(OR('Raw Data'!AG69="",LEN(TRIM('Raw Data'!AG69))=0),"",IF(AND(ISNUMBER('Raw Data'!AG69), IFERROR('Raw Data'!AG69 = ROUND('Raw Data'!AG69, 2),FALSE)),"",_xlfn.REGEXEXTRACT(CELL("address",AG69), "\$([A-Z]+)\$[0-9]+"))),_xlfn.REGEXEXTRACT(CELL("address",AG69), "\$([A-Z]+)\$[0-9]+"))</f>
        <v/>
      </c>
      <c r="AH69" s="7" t="str">
        <f t="array" aca="1" ref="AH69" ca="1">IFERROR(IF(OR('Raw Data'!AH69="",LEN(TRIM('Raw Data'!AH69))=0),"",IF(AND(ISNUMBER('Raw Data'!AH69), IFERROR('Raw Data'!AH69 = ROUND('Raw Data'!AH69, 2),FALSE)),"",_xlfn.REGEXEXTRACT(CELL("address",AH69), "\$([A-Z]+)\$[0-9]+"))),_xlfn.REGEXEXTRACT(CELL("address",AH69), "\$([A-Z]+)\$[0-9]+"))</f>
        <v/>
      </c>
      <c r="AI69" s="7" t="str">
        <f t="array" aca="1" ref="AI69" ca="1">IFERROR(IF(OR('Raw Data'!AI69="",LEN(TRIM('Raw Data'!AI69))=0),"",IF(AND(ISNUMBER('Raw Data'!AI69), IFERROR('Raw Data'!AI69 = ROUND('Raw Data'!AI69, 2),FALSE)),"",_xlfn.REGEXEXTRACT(CELL("address",AI69), "\$([A-Z]+)\$[0-9]+"))),_xlfn.REGEXEXTRACT(CELL("address",AI69), "\$([A-Z]+)\$[0-9]+"))</f>
        <v/>
      </c>
      <c r="AJ69" s="7" t="str">
        <f t="array" aca="1" ref="AJ69" ca="1">IFERROR(IF(OR('Raw Data'!AJ69="",LEN(TRIM('Raw Data'!AJ69))=0),"",IF(AND(ISNUMBER('Raw Data'!AJ69), IFERROR('Raw Data'!AJ69 = ROUND('Raw Data'!AJ69, 4),FALSE)),"",_xlfn.REGEXEXTRACT(CELL("address",AJ69), "\$([A-Z]+)\$[0-9]+"))),_xlfn.REGEXEXTRACT(CELL("address",AJ69), "\$([A-Z]+)\$[0-9]+"))</f>
        <v/>
      </c>
      <c r="AK69" s="7" t="str">
        <f t="array" aca="1" ref="AK69" ca="1">IFERROR(IF(OR('Raw Data'!AK69="",LEN(TRIM('Raw Data'!AK69))=0),"",IF(AND(ISNUMBER('Raw Data'!AK69), IFERROR('Raw Data'!AK69 = ROUND('Raw Data'!AK69, 2),FALSE)),"",_xlfn.REGEXEXTRACT(CELL("address",AK69), "\$([A-Z]+)\$[0-9]+"))),_xlfn.REGEXEXTRACT(CELL("address",AK69), "\$([A-Z]+)\$[0-9]+"))</f>
        <v/>
      </c>
      <c r="AL69" s="7" t="str">
        <f t="array" aca="1" ref="AL69" ca="1">IFERROR(IF(OR('Raw Data'!AL69="",LEN(TRIM('Raw Data'!AL69))=0),"",IF(AND(ISNUMBER('Raw Data'!AL69), IFERROR('Raw Data'!AL69 = ROUND('Raw Data'!AL69, 2),FALSE)),"",_xlfn.REGEXEXTRACT(CELL("address",AL69), "\$([A-Z]+)\$[0-9]+"))),_xlfn.REGEXEXTRACT(CELL("address",AL69), "\$([A-Z]+)\$[0-9]+"))</f>
        <v/>
      </c>
      <c r="AM69" s="7" t="str">
        <f t="array" aca="1" ref="AM69" ca="1">IFERROR(IF(OR('Raw Data'!AM69="",LEN(TRIM('Raw Data'!AM69))=0),"",IF(AND(ISNUMBER('Raw Data'!AM69), IFERROR('Raw Data'!AM69 = ROUND('Raw Data'!AM69, 2),FALSE)),"",_xlfn.REGEXEXTRACT(CELL("address",AM69), "\$([A-Z]+)\$[0-9]+"))),_xlfn.REGEXEXTRACT(CELL("address",AM69), "\$([A-Z]+)\$[0-9]+"))</f>
        <v/>
      </c>
      <c r="AN69" s="7" t="str">
        <f t="array" aca="1" ref="AN69" ca="1">IFERROR(IF(OR('Raw Data'!AN69="",LEN(TRIM('Raw Data'!AN69))=0),"",IF(AND(ISNUMBER('Raw Data'!AN69), IFERROR('Raw Data'!AN69 = ROUND('Raw Data'!AN69, 2),FALSE)),"",_xlfn.REGEXEXTRACT(CELL("address",AN69), "\$([A-Z]+)\$[0-9]+"))),_xlfn.REGEXEXTRACT(CELL("address",AN69), "\$([A-Z]+)\$[0-9]+"))</f>
        <v/>
      </c>
      <c r="AO69" s="7" t="str">
        <f t="array" aca="1" ref="AO69" ca="1">IFERROR(IF(OR('Raw Data'!AO69="",LEN(TRIM('Raw Data'!AO69))=0),"",IF(AND(ISNUMBER('Raw Data'!AO69), IFERROR('Raw Data'!AO69 = ROUND('Raw Data'!AO69, 2),FALSE)),"",_xlfn.REGEXEXTRACT(CELL("address",AO69), "\$([A-Z]+)\$[0-9]+"))),_xlfn.REGEXEXTRACT(CELL("address",AO69), "\$([A-Z]+)\$[0-9]+"))</f>
        <v/>
      </c>
      <c r="AP69" s="7" t="str">
        <f t="array" aca="1" ref="AP69" ca="1">IFERROR(IF(OR('Raw Data'!AP69="",LEN(TRIM('Raw Data'!AP69))=0),"",IF(AND(ISNUMBER('Raw Data'!AP69), IFERROR('Raw Data'!AP69 = ROUND('Raw Data'!AP69, 2),FALSE)),"",_xlfn.REGEXEXTRACT(CELL("address",AP69), "\$([A-Z]+)\$[0-9]+"))),_xlfn.REGEXEXTRACT(CELL("address",AP69), "\$([A-Z]+)\$[0-9]+"))</f>
        <v/>
      </c>
    </row>
    <row r="70" spans="2:42" x14ac:dyDescent="0.25">
      <c r="B70" s="7" t="str">
        <f t="array" aca="1" ref="B70" ca="1">IFERROR(IF(OR('Raw Data'!B70="",LEN(TRIM('Raw Data'!B70))=0),"",IF(AND(LEN('Raw Data'!B70) &lt;= 255,LEN('Raw Data'!B70)&gt; 0),"",_xlfn.REGEXEXTRACT(CELL("address",'Raw Data'!B70),"\$([A-Z]+)\$[0-9]+"))),_xlfn.REGEXEXTRACT(CELL("address",'Raw Data'!B70),"\$([A-Z]+)\$[0-9]+"))</f>
        <v/>
      </c>
      <c r="C70" s="7" t="str">
        <f t="array" aca="1" ref="C70" ca="1">IFERROR(IF(OR('Raw Data'!C70="",LEN(TRIM('Raw Data'!C70))=0),"",IF(AND(LEN('Raw Data'!C70) &lt;= 50,LEN('Raw Data'!C70)&gt; 0),"",_xlfn.REGEXEXTRACT(CELL("address",'Raw Data'!C70),"\$([A-Z]+)\$[0-9]+"))),_xlfn.REGEXEXTRACT(CELL("address",'Raw Data'!C70),"\$([A-Z]+)\$[0-9]+"))</f>
        <v/>
      </c>
      <c r="D70" s="7" t="str">
        <f t="array" aca="1" ref="D70" ca="1">IFERROR(IF(OR('Raw Data'!D70="",LEN(TRIM('Raw Data'!D70))=0),"",IF(AND(LEN('Raw Data'!D70) &lt;= 500,LEN('Raw Data'!D70)&gt; 0),"",_xlfn.REGEXEXTRACT(CELL("address",'Raw Data'!D70),"\$([A-Z]+)\$[0-9]+"))),_xlfn.REGEXEXTRACT(CELL("address",'Raw Data'!D70),"\$([A-Z]+)\$[0-9]+"))</f>
        <v/>
      </c>
      <c r="E70" s="7" t="str">
        <f t="array" aca="1" ref="E70" ca="1">IFERROR(IF(OR('Raw Data'!E70="",LEN(TRIM('Raw Data'!E70))=0),"",IF(AND(LEN('Raw Data'!E70) &lt;= 50,LEN('Raw Data'!E70)&gt; 0),"",_xlfn.REGEXEXTRACT(CELL("address",'Raw Data'!E70),"\$([A-Z]+)\$[0-9]+"))),_xlfn.REGEXEXTRACT(CELL("address",'Raw Data'!E70),"\$([A-Z]+)\$[0-9]+"))</f>
        <v/>
      </c>
      <c r="F70" s="7" t="str">
        <f t="array" aca="1" ref="F70" ca="1">IFERROR(IF(OR('Raw Data'!F70="",LEN(TRIM('Raw Data'!F70))=0),"",IF(AND(LEN('Raw Data'!F70) &lt;= 50,LEN('Raw Data'!F70)&gt; 0),"",_xlfn.REGEXEXTRACT(CELL("address",'Raw Data'!F70),"\$([A-Z]+)\$[0-9]+"))),_xlfn.REGEXEXTRACT(CELL("address",'Raw Data'!F70),"\$([A-Z]+)\$[0-9]+"))</f>
        <v/>
      </c>
      <c r="G70" s="7" t="str">
        <f t="array" aca="1" ref="G70" ca="1">IFERROR(IF(OR('Raw Data'!G70="",LEN(TRIM('Raw Data'!G70))=0),"",IF(AND(LEN('Raw Data'!G70) &lt;= 50,LEN('Raw Data'!G70)&gt; 0),"",_xlfn.REGEXEXTRACT(CELL("address",'Raw Data'!G70),"\$([A-Z]+)\$[0-9]+"))),_xlfn.REGEXEXTRACT(CELL("address",'Raw Data'!G70),"\$([A-Z]+)\$[0-9]+"))</f>
        <v/>
      </c>
      <c r="H70" s="7" t="str">
        <f t="array" aca="1" ref="H70" ca="1">IFERROR(IF(OR('Raw Data'!H70="",LEN(TRIM('Raw Data'!H70))=0),"",IF(AND(LEN('Raw Data'!H70) &lt;= 50,LEN('Raw Data'!H70)&gt; 0),"",_xlfn.REGEXEXTRACT(CELL("address",'Raw Data'!H70),"\$([A-Z]+)\$[0-9]+"))),_xlfn.REGEXEXTRACT(CELL("address",'Raw Data'!H70),"\$([A-Z]+)\$[0-9]+"))</f>
        <v/>
      </c>
      <c r="I70" s="7" t="str">
        <f t="array" aca="1" ref="I70" ca="1">IFERROR(IF(OR('Raw Data'!I70="",LEN(TRIM('Raw Data'!I70))=0),"",IF(AND(LEN('Raw Data'!I70) &lt;= 50,LEN('Raw Data'!I70)&gt; 0),"",_xlfn.REGEXEXTRACT(CELL("address",'Raw Data'!I70),"\$([A-Z]+)\$[0-9]+"))),_xlfn.REGEXEXTRACT(CELL("address",'Raw Data'!I70),"\$([A-Z]+)\$[0-9]+"))</f>
        <v/>
      </c>
      <c r="J70" s="7" t="str">
        <f t="array" aca="1" ref="J70" ca="1">IFERROR(IF(OR('Raw Data'!J70="",LEN(TRIM('Raw Data'!J70))=0),"",IF(AND(ISNUMBER('Raw Data'!J70), IFERROR('Raw Data'!J70 = ROUND('Raw Data'!J70, 2),FALSE)),"",_xlfn.REGEXEXTRACT(CELL("address",J70), "\$([A-Z]+)\$[0-9]+"))),_xlfn.REGEXEXTRACT(CELL("address",J70), "\$([A-Z]+)\$[0-9]+"))</f>
        <v/>
      </c>
      <c r="K70" s="7" t="str">
        <f t="array" aca="1" ref="K70" ca="1">IFERROR(IF(OR('Raw Data'!K70="",LEN(TRIM('Raw Data'!K70))=0),"",IF(AND(ISNUMBER('Raw Data'!K70), IFERROR('Raw Data'!K70 = ROUND('Raw Data'!K70, 2),FALSE)),"",_xlfn.REGEXEXTRACT(CELL("address",K70), "\$([A-Z]+)\$[0-9]+"))),_xlfn.REGEXEXTRACT(CELL("address",K70), "\$([A-Z]+)\$[0-9]+"))</f>
        <v/>
      </c>
      <c r="L70" s="7" t="str">
        <f t="array" aca="1" ref="L70" ca="1">IFERROR(IF(OR('Raw Data'!L70="",LEN(TRIM('Raw Data'!L70))=0),"",IF(AND(ISNUMBER('Raw Data'!L70), IFERROR('Raw Data'!L70 = ROUND('Raw Data'!L70, 2),FALSE)),"",_xlfn.REGEXEXTRACT(CELL("address",L70), "\$([A-Z]+)\$[0-9]+"))),_xlfn.REGEXEXTRACT(CELL("address",L70), "\$([A-Z]+)\$[0-9]+"))</f>
        <v/>
      </c>
      <c r="M70" s="7" t="str">
        <f t="array" aca="1" ref="M70" ca="1">IFERROR(IF(OR('Raw Data'!M70="",LEN(TRIM('Raw Data'!M70))=0),"",IF(AND(ISNUMBER('Raw Data'!M70), IFERROR('Raw Data'!M70 = ROUND('Raw Data'!M70, 2),FALSE)),"",_xlfn.REGEXEXTRACT(CELL("address",M70), "\$([A-Z]+)\$[0-9]+"))),_xlfn.REGEXEXTRACT(CELL("address",M70), "\$([A-Z]+)\$[0-9]+"))</f>
        <v/>
      </c>
      <c r="N70" s="7" t="str">
        <f t="array" aca="1" ref="N70" ca="1">IFERROR(IF(OR('Raw Data'!N70="",LEN(TRIM('Raw Data'!N70))=0),"",IF(AND(ISNUMBER('Raw Data'!N70), IFERROR('Raw Data'!N70 = ROUND('Raw Data'!N70, 2),FALSE)),"",_xlfn.REGEXEXTRACT(CELL("address",N70), "\$([A-Z]+)\$[0-9]+"))),_xlfn.REGEXEXTRACT(CELL("address",N70), "\$([A-Z]+)\$[0-9]+"))</f>
        <v/>
      </c>
      <c r="O70" s="7" t="str">
        <f t="array" aca="1" ref="O70" ca="1">IFERROR(IF(OR('Raw Data'!O70="",LEN(TRIM('Raw Data'!O70))=0),"",IF(AND(ISNUMBER('Raw Data'!O70),'Raw Data'!O70&gt;=Configuration!$D$2),"",_xlfn.REGEXEXTRACT(CELL("address",'Raw Data'!O70),"\$([A-Z]+)\$[0-9]+"))),_xlfn.REGEXEXTRACT(CELL("address",O70), "\$([A-Z]+)\$[0-9]+"))</f>
        <v/>
      </c>
      <c r="P70" s="7" t="str">
        <f t="array" aca="1" ref="P70" ca="1">IFERROR(IF(OR('Raw Data'!P70="",LEN(TRIM('Raw Data'!P70))=0),"",IF(AND(ISNUMBER('Raw Data'!P70), IFERROR('Raw Data'!P70 = ROUND('Raw Data'!P70, 2),FALSE)),"",_xlfn.REGEXEXTRACT(CELL("address",P70), "\$([A-Z]+)\$[0-9]+"))),_xlfn.REGEXEXTRACT(CELL("address",P70), "\$([A-Z]+)\$[0-9]+"))</f>
        <v/>
      </c>
      <c r="Q70" s="7" t="str">
        <f t="array" aca="1" ref="Q70" ca="1">IFERROR(IF(OR('Raw Data'!Q70="",LEN(TRIM('Raw Data'!Q70))=0),"",IF(AND(ISNUMBER('Raw Data'!Q70), IFERROR('Raw Data'!Q70 = ROUND('Raw Data'!Q70, 2),FALSE)),"",_xlfn.REGEXEXTRACT(CELL("address",Q70), "\$([A-Z]+)\$[0-9]+"))),_xlfn.REGEXEXTRACT(CELL("address",Q70), "\$([A-Z]+)\$[0-9]+"))</f>
        <v/>
      </c>
      <c r="R70" s="7" t="str">
        <f t="array" aca="1" ref="R70" ca="1">IFERROR(IF(OR('Raw Data'!R70="",LEN(TRIM('Raw Data'!R70))=0),"",IF(AND(LEN('Raw Data'!R70) &lt;= 50,LEN('Raw Data'!R70)&gt; 0),"",_xlfn.REGEXEXTRACT(CELL("address",'Raw Data'!R70),"\$([A-Z]+)\$[0-9]+"))),_xlfn.REGEXEXTRACT(CELL("address",'Raw Data'!R70),"\$([A-Z]+)\$[0-9]+"))</f>
        <v/>
      </c>
      <c r="S70" s="7" t="str">
        <f t="array" aca="1" ref="S70" ca="1">IFERROR(IF(OR('Raw Data'!S70="",LEN(TRIM('Raw Data'!S70))=0),"",IF(AND(LEN('Raw Data'!S70) &lt;= 50,LEN('Raw Data'!S70)&gt; 0),"",_xlfn.REGEXEXTRACT(CELL("address",'Raw Data'!S70),"\$([A-Z]+)\$[0-9]+"))),_xlfn.REGEXEXTRACT(CELL("address",'Raw Data'!S70),"\$([A-Z]+)\$[0-9]+"))</f>
        <v/>
      </c>
      <c r="T70" s="7" t="str">
        <f t="array" aca="1" ref="T70" ca="1">IFERROR(IF(OR('Raw Data'!T70="",LEN(TRIM('Raw Data'!T70))=0),"",IF(AND(ISNUMBER('Raw Data'!T70), IFERROR('Raw Data'!T70 = ROUND('Raw Data'!T70, 2),FALSE)),"",_xlfn.REGEXEXTRACT(CELL("address",T70), "\$([A-Z]+)\$[0-9]+"))),_xlfn.REGEXEXTRACT(CELL("address",T70), "\$([A-Z]+)\$[0-9]+"))</f>
        <v/>
      </c>
      <c r="U70" s="7" t="str">
        <f t="array" aca="1" ref="U70" ca="1">IFERROR(IF(OR('Raw Data'!U70="",LEN(TRIM('Raw Data'!U70))=0),"",IF(AND(ISNUMBER('Raw Data'!U70), IFERROR('Raw Data'!U70 = ROUND('Raw Data'!U70, 2),FALSE)),"",_xlfn.REGEXEXTRACT(CELL("address",U70), "\$([A-Z]+)\$[0-9]+"))),_xlfn.REGEXEXTRACT(CELL("address",U70), "\$([A-Z]+)\$[0-9]+"))</f>
        <v/>
      </c>
      <c r="V70" s="7" t="str">
        <f t="array" aca="1" ref="V70" ca="1">IFERROR(IF(OR('Raw Data'!V70="",LEN(TRIM('Raw Data'!V70))=0),"",IF(AND(ISNUMBER('Raw Data'!V70), IFERROR('Raw Data'!V70 = ROUND('Raw Data'!V70, 2),FALSE)),"",_xlfn.REGEXEXTRACT(CELL("address",V70), "\$([A-Z]+)\$[0-9]+"))),_xlfn.REGEXEXTRACT(CELL("address",V70), "\$([A-Z]+)\$[0-9]+"))</f>
        <v/>
      </c>
      <c r="W70" s="7" t="str">
        <f t="array" aca="1" ref="W70" ca="1">IFERROR(IF(OR('Raw Data'!W70="",LEN(TRIM('Raw Data'!W70))=0),"",IF(AND(ISNUMBER('Raw Data'!W70), IFERROR('Raw Data'!W70 = ROUND('Raw Data'!W70, 2),FALSE)),"",_xlfn.REGEXEXTRACT(CELL("address",W70), "\$([A-Z]+)\$[0-9]+"))),_xlfn.REGEXEXTRACT(CELL("address",W70), "\$([A-Z]+)\$[0-9]+"))</f>
        <v/>
      </c>
      <c r="X70" s="7" t="str">
        <f t="array" aca="1" ref="X70" ca="1">IFERROR(IF(OR('Raw Data'!X70="",LEN(TRIM('Raw Data'!X70))=0),"",IF(AND(ISNUMBER('Raw Data'!X70), IFERROR('Raw Data'!X70 = ROUND('Raw Data'!X70, 2),FALSE)),"",_xlfn.REGEXEXTRACT(CELL("address",X70), "\$([A-Z]+)\$[0-9]+"))),_xlfn.REGEXEXTRACT(CELL("address",X70), "\$([A-Z]+)\$[0-9]+"))</f>
        <v/>
      </c>
      <c r="Y70" s="7" t="str">
        <f t="array" aca="1" ref="Y70" ca="1">IFERROR(IF(OR('Raw Data'!Y70="",LEN(TRIM('Raw Data'!Y70))=0),"",IF(AND(ISNUMBER('Raw Data'!Y70), IFERROR('Raw Data'!Y70 = ROUND('Raw Data'!Y70, 2),FALSE)),"",_xlfn.REGEXEXTRACT(CELL("address",Y70), "\$([A-Z]+)\$[0-9]+"))),_xlfn.REGEXEXTRACT(CELL("address",Y70), "\$([A-Z]+)\$[0-9]+"))</f>
        <v/>
      </c>
      <c r="Z70" s="7" t="str">
        <f t="array" aca="1" ref="Z70" ca="1">IFERROR(IF(OR('Raw Data'!Z70="",LEN(TRIM('Raw Data'!Z70))=0),"",IF(AND(ISNUMBER('Raw Data'!Z70), IFERROR('Raw Data'!Z70 = ROUND('Raw Data'!Z70, 2),FALSE)),"",_xlfn.REGEXEXTRACT(CELL("address",Z70), "\$([A-Z]+)\$[0-9]+"))),_xlfn.REGEXEXTRACT(CELL("address",Z70), "\$([A-Z]+)\$[0-9]+"))</f>
        <v/>
      </c>
      <c r="AA70" s="7" t="str">
        <f t="array" aca="1" ref="AA70" ca="1">IFERROR(IF(OR('Raw Data'!AA70="",LEN(TRIM('Raw Data'!AA70))=0),"",IF(AND(ISNUMBER('Raw Data'!AA70), IFERROR('Raw Data'!AA70 = ROUND('Raw Data'!AA70, 2),FALSE)),"",_xlfn.REGEXEXTRACT(CELL("address",AA70), "\$([A-Z]+)\$[0-9]+"))),_xlfn.REGEXEXTRACT(CELL("address",AA70), "\$([A-Z]+)\$[0-9]+"))</f>
        <v/>
      </c>
      <c r="AB70" s="7" t="str">
        <f t="array" aca="1" ref="AB70" ca="1">IFERROR(IF(OR('Raw Data'!AB70="",LEN(TRIM('Raw Data'!AB70))=0),"",IF(AND(ISNUMBER('Raw Data'!AB70), IFERROR('Raw Data'!AB70 = ROUND('Raw Data'!AB70, 2),FALSE)),"",_xlfn.REGEXEXTRACT(CELL("address",AB70), "\$([A-Z]+)\$[0-9]+"))),_xlfn.REGEXEXTRACT(CELL("address",AB70), "\$([A-Z]+)\$[0-9]+"))</f>
        <v/>
      </c>
      <c r="AC70" s="7" t="str">
        <f t="array" aca="1" ref="AC70" ca="1">IFERROR(IF(OR('Raw Data'!AC70="",LEN(TRIM('Raw Data'!AC70))=0),"",IF(AND(ISNUMBER('Raw Data'!AC70), IFERROR('Raw Data'!AC70 = ROUND('Raw Data'!AC70, 2),FALSE)),"",_xlfn.REGEXEXTRACT(CELL("address",AC70), "\$([A-Z]+)\$[0-9]+"))),_xlfn.REGEXEXTRACT(CELL("address",AC70), "\$([A-Z]+)\$[0-9]+"))</f>
        <v/>
      </c>
      <c r="AD70" s="7" t="str">
        <f t="array" aca="1" ref="AD70" ca="1">IFERROR(IF(OR('Raw Data'!AD70="",LEN(TRIM('Raw Data'!AD70))=0),"",IF(AND(ISNUMBER('Raw Data'!AD70), IFERROR('Raw Data'!AD70 = ROUND('Raw Data'!AD70, 2),FALSE)),"",_xlfn.REGEXEXTRACT(CELL("address",AD70), "\$([A-Z]+)\$[0-9]+"))),_xlfn.REGEXEXTRACT(CELL("address",AD70), "\$([A-Z]+)\$[0-9]+"))</f>
        <v/>
      </c>
      <c r="AE70" s="7" t="str">
        <f t="array" aca="1" ref="AE70" ca="1">IFERROR(IF(OR('Raw Data'!AE70="",LEN(TRIM('Raw Data'!AE70))=0),"",IF(AND(ISNUMBER('Raw Data'!AE70), IFERROR('Raw Data'!AE70 = ROUND('Raw Data'!AE70, 2),FALSE)),"",_xlfn.REGEXEXTRACT(CELL("address",AE70), "\$([A-Z]+)\$[0-9]+"))),_xlfn.REGEXEXTRACT(CELL("address",AE70), "\$([A-Z]+)\$[0-9]+"))</f>
        <v/>
      </c>
      <c r="AF70" s="7" t="str">
        <f t="array" aca="1" ref="AF70" ca="1">IFERROR(IF(OR('Raw Data'!AF70="",LEN(TRIM('Raw Data'!AF70))=0),"",IF(AND(ISNUMBER('Raw Data'!AF70), IFERROR('Raw Data'!AF70 = ROUND('Raw Data'!AF70, 2),FALSE)),"",_xlfn.REGEXEXTRACT(CELL("address",AF70), "\$([A-Z]+)\$[0-9]+"))),_xlfn.REGEXEXTRACT(CELL("address",AF70), "\$([A-Z]+)\$[0-9]+"))</f>
        <v/>
      </c>
      <c r="AG70" s="7" t="str">
        <f t="array" aca="1" ref="AG70" ca="1">IFERROR(IF(OR('Raw Data'!AG70="",LEN(TRIM('Raw Data'!AG70))=0),"",IF(AND(ISNUMBER('Raw Data'!AG70), IFERROR('Raw Data'!AG70 = ROUND('Raw Data'!AG70, 2),FALSE)),"",_xlfn.REGEXEXTRACT(CELL("address",AG70), "\$([A-Z]+)\$[0-9]+"))),_xlfn.REGEXEXTRACT(CELL("address",AG70), "\$([A-Z]+)\$[0-9]+"))</f>
        <v/>
      </c>
      <c r="AH70" s="7" t="str">
        <f t="array" aca="1" ref="AH70" ca="1">IFERROR(IF(OR('Raw Data'!AH70="",LEN(TRIM('Raw Data'!AH70))=0),"",IF(AND(ISNUMBER('Raw Data'!AH70), IFERROR('Raw Data'!AH70 = ROUND('Raw Data'!AH70, 2),FALSE)),"",_xlfn.REGEXEXTRACT(CELL("address",AH70), "\$([A-Z]+)\$[0-9]+"))),_xlfn.REGEXEXTRACT(CELL("address",AH70), "\$([A-Z]+)\$[0-9]+"))</f>
        <v/>
      </c>
      <c r="AI70" s="7" t="str">
        <f t="array" aca="1" ref="AI70" ca="1">IFERROR(IF(OR('Raw Data'!AI70="",LEN(TRIM('Raw Data'!AI70))=0),"",IF(AND(ISNUMBER('Raw Data'!AI70), IFERROR('Raw Data'!AI70 = ROUND('Raw Data'!AI70, 2),FALSE)),"",_xlfn.REGEXEXTRACT(CELL("address",AI70), "\$([A-Z]+)\$[0-9]+"))),_xlfn.REGEXEXTRACT(CELL("address",AI70), "\$([A-Z]+)\$[0-9]+"))</f>
        <v/>
      </c>
      <c r="AJ70" s="7" t="str">
        <f t="array" aca="1" ref="AJ70" ca="1">IFERROR(IF(OR('Raw Data'!AJ70="",LEN(TRIM('Raw Data'!AJ70))=0),"",IF(AND(ISNUMBER('Raw Data'!AJ70), IFERROR('Raw Data'!AJ70 = ROUND('Raw Data'!AJ70, 4),FALSE)),"",_xlfn.REGEXEXTRACT(CELL("address",AJ70), "\$([A-Z]+)\$[0-9]+"))),_xlfn.REGEXEXTRACT(CELL("address",AJ70), "\$([A-Z]+)\$[0-9]+"))</f>
        <v/>
      </c>
      <c r="AK70" s="7" t="str">
        <f t="array" aca="1" ref="AK70" ca="1">IFERROR(IF(OR('Raw Data'!AK70="",LEN(TRIM('Raw Data'!AK70))=0),"",IF(AND(ISNUMBER('Raw Data'!AK70), IFERROR('Raw Data'!AK70 = ROUND('Raw Data'!AK70, 2),FALSE)),"",_xlfn.REGEXEXTRACT(CELL("address",AK70), "\$([A-Z]+)\$[0-9]+"))),_xlfn.REGEXEXTRACT(CELL("address",AK70), "\$([A-Z]+)\$[0-9]+"))</f>
        <v/>
      </c>
      <c r="AL70" s="7" t="str">
        <f t="array" aca="1" ref="AL70" ca="1">IFERROR(IF(OR('Raw Data'!AL70="",LEN(TRIM('Raw Data'!AL70))=0),"",IF(AND(ISNUMBER('Raw Data'!AL70), IFERROR('Raw Data'!AL70 = ROUND('Raw Data'!AL70, 2),FALSE)),"",_xlfn.REGEXEXTRACT(CELL("address",AL70), "\$([A-Z]+)\$[0-9]+"))),_xlfn.REGEXEXTRACT(CELL("address",AL70), "\$([A-Z]+)\$[0-9]+"))</f>
        <v/>
      </c>
      <c r="AM70" s="7" t="str">
        <f t="array" aca="1" ref="AM70" ca="1">IFERROR(IF(OR('Raw Data'!AM70="",LEN(TRIM('Raw Data'!AM70))=0),"",IF(AND(ISNUMBER('Raw Data'!AM70), IFERROR('Raw Data'!AM70 = ROUND('Raw Data'!AM70, 2),FALSE)),"",_xlfn.REGEXEXTRACT(CELL("address",AM70), "\$([A-Z]+)\$[0-9]+"))),_xlfn.REGEXEXTRACT(CELL("address",AM70), "\$([A-Z]+)\$[0-9]+"))</f>
        <v/>
      </c>
      <c r="AN70" s="7" t="str">
        <f t="array" aca="1" ref="AN70" ca="1">IFERROR(IF(OR('Raw Data'!AN70="",LEN(TRIM('Raw Data'!AN70))=0),"",IF(AND(ISNUMBER('Raw Data'!AN70), IFERROR('Raw Data'!AN70 = ROUND('Raw Data'!AN70, 2),FALSE)),"",_xlfn.REGEXEXTRACT(CELL("address",AN70), "\$([A-Z]+)\$[0-9]+"))),_xlfn.REGEXEXTRACT(CELL("address",AN70), "\$([A-Z]+)\$[0-9]+"))</f>
        <v/>
      </c>
      <c r="AO70" s="7" t="str">
        <f t="array" aca="1" ref="AO70" ca="1">IFERROR(IF(OR('Raw Data'!AO70="",LEN(TRIM('Raw Data'!AO70))=0),"",IF(AND(ISNUMBER('Raw Data'!AO70), IFERROR('Raw Data'!AO70 = ROUND('Raw Data'!AO70, 2),FALSE)),"",_xlfn.REGEXEXTRACT(CELL("address",AO70), "\$([A-Z]+)\$[0-9]+"))),_xlfn.REGEXEXTRACT(CELL("address",AO70), "\$([A-Z]+)\$[0-9]+"))</f>
        <v/>
      </c>
      <c r="AP70" s="7" t="str">
        <f t="array" aca="1" ref="AP70" ca="1">IFERROR(IF(OR('Raw Data'!AP70="",LEN(TRIM('Raw Data'!AP70))=0),"",IF(AND(ISNUMBER('Raw Data'!AP70), IFERROR('Raw Data'!AP70 = ROUND('Raw Data'!AP70, 2),FALSE)),"",_xlfn.REGEXEXTRACT(CELL("address",AP70), "\$([A-Z]+)\$[0-9]+"))),_xlfn.REGEXEXTRACT(CELL("address",AP70), "\$([A-Z]+)\$[0-9]+"))</f>
        <v/>
      </c>
    </row>
    <row r="71" spans="2:42" x14ac:dyDescent="0.25">
      <c r="B71" s="7" t="str">
        <f t="array" aca="1" ref="B71" ca="1">IFERROR(IF(OR('Raw Data'!B71="",LEN(TRIM('Raw Data'!B71))=0),"",IF(AND(LEN('Raw Data'!B71) &lt;= 255,LEN('Raw Data'!B71)&gt; 0),"",_xlfn.REGEXEXTRACT(CELL("address",'Raw Data'!B71),"\$([A-Z]+)\$[0-9]+"))),_xlfn.REGEXEXTRACT(CELL("address",'Raw Data'!B71),"\$([A-Z]+)\$[0-9]+"))</f>
        <v/>
      </c>
      <c r="C71" s="7" t="str">
        <f t="array" aca="1" ref="C71" ca="1">IFERROR(IF(OR('Raw Data'!C71="",LEN(TRIM('Raw Data'!C71))=0),"",IF(AND(LEN('Raw Data'!C71) &lt;= 50,LEN('Raw Data'!C71)&gt; 0),"",_xlfn.REGEXEXTRACT(CELL("address",'Raw Data'!C71),"\$([A-Z]+)\$[0-9]+"))),_xlfn.REGEXEXTRACT(CELL("address",'Raw Data'!C71),"\$([A-Z]+)\$[0-9]+"))</f>
        <v/>
      </c>
      <c r="D71" s="7" t="str">
        <f t="array" aca="1" ref="D71" ca="1">IFERROR(IF(OR('Raw Data'!D71="",LEN(TRIM('Raw Data'!D71))=0),"",IF(AND(LEN('Raw Data'!D71) &lt;= 500,LEN('Raw Data'!D71)&gt; 0),"",_xlfn.REGEXEXTRACT(CELL("address",'Raw Data'!D71),"\$([A-Z]+)\$[0-9]+"))),_xlfn.REGEXEXTRACT(CELL("address",'Raw Data'!D71),"\$([A-Z]+)\$[0-9]+"))</f>
        <v/>
      </c>
      <c r="E71" s="7" t="str">
        <f t="array" aca="1" ref="E71" ca="1">IFERROR(IF(OR('Raw Data'!E71="",LEN(TRIM('Raw Data'!E71))=0),"",IF(AND(LEN('Raw Data'!E71) &lt;= 50,LEN('Raw Data'!E71)&gt; 0),"",_xlfn.REGEXEXTRACT(CELL("address",'Raw Data'!E71),"\$([A-Z]+)\$[0-9]+"))),_xlfn.REGEXEXTRACT(CELL("address",'Raw Data'!E71),"\$([A-Z]+)\$[0-9]+"))</f>
        <v/>
      </c>
      <c r="F71" s="7" t="str">
        <f t="array" aca="1" ref="F71" ca="1">IFERROR(IF(OR('Raw Data'!F71="",LEN(TRIM('Raw Data'!F71))=0),"",IF(AND(LEN('Raw Data'!F71) &lt;= 50,LEN('Raw Data'!F71)&gt; 0),"",_xlfn.REGEXEXTRACT(CELL("address",'Raw Data'!F71),"\$([A-Z]+)\$[0-9]+"))),_xlfn.REGEXEXTRACT(CELL("address",'Raw Data'!F71),"\$([A-Z]+)\$[0-9]+"))</f>
        <v/>
      </c>
      <c r="G71" s="7" t="str">
        <f t="array" aca="1" ref="G71" ca="1">IFERROR(IF(OR('Raw Data'!G71="",LEN(TRIM('Raw Data'!G71))=0),"",IF(AND(LEN('Raw Data'!G71) &lt;= 50,LEN('Raw Data'!G71)&gt; 0),"",_xlfn.REGEXEXTRACT(CELL("address",'Raw Data'!G71),"\$([A-Z]+)\$[0-9]+"))),_xlfn.REGEXEXTRACT(CELL("address",'Raw Data'!G71),"\$([A-Z]+)\$[0-9]+"))</f>
        <v/>
      </c>
      <c r="H71" s="7" t="str">
        <f t="array" aca="1" ref="H71" ca="1">IFERROR(IF(OR('Raw Data'!H71="",LEN(TRIM('Raw Data'!H71))=0),"",IF(AND(LEN('Raw Data'!H71) &lt;= 50,LEN('Raw Data'!H71)&gt; 0),"",_xlfn.REGEXEXTRACT(CELL("address",'Raw Data'!H71),"\$([A-Z]+)\$[0-9]+"))),_xlfn.REGEXEXTRACT(CELL("address",'Raw Data'!H71),"\$([A-Z]+)\$[0-9]+"))</f>
        <v/>
      </c>
      <c r="I71" s="7" t="str">
        <f t="array" aca="1" ref="I71" ca="1">IFERROR(IF(OR('Raw Data'!I71="",LEN(TRIM('Raw Data'!I71))=0),"",IF(AND(LEN('Raw Data'!I71) &lt;= 50,LEN('Raw Data'!I71)&gt; 0),"",_xlfn.REGEXEXTRACT(CELL("address",'Raw Data'!I71),"\$([A-Z]+)\$[0-9]+"))),_xlfn.REGEXEXTRACT(CELL("address",'Raw Data'!I71),"\$([A-Z]+)\$[0-9]+"))</f>
        <v/>
      </c>
      <c r="J71" s="7" t="str">
        <f t="array" aca="1" ref="J71" ca="1">IFERROR(IF(OR('Raw Data'!J71="",LEN(TRIM('Raw Data'!J71))=0),"",IF(AND(ISNUMBER('Raw Data'!J71), IFERROR('Raw Data'!J71 = ROUND('Raw Data'!J71, 2),FALSE)),"",_xlfn.REGEXEXTRACT(CELL("address",J71), "\$([A-Z]+)\$[0-9]+"))),_xlfn.REGEXEXTRACT(CELL("address",J71), "\$([A-Z]+)\$[0-9]+"))</f>
        <v/>
      </c>
      <c r="K71" s="7" t="str">
        <f t="array" aca="1" ref="K71" ca="1">IFERROR(IF(OR('Raw Data'!K71="",LEN(TRIM('Raw Data'!K71))=0),"",IF(AND(ISNUMBER('Raw Data'!K71), IFERROR('Raw Data'!K71 = ROUND('Raw Data'!K71, 2),FALSE)),"",_xlfn.REGEXEXTRACT(CELL("address",K71), "\$([A-Z]+)\$[0-9]+"))),_xlfn.REGEXEXTRACT(CELL("address",K71), "\$([A-Z]+)\$[0-9]+"))</f>
        <v/>
      </c>
      <c r="L71" s="7" t="str">
        <f t="array" aca="1" ref="L71" ca="1">IFERROR(IF(OR('Raw Data'!L71="",LEN(TRIM('Raw Data'!L71))=0),"",IF(AND(ISNUMBER('Raw Data'!L71), IFERROR('Raw Data'!L71 = ROUND('Raw Data'!L71, 2),FALSE)),"",_xlfn.REGEXEXTRACT(CELL("address",L71), "\$([A-Z]+)\$[0-9]+"))),_xlfn.REGEXEXTRACT(CELL("address",L71), "\$([A-Z]+)\$[0-9]+"))</f>
        <v/>
      </c>
      <c r="M71" s="7" t="str">
        <f t="array" aca="1" ref="M71" ca="1">IFERROR(IF(OR('Raw Data'!M71="",LEN(TRIM('Raw Data'!M71))=0),"",IF(AND(ISNUMBER('Raw Data'!M71), IFERROR('Raw Data'!M71 = ROUND('Raw Data'!M71, 2),FALSE)),"",_xlfn.REGEXEXTRACT(CELL("address",M71), "\$([A-Z]+)\$[0-9]+"))),_xlfn.REGEXEXTRACT(CELL("address",M71), "\$([A-Z]+)\$[0-9]+"))</f>
        <v/>
      </c>
      <c r="N71" s="7" t="str">
        <f t="array" aca="1" ref="N71" ca="1">IFERROR(IF(OR('Raw Data'!N71="",LEN(TRIM('Raw Data'!N71))=0),"",IF(AND(ISNUMBER('Raw Data'!N71), IFERROR('Raw Data'!N71 = ROUND('Raw Data'!N71, 2),FALSE)),"",_xlfn.REGEXEXTRACT(CELL("address",N71), "\$([A-Z]+)\$[0-9]+"))),_xlfn.REGEXEXTRACT(CELL("address",N71), "\$([A-Z]+)\$[0-9]+"))</f>
        <v/>
      </c>
      <c r="O71" s="7" t="str">
        <f t="array" aca="1" ref="O71" ca="1">IFERROR(IF(OR('Raw Data'!O71="",LEN(TRIM('Raw Data'!O71))=0),"",IF(AND(ISNUMBER('Raw Data'!O71),'Raw Data'!O71&gt;=Configuration!$D$2),"",_xlfn.REGEXEXTRACT(CELL("address",'Raw Data'!O71),"\$([A-Z]+)\$[0-9]+"))),_xlfn.REGEXEXTRACT(CELL("address",O71), "\$([A-Z]+)\$[0-9]+"))</f>
        <v/>
      </c>
      <c r="P71" s="7" t="str">
        <f t="array" aca="1" ref="P71" ca="1">IFERROR(IF(OR('Raw Data'!P71="",LEN(TRIM('Raw Data'!P71))=0),"",IF(AND(ISNUMBER('Raw Data'!P71), IFERROR('Raw Data'!P71 = ROUND('Raw Data'!P71, 2),FALSE)),"",_xlfn.REGEXEXTRACT(CELL("address",P71), "\$([A-Z]+)\$[0-9]+"))),_xlfn.REGEXEXTRACT(CELL("address",P71), "\$([A-Z]+)\$[0-9]+"))</f>
        <v/>
      </c>
      <c r="Q71" s="7" t="str">
        <f t="array" aca="1" ref="Q71" ca="1">IFERROR(IF(OR('Raw Data'!Q71="",LEN(TRIM('Raw Data'!Q71))=0),"",IF(AND(ISNUMBER('Raw Data'!Q71), IFERROR('Raw Data'!Q71 = ROUND('Raw Data'!Q71, 2),FALSE)),"",_xlfn.REGEXEXTRACT(CELL("address",Q71), "\$([A-Z]+)\$[0-9]+"))),_xlfn.REGEXEXTRACT(CELL("address",Q71), "\$([A-Z]+)\$[0-9]+"))</f>
        <v/>
      </c>
      <c r="R71" s="7" t="str">
        <f t="array" aca="1" ref="R71" ca="1">IFERROR(IF(OR('Raw Data'!R71="",LEN(TRIM('Raw Data'!R71))=0),"",IF(AND(LEN('Raw Data'!R71) &lt;= 50,LEN('Raw Data'!R71)&gt; 0),"",_xlfn.REGEXEXTRACT(CELL("address",'Raw Data'!R71),"\$([A-Z]+)\$[0-9]+"))),_xlfn.REGEXEXTRACT(CELL("address",'Raw Data'!R71),"\$([A-Z]+)\$[0-9]+"))</f>
        <v/>
      </c>
      <c r="S71" s="7" t="str">
        <f t="array" aca="1" ref="S71" ca="1">IFERROR(IF(OR('Raw Data'!S71="",LEN(TRIM('Raw Data'!S71))=0),"",IF(AND(LEN('Raw Data'!S71) &lt;= 50,LEN('Raw Data'!S71)&gt; 0),"",_xlfn.REGEXEXTRACT(CELL("address",'Raw Data'!S71),"\$([A-Z]+)\$[0-9]+"))),_xlfn.REGEXEXTRACT(CELL("address",'Raw Data'!S71),"\$([A-Z]+)\$[0-9]+"))</f>
        <v/>
      </c>
      <c r="T71" s="7" t="str">
        <f t="array" aca="1" ref="T71" ca="1">IFERROR(IF(OR('Raw Data'!T71="",LEN(TRIM('Raw Data'!T71))=0),"",IF(AND(ISNUMBER('Raw Data'!T71), IFERROR('Raw Data'!T71 = ROUND('Raw Data'!T71, 2),FALSE)),"",_xlfn.REGEXEXTRACT(CELL("address",T71), "\$([A-Z]+)\$[0-9]+"))),_xlfn.REGEXEXTRACT(CELL("address",T71), "\$([A-Z]+)\$[0-9]+"))</f>
        <v/>
      </c>
      <c r="U71" s="7" t="str">
        <f t="array" aca="1" ref="U71" ca="1">IFERROR(IF(OR('Raw Data'!U71="",LEN(TRIM('Raw Data'!U71))=0),"",IF(AND(ISNUMBER('Raw Data'!U71), IFERROR('Raw Data'!U71 = ROUND('Raw Data'!U71, 2),FALSE)),"",_xlfn.REGEXEXTRACT(CELL("address",U71), "\$([A-Z]+)\$[0-9]+"))),_xlfn.REGEXEXTRACT(CELL("address",U71), "\$([A-Z]+)\$[0-9]+"))</f>
        <v/>
      </c>
      <c r="V71" s="7" t="str">
        <f t="array" aca="1" ref="V71" ca="1">IFERROR(IF(OR('Raw Data'!V71="",LEN(TRIM('Raw Data'!V71))=0),"",IF(AND(ISNUMBER('Raw Data'!V71), IFERROR('Raw Data'!V71 = ROUND('Raw Data'!V71, 2),FALSE)),"",_xlfn.REGEXEXTRACT(CELL("address",V71), "\$([A-Z]+)\$[0-9]+"))),_xlfn.REGEXEXTRACT(CELL("address",V71), "\$([A-Z]+)\$[0-9]+"))</f>
        <v/>
      </c>
      <c r="W71" s="7" t="str">
        <f t="array" aca="1" ref="W71" ca="1">IFERROR(IF(OR('Raw Data'!W71="",LEN(TRIM('Raw Data'!W71))=0),"",IF(AND(ISNUMBER('Raw Data'!W71), IFERROR('Raw Data'!W71 = ROUND('Raw Data'!W71, 2),FALSE)),"",_xlfn.REGEXEXTRACT(CELL("address",W71), "\$([A-Z]+)\$[0-9]+"))),_xlfn.REGEXEXTRACT(CELL("address",W71), "\$([A-Z]+)\$[0-9]+"))</f>
        <v/>
      </c>
      <c r="X71" s="7" t="str">
        <f t="array" aca="1" ref="X71" ca="1">IFERROR(IF(OR('Raw Data'!X71="",LEN(TRIM('Raw Data'!X71))=0),"",IF(AND(ISNUMBER('Raw Data'!X71), IFERROR('Raw Data'!X71 = ROUND('Raw Data'!X71, 2),FALSE)),"",_xlfn.REGEXEXTRACT(CELL("address",X71), "\$([A-Z]+)\$[0-9]+"))),_xlfn.REGEXEXTRACT(CELL("address",X71), "\$([A-Z]+)\$[0-9]+"))</f>
        <v/>
      </c>
      <c r="Y71" s="7" t="str">
        <f t="array" aca="1" ref="Y71" ca="1">IFERROR(IF(OR('Raw Data'!Y71="",LEN(TRIM('Raw Data'!Y71))=0),"",IF(AND(ISNUMBER('Raw Data'!Y71), IFERROR('Raw Data'!Y71 = ROUND('Raw Data'!Y71, 2),FALSE)),"",_xlfn.REGEXEXTRACT(CELL("address",Y71), "\$([A-Z]+)\$[0-9]+"))),_xlfn.REGEXEXTRACT(CELL("address",Y71), "\$([A-Z]+)\$[0-9]+"))</f>
        <v/>
      </c>
      <c r="Z71" s="7" t="str">
        <f t="array" aca="1" ref="Z71" ca="1">IFERROR(IF(OR('Raw Data'!Z71="",LEN(TRIM('Raw Data'!Z71))=0),"",IF(AND(ISNUMBER('Raw Data'!Z71), IFERROR('Raw Data'!Z71 = ROUND('Raw Data'!Z71, 2),FALSE)),"",_xlfn.REGEXEXTRACT(CELL("address",Z71), "\$([A-Z]+)\$[0-9]+"))),_xlfn.REGEXEXTRACT(CELL("address",Z71), "\$([A-Z]+)\$[0-9]+"))</f>
        <v/>
      </c>
      <c r="AA71" s="7" t="str">
        <f t="array" aca="1" ref="AA71" ca="1">IFERROR(IF(OR('Raw Data'!AA71="",LEN(TRIM('Raw Data'!AA71))=0),"",IF(AND(ISNUMBER('Raw Data'!AA71), IFERROR('Raw Data'!AA71 = ROUND('Raw Data'!AA71, 2),FALSE)),"",_xlfn.REGEXEXTRACT(CELL("address",AA71), "\$([A-Z]+)\$[0-9]+"))),_xlfn.REGEXEXTRACT(CELL("address",AA71), "\$([A-Z]+)\$[0-9]+"))</f>
        <v/>
      </c>
      <c r="AB71" s="7" t="str">
        <f t="array" aca="1" ref="AB71" ca="1">IFERROR(IF(OR('Raw Data'!AB71="",LEN(TRIM('Raw Data'!AB71))=0),"",IF(AND(ISNUMBER('Raw Data'!AB71), IFERROR('Raw Data'!AB71 = ROUND('Raw Data'!AB71, 2),FALSE)),"",_xlfn.REGEXEXTRACT(CELL("address",AB71), "\$([A-Z]+)\$[0-9]+"))),_xlfn.REGEXEXTRACT(CELL("address",AB71), "\$([A-Z]+)\$[0-9]+"))</f>
        <v/>
      </c>
      <c r="AC71" s="7" t="str">
        <f t="array" aca="1" ref="AC71" ca="1">IFERROR(IF(OR('Raw Data'!AC71="",LEN(TRIM('Raw Data'!AC71))=0),"",IF(AND(ISNUMBER('Raw Data'!AC71), IFERROR('Raw Data'!AC71 = ROUND('Raw Data'!AC71, 2),FALSE)),"",_xlfn.REGEXEXTRACT(CELL("address",AC71), "\$([A-Z]+)\$[0-9]+"))),_xlfn.REGEXEXTRACT(CELL("address",AC71), "\$([A-Z]+)\$[0-9]+"))</f>
        <v/>
      </c>
      <c r="AD71" s="7" t="str">
        <f t="array" aca="1" ref="AD71" ca="1">IFERROR(IF(OR('Raw Data'!AD71="",LEN(TRIM('Raw Data'!AD71))=0),"",IF(AND(ISNUMBER('Raw Data'!AD71), IFERROR('Raw Data'!AD71 = ROUND('Raw Data'!AD71, 2),FALSE)),"",_xlfn.REGEXEXTRACT(CELL("address",AD71), "\$([A-Z]+)\$[0-9]+"))),_xlfn.REGEXEXTRACT(CELL("address",AD71), "\$([A-Z]+)\$[0-9]+"))</f>
        <v/>
      </c>
      <c r="AE71" s="7" t="str">
        <f t="array" aca="1" ref="AE71" ca="1">IFERROR(IF(OR('Raw Data'!AE71="",LEN(TRIM('Raw Data'!AE71))=0),"",IF(AND(ISNUMBER('Raw Data'!AE71), IFERROR('Raw Data'!AE71 = ROUND('Raw Data'!AE71, 2),FALSE)),"",_xlfn.REGEXEXTRACT(CELL("address",AE71), "\$([A-Z]+)\$[0-9]+"))),_xlfn.REGEXEXTRACT(CELL("address",AE71), "\$([A-Z]+)\$[0-9]+"))</f>
        <v/>
      </c>
      <c r="AF71" s="7" t="str">
        <f t="array" aca="1" ref="AF71" ca="1">IFERROR(IF(OR('Raw Data'!AF71="",LEN(TRIM('Raw Data'!AF71))=0),"",IF(AND(ISNUMBER('Raw Data'!AF71), IFERROR('Raw Data'!AF71 = ROUND('Raw Data'!AF71, 2),FALSE)),"",_xlfn.REGEXEXTRACT(CELL("address",AF71), "\$([A-Z]+)\$[0-9]+"))),_xlfn.REGEXEXTRACT(CELL("address",AF71), "\$([A-Z]+)\$[0-9]+"))</f>
        <v/>
      </c>
      <c r="AG71" s="7" t="str">
        <f t="array" aca="1" ref="AG71" ca="1">IFERROR(IF(OR('Raw Data'!AG71="",LEN(TRIM('Raw Data'!AG71))=0),"",IF(AND(ISNUMBER('Raw Data'!AG71), IFERROR('Raw Data'!AG71 = ROUND('Raw Data'!AG71, 2),FALSE)),"",_xlfn.REGEXEXTRACT(CELL("address",AG71), "\$([A-Z]+)\$[0-9]+"))),_xlfn.REGEXEXTRACT(CELL("address",AG71), "\$([A-Z]+)\$[0-9]+"))</f>
        <v/>
      </c>
      <c r="AH71" s="7" t="str">
        <f t="array" aca="1" ref="AH71" ca="1">IFERROR(IF(OR('Raw Data'!AH71="",LEN(TRIM('Raw Data'!AH71))=0),"",IF(AND(ISNUMBER('Raw Data'!AH71), IFERROR('Raw Data'!AH71 = ROUND('Raw Data'!AH71, 2),FALSE)),"",_xlfn.REGEXEXTRACT(CELL("address",AH71), "\$([A-Z]+)\$[0-9]+"))),_xlfn.REGEXEXTRACT(CELL("address",AH71), "\$([A-Z]+)\$[0-9]+"))</f>
        <v/>
      </c>
      <c r="AI71" s="7" t="str">
        <f t="array" aca="1" ref="AI71" ca="1">IFERROR(IF(OR('Raw Data'!AI71="",LEN(TRIM('Raw Data'!AI71))=0),"",IF(AND(ISNUMBER('Raw Data'!AI71), IFERROR('Raw Data'!AI71 = ROUND('Raw Data'!AI71, 2),FALSE)),"",_xlfn.REGEXEXTRACT(CELL("address",AI71), "\$([A-Z]+)\$[0-9]+"))),_xlfn.REGEXEXTRACT(CELL("address",AI71), "\$([A-Z]+)\$[0-9]+"))</f>
        <v/>
      </c>
      <c r="AJ71" s="7" t="str">
        <f t="array" aca="1" ref="AJ71" ca="1">IFERROR(IF(OR('Raw Data'!AJ71="",LEN(TRIM('Raw Data'!AJ71))=0),"",IF(AND(ISNUMBER('Raw Data'!AJ71), IFERROR('Raw Data'!AJ71 = ROUND('Raw Data'!AJ71, 4),FALSE)),"",_xlfn.REGEXEXTRACT(CELL("address",AJ71), "\$([A-Z]+)\$[0-9]+"))),_xlfn.REGEXEXTRACT(CELL("address",AJ71), "\$([A-Z]+)\$[0-9]+"))</f>
        <v/>
      </c>
      <c r="AK71" s="7" t="str">
        <f t="array" aca="1" ref="AK71" ca="1">IFERROR(IF(OR('Raw Data'!AK71="",LEN(TRIM('Raw Data'!AK71))=0),"",IF(AND(ISNUMBER('Raw Data'!AK71), IFERROR('Raw Data'!AK71 = ROUND('Raw Data'!AK71, 2),FALSE)),"",_xlfn.REGEXEXTRACT(CELL("address",AK71), "\$([A-Z]+)\$[0-9]+"))),_xlfn.REGEXEXTRACT(CELL("address",AK71), "\$([A-Z]+)\$[0-9]+"))</f>
        <v/>
      </c>
      <c r="AL71" s="7" t="str">
        <f t="array" aca="1" ref="AL71" ca="1">IFERROR(IF(OR('Raw Data'!AL71="",LEN(TRIM('Raw Data'!AL71))=0),"",IF(AND(ISNUMBER('Raw Data'!AL71), IFERROR('Raw Data'!AL71 = ROUND('Raw Data'!AL71, 2),FALSE)),"",_xlfn.REGEXEXTRACT(CELL("address",AL71), "\$([A-Z]+)\$[0-9]+"))),_xlfn.REGEXEXTRACT(CELL("address",AL71), "\$([A-Z]+)\$[0-9]+"))</f>
        <v/>
      </c>
      <c r="AM71" s="7" t="str">
        <f t="array" aca="1" ref="AM71" ca="1">IFERROR(IF(OR('Raw Data'!AM71="",LEN(TRIM('Raw Data'!AM71))=0),"",IF(AND(ISNUMBER('Raw Data'!AM71), IFERROR('Raw Data'!AM71 = ROUND('Raw Data'!AM71, 2),FALSE)),"",_xlfn.REGEXEXTRACT(CELL("address",AM71), "\$([A-Z]+)\$[0-9]+"))),_xlfn.REGEXEXTRACT(CELL("address",AM71), "\$([A-Z]+)\$[0-9]+"))</f>
        <v/>
      </c>
      <c r="AN71" s="7" t="str">
        <f t="array" aca="1" ref="AN71" ca="1">IFERROR(IF(OR('Raw Data'!AN71="",LEN(TRIM('Raw Data'!AN71))=0),"",IF(AND(ISNUMBER('Raw Data'!AN71), IFERROR('Raw Data'!AN71 = ROUND('Raw Data'!AN71, 2),FALSE)),"",_xlfn.REGEXEXTRACT(CELL("address",AN71), "\$([A-Z]+)\$[0-9]+"))),_xlfn.REGEXEXTRACT(CELL("address",AN71), "\$([A-Z]+)\$[0-9]+"))</f>
        <v/>
      </c>
      <c r="AO71" s="7" t="str">
        <f t="array" aca="1" ref="AO71" ca="1">IFERROR(IF(OR('Raw Data'!AO71="",LEN(TRIM('Raw Data'!AO71))=0),"",IF(AND(ISNUMBER('Raw Data'!AO71), IFERROR('Raw Data'!AO71 = ROUND('Raw Data'!AO71, 2),FALSE)),"",_xlfn.REGEXEXTRACT(CELL("address",AO71), "\$([A-Z]+)\$[0-9]+"))),_xlfn.REGEXEXTRACT(CELL("address",AO71), "\$([A-Z]+)\$[0-9]+"))</f>
        <v/>
      </c>
      <c r="AP71" s="7" t="str">
        <f t="array" aca="1" ref="AP71" ca="1">IFERROR(IF(OR('Raw Data'!AP71="",LEN(TRIM('Raw Data'!AP71))=0),"",IF(AND(ISNUMBER('Raw Data'!AP71), IFERROR('Raw Data'!AP71 = ROUND('Raw Data'!AP71, 2),FALSE)),"",_xlfn.REGEXEXTRACT(CELL("address",AP71), "\$([A-Z]+)\$[0-9]+"))),_xlfn.REGEXEXTRACT(CELL("address",AP71), "\$([A-Z]+)\$[0-9]+"))</f>
        <v/>
      </c>
    </row>
    <row r="72" spans="2:42" x14ac:dyDescent="0.25">
      <c r="B72" s="7" t="str">
        <f t="array" aca="1" ref="B72" ca="1">IFERROR(IF(OR('Raw Data'!B72="",LEN(TRIM('Raw Data'!B72))=0),"",IF(AND(LEN('Raw Data'!B72) &lt;= 255,LEN('Raw Data'!B72)&gt; 0),"",_xlfn.REGEXEXTRACT(CELL("address",'Raw Data'!B72),"\$([A-Z]+)\$[0-9]+"))),_xlfn.REGEXEXTRACT(CELL("address",'Raw Data'!B72),"\$([A-Z]+)\$[0-9]+"))</f>
        <v/>
      </c>
      <c r="C72" s="7" t="str">
        <f t="array" aca="1" ref="C72" ca="1">IFERROR(IF(OR('Raw Data'!C72="",LEN(TRIM('Raw Data'!C72))=0),"",IF(AND(LEN('Raw Data'!C72) &lt;= 50,LEN('Raw Data'!C72)&gt; 0),"",_xlfn.REGEXEXTRACT(CELL("address",'Raw Data'!C72),"\$([A-Z]+)\$[0-9]+"))),_xlfn.REGEXEXTRACT(CELL("address",'Raw Data'!C72),"\$([A-Z]+)\$[0-9]+"))</f>
        <v/>
      </c>
      <c r="D72" s="7" t="str">
        <f t="array" aca="1" ref="D72" ca="1">IFERROR(IF(OR('Raw Data'!D72="",LEN(TRIM('Raw Data'!D72))=0),"",IF(AND(LEN('Raw Data'!D72) &lt;= 500,LEN('Raw Data'!D72)&gt; 0),"",_xlfn.REGEXEXTRACT(CELL("address",'Raw Data'!D72),"\$([A-Z]+)\$[0-9]+"))),_xlfn.REGEXEXTRACT(CELL("address",'Raw Data'!D72),"\$([A-Z]+)\$[0-9]+"))</f>
        <v/>
      </c>
      <c r="E72" s="7" t="str">
        <f t="array" aca="1" ref="E72" ca="1">IFERROR(IF(OR('Raw Data'!E72="",LEN(TRIM('Raw Data'!E72))=0),"",IF(AND(LEN('Raw Data'!E72) &lt;= 50,LEN('Raw Data'!E72)&gt; 0),"",_xlfn.REGEXEXTRACT(CELL("address",'Raw Data'!E72),"\$([A-Z]+)\$[0-9]+"))),_xlfn.REGEXEXTRACT(CELL("address",'Raw Data'!E72),"\$([A-Z]+)\$[0-9]+"))</f>
        <v/>
      </c>
      <c r="F72" s="7" t="str">
        <f t="array" aca="1" ref="F72" ca="1">IFERROR(IF(OR('Raw Data'!F72="",LEN(TRIM('Raw Data'!F72))=0),"",IF(AND(LEN('Raw Data'!F72) &lt;= 50,LEN('Raw Data'!F72)&gt; 0),"",_xlfn.REGEXEXTRACT(CELL("address",'Raw Data'!F72),"\$([A-Z]+)\$[0-9]+"))),_xlfn.REGEXEXTRACT(CELL("address",'Raw Data'!F72),"\$([A-Z]+)\$[0-9]+"))</f>
        <v/>
      </c>
      <c r="G72" s="7" t="str">
        <f t="array" aca="1" ref="G72" ca="1">IFERROR(IF(OR('Raw Data'!G72="",LEN(TRIM('Raw Data'!G72))=0),"",IF(AND(LEN('Raw Data'!G72) &lt;= 50,LEN('Raw Data'!G72)&gt; 0),"",_xlfn.REGEXEXTRACT(CELL("address",'Raw Data'!G72),"\$([A-Z]+)\$[0-9]+"))),_xlfn.REGEXEXTRACT(CELL("address",'Raw Data'!G72),"\$([A-Z]+)\$[0-9]+"))</f>
        <v/>
      </c>
      <c r="H72" s="7" t="str">
        <f t="array" aca="1" ref="H72" ca="1">IFERROR(IF(OR('Raw Data'!H72="",LEN(TRIM('Raw Data'!H72))=0),"",IF(AND(LEN('Raw Data'!H72) &lt;= 50,LEN('Raw Data'!H72)&gt; 0),"",_xlfn.REGEXEXTRACT(CELL("address",'Raw Data'!H72),"\$([A-Z]+)\$[0-9]+"))),_xlfn.REGEXEXTRACT(CELL("address",'Raw Data'!H72),"\$([A-Z]+)\$[0-9]+"))</f>
        <v/>
      </c>
      <c r="I72" s="7" t="str">
        <f t="array" aca="1" ref="I72" ca="1">IFERROR(IF(OR('Raw Data'!I72="",LEN(TRIM('Raw Data'!I72))=0),"",IF(AND(LEN('Raw Data'!I72) &lt;= 50,LEN('Raw Data'!I72)&gt; 0),"",_xlfn.REGEXEXTRACT(CELL("address",'Raw Data'!I72),"\$([A-Z]+)\$[0-9]+"))),_xlfn.REGEXEXTRACT(CELL("address",'Raw Data'!I72),"\$([A-Z]+)\$[0-9]+"))</f>
        <v/>
      </c>
      <c r="J72" s="7" t="str">
        <f t="array" aca="1" ref="J72" ca="1">IFERROR(IF(OR('Raw Data'!J72="",LEN(TRIM('Raw Data'!J72))=0),"",IF(AND(ISNUMBER('Raw Data'!J72), IFERROR('Raw Data'!J72 = ROUND('Raw Data'!J72, 2),FALSE)),"",_xlfn.REGEXEXTRACT(CELL("address",J72), "\$([A-Z]+)\$[0-9]+"))),_xlfn.REGEXEXTRACT(CELL("address",J72), "\$([A-Z]+)\$[0-9]+"))</f>
        <v/>
      </c>
      <c r="K72" s="7" t="str">
        <f t="array" aca="1" ref="K72" ca="1">IFERROR(IF(OR('Raw Data'!K72="",LEN(TRIM('Raw Data'!K72))=0),"",IF(AND(ISNUMBER('Raw Data'!K72), IFERROR('Raw Data'!K72 = ROUND('Raw Data'!K72, 2),FALSE)),"",_xlfn.REGEXEXTRACT(CELL("address",K72), "\$([A-Z]+)\$[0-9]+"))),_xlfn.REGEXEXTRACT(CELL("address",K72), "\$([A-Z]+)\$[0-9]+"))</f>
        <v/>
      </c>
      <c r="L72" s="7" t="str">
        <f t="array" aca="1" ref="L72" ca="1">IFERROR(IF(OR('Raw Data'!L72="",LEN(TRIM('Raw Data'!L72))=0),"",IF(AND(ISNUMBER('Raw Data'!L72), IFERROR('Raw Data'!L72 = ROUND('Raw Data'!L72, 2),FALSE)),"",_xlfn.REGEXEXTRACT(CELL("address",L72), "\$([A-Z]+)\$[0-9]+"))),_xlfn.REGEXEXTRACT(CELL("address",L72), "\$([A-Z]+)\$[0-9]+"))</f>
        <v/>
      </c>
      <c r="M72" s="7" t="str">
        <f t="array" aca="1" ref="M72" ca="1">IFERROR(IF(OR('Raw Data'!M72="",LEN(TRIM('Raw Data'!M72))=0),"",IF(AND(ISNUMBER('Raw Data'!M72), IFERROR('Raw Data'!M72 = ROUND('Raw Data'!M72, 2),FALSE)),"",_xlfn.REGEXEXTRACT(CELL("address",M72), "\$([A-Z]+)\$[0-9]+"))),_xlfn.REGEXEXTRACT(CELL("address",M72), "\$([A-Z]+)\$[0-9]+"))</f>
        <v/>
      </c>
      <c r="N72" s="7" t="str">
        <f t="array" aca="1" ref="N72" ca="1">IFERROR(IF(OR('Raw Data'!N72="",LEN(TRIM('Raw Data'!N72))=0),"",IF(AND(ISNUMBER('Raw Data'!N72), IFERROR('Raw Data'!N72 = ROUND('Raw Data'!N72, 2),FALSE)),"",_xlfn.REGEXEXTRACT(CELL("address",N72), "\$([A-Z]+)\$[0-9]+"))),_xlfn.REGEXEXTRACT(CELL("address",N72), "\$([A-Z]+)\$[0-9]+"))</f>
        <v/>
      </c>
      <c r="O72" s="7" t="str">
        <f t="array" aca="1" ref="O72" ca="1">IFERROR(IF(OR('Raw Data'!O72="",LEN(TRIM('Raw Data'!O72))=0),"",IF(AND(ISNUMBER('Raw Data'!O72),'Raw Data'!O72&gt;=Configuration!$D$2),"",_xlfn.REGEXEXTRACT(CELL("address",'Raw Data'!O72),"\$([A-Z]+)\$[0-9]+"))),_xlfn.REGEXEXTRACT(CELL("address",O72), "\$([A-Z]+)\$[0-9]+"))</f>
        <v/>
      </c>
      <c r="P72" s="7" t="str">
        <f t="array" aca="1" ref="P72" ca="1">IFERROR(IF(OR('Raw Data'!P72="",LEN(TRIM('Raw Data'!P72))=0),"",IF(AND(ISNUMBER('Raw Data'!P72), IFERROR('Raw Data'!P72 = ROUND('Raw Data'!P72, 2),FALSE)),"",_xlfn.REGEXEXTRACT(CELL("address",P72), "\$([A-Z]+)\$[0-9]+"))),_xlfn.REGEXEXTRACT(CELL("address",P72), "\$([A-Z]+)\$[0-9]+"))</f>
        <v/>
      </c>
      <c r="Q72" s="7" t="str">
        <f t="array" aca="1" ref="Q72" ca="1">IFERROR(IF(OR('Raw Data'!Q72="",LEN(TRIM('Raw Data'!Q72))=0),"",IF(AND(ISNUMBER('Raw Data'!Q72), IFERROR('Raw Data'!Q72 = ROUND('Raw Data'!Q72, 2),FALSE)),"",_xlfn.REGEXEXTRACT(CELL("address",Q72), "\$([A-Z]+)\$[0-9]+"))),_xlfn.REGEXEXTRACT(CELL("address",Q72), "\$([A-Z]+)\$[0-9]+"))</f>
        <v/>
      </c>
      <c r="R72" s="7" t="str">
        <f t="array" aca="1" ref="R72" ca="1">IFERROR(IF(OR('Raw Data'!R72="",LEN(TRIM('Raw Data'!R72))=0),"",IF(AND(LEN('Raw Data'!R72) &lt;= 50,LEN('Raw Data'!R72)&gt; 0),"",_xlfn.REGEXEXTRACT(CELL("address",'Raw Data'!R72),"\$([A-Z]+)\$[0-9]+"))),_xlfn.REGEXEXTRACT(CELL("address",'Raw Data'!R72),"\$([A-Z]+)\$[0-9]+"))</f>
        <v/>
      </c>
      <c r="S72" s="7" t="str">
        <f t="array" aca="1" ref="S72" ca="1">IFERROR(IF(OR('Raw Data'!S72="",LEN(TRIM('Raw Data'!S72))=0),"",IF(AND(LEN('Raw Data'!S72) &lt;= 50,LEN('Raw Data'!S72)&gt; 0),"",_xlfn.REGEXEXTRACT(CELL("address",'Raw Data'!S72),"\$([A-Z]+)\$[0-9]+"))),_xlfn.REGEXEXTRACT(CELL("address",'Raw Data'!S72),"\$([A-Z]+)\$[0-9]+"))</f>
        <v/>
      </c>
      <c r="T72" s="7" t="str">
        <f t="array" aca="1" ref="T72" ca="1">IFERROR(IF(OR('Raw Data'!T72="",LEN(TRIM('Raw Data'!T72))=0),"",IF(AND(ISNUMBER('Raw Data'!T72), IFERROR('Raw Data'!T72 = ROUND('Raw Data'!T72, 2),FALSE)),"",_xlfn.REGEXEXTRACT(CELL("address",T72), "\$([A-Z]+)\$[0-9]+"))),_xlfn.REGEXEXTRACT(CELL("address",T72), "\$([A-Z]+)\$[0-9]+"))</f>
        <v/>
      </c>
      <c r="U72" s="7" t="str">
        <f t="array" aca="1" ref="U72" ca="1">IFERROR(IF(OR('Raw Data'!U72="",LEN(TRIM('Raw Data'!U72))=0),"",IF(AND(ISNUMBER('Raw Data'!U72), IFERROR('Raw Data'!U72 = ROUND('Raw Data'!U72, 2),FALSE)),"",_xlfn.REGEXEXTRACT(CELL("address",U72), "\$([A-Z]+)\$[0-9]+"))),_xlfn.REGEXEXTRACT(CELL("address",U72), "\$([A-Z]+)\$[0-9]+"))</f>
        <v/>
      </c>
      <c r="V72" s="7" t="str">
        <f t="array" aca="1" ref="V72" ca="1">IFERROR(IF(OR('Raw Data'!V72="",LEN(TRIM('Raw Data'!V72))=0),"",IF(AND(ISNUMBER('Raw Data'!V72), IFERROR('Raw Data'!V72 = ROUND('Raw Data'!V72, 2),FALSE)),"",_xlfn.REGEXEXTRACT(CELL("address",V72), "\$([A-Z]+)\$[0-9]+"))),_xlfn.REGEXEXTRACT(CELL("address",V72), "\$([A-Z]+)\$[0-9]+"))</f>
        <v/>
      </c>
      <c r="W72" s="7" t="str">
        <f t="array" aca="1" ref="W72" ca="1">IFERROR(IF(OR('Raw Data'!W72="",LEN(TRIM('Raw Data'!W72))=0),"",IF(AND(ISNUMBER('Raw Data'!W72), IFERROR('Raw Data'!W72 = ROUND('Raw Data'!W72, 2),FALSE)),"",_xlfn.REGEXEXTRACT(CELL("address",W72), "\$([A-Z]+)\$[0-9]+"))),_xlfn.REGEXEXTRACT(CELL("address",W72), "\$([A-Z]+)\$[0-9]+"))</f>
        <v/>
      </c>
      <c r="X72" s="7" t="str">
        <f t="array" aca="1" ref="X72" ca="1">IFERROR(IF(OR('Raw Data'!X72="",LEN(TRIM('Raw Data'!X72))=0),"",IF(AND(ISNUMBER('Raw Data'!X72), IFERROR('Raw Data'!X72 = ROUND('Raw Data'!X72, 2),FALSE)),"",_xlfn.REGEXEXTRACT(CELL("address",X72), "\$([A-Z]+)\$[0-9]+"))),_xlfn.REGEXEXTRACT(CELL("address",X72), "\$([A-Z]+)\$[0-9]+"))</f>
        <v/>
      </c>
      <c r="Y72" s="7" t="str">
        <f t="array" aca="1" ref="Y72" ca="1">IFERROR(IF(OR('Raw Data'!Y72="",LEN(TRIM('Raw Data'!Y72))=0),"",IF(AND(ISNUMBER('Raw Data'!Y72), IFERROR('Raw Data'!Y72 = ROUND('Raw Data'!Y72, 2),FALSE)),"",_xlfn.REGEXEXTRACT(CELL("address",Y72), "\$([A-Z]+)\$[0-9]+"))),_xlfn.REGEXEXTRACT(CELL("address",Y72), "\$([A-Z]+)\$[0-9]+"))</f>
        <v/>
      </c>
      <c r="Z72" s="7" t="str">
        <f t="array" aca="1" ref="Z72" ca="1">IFERROR(IF(OR('Raw Data'!Z72="",LEN(TRIM('Raw Data'!Z72))=0),"",IF(AND(ISNUMBER('Raw Data'!Z72), IFERROR('Raw Data'!Z72 = ROUND('Raw Data'!Z72, 2),FALSE)),"",_xlfn.REGEXEXTRACT(CELL("address",Z72), "\$([A-Z]+)\$[0-9]+"))),_xlfn.REGEXEXTRACT(CELL("address",Z72), "\$([A-Z]+)\$[0-9]+"))</f>
        <v/>
      </c>
      <c r="AA72" s="7" t="str">
        <f t="array" aca="1" ref="AA72" ca="1">IFERROR(IF(OR('Raw Data'!AA72="",LEN(TRIM('Raw Data'!AA72))=0),"",IF(AND(ISNUMBER('Raw Data'!AA72), IFERROR('Raw Data'!AA72 = ROUND('Raw Data'!AA72, 2),FALSE)),"",_xlfn.REGEXEXTRACT(CELL("address",AA72), "\$([A-Z]+)\$[0-9]+"))),_xlfn.REGEXEXTRACT(CELL("address",AA72), "\$([A-Z]+)\$[0-9]+"))</f>
        <v/>
      </c>
      <c r="AB72" s="7" t="str">
        <f t="array" aca="1" ref="AB72" ca="1">IFERROR(IF(OR('Raw Data'!AB72="",LEN(TRIM('Raw Data'!AB72))=0),"",IF(AND(ISNUMBER('Raw Data'!AB72), IFERROR('Raw Data'!AB72 = ROUND('Raw Data'!AB72, 2),FALSE)),"",_xlfn.REGEXEXTRACT(CELL("address",AB72), "\$([A-Z]+)\$[0-9]+"))),_xlfn.REGEXEXTRACT(CELL("address",AB72), "\$([A-Z]+)\$[0-9]+"))</f>
        <v/>
      </c>
      <c r="AC72" s="7" t="str">
        <f t="array" aca="1" ref="AC72" ca="1">IFERROR(IF(OR('Raw Data'!AC72="",LEN(TRIM('Raw Data'!AC72))=0),"",IF(AND(ISNUMBER('Raw Data'!AC72), IFERROR('Raw Data'!AC72 = ROUND('Raw Data'!AC72, 2),FALSE)),"",_xlfn.REGEXEXTRACT(CELL("address",AC72), "\$([A-Z]+)\$[0-9]+"))),_xlfn.REGEXEXTRACT(CELL("address",AC72), "\$([A-Z]+)\$[0-9]+"))</f>
        <v/>
      </c>
      <c r="AD72" s="7" t="str">
        <f t="array" aca="1" ref="AD72" ca="1">IFERROR(IF(OR('Raw Data'!AD72="",LEN(TRIM('Raw Data'!AD72))=0),"",IF(AND(ISNUMBER('Raw Data'!AD72), IFERROR('Raw Data'!AD72 = ROUND('Raw Data'!AD72, 2),FALSE)),"",_xlfn.REGEXEXTRACT(CELL("address",AD72), "\$([A-Z]+)\$[0-9]+"))),_xlfn.REGEXEXTRACT(CELL("address",AD72), "\$([A-Z]+)\$[0-9]+"))</f>
        <v/>
      </c>
      <c r="AE72" s="7" t="str">
        <f t="array" aca="1" ref="AE72" ca="1">IFERROR(IF(OR('Raw Data'!AE72="",LEN(TRIM('Raw Data'!AE72))=0),"",IF(AND(ISNUMBER('Raw Data'!AE72), IFERROR('Raw Data'!AE72 = ROUND('Raw Data'!AE72, 2),FALSE)),"",_xlfn.REGEXEXTRACT(CELL("address",AE72), "\$([A-Z]+)\$[0-9]+"))),_xlfn.REGEXEXTRACT(CELL("address",AE72), "\$([A-Z]+)\$[0-9]+"))</f>
        <v/>
      </c>
      <c r="AF72" s="7" t="str">
        <f t="array" aca="1" ref="AF72" ca="1">IFERROR(IF(OR('Raw Data'!AF72="",LEN(TRIM('Raw Data'!AF72))=0),"",IF(AND(ISNUMBER('Raw Data'!AF72), IFERROR('Raw Data'!AF72 = ROUND('Raw Data'!AF72, 2),FALSE)),"",_xlfn.REGEXEXTRACT(CELL("address",AF72), "\$([A-Z]+)\$[0-9]+"))),_xlfn.REGEXEXTRACT(CELL("address",AF72), "\$([A-Z]+)\$[0-9]+"))</f>
        <v/>
      </c>
      <c r="AG72" s="7" t="str">
        <f t="array" aca="1" ref="AG72" ca="1">IFERROR(IF(OR('Raw Data'!AG72="",LEN(TRIM('Raw Data'!AG72))=0),"",IF(AND(ISNUMBER('Raw Data'!AG72), IFERROR('Raw Data'!AG72 = ROUND('Raw Data'!AG72, 2),FALSE)),"",_xlfn.REGEXEXTRACT(CELL("address",AG72), "\$([A-Z]+)\$[0-9]+"))),_xlfn.REGEXEXTRACT(CELL("address",AG72), "\$([A-Z]+)\$[0-9]+"))</f>
        <v/>
      </c>
      <c r="AH72" s="7" t="str">
        <f t="array" aca="1" ref="AH72" ca="1">IFERROR(IF(OR('Raw Data'!AH72="",LEN(TRIM('Raw Data'!AH72))=0),"",IF(AND(ISNUMBER('Raw Data'!AH72), IFERROR('Raw Data'!AH72 = ROUND('Raw Data'!AH72, 2),FALSE)),"",_xlfn.REGEXEXTRACT(CELL("address",AH72), "\$([A-Z]+)\$[0-9]+"))),_xlfn.REGEXEXTRACT(CELL("address",AH72), "\$([A-Z]+)\$[0-9]+"))</f>
        <v/>
      </c>
      <c r="AI72" s="7" t="str">
        <f t="array" aca="1" ref="AI72" ca="1">IFERROR(IF(OR('Raw Data'!AI72="",LEN(TRIM('Raw Data'!AI72))=0),"",IF(AND(ISNUMBER('Raw Data'!AI72), IFERROR('Raw Data'!AI72 = ROUND('Raw Data'!AI72, 2),FALSE)),"",_xlfn.REGEXEXTRACT(CELL("address",AI72), "\$([A-Z]+)\$[0-9]+"))),_xlfn.REGEXEXTRACT(CELL("address",AI72), "\$([A-Z]+)\$[0-9]+"))</f>
        <v/>
      </c>
      <c r="AJ72" s="7" t="str">
        <f t="array" aca="1" ref="AJ72" ca="1">IFERROR(IF(OR('Raw Data'!AJ72="",LEN(TRIM('Raw Data'!AJ72))=0),"",IF(AND(ISNUMBER('Raw Data'!AJ72), IFERROR('Raw Data'!AJ72 = ROUND('Raw Data'!AJ72, 4),FALSE)),"",_xlfn.REGEXEXTRACT(CELL("address",AJ72), "\$([A-Z]+)\$[0-9]+"))),_xlfn.REGEXEXTRACT(CELL("address",AJ72), "\$([A-Z]+)\$[0-9]+"))</f>
        <v/>
      </c>
      <c r="AK72" s="7" t="str">
        <f t="array" aca="1" ref="AK72" ca="1">IFERROR(IF(OR('Raw Data'!AK72="",LEN(TRIM('Raw Data'!AK72))=0),"",IF(AND(ISNUMBER('Raw Data'!AK72), IFERROR('Raw Data'!AK72 = ROUND('Raw Data'!AK72, 2),FALSE)),"",_xlfn.REGEXEXTRACT(CELL("address",AK72), "\$([A-Z]+)\$[0-9]+"))),_xlfn.REGEXEXTRACT(CELL("address",AK72), "\$([A-Z]+)\$[0-9]+"))</f>
        <v/>
      </c>
      <c r="AL72" s="7" t="str">
        <f t="array" aca="1" ref="AL72" ca="1">IFERROR(IF(OR('Raw Data'!AL72="",LEN(TRIM('Raw Data'!AL72))=0),"",IF(AND(ISNUMBER('Raw Data'!AL72), IFERROR('Raw Data'!AL72 = ROUND('Raw Data'!AL72, 2),FALSE)),"",_xlfn.REGEXEXTRACT(CELL("address",AL72), "\$([A-Z]+)\$[0-9]+"))),_xlfn.REGEXEXTRACT(CELL("address",AL72), "\$([A-Z]+)\$[0-9]+"))</f>
        <v/>
      </c>
      <c r="AM72" s="7" t="str">
        <f t="array" aca="1" ref="AM72" ca="1">IFERROR(IF(OR('Raw Data'!AM72="",LEN(TRIM('Raw Data'!AM72))=0),"",IF(AND(ISNUMBER('Raw Data'!AM72), IFERROR('Raw Data'!AM72 = ROUND('Raw Data'!AM72, 2),FALSE)),"",_xlfn.REGEXEXTRACT(CELL("address",AM72), "\$([A-Z]+)\$[0-9]+"))),_xlfn.REGEXEXTRACT(CELL("address",AM72), "\$([A-Z]+)\$[0-9]+"))</f>
        <v/>
      </c>
      <c r="AN72" s="7" t="str">
        <f t="array" aca="1" ref="AN72" ca="1">IFERROR(IF(OR('Raw Data'!AN72="",LEN(TRIM('Raw Data'!AN72))=0),"",IF(AND(ISNUMBER('Raw Data'!AN72), IFERROR('Raw Data'!AN72 = ROUND('Raw Data'!AN72, 2),FALSE)),"",_xlfn.REGEXEXTRACT(CELL("address",AN72), "\$([A-Z]+)\$[0-9]+"))),_xlfn.REGEXEXTRACT(CELL("address",AN72), "\$([A-Z]+)\$[0-9]+"))</f>
        <v/>
      </c>
      <c r="AO72" s="7" t="str">
        <f t="array" aca="1" ref="AO72" ca="1">IFERROR(IF(OR('Raw Data'!AO72="",LEN(TRIM('Raw Data'!AO72))=0),"",IF(AND(ISNUMBER('Raw Data'!AO72), IFERROR('Raw Data'!AO72 = ROUND('Raw Data'!AO72, 2),FALSE)),"",_xlfn.REGEXEXTRACT(CELL("address",AO72), "\$([A-Z]+)\$[0-9]+"))),_xlfn.REGEXEXTRACT(CELL("address",AO72), "\$([A-Z]+)\$[0-9]+"))</f>
        <v/>
      </c>
      <c r="AP72" s="7" t="str">
        <f t="array" aca="1" ref="AP72" ca="1">IFERROR(IF(OR('Raw Data'!AP72="",LEN(TRIM('Raw Data'!AP72))=0),"",IF(AND(ISNUMBER('Raw Data'!AP72), IFERROR('Raw Data'!AP72 = ROUND('Raw Data'!AP72, 2),FALSE)),"",_xlfn.REGEXEXTRACT(CELL("address",AP72), "\$([A-Z]+)\$[0-9]+"))),_xlfn.REGEXEXTRACT(CELL("address",AP72), "\$([A-Z]+)\$[0-9]+"))</f>
        <v/>
      </c>
    </row>
    <row r="73" spans="2:42" x14ac:dyDescent="0.25">
      <c r="B73" s="7" t="str">
        <f t="array" aca="1" ref="B73" ca="1">IFERROR(IF(OR('Raw Data'!B73="",LEN(TRIM('Raw Data'!B73))=0),"",IF(AND(LEN('Raw Data'!B73) &lt;= 255,LEN('Raw Data'!B73)&gt; 0),"",_xlfn.REGEXEXTRACT(CELL("address",'Raw Data'!B73),"\$([A-Z]+)\$[0-9]+"))),_xlfn.REGEXEXTRACT(CELL("address",'Raw Data'!B73),"\$([A-Z]+)\$[0-9]+"))</f>
        <v/>
      </c>
      <c r="C73" s="7" t="str">
        <f t="array" aca="1" ref="C73" ca="1">IFERROR(IF(OR('Raw Data'!C73="",LEN(TRIM('Raw Data'!C73))=0),"",IF(AND(LEN('Raw Data'!C73) &lt;= 50,LEN('Raw Data'!C73)&gt; 0),"",_xlfn.REGEXEXTRACT(CELL("address",'Raw Data'!C73),"\$([A-Z]+)\$[0-9]+"))),_xlfn.REGEXEXTRACT(CELL("address",'Raw Data'!C73),"\$([A-Z]+)\$[0-9]+"))</f>
        <v/>
      </c>
      <c r="D73" s="7" t="str">
        <f t="array" aca="1" ref="D73" ca="1">IFERROR(IF(OR('Raw Data'!D73="",LEN(TRIM('Raw Data'!D73))=0),"",IF(AND(LEN('Raw Data'!D73) &lt;= 500,LEN('Raw Data'!D73)&gt; 0),"",_xlfn.REGEXEXTRACT(CELL("address",'Raw Data'!D73),"\$([A-Z]+)\$[0-9]+"))),_xlfn.REGEXEXTRACT(CELL("address",'Raw Data'!D73),"\$([A-Z]+)\$[0-9]+"))</f>
        <v/>
      </c>
      <c r="E73" s="7" t="str">
        <f t="array" aca="1" ref="E73" ca="1">IFERROR(IF(OR('Raw Data'!E73="",LEN(TRIM('Raw Data'!E73))=0),"",IF(AND(LEN('Raw Data'!E73) &lt;= 50,LEN('Raw Data'!E73)&gt; 0),"",_xlfn.REGEXEXTRACT(CELL("address",'Raw Data'!E73),"\$([A-Z]+)\$[0-9]+"))),_xlfn.REGEXEXTRACT(CELL("address",'Raw Data'!E73),"\$([A-Z]+)\$[0-9]+"))</f>
        <v/>
      </c>
      <c r="F73" s="7" t="str">
        <f t="array" aca="1" ref="F73" ca="1">IFERROR(IF(OR('Raw Data'!F73="",LEN(TRIM('Raw Data'!F73))=0),"",IF(AND(LEN('Raw Data'!F73) &lt;= 50,LEN('Raw Data'!F73)&gt; 0),"",_xlfn.REGEXEXTRACT(CELL("address",'Raw Data'!F73),"\$([A-Z]+)\$[0-9]+"))),_xlfn.REGEXEXTRACT(CELL("address",'Raw Data'!F73),"\$([A-Z]+)\$[0-9]+"))</f>
        <v/>
      </c>
      <c r="G73" s="7" t="str">
        <f t="array" aca="1" ref="G73" ca="1">IFERROR(IF(OR('Raw Data'!G73="",LEN(TRIM('Raw Data'!G73))=0),"",IF(AND(LEN('Raw Data'!G73) &lt;= 50,LEN('Raw Data'!G73)&gt; 0),"",_xlfn.REGEXEXTRACT(CELL("address",'Raw Data'!G73),"\$([A-Z]+)\$[0-9]+"))),_xlfn.REGEXEXTRACT(CELL("address",'Raw Data'!G73),"\$([A-Z]+)\$[0-9]+"))</f>
        <v/>
      </c>
      <c r="H73" s="7" t="str">
        <f t="array" aca="1" ref="H73" ca="1">IFERROR(IF(OR('Raw Data'!H73="",LEN(TRIM('Raw Data'!H73))=0),"",IF(AND(LEN('Raw Data'!H73) &lt;= 50,LEN('Raw Data'!H73)&gt; 0),"",_xlfn.REGEXEXTRACT(CELL("address",'Raw Data'!H73),"\$([A-Z]+)\$[0-9]+"))),_xlfn.REGEXEXTRACT(CELL("address",'Raw Data'!H73),"\$([A-Z]+)\$[0-9]+"))</f>
        <v/>
      </c>
      <c r="I73" s="7" t="str">
        <f t="array" aca="1" ref="I73" ca="1">IFERROR(IF(OR('Raw Data'!I73="",LEN(TRIM('Raw Data'!I73))=0),"",IF(AND(LEN('Raw Data'!I73) &lt;= 50,LEN('Raw Data'!I73)&gt; 0),"",_xlfn.REGEXEXTRACT(CELL("address",'Raw Data'!I73),"\$([A-Z]+)\$[0-9]+"))),_xlfn.REGEXEXTRACT(CELL("address",'Raw Data'!I73),"\$([A-Z]+)\$[0-9]+"))</f>
        <v/>
      </c>
      <c r="J73" s="7" t="str">
        <f t="array" aca="1" ref="J73" ca="1">IFERROR(IF(OR('Raw Data'!J73="",LEN(TRIM('Raw Data'!J73))=0),"",IF(AND(ISNUMBER('Raw Data'!J73), IFERROR('Raw Data'!J73 = ROUND('Raw Data'!J73, 2),FALSE)),"",_xlfn.REGEXEXTRACT(CELL("address",J73), "\$([A-Z]+)\$[0-9]+"))),_xlfn.REGEXEXTRACT(CELL("address",J73), "\$([A-Z]+)\$[0-9]+"))</f>
        <v/>
      </c>
      <c r="K73" s="7" t="str">
        <f t="array" aca="1" ref="K73" ca="1">IFERROR(IF(OR('Raw Data'!K73="",LEN(TRIM('Raw Data'!K73))=0),"",IF(AND(ISNUMBER('Raw Data'!K73), IFERROR('Raw Data'!K73 = ROUND('Raw Data'!K73, 2),FALSE)),"",_xlfn.REGEXEXTRACT(CELL("address",K73), "\$([A-Z]+)\$[0-9]+"))),_xlfn.REGEXEXTRACT(CELL("address",K73), "\$([A-Z]+)\$[0-9]+"))</f>
        <v/>
      </c>
      <c r="L73" s="7" t="str">
        <f t="array" aca="1" ref="L73" ca="1">IFERROR(IF(OR('Raw Data'!L73="",LEN(TRIM('Raw Data'!L73))=0),"",IF(AND(ISNUMBER('Raw Data'!L73), IFERROR('Raw Data'!L73 = ROUND('Raw Data'!L73, 2),FALSE)),"",_xlfn.REGEXEXTRACT(CELL("address",L73), "\$([A-Z]+)\$[0-9]+"))),_xlfn.REGEXEXTRACT(CELL("address",L73), "\$([A-Z]+)\$[0-9]+"))</f>
        <v/>
      </c>
      <c r="M73" s="7" t="str">
        <f t="array" aca="1" ref="M73" ca="1">IFERROR(IF(OR('Raw Data'!M73="",LEN(TRIM('Raw Data'!M73))=0),"",IF(AND(ISNUMBER('Raw Data'!M73), IFERROR('Raw Data'!M73 = ROUND('Raw Data'!M73, 2),FALSE)),"",_xlfn.REGEXEXTRACT(CELL("address",M73), "\$([A-Z]+)\$[0-9]+"))),_xlfn.REGEXEXTRACT(CELL("address",M73), "\$([A-Z]+)\$[0-9]+"))</f>
        <v/>
      </c>
      <c r="N73" s="7" t="str">
        <f t="array" aca="1" ref="N73" ca="1">IFERROR(IF(OR('Raw Data'!N73="",LEN(TRIM('Raw Data'!N73))=0),"",IF(AND(ISNUMBER('Raw Data'!N73), IFERROR('Raw Data'!N73 = ROUND('Raw Data'!N73, 2),FALSE)),"",_xlfn.REGEXEXTRACT(CELL("address",N73), "\$([A-Z]+)\$[0-9]+"))),_xlfn.REGEXEXTRACT(CELL("address",N73), "\$([A-Z]+)\$[0-9]+"))</f>
        <v/>
      </c>
      <c r="O73" s="7" t="str">
        <f t="array" aca="1" ref="O73" ca="1">IFERROR(IF(OR('Raw Data'!O73="",LEN(TRIM('Raw Data'!O73))=0),"",IF(AND(ISNUMBER('Raw Data'!O73),'Raw Data'!O73&gt;=Configuration!$D$2),"",_xlfn.REGEXEXTRACT(CELL("address",'Raw Data'!O73),"\$([A-Z]+)\$[0-9]+"))),_xlfn.REGEXEXTRACT(CELL("address",O73), "\$([A-Z]+)\$[0-9]+"))</f>
        <v/>
      </c>
      <c r="P73" s="7" t="str">
        <f t="array" aca="1" ref="P73" ca="1">IFERROR(IF(OR('Raw Data'!P73="",LEN(TRIM('Raw Data'!P73))=0),"",IF(AND(ISNUMBER('Raw Data'!P73), IFERROR('Raw Data'!P73 = ROUND('Raw Data'!P73, 2),FALSE)),"",_xlfn.REGEXEXTRACT(CELL("address",P73), "\$([A-Z]+)\$[0-9]+"))),_xlfn.REGEXEXTRACT(CELL("address",P73), "\$([A-Z]+)\$[0-9]+"))</f>
        <v/>
      </c>
      <c r="Q73" s="7" t="str">
        <f t="array" aca="1" ref="Q73" ca="1">IFERROR(IF(OR('Raw Data'!Q73="",LEN(TRIM('Raw Data'!Q73))=0),"",IF(AND(ISNUMBER('Raw Data'!Q73), IFERROR('Raw Data'!Q73 = ROUND('Raw Data'!Q73, 2),FALSE)),"",_xlfn.REGEXEXTRACT(CELL("address",Q73), "\$([A-Z]+)\$[0-9]+"))),_xlfn.REGEXEXTRACT(CELL("address",Q73), "\$([A-Z]+)\$[0-9]+"))</f>
        <v/>
      </c>
      <c r="R73" s="7" t="str">
        <f t="array" aca="1" ref="R73" ca="1">IFERROR(IF(OR('Raw Data'!R73="",LEN(TRIM('Raw Data'!R73))=0),"",IF(AND(LEN('Raw Data'!R73) &lt;= 50,LEN('Raw Data'!R73)&gt; 0),"",_xlfn.REGEXEXTRACT(CELL("address",'Raw Data'!R73),"\$([A-Z]+)\$[0-9]+"))),_xlfn.REGEXEXTRACT(CELL("address",'Raw Data'!R73),"\$([A-Z]+)\$[0-9]+"))</f>
        <v/>
      </c>
      <c r="S73" s="7" t="str">
        <f t="array" aca="1" ref="S73" ca="1">IFERROR(IF(OR('Raw Data'!S73="",LEN(TRIM('Raw Data'!S73))=0),"",IF(AND(LEN('Raw Data'!S73) &lt;= 50,LEN('Raw Data'!S73)&gt; 0),"",_xlfn.REGEXEXTRACT(CELL("address",'Raw Data'!S73),"\$([A-Z]+)\$[0-9]+"))),_xlfn.REGEXEXTRACT(CELL("address",'Raw Data'!S73),"\$([A-Z]+)\$[0-9]+"))</f>
        <v/>
      </c>
      <c r="T73" s="7" t="str">
        <f t="array" aca="1" ref="T73" ca="1">IFERROR(IF(OR('Raw Data'!T73="",LEN(TRIM('Raw Data'!T73))=0),"",IF(AND(ISNUMBER('Raw Data'!T73), IFERROR('Raw Data'!T73 = ROUND('Raw Data'!T73, 2),FALSE)),"",_xlfn.REGEXEXTRACT(CELL("address",T73), "\$([A-Z]+)\$[0-9]+"))),_xlfn.REGEXEXTRACT(CELL("address",T73), "\$([A-Z]+)\$[0-9]+"))</f>
        <v/>
      </c>
      <c r="U73" s="7" t="str">
        <f t="array" aca="1" ref="U73" ca="1">IFERROR(IF(OR('Raw Data'!U73="",LEN(TRIM('Raw Data'!U73))=0),"",IF(AND(ISNUMBER('Raw Data'!U73), IFERROR('Raw Data'!U73 = ROUND('Raw Data'!U73, 2),FALSE)),"",_xlfn.REGEXEXTRACT(CELL("address",U73), "\$([A-Z]+)\$[0-9]+"))),_xlfn.REGEXEXTRACT(CELL("address",U73), "\$([A-Z]+)\$[0-9]+"))</f>
        <v/>
      </c>
      <c r="V73" s="7" t="str">
        <f t="array" aca="1" ref="V73" ca="1">IFERROR(IF(OR('Raw Data'!V73="",LEN(TRIM('Raw Data'!V73))=0),"",IF(AND(ISNUMBER('Raw Data'!V73), IFERROR('Raw Data'!V73 = ROUND('Raw Data'!V73, 2),FALSE)),"",_xlfn.REGEXEXTRACT(CELL("address",V73), "\$([A-Z]+)\$[0-9]+"))),_xlfn.REGEXEXTRACT(CELL("address",V73), "\$([A-Z]+)\$[0-9]+"))</f>
        <v/>
      </c>
      <c r="W73" s="7" t="str">
        <f t="array" aca="1" ref="W73" ca="1">IFERROR(IF(OR('Raw Data'!W73="",LEN(TRIM('Raw Data'!W73))=0),"",IF(AND(ISNUMBER('Raw Data'!W73), IFERROR('Raw Data'!W73 = ROUND('Raw Data'!W73, 2),FALSE)),"",_xlfn.REGEXEXTRACT(CELL("address",W73), "\$([A-Z]+)\$[0-9]+"))),_xlfn.REGEXEXTRACT(CELL("address",W73), "\$([A-Z]+)\$[0-9]+"))</f>
        <v/>
      </c>
      <c r="X73" s="7" t="str">
        <f t="array" aca="1" ref="X73" ca="1">IFERROR(IF(OR('Raw Data'!X73="",LEN(TRIM('Raw Data'!X73))=0),"",IF(AND(ISNUMBER('Raw Data'!X73), IFERROR('Raw Data'!X73 = ROUND('Raw Data'!X73, 2),FALSE)),"",_xlfn.REGEXEXTRACT(CELL("address",X73), "\$([A-Z]+)\$[0-9]+"))),_xlfn.REGEXEXTRACT(CELL("address",X73), "\$([A-Z]+)\$[0-9]+"))</f>
        <v/>
      </c>
      <c r="Y73" s="7" t="str">
        <f t="array" aca="1" ref="Y73" ca="1">IFERROR(IF(OR('Raw Data'!Y73="",LEN(TRIM('Raw Data'!Y73))=0),"",IF(AND(ISNUMBER('Raw Data'!Y73), IFERROR('Raw Data'!Y73 = ROUND('Raw Data'!Y73, 2),FALSE)),"",_xlfn.REGEXEXTRACT(CELL("address",Y73), "\$([A-Z]+)\$[0-9]+"))),_xlfn.REGEXEXTRACT(CELL("address",Y73), "\$([A-Z]+)\$[0-9]+"))</f>
        <v/>
      </c>
      <c r="Z73" s="7" t="str">
        <f t="array" aca="1" ref="Z73" ca="1">IFERROR(IF(OR('Raw Data'!Z73="",LEN(TRIM('Raw Data'!Z73))=0),"",IF(AND(ISNUMBER('Raw Data'!Z73), IFERROR('Raw Data'!Z73 = ROUND('Raw Data'!Z73, 2),FALSE)),"",_xlfn.REGEXEXTRACT(CELL("address",Z73), "\$([A-Z]+)\$[0-9]+"))),_xlfn.REGEXEXTRACT(CELL("address",Z73), "\$([A-Z]+)\$[0-9]+"))</f>
        <v/>
      </c>
      <c r="AA73" s="7" t="str">
        <f t="array" aca="1" ref="AA73" ca="1">IFERROR(IF(OR('Raw Data'!AA73="",LEN(TRIM('Raw Data'!AA73))=0),"",IF(AND(ISNUMBER('Raw Data'!AA73), IFERROR('Raw Data'!AA73 = ROUND('Raw Data'!AA73, 2),FALSE)),"",_xlfn.REGEXEXTRACT(CELL("address",AA73), "\$([A-Z]+)\$[0-9]+"))),_xlfn.REGEXEXTRACT(CELL("address",AA73), "\$([A-Z]+)\$[0-9]+"))</f>
        <v/>
      </c>
      <c r="AB73" s="7" t="str">
        <f t="array" aca="1" ref="AB73" ca="1">IFERROR(IF(OR('Raw Data'!AB73="",LEN(TRIM('Raw Data'!AB73))=0),"",IF(AND(ISNUMBER('Raw Data'!AB73), IFERROR('Raw Data'!AB73 = ROUND('Raw Data'!AB73, 2),FALSE)),"",_xlfn.REGEXEXTRACT(CELL("address",AB73), "\$([A-Z]+)\$[0-9]+"))),_xlfn.REGEXEXTRACT(CELL("address",AB73), "\$([A-Z]+)\$[0-9]+"))</f>
        <v/>
      </c>
      <c r="AC73" s="7" t="str">
        <f t="array" aca="1" ref="AC73" ca="1">IFERROR(IF(OR('Raw Data'!AC73="",LEN(TRIM('Raw Data'!AC73))=0),"",IF(AND(ISNUMBER('Raw Data'!AC73), IFERROR('Raw Data'!AC73 = ROUND('Raw Data'!AC73, 2),FALSE)),"",_xlfn.REGEXEXTRACT(CELL("address",AC73), "\$([A-Z]+)\$[0-9]+"))),_xlfn.REGEXEXTRACT(CELL("address",AC73), "\$([A-Z]+)\$[0-9]+"))</f>
        <v/>
      </c>
      <c r="AD73" s="7" t="str">
        <f t="array" aca="1" ref="AD73" ca="1">IFERROR(IF(OR('Raw Data'!AD73="",LEN(TRIM('Raw Data'!AD73))=0),"",IF(AND(ISNUMBER('Raw Data'!AD73), IFERROR('Raw Data'!AD73 = ROUND('Raw Data'!AD73, 2),FALSE)),"",_xlfn.REGEXEXTRACT(CELL("address",AD73), "\$([A-Z]+)\$[0-9]+"))),_xlfn.REGEXEXTRACT(CELL("address",AD73), "\$([A-Z]+)\$[0-9]+"))</f>
        <v/>
      </c>
      <c r="AE73" s="7" t="str">
        <f t="array" aca="1" ref="AE73" ca="1">IFERROR(IF(OR('Raw Data'!AE73="",LEN(TRIM('Raw Data'!AE73))=0),"",IF(AND(ISNUMBER('Raw Data'!AE73), IFERROR('Raw Data'!AE73 = ROUND('Raw Data'!AE73, 2),FALSE)),"",_xlfn.REGEXEXTRACT(CELL("address",AE73), "\$([A-Z]+)\$[0-9]+"))),_xlfn.REGEXEXTRACT(CELL("address",AE73), "\$([A-Z]+)\$[0-9]+"))</f>
        <v/>
      </c>
      <c r="AF73" s="7" t="str">
        <f t="array" aca="1" ref="AF73" ca="1">IFERROR(IF(OR('Raw Data'!AF73="",LEN(TRIM('Raw Data'!AF73))=0),"",IF(AND(ISNUMBER('Raw Data'!AF73), IFERROR('Raw Data'!AF73 = ROUND('Raw Data'!AF73, 2),FALSE)),"",_xlfn.REGEXEXTRACT(CELL("address",AF73), "\$([A-Z]+)\$[0-9]+"))),_xlfn.REGEXEXTRACT(CELL("address",AF73), "\$([A-Z]+)\$[0-9]+"))</f>
        <v/>
      </c>
      <c r="AG73" s="7" t="str">
        <f t="array" aca="1" ref="AG73" ca="1">IFERROR(IF(OR('Raw Data'!AG73="",LEN(TRIM('Raw Data'!AG73))=0),"",IF(AND(ISNUMBER('Raw Data'!AG73), IFERROR('Raw Data'!AG73 = ROUND('Raw Data'!AG73, 2),FALSE)),"",_xlfn.REGEXEXTRACT(CELL("address",AG73), "\$([A-Z]+)\$[0-9]+"))),_xlfn.REGEXEXTRACT(CELL("address",AG73), "\$([A-Z]+)\$[0-9]+"))</f>
        <v/>
      </c>
      <c r="AH73" s="7" t="str">
        <f t="array" aca="1" ref="AH73" ca="1">IFERROR(IF(OR('Raw Data'!AH73="",LEN(TRIM('Raw Data'!AH73))=0),"",IF(AND(ISNUMBER('Raw Data'!AH73), IFERROR('Raw Data'!AH73 = ROUND('Raw Data'!AH73, 2),FALSE)),"",_xlfn.REGEXEXTRACT(CELL("address",AH73), "\$([A-Z]+)\$[0-9]+"))),_xlfn.REGEXEXTRACT(CELL("address",AH73), "\$([A-Z]+)\$[0-9]+"))</f>
        <v/>
      </c>
      <c r="AI73" s="7" t="str">
        <f t="array" aca="1" ref="AI73" ca="1">IFERROR(IF(OR('Raw Data'!AI73="",LEN(TRIM('Raw Data'!AI73))=0),"",IF(AND(ISNUMBER('Raw Data'!AI73), IFERROR('Raw Data'!AI73 = ROUND('Raw Data'!AI73, 2),FALSE)),"",_xlfn.REGEXEXTRACT(CELL("address",AI73), "\$([A-Z]+)\$[0-9]+"))),_xlfn.REGEXEXTRACT(CELL("address",AI73), "\$([A-Z]+)\$[0-9]+"))</f>
        <v/>
      </c>
      <c r="AJ73" s="7" t="str">
        <f t="array" aca="1" ref="AJ73" ca="1">IFERROR(IF(OR('Raw Data'!AJ73="",LEN(TRIM('Raw Data'!AJ73))=0),"",IF(AND(ISNUMBER('Raw Data'!AJ73), IFERROR('Raw Data'!AJ73 = ROUND('Raw Data'!AJ73, 4),FALSE)),"",_xlfn.REGEXEXTRACT(CELL("address",AJ73), "\$([A-Z]+)\$[0-9]+"))),_xlfn.REGEXEXTRACT(CELL("address",AJ73), "\$([A-Z]+)\$[0-9]+"))</f>
        <v/>
      </c>
      <c r="AK73" s="7" t="str">
        <f t="array" aca="1" ref="AK73" ca="1">IFERROR(IF(OR('Raw Data'!AK73="",LEN(TRIM('Raw Data'!AK73))=0),"",IF(AND(ISNUMBER('Raw Data'!AK73), IFERROR('Raw Data'!AK73 = ROUND('Raw Data'!AK73, 2),FALSE)),"",_xlfn.REGEXEXTRACT(CELL("address",AK73), "\$([A-Z]+)\$[0-9]+"))),_xlfn.REGEXEXTRACT(CELL("address",AK73), "\$([A-Z]+)\$[0-9]+"))</f>
        <v/>
      </c>
      <c r="AL73" s="7" t="str">
        <f t="array" aca="1" ref="AL73" ca="1">IFERROR(IF(OR('Raw Data'!AL73="",LEN(TRIM('Raw Data'!AL73))=0),"",IF(AND(ISNUMBER('Raw Data'!AL73), IFERROR('Raw Data'!AL73 = ROUND('Raw Data'!AL73, 2),FALSE)),"",_xlfn.REGEXEXTRACT(CELL("address",AL73), "\$([A-Z]+)\$[0-9]+"))),_xlfn.REGEXEXTRACT(CELL("address",AL73), "\$([A-Z]+)\$[0-9]+"))</f>
        <v/>
      </c>
      <c r="AM73" s="7" t="str">
        <f t="array" aca="1" ref="AM73" ca="1">IFERROR(IF(OR('Raw Data'!AM73="",LEN(TRIM('Raw Data'!AM73))=0),"",IF(AND(ISNUMBER('Raw Data'!AM73), IFERROR('Raw Data'!AM73 = ROUND('Raw Data'!AM73, 2),FALSE)),"",_xlfn.REGEXEXTRACT(CELL("address",AM73), "\$([A-Z]+)\$[0-9]+"))),_xlfn.REGEXEXTRACT(CELL("address",AM73), "\$([A-Z]+)\$[0-9]+"))</f>
        <v/>
      </c>
      <c r="AN73" s="7" t="str">
        <f t="array" aca="1" ref="AN73" ca="1">IFERROR(IF(OR('Raw Data'!AN73="",LEN(TRIM('Raw Data'!AN73))=0),"",IF(AND(ISNUMBER('Raw Data'!AN73), IFERROR('Raw Data'!AN73 = ROUND('Raw Data'!AN73, 2),FALSE)),"",_xlfn.REGEXEXTRACT(CELL("address",AN73), "\$([A-Z]+)\$[0-9]+"))),_xlfn.REGEXEXTRACT(CELL("address",AN73), "\$([A-Z]+)\$[0-9]+"))</f>
        <v/>
      </c>
      <c r="AO73" s="7" t="str">
        <f t="array" aca="1" ref="AO73" ca="1">IFERROR(IF(OR('Raw Data'!AO73="",LEN(TRIM('Raw Data'!AO73))=0),"",IF(AND(ISNUMBER('Raw Data'!AO73), IFERROR('Raw Data'!AO73 = ROUND('Raw Data'!AO73, 2),FALSE)),"",_xlfn.REGEXEXTRACT(CELL("address",AO73), "\$([A-Z]+)\$[0-9]+"))),_xlfn.REGEXEXTRACT(CELL("address",AO73), "\$([A-Z]+)\$[0-9]+"))</f>
        <v/>
      </c>
      <c r="AP73" s="7" t="str">
        <f t="array" aca="1" ref="AP73" ca="1">IFERROR(IF(OR('Raw Data'!AP73="",LEN(TRIM('Raw Data'!AP73))=0),"",IF(AND(ISNUMBER('Raw Data'!AP73), IFERROR('Raw Data'!AP73 = ROUND('Raw Data'!AP73, 2),FALSE)),"",_xlfn.REGEXEXTRACT(CELL("address",AP73), "\$([A-Z]+)\$[0-9]+"))),_xlfn.REGEXEXTRACT(CELL("address",AP73), "\$([A-Z]+)\$[0-9]+"))</f>
        <v/>
      </c>
    </row>
    <row r="74" spans="2:42" x14ac:dyDescent="0.25">
      <c r="B74" s="7" t="str">
        <f t="array" aca="1" ref="B74" ca="1">IFERROR(IF(OR('Raw Data'!B74="",LEN(TRIM('Raw Data'!B74))=0),"",IF(AND(LEN('Raw Data'!B74) &lt;= 255,LEN('Raw Data'!B74)&gt; 0),"",_xlfn.REGEXEXTRACT(CELL("address",'Raw Data'!B74),"\$([A-Z]+)\$[0-9]+"))),_xlfn.REGEXEXTRACT(CELL("address",'Raw Data'!B74),"\$([A-Z]+)\$[0-9]+"))</f>
        <v/>
      </c>
      <c r="C74" s="7" t="str">
        <f t="array" aca="1" ref="C74" ca="1">IFERROR(IF(OR('Raw Data'!C74="",LEN(TRIM('Raw Data'!C74))=0),"",IF(AND(LEN('Raw Data'!C74) &lt;= 50,LEN('Raw Data'!C74)&gt; 0),"",_xlfn.REGEXEXTRACT(CELL("address",'Raw Data'!C74),"\$([A-Z]+)\$[0-9]+"))),_xlfn.REGEXEXTRACT(CELL("address",'Raw Data'!C74),"\$([A-Z]+)\$[0-9]+"))</f>
        <v/>
      </c>
      <c r="D74" s="7" t="str">
        <f t="array" aca="1" ref="D74" ca="1">IFERROR(IF(OR('Raw Data'!D74="",LEN(TRIM('Raw Data'!D74))=0),"",IF(AND(LEN('Raw Data'!D74) &lt;= 500,LEN('Raw Data'!D74)&gt; 0),"",_xlfn.REGEXEXTRACT(CELL("address",'Raw Data'!D74),"\$([A-Z]+)\$[0-9]+"))),_xlfn.REGEXEXTRACT(CELL("address",'Raw Data'!D74),"\$([A-Z]+)\$[0-9]+"))</f>
        <v/>
      </c>
      <c r="E74" s="7" t="str">
        <f t="array" aca="1" ref="E74" ca="1">IFERROR(IF(OR('Raw Data'!E74="",LEN(TRIM('Raw Data'!E74))=0),"",IF(AND(LEN('Raw Data'!E74) &lt;= 50,LEN('Raw Data'!E74)&gt; 0),"",_xlfn.REGEXEXTRACT(CELL("address",'Raw Data'!E74),"\$([A-Z]+)\$[0-9]+"))),_xlfn.REGEXEXTRACT(CELL("address",'Raw Data'!E74),"\$([A-Z]+)\$[0-9]+"))</f>
        <v/>
      </c>
      <c r="F74" s="7" t="str">
        <f t="array" aca="1" ref="F74" ca="1">IFERROR(IF(OR('Raw Data'!F74="",LEN(TRIM('Raw Data'!F74))=0),"",IF(AND(LEN('Raw Data'!F74) &lt;= 50,LEN('Raw Data'!F74)&gt; 0),"",_xlfn.REGEXEXTRACT(CELL("address",'Raw Data'!F74),"\$([A-Z]+)\$[0-9]+"))),_xlfn.REGEXEXTRACT(CELL("address",'Raw Data'!F74),"\$([A-Z]+)\$[0-9]+"))</f>
        <v/>
      </c>
      <c r="G74" s="7" t="str">
        <f t="array" aca="1" ref="G74" ca="1">IFERROR(IF(OR('Raw Data'!G74="",LEN(TRIM('Raw Data'!G74))=0),"",IF(AND(LEN('Raw Data'!G74) &lt;= 50,LEN('Raw Data'!G74)&gt; 0),"",_xlfn.REGEXEXTRACT(CELL("address",'Raw Data'!G74),"\$([A-Z]+)\$[0-9]+"))),_xlfn.REGEXEXTRACT(CELL("address",'Raw Data'!G74),"\$([A-Z]+)\$[0-9]+"))</f>
        <v/>
      </c>
      <c r="H74" s="7" t="str">
        <f t="array" aca="1" ref="H74" ca="1">IFERROR(IF(OR('Raw Data'!H74="",LEN(TRIM('Raw Data'!H74))=0),"",IF(AND(LEN('Raw Data'!H74) &lt;= 50,LEN('Raw Data'!H74)&gt; 0),"",_xlfn.REGEXEXTRACT(CELL("address",'Raw Data'!H74),"\$([A-Z]+)\$[0-9]+"))),_xlfn.REGEXEXTRACT(CELL("address",'Raw Data'!H74),"\$([A-Z]+)\$[0-9]+"))</f>
        <v/>
      </c>
      <c r="I74" s="7" t="str">
        <f t="array" aca="1" ref="I74" ca="1">IFERROR(IF(OR('Raw Data'!I74="",LEN(TRIM('Raw Data'!I74))=0),"",IF(AND(LEN('Raw Data'!I74) &lt;= 50,LEN('Raw Data'!I74)&gt; 0),"",_xlfn.REGEXEXTRACT(CELL("address",'Raw Data'!I74),"\$([A-Z]+)\$[0-9]+"))),_xlfn.REGEXEXTRACT(CELL("address",'Raw Data'!I74),"\$([A-Z]+)\$[0-9]+"))</f>
        <v/>
      </c>
      <c r="J74" s="7" t="str">
        <f t="array" aca="1" ref="J74" ca="1">IFERROR(IF(OR('Raw Data'!J74="",LEN(TRIM('Raw Data'!J74))=0),"",IF(AND(ISNUMBER('Raw Data'!J74), IFERROR('Raw Data'!J74 = ROUND('Raw Data'!J74, 2),FALSE)),"",_xlfn.REGEXEXTRACT(CELL("address",J74), "\$([A-Z]+)\$[0-9]+"))),_xlfn.REGEXEXTRACT(CELL("address",J74), "\$([A-Z]+)\$[0-9]+"))</f>
        <v/>
      </c>
      <c r="K74" s="7" t="str">
        <f t="array" aca="1" ref="K74" ca="1">IFERROR(IF(OR('Raw Data'!K74="",LEN(TRIM('Raw Data'!K74))=0),"",IF(AND(ISNUMBER('Raw Data'!K74), IFERROR('Raw Data'!K74 = ROUND('Raw Data'!K74, 2),FALSE)),"",_xlfn.REGEXEXTRACT(CELL("address",K74), "\$([A-Z]+)\$[0-9]+"))),_xlfn.REGEXEXTRACT(CELL("address",K74), "\$([A-Z]+)\$[0-9]+"))</f>
        <v/>
      </c>
      <c r="L74" s="7" t="str">
        <f t="array" aca="1" ref="L74" ca="1">IFERROR(IF(OR('Raw Data'!L74="",LEN(TRIM('Raw Data'!L74))=0),"",IF(AND(ISNUMBER('Raw Data'!L74), IFERROR('Raw Data'!L74 = ROUND('Raw Data'!L74, 2),FALSE)),"",_xlfn.REGEXEXTRACT(CELL("address",L74), "\$([A-Z]+)\$[0-9]+"))),_xlfn.REGEXEXTRACT(CELL("address",L74), "\$([A-Z]+)\$[0-9]+"))</f>
        <v/>
      </c>
      <c r="M74" s="7" t="str">
        <f t="array" aca="1" ref="M74" ca="1">IFERROR(IF(OR('Raw Data'!M74="",LEN(TRIM('Raw Data'!M74))=0),"",IF(AND(ISNUMBER('Raw Data'!M74), IFERROR('Raw Data'!M74 = ROUND('Raw Data'!M74, 2),FALSE)),"",_xlfn.REGEXEXTRACT(CELL("address",M74), "\$([A-Z]+)\$[0-9]+"))),_xlfn.REGEXEXTRACT(CELL("address",M74), "\$([A-Z]+)\$[0-9]+"))</f>
        <v/>
      </c>
      <c r="N74" s="7" t="str">
        <f t="array" aca="1" ref="N74" ca="1">IFERROR(IF(OR('Raw Data'!N74="",LEN(TRIM('Raw Data'!N74))=0),"",IF(AND(ISNUMBER('Raw Data'!N74), IFERROR('Raw Data'!N74 = ROUND('Raw Data'!N74, 2),FALSE)),"",_xlfn.REGEXEXTRACT(CELL("address",N74), "\$([A-Z]+)\$[0-9]+"))),_xlfn.REGEXEXTRACT(CELL("address",N74), "\$([A-Z]+)\$[0-9]+"))</f>
        <v/>
      </c>
      <c r="O74" s="7" t="str">
        <f t="array" aca="1" ref="O74" ca="1">IFERROR(IF(OR('Raw Data'!O74="",LEN(TRIM('Raw Data'!O74))=0),"",IF(AND(ISNUMBER('Raw Data'!O74),'Raw Data'!O74&gt;=Configuration!$D$2),"",_xlfn.REGEXEXTRACT(CELL("address",'Raw Data'!O74),"\$([A-Z]+)\$[0-9]+"))),_xlfn.REGEXEXTRACT(CELL("address",O74), "\$([A-Z]+)\$[0-9]+"))</f>
        <v/>
      </c>
      <c r="P74" s="7" t="str">
        <f t="array" aca="1" ref="P74" ca="1">IFERROR(IF(OR('Raw Data'!P74="",LEN(TRIM('Raw Data'!P74))=0),"",IF(AND(ISNUMBER('Raw Data'!P74), IFERROR('Raw Data'!P74 = ROUND('Raw Data'!P74, 2),FALSE)),"",_xlfn.REGEXEXTRACT(CELL("address",P74), "\$([A-Z]+)\$[0-9]+"))),_xlfn.REGEXEXTRACT(CELL("address",P74), "\$([A-Z]+)\$[0-9]+"))</f>
        <v/>
      </c>
      <c r="Q74" s="7" t="str">
        <f t="array" aca="1" ref="Q74" ca="1">IFERROR(IF(OR('Raw Data'!Q74="",LEN(TRIM('Raw Data'!Q74))=0),"",IF(AND(ISNUMBER('Raw Data'!Q74), IFERROR('Raw Data'!Q74 = ROUND('Raw Data'!Q74, 2),FALSE)),"",_xlfn.REGEXEXTRACT(CELL("address",Q74), "\$([A-Z]+)\$[0-9]+"))),_xlfn.REGEXEXTRACT(CELL("address",Q74), "\$([A-Z]+)\$[0-9]+"))</f>
        <v/>
      </c>
      <c r="R74" s="7" t="str">
        <f t="array" aca="1" ref="R74" ca="1">IFERROR(IF(OR('Raw Data'!R74="",LEN(TRIM('Raw Data'!R74))=0),"",IF(AND(LEN('Raw Data'!R74) &lt;= 50,LEN('Raw Data'!R74)&gt; 0),"",_xlfn.REGEXEXTRACT(CELL("address",'Raw Data'!R74),"\$([A-Z]+)\$[0-9]+"))),_xlfn.REGEXEXTRACT(CELL("address",'Raw Data'!R74),"\$([A-Z]+)\$[0-9]+"))</f>
        <v/>
      </c>
      <c r="S74" s="7" t="str">
        <f t="array" aca="1" ref="S74" ca="1">IFERROR(IF(OR('Raw Data'!S74="",LEN(TRIM('Raw Data'!S74))=0),"",IF(AND(LEN('Raw Data'!S74) &lt;= 50,LEN('Raw Data'!S74)&gt; 0),"",_xlfn.REGEXEXTRACT(CELL("address",'Raw Data'!S74),"\$([A-Z]+)\$[0-9]+"))),_xlfn.REGEXEXTRACT(CELL("address",'Raw Data'!S74),"\$([A-Z]+)\$[0-9]+"))</f>
        <v/>
      </c>
      <c r="T74" s="7" t="str">
        <f t="array" aca="1" ref="T74" ca="1">IFERROR(IF(OR('Raw Data'!T74="",LEN(TRIM('Raw Data'!T74))=0),"",IF(AND(ISNUMBER('Raw Data'!T74), IFERROR('Raw Data'!T74 = ROUND('Raw Data'!T74, 2),FALSE)),"",_xlfn.REGEXEXTRACT(CELL("address",T74), "\$([A-Z]+)\$[0-9]+"))),_xlfn.REGEXEXTRACT(CELL("address",T74), "\$([A-Z]+)\$[0-9]+"))</f>
        <v/>
      </c>
      <c r="U74" s="7" t="str">
        <f t="array" aca="1" ref="U74" ca="1">IFERROR(IF(OR('Raw Data'!U74="",LEN(TRIM('Raw Data'!U74))=0),"",IF(AND(ISNUMBER('Raw Data'!U74), IFERROR('Raw Data'!U74 = ROUND('Raw Data'!U74, 2),FALSE)),"",_xlfn.REGEXEXTRACT(CELL("address",U74), "\$([A-Z]+)\$[0-9]+"))),_xlfn.REGEXEXTRACT(CELL("address",U74), "\$([A-Z]+)\$[0-9]+"))</f>
        <v/>
      </c>
      <c r="V74" s="7" t="str">
        <f t="array" aca="1" ref="V74" ca="1">IFERROR(IF(OR('Raw Data'!V74="",LEN(TRIM('Raw Data'!V74))=0),"",IF(AND(ISNUMBER('Raw Data'!V74), IFERROR('Raw Data'!V74 = ROUND('Raw Data'!V74, 2),FALSE)),"",_xlfn.REGEXEXTRACT(CELL("address",V74), "\$([A-Z]+)\$[0-9]+"))),_xlfn.REGEXEXTRACT(CELL("address",V74), "\$([A-Z]+)\$[0-9]+"))</f>
        <v/>
      </c>
      <c r="W74" s="7" t="str">
        <f t="array" aca="1" ref="W74" ca="1">IFERROR(IF(OR('Raw Data'!W74="",LEN(TRIM('Raw Data'!W74))=0),"",IF(AND(ISNUMBER('Raw Data'!W74), IFERROR('Raw Data'!W74 = ROUND('Raw Data'!W74, 2),FALSE)),"",_xlfn.REGEXEXTRACT(CELL("address",W74), "\$([A-Z]+)\$[0-9]+"))),_xlfn.REGEXEXTRACT(CELL("address",W74), "\$([A-Z]+)\$[0-9]+"))</f>
        <v/>
      </c>
      <c r="X74" s="7" t="str">
        <f t="array" aca="1" ref="X74" ca="1">IFERROR(IF(OR('Raw Data'!X74="",LEN(TRIM('Raw Data'!X74))=0),"",IF(AND(ISNUMBER('Raw Data'!X74), IFERROR('Raw Data'!X74 = ROUND('Raw Data'!X74, 2),FALSE)),"",_xlfn.REGEXEXTRACT(CELL("address",X74), "\$([A-Z]+)\$[0-9]+"))),_xlfn.REGEXEXTRACT(CELL("address",X74), "\$([A-Z]+)\$[0-9]+"))</f>
        <v/>
      </c>
      <c r="Y74" s="7" t="str">
        <f t="array" aca="1" ref="Y74" ca="1">IFERROR(IF(OR('Raw Data'!Y74="",LEN(TRIM('Raw Data'!Y74))=0),"",IF(AND(ISNUMBER('Raw Data'!Y74), IFERROR('Raw Data'!Y74 = ROUND('Raw Data'!Y74, 2),FALSE)),"",_xlfn.REGEXEXTRACT(CELL("address",Y74), "\$([A-Z]+)\$[0-9]+"))),_xlfn.REGEXEXTRACT(CELL("address",Y74), "\$([A-Z]+)\$[0-9]+"))</f>
        <v/>
      </c>
      <c r="Z74" s="7" t="str">
        <f t="array" aca="1" ref="Z74" ca="1">IFERROR(IF(OR('Raw Data'!Z74="",LEN(TRIM('Raw Data'!Z74))=0),"",IF(AND(ISNUMBER('Raw Data'!Z74), IFERROR('Raw Data'!Z74 = ROUND('Raw Data'!Z74, 2),FALSE)),"",_xlfn.REGEXEXTRACT(CELL("address",Z74), "\$([A-Z]+)\$[0-9]+"))),_xlfn.REGEXEXTRACT(CELL("address",Z74), "\$([A-Z]+)\$[0-9]+"))</f>
        <v/>
      </c>
      <c r="AA74" s="7" t="str">
        <f t="array" aca="1" ref="AA74" ca="1">IFERROR(IF(OR('Raw Data'!AA74="",LEN(TRIM('Raw Data'!AA74))=0),"",IF(AND(ISNUMBER('Raw Data'!AA74), IFERROR('Raw Data'!AA74 = ROUND('Raw Data'!AA74, 2),FALSE)),"",_xlfn.REGEXEXTRACT(CELL("address",AA74), "\$([A-Z]+)\$[0-9]+"))),_xlfn.REGEXEXTRACT(CELL("address",AA74), "\$([A-Z]+)\$[0-9]+"))</f>
        <v/>
      </c>
      <c r="AB74" s="7" t="str">
        <f t="array" aca="1" ref="AB74" ca="1">IFERROR(IF(OR('Raw Data'!AB74="",LEN(TRIM('Raw Data'!AB74))=0),"",IF(AND(ISNUMBER('Raw Data'!AB74), IFERROR('Raw Data'!AB74 = ROUND('Raw Data'!AB74, 2),FALSE)),"",_xlfn.REGEXEXTRACT(CELL("address",AB74), "\$([A-Z]+)\$[0-9]+"))),_xlfn.REGEXEXTRACT(CELL("address",AB74), "\$([A-Z]+)\$[0-9]+"))</f>
        <v/>
      </c>
      <c r="AC74" s="7" t="str">
        <f t="array" aca="1" ref="AC74" ca="1">IFERROR(IF(OR('Raw Data'!AC74="",LEN(TRIM('Raw Data'!AC74))=0),"",IF(AND(ISNUMBER('Raw Data'!AC74), IFERROR('Raw Data'!AC74 = ROUND('Raw Data'!AC74, 2),FALSE)),"",_xlfn.REGEXEXTRACT(CELL("address",AC74), "\$([A-Z]+)\$[0-9]+"))),_xlfn.REGEXEXTRACT(CELL("address",AC74), "\$([A-Z]+)\$[0-9]+"))</f>
        <v/>
      </c>
      <c r="AD74" s="7" t="str">
        <f t="array" aca="1" ref="AD74" ca="1">IFERROR(IF(OR('Raw Data'!AD74="",LEN(TRIM('Raw Data'!AD74))=0),"",IF(AND(ISNUMBER('Raw Data'!AD74), IFERROR('Raw Data'!AD74 = ROUND('Raw Data'!AD74, 2),FALSE)),"",_xlfn.REGEXEXTRACT(CELL("address",AD74), "\$([A-Z]+)\$[0-9]+"))),_xlfn.REGEXEXTRACT(CELL("address",AD74), "\$([A-Z]+)\$[0-9]+"))</f>
        <v/>
      </c>
      <c r="AE74" s="7" t="str">
        <f t="array" aca="1" ref="AE74" ca="1">IFERROR(IF(OR('Raw Data'!AE74="",LEN(TRIM('Raw Data'!AE74))=0),"",IF(AND(ISNUMBER('Raw Data'!AE74), IFERROR('Raw Data'!AE74 = ROUND('Raw Data'!AE74, 2),FALSE)),"",_xlfn.REGEXEXTRACT(CELL("address",AE74), "\$([A-Z]+)\$[0-9]+"))),_xlfn.REGEXEXTRACT(CELL("address",AE74), "\$([A-Z]+)\$[0-9]+"))</f>
        <v/>
      </c>
      <c r="AF74" s="7" t="str">
        <f t="array" aca="1" ref="AF74" ca="1">IFERROR(IF(OR('Raw Data'!AF74="",LEN(TRIM('Raw Data'!AF74))=0),"",IF(AND(ISNUMBER('Raw Data'!AF74), IFERROR('Raw Data'!AF74 = ROUND('Raw Data'!AF74, 2),FALSE)),"",_xlfn.REGEXEXTRACT(CELL("address",AF74), "\$([A-Z]+)\$[0-9]+"))),_xlfn.REGEXEXTRACT(CELL("address",AF74), "\$([A-Z]+)\$[0-9]+"))</f>
        <v/>
      </c>
      <c r="AG74" s="7" t="str">
        <f t="array" aca="1" ref="AG74" ca="1">IFERROR(IF(OR('Raw Data'!AG74="",LEN(TRIM('Raw Data'!AG74))=0),"",IF(AND(ISNUMBER('Raw Data'!AG74), IFERROR('Raw Data'!AG74 = ROUND('Raw Data'!AG74, 2),FALSE)),"",_xlfn.REGEXEXTRACT(CELL("address",AG74), "\$([A-Z]+)\$[0-9]+"))),_xlfn.REGEXEXTRACT(CELL("address",AG74), "\$([A-Z]+)\$[0-9]+"))</f>
        <v/>
      </c>
      <c r="AH74" s="7" t="str">
        <f t="array" aca="1" ref="AH74" ca="1">IFERROR(IF(OR('Raw Data'!AH74="",LEN(TRIM('Raw Data'!AH74))=0),"",IF(AND(ISNUMBER('Raw Data'!AH74), IFERROR('Raw Data'!AH74 = ROUND('Raw Data'!AH74, 2),FALSE)),"",_xlfn.REGEXEXTRACT(CELL("address",AH74), "\$([A-Z]+)\$[0-9]+"))),_xlfn.REGEXEXTRACT(CELL("address",AH74), "\$([A-Z]+)\$[0-9]+"))</f>
        <v/>
      </c>
      <c r="AI74" s="7" t="str">
        <f t="array" aca="1" ref="AI74" ca="1">IFERROR(IF(OR('Raw Data'!AI74="",LEN(TRIM('Raw Data'!AI74))=0),"",IF(AND(ISNUMBER('Raw Data'!AI74), IFERROR('Raw Data'!AI74 = ROUND('Raw Data'!AI74, 2),FALSE)),"",_xlfn.REGEXEXTRACT(CELL("address",AI74), "\$([A-Z]+)\$[0-9]+"))),_xlfn.REGEXEXTRACT(CELL("address",AI74), "\$([A-Z]+)\$[0-9]+"))</f>
        <v/>
      </c>
      <c r="AJ74" s="7" t="str">
        <f t="array" aca="1" ref="AJ74" ca="1">IFERROR(IF(OR('Raw Data'!AJ74="",LEN(TRIM('Raw Data'!AJ74))=0),"",IF(AND(ISNUMBER('Raw Data'!AJ74), IFERROR('Raw Data'!AJ74 = ROUND('Raw Data'!AJ74, 4),FALSE)),"",_xlfn.REGEXEXTRACT(CELL("address",AJ74), "\$([A-Z]+)\$[0-9]+"))),_xlfn.REGEXEXTRACT(CELL("address",AJ74), "\$([A-Z]+)\$[0-9]+"))</f>
        <v/>
      </c>
      <c r="AK74" s="7" t="str">
        <f t="array" aca="1" ref="AK74" ca="1">IFERROR(IF(OR('Raw Data'!AK74="",LEN(TRIM('Raw Data'!AK74))=0),"",IF(AND(ISNUMBER('Raw Data'!AK74), IFERROR('Raw Data'!AK74 = ROUND('Raw Data'!AK74, 2),FALSE)),"",_xlfn.REGEXEXTRACT(CELL("address",AK74), "\$([A-Z]+)\$[0-9]+"))),_xlfn.REGEXEXTRACT(CELL("address",AK74), "\$([A-Z]+)\$[0-9]+"))</f>
        <v/>
      </c>
      <c r="AL74" s="7" t="str">
        <f t="array" aca="1" ref="AL74" ca="1">IFERROR(IF(OR('Raw Data'!AL74="",LEN(TRIM('Raw Data'!AL74))=0),"",IF(AND(ISNUMBER('Raw Data'!AL74), IFERROR('Raw Data'!AL74 = ROUND('Raw Data'!AL74, 2),FALSE)),"",_xlfn.REGEXEXTRACT(CELL("address",AL74), "\$([A-Z]+)\$[0-9]+"))),_xlfn.REGEXEXTRACT(CELL("address",AL74), "\$([A-Z]+)\$[0-9]+"))</f>
        <v/>
      </c>
      <c r="AM74" s="7" t="str">
        <f t="array" aca="1" ref="AM74" ca="1">IFERROR(IF(OR('Raw Data'!AM74="",LEN(TRIM('Raw Data'!AM74))=0),"",IF(AND(ISNUMBER('Raw Data'!AM74), IFERROR('Raw Data'!AM74 = ROUND('Raw Data'!AM74, 2),FALSE)),"",_xlfn.REGEXEXTRACT(CELL("address",AM74), "\$([A-Z]+)\$[0-9]+"))),_xlfn.REGEXEXTRACT(CELL("address",AM74), "\$([A-Z]+)\$[0-9]+"))</f>
        <v/>
      </c>
      <c r="AN74" s="7" t="str">
        <f t="array" aca="1" ref="AN74" ca="1">IFERROR(IF(OR('Raw Data'!AN74="",LEN(TRIM('Raw Data'!AN74))=0),"",IF(AND(ISNUMBER('Raw Data'!AN74), IFERROR('Raw Data'!AN74 = ROUND('Raw Data'!AN74, 2),FALSE)),"",_xlfn.REGEXEXTRACT(CELL("address",AN74), "\$([A-Z]+)\$[0-9]+"))),_xlfn.REGEXEXTRACT(CELL("address",AN74), "\$([A-Z]+)\$[0-9]+"))</f>
        <v/>
      </c>
      <c r="AO74" s="7" t="str">
        <f t="array" aca="1" ref="AO74" ca="1">IFERROR(IF(OR('Raw Data'!AO74="",LEN(TRIM('Raw Data'!AO74))=0),"",IF(AND(ISNUMBER('Raw Data'!AO74), IFERROR('Raw Data'!AO74 = ROUND('Raw Data'!AO74, 2),FALSE)),"",_xlfn.REGEXEXTRACT(CELL("address",AO74), "\$([A-Z]+)\$[0-9]+"))),_xlfn.REGEXEXTRACT(CELL("address",AO74), "\$([A-Z]+)\$[0-9]+"))</f>
        <v/>
      </c>
      <c r="AP74" s="7" t="str">
        <f t="array" aca="1" ref="AP74" ca="1">IFERROR(IF(OR('Raw Data'!AP74="",LEN(TRIM('Raw Data'!AP74))=0),"",IF(AND(ISNUMBER('Raw Data'!AP74), IFERROR('Raw Data'!AP74 = ROUND('Raw Data'!AP74, 2),FALSE)),"",_xlfn.REGEXEXTRACT(CELL("address",AP74), "\$([A-Z]+)\$[0-9]+"))),_xlfn.REGEXEXTRACT(CELL("address",AP74), "\$([A-Z]+)\$[0-9]+"))</f>
        <v/>
      </c>
    </row>
    <row r="75" spans="2:42" x14ac:dyDescent="0.25">
      <c r="B75" s="7" t="str">
        <f t="array" aca="1" ref="B75" ca="1">IFERROR(IF(OR('Raw Data'!B75="",LEN(TRIM('Raw Data'!B75))=0),"",IF(AND(LEN('Raw Data'!B75) &lt;= 255,LEN('Raw Data'!B75)&gt; 0),"",_xlfn.REGEXEXTRACT(CELL("address",'Raw Data'!B75),"\$([A-Z]+)\$[0-9]+"))),_xlfn.REGEXEXTRACT(CELL("address",'Raw Data'!B75),"\$([A-Z]+)\$[0-9]+"))</f>
        <v/>
      </c>
      <c r="C75" s="7" t="str">
        <f t="array" aca="1" ref="C75" ca="1">IFERROR(IF(OR('Raw Data'!C75="",LEN(TRIM('Raw Data'!C75))=0),"",IF(AND(LEN('Raw Data'!C75) &lt;= 50,LEN('Raw Data'!C75)&gt; 0),"",_xlfn.REGEXEXTRACT(CELL("address",'Raw Data'!C75),"\$([A-Z]+)\$[0-9]+"))),_xlfn.REGEXEXTRACT(CELL("address",'Raw Data'!C75),"\$([A-Z]+)\$[0-9]+"))</f>
        <v/>
      </c>
      <c r="D75" s="7" t="str">
        <f t="array" aca="1" ref="D75" ca="1">IFERROR(IF(OR('Raw Data'!D75="",LEN(TRIM('Raw Data'!D75))=0),"",IF(AND(LEN('Raw Data'!D75) &lt;= 500,LEN('Raw Data'!D75)&gt; 0),"",_xlfn.REGEXEXTRACT(CELL("address",'Raw Data'!D75),"\$([A-Z]+)\$[0-9]+"))),_xlfn.REGEXEXTRACT(CELL("address",'Raw Data'!D75),"\$([A-Z]+)\$[0-9]+"))</f>
        <v/>
      </c>
      <c r="E75" s="7" t="str">
        <f t="array" aca="1" ref="E75" ca="1">IFERROR(IF(OR('Raw Data'!E75="",LEN(TRIM('Raw Data'!E75))=0),"",IF(AND(LEN('Raw Data'!E75) &lt;= 50,LEN('Raw Data'!E75)&gt; 0),"",_xlfn.REGEXEXTRACT(CELL("address",'Raw Data'!E75),"\$([A-Z]+)\$[0-9]+"))),_xlfn.REGEXEXTRACT(CELL("address",'Raw Data'!E75),"\$([A-Z]+)\$[0-9]+"))</f>
        <v/>
      </c>
      <c r="F75" s="7" t="str">
        <f t="array" aca="1" ref="F75" ca="1">IFERROR(IF(OR('Raw Data'!F75="",LEN(TRIM('Raw Data'!F75))=0),"",IF(AND(LEN('Raw Data'!F75) &lt;= 50,LEN('Raw Data'!F75)&gt; 0),"",_xlfn.REGEXEXTRACT(CELL("address",'Raw Data'!F75),"\$([A-Z]+)\$[0-9]+"))),_xlfn.REGEXEXTRACT(CELL("address",'Raw Data'!F75),"\$([A-Z]+)\$[0-9]+"))</f>
        <v/>
      </c>
      <c r="G75" s="7" t="str">
        <f t="array" aca="1" ref="G75" ca="1">IFERROR(IF(OR('Raw Data'!G75="",LEN(TRIM('Raw Data'!G75))=0),"",IF(AND(LEN('Raw Data'!G75) &lt;= 50,LEN('Raw Data'!G75)&gt; 0),"",_xlfn.REGEXEXTRACT(CELL("address",'Raw Data'!G75),"\$([A-Z]+)\$[0-9]+"))),_xlfn.REGEXEXTRACT(CELL("address",'Raw Data'!G75),"\$([A-Z]+)\$[0-9]+"))</f>
        <v/>
      </c>
      <c r="H75" s="7" t="str">
        <f t="array" aca="1" ref="H75" ca="1">IFERROR(IF(OR('Raw Data'!H75="",LEN(TRIM('Raw Data'!H75))=0),"",IF(AND(LEN('Raw Data'!H75) &lt;= 50,LEN('Raw Data'!H75)&gt; 0),"",_xlfn.REGEXEXTRACT(CELL("address",'Raw Data'!H75),"\$([A-Z]+)\$[0-9]+"))),_xlfn.REGEXEXTRACT(CELL("address",'Raw Data'!H75),"\$([A-Z]+)\$[0-9]+"))</f>
        <v/>
      </c>
      <c r="I75" s="7" t="str">
        <f t="array" aca="1" ref="I75" ca="1">IFERROR(IF(OR('Raw Data'!I75="",LEN(TRIM('Raw Data'!I75))=0),"",IF(AND(LEN('Raw Data'!I75) &lt;= 50,LEN('Raw Data'!I75)&gt; 0),"",_xlfn.REGEXEXTRACT(CELL("address",'Raw Data'!I75),"\$([A-Z]+)\$[0-9]+"))),_xlfn.REGEXEXTRACT(CELL("address",'Raw Data'!I75),"\$([A-Z]+)\$[0-9]+"))</f>
        <v/>
      </c>
      <c r="J75" s="7" t="str">
        <f t="array" aca="1" ref="J75" ca="1">IFERROR(IF(OR('Raw Data'!J75="",LEN(TRIM('Raw Data'!J75))=0),"",IF(AND(ISNUMBER('Raw Data'!J75), IFERROR('Raw Data'!J75 = ROUND('Raw Data'!J75, 2),FALSE)),"",_xlfn.REGEXEXTRACT(CELL("address",J75), "\$([A-Z]+)\$[0-9]+"))),_xlfn.REGEXEXTRACT(CELL("address",J75), "\$([A-Z]+)\$[0-9]+"))</f>
        <v/>
      </c>
      <c r="K75" s="7" t="str">
        <f t="array" aca="1" ref="K75" ca="1">IFERROR(IF(OR('Raw Data'!K75="",LEN(TRIM('Raw Data'!K75))=0),"",IF(AND(ISNUMBER('Raw Data'!K75), IFERROR('Raw Data'!K75 = ROUND('Raw Data'!K75, 2),FALSE)),"",_xlfn.REGEXEXTRACT(CELL("address",K75), "\$([A-Z]+)\$[0-9]+"))),_xlfn.REGEXEXTRACT(CELL("address",K75), "\$([A-Z]+)\$[0-9]+"))</f>
        <v/>
      </c>
      <c r="L75" s="7" t="str">
        <f t="array" aca="1" ref="L75" ca="1">IFERROR(IF(OR('Raw Data'!L75="",LEN(TRIM('Raw Data'!L75))=0),"",IF(AND(ISNUMBER('Raw Data'!L75), IFERROR('Raw Data'!L75 = ROUND('Raw Data'!L75, 2),FALSE)),"",_xlfn.REGEXEXTRACT(CELL("address",L75), "\$([A-Z]+)\$[0-9]+"))),_xlfn.REGEXEXTRACT(CELL("address",L75), "\$([A-Z]+)\$[0-9]+"))</f>
        <v/>
      </c>
      <c r="M75" s="7" t="str">
        <f t="array" aca="1" ref="M75" ca="1">IFERROR(IF(OR('Raw Data'!M75="",LEN(TRIM('Raw Data'!M75))=0),"",IF(AND(ISNUMBER('Raw Data'!M75), IFERROR('Raw Data'!M75 = ROUND('Raw Data'!M75, 2),FALSE)),"",_xlfn.REGEXEXTRACT(CELL("address",M75), "\$([A-Z]+)\$[0-9]+"))),_xlfn.REGEXEXTRACT(CELL("address",M75), "\$([A-Z]+)\$[0-9]+"))</f>
        <v/>
      </c>
      <c r="N75" s="7" t="str">
        <f t="array" aca="1" ref="N75" ca="1">IFERROR(IF(OR('Raw Data'!N75="",LEN(TRIM('Raw Data'!N75))=0),"",IF(AND(ISNUMBER('Raw Data'!N75), IFERROR('Raw Data'!N75 = ROUND('Raw Data'!N75, 2),FALSE)),"",_xlfn.REGEXEXTRACT(CELL("address",N75), "\$([A-Z]+)\$[0-9]+"))),_xlfn.REGEXEXTRACT(CELL("address",N75), "\$([A-Z]+)\$[0-9]+"))</f>
        <v/>
      </c>
      <c r="O75" s="7" t="str">
        <f t="array" aca="1" ref="O75" ca="1">IFERROR(IF(OR('Raw Data'!O75="",LEN(TRIM('Raw Data'!O75))=0),"",IF(AND(ISNUMBER('Raw Data'!O75),'Raw Data'!O75&gt;=Configuration!$D$2),"",_xlfn.REGEXEXTRACT(CELL("address",'Raw Data'!O75),"\$([A-Z]+)\$[0-9]+"))),_xlfn.REGEXEXTRACT(CELL("address",O75), "\$([A-Z]+)\$[0-9]+"))</f>
        <v/>
      </c>
      <c r="P75" s="7" t="str">
        <f t="array" aca="1" ref="P75" ca="1">IFERROR(IF(OR('Raw Data'!P75="",LEN(TRIM('Raw Data'!P75))=0),"",IF(AND(ISNUMBER('Raw Data'!P75), IFERROR('Raw Data'!P75 = ROUND('Raw Data'!P75, 2),FALSE)),"",_xlfn.REGEXEXTRACT(CELL("address",P75), "\$([A-Z]+)\$[0-9]+"))),_xlfn.REGEXEXTRACT(CELL("address",P75), "\$([A-Z]+)\$[0-9]+"))</f>
        <v/>
      </c>
      <c r="Q75" s="7" t="str">
        <f t="array" aca="1" ref="Q75" ca="1">IFERROR(IF(OR('Raw Data'!Q75="",LEN(TRIM('Raw Data'!Q75))=0),"",IF(AND(ISNUMBER('Raw Data'!Q75), IFERROR('Raw Data'!Q75 = ROUND('Raw Data'!Q75, 2),FALSE)),"",_xlfn.REGEXEXTRACT(CELL("address",Q75), "\$([A-Z]+)\$[0-9]+"))),_xlfn.REGEXEXTRACT(CELL("address",Q75), "\$([A-Z]+)\$[0-9]+"))</f>
        <v/>
      </c>
      <c r="R75" s="7" t="str">
        <f t="array" aca="1" ref="R75" ca="1">IFERROR(IF(OR('Raw Data'!R75="",LEN(TRIM('Raw Data'!R75))=0),"",IF(AND(LEN('Raw Data'!R75) &lt;= 50,LEN('Raw Data'!R75)&gt; 0),"",_xlfn.REGEXEXTRACT(CELL("address",'Raw Data'!R75),"\$([A-Z]+)\$[0-9]+"))),_xlfn.REGEXEXTRACT(CELL("address",'Raw Data'!R75),"\$([A-Z]+)\$[0-9]+"))</f>
        <v/>
      </c>
      <c r="S75" s="7" t="str">
        <f t="array" aca="1" ref="S75" ca="1">IFERROR(IF(OR('Raw Data'!S75="",LEN(TRIM('Raw Data'!S75))=0),"",IF(AND(LEN('Raw Data'!S75) &lt;= 50,LEN('Raw Data'!S75)&gt; 0),"",_xlfn.REGEXEXTRACT(CELL("address",'Raw Data'!S75),"\$([A-Z]+)\$[0-9]+"))),_xlfn.REGEXEXTRACT(CELL("address",'Raw Data'!S75),"\$([A-Z]+)\$[0-9]+"))</f>
        <v/>
      </c>
      <c r="T75" s="7" t="str">
        <f t="array" aca="1" ref="T75" ca="1">IFERROR(IF(OR('Raw Data'!T75="",LEN(TRIM('Raw Data'!T75))=0),"",IF(AND(ISNUMBER('Raw Data'!T75), IFERROR('Raw Data'!T75 = ROUND('Raw Data'!T75, 2),FALSE)),"",_xlfn.REGEXEXTRACT(CELL("address",T75), "\$([A-Z]+)\$[0-9]+"))),_xlfn.REGEXEXTRACT(CELL("address",T75), "\$([A-Z]+)\$[0-9]+"))</f>
        <v/>
      </c>
      <c r="U75" s="7" t="str">
        <f t="array" aca="1" ref="U75" ca="1">IFERROR(IF(OR('Raw Data'!U75="",LEN(TRIM('Raw Data'!U75))=0),"",IF(AND(ISNUMBER('Raw Data'!U75), IFERROR('Raw Data'!U75 = ROUND('Raw Data'!U75, 2),FALSE)),"",_xlfn.REGEXEXTRACT(CELL("address",U75), "\$([A-Z]+)\$[0-9]+"))),_xlfn.REGEXEXTRACT(CELL("address",U75), "\$([A-Z]+)\$[0-9]+"))</f>
        <v/>
      </c>
      <c r="V75" s="7" t="str">
        <f t="array" aca="1" ref="V75" ca="1">IFERROR(IF(OR('Raw Data'!V75="",LEN(TRIM('Raw Data'!V75))=0),"",IF(AND(ISNUMBER('Raw Data'!V75), IFERROR('Raw Data'!V75 = ROUND('Raw Data'!V75, 2),FALSE)),"",_xlfn.REGEXEXTRACT(CELL("address",V75), "\$([A-Z]+)\$[0-9]+"))),_xlfn.REGEXEXTRACT(CELL("address",V75), "\$([A-Z]+)\$[0-9]+"))</f>
        <v/>
      </c>
      <c r="W75" s="7" t="str">
        <f t="array" aca="1" ref="W75" ca="1">IFERROR(IF(OR('Raw Data'!W75="",LEN(TRIM('Raw Data'!W75))=0),"",IF(AND(ISNUMBER('Raw Data'!W75), IFERROR('Raw Data'!W75 = ROUND('Raw Data'!W75, 2),FALSE)),"",_xlfn.REGEXEXTRACT(CELL("address",W75), "\$([A-Z]+)\$[0-9]+"))),_xlfn.REGEXEXTRACT(CELL("address",W75), "\$([A-Z]+)\$[0-9]+"))</f>
        <v/>
      </c>
      <c r="X75" s="7" t="str">
        <f t="array" aca="1" ref="X75" ca="1">IFERROR(IF(OR('Raw Data'!X75="",LEN(TRIM('Raw Data'!X75))=0),"",IF(AND(ISNUMBER('Raw Data'!X75), IFERROR('Raw Data'!X75 = ROUND('Raw Data'!X75, 2),FALSE)),"",_xlfn.REGEXEXTRACT(CELL("address",X75), "\$([A-Z]+)\$[0-9]+"))),_xlfn.REGEXEXTRACT(CELL("address",X75), "\$([A-Z]+)\$[0-9]+"))</f>
        <v/>
      </c>
      <c r="Y75" s="7" t="str">
        <f t="array" aca="1" ref="Y75" ca="1">IFERROR(IF(OR('Raw Data'!Y75="",LEN(TRIM('Raw Data'!Y75))=0),"",IF(AND(ISNUMBER('Raw Data'!Y75), IFERROR('Raw Data'!Y75 = ROUND('Raw Data'!Y75, 2),FALSE)),"",_xlfn.REGEXEXTRACT(CELL("address",Y75), "\$([A-Z]+)\$[0-9]+"))),_xlfn.REGEXEXTRACT(CELL("address",Y75), "\$([A-Z]+)\$[0-9]+"))</f>
        <v/>
      </c>
      <c r="Z75" s="7" t="str">
        <f t="array" aca="1" ref="Z75" ca="1">IFERROR(IF(OR('Raw Data'!Z75="",LEN(TRIM('Raw Data'!Z75))=0),"",IF(AND(ISNUMBER('Raw Data'!Z75), IFERROR('Raw Data'!Z75 = ROUND('Raw Data'!Z75, 2),FALSE)),"",_xlfn.REGEXEXTRACT(CELL("address",Z75), "\$([A-Z]+)\$[0-9]+"))),_xlfn.REGEXEXTRACT(CELL("address",Z75), "\$([A-Z]+)\$[0-9]+"))</f>
        <v/>
      </c>
      <c r="AA75" s="7" t="str">
        <f t="array" aca="1" ref="AA75" ca="1">IFERROR(IF(OR('Raw Data'!AA75="",LEN(TRIM('Raw Data'!AA75))=0),"",IF(AND(ISNUMBER('Raw Data'!AA75), IFERROR('Raw Data'!AA75 = ROUND('Raw Data'!AA75, 2),FALSE)),"",_xlfn.REGEXEXTRACT(CELL("address",AA75), "\$([A-Z]+)\$[0-9]+"))),_xlfn.REGEXEXTRACT(CELL("address",AA75), "\$([A-Z]+)\$[0-9]+"))</f>
        <v/>
      </c>
      <c r="AB75" s="7" t="str">
        <f t="array" aca="1" ref="AB75" ca="1">IFERROR(IF(OR('Raw Data'!AB75="",LEN(TRIM('Raw Data'!AB75))=0),"",IF(AND(ISNUMBER('Raw Data'!AB75), IFERROR('Raw Data'!AB75 = ROUND('Raw Data'!AB75, 2),FALSE)),"",_xlfn.REGEXEXTRACT(CELL("address",AB75), "\$([A-Z]+)\$[0-9]+"))),_xlfn.REGEXEXTRACT(CELL("address",AB75), "\$([A-Z]+)\$[0-9]+"))</f>
        <v/>
      </c>
      <c r="AC75" s="7" t="str">
        <f t="array" aca="1" ref="AC75" ca="1">IFERROR(IF(OR('Raw Data'!AC75="",LEN(TRIM('Raw Data'!AC75))=0),"",IF(AND(ISNUMBER('Raw Data'!AC75), IFERROR('Raw Data'!AC75 = ROUND('Raw Data'!AC75, 2),FALSE)),"",_xlfn.REGEXEXTRACT(CELL("address",AC75), "\$([A-Z]+)\$[0-9]+"))),_xlfn.REGEXEXTRACT(CELL("address",AC75), "\$([A-Z]+)\$[0-9]+"))</f>
        <v/>
      </c>
      <c r="AD75" s="7" t="str">
        <f t="array" aca="1" ref="AD75" ca="1">IFERROR(IF(OR('Raw Data'!AD75="",LEN(TRIM('Raw Data'!AD75))=0),"",IF(AND(ISNUMBER('Raw Data'!AD75), IFERROR('Raw Data'!AD75 = ROUND('Raw Data'!AD75, 2),FALSE)),"",_xlfn.REGEXEXTRACT(CELL("address",AD75), "\$([A-Z]+)\$[0-9]+"))),_xlfn.REGEXEXTRACT(CELL("address",AD75), "\$([A-Z]+)\$[0-9]+"))</f>
        <v/>
      </c>
      <c r="AE75" s="7" t="str">
        <f t="array" aca="1" ref="AE75" ca="1">IFERROR(IF(OR('Raw Data'!AE75="",LEN(TRIM('Raw Data'!AE75))=0),"",IF(AND(ISNUMBER('Raw Data'!AE75), IFERROR('Raw Data'!AE75 = ROUND('Raw Data'!AE75, 2),FALSE)),"",_xlfn.REGEXEXTRACT(CELL("address",AE75), "\$([A-Z]+)\$[0-9]+"))),_xlfn.REGEXEXTRACT(CELL("address",AE75), "\$([A-Z]+)\$[0-9]+"))</f>
        <v/>
      </c>
      <c r="AF75" s="7" t="str">
        <f t="array" aca="1" ref="AF75" ca="1">IFERROR(IF(OR('Raw Data'!AF75="",LEN(TRIM('Raw Data'!AF75))=0),"",IF(AND(ISNUMBER('Raw Data'!AF75), IFERROR('Raw Data'!AF75 = ROUND('Raw Data'!AF75, 2),FALSE)),"",_xlfn.REGEXEXTRACT(CELL("address",AF75), "\$([A-Z]+)\$[0-9]+"))),_xlfn.REGEXEXTRACT(CELL("address",AF75), "\$([A-Z]+)\$[0-9]+"))</f>
        <v/>
      </c>
      <c r="AG75" s="7" t="str">
        <f t="array" aca="1" ref="AG75" ca="1">IFERROR(IF(OR('Raw Data'!AG75="",LEN(TRIM('Raw Data'!AG75))=0),"",IF(AND(ISNUMBER('Raw Data'!AG75), IFERROR('Raw Data'!AG75 = ROUND('Raw Data'!AG75, 2),FALSE)),"",_xlfn.REGEXEXTRACT(CELL("address",AG75), "\$([A-Z]+)\$[0-9]+"))),_xlfn.REGEXEXTRACT(CELL("address",AG75), "\$([A-Z]+)\$[0-9]+"))</f>
        <v/>
      </c>
      <c r="AH75" s="7" t="str">
        <f t="array" aca="1" ref="AH75" ca="1">IFERROR(IF(OR('Raw Data'!AH75="",LEN(TRIM('Raw Data'!AH75))=0),"",IF(AND(ISNUMBER('Raw Data'!AH75), IFERROR('Raw Data'!AH75 = ROUND('Raw Data'!AH75, 2),FALSE)),"",_xlfn.REGEXEXTRACT(CELL("address",AH75), "\$([A-Z]+)\$[0-9]+"))),_xlfn.REGEXEXTRACT(CELL("address",AH75), "\$([A-Z]+)\$[0-9]+"))</f>
        <v/>
      </c>
      <c r="AI75" s="7" t="str">
        <f t="array" aca="1" ref="AI75" ca="1">IFERROR(IF(OR('Raw Data'!AI75="",LEN(TRIM('Raw Data'!AI75))=0),"",IF(AND(ISNUMBER('Raw Data'!AI75), IFERROR('Raw Data'!AI75 = ROUND('Raw Data'!AI75, 2),FALSE)),"",_xlfn.REGEXEXTRACT(CELL("address",AI75), "\$([A-Z]+)\$[0-9]+"))),_xlfn.REGEXEXTRACT(CELL("address",AI75), "\$([A-Z]+)\$[0-9]+"))</f>
        <v/>
      </c>
      <c r="AJ75" s="7" t="str">
        <f t="array" aca="1" ref="AJ75" ca="1">IFERROR(IF(OR('Raw Data'!AJ75="",LEN(TRIM('Raw Data'!AJ75))=0),"",IF(AND(ISNUMBER('Raw Data'!AJ75), IFERROR('Raw Data'!AJ75 = ROUND('Raw Data'!AJ75, 4),FALSE)),"",_xlfn.REGEXEXTRACT(CELL("address",AJ75), "\$([A-Z]+)\$[0-9]+"))),_xlfn.REGEXEXTRACT(CELL("address",AJ75), "\$([A-Z]+)\$[0-9]+"))</f>
        <v/>
      </c>
      <c r="AK75" s="7" t="str">
        <f t="array" aca="1" ref="AK75" ca="1">IFERROR(IF(OR('Raw Data'!AK75="",LEN(TRIM('Raw Data'!AK75))=0),"",IF(AND(ISNUMBER('Raw Data'!AK75), IFERROR('Raw Data'!AK75 = ROUND('Raw Data'!AK75, 2),FALSE)),"",_xlfn.REGEXEXTRACT(CELL("address",AK75), "\$([A-Z]+)\$[0-9]+"))),_xlfn.REGEXEXTRACT(CELL("address",AK75), "\$([A-Z]+)\$[0-9]+"))</f>
        <v/>
      </c>
      <c r="AL75" s="7" t="str">
        <f t="array" aca="1" ref="AL75" ca="1">IFERROR(IF(OR('Raw Data'!AL75="",LEN(TRIM('Raw Data'!AL75))=0),"",IF(AND(ISNUMBER('Raw Data'!AL75), IFERROR('Raw Data'!AL75 = ROUND('Raw Data'!AL75, 2),FALSE)),"",_xlfn.REGEXEXTRACT(CELL("address",AL75), "\$([A-Z]+)\$[0-9]+"))),_xlfn.REGEXEXTRACT(CELL("address",AL75), "\$([A-Z]+)\$[0-9]+"))</f>
        <v/>
      </c>
      <c r="AM75" s="7" t="str">
        <f t="array" aca="1" ref="AM75" ca="1">IFERROR(IF(OR('Raw Data'!AM75="",LEN(TRIM('Raw Data'!AM75))=0),"",IF(AND(ISNUMBER('Raw Data'!AM75), IFERROR('Raw Data'!AM75 = ROUND('Raw Data'!AM75, 2),FALSE)),"",_xlfn.REGEXEXTRACT(CELL("address",AM75), "\$([A-Z]+)\$[0-9]+"))),_xlfn.REGEXEXTRACT(CELL("address",AM75), "\$([A-Z]+)\$[0-9]+"))</f>
        <v/>
      </c>
      <c r="AN75" s="7" t="str">
        <f t="array" aca="1" ref="AN75" ca="1">IFERROR(IF(OR('Raw Data'!AN75="",LEN(TRIM('Raw Data'!AN75))=0),"",IF(AND(ISNUMBER('Raw Data'!AN75), IFERROR('Raw Data'!AN75 = ROUND('Raw Data'!AN75, 2),FALSE)),"",_xlfn.REGEXEXTRACT(CELL("address",AN75), "\$([A-Z]+)\$[0-9]+"))),_xlfn.REGEXEXTRACT(CELL("address",AN75), "\$([A-Z]+)\$[0-9]+"))</f>
        <v/>
      </c>
      <c r="AO75" s="7" t="str">
        <f t="array" aca="1" ref="AO75" ca="1">IFERROR(IF(OR('Raw Data'!AO75="",LEN(TRIM('Raw Data'!AO75))=0),"",IF(AND(ISNUMBER('Raw Data'!AO75), IFERROR('Raw Data'!AO75 = ROUND('Raw Data'!AO75, 2),FALSE)),"",_xlfn.REGEXEXTRACT(CELL("address",AO75), "\$([A-Z]+)\$[0-9]+"))),_xlfn.REGEXEXTRACT(CELL("address",AO75), "\$([A-Z]+)\$[0-9]+"))</f>
        <v/>
      </c>
      <c r="AP75" s="7" t="str">
        <f t="array" aca="1" ref="AP75" ca="1">IFERROR(IF(OR('Raw Data'!AP75="",LEN(TRIM('Raw Data'!AP75))=0),"",IF(AND(ISNUMBER('Raw Data'!AP75), IFERROR('Raw Data'!AP75 = ROUND('Raw Data'!AP75, 2),FALSE)),"",_xlfn.REGEXEXTRACT(CELL("address",AP75), "\$([A-Z]+)\$[0-9]+"))),_xlfn.REGEXEXTRACT(CELL("address",AP75), "\$([A-Z]+)\$[0-9]+"))</f>
        <v/>
      </c>
    </row>
    <row r="76" spans="2:42" x14ac:dyDescent="0.25">
      <c r="B76" s="7" t="str">
        <f t="array" aca="1" ref="B76" ca="1">IFERROR(IF(OR('Raw Data'!B76="",LEN(TRIM('Raw Data'!B76))=0),"",IF(AND(LEN('Raw Data'!B76) &lt;= 255,LEN('Raw Data'!B76)&gt; 0),"",_xlfn.REGEXEXTRACT(CELL("address",'Raw Data'!B76),"\$([A-Z]+)\$[0-9]+"))),_xlfn.REGEXEXTRACT(CELL("address",'Raw Data'!B76),"\$([A-Z]+)\$[0-9]+"))</f>
        <v/>
      </c>
      <c r="C76" s="7" t="str">
        <f t="array" aca="1" ref="C76" ca="1">IFERROR(IF(OR('Raw Data'!C76="",LEN(TRIM('Raw Data'!C76))=0),"",IF(AND(LEN('Raw Data'!C76) &lt;= 50,LEN('Raw Data'!C76)&gt; 0),"",_xlfn.REGEXEXTRACT(CELL("address",'Raw Data'!C76),"\$([A-Z]+)\$[0-9]+"))),_xlfn.REGEXEXTRACT(CELL("address",'Raw Data'!C76),"\$([A-Z]+)\$[0-9]+"))</f>
        <v/>
      </c>
      <c r="D76" s="7" t="str">
        <f t="array" aca="1" ref="D76" ca="1">IFERROR(IF(OR('Raw Data'!D76="",LEN(TRIM('Raw Data'!D76))=0),"",IF(AND(LEN('Raw Data'!D76) &lt;= 500,LEN('Raw Data'!D76)&gt; 0),"",_xlfn.REGEXEXTRACT(CELL("address",'Raw Data'!D76),"\$([A-Z]+)\$[0-9]+"))),_xlfn.REGEXEXTRACT(CELL("address",'Raw Data'!D76),"\$([A-Z]+)\$[0-9]+"))</f>
        <v/>
      </c>
      <c r="E76" s="7" t="str">
        <f t="array" aca="1" ref="E76" ca="1">IFERROR(IF(OR('Raw Data'!E76="",LEN(TRIM('Raw Data'!E76))=0),"",IF(AND(LEN('Raw Data'!E76) &lt;= 50,LEN('Raw Data'!E76)&gt; 0),"",_xlfn.REGEXEXTRACT(CELL("address",'Raw Data'!E76),"\$([A-Z]+)\$[0-9]+"))),_xlfn.REGEXEXTRACT(CELL("address",'Raw Data'!E76),"\$([A-Z]+)\$[0-9]+"))</f>
        <v/>
      </c>
      <c r="F76" s="7" t="str">
        <f t="array" aca="1" ref="F76" ca="1">IFERROR(IF(OR('Raw Data'!F76="",LEN(TRIM('Raw Data'!F76))=0),"",IF(AND(LEN('Raw Data'!F76) &lt;= 50,LEN('Raw Data'!F76)&gt; 0),"",_xlfn.REGEXEXTRACT(CELL("address",'Raw Data'!F76),"\$([A-Z]+)\$[0-9]+"))),_xlfn.REGEXEXTRACT(CELL("address",'Raw Data'!F76),"\$([A-Z]+)\$[0-9]+"))</f>
        <v/>
      </c>
      <c r="G76" s="7" t="str">
        <f t="array" aca="1" ref="G76" ca="1">IFERROR(IF(OR('Raw Data'!G76="",LEN(TRIM('Raw Data'!G76))=0),"",IF(AND(LEN('Raw Data'!G76) &lt;= 50,LEN('Raw Data'!G76)&gt; 0),"",_xlfn.REGEXEXTRACT(CELL("address",'Raw Data'!G76),"\$([A-Z]+)\$[0-9]+"))),_xlfn.REGEXEXTRACT(CELL("address",'Raw Data'!G76),"\$([A-Z]+)\$[0-9]+"))</f>
        <v/>
      </c>
      <c r="H76" s="7" t="str">
        <f t="array" aca="1" ref="H76" ca="1">IFERROR(IF(OR('Raw Data'!H76="",LEN(TRIM('Raw Data'!H76))=0),"",IF(AND(LEN('Raw Data'!H76) &lt;= 50,LEN('Raw Data'!H76)&gt; 0),"",_xlfn.REGEXEXTRACT(CELL("address",'Raw Data'!H76),"\$([A-Z]+)\$[0-9]+"))),_xlfn.REGEXEXTRACT(CELL("address",'Raw Data'!H76),"\$([A-Z]+)\$[0-9]+"))</f>
        <v/>
      </c>
      <c r="I76" s="7" t="str">
        <f t="array" aca="1" ref="I76" ca="1">IFERROR(IF(OR('Raw Data'!I76="",LEN(TRIM('Raw Data'!I76))=0),"",IF(AND(LEN('Raw Data'!I76) &lt;= 50,LEN('Raw Data'!I76)&gt; 0),"",_xlfn.REGEXEXTRACT(CELL("address",'Raw Data'!I76),"\$([A-Z]+)\$[0-9]+"))),_xlfn.REGEXEXTRACT(CELL("address",'Raw Data'!I76),"\$([A-Z]+)\$[0-9]+"))</f>
        <v/>
      </c>
      <c r="J76" s="7" t="str">
        <f t="array" aca="1" ref="J76" ca="1">IFERROR(IF(OR('Raw Data'!J76="",LEN(TRIM('Raw Data'!J76))=0),"",IF(AND(ISNUMBER('Raw Data'!J76), IFERROR('Raw Data'!J76 = ROUND('Raw Data'!J76, 2),FALSE)),"",_xlfn.REGEXEXTRACT(CELL("address",J76), "\$([A-Z]+)\$[0-9]+"))),_xlfn.REGEXEXTRACT(CELL("address",J76), "\$([A-Z]+)\$[0-9]+"))</f>
        <v/>
      </c>
      <c r="K76" s="7" t="str">
        <f t="array" aca="1" ref="K76" ca="1">IFERROR(IF(OR('Raw Data'!K76="",LEN(TRIM('Raw Data'!K76))=0),"",IF(AND(ISNUMBER('Raw Data'!K76), IFERROR('Raw Data'!K76 = ROUND('Raw Data'!K76, 2),FALSE)),"",_xlfn.REGEXEXTRACT(CELL("address",K76), "\$([A-Z]+)\$[0-9]+"))),_xlfn.REGEXEXTRACT(CELL("address",K76), "\$([A-Z]+)\$[0-9]+"))</f>
        <v/>
      </c>
      <c r="L76" s="7" t="str">
        <f t="array" aca="1" ref="L76" ca="1">IFERROR(IF(OR('Raw Data'!L76="",LEN(TRIM('Raw Data'!L76))=0),"",IF(AND(ISNUMBER('Raw Data'!L76), IFERROR('Raw Data'!L76 = ROUND('Raw Data'!L76, 2),FALSE)),"",_xlfn.REGEXEXTRACT(CELL("address",L76), "\$([A-Z]+)\$[0-9]+"))),_xlfn.REGEXEXTRACT(CELL("address",L76), "\$([A-Z]+)\$[0-9]+"))</f>
        <v/>
      </c>
      <c r="M76" s="7" t="str">
        <f t="array" aca="1" ref="M76" ca="1">IFERROR(IF(OR('Raw Data'!M76="",LEN(TRIM('Raw Data'!M76))=0),"",IF(AND(ISNUMBER('Raw Data'!M76), IFERROR('Raw Data'!M76 = ROUND('Raw Data'!M76, 2),FALSE)),"",_xlfn.REGEXEXTRACT(CELL("address",M76), "\$([A-Z]+)\$[0-9]+"))),_xlfn.REGEXEXTRACT(CELL("address",M76), "\$([A-Z]+)\$[0-9]+"))</f>
        <v/>
      </c>
      <c r="N76" s="7" t="str">
        <f t="array" aca="1" ref="N76" ca="1">IFERROR(IF(OR('Raw Data'!N76="",LEN(TRIM('Raw Data'!N76))=0),"",IF(AND(ISNUMBER('Raw Data'!N76), IFERROR('Raw Data'!N76 = ROUND('Raw Data'!N76, 2),FALSE)),"",_xlfn.REGEXEXTRACT(CELL("address",N76), "\$([A-Z]+)\$[0-9]+"))),_xlfn.REGEXEXTRACT(CELL("address",N76), "\$([A-Z]+)\$[0-9]+"))</f>
        <v/>
      </c>
      <c r="O76" s="7" t="str">
        <f t="array" aca="1" ref="O76" ca="1">IFERROR(IF(OR('Raw Data'!O76="",LEN(TRIM('Raw Data'!O76))=0),"",IF(AND(ISNUMBER('Raw Data'!O76),'Raw Data'!O76&gt;=Configuration!$D$2),"",_xlfn.REGEXEXTRACT(CELL("address",'Raw Data'!O76),"\$([A-Z]+)\$[0-9]+"))),_xlfn.REGEXEXTRACT(CELL("address",O76), "\$([A-Z]+)\$[0-9]+"))</f>
        <v/>
      </c>
      <c r="P76" s="7" t="str">
        <f t="array" aca="1" ref="P76" ca="1">IFERROR(IF(OR('Raw Data'!P76="",LEN(TRIM('Raw Data'!P76))=0),"",IF(AND(ISNUMBER('Raw Data'!P76), IFERROR('Raw Data'!P76 = ROUND('Raw Data'!P76, 2),FALSE)),"",_xlfn.REGEXEXTRACT(CELL("address",P76), "\$([A-Z]+)\$[0-9]+"))),_xlfn.REGEXEXTRACT(CELL("address",P76), "\$([A-Z]+)\$[0-9]+"))</f>
        <v/>
      </c>
      <c r="Q76" s="7" t="str">
        <f t="array" aca="1" ref="Q76" ca="1">IFERROR(IF(OR('Raw Data'!Q76="",LEN(TRIM('Raw Data'!Q76))=0),"",IF(AND(ISNUMBER('Raw Data'!Q76), IFERROR('Raw Data'!Q76 = ROUND('Raw Data'!Q76, 2),FALSE)),"",_xlfn.REGEXEXTRACT(CELL("address",Q76), "\$([A-Z]+)\$[0-9]+"))),_xlfn.REGEXEXTRACT(CELL("address",Q76), "\$([A-Z]+)\$[0-9]+"))</f>
        <v/>
      </c>
      <c r="R76" s="7" t="str">
        <f t="array" aca="1" ref="R76" ca="1">IFERROR(IF(OR('Raw Data'!R76="",LEN(TRIM('Raw Data'!R76))=0),"",IF(AND(LEN('Raw Data'!R76) &lt;= 50,LEN('Raw Data'!R76)&gt; 0),"",_xlfn.REGEXEXTRACT(CELL("address",'Raw Data'!R76),"\$([A-Z]+)\$[0-9]+"))),_xlfn.REGEXEXTRACT(CELL("address",'Raw Data'!R76),"\$([A-Z]+)\$[0-9]+"))</f>
        <v/>
      </c>
      <c r="S76" s="7" t="str">
        <f t="array" aca="1" ref="S76" ca="1">IFERROR(IF(OR('Raw Data'!S76="",LEN(TRIM('Raw Data'!S76))=0),"",IF(AND(LEN('Raw Data'!S76) &lt;= 50,LEN('Raw Data'!S76)&gt; 0),"",_xlfn.REGEXEXTRACT(CELL("address",'Raw Data'!S76),"\$([A-Z]+)\$[0-9]+"))),_xlfn.REGEXEXTRACT(CELL("address",'Raw Data'!S76),"\$([A-Z]+)\$[0-9]+"))</f>
        <v/>
      </c>
      <c r="T76" s="7" t="str">
        <f t="array" aca="1" ref="T76" ca="1">IFERROR(IF(OR('Raw Data'!T76="",LEN(TRIM('Raw Data'!T76))=0),"",IF(AND(ISNUMBER('Raw Data'!T76), IFERROR('Raw Data'!T76 = ROUND('Raw Data'!T76, 2),FALSE)),"",_xlfn.REGEXEXTRACT(CELL("address",T76), "\$([A-Z]+)\$[0-9]+"))),_xlfn.REGEXEXTRACT(CELL("address",T76), "\$([A-Z]+)\$[0-9]+"))</f>
        <v/>
      </c>
      <c r="U76" s="7" t="str">
        <f t="array" aca="1" ref="U76" ca="1">IFERROR(IF(OR('Raw Data'!U76="",LEN(TRIM('Raw Data'!U76))=0),"",IF(AND(ISNUMBER('Raw Data'!U76), IFERROR('Raw Data'!U76 = ROUND('Raw Data'!U76, 2),FALSE)),"",_xlfn.REGEXEXTRACT(CELL("address",U76), "\$([A-Z]+)\$[0-9]+"))),_xlfn.REGEXEXTRACT(CELL("address",U76), "\$([A-Z]+)\$[0-9]+"))</f>
        <v/>
      </c>
      <c r="V76" s="7" t="str">
        <f t="array" aca="1" ref="V76" ca="1">IFERROR(IF(OR('Raw Data'!V76="",LEN(TRIM('Raw Data'!V76))=0),"",IF(AND(ISNUMBER('Raw Data'!V76), IFERROR('Raw Data'!V76 = ROUND('Raw Data'!V76, 2),FALSE)),"",_xlfn.REGEXEXTRACT(CELL("address",V76), "\$([A-Z]+)\$[0-9]+"))),_xlfn.REGEXEXTRACT(CELL("address",V76), "\$([A-Z]+)\$[0-9]+"))</f>
        <v/>
      </c>
      <c r="W76" s="7" t="str">
        <f t="array" aca="1" ref="W76" ca="1">IFERROR(IF(OR('Raw Data'!W76="",LEN(TRIM('Raw Data'!W76))=0),"",IF(AND(ISNUMBER('Raw Data'!W76), IFERROR('Raw Data'!W76 = ROUND('Raw Data'!W76, 2),FALSE)),"",_xlfn.REGEXEXTRACT(CELL("address",W76), "\$([A-Z]+)\$[0-9]+"))),_xlfn.REGEXEXTRACT(CELL("address",W76), "\$([A-Z]+)\$[0-9]+"))</f>
        <v/>
      </c>
      <c r="X76" s="7" t="str">
        <f t="array" aca="1" ref="X76" ca="1">IFERROR(IF(OR('Raw Data'!X76="",LEN(TRIM('Raw Data'!X76))=0),"",IF(AND(ISNUMBER('Raw Data'!X76), IFERROR('Raw Data'!X76 = ROUND('Raw Data'!X76, 2),FALSE)),"",_xlfn.REGEXEXTRACT(CELL("address",X76), "\$([A-Z]+)\$[0-9]+"))),_xlfn.REGEXEXTRACT(CELL("address",X76), "\$([A-Z]+)\$[0-9]+"))</f>
        <v/>
      </c>
      <c r="Y76" s="7" t="str">
        <f t="array" aca="1" ref="Y76" ca="1">IFERROR(IF(OR('Raw Data'!Y76="",LEN(TRIM('Raw Data'!Y76))=0),"",IF(AND(ISNUMBER('Raw Data'!Y76), IFERROR('Raw Data'!Y76 = ROUND('Raw Data'!Y76, 2),FALSE)),"",_xlfn.REGEXEXTRACT(CELL("address",Y76), "\$([A-Z]+)\$[0-9]+"))),_xlfn.REGEXEXTRACT(CELL("address",Y76), "\$([A-Z]+)\$[0-9]+"))</f>
        <v/>
      </c>
      <c r="Z76" s="7" t="str">
        <f t="array" aca="1" ref="Z76" ca="1">IFERROR(IF(OR('Raw Data'!Z76="",LEN(TRIM('Raw Data'!Z76))=0),"",IF(AND(ISNUMBER('Raw Data'!Z76), IFERROR('Raw Data'!Z76 = ROUND('Raw Data'!Z76, 2),FALSE)),"",_xlfn.REGEXEXTRACT(CELL("address",Z76), "\$([A-Z]+)\$[0-9]+"))),_xlfn.REGEXEXTRACT(CELL("address",Z76), "\$([A-Z]+)\$[0-9]+"))</f>
        <v/>
      </c>
      <c r="AA76" s="7" t="str">
        <f t="array" aca="1" ref="AA76" ca="1">IFERROR(IF(OR('Raw Data'!AA76="",LEN(TRIM('Raw Data'!AA76))=0),"",IF(AND(ISNUMBER('Raw Data'!AA76), IFERROR('Raw Data'!AA76 = ROUND('Raw Data'!AA76, 2),FALSE)),"",_xlfn.REGEXEXTRACT(CELL("address",AA76), "\$([A-Z]+)\$[0-9]+"))),_xlfn.REGEXEXTRACT(CELL("address",AA76), "\$([A-Z]+)\$[0-9]+"))</f>
        <v/>
      </c>
      <c r="AB76" s="7" t="str">
        <f t="array" aca="1" ref="AB76" ca="1">IFERROR(IF(OR('Raw Data'!AB76="",LEN(TRIM('Raw Data'!AB76))=0),"",IF(AND(ISNUMBER('Raw Data'!AB76), IFERROR('Raw Data'!AB76 = ROUND('Raw Data'!AB76, 2),FALSE)),"",_xlfn.REGEXEXTRACT(CELL("address",AB76), "\$([A-Z]+)\$[0-9]+"))),_xlfn.REGEXEXTRACT(CELL("address",AB76), "\$([A-Z]+)\$[0-9]+"))</f>
        <v/>
      </c>
      <c r="AC76" s="7" t="str">
        <f t="array" aca="1" ref="AC76" ca="1">IFERROR(IF(OR('Raw Data'!AC76="",LEN(TRIM('Raw Data'!AC76))=0),"",IF(AND(ISNUMBER('Raw Data'!AC76), IFERROR('Raw Data'!AC76 = ROUND('Raw Data'!AC76, 2),FALSE)),"",_xlfn.REGEXEXTRACT(CELL("address",AC76), "\$([A-Z]+)\$[0-9]+"))),_xlfn.REGEXEXTRACT(CELL("address",AC76), "\$([A-Z]+)\$[0-9]+"))</f>
        <v/>
      </c>
      <c r="AD76" s="7" t="str">
        <f t="array" aca="1" ref="AD76" ca="1">IFERROR(IF(OR('Raw Data'!AD76="",LEN(TRIM('Raw Data'!AD76))=0),"",IF(AND(ISNUMBER('Raw Data'!AD76), IFERROR('Raw Data'!AD76 = ROUND('Raw Data'!AD76, 2),FALSE)),"",_xlfn.REGEXEXTRACT(CELL("address",AD76), "\$([A-Z]+)\$[0-9]+"))),_xlfn.REGEXEXTRACT(CELL("address",AD76), "\$([A-Z]+)\$[0-9]+"))</f>
        <v/>
      </c>
      <c r="AE76" s="7" t="str">
        <f t="array" aca="1" ref="AE76" ca="1">IFERROR(IF(OR('Raw Data'!AE76="",LEN(TRIM('Raw Data'!AE76))=0),"",IF(AND(ISNUMBER('Raw Data'!AE76), IFERROR('Raw Data'!AE76 = ROUND('Raw Data'!AE76, 2),FALSE)),"",_xlfn.REGEXEXTRACT(CELL("address",AE76), "\$([A-Z]+)\$[0-9]+"))),_xlfn.REGEXEXTRACT(CELL("address",AE76), "\$([A-Z]+)\$[0-9]+"))</f>
        <v/>
      </c>
      <c r="AF76" s="7" t="str">
        <f t="array" aca="1" ref="AF76" ca="1">IFERROR(IF(OR('Raw Data'!AF76="",LEN(TRIM('Raw Data'!AF76))=0),"",IF(AND(ISNUMBER('Raw Data'!AF76), IFERROR('Raw Data'!AF76 = ROUND('Raw Data'!AF76, 2),FALSE)),"",_xlfn.REGEXEXTRACT(CELL("address",AF76), "\$([A-Z]+)\$[0-9]+"))),_xlfn.REGEXEXTRACT(CELL("address",AF76), "\$([A-Z]+)\$[0-9]+"))</f>
        <v/>
      </c>
      <c r="AG76" s="7" t="str">
        <f t="array" aca="1" ref="AG76" ca="1">IFERROR(IF(OR('Raw Data'!AG76="",LEN(TRIM('Raw Data'!AG76))=0),"",IF(AND(ISNUMBER('Raw Data'!AG76), IFERROR('Raw Data'!AG76 = ROUND('Raw Data'!AG76, 2),FALSE)),"",_xlfn.REGEXEXTRACT(CELL("address",AG76), "\$([A-Z]+)\$[0-9]+"))),_xlfn.REGEXEXTRACT(CELL("address",AG76), "\$([A-Z]+)\$[0-9]+"))</f>
        <v/>
      </c>
      <c r="AH76" s="7" t="str">
        <f t="array" aca="1" ref="AH76" ca="1">IFERROR(IF(OR('Raw Data'!AH76="",LEN(TRIM('Raw Data'!AH76))=0),"",IF(AND(ISNUMBER('Raw Data'!AH76), IFERROR('Raw Data'!AH76 = ROUND('Raw Data'!AH76, 2),FALSE)),"",_xlfn.REGEXEXTRACT(CELL("address",AH76), "\$([A-Z]+)\$[0-9]+"))),_xlfn.REGEXEXTRACT(CELL("address",AH76), "\$([A-Z]+)\$[0-9]+"))</f>
        <v/>
      </c>
      <c r="AI76" s="7" t="str">
        <f t="array" aca="1" ref="AI76" ca="1">IFERROR(IF(OR('Raw Data'!AI76="",LEN(TRIM('Raw Data'!AI76))=0),"",IF(AND(ISNUMBER('Raw Data'!AI76), IFERROR('Raw Data'!AI76 = ROUND('Raw Data'!AI76, 2),FALSE)),"",_xlfn.REGEXEXTRACT(CELL("address",AI76), "\$([A-Z]+)\$[0-9]+"))),_xlfn.REGEXEXTRACT(CELL("address",AI76), "\$([A-Z]+)\$[0-9]+"))</f>
        <v/>
      </c>
      <c r="AJ76" s="7" t="str">
        <f t="array" aca="1" ref="AJ76" ca="1">IFERROR(IF(OR('Raw Data'!AJ76="",LEN(TRIM('Raw Data'!AJ76))=0),"",IF(AND(ISNUMBER('Raw Data'!AJ76), IFERROR('Raw Data'!AJ76 = ROUND('Raw Data'!AJ76, 4),FALSE)),"",_xlfn.REGEXEXTRACT(CELL("address",AJ76), "\$([A-Z]+)\$[0-9]+"))),_xlfn.REGEXEXTRACT(CELL("address",AJ76), "\$([A-Z]+)\$[0-9]+"))</f>
        <v/>
      </c>
      <c r="AK76" s="7" t="str">
        <f t="array" aca="1" ref="AK76" ca="1">IFERROR(IF(OR('Raw Data'!AK76="",LEN(TRIM('Raw Data'!AK76))=0),"",IF(AND(ISNUMBER('Raw Data'!AK76), IFERROR('Raw Data'!AK76 = ROUND('Raw Data'!AK76, 2),FALSE)),"",_xlfn.REGEXEXTRACT(CELL("address",AK76), "\$([A-Z]+)\$[0-9]+"))),_xlfn.REGEXEXTRACT(CELL("address",AK76), "\$([A-Z]+)\$[0-9]+"))</f>
        <v/>
      </c>
      <c r="AL76" s="7" t="str">
        <f t="array" aca="1" ref="AL76" ca="1">IFERROR(IF(OR('Raw Data'!AL76="",LEN(TRIM('Raw Data'!AL76))=0),"",IF(AND(ISNUMBER('Raw Data'!AL76), IFERROR('Raw Data'!AL76 = ROUND('Raw Data'!AL76, 2),FALSE)),"",_xlfn.REGEXEXTRACT(CELL("address",AL76), "\$([A-Z]+)\$[0-9]+"))),_xlfn.REGEXEXTRACT(CELL("address",AL76), "\$([A-Z]+)\$[0-9]+"))</f>
        <v/>
      </c>
      <c r="AM76" s="7" t="str">
        <f t="array" aca="1" ref="AM76" ca="1">IFERROR(IF(OR('Raw Data'!AM76="",LEN(TRIM('Raw Data'!AM76))=0),"",IF(AND(ISNUMBER('Raw Data'!AM76), IFERROR('Raw Data'!AM76 = ROUND('Raw Data'!AM76, 2),FALSE)),"",_xlfn.REGEXEXTRACT(CELL("address",AM76), "\$([A-Z]+)\$[0-9]+"))),_xlfn.REGEXEXTRACT(CELL("address",AM76), "\$([A-Z]+)\$[0-9]+"))</f>
        <v/>
      </c>
      <c r="AN76" s="7" t="str">
        <f t="array" aca="1" ref="AN76" ca="1">IFERROR(IF(OR('Raw Data'!AN76="",LEN(TRIM('Raw Data'!AN76))=0),"",IF(AND(ISNUMBER('Raw Data'!AN76), IFERROR('Raw Data'!AN76 = ROUND('Raw Data'!AN76, 2),FALSE)),"",_xlfn.REGEXEXTRACT(CELL("address",AN76), "\$([A-Z]+)\$[0-9]+"))),_xlfn.REGEXEXTRACT(CELL("address",AN76), "\$([A-Z]+)\$[0-9]+"))</f>
        <v/>
      </c>
      <c r="AO76" s="7" t="str">
        <f t="array" aca="1" ref="AO76" ca="1">IFERROR(IF(OR('Raw Data'!AO76="",LEN(TRIM('Raw Data'!AO76))=0),"",IF(AND(ISNUMBER('Raw Data'!AO76), IFERROR('Raw Data'!AO76 = ROUND('Raw Data'!AO76, 2),FALSE)),"",_xlfn.REGEXEXTRACT(CELL("address",AO76), "\$([A-Z]+)\$[0-9]+"))),_xlfn.REGEXEXTRACT(CELL("address",AO76), "\$([A-Z]+)\$[0-9]+"))</f>
        <v/>
      </c>
      <c r="AP76" s="7" t="str">
        <f t="array" aca="1" ref="AP76" ca="1">IFERROR(IF(OR('Raw Data'!AP76="",LEN(TRIM('Raw Data'!AP76))=0),"",IF(AND(ISNUMBER('Raw Data'!AP76), IFERROR('Raw Data'!AP76 = ROUND('Raw Data'!AP76, 2),FALSE)),"",_xlfn.REGEXEXTRACT(CELL("address",AP76), "\$([A-Z]+)\$[0-9]+"))),_xlfn.REGEXEXTRACT(CELL("address",AP76), "\$([A-Z]+)\$[0-9]+"))</f>
        <v/>
      </c>
    </row>
    <row r="77" spans="2:42" x14ac:dyDescent="0.25">
      <c r="B77" s="7" t="str">
        <f t="array" aca="1" ref="B77" ca="1">IFERROR(IF(OR('Raw Data'!B77="",LEN(TRIM('Raw Data'!B77))=0),"",IF(AND(LEN('Raw Data'!B77) &lt;= 255,LEN('Raw Data'!B77)&gt; 0),"",_xlfn.REGEXEXTRACT(CELL("address",'Raw Data'!B77),"\$([A-Z]+)\$[0-9]+"))),_xlfn.REGEXEXTRACT(CELL("address",'Raw Data'!B77),"\$([A-Z]+)\$[0-9]+"))</f>
        <v/>
      </c>
      <c r="C77" s="7" t="str">
        <f t="array" aca="1" ref="C77" ca="1">IFERROR(IF(OR('Raw Data'!C77="",LEN(TRIM('Raw Data'!C77))=0),"",IF(AND(LEN('Raw Data'!C77) &lt;= 50,LEN('Raw Data'!C77)&gt; 0),"",_xlfn.REGEXEXTRACT(CELL("address",'Raw Data'!C77),"\$([A-Z]+)\$[0-9]+"))),_xlfn.REGEXEXTRACT(CELL("address",'Raw Data'!C77),"\$([A-Z]+)\$[0-9]+"))</f>
        <v/>
      </c>
      <c r="D77" s="7" t="str">
        <f t="array" aca="1" ref="D77" ca="1">IFERROR(IF(OR('Raw Data'!D77="",LEN(TRIM('Raw Data'!D77))=0),"",IF(AND(LEN('Raw Data'!D77) &lt;= 500,LEN('Raw Data'!D77)&gt; 0),"",_xlfn.REGEXEXTRACT(CELL("address",'Raw Data'!D77),"\$([A-Z]+)\$[0-9]+"))),_xlfn.REGEXEXTRACT(CELL("address",'Raw Data'!D77),"\$([A-Z]+)\$[0-9]+"))</f>
        <v/>
      </c>
      <c r="E77" s="7" t="str">
        <f t="array" aca="1" ref="E77" ca="1">IFERROR(IF(OR('Raw Data'!E77="",LEN(TRIM('Raw Data'!E77))=0),"",IF(AND(LEN('Raw Data'!E77) &lt;= 50,LEN('Raw Data'!E77)&gt; 0),"",_xlfn.REGEXEXTRACT(CELL("address",'Raw Data'!E77),"\$([A-Z]+)\$[0-9]+"))),_xlfn.REGEXEXTRACT(CELL("address",'Raw Data'!E77),"\$([A-Z]+)\$[0-9]+"))</f>
        <v/>
      </c>
      <c r="F77" s="7" t="str">
        <f t="array" aca="1" ref="F77" ca="1">IFERROR(IF(OR('Raw Data'!F77="",LEN(TRIM('Raw Data'!F77))=0),"",IF(AND(LEN('Raw Data'!F77) &lt;= 50,LEN('Raw Data'!F77)&gt; 0),"",_xlfn.REGEXEXTRACT(CELL("address",'Raw Data'!F77),"\$([A-Z]+)\$[0-9]+"))),_xlfn.REGEXEXTRACT(CELL("address",'Raw Data'!F77),"\$([A-Z]+)\$[0-9]+"))</f>
        <v/>
      </c>
      <c r="G77" s="7" t="str">
        <f t="array" aca="1" ref="G77" ca="1">IFERROR(IF(OR('Raw Data'!G77="",LEN(TRIM('Raw Data'!G77))=0),"",IF(AND(LEN('Raw Data'!G77) &lt;= 50,LEN('Raw Data'!G77)&gt; 0),"",_xlfn.REGEXEXTRACT(CELL("address",'Raw Data'!G77),"\$([A-Z]+)\$[0-9]+"))),_xlfn.REGEXEXTRACT(CELL("address",'Raw Data'!G77),"\$([A-Z]+)\$[0-9]+"))</f>
        <v/>
      </c>
      <c r="H77" s="7" t="str">
        <f t="array" aca="1" ref="H77" ca="1">IFERROR(IF(OR('Raw Data'!H77="",LEN(TRIM('Raw Data'!H77))=0),"",IF(AND(LEN('Raw Data'!H77) &lt;= 50,LEN('Raw Data'!H77)&gt; 0),"",_xlfn.REGEXEXTRACT(CELL("address",'Raw Data'!H77),"\$([A-Z]+)\$[0-9]+"))),_xlfn.REGEXEXTRACT(CELL("address",'Raw Data'!H77),"\$([A-Z]+)\$[0-9]+"))</f>
        <v/>
      </c>
      <c r="I77" s="7" t="str">
        <f t="array" aca="1" ref="I77" ca="1">IFERROR(IF(OR('Raw Data'!I77="",LEN(TRIM('Raw Data'!I77))=0),"",IF(AND(LEN('Raw Data'!I77) &lt;= 50,LEN('Raw Data'!I77)&gt; 0),"",_xlfn.REGEXEXTRACT(CELL("address",'Raw Data'!I77),"\$([A-Z]+)\$[0-9]+"))),_xlfn.REGEXEXTRACT(CELL("address",'Raw Data'!I77),"\$([A-Z]+)\$[0-9]+"))</f>
        <v/>
      </c>
      <c r="J77" s="7" t="str">
        <f t="array" aca="1" ref="J77" ca="1">IFERROR(IF(OR('Raw Data'!J77="",LEN(TRIM('Raw Data'!J77))=0),"",IF(AND(ISNUMBER('Raw Data'!J77), IFERROR('Raw Data'!J77 = ROUND('Raw Data'!J77, 2),FALSE)),"",_xlfn.REGEXEXTRACT(CELL("address",J77), "\$([A-Z]+)\$[0-9]+"))),_xlfn.REGEXEXTRACT(CELL("address",J77), "\$([A-Z]+)\$[0-9]+"))</f>
        <v/>
      </c>
      <c r="K77" s="7" t="str">
        <f t="array" aca="1" ref="K77" ca="1">IFERROR(IF(OR('Raw Data'!K77="",LEN(TRIM('Raw Data'!K77))=0),"",IF(AND(ISNUMBER('Raw Data'!K77), IFERROR('Raw Data'!K77 = ROUND('Raw Data'!K77, 2),FALSE)),"",_xlfn.REGEXEXTRACT(CELL("address",K77), "\$([A-Z]+)\$[0-9]+"))),_xlfn.REGEXEXTRACT(CELL("address",K77), "\$([A-Z]+)\$[0-9]+"))</f>
        <v/>
      </c>
      <c r="L77" s="7" t="str">
        <f t="array" aca="1" ref="L77" ca="1">IFERROR(IF(OR('Raw Data'!L77="",LEN(TRIM('Raw Data'!L77))=0),"",IF(AND(ISNUMBER('Raw Data'!L77), IFERROR('Raw Data'!L77 = ROUND('Raw Data'!L77, 2),FALSE)),"",_xlfn.REGEXEXTRACT(CELL("address",L77), "\$([A-Z]+)\$[0-9]+"))),_xlfn.REGEXEXTRACT(CELL("address",L77), "\$([A-Z]+)\$[0-9]+"))</f>
        <v/>
      </c>
      <c r="M77" s="7" t="str">
        <f t="array" aca="1" ref="M77" ca="1">IFERROR(IF(OR('Raw Data'!M77="",LEN(TRIM('Raw Data'!M77))=0),"",IF(AND(ISNUMBER('Raw Data'!M77), IFERROR('Raw Data'!M77 = ROUND('Raw Data'!M77, 2),FALSE)),"",_xlfn.REGEXEXTRACT(CELL("address",M77), "\$([A-Z]+)\$[0-9]+"))),_xlfn.REGEXEXTRACT(CELL("address",M77), "\$([A-Z]+)\$[0-9]+"))</f>
        <v/>
      </c>
      <c r="N77" s="7" t="str">
        <f t="array" aca="1" ref="N77" ca="1">IFERROR(IF(OR('Raw Data'!N77="",LEN(TRIM('Raw Data'!N77))=0),"",IF(AND(ISNUMBER('Raw Data'!N77), IFERROR('Raw Data'!N77 = ROUND('Raw Data'!N77, 2),FALSE)),"",_xlfn.REGEXEXTRACT(CELL("address",N77), "\$([A-Z]+)\$[0-9]+"))),_xlfn.REGEXEXTRACT(CELL("address",N77), "\$([A-Z]+)\$[0-9]+"))</f>
        <v/>
      </c>
      <c r="O77" s="7" t="str">
        <f t="array" aca="1" ref="O77" ca="1">IFERROR(IF(OR('Raw Data'!O77="",LEN(TRIM('Raw Data'!O77))=0),"",IF(AND(ISNUMBER('Raw Data'!O77),'Raw Data'!O77&gt;=Configuration!$D$2),"",_xlfn.REGEXEXTRACT(CELL("address",'Raw Data'!O77),"\$([A-Z]+)\$[0-9]+"))),_xlfn.REGEXEXTRACT(CELL("address",O77), "\$([A-Z]+)\$[0-9]+"))</f>
        <v/>
      </c>
      <c r="P77" s="7" t="str">
        <f t="array" aca="1" ref="P77" ca="1">IFERROR(IF(OR('Raw Data'!P77="",LEN(TRIM('Raw Data'!P77))=0),"",IF(AND(ISNUMBER('Raw Data'!P77), IFERROR('Raw Data'!P77 = ROUND('Raw Data'!P77, 2),FALSE)),"",_xlfn.REGEXEXTRACT(CELL("address",P77), "\$([A-Z]+)\$[0-9]+"))),_xlfn.REGEXEXTRACT(CELL("address",P77), "\$([A-Z]+)\$[0-9]+"))</f>
        <v/>
      </c>
      <c r="Q77" s="7" t="str">
        <f t="array" aca="1" ref="Q77" ca="1">IFERROR(IF(OR('Raw Data'!Q77="",LEN(TRIM('Raw Data'!Q77))=0),"",IF(AND(ISNUMBER('Raw Data'!Q77), IFERROR('Raw Data'!Q77 = ROUND('Raw Data'!Q77, 2),FALSE)),"",_xlfn.REGEXEXTRACT(CELL("address",Q77), "\$([A-Z]+)\$[0-9]+"))),_xlfn.REGEXEXTRACT(CELL("address",Q77), "\$([A-Z]+)\$[0-9]+"))</f>
        <v/>
      </c>
      <c r="R77" s="7" t="str">
        <f t="array" aca="1" ref="R77" ca="1">IFERROR(IF(OR('Raw Data'!R77="",LEN(TRIM('Raw Data'!R77))=0),"",IF(AND(LEN('Raw Data'!R77) &lt;= 50,LEN('Raw Data'!R77)&gt; 0),"",_xlfn.REGEXEXTRACT(CELL("address",'Raw Data'!R77),"\$([A-Z]+)\$[0-9]+"))),_xlfn.REGEXEXTRACT(CELL("address",'Raw Data'!R77),"\$([A-Z]+)\$[0-9]+"))</f>
        <v/>
      </c>
      <c r="S77" s="7" t="str">
        <f t="array" aca="1" ref="S77" ca="1">IFERROR(IF(OR('Raw Data'!S77="",LEN(TRIM('Raw Data'!S77))=0),"",IF(AND(LEN('Raw Data'!S77) &lt;= 50,LEN('Raw Data'!S77)&gt; 0),"",_xlfn.REGEXEXTRACT(CELL("address",'Raw Data'!S77),"\$([A-Z]+)\$[0-9]+"))),_xlfn.REGEXEXTRACT(CELL("address",'Raw Data'!S77),"\$([A-Z]+)\$[0-9]+"))</f>
        <v/>
      </c>
      <c r="T77" s="7" t="str">
        <f t="array" aca="1" ref="T77" ca="1">IFERROR(IF(OR('Raw Data'!T77="",LEN(TRIM('Raw Data'!T77))=0),"",IF(AND(ISNUMBER('Raw Data'!T77), IFERROR('Raw Data'!T77 = ROUND('Raw Data'!T77, 2),FALSE)),"",_xlfn.REGEXEXTRACT(CELL("address",T77), "\$([A-Z]+)\$[0-9]+"))),_xlfn.REGEXEXTRACT(CELL("address",T77), "\$([A-Z]+)\$[0-9]+"))</f>
        <v/>
      </c>
      <c r="U77" s="7" t="str">
        <f t="array" aca="1" ref="U77" ca="1">IFERROR(IF(OR('Raw Data'!U77="",LEN(TRIM('Raw Data'!U77))=0),"",IF(AND(ISNUMBER('Raw Data'!U77), IFERROR('Raw Data'!U77 = ROUND('Raw Data'!U77, 2),FALSE)),"",_xlfn.REGEXEXTRACT(CELL("address",U77), "\$([A-Z]+)\$[0-9]+"))),_xlfn.REGEXEXTRACT(CELL("address",U77), "\$([A-Z]+)\$[0-9]+"))</f>
        <v/>
      </c>
      <c r="V77" s="7" t="str">
        <f t="array" aca="1" ref="V77" ca="1">IFERROR(IF(OR('Raw Data'!V77="",LEN(TRIM('Raw Data'!V77))=0),"",IF(AND(ISNUMBER('Raw Data'!V77), IFERROR('Raw Data'!V77 = ROUND('Raw Data'!V77, 2),FALSE)),"",_xlfn.REGEXEXTRACT(CELL("address",V77), "\$([A-Z]+)\$[0-9]+"))),_xlfn.REGEXEXTRACT(CELL("address",V77), "\$([A-Z]+)\$[0-9]+"))</f>
        <v/>
      </c>
      <c r="W77" s="7" t="str">
        <f t="array" aca="1" ref="W77" ca="1">IFERROR(IF(OR('Raw Data'!W77="",LEN(TRIM('Raw Data'!W77))=0),"",IF(AND(ISNUMBER('Raw Data'!W77), IFERROR('Raw Data'!W77 = ROUND('Raw Data'!W77, 2),FALSE)),"",_xlfn.REGEXEXTRACT(CELL("address",W77), "\$([A-Z]+)\$[0-9]+"))),_xlfn.REGEXEXTRACT(CELL("address",W77), "\$([A-Z]+)\$[0-9]+"))</f>
        <v/>
      </c>
      <c r="X77" s="7" t="str">
        <f t="array" aca="1" ref="X77" ca="1">IFERROR(IF(OR('Raw Data'!X77="",LEN(TRIM('Raw Data'!X77))=0),"",IF(AND(ISNUMBER('Raw Data'!X77), IFERROR('Raw Data'!X77 = ROUND('Raw Data'!X77, 2),FALSE)),"",_xlfn.REGEXEXTRACT(CELL("address",X77), "\$([A-Z]+)\$[0-9]+"))),_xlfn.REGEXEXTRACT(CELL("address",X77), "\$([A-Z]+)\$[0-9]+"))</f>
        <v/>
      </c>
      <c r="Y77" s="7" t="str">
        <f t="array" aca="1" ref="Y77" ca="1">IFERROR(IF(OR('Raw Data'!Y77="",LEN(TRIM('Raw Data'!Y77))=0),"",IF(AND(ISNUMBER('Raw Data'!Y77), IFERROR('Raw Data'!Y77 = ROUND('Raw Data'!Y77, 2),FALSE)),"",_xlfn.REGEXEXTRACT(CELL("address",Y77), "\$([A-Z]+)\$[0-9]+"))),_xlfn.REGEXEXTRACT(CELL("address",Y77), "\$([A-Z]+)\$[0-9]+"))</f>
        <v/>
      </c>
      <c r="Z77" s="7" t="str">
        <f t="array" aca="1" ref="Z77" ca="1">IFERROR(IF(OR('Raw Data'!Z77="",LEN(TRIM('Raw Data'!Z77))=0),"",IF(AND(ISNUMBER('Raw Data'!Z77), IFERROR('Raw Data'!Z77 = ROUND('Raw Data'!Z77, 2),FALSE)),"",_xlfn.REGEXEXTRACT(CELL("address",Z77), "\$([A-Z]+)\$[0-9]+"))),_xlfn.REGEXEXTRACT(CELL("address",Z77), "\$([A-Z]+)\$[0-9]+"))</f>
        <v/>
      </c>
      <c r="AA77" s="7" t="str">
        <f t="array" aca="1" ref="AA77" ca="1">IFERROR(IF(OR('Raw Data'!AA77="",LEN(TRIM('Raw Data'!AA77))=0),"",IF(AND(ISNUMBER('Raw Data'!AA77), IFERROR('Raw Data'!AA77 = ROUND('Raw Data'!AA77, 2),FALSE)),"",_xlfn.REGEXEXTRACT(CELL("address",AA77), "\$([A-Z]+)\$[0-9]+"))),_xlfn.REGEXEXTRACT(CELL("address",AA77), "\$([A-Z]+)\$[0-9]+"))</f>
        <v/>
      </c>
      <c r="AB77" s="7" t="str">
        <f t="array" aca="1" ref="AB77" ca="1">IFERROR(IF(OR('Raw Data'!AB77="",LEN(TRIM('Raw Data'!AB77))=0),"",IF(AND(ISNUMBER('Raw Data'!AB77), IFERROR('Raw Data'!AB77 = ROUND('Raw Data'!AB77, 2),FALSE)),"",_xlfn.REGEXEXTRACT(CELL("address",AB77), "\$([A-Z]+)\$[0-9]+"))),_xlfn.REGEXEXTRACT(CELL("address",AB77), "\$([A-Z]+)\$[0-9]+"))</f>
        <v/>
      </c>
      <c r="AC77" s="7" t="str">
        <f t="array" aca="1" ref="AC77" ca="1">IFERROR(IF(OR('Raw Data'!AC77="",LEN(TRIM('Raw Data'!AC77))=0),"",IF(AND(ISNUMBER('Raw Data'!AC77), IFERROR('Raw Data'!AC77 = ROUND('Raw Data'!AC77, 2),FALSE)),"",_xlfn.REGEXEXTRACT(CELL("address",AC77), "\$([A-Z]+)\$[0-9]+"))),_xlfn.REGEXEXTRACT(CELL("address",AC77), "\$([A-Z]+)\$[0-9]+"))</f>
        <v/>
      </c>
      <c r="AD77" s="7" t="str">
        <f t="array" aca="1" ref="AD77" ca="1">IFERROR(IF(OR('Raw Data'!AD77="",LEN(TRIM('Raw Data'!AD77))=0),"",IF(AND(ISNUMBER('Raw Data'!AD77), IFERROR('Raw Data'!AD77 = ROUND('Raw Data'!AD77, 2),FALSE)),"",_xlfn.REGEXEXTRACT(CELL("address",AD77), "\$([A-Z]+)\$[0-9]+"))),_xlfn.REGEXEXTRACT(CELL("address",AD77), "\$([A-Z]+)\$[0-9]+"))</f>
        <v/>
      </c>
      <c r="AE77" s="7" t="str">
        <f t="array" aca="1" ref="AE77" ca="1">IFERROR(IF(OR('Raw Data'!AE77="",LEN(TRIM('Raw Data'!AE77))=0),"",IF(AND(ISNUMBER('Raw Data'!AE77), IFERROR('Raw Data'!AE77 = ROUND('Raw Data'!AE77, 2),FALSE)),"",_xlfn.REGEXEXTRACT(CELL("address",AE77), "\$([A-Z]+)\$[0-9]+"))),_xlfn.REGEXEXTRACT(CELL("address",AE77), "\$([A-Z]+)\$[0-9]+"))</f>
        <v/>
      </c>
      <c r="AF77" s="7" t="str">
        <f t="array" aca="1" ref="AF77" ca="1">IFERROR(IF(OR('Raw Data'!AF77="",LEN(TRIM('Raw Data'!AF77))=0),"",IF(AND(ISNUMBER('Raw Data'!AF77), IFERROR('Raw Data'!AF77 = ROUND('Raw Data'!AF77, 2),FALSE)),"",_xlfn.REGEXEXTRACT(CELL("address",AF77), "\$([A-Z]+)\$[0-9]+"))),_xlfn.REGEXEXTRACT(CELL("address",AF77), "\$([A-Z]+)\$[0-9]+"))</f>
        <v/>
      </c>
      <c r="AG77" s="7" t="str">
        <f t="array" aca="1" ref="AG77" ca="1">IFERROR(IF(OR('Raw Data'!AG77="",LEN(TRIM('Raw Data'!AG77))=0),"",IF(AND(ISNUMBER('Raw Data'!AG77), IFERROR('Raw Data'!AG77 = ROUND('Raw Data'!AG77, 2),FALSE)),"",_xlfn.REGEXEXTRACT(CELL("address",AG77), "\$([A-Z]+)\$[0-9]+"))),_xlfn.REGEXEXTRACT(CELL("address",AG77), "\$([A-Z]+)\$[0-9]+"))</f>
        <v/>
      </c>
      <c r="AH77" s="7" t="str">
        <f t="array" aca="1" ref="AH77" ca="1">IFERROR(IF(OR('Raw Data'!AH77="",LEN(TRIM('Raw Data'!AH77))=0),"",IF(AND(ISNUMBER('Raw Data'!AH77), IFERROR('Raw Data'!AH77 = ROUND('Raw Data'!AH77, 2),FALSE)),"",_xlfn.REGEXEXTRACT(CELL("address",AH77), "\$([A-Z]+)\$[0-9]+"))),_xlfn.REGEXEXTRACT(CELL("address",AH77), "\$([A-Z]+)\$[0-9]+"))</f>
        <v/>
      </c>
      <c r="AI77" s="7" t="str">
        <f t="array" aca="1" ref="AI77" ca="1">IFERROR(IF(OR('Raw Data'!AI77="",LEN(TRIM('Raw Data'!AI77))=0),"",IF(AND(ISNUMBER('Raw Data'!AI77), IFERROR('Raw Data'!AI77 = ROUND('Raw Data'!AI77, 2),FALSE)),"",_xlfn.REGEXEXTRACT(CELL("address",AI77), "\$([A-Z]+)\$[0-9]+"))),_xlfn.REGEXEXTRACT(CELL("address",AI77), "\$([A-Z]+)\$[0-9]+"))</f>
        <v/>
      </c>
      <c r="AJ77" s="7" t="str">
        <f t="array" aca="1" ref="AJ77" ca="1">IFERROR(IF(OR('Raw Data'!AJ77="",LEN(TRIM('Raw Data'!AJ77))=0),"",IF(AND(ISNUMBER('Raw Data'!AJ77), IFERROR('Raw Data'!AJ77 = ROUND('Raw Data'!AJ77, 4),FALSE)),"",_xlfn.REGEXEXTRACT(CELL("address",AJ77), "\$([A-Z]+)\$[0-9]+"))),_xlfn.REGEXEXTRACT(CELL("address",AJ77), "\$([A-Z]+)\$[0-9]+"))</f>
        <v/>
      </c>
      <c r="AK77" s="7" t="str">
        <f t="array" aca="1" ref="AK77" ca="1">IFERROR(IF(OR('Raw Data'!AK77="",LEN(TRIM('Raw Data'!AK77))=0),"",IF(AND(ISNUMBER('Raw Data'!AK77), IFERROR('Raw Data'!AK77 = ROUND('Raw Data'!AK77, 2),FALSE)),"",_xlfn.REGEXEXTRACT(CELL("address",AK77), "\$([A-Z]+)\$[0-9]+"))),_xlfn.REGEXEXTRACT(CELL("address",AK77), "\$([A-Z]+)\$[0-9]+"))</f>
        <v/>
      </c>
      <c r="AL77" s="7" t="str">
        <f t="array" aca="1" ref="AL77" ca="1">IFERROR(IF(OR('Raw Data'!AL77="",LEN(TRIM('Raw Data'!AL77))=0),"",IF(AND(ISNUMBER('Raw Data'!AL77), IFERROR('Raw Data'!AL77 = ROUND('Raw Data'!AL77, 2),FALSE)),"",_xlfn.REGEXEXTRACT(CELL("address",AL77), "\$([A-Z]+)\$[0-9]+"))),_xlfn.REGEXEXTRACT(CELL("address",AL77), "\$([A-Z]+)\$[0-9]+"))</f>
        <v/>
      </c>
      <c r="AM77" s="7" t="str">
        <f t="array" aca="1" ref="AM77" ca="1">IFERROR(IF(OR('Raw Data'!AM77="",LEN(TRIM('Raw Data'!AM77))=0),"",IF(AND(ISNUMBER('Raw Data'!AM77), IFERROR('Raw Data'!AM77 = ROUND('Raw Data'!AM77, 2),FALSE)),"",_xlfn.REGEXEXTRACT(CELL("address",AM77), "\$([A-Z]+)\$[0-9]+"))),_xlfn.REGEXEXTRACT(CELL("address",AM77), "\$([A-Z]+)\$[0-9]+"))</f>
        <v/>
      </c>
      <c r="AN77" s="7" t="str">
        <f t="array" aca="1" ref="AN77" ca="1">IFERROR(IF(OR('Raw Data'!AN77="",LEN(TRIM('Raw Data'!AN77))=0),"",IF(AND(ISNUMBER('Raw Data'!AN77), IFERROR('Raw Data'!AN77 = ROUND('Raw Data'!AN77, 2),FALSE)),"",_xlfn.REGEXEXTRACT(CELL("address",AN77), "\$([A-Z]+)\$[0-9]+"))),_xlfn.REGEXEXTRACT(CELL("address",AN77), "\$([A-Z]+)\$[0-9]+"))</f>
        <v/>
      </c>
      <c r="AO77" s="7" t="str">
        <f t="array" aca="1" ref="AO77" ca="1">IFERROR(IF(OR('Raw Data'!AO77="",LEN(TRIM('Raw Data'!AO77))=0),"",IF(AND(ISNUMBER('Raw Data'!AO77), IFERROR('Raw Data'!AO77 = ROUND('Raw Data'!AO77, 2),FALSE)),"",_xlfn.REGEXEXTRACT(CELL("address",AO77), "\$([A-Z]+)\$[0-9]+"))),_xlfn.REGEXEXTRACT(CELL("address",AO77), "\$([A-Z]+)\$[0-9]+"))</f>
        <v/>
      </c>
      <c r="AP77" s="7" t="str">
        <f t="array" aca="1" ref="AP77" ca="1">IFERROR(IF(OR('Raw Data'!AP77="",LEN(TRIM('Raw Data'!AP77))=0),"",IF(AND(ISNUMBER('Raw Data'!AP77), IFERROR('Raw Data'!AP77 = ROUND('Raw Data'!AP77, 2),FALSE)),"",_xlfn.REGEXEXTRACT(CELL("address",AP77), "\$([A-Z]+)\$[0-9]+"))),_xlfn.REGEXEXTRACT(CELL("address",AP77), "\$([A-Z]+)\$[0-9]+"))</f>
        <v/>
      </c>
    </row>
    <row r="78" spans="2:42" x14ac:dyDescent="0.25">
      <c r="B78" s="7" t="str">
        <f t="array" aca="1" ref="B78" ca="1">IFERROR(IF(OR('Raw Data'!B78="",LEN(TRIM('Raw Data'!B78))=0),"",IF(AND(LEN('Raw Data'!B78) &lt;= 255,LEN('Raw Data'!B78)&gt; 0),"",_xlfn.REGEXEXTRACT(CELL("address",'Raw Data'!B78),"\$([A-Z]+)\$[0-9]+"))),_xlfn.REGEXEXTRACT(CELL("address",'Raw Data'!B78),"\$([A-Z]+)\$[0-9]+"))</f>
        <v/>
      </c>
      <c r="C78" s="7" t="str">
        <f t="array" aca="1" ref="C78" ca="1">IFERROR(IF(OR('Raw Data'!C78="",LEN(TRIM('Raw Data'!C78))=0),"",IF(AND(LEN('Raw Data'!C78) &lt;= 50,LEN('Raw Data'!C78)&gt; 0),"",_xlfn.REGEXEXTRACT(CELL("address",'Raw Data'!C78),"\$([A-Z]+)\$[0-9]+"))),_xlfn.REGEXEXTRACT(CELL("address",'Raw Data'!C78),"\$([A-Z]+)\$[0-9]+"))</f>
        <v/>
      </c>
      <c r="D78" s="7" t="str">
        <f t="array" aca="1" ref="D78" ca="1">IFERROR(IF(OR('Raw Data'!D78="",LEN(TRIM('Raw Data'!D78))=0),"",IF(AND(LEN('Raw Data'!D78) &lt;= 500,LEN('Raw Data'!D78)&gt; 0),"",_xlfn.REGEXEXTRACT(CELL("address",'Raw Data'!D78),"\$([A-Z]+)\$[0-9]+"))),_xlfn.REGEXEXTRACT(CELL("address",'Raw Data'!D78),"\$([A-Z]+)\$[0-9]+"))</f>
        <v/>
      </c>
      <c r="E78" s="7" t="str">
        <f t="array" aca="1" ref="E78" ca="1">IFERROR(IF(OR('Raw Data'!E78="",LEN(TRIM('Raw Data'!E78))=0),"",IF(AND(LEN('Raw Data'!E78) &lt;= 50,LEN('Raw Data'!E78)&gt; 0),"",_xlfn.REGEXEXTRACT(CELL("address",'Raw Data'!E78),"\$([A-Z]+)\$[0-9]+"))),_xlfn.REGEXEXTRACT(CELL("address",'Raw Data'!E78),"\$([A-Z]+)\$[0-9]+"))</f>
        <v/>
      </c>
      <c r="F78" s="7" t="str">
        <f t="array" aca="1" ref="F78" ca="1">IFERROR(IF(OR('Raw Data'!F78="",LEN(TRIM('Raw Data'!F78))=0),"",IF(AND(LEN('Raw Data'!F78) &lt;= 50,LEN('Raw Data'!F78)&gt; 0),"",_xlfn.REGEXEXTRACT(CELL("address",'Raw Data'!F78),"\$([A-Z]+)\$[0-9]+"))),_xlfn.REGEXEXTRACT(CELL("address",'Raw Data'!F78),"\$([A-Z]+)\$[0-9]+"))</f>
        <v/>
      </c>
      <c r="G78" s="7" t="str">
        <f t="array" aca="1" ref="G78" ca="1">IFERROR(IF(OR('Raw Data'!G78="",LEN(TRIM('Raw Data'!G78))=0),"",IF(AND(LEN('Raw Data'!G78) &lt;= 50,LEN('Raw Data'!G78)&gt; 0),"",_xlfn.REGEXEXTRACT(CELL("address",'Raw Data'!G78),"\$([A-Z]+)\$[0-9]+"))),_xlfn.REGEXEXTRACT(CELL("address",'Raw Data'!G78),"\$([A-Z]+)\$[0-9]+"))</f>
        <v/>
      </c>
      <c r="H78" s="7" t="str">
        <f t="array" aca="1" ref="H78" ca="1">IFERROR(IF(OR('Raw Data'!H78="",LEN(TRIM('Raw Data'!H78))=0),"",IF(AND(LEN('Raw Data'!H78) &lt;= 50,LEN('Raw Data'!H78)&gt; 0),"",_xlfn.REGEXEXTRACT(CELL("address",'Raw Data'!H78),"\$([A-Z]+)\$[0-9]+"))),_xlfn.REGEXEXTRACT(CELL("address",'Raw Data'!H78),"\$([A-Z]+)\$[0-9]+"))</f>
        <v/>
      </c>
      <c r="I78" s="7" t="str">
        <f t="array" aca="1" ref="I78" ca="1">IFERROR(IF(OR('Raw Data'!I78="",LEN(TRIM('Raw Data'!I78))=0),"",IF(AND(LEN('Raw Data'!I78) &lt;= 50,LEN('Raw Data'!I78)&gt; 0),"",_xlfn.REGEXEXTRACT(CELL("address",'Raw Data'!I78),"\$([A-Z]+)\$[0-9]+"))),_xlfn.REGEXEXTRACT(CELL("address",'Raw Data'!I78),"\$([A-Z]+)\$[0-9]+"))</f>
        <v/>
      </c>
      <c r="J78" s="7" t="str">
        <f t="array" aca="1" ref="J78" ca="1">IFERROR(IF(OR('Raw Data'!J78="",LEN(TRIM('Raw Data'!J78))=0),"",IF(AND(ISNUMBER('Raw Data'!J78), IFERROR('Raw Data'!J78 = ROUND('Raw Data'!J78, 2),FALSE)),"",_xlfn.REGEXEXTRACT(CELL("address",J78), "\$([A-Z]+)\$[0-9]+"))),_xlfn.REGEXEXTRACT(CELL("address",J78), "\$([A-Z]+)\$[0-9]+"))</f>
        <v/>
      </c>
      <c r="K78" s="7" t="str">
        <f t="array" aca="1" ref="K78" ca="1">IFERROR(IF(OR('Raw Data'!K78="",LEN(TRIM('Raw Data'!K78))=0),"",IF(AND(ISNUMBER('Raw Data'!K78), IFERROR('Raw Data'!K78 = ROUND('Raw Data'!K78, 2),FALSE)),"",_xlfn.REGEXEXTRACT(CELL("address",K78), "\$([A-Z]+)\$[0-9]+"))),_xlfn.REGEXEXTRACT(CELL("address",K78), "\$([A-Z]+)\$[0-9]+"))</f>
        <v/>
      </c>
      <c r="L78" s="7" t="str">
        <f t="array" aca="1" ref="L78" ca="1">IFERROR(IF(OR('Raw Data'!L78="",LEN(TRIM('Raw Data'!L78))=0),"",IF(AND(ISNUMBER('Raw Data'!L78), IFERROR('Raw Data'!L78 = ROUND('Raw Data'!L78, 2),FALSE)),"",_xlfn.REGEXEXTRACT(CELL("address",L78), "\$([A-Z]+)\$[0-9]+"))),_xlfn.REGEXEXTRACT(CELL("address",L78), "\$([A-Z]+)\$[0-9]+"))</f>
        <v/>
      </c>
      <c r="M78" s="7" t="str">
        <f t="array" aca="1" ref="M78" ca="1">IFERROR(IF(OR('Raw Data'!M78="",LEN(TRIM('Raw Data'!M78))=0),"",IF(AND(ISNUMBER('Raw Data'!M78), IFERROR('Raw Data'!M78 = ROUND('Raw Data'!M78, 2),FALSE)),"",_xlfn.REGEXEXTRACT(CELL("address",M78), "\$([A-Z]+)\$[0-9]+"))),_xlfn.REGEXEXTRACT(CELL("address",M78), "\$([A-Z]+)\$[0-9]+"))</f>
        <v/>
      </c>
      <c r="N78" s="7" t="str">
        <f t="array" aca="1" ref="N78" ca="1">IFERROR(IF(OR('Raw Data'!N78="",LEN(TRIM('Raw Data'!N78))=0),"",IF(AND(ISNUMBER('Raw Data'!N78), IFERROR('Raw Data'!N78 = ROUND('Raw Data'!N78, 2),FALSE)),"",_xlfn.REGEXEXTRACT(CELL("address",N78), "\$([A-Z]+)\$[0-9]+"))),_xlfn.REGEXEXTRACT(CELL("address",N78), "\$([A-Z]+)\$[0-9]+"))</f>
        <v/>
      </c>
      <c r="O78" s="7" t="str">
        <f t="array" aca="1" ref="O78" ca="1">IFERROR(IF(OR('Raw Data'!O78="",LEN(TRIM('Raw Data'!O78))=0),"",IF(AND(ISNUMBER('Raw Data'!O78),'Raw Data'!O78&gt;=Configuration!$D$2),"",_xlfn.REGEXEXTRACT(CELL("address",'Raw Data'!O78),"\$([A-Z]+)\$[0-9]+"))),_xlfn.REGEXEXTRACT(CELL("address",O78), "\$([A-Z]+)\$[0-9]+"))</f>
        <v/>
      </c>
      <c r="P78" s="7" t="str">
        <f t="array" aca="1" ref="P78" ca="1">IFERROR(IF(OR('Raw Data'!P78="",LEN(TRIM('Raw Data'!P78))=0),"",IF(AND(ISNUMBER('Raw Data'!P78), IFERROR('Raw Data'!P78 = ROUND('Raw Data'!P78, 2),FALSE)),"",_xlfn.REGEXEXTRACT(CELL("address",P78), "\$([A-Z]+)\$[0-9]+"))),_xlfn.REGEXEXTRACT(CELL("address",P78), "\$([A-Z]+)\$[0-9]+"))</f>
        <v/>
      </c>
      <c r="Q78" s="7" t="str">
        <f t="array" aca="1" ref="Q78" ca="1">IFERROR(IF(OR('Raw Data'!Q78="",LEN(TRIM('Raw Data'!Q78))=0),"",IF(AND(ISNUMBER('Raw Data'!Q78), IFERROR('Raw Data'!Q78 = ROUND('Raw Data'!Q78, 2),FALSE)),"",_xlfn.REGEXEXTRACT(CELL("address",Q78), "\$([A-Z]+)\$[0-9]+"))),_xlfn.REGEXEXTRACT(CELL("address",Q78), "\$([A-Z]+)\$[0-9]+"))</f>
        <v/>
      </c>
      <c r="R78" s="7" t="str">
        <f t="array" aca="1" ref="R78" ca="1">IFERROR(IF(OR('Raw Data'!R78="",LEN(TRIM('Raw Data'!R78))=0),"",IF(AND(LEN('Raw Data'!R78) &lt;= 50,LEN('Raw Data'!R78)&gt; 0),"",_xlfn.REGEXEXTRACT(CELL("address",'Raw Data'!R78),"\$([A-Z]+)\$[0-9]+"))),_xlfn.REGEXEXTRACT(CELL("address",'Raw Data'!R78),"\$([A-Z]+)\$[0-9]+"))</f>
        <v/>
      </c>
      <c r="S78" s="7" t="str">
        <f t="array" aca="1" ref="S78" ca="1">IFERROR(IF(OR('Raw Data'!S78="",LEN(TRIM('Raw Data'!S78))=0),"",IF(AND(LEN('Raw Data'!S78) &lt;= 50,LEN('Raw Data'!S78)&gt; 0),"",_xlfn.REGEXEXTRACT(CELL("address",'Raw Data'!S78),"\$([A-Z]+)\$[0-9]+"))),_xlfn.REGEXEXTRACT(CELL("address",'Raw Data'!S78),"\$([A-Z]+)\$[0-9]+"))</f>
        <v/>
      </c>
      <c r="T78" s="7" t="str">
        <f t="array" aca="1" ref="T78" ca="1">IFERROR(IF(OR('Raw Data'!T78="",LEN(TRIM('Raw Data'!T78))=0),"",IF(AND(ISNUMBER('Raw Data'!T78), IFERROR('Raw Data'!T78 = ROUND('Raw Data'!T78, 2),FALSE)),"",_xlfn.REGEXEXTRACT(CELL("address",T78), "\$([A-Z]+)\$[0-9]+"))),_xlfn.REGEXEXTRACT(CELL("address",T78), "\$([A-Z]+)\$[0-9]+"))</f>
        <v/>
      </c>
      <c r="U78" s="7" t="str">
        <f t="array" aca="1" ref="U78" ca="1">IFERROR(IF(OR('Raw Data'!U78="",LEN(TRIM('Raw Data'!U78))=0),"",IF(AND(ISNUMBER('Raw Data'!U78), IFERROR('Raw Data'!U78 = ROUND('Raw Data'!U78, 2),FALSE)),"",_xlfn.REGEXEXTRACT(CELL("address",U78), "\$([A-Z]+)\$[0-9]+"))),_xlfn.REGEXEXTRACT(CELL("address",U78), "\$([A-Z]+)\$[0-9]+"))</f>
        <v/>
      </c>
      <c r="V78" s="7" t="str">
        <f t="array" aca="1" ref="V78" ca="1">IFERROR(IF(OR('Raw Data'!V78="",LEN(TRIM('Raw Data'!V78))=0),"",IF(AND(ISNUMBER('Raw Data'!V78), IFERROR('Raw Data'!V78 = ROUND('Raw Data'!V78, 2),FALSE)),"",_xlfn.REGEXEXTRACT(CELL("address",V78), "\$([A-Z]+)\$[0-9]+"))),_xlfn.REGEXEXTRACT(CELL("address",V78), "\$([A-Z]+)\$[0-9]+"))</f>
        <v/>
      </c>
      <c r="W78" s="7" t="str">
        <f t="array" aca="1" ref="W78" ca="1">IFERROR(IF(OR('Raw Data'!W78="",LEN(TRIM('Raw Data'!W78))=0),"",IF(AND(ISNUMBER('Raw Data'!W78), IFERROR('Raw Data'!W78 = ROUND('Raw Data'!W78, 2),FALSE)),"",_xlfn.REGEXEXTRACT(CELL("address",W78), "\$([A-Z]+)\$[0-9]+"))),_xlfn.REGEXEXTRACT(CELL("address",W78), "\$([A-Z]+)\$[0-9]+"))</f>
        <v/>
      </c>
      <c r="X78" s="7" t="str">
        <f t="array" aca="1" ref="X78" ca="1">IFERROR(IF(OR('Raw Data'!X78="",LEN(TRIM('Raw Data'!X78))=0),"",IF(AND(ISNUMBER('Raw Data'!X78), IFERROR('Raw Data'!X78 = ROUND('Raw Data'!X78, 2),FALSE)),"",_xlfn.REGEXEXTRACT(CELL("address",X78), "\$([A-Z]+)\$[0-9]+"))),_xlfn.REGEXEXTRACT(CELL("address",X78), "\$([A-Z]+)\$[0-9]+"))</f>
        <v/>
      </c>
      <c r="Y78" s="7" t="str">
        <f t="array" aca="1" ref="Y78" ca="1">IFERROR(IF(OR('Raw Data'!Y78="",LEN(TRIM('Raw Data'!Y78))=0),"",IF(AND(ISNUMBER('Raw Data'!Y78), IFERROR('Raw Data'!Y78 = ROUND('Raw Data'!Y78, 2),FALSE)),"",_xlfn.REGEXEXTRACT(CELL("address",Y78), "\$([A-Z]+)\$[0-9]+"))),_xlfn.REGEXEXTRACT(CELL("address",Y78), "\$([A-Z]+)\$[0-9]+"))</f>
        <v/>
      </c>
      <c r="Z78" s="7" t="str">
        <f t="array" aca="1" ref="Z78" ca="1">IFERROR(IF(OR('Raw Data'!Z78="",LEN(TRIM('Raw Data'!Z78))=0),"",IF(AND(ISNUMBER('Raw Data'!Z78), IFERROR('Raw Data'!Z78 = ROUND('Raw Data'!Z78, 2),FALSE)),"",_xlfn.REGEXEXTRACT(CELL("address",Z78), "\$([A-Z]+)\$[0-9]+"))),_xlfn.REGEXEXTRACT(CELL("address",Z78), "\$([A-Z]+)\$[0-9]+"))</f>
        <v/>
      </c>
      <c r="AA78" s="7" t="str">
        <f t="array" aca="1" ref="AA78" ca="1">IFERROR(IF(OR('Raw Data'!AA78="",LEN(TRIM('Raw Data'!AA78))=0),"",IF(AND(ISNUMBER('Raw Data'!AA78), IFERROR('Raw Data'!AA78 = ROUND('Raw Data'!AA78, 2),FALSE)),"",_xlfn.REGEXEXTRACT(CELL("address",AA78), "\$([A-Z]+)\$[0-9]+"))),_xlfn.REGEXEXTRACT(CELL("address",AA78), "\$([A-Z]+)\$[0-9]+"))</f>
        <v/>
      </c>
      <c r="AB78" s="7" t="str">
        <f t="array" aca="1" ref="AB78" ca="1">IFERROR(IF(OR('Raw Data'!AB78="",LEN(TRIM('Raw Data'!AB78))=0),"",IF(AND(ISNUMBER('Raw Data'!AB78), IFERROR('Raw Data'!AB78 = ROUND('Raw Data'!AB78, 2),FALSE)),"",_xlfn.REGEXEXTRACT(CELL("address",AB78), "\$([A-Z]+)\$[0-9]+"))),_xlfn.REGEXEXTRACT(CELL("address",AB78), "\$([A-Z]+)\$[0-9]+"))</f>
        <v/>
      </c>
      <c r="AC78" s="7" t="str">
        <f t="array" aca="1" ref="AC78" ca="1">IFERROR(IF(OR('Raw Data'!AC78="",LEN(TRIM('Raw Data'!AC78))=0),"",IF(AND(ISNUMBER('Raw Data'!AC78), IFERROR('Raw Data'!AC78 = ROUND('Raw Data'!AC78, 2),FALSE)),"",_xlfn.REGEXEXTRACT(CELL("address",AC78), "\$([A-Z]+)\$[0-9]+"))),_xlfn.REGEXEXTRACT(CELL("address",AC78), "\$([A-Z]+)\$[0-9]+"))</f>
        <v/>
      </c>
      <c r="AD78" s="7" t="str">
        <f t="array" aca="1" ref="AD78" ca="1">IFERROR(IF(OR('Raw Data'!AD78="",LEN(TRIM('Raw Data'!AD78))=0),"",IF(AND(ISNUMBER('Raw Data'!AD78), IFERROR('Raw Data'!AD78 = ROUND('Raw Data'!AD78, 2),FALSE)),"",_xlfn.REGEXEXTRACT(CELL("address",AD78), "\$([A-Z]+)\$[0-9]+"))),_xlfn.REGEXEXTRACT(CELL("address",AD78), "\$([A-Z]+)\$[0-9]+"))</f>
        <v/>
      </c>
      <c r="AE78" s="7" t="str">
        <f t="array" aca="1" ref="AE78" ca="1">IFERROR(IF(OR('Raw Data'!AE78="",LEN(TRIM('Raw Data'!AE78))=0),"",IF(AND(ISNUMBER('Raw Data'!AE78), IFERROR('Raw Data'!AE78 = ROUND('Raw Data'!AE78, 2),FALSE)),"",_xlfn.REGEXEXTRACT(CELL("address",AE78), "\$([A-Z]+)\$[0-9]+"))),_xlfn.REGEXEXTRACT(CELL("address",AE78), "\$([A-Z]+)\$[0-9]+"))</f>
        <v/>
      </c>
      <c r="AF78" s="7" t="str">
        <f t="array" aca="1" ref="AF78" ca="1">IFERROR(IF(OR('Raw Data'!AF78="",LEN(TRIM('Raw Data'!AF78))=0),"",IF(AND(ISNUMBER('Raw Data'!AF78), IFERROR('Raw Data'!AF78 = ROUND('Raw Data'!AF78, 2),FALSE)),"",_xlfn.REGEXEXTRACT(CELL("address",AF78), "\$([A-Z]+)\$[0-9]+"))),_xlfn.REGEXEXTRACT(CELL("address",AF78), "\$([A-Z]+)\$[0-9]+"))</f>
        <v/>
      </c>
      <c r="AG78" s="7" t="str">
        <f t="array" aca="1" ref="AG78" ca="1">IFERROR(IF(OR('Raw Data'!AG78="",LEN(TRIM('Raw Data'!AG78))=0),"",IF(AND(ISNUMBER('Raw Data'!AG78), IFERROR('Raw Data'!AG78 = ROUND('Raw Data'!AG78, 2),FALSE)),"",_xlfn.REGEXEXTRACT(CELL("address",AG78), "\$([A-Z]+)\$[0-9]+"))),_xlfn.REGEXEXTRACT(CELL("address",AG78), "\$([A-Z]+)\$[0-9]+"))</f>
        <v/>
      </c>
      <c r="AH78" s="7" t="str">
        <f t="array" aca="1" ref="AH78" ca="1">IFERROR(IF(OR('Raw Data'!AH78="",LEN(TRIM('Raw Data'!AH78))=0),"",IF(AND(ISNUMBER('Raw Data'!AH78), IFERROR('Raw Data'!AH78 = ROUND('Raw Data'!AH78, 2),FALSE)),"",_xlfn.REGEXEXTRACT(CELL("address",AH78), "\$([A-Z]+)\$[0-9]+"))),_xlfn.REGEXEXTRACT(CELL("address",AH78), "\$([A-Z]+)\$[0-9]+"))</f>
        <v/>
      </c>
      <c r="AI78" s="7" t="str">
        <f t="array" aca="1" ref="AI78" ca="1">IFERROR(IF(OR('Raw Data'!AI78="",LEN(TRIM('Raw Data'!AI78))=0),"",IF(AND(ISNUMBER('Raw Data'!AI78), IFERROR('Raw Data'!AI78 = ROUND('Raw Data'!AI78, 2),FALSE)),"",_xlfn.REGEXEXTRACT(CELL("address",AI78), "\$([A-Z]+)\$[0-9]+"))),_xlfn.REGEXEXTRACT(CELL("address",AI78), "\$([A-Z]+)\$[0-9]+"))</f>
        <v/>
      </c>
      <c r="AJ78" s="7" t="str">
        <f t="array" aca="1" ref="AJ78" ca="1">IFERROR(IF(OR('Raw Data'!AJ78="",LEN(TRIM('Raw Data'!AJ78))=0),"",IF(AND(ISNUMBER('Raw Data'!AJ78), IFERROR('Raw Data'!AJ78 = ROUND('Raw Data'!AJ78, 4),FALSE)),"",_xlfn.REGEXEXTRACT(CELL("address",AJ78), "\$([A-Z]+)\$[0-9]+"))),_xlfn.REGEXEXTRACT(CELL("address",AJ78), "\$([A-Z]+)\$[0-9]+"))</f>
        <v/>
      </c>
      <c r="AK78" s="7" t="str">
        <f t="array" aca="1" ref="AK78" ca="1">IFERROR(IF(OR('Raw Data'!AK78="",LEN(TRIM('Raw Data'!AK78))=0),"",IF(AND(ISNUMBER('Raw Data'!AK78), IFERROR('Raw Data'!AK78 = ROUND('Raw Data'!AK78, 2),FALSE)),"",_xlfn.REGEXEXTRACT(CELL("address",AK78), "\$([A-Z]+)\$[0-9]+"))),_xlfn.REGEXEXTRACT(CELL("address",AK78), "\$([A-Z]+)\$[0-9]+"))</f>
        <v/>
      </c>
      <c r="AL78" s="7" t="str">
        <f t="array" aca="1" ref="AL78" ca="1">IFERROR(IF(OR('Raw Data'!AL78="",LEN(TRIM('Raw Data'!AL78))=0),"",IF(AND(ISNUMBER('Raw Data'!AL78), IFERROR('Raw Data'!AL78 = ROUND('Raw Data'!AL78, 2),FALSE)),"",_xlfn.REGEXEXTRACT(CELL("address",AL78), "\$([A-Z]+)\$[0-9]+"))),_xlfn.REGEXEXTRACT(CELL("address",AL78), "\$([A-Z]+)\$[0-9]+"))</f>
        <v/>
      </c>
      <c r="AM78" s="7" t="str">
        <f t="array" aca="1" ref="AM78" ca="1">IFERROR(IF(OR('Raw Data'!AM78="",LEN(TRIM('Raw Data'!AM78))=0),"",IF(AND(ISNUMBER('Raw Data'!AM78), IFERROR('Raw Data'!AM78 = ROUND('Raw Data'!AM78, 2),FALSE)),"",_xlfn.REGEXEXTRACT(CELL("address",AM78), "\$([A-Z]+)\$[0-9]+"))),_xlfn.REGEXEXTRACT(CELL("address",AM78), "\$([A-Z]+)\$[0-9]+"))</f>
        <v/>
      </c>
      <c r="AN78" s="7" t="str">
        <f t="array" aca="1" ref="AN78" ca="1">IFERROR(IF(OR('Raw Data'!AN78="",LEN(TRIM('Raw Data'!AN78))=0),"",IF(AND(ISNUMBER('Raw Data'!AN78), IFERROR('Raw Data'!AN78 = ROUND('Raw Data'!AN78, 2),FALSE)),"",_xlfn.REGEXEXTRACT(CELL("address",AN78), "\$([A-Z]+)\$[0-9]+"))),_xlfn.REGEXEXTRACT(CELL("address",AN78), "\$([A-Z]+)\$[0-9]+"))</f>
        <v/>
      </c>
      <c r="AO78" s="7" t="str">
        <f t="array" aca="1" ref="AO78" ca="1">IFERROR(IF(OR('Raw Data'!AO78="",LEN(TRIM('Raw Data'!AO78))=0),"",IF(AND(ISNUMBER('Raw Data'!AO78), IFERROR('Raw Data'!AO78 = ROUND('Raw Data'!AO78, 2),FALSE)),"",_xlfn.REGEXEXTRACT(CELL("address",AO78), "\$([A-Z]+)\$[0-9]+"))),_xlfn.REGEXEXTRACT(CELL("address",AO78), "\$([A-Z]+)\$[0-9]+"))</f>
        <v/>
      </c>
      <c r="AP78" s="7" t="str">
        <f t="array" aca="1" ref="AP78" ca="1">IFERROR(IF(OR('Raw Data'!AP78="",LEN(TRIM('Raw Data'!AP78))=0),"",IF(AND(ISNUMBER('Raw Data'!AP78), IFERROR('Raw Data'!AP78 = ROUND('Raw Data'!AP78, 2),FALSE)),"",_xlfn.REGEXEXTRACT(CELL("address",AP78), "\$([A-Z]+)\$[0-9]+"))),_xlfn.REGEXEXTRACT(CELL("address",AP78), "\$([A-Z]+)\$[0-9]+"))</f>
        <v/>
      </c>
    </row>
    <row r="79" spans="2:42" x14ac:dyDescent="0.25">
      <c r="B79" s="7" t="str">
        <f t="array" aca="1" ref="B79" ca="1">IFERROR(IF(OR('Raw Data'!B79="",LEN(TRIM('Raw Data'!B79))=0),"",IF(AND(LEN('Raw Data'!B79) &lt;= 255,LEN('Raw Data'!B79)&gt; 0),"",_xlfn.REGEXEXTRACT(CELL("address",'Raw Data'!B79),"\$([A-Z]+)\$[0-9]+"))),_xlfn.REGEXEXTRACT(CELL("address",'Raw Data'!B79),"\$([A-Z]+)\$[0-9]+"))</f>
        <v/>
      </c>
      <c r="C79" s="7" t="str">
        <f t="array" aca="1" ref="C79" ca="1">IFERROR(IF(OR('Raw Data'!C79="",LEN(TRIM('Raw Data'!C79))=0),"",IF(AND(LEN('Raw Data'!C79) &lt;= 50,LEN('Raw Data'!C79)&gt; 0),"",_xlfn.REGEXEXTRACT(CELL("address",'Raw Data'!C79),"\$([A-Z]+)\$[0-9]+"))),_xlfn.REGEXEXTRACT(CELL("address",'Raw Data'!C79),"\$([A-Z]+)\$[0-9]+"))</f>
        <v/>
      </c>
      <c r="D79" s="7" t="str">
        <f t="array" aca="1" ref="D79" ca="1">IFERROR(IF(OR('Raw Data'!D79="",LEN(TRIM('Raw Data'!D79))=0),"",IF(AND(LEN('Raw Data'!D79) &lt;= 500,LEN('Raw Data'!D79)&gt; 0),"",_xlfn.REGEXEXTRACT(CELL("address",'Raw Data'!D79),"\$([A-Z]+)\$[0-9]+"))),_xlfn.REGEXEXTRACT(CELL("address",'Raw Data'!D79),"\$([A-Z]+)\$[0-9]+"))</f>
        <v/>
      </c>
      <c r="E79" s="7" t="str">
        <f t="array" aca="1" ref="E79" ca="1">IFERROR(IF(OR('Raw Data'!E79="",LEN(TRIM('Raw Data'!E79))=0),"",IF(AND(LEN('Raw Data'!E79) &lt;= 50,LEN('Raw Data'!E79)&gt; 0),"",_xlfn.REGEXEXTRACT(CELL("address",'Raw Data'!E79),"\$([A-Z]+)\$[0-9]+"))),_xlfn.REGEXEXTRACT(CELL("address",'Raw Data'!E79),"\$([A-Z]+)\$[0-9]+"))</f>
        <v/>
      </c>
      <c r="F79" s="7" t="str">
        <f t="array" aca="1" ref="F79" ca="1">IFERROR(IF(OR('Raw Data'!F79="",LEN(TRIM('Raw Data'!F79))=0),"",IF(AND(LEN('Raw Data'!F79) &lt;= 50,LEN('Raw Data'!F79)&gt; 0),"",_xlfn.REGEXEXTRACT(CELL("address",'Raw Data'!F79),"\$([A-Z]+)\$[0-9]+"))),_xlfn.REGEXEXTRACT(CELL("address",'Raw Data'!F79),"\$([A-Z]+)\$[0-9]+"))</f>
        <v/>
      </c>
      <c r="G79" s="7" t="str">
        <f t="array" aca="1" ref="G79" ca="1">IFERROR(IF(OR('Raw Data'!G79="",LEN(TRIM('Raw Data'!G79))=0),"",IF(AND(LEN('Raw Data'!G79) &lt;= 50,LEN('Raw Data'!G79)&gt; 0),"",_xlfn.REGEXEXTRACT(CELL("address",'Raw Data'!G79),"\$([A-Z]+)\$[0-9]+"))),_xlfn.REGEXEXTRACT(CELL("address",'Raw Data'!G79),"\$([A-Z]+)\$[0-9]+"))</f>
        <v/>
      </c>
      <c r="H79" s="7" t="str">
        <f t="array" aca="1" ref="H79" ca="1">IFERROR(IF(OR('Raw Data'!H79="",LEN(TRIM('Raw Data'!H79))=0),"",IF(AND(LEN('Raw Data'!H79) &lt;= 50,LEN('Raw Data'!H79)&gt; 0),"",_xlfn.REGEXEXTRACT(CELL("address",'Raw Data'!H79),"\$([A-Z]+)\$[0-9]+"))),_xlfn.REGEXEXTRACT(CELL("address",'Raw Data'!H79),"\$([A-Z]+)\$[0-9]+"))</f>
        <v/>
      </c>
      <c r="I79" s="7" t="str">
        <f t="array" aca="1" ref="I79" ca="1">IFERROR(IF(OR('Raw Data'!I79="",LEN(TRIM('Raw Data'!I79))=0),"",IF(AND(LEN('Raw Data'!I79) &lt;= 50,LEN('Raw Data'!I79)&gt; 0),"",_xlfn.REGEXEXTRACT(CELL("address",'Raw Data'!I79),"\$([A-Z]+)\$[0-9]+"))),_xlfn.REGEXEXTRACT(CELL("address",'Raw Data'!I79),"\$([A-Z]+)\$[0-9]+"))</f>
        <v/>
      </c>
      <c r="J79" s="7" t="str">
        <f t="array" aca="1" ref="J79" ca="1">IFERROR(IF(OR('Raw Data'!J79="",LEN(TRIM('Raw Data'!J79))=0),"",IF(AND(ISNUMBER('Raw Data'!J79), IFERROR('Raw Data'!J79 = ROUND('Raw Data'!J79, 2),FALSE)),"",_xlfn.REGEXEXTRACT(CELL("address",J79), "\$([A-Z]+)\$[0-9]+"))),_xlfn.REGEXEXTRACT(CELL("address",J79), "\$([A-Z]+)\$[0-9]+"))</f>
        <v/>
      </c>
      <c r="K79" s="7" t="str">
        <f t="array" aca="1" ref="K79" ca="1">IFERROR(IF(OR('Raw Data'!K79="",LEN(TRIM('Raw Data'!K79))=0),"",IF(AND(ISNUMBER('Raw Data'!K79), IFERROR('Raw Data'!K79 = ROUND('Raw Data'!K79, 2),FALSE)),"",_xlfn.REGEXEXTRACT(CELL("address",K79), "\$([A-Z]+)\$[0-9]+"))),_xlfn.REGEXEXTRACT(CELL("address",K79), "\$([A-Z]+)\$[0-9]+"))</f>
        <v/>
      </c>
      <c r="L79" s="7" t="str">
        <f t="array" aca="1" ref="L79" ca="1">IFERROR(IF(OR('Raw Data'!L79="",LEN(TRIM('Raw Data'!L79))=0),"",IF(AND(ISNUMBER('Raw Data'!L79), IFERROR('Raw Data'!L79 = ROUND('Raw Data'!L79, 2),FALSE)),"",_xlfn.REGEXEXTRACT(CELL("address",L79), "\$([A-Z]+)\$[0-9]+"))),_xlfn.REGEXEXTRACT(CELL("address",L79), "\$([A-Z]+)\$[0-9]+"))</f>
        <v/>
      </c>
      <c r="M79" s="7" t="str">
        <f t="array" aca="1" ref="M79" ca="1">IFERROR(IF(OR('Raw Data'!M79="",LEN(TRIM('Raw Data'!M79))=0),"",IF(AND(ISNUMBER('Raw Data'!M79), IFERROR('Raw Data'!M79 = ROUND('Raw Data'!M79, 2),FALSE)),"",_xlfn.REGEXEXTRACT(CELL("address",M79), "\$([A-Z]+)\$[0-9]+"))),_xlfn.REGEXEXTRACT(CELL("address",M79), "\$([A-Z]+)\$[0-9]+"))</f>
        <v/>
      </c>
      <c r="N79" s="7" t="str">
        <f t="array" aca="1" ref="N79" ca="1">IFERROR(IF(OR('Raw Data'!N79="",LEN(TRIM('Raw Data'!N79))=0),"",IF(AND(ISNUMBER('Raw Data'!N79), IFERROR('Raw Data'!N79 = ROUND('Raw Data'!N79, 2),FALSE)),"",_xlfn.REGEXEXTRACT(CELL("address",N79), "\$([A-Z]+)\$[0-9]+"))),_xlfn.REGEXEXTRACT(CELL("address",N79), "\$([A-Z]+)\$[0-9]+"))</f>
        <v/>
      </c>
      <c r="O79" s="7" t="str">
        <f t="array" aca="1" ref="O79" ca="1">IFERROR(IF(OR('Raw Data'!O79="",LEN(TRIM('Raw Data'!O79))=0),"",IF(AND(ISNUMBER('Raw Data'!O79),'Raw Data'!O79&gt;=Configuration!$D$2),"",_xlfn.REGEXEXTRACT(CELL("address",'Raw Data'!O79),"\$([A-Z]+)\$[0-9]+"))),_xlfn.REGEXEXTRACT(CELL("address",O79), "\$([A-Z]+)\$[0-9]+"))</f>
        <v/>
      </c>
      <c r="P79" s="7" t="str">
        <f t="array" aca="1" ref="P79" ca="1">IFERROR(IF(OR('Raw Data'!P79="",LEN(TRIM('Raw Data'!P79))=0),"",IF(AND(ISNUMBER('Raw Data'!P79), IFERROR('Raw Data'!P79 = ROUND('Raw Data'!P79, 2),FALSE)),"",_xlfn.REGEXEXTRACT(CELL("address",P79), "\$([A-Z]+)\$[0-9]+"))),_xlfn.REGEXEXTRACT(CELL("address",P79), "\$([A-Z]+)\$[0-9]+"))</f>
        <v/>
      </c>
      <c r="Q79" s="7" t="str">
        <f t="array" aca="1" ref="Q79" ca="1">IFERROR(IF(OR('Raw Data'!Q79="",LEN(TRIM('Raw Data'!Q79))=0),"",IF(AND(ISNUMBER('Raw Data'!Q79), IFERROR('Raw Data'!Q79 = ROUND('Raw Data'!Q79, 2),FALSE)),"",_xlfn.REGEXEXTRACT(CELL("address",Q79), "\$([A-Z]+)\$[0-9]+"))),_xlfn.REGEXEXTRACT(CELL("address",Q79), "\$([A-Z]+)\$[0-9]+"))</f>
        <v/>
      </c>
      <c r="R79" s="7" t="str">
        <f t="array" aca="1" ref="R79" ca="1">IFERROR(IF(OR('Raw Data'!R79="",LEN(TRIM('Raw Data'!R79))=0),"",IF(AND(LEN('Raw Data'!R79) &lt;= 50,LEN('Raw Data'!R79)&gt; 0),"",_xlfn.REGEXEXTRACT(CELL("address",'Raw Data'!R79),"\$([A-Z]+)\$[0-9]+"))),_xlfn.REGEXEXTRACT(CELL("address",'Raw Data'!R79),"\$([A-Z]+)\$[0-9]+"))</f>
        <v/>
      </c>
      <c r="S79" s="7" t="str">
        <f t="array" aca="1" ref="S79" ca="1">IFERROR(IF(OR('Raw Data'!S79="",LEN(TRIM('Raw Data'!S79))=0),"",IF(AND(LEN('Raw Data'!S79) &lt;= 50,LEN('Raw Data'!S79)&gt; 0),"",_xlfn.REGEXEXTRACT(CELL("address",'Raw Data'!S79),"\$([A-Z]+)\$[0-9]+"))),_xlfn.REGEXEXTRACT(CELL("address",'Raw Data'!S79),"\$([A-Z]+)\$[0-9]+"))</f>
        <v/>
      </c>
      <c r="T79" s="7" t="str">
        <f t="array" aca="1" ref="T79" ca="1">IFERROR(IF(OR('Raw Data'!T79="",LEN(TRIM('Raw Data'!T79))=0),"",IF(AND(ISNUMBER('Raw Data'!T79), IFERROR('Raw Data'!T79 = ROUND('Raw Data'!T79, 2),FALSE)),"",_xlfn.REGEXEXTRACT(CELL("address",T79), "\$([A-Z]+)\$[0-9]+"))),_xlfn.REGEXEXTRACT(CELL("address",T79), "\$([A-Z]+)\$[0-9]+"))</f>
        <v/>
      </c>
      <c r="U79" s="7" t="str">
        <f t="array" aca="1" ref="U79" ca="1">IFERROR(IF(OR('Raw Data'!U79="",LEN(TRIM('Raw Data'!U79))=0),"",IF(AND(ISNUMBER('Raw Data'!U79), IFERROR('Raw Data'!U79 = ROUND('Raw Data'!U79, 2),FALSE)),"",_xlfn.REGEXEXTRACT(CELL("address",U79), "\$([A-Z]+)\$[0-9]+"))),_xlfn.REGEXEXTRACT(CELL("address",U79), "\$([A-Z]+)\$[0-9]+"))</f>
        <v/>
      </c>
      <c r="V79" s="7" t="str">
        <f t="array" aca="1" ref="V79" ca="1">IFERROR(IF(OR('Raw Data'!V79="",LEN(TRIM('Raw Data'!V79))=0),"",IF(AND(ISNUMBER('Raw Data'!V79), IFERROR('Raw Data'!V79 = ROUND('Raw Data'!V79, 2),FALSE)),"",_xlfn.REGEXEXTRACT(CELL("address",V79), "\$([A-Z]+)\$[0-9]+"))),_xlfn.REGEXEXTRACT(CELL("address",V79), "\$([A-Z]+)\$[0-9]+"))</f>
        <v/>
      </c>
      <c r="W79" s="7" t="str">
        <f t="array" aca="1" ref="W79" ca="1">IFERROR(IF(OR('Raw Data'!W79="",LEN(TRIM('Raw Data'!W79))=0),"",IF(AND(ISNUMBER('Raw Data'!W79), IFERROR('Raw Data'!W79 = ROUND('Raw Data'!W79, 2),FALSE)),"",_xlfn.REGEXEXTRACT(CELL("address",W79), "\$([A-Z]+)\$[0-9]+"))),_xlfn.REGEXEXTRACT(CELL("address",W79), "\$([A-Z]+)\$[0-9]+"))</f>
        <v/>
      </c>
      <c r="X79" s="7" t="str">
        <f t="array" aca="1" ref="X79" ca="1">IFERROR(IF(OR('Raw Data'!X79="",LEN(TRIM('Raw Data'!X79))=0),"",IF(AND(ISNUMBER('Raw Data'!X79), IFERROR('Raw Data'!X79 = ROUND('Raw Data'!X79, 2),FALSE)),"",_xlfn.REGEXEXTRACT(CELL("address",X79), "\$([A-Z]+)\$[0-9]+"))),_xlfn.REGEXEXTRACT(CELL("address",X79), "\$([A-Z]+)\$[0-9]+"))</f>
        <v/>
      </c>
      <c r="Y79" s="7" t="str">
        <f t="array" aca="1" ref="Y79" ca="1">IFERROR(IF(OR('Raw Data'!Y79="",LEN(TRIM('Raw Data'!Y79))=0),"",IF(AND(ISNUMBER('Raw Data'!Y79), IFERROR('Raw Data'!Y79 = ROUND('Raw Data'!Y79, 2),FALSE)),"",_xlfn.REGEXEXTRACT(CELL("address",Y79), "\$([A-Z]+)\$[0-9]+"))),_xlfn.REGEXEXTRACT(CELL("address",Y79), "\$([A-Z]+)\$[0-9]+"))</f>
        <v/>
      </c>
      <c r="Z79" s="7" t="str">
        <f t="array" aca="1" ref="Z79" ca="1">IFERROR(IF(OR('Raw Data'!Z79="",LEN(TRIM('Raw Data'!Z79))=0),"",IF(AND(ISNUMBER('Raw Data'!Z79), IFERROR('Raw Data'!Z79 = ROUND('Raw Data'!Z79, 2),FALSE)),"",_xlfn.REGEXEXTRACT(CELL("address",Z79), "\$([A-Z]+)\$[0-9]+"))),_xlfn.REGEXEXTRACT(CELL("address",Z79), "\$([A-Z]+)\$[0-9]+"))</f>
        <v/>
      </c>
      <c r="AA79" s="7" t="str">
        <f t="array" aca="1" ref="AA79" ca="1">IFERROR(IF(OR('Raw Data'!AA79="",LEN(TRIM('Raw Data'!AA79))=0),"",IF(AND(ISNUMBER('Raw Data'!AA79), IFERROR('Raw Data'!AA79 = ROUND('Raw Data'!AA79, 2),FALSE)),"",_xlfn.REGEXEXTRACT(CELL("address",AA79), "\$([A-Z]+)\$[0-9]+"))),_xlfn.REGEXEXTRACT(CELL("address",AA79), "\$([A-Z]+)\$[0-9]+"))</f>
        <v/>
      </c>
      <c r="AB79" s="7" t="str">
        <f t="array" aca="1" ref="AB79" ca="1">IFERROR(IF(OR('Raw Data'!AB79="",LEN(TRIM('Raw Data'!AB79))=0),"",IF(AND(ISNUMBER('Raw Data'!AB79), IFERROR('Raw Data'!AB79 = ROUND('Raw Data'!AB79, 2),FALSE)),"",_xlfn.REGEXEXTRACT(CELL("address",AB79), "\$([A-Z]+)\$[0-9]+"))),_xlfn.REGEXEXTRACT(CELL("address",AB79), "\$([A-Z]+)\$[0-9]+"))</f>
        <v/>
      </c>
      <c r="AC79" s="7" t="str">
        <f t="array" aca="1" ref="AC79" ca="1">IFERROR(IF(OR('Raw Data'!AC79="",LEN(TRIM('Raw Data'!AC79))=0),"",IF(AND(ISNUMBER('Raw Data'!AC79), IFERROR('Raw Data'!AC79 = ROUND('Raw Data'!AC79, 2),FALSE)),"",_xlfn.REGEXEXTRACT(CELL("address",AC79), "\$([A-Z]+)\$[0-9]+"))),_xlfn.REGEXEXTRACT(CELL("address",AC79), "\$([A-Z]+)\$[0-9]+"))</f>
        <v/>
      </c>
      <c r="AD79" s="7" t="str">
        <f t="array" aca="1" ref="AD79" ca="1">IFERROR(IF(OR('Raw Data'!AD79="",LEN(TRIM('Raw Data'!AD79))=0),"",IF(AND(ISNUMBER('Raw Data'!AD79), IFERROR('Raw Data'!AD79 = ROUND('Raw Data'!AD79, 2),FALSE)),"",_xlfn.REGEXEXTRACT(CELL("address",AD79), "\$([A-Z]+)\$[0-9]+"))),_xlfn.REGEXEXTRACT(CELL("address",AD79), "\$([A-Z]+)\$[0-9]+"))</f>
        <v/>
      </c>
      <c r="AE79" s="7" t="str">
        <f t="array" aca="1" ref="AE79" ca="1">IFERROR(IF(OR('Raw Data'!AE79="",LEN(TRIM('Raw Data'!AE79))=0),"",IF(AND(ISNUMBER('Raw Data'!AE79), IFERROR('Raw Data'!AE79 = ROUND('Raw Data'!AE79, 2),FALSE)),"",_xlfn.REGEXEXTRACT(CELL("address",AE79), "\$([A-Z]+)\$[0-9]+"))),_xlfn.REGEXEXTRACT(CELL("address",AE79), "\$([A-Z]+)\$[0-9]+"))</f>
        <v/>
      </c>
      <c r="AF79" s="7" t="str">
        <f t="array" aca="1" ref="AF79" ca="1">IFERROR(IF(OR('Raw Data'!AF79="",LEN(TRIM('Raw Data'!AF79))=0),"",IF(AND(ISNUMBER('Raw Data'!AF79), IFERROR('Raw Data'!AF79 = ROUND('Raw Data'!AF79, 2),FALSE)),"",_xlfn.REGEXEXTRACT(CELL("address",AF79), "\$([A-Z]+)\$[0-9]+"))),_xlfn.REGEXEXTRACT(CELL("address",AF79), "\$([A-Z]+)\$[0-9]+"))</f>
        <v/>
      </c>
      <c r="AG79" s="7" t="str">
        <f t="array" aca="1" ref="AG79" ca="1">IFERROR(IF(OR('Raw Data'!AG79="",LEN(TRIM('Raw Data'!AG79))=0),"",IF(AND(ISNUMBER('Raw Data'!AG79), IFERROR('Raw Data'!AG79 = ROUND('Raw Data'!AG79, 2),FALSE)),"",_xlfn.REGEXEXTRACT(CELL("address",AG79), "\$([A-Z]+)\$[0-9]+"))),_xlfn.REGEXEXTRACT(CELL("address",AG79), "\$([A-Z]+)\$[0-9]+"))</f>
        <v/>
      </c>
      <c r="AH79" s="7" t="str">
        <f t="array" aca="1" ref="AH79" ca="1">IFERROR(IF(OR('Raw Data'!AH79="",LEN(TRIM('Raw Data'!AH79))=0),"",IF(AND(ISNUMBER('Raw Data'!AH79), IFERROR('Raw Data'!AH79 = ROUND('Raw Data'!AH79, 2),FALSE)),"",_xlfn.REGEXEXTRACT(CELL("address",AH79), "\$([A-Z]+)\$[0-9]+"))),_xlfn.REGEXEXTRACT(CELL("address",AH79), "\$([A-Z]+)\$[0-9]+"))</f>
        <v/>
      </c>
      <c r="AI79" s="7" t="str">
        <f t="array" aca="1" ref="AI79" ca="1">IFERROR(IF(OR('Raw Data'!AI79="",LEN(TRIM('Raw Data'!AI79))=0),"",IF(AND(ISNUMBER('Raw Data'!AI79), IFERROR('Raw Data'!AI79 = ROUND('Raw Data'!AI79, 2),FALSE)),"",_xlfn.REGEXEXTRACT(CELL("address",AI79), "\$([A-Z]+)\$[0-9]+"))),_xlfn.REGEXEXTRACT(CELL("address",AI79), "\$([A-Z]+)\$[0-9]+"))</f>
        <v/>
      </c>
      <c r="AJ79" s="7" t="str">
        <f t="array" aca="1" ref="AJ79" ca="1">IFERROR(IF(OR('Raw Data'!AJ79="",LEN(TRIM('Raw Data'!AJ79))=0),"",IF(AND(ISNUMBER('Raw Data'!AJ79), IFERROR('Raw Data'!AJ79 = ROUND('Raw Data'!AJ79, 4),FALSE)),"",_xlfn.REGEXEXTRACT(CELL("address",AJ79), "\$([A-Z]+)\$[0-9]+"))),_xlfn.REGEXEXTRACT(CELL("address",AJ79), "\$([A-Z]+)\$[0-9]+"))</f>
        <v/>
      </c>
      <c r="AK79" s="7" t="str">
        <f t="array" aca="1" ref="AK79" ca="1">IFERROR(IF(OR('Raw Data'!AK79="",LEN(TRIM('Raw Data'!AK79))=0),"",IF(AND(ISNUMBER('Raw Data'!AK79), IFERROR('Raw Data'!AK79 = ROUND('Raw Data'!AK79, 2),FALSE)),"",_xlfn.REGEXEXTRACT(CELL("address",AK79), "\$([A-Z]+)\$[0-9]+"))),_xlfn.REGEXEXTRACT(CELL("address",AK79), "\$([A-Z]+)\$[0-9]+"))</f>
        <v/>
      </c>
      <c r="AL79" s="7" t="str">
        <f t="array" aca="1" ref="AL79" ca="1">IFERROR(IF(OR('Raw Data'!AL79="",LEN(TRIM('Raw Data'!AL79))=0),"",IF(AND(ISNUMBER('Raw Data'!AL79), IFERROR('Raw Data'!AL79 = ROUND('Raw Data'!AL79, 2),FALSE)),"",_xlfn.REGEXEXTRACT(CELL("address",AL79), "\$([A-Z]+)\$[0-9]+"))),_xlfn.REGEXEXTRACT(CELL("address",AL79), "\$([A-Z]+)\$[0-9]+"))</f>
        <v/>
      </c>
      <c r="AM79" s="7" t="str">
        <f t="array" aca="1" ref="AM79" ca="1">IFERROR(IF(OR('Raw Data'!AM79="",LEN(TRIM('Raw Data'!AM79))=0),"",IF(AND(ISNUMBER('Raw Data'!AM79), IFERROR('Raw Data'!AM79 = ROUND('Raw Data'!AM79, 2),FALSE)),"",_xlfn.REGEXEXTRACT(CELL("address",AM79), "\$([A-Z]+)\$[0-9]+"))),_xlfn.REGEXEXTRACT(CELL("address",AM79), "\$([A-Z]+)\$[0-9]+"))</f>
        <v/>
      </c>
      <c r="AN79" s="7" t="str">
        <f t="array" aca="1" ref="AN79" ca="1">IFERROR(IF(OR('Raw Data'!AN79="",LEN(TRIM('Raw Data'!AN79))=0),"",IF(AND(ISNUMBER('Raw Data'!AN79), IFERROR('Raw Data'!AN79 = ROUND('Raw Data'!AN79, 2),FALSE)),"",_xlfn.REGEXEXTRACT(CELL("address",AN79), "\$([A-Z]+)\$[0-9]+"))),_xlfn.REGEXEXTRACT(CELL("address",AN79), "\$([A-Z]+)\$[0-9]+"))</f>
        <v/>
      </c>
      <c r="AO79" s="7" t="str">
        <f t="array" aca="1" ref="AO79" ca="1">IFERROR(IF(OR('Raw Data'!AO79="",LEN(TRIM('Raw Data'!AO79))=0),"",IF(AND(ISNUMBER('Raw Data'!AO79), IFERROR('Raw Data'!AO79 = ROUND('Raw Data'!AO79, 2),FALSE)),"",_xlfn.REGEXEXTRACT(CELL("address",AO79), "\$([A-Z]+)\$[0-9]+"))),_xlfn.REGEXEXTRACT(CELL("address",AO79), "\$([A-Z]+)\$[0-9]+"))</f>
        <v/>
      </c>
      <c r="AP79" s="7" t="str">
        <f t="array" aca="1" ref="AP79" ca="1">IFERROR(IF(OR('Raw Data'!AP79="",LEN(TRIM('Raw Data'!AP79))=0),"",IF(AND(ISNUMBER('Raw Data'!AP79), IFERROR('Raw Data'!AP79 = ROUND('Raw Data'!AP79, 2),FALSE)),"",_xlfn.REGEXEXTRACT(CELL("address",AP79), "\$([A-Z]+)\$[0-9]+"))),_xlfn.REGEXEXTRACT(CELL("address",AP79), "\$([A-Z]+)\$[0-9]+"))</f>
        <v/>
      </c>
    </row>
    <row r="80" spans="2:42" x14ac:dyDescent="0.25">
      <c r="B80" s="7" t="str">
        <f t="array" aca="1" ref="B80" ca="1">IFERROR(IF(OR('Raw Data'!B80="",LEN(TRIM('Raw Data'!B80))=0),"",IF(AND(LEN('Raw Data'!B80) &lt;= 255,LEN('Raw Data'!B80)&gt; 0),"",_xlfn.REGEXEXTRACT(CELL("address",'Raw Data'!B80),"\$([A-Z]+)\$[0-9]+"))),_xlfn.REGEXEXTRACT(CELL("address",'Raw Data'!B80),"\$([A-Z]+)\$[0-9]+"))</f>
        <v/>
      </c>
      <c r="C80" s="7" t="str">
        <f t="array" aca="1" ref="C80" ca="1">IFERROR(IF(OR('Raw Data'!C80="",LEN(TRIM('Raw Data'!C80))=0),"",IF(AND(LEN('Raw Data'!C80) &lt;= 50,LEN('Raw Data'!C80)&gt; 0),"",_xlfn.REGEXEXTRACT(CELL("address",'Raw Data'!C80),"\$([A-Z]+)\$[0-9]+"))),_xlfn.REGEXEXTRACT(CELL("address",'Raw Data'!C80),"\$([A-Z]+)\$[0-9]+"))</f>
        <v/>
      </c>
      <c r="D80" s="7" t="str">
        <f t="array" aca="1" ref="D80" ca="1">IFERROR(IF(OR('Raw Data'!D80="",LEN(TRIM('Raw Data'!D80))=0),"",IF(AND(LEN('Raw Data'!D80) &lt;= 500,LEN('Raw Data'!D80)&gt; 0),"",_xlfn.REGEXEXTRACT(CELL("address",'Raw Data'!D80),"\$([A-Z]+)\$[0-9]+"))),_xlfn.REGEXEXTRACT(CELL("address",'Raw Data'!D80),"\$([A-Z]+)\$[0-9]+"))</f>
        <v/>
      </c>
      <c r="E80" s="7" t="str">
        <f t="array" aca="1" ref="E80" ca="1">IFERROR(IF(OR('Raw Data'!E80="",LEN(TRIM('Raw Data'!E80))=0),"",IF(AND(LEN('Raw Data'!E80) &lt;= 50,LEN('Raw Data'!E80)&gt; 0),"",_xlfn.REGEXEXTRACT(CELL("address",'Raw Data'!E80),"\$([A-Z]+)\$[0-9]+"))),_xlfn.REGEXEXTRACT(CELL("address",'Raw Data'!E80),"\$([A-Z]+)\$[0-9]+"))</f>
        <v/>
      </c>
      <c r="F80" s="7" t="str">
        <f t="array" aca="1" ref="F80" ca="1">IFERROR(IF(OR('Raw Data'!F80="",LEN(TRIM('Raw Data'!F80))=0),"",IF(AND(LEN('Raw Data'!F80) &lt;= 50,LEN('Raw Data'!F80)&gt; 0),"",_xlfn.REGEXEXTRACT(CELL("address",'Raw Data'!F80),"\$([A-Z]+)\$[0-9]+"))),_xlfn.REGEXEXTRACT(CELL("address",'Raw Data'!F80),"\$([A-Z]+)\$[0-9]+"))</f>
        <v/>
      </c>
      <c r="G80" s="7" t="str">
        <f t="array" aca="1" ref="G80" ca="1">IFERROR(IF(OR('Raw Data'!G80="",LEN(TRIM('Raw Data'!G80))=0),"",IF(AND(LEN('Raw Data'!G80) &lt;= 50,LEN('Raw Data'!G80)&gt; 0),"",_xlfn.REGEXEXTRACT(CELL("address",'Raw Data'!G80),"\$([A-Z]+)\$[0-9]+"))),_xlfn.REGEXEXTRACT(CELL("address",'Raw Data'!G80),"\$([A-Z]+)\$[0-9]+"))</f>
        <v/>
      </c>
      <c r="H80" s="7" t="str">
        <f t="array" aca="1" ref="H80" ca="1">IFERROR(IF(OR('Raw Data'!H80="",LEN(TRIM('Raw Data'!H80))=0),"",IF(AND(LEN('Raw Data'!H80) &lt;= 50,LEN('Raw Data'!H80)&gt; 0),"",_xlfn.REGEXEXTRACT(CELL("address",'Raw Data'!H80),"\$([A-Z]+)\$[0-9]+"))),_xlfn.REGEXEXTRACT(CELL("address",'Raw Data'!H80),"\$([A-Z]+)\$[0-9]+"))</f>
        <v/>
      </c>
      <c r="I80" s="7" t="str">
        <f t="array" aca="1" ref="I80" ca="1">IFERROR(IF(OR('Raw Data'!I80="",LEN(TRIM('Raw Data'!I80))=0),"",IF(AND(LEN('Raw Data'!I80) &lt;= 50,LEN('Raw Data'!I80)&gt; 0),"",_xlfn.REGEXEXTRACT(CELL("address",'Raw Data'!I80),"\$([A-Z]+)\$[0-9]+"))),_xlfn.REGEXEXTRACT(CELL("address",'Raw Data'!I80),"\$([A-Z]+)\$[0-9]+"))</f>
        <v/>
      </c>
      <c r="J80" s="7" t="str">
        <f t="array" aca="1" ref="J80" ca="1">IFERROR(IF(OR('Raw Data'!J80="",LEN(TRIM('Raw Data'!J80))=0),"",IF(AND(ISNUMBER('Raw Data'!J80), IFERROR('Raw Data'!J80 = ROUND('Raw Data'!J80, 2),FALSE)),"",_xlfn.REGEXEXTRACT(CELL("address",J80), "\$([A-Z]+)\$[0-9]+"))),_xlfn.REGEXEXTRACT(CELL("address",J80), "\$([A-Z]+)\$[0-9]+"))</f>
        <v/>
      </c>
      <c r="K80" s="7" t="str">
        <f t="array" aca="1" ref="K80" ca="1">IFERROR(IF(OR('Raw Data'!K80="",LEN(TRIM('Raw Data'!K80))=0),"",IF(AND(ISNUMBER('Raw Data'!K80), IFERROR('Raw Data'!K80 = ROUND('Raw Data'!K80, 2),FALSE)),"",_xlfn.REGEXEXTRACT(CELL("address",K80), "\$([A-Z]+)\$[0-9]+"))),_xlfn.REGEXEXTRACT(CELL("address",K80), "\$([A-Z]+)\$[0-9]+"))</f>
        <v/>
      </c>
      <c r="L80" s="7" t="str">
        <f t="array" aca="1" ref="L80" ca="1">IFERROR(IF(OR('Raw Data'!L80="",LEN(TRIM('Raw Data'!L80))=0),"",IF(AND(ISNUMBER('Raw Data'!L80), IFERROR('Raw Data'!L80 = ROUND('Raw Data'!L80, 2),FALSE)),"",_xlfn.REGEXEXTRACT(CELL("address",L80), "\$([A-Z]+)\$[0-9]+"))),_xlfn.REGEXEXTRACT(CELL("address",L80), "\$([A-Z]+)\$[0-9]+"))</f>
        <v/>
      </c>
      <c r="M80" s="7" t="str">
        <f t="array" aca="1" ref="M80" ca="1">IFERROR(IF(OR('Raw Data'!M80="",LEN(TRIM('Raw Data'!M80))=0),"",IF(AND(ISNUMBER('Raw Data'!M80), IFERROR('Raw Data'!M80 = ROUND('Raw Data'!M80, 2),FALSE)),"",_xlfn.REGEXEXTRACT(CELL("address",M80), "\$([A-Z]+)\$[0-9]+"))),_xlfn.REGEXEXTRACT(CELL("address",M80), "\$([A-Z]+)\$[0-9]+"))</f>
        <v/>
      </c>
      <c r="N80" s="7" t="str">
        <f t="array" aca="1" ref="N80" ca="1">IFERROR(IF(OR('Raw Data'!N80="",LEN(TRIM('Raw Data'!N80))=0),"",IF(AND(ISNUMBER('Raw Data'!N80), IFERROR('Raw Data'!N80 = ROUND('Raw Data'!N80, 2),FALSE)),"",_xlfn.REGEXEXTRACT(CELL("address",N80), "\$([A-Z]+)\$[0-9]+"))),_xlfn.REGEXEXTRACT(CELL("address",N80), "\$([A-Z]+)\$[0-9]+"))</f>
        <v/>
      </c>
      <c r="O80" s="7" t="str">
        <f t="array" aca="1" ref="O80" ca="1">IFERROR(IF(OR('Raw Data'!O80="",LEN(TRIM('Raw Data'!O80))=0),"",IF(AND(ISNUMBER('Raw Data'!O80),'Raw Data'!O80&gt;=Configuration!$D$2),"",_xlfn.REGEXEXTRACT(CELL("address",'Raw Data'!O80),"\$([A-Z]+)\$[0-9]+"))),_xlfn.REGEXEXTRACT(CELL("address",O80), "\$([A-Z]+)\$[0-9]+"))</f>
        <v/>
      </c>
      <c r="P80" s="7" t="str">
        <f t="array" aca="1" ref="P80" ca="1">IFERROR(IF(OR('Raw Data'!P80="",LEN(TRIM('Raw Data'!P80))=0),"",IF(AND(ISNUMBER('Raw Data'!P80), IFERROR('Raw Data'!P80 = ROUND('Raw Data'!P80, 2),FALSE)),"",_xlfn.REGEXEXTRACT(CELL("address",P80), "\$([A-Z]+)\$[0-9]+"))),_xlfn.REGEXEXTRACT(CELL("address",P80), "\$([A-Z]+)\$[0-9]+"))</f>
        <v/>
      </c>
      <c r="Q80" s="7" t="str">
        <f t="array" aca="1" ref="Q80" ca="1">IFERROR(IF(OR('Raw Data'!Q80="",LEN(TRIM('Raw Data'!Q80))=0),"",IF(AND(ISNUMBER('Raw Data'!Q80), IFERROR('Raw Data'!Q80 = ROUND('Raw Data'!Q80, 2),FALSE)),"",_xlfn.REGEXEXTRACT(CELL("address",Q80), "\$([A-Z]+)\$[0-9]+"))),_xlfn.REGEXEXTRACT(CELL("address",Q80), "\$([A-Z]+)\$[0-9]+"))</f>
        <v/>
      </c>
      <c r="R80" s="7" t="str">
        <f t="array" aca="1" ref="R80" ca="1">IFERROR(IF(OR('Raw Data'!R80="",LEN(TRIM('Raw Data'!R80))=0),"",IF(AND(LEN('Raw Data'!R80) &lt;= 50,LEN('Raw Data'!R80)&gt; 0),"",_xlfn.REGEXEXTRACT(CELL("address",'Raw Data'!R80),"\$([A-Z]+)\$[0-9]+"))),_xlfn.REGEXEXTRACT(CELL("address",'Raw Data'!R80),"\$([A-Z]+)\$[0-9]+"))</f>
        <v/>
      </c>
      <c r="S80" s="7" t="str">
        <f t="array" aca="1" ref="S80" ca="1">IFERROR(IF(OR('Raw Data'!S80="",LEN(TRIM('Raw Data'!S80))=0),"",IF(AND(LEN('Raw Data'!S80) &lt;= 50,LEN('Raw Data'!S80)&gt; 0),"",_xlfn.REGEXEXTRACT(CELL("address",'Raw Data'!S80),"\$([A-Z]+)\$[0-9]+"))),_xlfn.REGEXEXTRACT(CELL("address",'Raw Data'!S80),"\$([A-Z]+)\$[0-9]+"))</f>
        <v/>
      </c>
      <c r="T80" s="7" t="str">
        <f t="array" aca="1" ref="T80" ca="1">IFERROR(IF(OR('Raw Data'!T80="",LEN(TRIM('Raw Data'!T80))=0),"",IF(AND(ISNUMBER('Raw Data'!T80), IFERROR('Raw Data'!T80 = ROUND('Raw Data'!T80, 2),FALSE)),"",_xlfn.REGEXEXTRACT(CELL("address",T80), "\$([A-Z]+)\$[0-9]+"))),_xlfn.REGEXEXTRACT(CELL("address",T80), "\$([A-Z]+)\$[0-9]+"))</f>
        <v/>
      </c>
      <c r="U80" s="7" t="str">
        <f t="array" aca="1" ref="U80" ca="1">IFERROR(IF(OR('Raw Data'!U80="",LEN(TRIM('Raw Data'!U80))=0),"",IF(AND(ISNUMBER('Raw Data'!U80), IFERROR('Raw Data'!U80 = ROUND('Raw Data'!U80, 2),FALSE)),"",_xlfn.REGEXEXTRACT(CELL("address",U80), "\$([A-Z]+)\$[0-9]+"))),_xlfn.REGEXEXTRACT(CELL("address",U80), "\$([A-Z]+)\$[0-9]+"))</f>
        <v/>
      </c>
      <c r="V80" s="7" t="str">
        <f t="array" aca="1" ref="V80" ca="1">IFERROR(IF(OR('Raw Data'!V80="",LEN(TRIM('Raw Data'!V80))=0),"",IF(AND(ISNUMBER('Raw Data'!V80), IFERROR('Raw Data'!V80 = ROUND('Raw Data'!V80, 2),FALSE)),"",_xlfn.REGEXEXTRACT(CELL("address",V80), "\$([A-Z]+)\$[0-9]+"))),_xlfn.REGEXEXTRACT(CELL("address",V80), "\$([A-Z]+)\$[0-9]+"))</f>
        <v/>
      </c>
      <c r="W80" s="7" t="str">
        <f t="array" aca="1" ref="W80" ca="1">IFERROR(IF(OR('Raw Data'!W80="",LEN(TRIM('Raw Data'!W80))=0),"",IF(AND(ISNUMBER('Raw Data'!W80), IFERROR('Raw Data'!W80 = ROUND('Raw Data'!W80, 2),FALSE)),"",_xlfn.REGEXEXTRACT(CELL("address",W80), "\$([A-Z]+)\$[0-9]+"))),_xlfn.REGEXEXTRACT(CELL("address",W80), "\$([A-Z]+)\$[0-9]+"))</f>
        <v/>
      </c>
      <c r="X80" s="7" t="str">
        <f t="array" aca="1" ref="X80" ca="1">IFERROR(IF(OR('Raw Data'!X80="",LEN(TRIM('Raw Data'!X80))=0),"",IF(AND(ISNUMBER('Raw Data'!X80), IFERROR('Raw Data'!X80 = ROUND('Raw Data'!X80, 2),FALSE)),"",_xlfn.REGEXEXTRACT(CELL("address",X80), "\$([A-Z]+)\$[0-9]+"))),_xlfn.REGEXEXTRACT(CELL("address",X80), "\$([A-Z]+)\$[0-9]+"))</f>
        <v/>
      </c>
      <c r="Y80" s="7" t="str">
        <f t="array" aca="1" ref="Y80" ca="1">IFERROR(IF(OR('Raw Data'!Y80="",LEN(TRIM('Raw Data'!Y80))=0),"",IF(AND(ISNUMBER('Raw Data'!Y80), IFERROR('Raw Data'!Y80 = ROUND('Raw Data'!Y80, 2),FALSE)),"",_xlfn.REGEXEXTRACT(CELL("address",Y80), "\$([A-Z]+)\$[0-9]+"))),_xlfn.REGEXEXTRACT(CELL("address",Y80), "\$([A-Z]+)\$[0-9]+"))</f>
        <v/>
      </c>
      <c r="Z80" s="7" t="str">
        <f t="array" aca="1" ref="Z80" ca="1">IFERROR(IF(OR('Raw Data'!Z80="",LEN(TRIM('Raw Data'!Z80))=0),"",IF(AND(ISNUMBER('Raw Data'!Z80), IFERROR('Raw Data'!Z80 = ROUND('Raw Data'!Z80, 2),FALSE)),"",_xlfn.REGEXEXTRACT(CELL("address",Z80), "\$([A-Z]+)\$[0-9]+"))),_xlfn.REGEXEXTRACT(CELL("address",Z80), "\$([A-Z]+)\$[0-9]+"))</f>
        <v/>
      </c>
      <c r="AA80" s="7" t="str">
        <f t="array" aca="1" ref="AA80" ca="1">IFERROR(IF(OR('Raw Data'!AA80="",LEN(TRIM('Raw Data'!AA80))=0),"",IF(AND(ISNUMBER('Raw Data'!AA80), IFERROR('Raw Data'!AA80 = ROUND('Raw Data'!AA80, 2),FALSE)),"",_xlfn.REGEXEXTRACT(CELL("address",AA80), "\$([A-Z]+)\$[0-9]+"))),_xlfn.REGEXEXTRACT(CELL("address",AA80), "\$([A-Z]+)\$[0-9]+"))</f>
        <v/>
      </c>
      <c r="AB80" s="7" t="str">
        <f t="array" aca="1" ref="AB80" ca="1">IFERROR(IF(OR('Raw Data'!AB80="",LEN(TRIM('Raw Data'!AB80))=0),"",IF(AND(ISNUMBER('Raw Data'!AB80), IFERROR('Raw Data'!AB80 = ROUND('Raw Data'!AB80, 2),FALSE)),"",_xlfn.REGEXEXTRACT(CELL("address",AB80), "\$([A-Z]+)\$[0-9]+"))),_xlfn.REGEXEXTRACT(CELL("address",AB80), "\$([A-Z]+)\$[0-9]+"))</f>
        <v/>
      </c>
      <c r="AC80" s="7" t="str">
        <f t="array" aca="1" ref="AC80" ca="1">IFERROR(IF(OR('Raw Data'!AC80="",LEN(TRIM('Raw Data'!AC80))=0),"",IF(AND(ISNUMBER('Raw Data'!AC80), IFERROR('Raw Data'!AC80 = ROUND('Raw Data'!AC80, 2),FALSE)),"",_xlfn.REGEXEXTRACT(CELL("address",AC80), "\$([A-Z]+)\$[0-9]+"))),_xlfn.REGEXEXTRACT(CELL("address",AC80), "\$([A-Z]+)\$[0-9]+"))</f>
        <v/>
      </c>
      <c r="AD80" s="7" t="str">
        <f t="array" aca="1" ref="AD80" ca="1">IFERROR(IF(OR('Raw Data'!AD80="",LEN(TRIM('Raw Data'!AD80))=0),"",IF(AND(ISNUMBER('Raw Data'!AD80), IFERROR('Raw Data'!AD80 = ROUND('Raw Data'!AD80, 2),FALSE)),"",_xlfn.REGEXEXTRACT(CELL("address",AD80), "\$([A-Z]+)\$[0-9]+"))),_xlfn.REGEXEXTRACT(CELL("address",AD80), "\$([A-Z]+)\$[0-9]+"))</f>
        <v/>
      </c>
      <c r="AE80" s="7" t="str">
        <f t="array" aca="1" ref="AE80" ca="1">IFERROR(IF(OR('Raw Data'!AE80="",LEN(TRIM('Raw Data'!AE80))=0),"",IF(AND(ISNUMBER('Raw Data'!AE80), IFERROR('Raw Data'!AE80 = ROUND('Raw Data'!AE80, 2),FALSE)),"",_xlfn.REGEXEXTRACT(CELL("address",AE80), "\$([A-Z]+)\$[0-9]+"))),_xlfn.REGEXEXTRACT(CELL("address",AE80), "\$([A-Z]+)\$[0-9]+"))</f>
        <v/>
      </c>
      <c r="AF80" s="7" t="str">
        <f t="array" aca="1" ref="AF80" ca="1">IFERROR(IF(OR('Raw Data'!AF80="",LEN(TRIM('Raw Data'!AF80))=0),"",IF(AND(ISNUMBER('Raw Data'!AF80), IFERROR('Raw Data'!AF80 = ROUND('Raw Data'!AF80, 2),FALSE)),"",_xlfn.REGEXEXTRACT(CELL("address",AF80), "\$([A-Z]+)\$[0-9]+"))),_xlfn.REGEXEXTRACT(CELL("address",AF80), "\$([A-Z]+)\$[0-9]+"))</f>
        <v/>
      </c>
      <c r="AG80" s="7" t="str">
        <f t="array" aca="1" ref="AG80" ca="1">IFERROR(IF(OR('Raw Data'!AG80="",LEN(TRIM('Raw Data'!AG80))=0),"",IF(AND(ISNUMBER('Raw Data'!AG80), IFERROR('Raw Data'!AG80 = ROUND('Raw Data'!AG80, 2),FALSE)),"",_xlfn.REGEXEXTRACT(CELL("address",AG80), "\$([A-Z]+)\$[0-9]+"))),_xlfn.REGEXEXTRACT(CELL("address",AG80), "\$([A-Z]+)\$[0-9]+"))</f>
        <v/>
      </c>
      <c r="AH80" s="7" t="str">
        <f t="array" aca="1" ref="AH80" ca="1">IFERROR(IF(OR('Raw Data'!AH80="",LEN(TRIM('Raw Data'!AH80))=0),"",IF(AND(ISNUMBER('Raw Data'!AH80), IFERROR('Raw Data'!AH80 = ROUND('Raw Data'!AH80, 2),FALSE)),"",_xlfn.REGEXEXTRACT(CELL("address",AH80), "\$([A-Z]+)\$[0-9]+"))),_xlfn.REGEXEXTRACT(CELL("address",AH80), "\$([A-Z]+)\$[0-9]+"))</f>
        <v/>
      </c>
      <c r="AI80" s="7" t="str">
        <f t="array" aca="1" ref="AI80" ca="1">IFERROR(IF(OR('Raw Data'!AI80="",LEN(TRIM('Raw Data'!AI80))=0),"",IF(AND(ISNUMBER('Raw Data'!AI80), IFERROR('Raw Data'!AI80 = ROUND('Raw Data'!AI80, 2),FALSE)),"",_xlfn.REGEXEXTRACT(CELL("address",AI80), "\$([A-Z]+)\$[0-9]+"))),_xlfn.REGEXEXTRACT(CELL("address",AI80), "\$([A-Z]+)\$[0-9]+"))</f>
        <v/>
      </c>
      <c r="AJ80" s="7" t="str">
        <f t="array" aca="1" ref="AJ80" ca="1">IFERROR(IF(OR('Raw Data'!AJ80="",LEN(TRIM('Raw Data'!AJ80))=0),"",IF(AND(ISNUMBER('Raw Data'!AJ80), IFERROR('Raw Data'!AJ80 = ROUND('Raw Data'!AJ80, 4),FALSE)),"",_xlfn.REGEXEXTRACT(CELL("address",AJ80), "\$([A-Z]+)\$[0-9]+"))),_xlfn.REGEXEXTRACT(CELL("address",AJ80), "\$([A-Z]+)\$[0-9]+"))</f>
        <v/>
      </c>
      <c r="AK80" s="7" t="str">
        <f t="array" aca="1" ref="AK80" ca="1">IFERROR(IF(OR('Raw Data'!AK80="",LEN(TRIM('Raw Data'!AK80))=0),"",IF(AND(ISNUMBER('Raw Data'!AK80), IFERROR('Raw Data'!AK80 = ROUND('Raw Data'!AK80, 2),FALSE)),"",_xlfn.REGEXEXTRACT(CELL("address",AK80), "\$([A-Z]+)\$[0-9]+"))),_xlfn.REGEXEXTRACT(CELL("address",AK80), "\$([A-Z]+)\$[0-9]+"))</f>
        <v/>
      </c>
      <c r="AL80" s="7" t="str">
        <f t="array" aca="1" ref="AL80" ca="1">IFERROR(IF(OR('Raw Data'!AL80="",LEN(TRIM('Raw Data'!AL80))=0),"",IF(AND(ISNUMBER('Raw Data'!AL80), IFERROR('Raw Data'!AL80 = ROUND('Raw Data'!AL80, 2),FALSE)),"",_xlfn.REGEXEXTRACT(CELL("address",AL80), "\$([A-Z]+)\$[0-9]+"))),_xlfn.REGEXEXTRACT(CELL("address",AL80), "\$([A-Z]+)\$[0-9]+"))</f>
        <v/>
      </c>
      <c r="AM80" s="7" t="str">
        <f t="array" aca="1" ref="AM80" ca="1">IFERROR(IF(OR('Raw Data'!AM80="",LEN(TRIM('Raw Data'!AM80))=0),"",IF(AND(ISNUMBER('Raw Data'!AM80), IFERROR('Raw Data'!AM80 = ROUND('Raw Data'!AM80, 2),FALSE)),"",_xlfn.REGEXEXTRACT(CELL("address",AM80), "\$([A-Z]+)\$[0-9]+"))),_xlfn.REGEXEXTRACT(CELL("address",AM80), "\$([A-Z]+)\$[0-9]+"))</f>
        <v/>
      </c>
      <c r="AN80" s="7" t="str">
        <f t="array" aca="1" ref="AN80" ca="1">IFERROR(IF(OR('Raw Data'!AN80="",LEN(TRIM('Raw Data'!AN80))=0),"",IF(AND(ISNUMBER('Raw Data'!AN80), IFERROR('Raw Data'!AN80 = ROUND('Raw Data'!AN80, 2),FALSE)),"",_xlfn.REGEXEXTRACT(CELL("address",AN80), "\$([A-Z]+)\$[0-9]+"))),_xlfn.REGEXEXTRACT(CELL("address",AN80), "\$([A-Z]+)\$[0-9]+"))</f>
        <v/>
      </c>
      <c r="AO80" s="7" t="str">
        <f t="array" aca="1" ref="AO80" ca="1">IFERROR(IF(OR('Raw Data'!AO80="",LEN(TRIM('Raw Data'!AO80))=0),"",IF(AND(ISNUMBER('Raw Data'!AO80), IFERROR('Raw Data'!AO80 = ROUND('Raw Data'!AO80, 2),FALSE)),"",_xlfn.REGEXEXTRACT(CELL("address",AO80), "\$([A-Z]+)\$[0-9]+"))),_xlfn.REGEXEXTRACT(CELL("address",AO80), "\$([A-Z]+)\$[0-9]+"))</f>
        <v/>
      </c>
      <c r="AP80" s="7" t="str">
        <f t="array" aca="1" ref="AP80" ca="1">IFERROR(IF(OR('Raw Data'!AP80="",LEN(TRIM('Raw Data'!AP80))=0),"",IF(AND(ISNUMBER('Raw Data'!AP80), IFERROR('Raw Data'!AP80 = ROUND('Raw Data'!AP80, 2),FALSE)),"",_xlfn.REGEXEXTRACT(CELL("address",AP80), "\$([A-Z]+)\$[0-9]+"))),_xlfn.REGEXEXTRACT(CELL("address",AP80), "\$([A-Z]+)\$[0-9]+"))</f>
        <v/>
      </c>
    </row>
    <row r="81" spans="2:42" x14ac:dyDescent="0.25">
      <c r="B81" s="7" t="str">
        <f t="array" aca="1" ref="B81" ca="1">IFERROR(IF(OR('Raw Data'!B81="",LEN(TRIM('Raw Data'!B81))=0),"",IF(AND(LEN('Raw Data'!B81) &lt;= 255,LEN('Raw Data'!B81)&gt; 0),"",_xlfn.REGEXEXTRACT(CELL("address",'Raw Data'!B81),"\$([A-Z]+)\$[0-9]+"))),_xlfn.REGEXEXTRACT(CELL("address",'Raw Data'!B81),"\$([A-Z]+)\$[0-9]+"))</f>
        <v/>
      </c>
      <c r="C81" s="7" t="str">
        <f t="array" aca="1" ref="C81" ca="1">IFERROR(IF(OR('Raw Data'!C81="",LEN(TRIM('Raw Data'!C81))=0),"",IF(AND(LEN('Raw Data'!C81) &lt;= 50,LEN('Raw Data'!C81)&gt; 0),"",_xlfn.REGEXEXTRACT(CELL("address",'Raw Data'!C81),"\$([A-Z]+)\$[0-9]+"))),_xlfn.REGEXEXTRACT(CELL("address",'Raw Data'!C81),"\$([A-Z]+)\$[0-9]+"))</f>
        <v/>
      </c>
      <c r="D81" s="7" t="str">
        <f t="array" aca="1" ref="D81" ca="1">IFERROR(IF(OR('Raw Data'!D81="",LEN(TRIM('Raw Data'!D81))=0),"",IF(AND(LEN('Raw Data'!D81) &lt;= 500,LEN('Raw Data'!D81)&gt; 0),"",_xlfn.REGEXEXTRACT(CELL("address",'Raw Data'!D81),"\$([A-Z]+)\$[0-9]+"))),_xlfn.REGEXEXTRACT(CELL("address",'Raw Data'!D81),"\$([A-Z]+)\$[0-9]+"))</f>
        <v/>
      </c>
      <c r="E81" s="7" t="str">
        <f t="array" aca="1" ref="E81" ca="1">IFERROR(IF(OR('Raw Data'!E81="",LEN(TRIM('Raw Data'!E81))=0),"",IF(AND(LEN('Raw Data'!E81) &lt;= 50,LEN('Raw Data'!E81)&gt; 0),"",_xlfn.REGEXEXTRACT(CELL("address",'Raw Data'!E81),"\$([A-Z]+)\$[0-9]+"))),_xlfn.REGEXEXTRACT(CELL("address",'Raw Data'!E81),"\$([A-Z]+)\$[0-9]+"))</f>
        <v/>
      </c>
      <c r="F81" s="7" t="str">
        <f t="array" aca="1" ref="F81" ca="1">IFERROR(IF(OR('Raw Data'!F81="",LEN(TRIM('Raw Data'!F81))=0),"",IF(AND(LEN('Raw Data'!F81) &lt;= 50,LEN('Raw Data'!F81)&gt; 0),"",_xlfn.REGEXEXTRACT(CELL("address",'Raw Data'!F81),"\$([A-Z]+)\$[0-9]+"))),_xlfn.REGEXEXTRACT(CELL("address",'Raw Data'!F81),"\$([A-Z]+)\$[0-9]+"))</f>
        <v/>
      </c>
      <c r="G81" s="7" t="str">
        <f t="array" aca="1" ref="G81" ca="1">IFERROR(IF(OR('Raw Data'!G81="",LEN(TRIM('Raw Data'!G81))=0),"",IF(AND(LEN('Raw Data'!G81) &lt;= 50,LEN('Raw Data'!G81)&gt; 0),"",_xlfn.REGEXEXTRACT(CELL("address",'Raw Data'!G81),"\$([A-Z]+)\$[0-9]+"))),_xlfn.REGEXEXTRACT(CELL("address",'Raw Data'!G81),"\$([A-Z]+)\$[0-9]+"))</f>
        <v/>
      </c>
      <c r="H81" s="7" t="str">
        <f t="array" aca="1" ref="H81" ca="1">IFERROR(IF(OR('Raw Data'!H81="",LEN(TRIM('Raw Data'!H81))=0),"",IF(AND(LEN('Raw Data'!H81) &lt;= 50,LEN('Raw Data'!H81)&gt; 0),"",_xlfn.REGEXEXTRACT(CELL("address",'Raw Data'!H81),"\$([A-Z]+)\$[0-9]+"))),_xlfn.REGEXEXTRACT(CELL("address",'Raw Data'!H81),"\$([A-Z]+)\$[0-9]+"))</f>
        <v/>
      </c>
      <c r="I81" s="7" t="str">
        <f t="array" aca="1" ref="I81" ca="1">IFERROR(IF(OR('Raw Data'!I81="",LEN(TRIM('Raw Data'!I81))=0),"",IF(AND(LEN('Raw Data'!I81) &lt;= 50,LEN('Raw Data'!I81)&gt; 0),"",_xlfn.REGEXEXTRACT(CELL("address",'Raw Data'!I81),"\$([A-Z]+)\$[0-9]+"))),_xlfn.REGEXEXTRACT(CELL("address",'Raw Data'!I81),"\$([A-Z]+)\$[0-9]+"))</f>
        <v/>
      </c>
      <c r="J81" s="7" t="str">
        <f t="array" aca="1" ref="J81" ca="1">IFERROR(IF(OR('Raw Data'!J81="",LEN(TRIM('Raw Data'!J81))=0),"",IF(AND(ISNUMBER('Raw Data'!J81), IFERROR('Raw Data'!J81 = ROUND('Raw Data'!J81, 2),FALSE)),"",_xlfn.REGEXEXTRACT(CELL("address",J81), "\$([A-Z]+)\$[0-9]+"))),_xlfn.REGEXEXTRACT(CELL("address",J81), "\$([A-Z]+)\$[0-9]+"))</f>
        <v/>
      </c>
      <c r="K81" s="7" t="str">
        <f t="array" aca="1" ref="K81" ca="1">IFERROR(IF(OR('Raw Data'!K81="",LEN(TRIM('Raw Data'!K81))=0),"",IF(AND(ISNUMBER('Raw Data'!K81), IFERROR('Raw Data'!K81 = ROUND('Raw Data'!K81, 2),FALSE)),"",_xlfn.REGEXEXTRACT(CELL("address",K81), "\$([A-Z]+)\$[0-9]+"))),_xlfn.REGEXEXTRACT(CELL("address",K81), "\$([A-Z]+)\$[0-9]+"))</f>
        <v/>
      </c>
      <c r="L81" s="7" t="str">
        <f t="array" aca="1" ref="L81" ca="1">IFERROR(IF(OR('Raw Data'!L81="",LEN(TRIM('Raw Data'!L81))=0),"",IF(AND(ISNUMBER('Raw Data'!L81), IFERROR('Raw Data'!L81 = ROUND('Raw Data'!L81, 2),FALSE)),"",_xlfn.REGEXEXTRACT(CELL("address",L81), "\$([A-Z]+)\$[0-9]+"))),_xlfn.REGEXEXTRACT(CELL("address",L81), "\$([A-Z]+)\$[0-9]+"))</f>
        <v/>
      </c>
      <c r="M81" s="7" t="str">
        <f t="array" aca="1" ref="M81" ca="1">IFERROR(IF(OR('Raw Data'!M81="",LEN(TRIM('Raw Data'!M81))=0),"",IF(AND(ISNUMBER('Raw Data'!M81), IFERROR('Raw Data'!M81 = ROUND('Raw Data'!M81, 2),FALSE)),"",_xlfn.REGEXEXTRACT(CELL("address",M81), "\$([A-Z]+)\$[0-9]+"))),_xlfn.REGEXEXTRACT(CELL("address",M81), "\$([A-Z]+)\$[0-9]+"))</f>
        <v/>
      </c>
      <c r="N81" s="7" t="str">
        <f t="array" aca="1" ref="N81" ca="1">IFERROR(IF(OR('Raw Data'!N81="",LEN(TRIM('Raw Data'!N81))=0),"",IF(AND(ISNUMBER('Raw Data'!N81), IFERROR('Raw Data'!N81 = ROUND('Raw Data'!N81, 2),FALSE)),"",_xlfn.REGEXEXTRACT(CELL("address",N81), "\$([A-Z]+)\$[0-9]+"))),_xlfn.REGEXEXTRACT(CELL("address",N81), "\$([A-Z]+)\$[0-9]+"))</f>
        <v/>
      </c>
      <c r="O81" s="7" t="str">
        <f t="array" aca="1" ref="O81" ca="1">IFERROR(IF(OR('Raw Data'!O81="",LEN(TRIM('Raw Data'!O81))=0),"",IF(AND(ISNUMBER('Raw Data'!O81),'Raw Data'!O81&gt;=Configuration!$D$2),"",_xlfn.REGEXEXTRACT(CELL("address",'Raw Data'!O81),"\$([A-Z]+)\$[0-9]+"))),_xlfn.REGEXEXTRACT(CELL("address",O81), "\$([A-Z]+)\$[0-9]+"))</f>
        <v/>
      </c>
      <c r="P81" s="7" t="str">
        <f t="array" aca="1" ref="P81" ca="1">IFERROR(IF(OR('Raw Data'!P81="",LEN(TRIM('Raw Data'!P81))=0),"",IF(AND(ISNUMBER('Raw Data'!P81), IFERROR('Raw Data'!P81 = ROUND('Raw Data'!P81, 2),FALSE)),"",_xlfn.REGEXEXTRACT(CELL("address",P81), "\$([A-Z]+)\$[0-9]+"))),_xlfn.REGEXEXTRACT(CELL("address",P81), "\$([A-Z]+)\$[0-9]+"))</f>
        <v/>
      </c>
      <c r="Q81" s="7" t="str">
        <f t="array" aca="1" ref="Q81" ca="1">IFERROR(IF(OR('Raw Data'!Q81="",LEN(TRIM('Raw Data'!Q81))=0),"",IF(AND(ISNUMBER('Raw Data'!Q81), IFERROR('Raw Data'!Q81 = ROUND('Raw Data'!Q81, 2),FALSE)),"",_xlfn.REGEXEXTRACT(CELL("address",Q81), "\$([A-Z]+)\$[0-9]+"))),_xlfn.REGEXEXTRACT(CELL("address",Q81), "\$([A-Z]+)\$[0-9]+"))</f>
        <v/>
      </c>
      <c r="R81" s="7" t="str">
        <f t="array" aca="1" ref="R81" ca="1">IFERROR(IF(OR('Raw Data'!R81="",LEN(TRIM('Raw Data'!R81))=0),"",IF(AND(LEN('Raw Data'!R81) &lt;= 50,LEN('Raw Data'!R81)&gt; 0),"",_xlfn.REGEXEXTRACT(CELL("address",'Raw Data'!R81),"\$([A-Z]+)\$[0-9]+"))),_xlfn.REGEXEXTRACT(CELL("address",'Raw Data'!R81),"\$([A-Z]+)\$[0-9]+"))</f>
        <v/>
      </c>
      <c r="S81" s="7" t="str">
        <f t="array" aca="1" ref="S81" ca="1">IFERROR(IF(OR('Raw Data'!S81="",LEN(TRIM('Raw Data'!S81))=0),"",IF(AND(LEN('Raw Data'!S81) &lt;= 50,LEN('Raw Data'!S81)&gt; 0),"",_xlfn.REGEXEXTRACT(CELL("address",'Raw Data'!S81),"\$([A-Z]+)\$[0-9]+"))),_xlfn.REGEXEXTRACT(CELL("address",'Raw Data'!S81),"\$([A-Z]+)\$[0-9]+"))</f>
        <v/>
      </c>
      <c r="T81" s="7" t="str">
        <f t="array" aca="1" ref="T81" ca="1">IFERROR(IF(OR('Raw Data'!T81="",LEN(TRIM('Raw Data'!T81))=0),"",IF(AND(ISNUMBER('Raw Data'!T81), IFERROR('Raw Data'!T81 = ROUND('Raw Data'!T81, 2),FALSE)),"",_xlfn.REGEXEXTRACT(CELL("address",T81), "\$([A-Z]+)\$[0-9]+"))),_xlfn.REGEXEXTRACT(CELL("address",T81), "\$([A-Z]+)\$[0-9]+"))</f>
        <v/>
      </c>
      <c r="U81" s="7" t="str">
        <f t="array" aca="1" ref="U81" ca="1">IFERROR(IF(OR('Raw Data'!U81="",LEN(TRIM('Raw Data'!U81))=0),"",IF(AND(ISNUMBER('Raw Data'!U81), IFERROR('Raw Data'!U81 = ROUND('Raw Data'!U81, 2),FALSE)),"",_xlfn.REGEXEXTRACT(CELL("address",U81), "\$([A-Z]+)\$[0-9]+"))),_xlfn.REGEXEXTRACT(CELL("address",U81), "\$([A-Z]+)\$[0-9]+"))</f>
        <v/>
      </c>
      <c r="V81" s="7" t="str">
        <f t="array" aca="1" ref="V81" ca="1">IFERROR(IF(OR('Raw Data'!V81="",LEN(TRIM('Raw Data'!V81))=0),"",IF(AND(ISNUMBER('Raw Data'!V81), IFERROR('Raw Data'!V81 = ROUND('Raw Data'!V81, 2),FALSE)),"",_xlfn.REGEXEXTRACT(CELL("address",V81), "\$([A-Z]+)\$[0-9]+"))),_xlfn.REGEXEXTRACT(CELL("address",V81), "\$([A-Z]+)\$[0-9]+"))</f>
        <v/>
      </c>
      <c r="W81" s="7" t="str">
        <f t="array" aca="1" ref="W81" ca="1">IFERROR(IF(OR('Raw Data'!W81="",LEN(TRIM('Raw Data'!W81))=0),"",IF(AND(ISNUMBER('Raw Data'!W81), IFERROR('Raw Data'!W81 = ROUND('Raw Data'!W81, 2),FALSE)),"",_xlfn.REGEXEXTRACT(CELL("address",W81), "\$([A-Z]+)\$[0-9]+"))),_xlfn.REGEXEXTRACT(CELL("address",W81), "\$([A-Z]+)\$[0-9]+"))</f>
        <v/>
      </c>
      <c r="X81" s="7" t="str">
        <f t="array" aca="1" ref="X81" ca="1">IFERROR(IF(OR('Raw Data'!X81="",LEN(TRIM('Raw Data'!X81))=0),"",IF(AND(ISNUMBER('Raw Data'!X81), IFERROR('Raw Data'!X81 = ROUND('Raw Data'!X81, 2),FALSE)),"",_xlfn.REGEXEXTRACT(CELL("address",X81), "\$([A-Z]+)\$[0-9]+"))),_xlfn.REGEXEXTRACT(CELL("address",X81), "\$([A-Z]+)\$[0-9]+"))</f>
        <v/>
      </c>
      <c r="Y81" s="7" t="str">
        <f t="array" aca="1" ref="Y81" ca="1">IFERROR(IF(OR('Raw Data'!Y81="",LEN(TRIM('Raw Data'!Y81))=0),"",IF(AND(ISNUMBER('Raw Data'!Y81), IFERROR('Raw Data'!Y81 = ROUND('Raw Data'!Y81, 2),FALSE)),"",_xlfn.REGEXEXTRACT(CELL("address",Y81), "\$([A-Z]+)\$[0-9]+"))),_xlfn.REGEXEXTRACT(CELL("address",Y81), "\$([A-Z]+)\$[0-9]+"))</f>
        <v/>
      </c>
      <c r="Z81" s="7" t="str">
        <f t="array" aca="1" ref="Z81" ca="1">IFERROR(IF(OR('Raw Data'!Z81="",LEN(TRIM('Raw Data'!Z81))=0),"",IF(AND(ISNUMBER('Raw Data'!Z81), IFERROR('Raw Data'!Z81 = ROUND('Raw Data'!Z81, 2),FALSE)),"",_xlfn.REGEXEXTRACT(CELL("address",Z81), "\$([A-Z]+)\$[0-9]+"))),_xlfn.REGEXEXTRACT(CELL("address",Z81), "\$([A-Z]+)\$[0-9]+"))</f>
        <v/>
      </c>
      <c r="AA81" s="7" t="str">
        <f t="array" aca="1" ref="AA81" ca="1">IFERROR(IF(OR('Raw Data'!AA81="",LEN(TRIM('Raw Data'!AA81))=0),"",IF(AND(ISNUMBER('Raw Data'!AA81), IFERROR('Raw Data'!AA81 = ROUND('Raw Data'!AA81, 2),FALSE)),"",_xlfn.REGEXEXTRACT(CELL("address",AA81), "\$([A-Z]+)\$[0-9]+"))),_xlfn.REGEXEXTRACT(CELL("address",AA81), "\$([A-Z]+)\$[0-9]+"))</f>
        <v/>
      </c>
      <c r="AB81" s="7" t="str">
        <f t="array" aca="1" ref="AB81" ca="1">IFERROR(IF(OR('Raw Data'!AB81="",LEN(TRIM('Raw Data'!AB81))=0),"",IF(AND(ISNUMBER('Raw Data'!AB81), IFERROR('Raw Data'!AB81 = ROUND('Raw Data'!AB81, 2),FALSE)),"",_xlfn.REGEXEXTRACT(CELL("address",AB81), "\$([A-Z]+)\$[0-9]+"))),_xlfn.REGEXEXTRACT(CELL("address",AB81), "\$([A-Z]+)\$[0-9]+"))</f>
        <v/>
      </c>
      <c r="AC81" s="7" t="str">
        <f t="array" aca="1" ref="AC81" ca="1">IFERROR(IF(OR('Raw Data'!AC81="",LEN(TRIM('Raw Data'!AC81))=0),"",IF(AND(ISNUMBER('Raw Data'!AC81), IFERROR('Raw Data'!AC81 = ROUND('Raw Data'!AC81, 2),FALSE)),"",_xlfn.REGEXEXTRACT(CELL("address",AC81), "\$([A-Z]+)\$[0-9]+"))),_xlfn.REGEXEXTRACT(CELL("address",AC81), "\$([A-Z]+)\$[0-9]+"))</f>
        <v/>
      </c>
      <c r="AD81" s="7" t="str">
        <f t="array" aca="1" ref="AD81" ca="1">IFERROR(IF(OR('Raw Data'!AD81="",LEN(TRIM('Raw Data'!AD81))=0),"",IF(AND(ISNUMBER('Raw Data'!AD81), IFERROR('Raw Data'!AD81 = ROUND('Raw Data'!AD81, 2),FALSE)),"",_xlfn.REGEXEXTRACT(CELL("address",AD81), "\$([A-Z]+)\$[0-9]+"))),_xlfn.REGEXEXTRACT(CELL("address",AD81), "\$([A-Z]+)\$[0-9]+"))</f>
        <v/>
      </c>
      <c r="AE81" s="7" t="str">
        <f t="array" aca="1" ref="AE81" ca="1">IFERROR(IF(OR('Raw Data'!AE81="",LEN(TRIM('Raw Data'!AE81))=0),"",IF(AND(ISNUMBER('Raw Data'!AE81), IFERROR('Raw Data'!AE81 = ROUND('Raw Data'!AE81, 2),FALSE)),"",_xlfn.REGEXEXTRACT(CELL("address",AE81), "\$([A-Z]+)\$[0-9]+"))),_xlfn.REGEXEXTRACT(CELL("address",AE81), "\$([A-Z]+)\$[0-9]+"))</f>
        <v/>
      </c>
      <c r="AF81" s="7" t="str">
        <f t="array" aca="1" ref="AF81" ca="1">IFERROR(IF(OR('Raw Data'!AF81="",LEN(TRIM('Raw Data'!AF81))=0),"",IF(AND(ISNUMBER('Raw Data'!AF81), IFERROR('Raw Data'!AF81 = ROUND('Raw Data'!AF81, 2),FALSE)),"",_xlfn.REGEXEXTRACT(CELL("address",AF81), "\$([A-Z]+)\$[0-9]+"))),_xlfn.REGEXEXTRACT(CELL("address",AF81), "\$([A-Z]+)\$[0-9]+"))</f>
        <v/>
      </c>
      <c r="AG81" s="7" t="str">
        <f t="array" aca="1" ref="AG81" ca="1">IFERROR(IF(OR('Raw Data'!AG81="",LEN(TRIM('Raw Data'!AG81))=0),"",IF(AND(ISNUMBER('Raw Data'!AG81), IFERROR('Raw Data'!AG81 = ROUND('Raw Data'!AG81, 2),FALSE)),"",_xlfn.REGEXEXTRACT(CELL("address",AG81), "\$([A-Z]+)\$[0-9]+"))),_xlfn.REGEXEXTRACT(CELL("address",AG81), "\$([A-Z]+)\$[0-9]+"))</f>
        <v/>
      </c>
      <c r="AH81" s="7" t="str">
        <f t="array" aca="1" ref="AH81" ca="1">IFERROR(IF(OR('Raw Data'!AH81="",LEN(TRIM('Raw Data'!AH81))=0),"",IF(AND(ISNUMBER('Raw Data'!AH81), IFERROR('Raw Data'!AH81 = ROUND('Raw Data'!AH81, 2),FALSE)),"",_xlfn.REGEXEXTRACT(CELL("address",AH81), "\$([A-Z]+)\$[0-9]+"))),_xlfn.REGEXEXTRACT(CELL("address",AH81), "\$([A-Z]+)\$[0-9]+"))</f>
        <v/>
      </c>
      <c r="AI81" s="7" t="str">
        <f t="array" aca="1" ref="AI81" ca="1">IFERROR(IF(OR('Raw Data'!AI81="",LEN(TRIM('Raw Data'!AI81))=0),"",IF(AND(ISNUMBER('Raw Data'!AI81), IFERROR('Raw Data'!AI81 = ROUND('Raw Data'!AI81, 2),FALSE)),"",_xlfn.REGEXEXTRACT(CELL("address",AI81), "\$([A-Z]+)\$[0-9]+"))),_xlfn.REGEXEXTRACT(CELL("address",AI81), "\$([A-Z]+)\$[0-9]+"))</f>
        <v/>
      </c>
      <c r="AJ81" s="7" t="str">
        <f t="array" aca="1" ref="AJ81" ca="1">IFERROR(IF(OR('Raw Data'!AJ81="",LEN(TRIM('Raw Data'!AJ81))=0),"",IF(AND(ISNUMBER('Raw Data'!AJ81), IFERROR('Raw Data'!AJ81 = ROUND('Raw Data'!AJ81, 4),FALSE)),"",_xlfn.REGEXEXTRACT(CELL("address",AJ81), "\$([A-Z]+)\$[0-9]+"))),_xlfn.REGEXEXTRACT(CELL("address",AJ81), "\$([A-Z]+)\$[0-9]+"))</f>
        <v/>
      </c>
      <c r="AK81" s="7" t="str">
        <f t="array" aca="1" ref="AK81" ca="1">IFERROR(IF(OR('Raw Data'!AK81="",LEN(TRIM('Raw Data'!AK81))=0),"",IF(AND(ISNUMBER('Raw Data'!AK81), IFERROR('Raw Data'!AK81 = ROUND('Raw Data'!AK81, 2),FALSE)),"",_xlfn.REGEXEXTRACT(CELL("address",AK81), "\$([A-Z]+)\$[0-9]+"))),_xlfn.REGEXEXTRACT(CELL("address",AK81), "\$([A-Z]+)\$[0-9]+"))</f>
        <v/>
      </c>
      <c r="AL81" s="7" t="str">
        <f t="array" aca="1" ref="AL81" ca="1">IFERROR(IF(OR('Raw Data'!AL81="",LEN(TRIM('Raw Data'!AL81))=0),"",IF(AND(ISNUMBER('Raw Data'!AL81), IFERROR('Raw Data'!AL81 = ROUND('Raw Data'!AL81, 2),FALSE)),"",_xlfn.REGEXEXTRACT(CELL("address",AL81), "\$([A-Z]+)\$[0-9]+"))),_xlfn.REGEXEXTRACT(CELL("address",AL81), "\$([A-Z]+)\$[0-9]+"))</f>
        <v/>
      </c>
      <c r="AM81" s="7" t="str">
        <f t="array" aca="1" ref="AM81" ca="1">IFERROR(IF(OR('Raw Data'!AM81="",LEN(TRIM('Raw Data'!AM81))=0),"",IF(AND(ISNUMBER('Raw Data'!AM81), IFERROR('Raw Data'!AM81 = ROUND('Raw Data'!AM81, 2),FALSE)),"",_xlfn.REGEXEXTRACT(CELL("address",AM81), "\$([A-Z]+)\$[0-9]+"))),_xlfn.REGEXEXTRACT(CELL("address",AM81), "\$([A-Z]+)\$[0-9]+"))</f>
        <v/>
      </c>
      <c r="AN81" s="7" t="str">
        <f t="array" aca="1" ref="AN81" ca="1">IFERROR(IF(OR('Raw Data'!AN81="",LEN(TRIM('Raw Data'!AN81))=0),"",IF(AND(ISNUMBER('Raw Data'!AN81), IFERROR('Raw Data'!AN81 = ROUND('Raw Data'!AN81, 2),FALSE)),"",_xlfn.REGEXEXTRACT(CELL("address",AN81), "\$([A-Z]+)\$[0-9]+"))),_xlfn.REGEXEXTRACT(CELL("address",AN81), "\$([A-Z]+)\$[0-9]+"))</f>
        <v/>
      </c>
      <c r="AO81" s="7" t="str">
        <f t="array" aca="1" ref="AO81" ca="1">IFERROR(IF(OR('Raw Data'!AO81="",LEN(TRIM('Raw Data'!AO81))=0),"",IF(AND(ISNUMBER('Raw Data'!AO81), IFERROR('Raw Data'!AO81 = ROUND('Raw Data'!AO81, 2),FALSE)),"",_xlfn.REGEXEXTRACT(CELL("address",AO81), "\$([A-Z]+)\$[0-9]+"))),_xlfn.REGEXEXTRACT(CELL("address",AO81), "\$([A-Z]+)\$[0-9]+"))</f>
        <v/>
      </c>
      <c r="AP81" s="7" t="str">
        <f t="array" aca="1" ref="AP81" ca="1">IFERROR(IF(OR('Raw Data'!AP81="",LEN(TRIM('Raw Data'!AP81))=0),"",IF(AND(ISNUMBER('Raw Data'!AP81), IFERROR('Raw Data'!AP81 = ROUND('Raw Data'!AP81, 2),FALSE)),"",_xlfn.REGEXEXTRACT(CELL("address",AP81), "\$([A-Z]+)\$[0-9]+"))),_xlfn.REGEXEXTRACT(CELL("address",AP81), "\$([A-Z]+)\$[0-9]+"))</f>
        <v/>
      </c>
    </row>
    <row r="82" spans="2:42" x14ac:dyDescent="0.25">
      <c r="B82" s="7" t="str">
        <f t="array" aca="1" ref="B82" ca="1">IFERROR(IF(OR('Raw Data'!B82="",LEN(TRIM('Raw Data'!B82))=0),"",IF(AND(LEN('Raw Data'!B82) &lt;= 255,LEN('Raw Data'!B82)&gt; 0),"",_xlfn.REGEXEXTRACT(CELL("address",'Raw Data'!B82),"\$([A-Z]+)\$[0-9]+"))),_xlfn.REGEXEXTRACT(CELL("address",'Raw Data'!B82),"\$([A-Z]+)\$[0-9]+"))</f>
        <v/>
      </c>
      <c r="C82" s="7" t="str">
        <f t="array" aca="1" ref="C82" ca="1">IFERROR(IF(OR('Raw Data'!C82="",LEN(TRIM('Raw Data'!C82))=0),"",IF(AND(LEN('Raw Data'!C82) &lt;= 50,LEN('Raw Data'!C82)&gt; 0),"",_xlfn.REGEXEXTRACT(CELL("address",'Raw Data'!C82),"\$([A-Z]+)\$[0-9]+"))),_xlfn.REGEXEXTRACT(CELL("address",'Raw Data'!C82),"\$([A-Z]+)\$[0-9]+"))</f>
        <v/>
      </c>
      <c r="D82" s="7" t="str">
        <f t="array" aca="1" ref="D82" ca="1">IFERROR(IF(OR('Raw Data'!D82="",LEN(TRIM('Raw Data'!D82))=0),"",IF(AND(LEN('Raw Data'!D82) &lt;= 500,LEN('Raw Data'!D82)&gt; 0),"",_xlfn.REGEXEXTRACT(CELL("address",'Raw Data'!D82),"\$([A-Z]+)\$[0-9]+"))),_xlfn.REGEXEXTRACT(CELL("address",'Raw Data'!D82),"\$([A-Z]+)\$[0-9]+"))</f>
        <v/>
      </c>
      <c r="E82" s="7" t="str">
        <f t="array" aca="1" ref="E82" ca="1">IFERROR(IF(OR('Raw Data'!E82="",LEN(TRIM('Raw Data'!E82))=0),"",IF(AND(LEN('Raw Data'!E82) &lt;= 50,LEN('Raw Data'!E82)&gt; 0),"",_xlfn.REGEXEXTRACT(CELL("address",'Raw Data'!E82),"\$([A-Z]+)\$[0-9]+"))),_xlfn.REGEXEXTRACT(CELL("address",'Raw Data'!E82),"\$([A-Z]+)\$[0-9]+"))</f>
        <v/>
      </c>
      <c r="F82" s="7" t="str">
        <f t="array" aca="1" ref="F82" ca="1">IFERROR(IF(OR('Raw Data'!F82="",LEN(TRIM('Raw Data'!F82))=0),"",IF(AND(LEN('Raw Data'!F82) &lt;= 50,LEN('Raw Data'!F82)&gt; 0),"",_xlfn.REGEXEXTRACT(CELL("address",'Raw Data'!F82),"\$([A-Z]+)\$[0-9]+"))),_xlfn.REGEXEXTRACT(CELL("address",'Raw Data'!F82),"\$([A-Z]+)\$[0-9]+"))</f>
        <v/>
      </c>
      <c r="G82" s="7" t="str">
        <f t="array" aca="1" ref="G82" ca="1">IFERROR(IF(OR('Raw Data'!G82="",LEN(TRIM('Raw Data'!G82))=0),"",IF(AND(LEN('Raw Data'!G82) &lt;= 50,LEN('Raw Data'!G82)&gt; 0),"",_xlfn.REGEXEXTRACT(CELL("address",'Raw Data'!G82),"\$([A-Z]+)\$[0-9]+"))),_xlfn.REGEXEXTRACT(CELL("address",'Raw Data'!G82),"\$([A-Z]+)\$[0-9]+"))</f>
        <v/>
      </c>
      <c r="H82" s="7" t="str">
        <f t="array" aca="1" ref="H82" ca="1">IFERROR(IF(OR('Raw Data'!H82="",LEN(TRIM('Raw Data'!H82))=0),"",IF(AND(LEN('Raw Data'!H82) &lt;= 50,LEN('Raw Data'!H82)&gt; 0),"",_xlfn.REGEXEXTRACT(CELL("address",'Raw Data'!H82),"\$([A-Z]+)\$[0-9]+"))),_xlfn.REGEXEXTRACT(CELL("address",'Raw Data'!H82),"\$([A-Z]+)\$[0-9]+"))</f>
        <v/>
      </c>
      <c r="I82" s="7" t="str">
        <f t="array" aca="1" ref="I82" ca="1">IFERROR(IF(OR('Raw Data'!I82="",LEN(TRIM('Raw Data'!I82))=0),"",IF(AND(LEN('Raw Data'!I82) &lt;= 50,LEN('Raw Data'!I82)&gt; 0),"",_xlfn.REGEXEXTRACT(CELL("address",'Raw Data'!I82),"\$([A-Z]+)\$[0-9]+"))),_xlfn.REGEXEXTRACT(CELL("address",'Raw Data'!I82),"\$([A-Z]+)\$[0-9]+"))</f>
        <v/>
      </c>
      <c r="J82" s="7" t="str">
        <f t="array" aca="1" ref="J82" ca="1">IFERROR(IF(OR('Raw Data'!J82="",LEN(TRIM('Raw Data'!J82))=0),"",IF(AND(ISNUMBER('Raw Data'!J82), IFERROR('Raw Data'!J82 = ROUND('Raw Data'!J82, 2),FALSE)),"",_xlfn.REGEXEXTRACT(CELL("address",J82), "\$([A-Z]+)\$[0-9]+"))),_xlfn.REGEXEXTRACT(CELL("address",J82), "\$([A-Z]+)\$[0-9]+"))</f>
        <v/>
      </c>
      <c r="K82" s="7" t="str">
        <f t="array" aca="1" ref="K82" ca="1">IFERROR(IF(OR('Raw Data'!K82="",LEN(TRIM('Raw Data'!K82))=0),"",IF(AND(ISNUMBER('Raw Data'!K82), IFERROR('Raw Data'!K82 = ROUND('Raw Data'!K82, 2),FALSE)),"",_xlfn.REGEXEXTRACT(CELL("address",K82), "\$([A-Z]+)\$[0-9]+"))),_xlfn.REGEXEXTRACT(CELL("address",K82), "\$([A-Z]+)\$[0-9]+"))</f>
        <v/>
      </c>
      <c r="L82" s="7" t="str">
        <f t="array" aca="1" ref="L82" ca="1">IFERROR(IF(OR('Raw Data'!L82="",LEN(TRIM('Raw Data'!L82))=0),"",IF(AND(ISNUMBER('Raw Data'!L82), IFERROR('Raw Data'!L82 = ROUND('Raw Data'!L82, 2),FALSE)),"",_xlfn.REGEXEXTRACT(CELL("address",L82), "\$([A-Z]+)\$[0-9]+"))),_xlfn.REGEXEXTRACT(CELL("address",L82), "\$([A-Z]+)\$[0-9]+"))</f>
        <v/>
      </c>
      <c r="M82" s="7" t="str">
        <f t="array" aca="1" ref="M82" ca="1">IFERROR(IF(OR('Raw Data'!M82="",LEN(TRIM('Raw Data'!M82))=0),"",IF(AND(ISNUMBER('Raw Data'!M82), IFERROR('Raw Data'!M82 = ROUND('Raw Data'!M82, 2),FALSE)),"",_xlfn.REGEXEXTRACT(CELL("address",M82), "\$([A-Z]+)\$[0-9]+"))),_xlfn.REGEXEXTRACT(CELL("address",M82), "\$([A-Z]+)\$[0-9]+"))</f>
        <v/>
      </c>
      <c r="N82" s="7" t="str">
        <f t="array" aca="1" ref="N82" ca="1">IFERROR(IF(OR('Raw Data'!N82="",LEN(TRIM('Raw Data'!N82))=0),"",IF(AND(ISNUMBER('Raw Data'!N82), IFERROR('Raw Data'!N82 = ROUND('Raw Data'!N82, 2),FALSE)),"",_xlfn.REGEXEXTRACT(CELL("address",N82), "\$([A-Z]+)\$[0-9]+"))),_xlfn.REGEXEXTRACT(CELL("address",N82), "\$([A-Z]+)\$[0-9]+"))</f>
        <v/>
      </c>
      <c r="O82" s="7" t="str">
        <f t="array" aca="1" ref="O82" ca="1">IFERROR(IF(OR('Raw Data'!O82="",LEN(TRIM('Raw Data'!O82))=0),"",IF(AND(ISNUMBER('Raw Data'!O82),'Raw Data'!O82&gt;=Configuration!$D$2),"",_xlfn.REGEXEXTRACT(CELL("address",'Raw Data'!O82),"\$([A-Z]+)\$[0-9]+"))),_xlfn.REGEXEXTRACT(CELL("address",O82), "\$([A-Z]+)\$[0-9]+"))</f>
        <v/>
      </c>
      <c r="P82" s="7" t="str">
        <f t="array" aca="1" ref="P82" ca="1">IFERROR(IF(OR('Raw Data'!P82="",LEN(TRIM('Raw Data'!P82))=0),"",IF(AND(ISNUMBER('Raw Data'!P82), IFERROR('Raw Data'!P82 = ROUND('Raw Data'!P82, 2),FALSE)),"",_xlfn.REGEXEXTRACT(CELL("address",P82), "\$([A-Z]+)\$[0-9]+"))),_xlfn.REGEXEXTRACT(CELL("address",P82), "\$([A-Z]+)\$[0-9]+"))</f>
        <v/>
      </c>
      <c r="Q82" s="7" t="str">
        <f t="array" aca="1" ref="Q82" ca="1">IFERROR(IF(OR('Raw Data'!Q82="",LEN(TRIM('Raw Data'!Q82))=0),"",IF(AND(ISNUMBER('Raw Data'!Q82), IFERROR('Raw Data'!Q82 = ROUND('Raw Data'!Q82, 2),FALSE)),"",_xlfn.REGEXEXTRACT(CELL("address",Q82), "\$([A-Z]+)\$[0-9]+"))),_xlfn.REGEXEXTRACT(CELL("address",Q82), "\$([A-Z]+)\$[0-9]+"))</f>
        <v/>
      </c>
      <c r="R82" s="7" t="str">
        <f t="array" aca="1" ref="R82" ca="1">IFERROR(IF(OR('Raw Data'!R82="",LEN(TRIM('Raw Data'!R82))=0),"",IF(AND(LEN('Raw Data'!R82) &lt;= 50,LEN('Raw Data'!R82)&gt; 0),"",_xlfn.REGEXEXTRACT(CELL("address",'Raw Data'!R82),"\$([A-Z]+)\$[0-9]+"))),_xlfn.REGEXEXTRACT(CELL("address",'Raw Data'!R82),"\$([A-Z]+)\$[0-9]+"))</f>
        <v/>
      </c>
      <c r="S82" s="7" t="str">
        <f t="array" aca="1" ref="S82" ca="1">IFERROR(IF(OR('Raw Data'!S82="",LEN(TRIM('Raw Data'!S82))=0),"",IF(AND(LEN('Raw Data'!S82) &lt;= 50,LEN('Raw Data'!S82)&gt; 0),"",_xlfn.REGEXEXTRACT(CELL("address",'Raw Data'!S82),"\$([A-Z]+)\$[0-9]+"))),_xlfn.REGEXEXTRACT(CELL("address",'Raw Data'!S82),"\$([A-Z]+)\$[0-9]+"))</f>
        <v/>
      </c>
      <c r="T82" s="7" t="str">
        <f t="array" aca="1" ref="T82" ca="1">IFERROR(IF(OR('Raw Data'!T82="",LEN(TRIM('Raw Data'!T82))=0),"",IF(AND(ISNUMBER('Raw Data'!T82), IFERROR('Raw Data'!T82 = ROUND('Raw Data'!T82, 2),FALSE)),"",_xlfn.REGEXEXTRACT(CELL("address",T82), "\$([A-Z]+)\$[0-9]+"))),_xlfn.REGEXEXTRACT(CELL("address",T82), "\$([A-Z]+)\$[0-9]+"))</f>
        <v/>
      </c>
      <c r="U82" s="7" t="str">
        <f t="array" aca="1" ref="U82" ca="1">IFERROR(IF(OR('Raw Data'!U82="",LEN(TRIM('Raw Data'!U82))=0),"",IF(AND(ISNUMBER('Raw Data'!U82), IFERROR('Raw Data'!U82 = ROUND('Raw Data'!U82, 2),FALSE)),"",_xlfn.REGEXEXTRACT(CELL("address",U82), "\$([A-Z]+)\$[0-9]+"))),_xlfn.REGEXEXTRACT(CELL("address",U82), "\$([A-Z]+)\$[0-9]+"))</f>
        <v/>
      </c>
      <c r="V82" s="7" t="str">
        <f t="array" aca="1" ref="V82" ca="1">IFERROR(IF(OR('Raw Data'!V82="",LEN(TRIM('Raw Data'!V82))=0),"",IF(AND(ISNUMBER('Raw Data'!V82), IFERROR('Raw Data'!V82 = ROUND('Raw Data'!V82, 2),FALSE)),"",_xlfn.REGEXEXTRACT(CELL("address",V82), "\$([A-Z]+)\$[0-9]+"))),_xlfn.REGEXEXTRACT(CELL("address",V82), "\$([A-Z]+)\$[0-9]+"))</f>
        <v/>
      </c>
      <c r="W82" s="7" t="str">
        <f t="array" aca="1" ref="W82" ca="1">IFERROR(IF(OR('Raw Data'!W82="",LEN(TRIM('Raw Data'!W82))=0),"",IF(AND(ISNUMBER('Raw Data'!W82), IFERROR('Raw Data'!W82 = ROUND('Raw Data'!W82, 2),FALSE)),"",_xlfn.REGEXEXTRACT(CELL("address",W82), "\$([A-Z]+)\$[0-9]+"))),_xlfn.REGEXEXTRACT(CELL("address",W82), "\$([A-Z]+)\$[0-9]+"))</f>
        <v/>
      </c>
      <c r="X82" s="7" t="str">
        <f t="array" aca="1" ref="X82" ca="1">IFERROR(IF(OR('Raw Data'!X82="",LEN(TRIM('Raw Data'!X82))=0),"",IF(AND(ISNUMBER('Raw Data'!X82), IFERROR('Raw Data'!X82 = ROUND('Raw Data'!X82, 2),FALSE)),"",_xlfn.REGEXEXTRACT(CELL("address",X82), "\$([A-Z]+)\$[0-9]+"))),_xlfn.REGEXEXTRACT(CELL("address",X82), "\$([A-Z]+)\$[0-9]+"))</f>
        <v/>
      </c>
      <c r="Y82" s="7" t="str">
        <f t="array" aca="1" ref="Y82" ca="1">IFERROR(IF(OR('Raw Data'!Y82="",LEN(TRIM('Raw Data'!Y82))=0),"",IF(AND(ISNUMBER('Raw Data'!Y82), IFERROR('Raw Data'!Y82 = ROUND('Raw Data'!Y82, 2),FALSE)),"",_xlfn.REGEXEXTRACT(CELL("address",Y82), "\$([A-Z]+)\$[0-9]+"))),_xlfn.REGEXEXTRACT(CELL("address",Y82), "\$([A-Z]+)\$[0-9]+"))</f>
        <v/>
      </c>
      <c r="Z82" s="7" t="str">
        <f t="array" aca="1" ref="Z82" ca="1">IFERROR(IF(OR('Raw Data'!Z82="",LEN(TRIM('Raw Data'!Z82))=0),"",IF(AND(ISNUMBER('Raw Data'!Z82), IFERROR('Raw Data'!Z82 = ROUND('Raw Data'!Z82, 2),FALSE)),"",_xlfn.REGEXEXTRACT(CELL("address",Z82), "\$([A-Z]+)\$[0-9]+"))),_xlfn.REGEXEXTRACT(CELL("address",Z82), "\$([A-Z]+)\$[0-9]+"))</f>
        <v/>
      </c>
      <c r="AA82" s="7" t="str">
        <f t="array" aca="1" ref="AA82" ca="1">IFERROR(IF(OR('Raw Data'!AA82="",LEN(TRIM('Raw Data'!AA82))=0),"",IF(AND(ISNUMBER('Raw Data'!AA82), IFERROR('Raw Data'!AA82 = ROUND('Raw Data'!AA82, 2),FALSE)),"",_xlfn.REGEXEXTRACT(CELL("address",AA82), "\$([A-Z]+)\$[0-9]+"))),_xlfn.REGEXEXTRACT(CELL("address",AA82), "\$([A-Z]+)\$[0-9]+"))</f>
        <v/>
      </c>
      <c r="AB82" s="7" t="str">
        <f t="array" aca="1" ref="AB82" ca="1">IFERROR(IF(OR('Raw Data'!AB82="",LEN(TRIM('Raw Data'!AB82))=0),"",IF(AND(ISNUMBER('Raw Data'!AB82), IFERROR('Raw Data'!AB82 = ROUND('Raw Data'!AB82, 2),FALSE)),"",_xlfn.REGEXEXTRACT(CELL("address",AB82), "\$([A-Z]+)\$[0-9]+"))),_xlfn.REGEXEXTRACT(CELL("address",AB82), "\$([A-Z]+)\$[0-9]+"))</f>
        <v/>
      </c>
      <c r="AC82" s="7" t="str">
        <f t="array" aca="1" ref="AC82" ca="1">IFERROR(IF(OR('Raw Data'!AC82="",LEN(TRIM('Raw Data'!AC82))=0),"",IF(AND(ISNUMBER('Raw Data'!AC82), IFERROR('Raw Data'!AC82 = ROUND('Raw Data'!AC82, 2),FALSE)),"",_xlfn.REGEXEXTRACT(CELL("address",AC82), "\$([A-Z]+)\$[0-9]+"))),_xlfn.REGEXEXTRACT(CELL("address",AC82), "\$([A-Z]+)\$[0-9]+"))</f>
        <v/>
      </c>
      <c r="AD82" s="7" t="str">
        <f t="array" aca="1" ref="AD82" ca="1">IFERROR(IF(OR('Raw Data'!AD82="",LEN(TRIM('Raw Data'!AD82))=0),"",IF(AND(ISNUMBER('Raw Data'!AD82), IFERROR('Raw Data'!AD82 = ROUND('Raw Data'!AD82, 2),FALSE)),"",_xlfn.REGEXEXTRACT(CELL("address",AD82), "\$([A-Z]+)\$[0-9]+"))),_xlfn.REGEXEXTRACT(CELL("address",AD82), "\$([A-Z]+)\$[0-9]+"))</f>
        <v/>
      </c>
      <c r="AE82" s="7" t="str">
        <f t="array" aca="1" ref="AE82" ca="1">IFERROR(IF(OR('Raw Data'!AE82="",LEN(TRIM('Raw Data'!AE82))=0),"",IF(AND(ISNUMBER('Raw Data'!AE82), IFERROR('Raw Data'!AE82 = ROUND('Raw Data'!AE82, 2),FALSE)),"",_xlfn.REGEXEXTRACT(CELL("address",AE82), "\$([A-Z]+)\$[0-9]+"))),_xlfn.REGEXEXTRACT(CELL("address",AE82), "\$([A-Z]+)\$[0-9]+"))</f>
        <v/>
      </c>
      <c r="AF82" s="7" t="str">
        <f t="array" aca="1" ref="AF82" ca="1">IFERROR(IF(OR('Raw Data'!AF82="",LEN(TRIM('Raw Data'!AF82))=0),"",IF(AND(ISNUMBER('Raw Data'!AF82), IFERROR('Raw Data'!AF82 = ROUND('Raw Data'!AF82, 2),FALSE)),"",_xlfn.REGEXEXTRACT(CELL("address",AF82), "\$([A-Z]+)\$[0-9]+"))),_xlfn.REGEXEXTRACT(CELL("address",AF82), "\$([A-Z]+)\$[0-9]+"))</f>
        <v/>
      </c>
      <c r="AG82" s="7" t="str">
        <f t="array" aca="1" ref="AG82" ca="1">IFERROR(IF(OR('Raw Data'!AG82="",LEN(TRIM('Raw Data'!AG82))=0),"",IF(AND(ISNUMBER('Raw Data'!AG82), IFERROR('Raw Data'!AG82 = ROUND('Raw Data'!AG82, 2),FALSE)),"",_xlfn.REGEXEXTRACT(CELL("address",AG82), "\$([A-Z]+)\$[0-9]+"))),_xlfn.REGEXEXTRACT(CELL("address",AG82), "\$([A-Z]+)\$[0-9]+"))</f>
        <v/>
      </c>
      <c r="AH82" s="7" t="str">
        <f t="array" aca="1" ref="AH82" ca="1">IFERROR(IF(OR('Raw Data'!AH82="",LEN(TRIM('Raw Data'!AH82))=0),"",IF(AND(ISNUMBER('Raw Data'!AH82), IFERROR('Raw Data'!AH82 = ROUND('Raw Data'!AH82, 2),FALSE)),"",_xlfn.REGEXEXTRACT(CELL("address",AH82), "\$([A-Z]+)\$[0-9]+"))),_xlfn.REGEXEXTRACT(CELL("address",AH82), "\$([A-Z]+)\$[0-9]+"))</f>
        <v/>
      </c>
      <c r="AI82" s="7" t="str">
        <f t="array" aca="1" ref="AI82" ca="1">IFERROR(IF(OR('Raw Data'!AI82="",LEN(TRIM('Raw Data'!AI82))=0),"",IF(AND(ISNUMBER('Raw Data'!AI82), IFERROR('Raw Data'!AI82 = ROUND('Raw Data'!AI82, 2),FALSE)),"",_xlfn.REGEXEXTRACT(CELL("address",AI82), "\$([A-Z]+)\$[0-9]+"))),_xlfn.REGEXEXTRACT(CELL("address",AI82), "\$([A-Z]+)\$[0-9]+"))</f>
        <v/>
      </c>
      <c r="AJ82" s="7" t="str">
        <f t="array" aca="1" ref="AJ82" ca="1">IFERROR(IF(OR('Raw Data'!AJ82="",LEN(TRIM('Raw Data'!AJ82))=0),"",IF(AND(ISNUMBER('Raw Data'!AJ82), IFERROR('Raw Data'!AJ82 = ROUND('Raw Data'!AJ82, 4),FALSE)),"",_xlfn.REGEXEXTRACT(CELL("address",AJ82), "\$([A-Z]+)\$[0-9]+"))),_xlfn.REGEXEXTRACT(CELL("address",AJ82), "\$([A-Z]+)\$[0-9]+"))</f>
        <v/>
      </c>
      <c r="AK82" s="7" t="str">
        <f t="array" aca="1" ref="AK82" ca="1">IFERROR(IF(OR('Raw Data'!AK82="",LEN(TRIM('Raw Data'!AK82))=0),"",IF(AND(ISNUMBER('Raw Data'!AK82), IFERROR('Raw Data'!AK82 = ROUND('Raw Data'!AK82, 2),FALSE)),"",_xlfn.REGEXEXTRACT(CELL("address",AK82), "\$([A-Z]+)\$[0-9]+"))),_xlfn.REGEXEXTRACT(CELL("address",AK82), "\$([A-Z]+)\$[0-9]+"))</f>
        <v/>
      </c>
      <c r="AL82" s="7" t="str">
        <f t="array" aca="1" ref="AL82" ca="1">IFERROR(IF(OR('Raw Data'!AL82="",LEN(TRIM('Raw Data'!AL82))=0),"",IF(AND(ISNUMBER('Raw Data'!AL82), IFERROR('Raw Data'!AL82 = ROUND('Raw Data'!AL82, 2),FALSE)),"",_xlfn.REGEXEXTRACT(CELL("address",AL82), "\$([A-Z]+)\$[0-9]+"))),_xlfn.REGEXEXTRACT(CELL("address",AL82), "\$([A-Z]+)\$[0-9]+"))</f>
        <v/>
      </c>
      <c r="AM82" s="7" t="str">
        <f t="array" aca="1" ref="AM82" ca="1">IFERROR(IF(OR('Raw Data'!AM82="",LEN(TRIM('Raw Data'!AM82))=0),"",IF(AND(ISNUMBER('Raw Data'!AM82), IFERROR('Raw Data'!AM82 = ROUND('Raw Data'!AM82, 2),FALSE)),"",_xlfn.REGEXEXTRACT(CELL("address",AM82), "\$([A-Z]+)\$[0-9]+"))),_xlfn.REGEXEXTRACT(CELL("address",AM82), "\$([A-Z]+)\$[0-9]+"))</f>
        <v/>
      </c>
      <c r="AN82" s="7" t="str">
        <f t="array" aca="1" ref="AN82" ca="1">IFERROR(IF(OR('Raw Data'!AN82="",LEN(TRIM('Raw Data'!AN82))=0),"",IF(AND(ISNUMBER('Raw Data'!AN82), IFERROR('Raw Data'!AN82 = ROUND('Raw Data'!AN82, 2),FALSE)),"",_xlfn.REGEXEXTRACT(CELL("address",AN82), "\$([A-Z]+)\$[0-9]+"))),_xlfn.REGEXEXTRACT(CELL("address",AN82), "\$([A-Z]+)\$[0-9]+"))</f>
        <v/>
      </c>
      <c r="AO82" s="7" t="str">
        <f t="array" aca="1" ref="AO82" ca="1">IFERROR(IF(OR('Raw Data'!AO82="",LEN(TRIM('Raw Data'!AO82))=0),"",IF(AND(ISNUMBER('Raw Data'!AO82), IFERROR('Raw Data'!AO82 = ROUND('Raw Data'!AO82, 2),FALSE)),"",_xlfn.REGEXEXTRACT(CELL("address",AO82), "\$([A-Z]+)\$[0-9]+"))),_xlfn.REGEXEXTRACT(CELL("address",AO82), "\$([A-Z]+)\$[0-9]+"))</f>
        <v/>
      </c>
      <c r="AP82" s="7" t="str">
        <f t="array" aca="1" ref="AP82" ca="1">IFERROR(IF(OR('Raw Data'!AP82="",LEN(TRIM('Raw Data'!AP82))=0),"",IF(AND(ISNUMBER('Raw Data'!AP82), IFERROR('Raw Data'!AP82 = ROUND('Raw Data'!AP82, 2),FALSE)),"",_xlfn.REGEXEXTRACT(CELL("address",AP82), "\$([A-Z]+)\$[0-9]+"))),_xlfn.REGEXEXTRACT(CELL("address",AP82), "\$([A-Z]+)\$[0-9]+"))</f>
        <v/>
      </c>
    </row>
    <row r="83" spans="2:42" x14ac:dyDescent="0.25">
      <c r="B83" s="7" t="str">
        <f t="array" aca="1" ref="B83" ca="1">IFERROR(IF(OR('Raw Data'!B83="",LEN(TRIM('Raw Data'!B83))=0),"",IF(AND(LEN('Raw Data'!B83) &lt;= 255,LEN('Raw Data'!B83)&gt; 0),"",_xlfn.REGEXEXTRACT(CELL("address",'Raw Data'!B83),"\$([A-Z]+)\$[0-9]+"))),_xlfn.REGEXEXTRACT(CELL("address",'Raw Data'!B83),"\$([A-Z]+)\$[0-9]+"))</f>
        <v/>
      </c>
      <c r="C83" s="7" t="str">
        <f t="array" aca="1" ref="C83" ca="1">IFERROR(IF(OR('Raw Data'!C83="",LEN(TRIM('Raw Data'!C83))=0),"",IF(AND(LEN('Raw Data'!C83) &lt;= 50,LEN('Raw Data'!C83)&gt; 0),"",_xlfn.REGEXEXTRACT(CELL("address",'Raw Data'!C83),"\$([A-Z]+)\$[0-9]+"))),_xlfn.REGEXEXTRACT(CELL("address",'Raw Data'!C83),"\$([A-Z]+)\$[0-9]+"))</f>
        <v/>
      </c>
      <c r="D83" s="7" t="str">
        <f t="array" aca="1" ref="D83" ca="1">IFERROR(IF(OR('Raw Data'!D83="",LEN(TRIM('Raw Data'!D83))=0),"",IF(AND(LEN('Raw Data'!D83) &lt;= 500,LEN('Raw Data'!D83)&gt; 0),"",_xlfn.REGEXEXTRACT(CELL("address",'Raw Data'!D83),"\$([A-Z]+)\$[0-9]+"))),_xlfn.REGEXEXTRACT(CELL("address",'Raw Data'!D83),"\$([A-Z]+)\$[0-9]+"))</f>
        <v/>
      </c>
      <c r="E83" s="7" t="str">
        <f t="array" aca="1" ref="E83" ca="1">IFERROR(IF(OR('Raw Data'!E83="",LEN(TRIM('Raw Data'!E83))=0),"",IF(AND(LEN('Raw Data'!E83) &lt;= 50,LEN('Raw Data'!E83)&gt; 0),"",_xlfn.REGEXEXTRACT(CELL("address",'Raw Data'!E83),"\$([A-Z]+)\$[0-9]+"))),_xlfn.REGEXEXTRACT(CELL("address",'Raw Data'!E83),"\$([A-Z]+)\$[0-9]+"))</f>
        <v/>
      </c>
      <c r="F83" s="7" t="str">
        <f t="array" aca="1" ref="F83" ca="1">IFERROR(IF(OR('Raw Data'!F83="",LEN(TRIM('Raw Data'!F83))=0),"",IF(AND(LEN('Raw Data'!F83) &lt;= 50,LEN('Raw Data'!F83)&gt; 0),"",_xlfn.REGEXEXTRACT(CELL("address",'Raw Data'!F83),"\$([A-Z]+)\$[0-9]+"))),_xlfn.REGEXEXTRACT(CELL("address",'Raw Data'!F83),"\$([A-Z]+)\$[0-9]+"))</f>
        <v/>
      </c>
      <c r="G83" s="7" t="str">
        <f t="array" aca="1" ref="G83" ca="1">IFERROR(IF(OR('Raw Data'!G83="",LEN(TRIM('Raw Data'!G83))=0),"",IF(AND(LEN('Raw Data'!G83) &lt;= 50,LEN('Raw Data'!G83)&gt; 0),"",_xlfn.REGEXEXTRACT(CELL("address",'Raw Data'!G83),"\$([A-Z]+)\$[0-9]+"))),_xlfn.REGEXEXTRACT(CELL("address",'Raw Data'!G83),"\$([A-Z]+)\$[0-9]+"))</f>
        <v/>
      </c>
      <c r="H83" s="7" t="str">
        <f t="array" aca="1" ref="H83" ca="1">IFERROR(IF(OR('Raw Data'!H83="",LEN(TRIM('Raw Data'!H83))=0),"",IF(AND(LEN('Raw Data'!H83) &lt;= 50,LEN('Raw Data'!H83)&gt; 0),"",_xlfn.REGEXEXTRACT(CELL("address",'Raw Data'!H83),"\$([A-Z]+)\$[0-9]+"))),_xlfn.REGEXEXTRACT(CELL("address",'Raw Data'!H83),"\$([A-Z]+)\$[0-9]+"))</f>
        <v/>
      </c>
      <c r="I83" s="7" t="str">
        <f t="array" aca="1" ref="I83" ca="1">IFERROR(IF(OR('Raw Data'!I83="",LEN(TRIM('Raw Data'!I83))=0),"",IF(AND(LEN('Raw Data'!I83) &lt;= 50,LEN('Raw Data'!I83)&gt; 0),"",_xlfn.REGEXEXTRACT(CELL("address",'Raw Data'!I83),"\$([A-Z]+)\$[0-9]+"))),_xlfn.REGEXEXTRACT(CELL("address",'Raw Data'!I83),"\$([A-Z]+)\$[0-9]+"))</f>
        <v/>
      </c>
      <c r="J83" s="7" t="str">
        <f t="array" aca="1" ref="J83" ca="1">IFERROR(IF(OR('Raw Data'!J83="",LEN(TRIM('Raw Data'!J83))=0),"",IF(AND(ISNUMBER('Raw Data'!J83), IFERROR('Raw Data'!J83 = ROUND('Raw Data'!J83, 2),FALSE)),"",_xlfn.REGEXEXTRACT(CELL("address",J83), "\$([A-Z]+)\$[0-9]+"))),_xlfn.REGEXEXTRACT(CELL("address",J83), "\$([A-Z]+)\$[0-9]+"))</f>
        <v/>
      </c>
      <c r="K83" s="7" t="str">
        <f t="array" aca="1" ref="K83" ca="1">IFERROR(IF(OR('Raw Data'!K83="",LEN(TRIM('Raw Data'!K83))=0),"",IF(AND(ISNUMBER('Raw Data'!K83), IFERROR('Raw Data'!K83 = ROUND('Raw Data'!K83, 2),FALSE)),"",_xlfn.REGEXEXTRACT(CELL("address",K83), "\$([A-Z]+)\$[0-9]+"))),_xlfn.REGEXEXTRACT(CELL("address",K83), "\$([A-Z]+)\$[0-9]+"))</f>
        <v/>
      </c>
      <c r="L83" s="7" t="str">
        <f t="array" aca="1" ref="L83" ca="1">IFERROR(IF(OR('Raw Data'!L83="",LEN(TRIM('Raw Data'!L83))=0),"",IF(AND(ISNUMBER('Raw Data'!L83), IFERROR('Raw Data'!L83 = ROUND('Raw Data'!L83, 2),FALSE)),"",_xlfn.REGEXEXTRACT(CELL("address",L83), "\$([A-Z]+)\$[0-9]+"))),_xlfn.REGEXEXTRACT(CELL("address",L83), "\$([A-Z]+)\$[0-9]+"))</f>
        <v/>
      </c>
      <c r="M83" s="7" t="str">
        <f t="array" aca="1" ref="M83" ca="1">IFERROR(IF(OR('Raw Data'!M83="",LEN(TRIM('Raw Data'!M83))=0),"",IF(AND(ISNUMBER('Raw Data'!M83), IFERROR('Raw Data'!M83 = ROUND('Raw Data'!M83, 2),FALSE)),"",_xlfn.REGEXEXTRACT(CELL("address",M83), "\$([A-Z]+)\$[0-9]+"))),_xlfn.REGEXEXTRACT(CELL("address",M83), "\$([A-Z]+)\$[0-9]+"))</f>
        <v/>
      </c>
      <c r="N83" s="7" t="str">
        <f t="array" aca="1" ref="N83" ca="1">IFERROR(IF(OR('Raw Data'!N83="",LEN(TRIM('Raw Data'!N83))=0),"",IF(AND(ISNUMBER('Raw Data'!N83), IFERROR('Raw Data'!N83 = ROUND('Raw Data'!N83, 2),FALSE)),"",_xlfn.REGEXEXTRACT(CELL("address",N83), "\$([A-Z]+)\$[0-9]+"))),_xlfn.REGEXEXTRACT(CELL("address",N83), "\$([A-Z]+)\$[0-9]+"))</f>
        <v/>
      </c>
      <c r="O83" s="7" t="str">
        <f t="array" aca="1" ref="O83" ca="1">IFERROR(IF(OR('Raw Data'!O83="",LEN(TRIM('Raw Data'!O83))=0),"",IF(AND(ISNUMBER('Raw Data'!O83),'Raw Data'!O83&gt;=Configuration!$D$2),"",_xlfn.REGEXEXTRACT(CELL("address",'Raw Data'!O83),"\$([A-Z]+)\$[0-9]+"))),_xlfn.REGEXEXTRACT(CELL("address",O83), "\$([A-Z]+)\$[0-9]+"))</f>
        <v/>
      </c>
      <c r="P83" s="7" t="str">
        <f t="array" aca="1" ref="P83" ca="1">IFERROR(IF(OR('Raw Data'!P83="",LEN(TRIM('Raw Data'!P83))=0),"",IF(AND(ISNUMBER('Raw Data'!P83), IFERROR('Raw Data'!P83 = ROUND('Raw Data'!P83, 2),FALSE)),"",_xlfn.REGEXEXTRACT(CELL("address",P83), "\$([A-Z]+)\$[0-9]+"))),_xlfn.REGEXEXTRACT(CELL("address",P83), "\$([A-Z]+)\$[0-9]+"))</f>
        <v/>
      </c>
      <c r="Q83" s="7" t="str">
        <f t="array" aca="1" ref="Q83" ca="1">IFERROR(IF(OR('Raw Data'!Q83="",LEN(TRIM('Raw Data'!Q83))=0),"",IF(AND(ISNUMBER('Raw Data'!Q83), IFERROR('Raw Data'!Q83 = ROUND('Raw Data'!Q83, 2),FALSE)),"",_xlfn.REGEXEXTRACT(CELL("address",Q83), "\$([A-Z]+)\$[0-9]+"))),_xlfn.REGEXEXTRACT(CELL("address",Q83), "\$([A-Z]+)\$[0-9]+"))</f>
        <v/>
      </c>
      <c r="R83" s="7" t="str">
        <f t="array" aca="1" ref="R83" ca="1">IFERROR(IF(OR('Raw Data'!R83="",LEN(TRIM('Raw Data'!R83))=0),"",IF(AND(LEN('Raw Data'!R83) &lt;= 50,LEN('Raw Data'!R83)&gt; 0),"",_xlfn.REGEXEXTRACT(CELL("address",'Raw Data'!R83),"\$([A-Z]+)\$[0-9]+"))),_xlfn.REGEXEXTRACT(CELL("address",'Raw Data'!R83),"\$([A-Z]+)\$[0-9]+"))</f>
        <v/>
      </c>
      <c r="S83" s="7" t="str">
        <f t="array" aca="1" ref="S83" ca="1">IFERROR(IF(OR('Raw Data'!S83="",LEN(TRIM('Raw Data'!S83))=0),"",IF(AND(LEN('Raw Data'!S83) &lt;= 50,LEN('Raw Data'!S83)&gt; 0),"",_xlfn.REGEXEXTRACT(CELL("address",'Raw Data'!S83),"\$([A-Z]+)\$[0-9]+"))),_xlfn.REGEXEXTRACT(CELL("address",'Raw Data'!S83),"\$([A-Z]+)\$[0-9]+"))</f>
        <v/>
      </c>
      <c r="T83" s="7" t="str">
        <f t="array" aca="1" ref="T83" ca="1">IFERROR(IF(OR('Raw Data'!T83="",LEN(TRIM('Raw Data'!T83))=0),"",IF(AND(ISNUMBER('Raw Data'!T83), IFERROR('Raw Data'!T83 = ROUND('Raw Data'!T83, 2),FALSE)),"",_xlfn.REGEXEXTRACT(CELL("address",T83), "\$([A-Z]+)\$[0-9]+"))),_xlfn.REGEXEXTRACT(CELL("address",T83), "\$([A-Z]+)\$[0-9]+"))</f>
        <v/>
      </c>
      <c r="U83" s="7" t="str">
        <f t="array" aca="1" ref="U83" ca="1">IFERROR(IF(OR('Raw Data'!U83="",LEN(TRIM('Raw Data'!U83))=0),"",IF(AND(ISNUMBER('Raw Data'!U83), IFERROR('Raw Data'!U83 = ROUND('Raw Data'!U83, 2),FALSE)),"",_xlfn.REGEXEXTRACT(CELL("address",U83), "\$([A-Z]+)\$[0-9]+"))),_xlfn.REGEXEXTRACT(CELL("address",U83), "\$([A-Z]+)\$[0-9]+"))</f>
        <v/>
      </c>
      <c r="V83" s="7" t="str">
        <f t="array" aca="1" ref="V83" ca="1">IFERROR(IF(OR('Raw Data'!V83="",LEN(TRIM('Raw Data'!V83))=0),"",IF(AND(ISNUMBER('Raw Data'!V83), IFERROR('Raw Data'!V83 = ROUND('Raw Data'!V83, 2),FALSE)),"",_xlfn.REGEXEXTRACT(CELL("address",V83), "\$([A-Z]+)\$[0-9]+"))),_xlfn.REGEXEXTRACT(CELL("address",V83), "\$([A-Z]+)\$[0-9]+"))</f>
        <v/>
      </c>
      <c r="W83" s="7" t="str">
        <f t="array" aca="1" ref="W83" ca="1">IFERROR(IF(OR('Raw Data'!W83="",LEN(TRIM('Raw Data'!W83))=0),"",IF(AND(ISNUMBER('Raw Data'!W83), IFERROR('Raw Data'!W83 = ROUND('Raw Data'!W83, 2),FALSE)),"",_xlfn.REGEXEXTRACT(CELL("address",W83), "\$([A-Z]+)\$[0-9]+"))),_xlfn.REGEXEXTRACT(CELL("address",W83), "\$([A-Z]+)\$[0-9]+"))</f>
        <v/>
      </c>
      <c r="X83" s="7" t="str">
        <f t="array" aca="1" ref="X83" ca="1">IFERROR(IF(OR('Raw Data'!X83="",LEN(TRIM('Raw Data'!X83))=0),"",IF(AND(ISNUMBER('Raw Data'!X83), IFERROR('Raw Data'!X83 = ROUND('Raw Data'!X83, 2),FALSE)),"",_xlfn.REGEXEXTRACT(CELL("address",X83), "\$([A-Z]+)\$[0-9]+"))),_xlfn.REGEXEXTRACT(CELL("address",X83), "\$([A-Z]+)\$[0-9]+"))</f>
        <v/>
      </c>
      <c r="Y83" s="7" t="str">
        <f t="array" aca="1" ref="Y83" ca="1">IFERROR(IF(OR('Raw Data'!Y83="",LEN(TRIM('Raw Data'!Y83))=0),"",IF(AND(ISNUMBER('Raw Data'!Y83), IFERROR('Raw Data'!Y83 = ROUND('Raw Data'!Y83, 2),FALSE)),"",_xlfn.REGEXEXTRACT(CELL("address",Y83), "\$([A-Z]+)\$[0-9]+"))),_xlfn.REGEXEXTRACT(CELL("address",Y83), "\$([A-Z]+)\$[0-9]+"))</f>
        <v/>
      </c>
      <c r="Z83" s="7" t="str">
        <f t="array" aca="1" ref="Z83" ca="1">IFERROR(IF(OR('Raw Data'!Z83="",LEN(TRIM('Raw Data'!Z83))=0),"",IF(AND(ISNUMBER('Raw Data'!Z83), IFERROR('Raw Data'!Z83 = ROUND('Raw Data'!Z83, 2),FALSE)),"",_xlfn.REGEXEXTRACT(CELL("address",Z83), "\$([A-Z]+)\$[0-9]+"))),_xlfn.REGEXEXTRACT(CELL("address",Z83), "\$([A-Z]+)\$[0-9]+"))</f>
        <v/>
      </c>
      <c r="AA83" s="7" t="str">
        <f t="array" aca="1" ref="AA83" ca="1">IFERROR(IF(OR('Raw Data'!AA83="",LEN(TRIM('Raw Data'!AA83))=0),"",IF(AND(ISNUMBER('Raw Data'!AA83), IFERROR('Raw Data'!AA83 = ROUND('Raw Data'!AA83, 2),FALSE)),"",_xlfn.REGEXEXTRACT(CELL("address",AA83), "\$([A-Z]+)\$[0-9]+"))),_xlfn.REGEXEXTRACT(CELL("address",AA83), "\$([A-Z]+)\$[0-9]+"))</f>
        <v/>
      </c>
      <c r="AB83" s="7" t="str">
        <f t="array" aca="1" ref="AB83" ca="1">IFERROR(IF(OR('Raw Data'!AB83="",LEN(TRIM('Raw Data'!AB83))=0),"",IF(AND(ISNUMBER('Raw Data'!AB83), IFERROR('Raw Data'!AB83 = ROUND('Raw Data'!AB83, 2),FALSE)),"",_xlfn.REGEXEXTRACT(CELL("address",AB83), "\$([A-Z]+)\$[0-9]+"))),_xlfn.REGEXEXTRACT(CELL("address",AB83), "\$([A-Z]+)\$[0-9]+"))</f>
        <v/>
      </c>
      <c r="AC83" s="7" t="str">
        <f t="array" aca="1" ref="AC83" ca="1">IFERROR(IF(OR('Raw Data'!AC83="",LEN(TRIM('Raw Data'!AC83))=0),"",IF(AND(ISNUMBER('Raw Data'!AC83), IFERROR('Raw Data'!AC83 = ROUND('Raw Data'!AC83, 2),FALSE)),"",_xlfn.REGEXEXTRACT(CELL("address",AC83), "\$([A-Z]+)\$[0-9]+"))),_xlfn.REGEXEXTRACT(CELL("address",AC83), "\$([A-Z]+)\$[0-9]+"))</f>
        <v/>
      </c>
      <c r="AD83" s="7" t="str">
        <f t="array" aca="1" ref="AD83" ca="1">IFERROR(IF(OR('Raw Data'!AD83="",LEN(TRIM('Raw Data'!AD83))=0),"",IF(AND(ISNUMBER('Raw Data'!AD83), IFERROR('Raw Data'!AD83 = ROUND('Raw Data'!AD83, 2),FALSE)),"",_xlfn.REGEXEXTRACT(CELL("address",AD83), "\$([A-Z]+)\$[0-9]+"))),_xlfn.REGEXEXTRACT(CELL("address",AD83), "\$([A-Z]+)\$[0-9]+"))</f>
        <v/>
      </c>
      <c r="AE83" s="7" t="str">
        <f t="array" aca="1" ref="AE83" ca="1">IFERROR(IF(OR('Raw Data'!AE83="",LEN(TRIM('Raw Data'!AE83))=0),"",IF(AND(ISNUMBER('Raw Data'!AE83), IFERROR('Raw Data'!AE83 = ROUND('Raw Data'!AE83, 2),FALSE)),"",_xlfn.REGEXEXTRACT(CELL("address",AE83), "\$([A-Z]+)\$[0-9]+"))),_xlfn.REGEXEXTRACT(CELL("address",AE83), "\$([A-Z]+)\$[0-9]+"))</f>
        <v/>
      </c>
      <c r="AF83" s="7" t="str">
        <f t="array" aca="1" ref="AF83" ca="1">IFERROR(IF(OR('Raw Data'!AF83="",LEN(TRIM('Raw Data'!AF83))=0),"",IF(AND(ISNUMBER('Raw Data'!AF83), IFERROR('Raw Data'!AF83 = ROUND('Raw Data'!AF83, 2),FALSE)),"",_xlfn.REGEXEXTRACT(CELL("address",AF83), "\$([A-Z]+)\$[0-9]+"))),_xlfn.REGEXEXTRACT(CELL("address",AF83), "\$([A-Z]+)\$[0-9]+"))</f>
        <v/>
      </c>
      <c r="AG83" s="7" t="str">
        <f t="array" aca="1" ref="AG83" ca="1">IFERROR(IF(OR('Raw Data'!AG83="",LEN(TRIM('Raw Data'!AG83))=0),"",IF(AND(ISNUMBER('Raw Data'!AG83), IFERROR('Raw Data'!AG83 = ROUND('Raw Data'!AG83, 2),FALSE)),"",_xlfn.REGEXEXTRACT(CELL("address",AG83), "\$([A-Z]+)\$[0-9]+"))),_xlfn.REGEXEXTRACT(CELL("address",AG83), "\$([A-Z]+)\$[0-9]+"))</f>
        <v/>
      </c>
      <c r="AH83" s="7" t="str">
        <f t="array" aca="1" ref="AH83" ca="1">IFERROR(IF(OR('Raw Data'!AH83="",LEN(TRIM('Raw Data'!AH83))=0),"",IF(AND(ISNUMBER('Raw Data'!AH83), IFERROR('Raw Data'!AH83 = ROUND('Raw Data'!AH83, 2),FALSE)),"",_xlfn.REGEXEXTRACT(CELL("address",AH83), "\$([A-Z]+)\$[0-9]+"))),_xlfn.REGEXEXTRACT(CELL("address",AH83), "\$([A-Z]+)\$[0-9]+"))</f>
        <v/>
      </c>
      <c r="AI83" s="7" t="str">
        <f t="array" aca="1" ref="AI83" ca="1">IFERROR(IF(OR('Raw Data'!AI83="",LEN(TRIM('Raw Data'!AI83))=0),"",IF(AND(ISNUMBER('Raw Data'!AI83), IFERROR('Raw Data'!AI83 = ROUND('Raw Data'!AI83, 2),FALSE)),"",_xlfn.REGEXEXTRACT(CELL("address",AI83), "\$([A-Z]+)\$[0-9]+"))),_xlfn.REGEXEXTRACT(CELL("address",AI83), "\$([A-Z]+)\$[0-9]+"))</f>
        <v/>
      </c>
      <c r="AJ83" s="7" t="str">
        <f t="array" aca="1" ref="AJ83" ca="1">IFERROR(IF(OR('Raw Data'!AJ83="",LEN(TRIM('Raw Data'!AJ83))=0),"",IF(AND(ISNUMBER('Raw Data'!AJ83), IFERROR('Raw Data'!AJ83 = ROUND('Raw Data'!AJ83, 4),FALSE)),"",_xlfn.REGEXEXTRACT(CELL("address",AJ83), "\$([A-Z]+)\$[0-9]+"))),_xlfn.REGEXEXTRACT(CELL("address",AJ83), "\$([A-Z]+)\$[0-9]+"))</f>
        <v/>
      </c>
      <c r="AK83" s="7" t="str">
        <f t="array" aca="1" ref="AK83" ca="1">IFERROR(IF(OR('Raw Data'!AK83="",LEN(TRIM('Raw Data'!AK83))=0),"",IF(AND(ISNUMBER('Raw Data'!AK83), IFERROR('Raw Data'!AK83 = ROUND('Raw Data'!AK83, 2),FALSE)),"",_xlfn.REGEXEXTRACT(CELL("address",AK83), "\$([A-Z]+)\$[0-9]+"))),_xlfn.REGEXEXTRACT(CELL("address",AK83), "\$([A-Z]+)\$[0-9]+"))</f>
        <v/>
      </c>
      <c r="AL83" s="7" t="str">
        <f t="array" aca="1" ref="AL83" ca="1">IFERROR(IF(OR('Raw Data'!AL83="",LEN(TRIM('Raw Data'!AL83))=0),"",IF(AND(ISNUMBER('Raw Data'!AL83), IFERROR('Raw Data'!AL83 = ROUND('Raw Data'!AL83, 2),FALSE)),"",_xlfn.REGEXEXTRACT(CELL("address",AL83), "\$([A-Z]+)\$[0-9]+"))),_xlfn.REGEXEXTRACT(CELL("address",AL83), "\$([A-Z]+)\$[0-9]+"))</f>
        <v/>
      </c>
      <c r="AM83" s="7" t="str">
        <f t="array" aca="1" ref="AM83" ca="1">IFERROR(IF(OR('Raw Data'!AM83="",LEN(TRIM('Raw Data'!AM83))=0),"",IF(AND(ISNUMBER('Raw Data'!AM83), IFERROR('Raw Data'!AM83 = ROUND('Raw Data'!AM83, 2),FALSE)),"",_xlfn.REGEXEXTRACT(CELL("address",AM83), "\$([A-Z]+)\$[0-9]+"))),_xlfn.REGEXEXTRACT(CELL("address",AM83), "\$([A-Z]+)\$[0-9]+"))</f>
        <v/>
      </c>
      <c r="AN83" s="7" t="str">
        <f t="array" aca="1" ref="AN83" ca="1">IFERROR(IF(OR('Raw Data'!AN83="",LEN(TRIM('Raw Data'!AN83))=0),"",IF(AND(ISNUMBER('Raw Data'!AN83), IFERROR('Raw Data'!AN83 = ROUND('Raw Data'!AN83, 2),FALSE)),"",_xlfn.REGEXEXTRACT(CELL("address",AN83), "\$([A-Z]+)\$[0-9]+"))),_xlfn.REGEXEXTRACT(CELL("address",AN83), "\$([A-Z]+)\$[0-9]+"))</f>
        <v/>
      </c>
      <c r="AO83" s="7" t="str">
        <f t="array" aca="1" ref="AO83" ca="1">IFERROR(IF(OR('Raw Data'!AO83="",LEN(TRIM('Raw Data'!AO83))=0),"",IF(AND(ISNUMBER('Raw Data'!AO83), IFERROR('Raw Data'!AO83 = ROUND('Raw Data'!AO83, 2),FALSE)),"",_xlfn.REGEXEXTRACT(CELL("address",AO83), "\$([A-Z]+)\$[0-9]+"))),_xlfn.REGEXEXTRACT(CELL("address",AO83), "\$([A-Z]+)\$[0-9]+"))</f>
        <v/>
      </c>
      <c r="AP83" s="7" t="str">
        <f t="array" aca="1" ref="AP83" ca="1">IFERROR(IF(OR('Raw Data'!AP83="",LEN(TRIM('Raw Data'!AP83))=0),"",IF(AND(ISNUMBER('Raw Data'!AP83), IFERROR('Raw Data'!AP83 = ROUND('Raw Data'!AP83, 2),FALSE)),"",_xlfn.REGEXEXTRACT(CELL("address",AP83), "\$([A-Z]+)\$[0-9]+"))),_xlfn.REGEXEXTRACT(CELL("address",AP83), "\$([A-Z]+)\$[0-9]+"))</f>
        <v/>
      </c>
    </row>
    <row r="84" spans="2:42" x14ac:dyDescent="0.25">
      <c r="B84" s="7" t="str">
        <f t="array" aca="1" ref="B84" ca="1">IFERROR(IF(OR('Raw Data'!B84="",LEN(TRIM('Raw Data'!B84))=0),"",IF(AND(LEN('Raw Data'!B84) &lt;= 255,LEN('Raw Data'!B84)&gt; 0),"",_xlfn.REGEXEXTRACT(CELL("address",'Raw Data'!B84),"\$([A-Z]+)\$[0-9]+"))),_xlfn.REGEXEXTRACT(CELL("address",'Raw Data'!B84),"\$([A-Z]+)\$[0-9]+"))</f>
        <v/>
      </c>
      <c r="C84" s="7" t="str">
        <f t="array" aca="1" ref="C84" ca="1">IFERROR(IF(OR('Raw Data'!C84="",LEN(TRIM('Raw Data'!C84))=0),"",IF(AND(LEN('Raw Data'!C84) &lt;= 50,LEN('Raw Data'!C84)&gt; 0),"",_xlfn.REGEXEXTRACT(CELL("address",'Raw Data'!C84),"\$([A-Z]+)\$[0-9]+"))),_xlfn.REGEXEXTRACT(CELL("address",'Raw Data'!C84),"\$([A-Z]+)\$[0-9]+"))</f>
        <v/>
      </c>
      <c r="D84" s="7" t="str">
        <f t="array" aca="1" ref="D84" ca="1">IFERROR(IF(OR('Raw Data'!D84="",LEN(TRIM('Raw Data'!D84))=0),"",IF(AND(LEN('Raw Data'!D84) &lt;= 500,LEN('Raw Data'!D84)&gt; 0),"",_xlfn.REGEXEXTRACT(CELL("address",'Raw Data'!D84),"\$([A-Z]+)\$[0-9]+"))),_xlfn.REGEXEXTRACT(CELL("address",'Raw Data'!D84),"\$([A-Z]+)\$[0-9]+"))</f>
        <v/>
      </c>
      <c r="E84" s="7" t="str">
        <f t="array" aca="1" ref="E84" ca="1">IFERROR(IF(OR('Raw Data'!E84="",LEN(TRIM('Raw Data'!E84))=0),"",IF(AND(LEN('Raw Data'!E84) &lt;= 50,LEN('Raw Data'!E84)&gt; 0),"",_xlfn.REGEXEXTRACT(CELL("address",'Raw Data'!E84),"\$([A-Z]+)\$[0-9]+"))),_xlfn.REGEXEXTRACT(CELL("address",'Raw Data'!E84),"\$([A-Z]+)\$[0-9]+"))</f>
        <v/>
      </c>
      <c r="F84" s="7" t="str">
        <f t="array" aca="1" ref="F84" ca="1">IFERROR(IF(OR('Raw Data'!F84="",LEN(TRIM('Raw Data'!F84))=0),"",IF(AND(LEN('Raw Data'!F84) &lt;= 50,LEN('Raw Data'!F84)&gt; 0),"",_xlfn.REGEXEXTRACT(CELL("address",'Raw Data'!F84),"\$([A-Z]+)\$[0-9]+"))),_xlfn.REGEXEXTRACT(CELL("address",'Raw Data'!F84),"\$([A-Z]+)\$[0-9]+"))</f>
        <v/>
      </c>
      <c r="G84" s="7" t="str">
        <f t="array" aca="1" ref="G84" ca="1">IFERROR(IF(OR('Raw Data'!G84="",LEN(TRIM('Raw Data'!G84))=0),"",IF(AND(LEN('Raw Data'!G84) &lt;= 50,LEN('Raw Data'!G84)&gt; 0),"",_xlfn.REGEXEXTRACT(CELL("address",'Raw Data'!G84),"\$([A-Z]+)\$[0-9]+"))),_xlfn.REGEXEXTRACT(CELL("address",'Raw Data'!G84),"\$([A-Z]+)\$[0-9]+"))</f>
        <v/>
      </c>
      <c r="H84" s="7" t="str">
        <f t="array" aca="1" ref="H84" ca="1">IFERROR(IF(OR('Raw Data'!H84="",LEN(TRIM('Raw Data'!H84))=0),"",IF(AND(LEN('Raw Data'!H84) &lt;= 50,LEN('Raw Data'!H84)&gt; 0),"",_xlfn.REGEXEXTRACT(CELL("address",'Raw Data'!H84),"\$([A-Z]+)\$[0-9]+"))),_xlfn.REGEXEXTRACT(CELL("address",'Raw Data'!H84),"\$([A-Z]+)\$[0-9]+"))</f>
        <v/>
      </c>
      <c r="I84" s="7" t="str">
        <f t="array" aca="1" ref="I84" ca="1">IFERROR(IF(OR('Raw Data'!I84="",LEN(TRIM('Raw Data'!I84))=0),"",IF(AND(LEN('Raw Data'!I84) &lt;= 50,LEN('Raw Data'!I84)&gt; 0),"",_xlfn.REGEXEXTRACT(CELL("address",'Raw Data'!I84),"\$([A-Z]+)\$[0-9]+"))),_xlfn.REGEXEXTRACT(CELL("address",'Raw Data'!I84),"\$([A-Z]+)\$[0-9]+"))</f>
        <v/>
      </c>
      <c r="J84" s="7" t="str">
        <f t="array" aca="1" ref="J84" ca="1">IFERROR(IF(OR('Raw Data'!J84="",LEN(TRIM('Raw Data'!J84))=0),"",IF(AND(ISNUMBER('Raw Data'!J84), IFERROR('Raw Data'!J84 = ROUND('Raw Data'!J84, 2),FALSE)),"",_xlfn.REGEXEXTRACT(CELL("address",J84), "\$([A-Z]+)\$[0-9]+"))),_xlfn.REGEXEXTRACT(CELL("address",J84), "\$([A-Z]+)\$[0-9]+"))</f>
        <v/>
      </c>
      <c r="K84" s="7" t="str">
        <f t="array" aca="1" ref="K84" ca="1">IFERROR(IF(OR('Raw Data'!K84="",LEN(TRIM('Raw Data'!K84))=0),"",IF(AND(ISNUMBER('Raw Data'!K84), IFERROR('Raw Data'!K84 = ROUND('Raw Data'!K84, 2),FALSE)),"",_xlfn.REGEXEXTRACT(CELL("address",K84), "\$([A-Z]+)\$[0-9]+"))),_xlfn.REGEXEXTRACT(CELL("address",K84), "\$([A-Z]+)\$[0-9]+"))</f>
        <v/>
      </c>
      <c r="L84" s="7" t="str">
        <f t="array" aca="1" ref="L84" ca="1">IFERROR(IF(OR('Raw Data'!L84="",LEN(TRIM('Raw Data'!L84))=0),"",IF(AND(ISNUMBER('Raw Data'!L84), IFERROR('Raw Data'!L84 = ROUND('Raw Data'!L84, 2),FALSE)),"",_xlfn.REGEXEXTRACT(CELL("address",L84), "\$([A-Z]+)\$[0-9]+"))),_xlfn.REGEXEXTRACT(CELL("address",L84), "\$([A-Z]+)\$[0-9]+"))</f>
        <v/>
      </c>
      <c r="M84" s="7" t="str">
        <f t="array" aca="1" ref="M84" ca="1">IFERROR(IF(OR('Raw Data'!M84="",LEN(TRIM('Raw Data'!M84))=0),"",IF(AND(ISNUMBER('Raw Data'!M84), IFERROR('Raw Data'!M84 = ROUND('Raw Data'!M84, 2),FALSE)),"",_xlfn.REGEXEXTRACT(CELL("address",M84), "\$([A-Z]+)\$[0-9]+"))),_xlfn.REGEXEXTRACT(CELL("address",M84), "\$([A-Z]+)\$[0-9]+"))</f>
        <v/>
      </c>
      <c r="N84" s="7" t="str">
        <f t="array" aca="1" ref="N84" ca="1">IFERROR(IF(OR('Raw Data'!N84="",LEN(TRIM('Raw Data'!N84))=0),"",IF(AND(ISNUMBER('Raw Data'!N84), IFERROR('Raw Data'!N84 = ROUND('Raw Data'!N84, 2),FALSE)),"",_xlfn.REGEXEXTRACT(CELL("address",N84), "\$([A-Z]+)\$[0-9]+"))),_xlfn.REGEXEXTRACT(CELL("address",N84), "\$([A-Z]+)\$[0-9]+"))</f>
        <v/>
      </c>
      <c r="O84" s="7" t="str">
        <f t="array" aca="1" ref="O84" ca="1">IFERROR(IF(OR('Raw Data'!O84="",LEN(TRIM('Raw Data'!O84))=0),"",IF(AND(ISNUMBER('Raw Data'!O84),'Raw Data'!O84&gt;=Configuration!$D$2),"",_xlfn.REGEXEXTRACT(CELL("address",'Raw Data'!O84),"\$([A-Z]+)\$[0-9]+"))),_xlfn.REGEXEXTRACT(CELL("address",O84), "\$([A-Z]+)\$[0-9]+"))</f>
        <v/>
      </c>
      <c r="P84" s="7" t="str">
        <f t="array" aca="1" ref="P84" ca="1">IFERROR(IF(OR('Raw Data'!P84="",LEN(TRIM('Raw Data'!P84))=0),"",IF(AND(ISNUMBER('Raw Data'!P84), IFERROR('Raw Data'!P84 = ROUND('Raw Data'!P84, 2),FALSE)),"",_xlfn.REGEXEXTRACT(CELL("address",P84), "\$([A-Z]+)\$[0-9]+"))),_xlfn.REGEXEXTRACT(CELL("address",P84), "\$([A-Z]+)\$[0-9]+"))</f>
        <v/>
      </c>
      <c r="Q84" s="7" t="str">
        <f t="array" aca="1" ref="Q84" ca="1">IFERROR(IF(OR('Raw Data'!Q84="",LEN(TRIM('Raw Data'!Q84))=0),"",IF(AND(ISNUMBER('Raw Data'!Q84), IFERROR('Raw Data'!Q84 = ROUND('Raw Data'!Q84, 2),FALSE)),"",_xlfn.REGEXEXTRACT(CELL("address",Q84), "\$([A-Z]+)\$[0-9]+"))),_xlfn.REGEXEXTRACT(CELL("address",Q84), "\$([A-Z]+)\$[0-9]+"))</f>
        <v/>
      </c>
      <c r="R84" s="7" t="str">
        <f t="array" aca="1" ref="R84" ca="1">IFERROR(IF(OR('Raw Data'!R84="",LEN(TRIM('Raw Data'!R84))=0),"",IF(AND(LEN('Raw Data'!R84) &lt;= 50,LEN('Raw Data'!R84)&gt; 0),"",_xlfn.REGEXEXTRACT(CELL("address",'Raw Data'!R84),"\$([A-Z]+)\$[0-9]+"))),_xlfn.REGEXEXTRACT(CELL("address",'Raw Data'!R84),"\$([A-Z]+)\$[0-9]+"))</f>
        <v/>
      </c>
      <c r="S84" s="7" t="str">
        <f t="array" aca="1" ref="S84" ca="1">IFERROR(IF(OR('Raw Data'!S84="",LEN(TRIM('Raw Data'!S84))=0),"",IF(AND(LEN('Raw Data'!S84) &lt;= 50,LEN('Raw Data'!S84)&gt; 0),"",_xlfn.REGEXEXTRACT(CELL("address",'Raw Data'!S84),"\$([A-Z]+)\$[0-9]+"))),_xlfn.REGEXEXTRACT(CELL("address",'Raw Data'!S84),"\$([A-Z]+)\$[0-9]+"))</f>
        <v/>
      </c>
      <c r="T84" s="7" t="str">
        <f t="array" aca="1" ref="T84" ca="1">IFERROR(IF(OR('Raw Data'!T84="",LEN(TRIM('Raw Data'!T84))=0),"",IF(AND(ISNUMBER('Raw Data'!T84), IFERROR('Raw Data'!T84 = ROUND('Raw Data'!T84, 2),FALSE)),"",_xlfn.REGEXEXTRACT(CELL("address",T84), "\$([A-Z]+)\$[0-9]+"))),_xlfn.REGEXEXTRACT(CELL("address",T84), "\$([A-Z]+)\$[0-9]+"))</f>
        <v/>
      </c>
      <c r="U84" s="7" t="str">
        <f t="array" aca="1" ref="U84" ca="1">IFERROR(IF(OR('Raw Data'!U84="",LEN(TRIM('Raw Data'!U84))=0),"",IF(AND(ISNUMBER('Raw Data'!U84), IFERROR('Raw Data'!U84 = ROUND('Raw Data'!U84, 2),FALSE)),"",_xlfn.REGEXEXTRACT(CELL("address",U84), "\$([A-Z]+)\$[0-9]+"))),_xlfn.REGEXEXTRACT(CELL("address",U84), "\$([A-Z]+)\$[0-9]+"))</f>
        <v/>
      </c>
      <c r="V84" s="7" t="str">
        <f t="array" aca="1" ref="V84" ca="1">IFERROR(IF(OR('Raw Data'!V84="",LEN(TRIM('Raw Data'!V84))=0),"",IF(AND(ISNUMBER('Raw Data'!V84), IFERROR('Raw Data'!V84 = ROUND('Raw Data'!V84, 2),FALSE)),"",_xlfn.REGEXEXTRACT(CELL("address",V84), "\$([A-Z]+)\$[0-9]+"))),_xlfn.REGEXEXTRACT(CELL("address",V84), "\$([A-Z]+)\$[0-9]+"))</f>
        <v/>
      </c>
      <c r="W84" s="7" t="str">
        <f t="array" aca="1" ref="W84" ca="1">IFERROR(IF(OR('Raw Data'!W84="",LEN(TRIM('Raw Data'!W84))=0),"",IF(AND(ISNUMBER('Raw Data'!W84), IFERROR('Raw Data'!W84 = ROUND('Raw Data'!W84, 2),FALSE)),"",_xlfn.REGEXEXTRACT(CELL("address",W84), "\$([A-Z]+)\$[0-9]+"))),_xlfn.REGEXEXTRACT(CELL("address",W84), "\$([A-Z]+)\$[0-9]+"))</f>
        <v/>
      </c>
      <c r="X84" s="7" t="str">
        <f t="array" aca="1" ref="X84" ca="1">IFERROR(IF(OR('Raw Data'!X84="",LEN(TRIM('Raw Data'!X84))=0),"",IF(AND(ISNUMBER('Raw Data'!X84), IFERROR('Raw Data'!X84 = ROUND('Raw Data'!X84, 2),FALSE)),"",_xlfn.REGEXEXTRACT(CELL("address",X84), "\$([A-Z]+)\$[0-9]+"))),_xlfn.REGEXEXTRACT(CELL("address",X84), "\$([A-Z]+)\$[0-9]+"))</f>
        <v/>
      </c>
      <c r="Y84" s="7" t="str">
        <f t="array" aca="1" ref="Y84" ca="1">IFERROR(IF(OR('Raw Data'!Y84="",LEN(TRIM('Raw Data'!Y84))=0),"",IF(AND(ISNUMBER('Raw Data'!Y84), IFERROR('Raw Data'!Y84 = ROUND('Raw Data'!Y84, 2),FALSE)),"",_xlfn.REGEXEXTRACT(CELL("address",Y84), "\$([A-Z]+)\$[0-9]+"))),_xlfn.REGEXEXTRACT(CELL("address",Y84), "\$([A-Z]+)\$[0-9]+"))</f>
        <v/>
      </c>
      <c r="Z84" s="7" t="str">
        <f t="array" aca="1" ref="Z84" ca="1">IFERROR(IF(OR('Raw Data'!Z84="",LEN(TRIM('Raw Data'!Z84))=0),"",IF(AND(ISNUMBER('Raw Data'!Z84), IFERROR('Raw Data'!Z84 = ROUND('Raw Data'!Z84, 2),FALSE)),"",_xlfn.REGEXEXTRACT(CELL("address",Z84), "\$([A-Z]+)\$[0-9]+"))),_xlfn.REGEXEXTRACT(CELL("address",Z84), "\$([A-Z]+)\$[0-9]+"))</f>
        <v/>
      </c>
      <c r="AA84" s="7" t="str">
        <f t="array" aca="1" ref="AA84" ca="1">IFERROR(IF(OR('Raw Data'!AA84="",LEN(TRIM('Raw Data'!AA84))=0),"",IF(AND(ISNUMBER('Raw Data'!AA84), IFERROR('Raw Data'!AA84 = ROUND('Raw Data'!AA84, 2),FALSE)),"",_xlfn.REGEXEXTRACT(CELL("address",AA84), "\$([A-Z]+)\$[0-9]+"))),_xlfn.REGEXEXTRACT(CELL("address",AA84), "\$([A-Z]+)\$[0-9]+"))</f>
        <v/>
      </c>
      <c r="AB84" s="7" t="str">
        <f t="array" aca="1" ref="AB84" ca="1">IFERROR(IF(OR('Raw Data'!AB84="",LEN(TRIM('Raw Data'!AB84))=0),"",IF(AND(ISNUMBER('Raw Data'!AB84), IFERROR('Raw Data'!AB84 = ROUND('Raw Data'!AB84, 2),FALSE)),"",_xlfn.REGEXEXTRACT(CELL("address",AB84), "\$([A-Z]+)\$[0-9]+"))),_xlfn.REGEXEXTRACT(CELL("address",AB84), "\$([A-Z]+)\$[0-9]+"))</f>
        <v/>
      </c>
      <c r="AC84" s="7" t="str">
        <f t="array" aca="1" ref="AC84" ca="1">IFERROR(IF(OR('Raw Data'!AC84="",LEN(TRIM('Raw Data'!AC84))=0),"",IF(AND(ISNUMBER('Raw Data'!AC84), IFERROR('Raw Data'!AC84 = ROUND('Raw Data'!AC84, 2),FALSE)),"",_xlfn.REGEXEXTRACT(CELL("address",AC84), "\$([A-Z]+)\$[0-9]+"))),_xlfn.REGEXEXTRACT(CELL("address",AC84), "\$([A-Z]+)\$[0-9]+"))</f>
        <v/>
      </c>
      <c r="AD84" s="7" t="str">
        <f t="array" aca="1" ref="AD84" ca="1">IFERROR(IF(OR('Raw Data'!AD84="",LEN(TRIM('Raw Data'!AD84))=0),"",IF(AND(ISNUMBER('Raw Data'!AD84), IFERROR('Raw Data'!AD84 = ROUND('Raw Data'!AD84, 2),FALSE)),"",_xlfn.REGEXEXTRACT(CELL("address",AD84), "\$([A-Z]+)\$[0-9]+"))),_xlfn.REGEXEXTRACT(CELL("address",AD84), "\$([A-Z]+)\$[0-9]+"))</f>
        <v/>
      </c>
      <c r="AE84" s="7" t="str">
        <f t="array" aca="1" ref="AE84" ca="1">IFERROR(IF(OR('Raw Data'!AE84="",LEN(TRIM('Raw Data'!AE84))=0),"",IF(AND(ISNUMBER('Raw Data'!AE84), IFERROR('Raw Data'!AE84 = ROUND('Raw Data'!AE84, 2),FALSE)),"",_xlfn.REGEXEXTRACT(CELL("address",AE84), "\$([A-Z]+)\$[0-9]+"))),_xlfn.REGEXEXTRACT(CELL("address",AE84), "\$([A-Z]+)\$[0-9]+"))</f>
        <v/>
      </c>
      <c r="AF84" s="7" t="str">
        <f t="array" aca="1" ref="AF84" ca="1">IFERROR(IF(OR('Raw Data'!AF84="",LEN(TRIM('Raw Data'!AF84))=0),"",IF(AND(ISNUMBER('Raw Data'!AF84), IFERROR('Raw Data'!AF84 = ROUND('Raw Data'!AF84, 2),FALSE)),"",_xlfn.REGEXEXTRACT(CELL("address",AF84), "\$([A-Z]+)\$[0-9]+"))),_xlfn.REGEXEXTRACT(CELL("address",AF84), "\$([A-Z]+)\$[0-9]+"))</f>
        <v/>
      </c>
      <c r="AG84" s="7" t="str">
        <f t="array" aca="1" ref="AG84" ca="1">IFERROR(IF(OR('Raw Data'!AG84="",LEN(TRIM('Raw Data'!AG84))=0),"",IF(AND(ISNUMBER('Raw Data'!AG84), IFERROR('Raw Data'!AG84 = ROUND('Raw Data'!AG84, 2),FALSE)),"",_xlfn.REGEXEXTRACT(CELL("address",AG84), "\$([A-Z]+)\$[0-9]+"))),_xlfn.REGEXEXTRACT(CELL("address",AG84), "\$([A-Z]+)\$[0-9]+"))</f>
        <v/>
      </c>
      <c r="AH84" s="7" t="str">
        <f t="array" aca="1" ref="AH84" ca="1">IFERROR(IF(OR('Raw Data'!AH84="",LEN(TRIM('Raw Data'!AH84))=0),"",IF(AND(ISNUMBER('Raw Data'!AH84), IFERROR('Raw Data'!AH84 = ROUND('Raw Data'!AH84, 2),FALSE)),"",_xlfn.REGEXEXTRACT(CELL("address",AH84), "\$([A-Z]+)\$[0-9]+"))),_xlfn.REGEXEXTRACT(CELL("address",AH84), "\$([A-Z]+)\$[0-9]+"))</f>
        <v/>
      </c>
      <c r="AI84" s="7" t="str">
        <f t="array" aca="1" ref="AI84" ca="1">IFERROR(IF(OR('Raw Data'!AI84="",LEN(TRIM('Raw Data'!AI84))=0),"",IF(AND(ISNUMBER('Raw Data'!AI84), IFERROR('Raw Data'!AI84 = ROUND('Raw Data'!AI84, 2),FALSE)),"",_xlfn.REGEXEXTRACT(CELL("address",AI84), "\$([A-Z]+)\$[0-9]+"))),_xlfn.REGEXEXTRACT(CELL("address",AI84), "\$([A-Z]+)\$[0-9]+"))</f>
        <v/>
      </c>
      <c r="AJ84" s="7" t="str">
        <f t="array" aca="1" ref="AJ84" ca="1">IFERROR(IF(OR('Raw Data'!AJ84="",LEN(TRIM('Raw Data'!AJ84))=0),"",IF(AND(ISNUMBER('Raw Data'!AJ84), IFERROR('Raw Data'!AJ84 = ROUND('Raw Data'!AJ84, 4),FALSE)),"",_xlfn.REGEXEXTRACT(CELL("address",AJ84), "\$([A-Z]+)\$[0-9]+"))),_xlfn.REGEXEXTRACT(CELL("address",AJ84), "\$([A-Z]+)\$[0-9]+"))</f>
        <v/>
      </c>
      <c r="AK84" s="7" t="str">
        <f t="array" aca="1" ref="AK84" ca="1">IFERROR(IF(OR('Raw Data'!AK84="",LEN(TRIM('Raw Data'!AK84))=0),"",IF(AND(ISNUMBER('Raw Data'!AK84), IFERROR('Raw Data'!AK84 = ROUND('Raw Data'!AK84, 2),FALSE)),"",_xlfn.REGEXEXTRACT(CELL("address",AK84), "\$([A-Z]+)\$[0-9]+"))),_xlfn.REGEXEXTRACT(CELL("address",AK84), "\$([A-Z]+)\$[0-9]+"))</f>
        <v/>
      </c>
      <c r="AL84" s="7" t="str">
        <f t="array" aca="1" ref="AL84" ca="1">IFERROR(IF(OR('Raw Data'!AL84="",LEN(TRIM('Raw Data'!AL84))=0),"",IF(AND(ISNUMBER('Raw Data'!AL84), IFERROR('Raw Data'!AL84 = ROUND('Raw Data'!AL84, 2),FALSE)),"",_xlfn.REGEXEXTRACT(CELL("address",AL84), "\$([A-Z]+)\$[0-9]+"))),_xlfn.REGEXEXTRACT(CELL("address",AL84), "\$([A-Z]+)\$[0-9]+"))</f>
        <v/>
      </c>
      <c r="AM84" s="7" t="str">
        <f t="array" aca="1" ref="AM84" ca="1">IFERROR(IF(OR('Raw Data'!AM84="",LEN(TRIM('Raw Data'!AM84))=0),"",IF(AND(ISNUMBER('Raw Data'!AM84), IFERROR('Raw Data'!AM84 = ROUND('Raw Data'!AM84, 2),FALSE)),"",_xlfn.REGEXEXTRACT(CELL("address",AM84), "\$([A-Z]+)\$[0-9]+"))),_xlfn.REGEXEXTRACT(CELL("address",AM84), "\$([A-Z]+)\$[0-9]+"))</f>
        <v/>
      </c>
      <c r="AN84" s="7" t="str">
        <f t="array" aca="1" ref="AN84" ca="1">IFERROR(IF(OR('Raw Data'!AN84="",LEN(TRIM('Raw Data'!AN84))=0),"",IF(AND(ISNUMBER('Raw Data'!AN84), IFERROR('Raw Data'!AN84 = ROUND('Raw Data'!AN84, 2),FALSE)),"",_xlfn.REGEXEXTRACT(CELL("address",AN84), "\$([A-Z]+)\$[0-9]+"))),_xlfn.REGEXEXTRACT(CELL("address",AN84), "\$([A-Z]+)\$[0-9]+"))</f>
        <v/>
      </c>
      <c r="AO84" s="7" t="str">
        <f t="array" aca="1" ref="AO84" ca="1">IFERROR(IF(OR('Raw Data'!AO84="",LEN(TRIM('Raw Data'!AO84))=0),"",IF(AND(ISNUMBER('Raw Data'!AO84), IFERROR('Raw Data'!AO84 = ROUND('Raw Data'!AO84, 2),FALSE)),"",_xlfn.REGEXEXTRACT(CELL("address",AO84), "\$([A-Z]+)\$[0-9]+"))),_xlfn.REGEXEXTRACT(CELL("address",AO84), "\$([A-Z]+)\$[0-9]+"))</f>
        <v/>
      </c>
      <c r="AP84" s="7" t="str">
        <f t="array" aca="1" ref="AP84" ca="1">IFERROR(IF(OR('Raw Data'!AP84="",LEN(TRIM('Raw Data'!AP84))=0),"",IF(AND(ISNUMBER('Raw Data'!AP84), IFERROR('Raw Data'!AP84 = ROUND('Raw Data'!AP84, 2),FALSE)),"",_xlfn.REGEXEXTRACT(CELL("address",AP84), "\$([A-Z]+)\$[0-9]+"))),_xlfn.REGEXEXTRACT(CELL("address",AP84), "\$([A-Z]+)\$[0-9]+"))</f>
        <v/>
      </c>
    </row>
    <row r="85" spans="2:42" x14ac:dyDescent="0.25">
      <c r="B85" s="7" t="str">
        <f t="array" aca="1" ref="B85" ca="1">IFERROR(IF(OR('Raw Data'!B85="",LEN(TRIM('Raw Data'!B85))=0),"",IF(AND(LEN('Raw Data'!B85) &lt;= 255,LEN('Raw Data'!B85)&gt; 0),"",_xlfn.REGEXEXTRACT(CELL("address",'Raw Data'!B85),"\$([A-Z]+)\$[0-9]+"))),_xlfn.REGEXEXTRACT(CELL("address",'Raw Data'!B85),"\$([A-Z]+)\$[0-9]+"))</f>
        <v/>
      </c>
      <c r="C85" s="7" t="str">
        <f t="array" aca="1" ref="C85" ca="1">IFERROR(IF(OR('Raw Data'!C85="",LEN(TRIM('Raw Data'!C85))=0),"",IF(AND(LEN('Raw Data'!C85) &lt;= 50,LEN('Raw Data'!C85)&gt; 0),"",_xlfn.REGEXEXTRACT(CELL("address",'Raw Data'!C85),"\$([A-Z]+)\$[0-9]+"))),_xlfn.REGEXEXTRACT(CELL("address",'Raw Data'!C85),"\$([A-Z]+)\$[0-9]+"))</f>
        <v/>
      </c>
      <c r="D85" s="7" t="str">
        <f t="array" aca="1" ref="D85" ca="1">IFERROR(IF(OR('Raw Data'!D85="",LEN(TRIM('Raw Data'!D85))=0),"",IF(AND(LEN('Raw Data'!D85) &lt;= 500,LEN('Raw Data'!D85)&gt; 0),"",_xlfn.REGEXEXTRACT(CELL("address",'Raw Data'!D85),"\$([A-Z]+)\$[0-9]+"))),_xlfn.REGEXEXTRACT(CELL("address",'Raw Data'!D85),"\$([A-Z]+)\$[0-9]+"))</f>
        <v/>
      </c>
      <c r="E85" s="7" t="str">
        <f t="array" aca="1" ref="E85" ca="1">IFERROR(IF(OR('Raw Data'!E85="",LEN(TRIM('Raw Data'!E85))=0),"",IF(AND(LEN('Raw Data'!E85) &lt;= 50,LEN('Raw Data'!E85)&gt; 0),"",_xlfn.REGEXEXTRACT(CELL("address",'Raw Data'!E85),"\$([A-Z]+)\$[0-9]+"))),_xlfn.REGEXEXTRACT(CELL("address",'Raw Data'!E85),"\$([A-Z]+)\$[0-9]+"))</f>
        <v/>
      </c>
      <c r="F85" s="7" t="str">
        <f t="array" aca="1" ref="F85" ca="1">IFERROR(IF(OR('Raw Data'!F85="",LEN(TRIM('Raw Data'!F85))=0),"",IF(AND(LEN('Raw Data'!F85) &lt;= 50,LEN('Raw Data'!F85)&gt; 0),"",_xlfn.REGEXEXTRACT(CELL("address",'Raw Data'!F85),"\$([A-Z]+)\$[0-9]+"))),_xlfn.REGEXEXTRACT(CELL("address",'Raw Data'!F85),"\$([A-Z]+)\$[0-9]+"))</f>
        <v/>
      </c>
      <c r="G85" s="7" t="str">
        <f t="array" aca="1" ref="G85" ca="1">IFERROR(IF(OR('Raw Data'!G85="",LEN(TRIM('Raw Data'!G85))=0),"",IF(AND(LEN('Raw Data'!G85) &lt;= 50,LEN('Raw Data'!G85)&gt; 0),"",_xlfn.REGEXEXTRACT(CELL("address",'Raw Data'!G85),"\$([A-Z]+)\$[0-9]+"))),_xlfn.REGEXEXTRACT(CELL("address",'Raw Data'!G85),"\$([A-Z]+)\$[0-9]+"))</f>
        <v/>
      </c>
      <c r="H85" s="7" t="str">
        <f t="array" aca="1" ref="H85" ca="1">IFERROR(IF(OR('Raw Data'!H85="",LEN(TRIM('Raw Data'!H85))=0),"",IF(AND(LEN('Raw Data'!H85) &lt;= 50,LEN('Raw Data'!H85)&gt; 0),"",_xlfn.REGEXEXTRACT(CELL("address",'Raw Data'!H85),"\$([A-Z]+)\$[0-9]+"))),_xlfn.REGEXEXTRACT(CELL("address",'Raw Data'!H85),"\$([A-Z]+)\$[0-9]+"))</f>
        <v/>
      </c>
      <c r="I85" s="7" t="str">
        <f t="array" aca="1" ref="I85" ca="1">IFERROR(IF(OR('Raw Data'!I85="",LEN(TRIM('Raw Data'!I85))=0),"",IF(AND(LEN('Raw Data'!I85) &lt;= 50,LEN('Raw Data'!I85)&gt; 0),"",_xlfn.REGEXEXTRACT(CELL("address",'Raw Data'!I85),"\$([A-Z]+)\$[0-9]+"))),_xlfn.REGEXEXTRACT(CELL("address",'Raw Data'!I85),"\$([A-Z]+)\$[0-9]+"))</f>
        <v/>
      </c>
      <c r="J85" s="7" t="str">
        <f t="array" aca="1" ref="J85" ca="1">IFERROR(IF(OR('Raw Data'!J85="",LEN(TRIM('Raw Data'!J85))=0),"",IF(AND(ISNUMBER('Raw Data'!J85), IFERROR('Raw Data'!J85 = ROUND('Raw Data'!J85, 2),FALSE)),"",_xlfn.REGEXEXTRACT(CELL("address",J85), "\$([A-Z]+)\$[0-9]+"))),_xlfn.REGEXEXTRACT(CELL("address",J85), "\$([A-Z]+)\$[0-9]+"))</f>
        <v/>
      </c>
      <c r="K85" s="7" t="str">
        <f t="array" aca="1" ref="K85" ca="1">IFERROR(IF(OR('Raw Data'!K85="",LEN(TRIM('Raw Data'!K85))=0),"",IF(AND(ISNUMBER('Raw Data'!K85), IFERROR('Raw Data'!K85 = ROUND('Raw Data'!K85, 2),FALSE)),"",_xlfn.REGEXEXTRACT(CELL("address",K85), "\$([A-Z]+)\$[0-9]+"))),_xlfn.REGEXEXTRACT(CELL("address",K85), "\$([A-Z]+)\$[0-9]+"))</f>
        <v/>
      </c>
      <c r="L85" s="7" t="str">
        <f t="array" aca="1" ref="L85" ca="1">IFERROR(IF(OR('Raw Data'!L85="",LEN(TRIM('Raw Data'!L85))=0),"",IF(AND(ISNUMBER('Raw Data'!L85), IFERROR('Raw Data'!L85 = ROUND('Raw Data'!L85, 2),FALSE)),"",_xlfn.REGEXEXTRACT(CELL("address",L85), "\$([A-Z]+)\$[0-9]+"))),_xlfn.REGEXEXTRACT(CELL("address",L85), "\$([A-Z]+)\$[0-9]+"))</f>
        <v/>
      </c>
      <c r="M85" s="7" t="str">
        <f t="array" aca="1" ref="M85" ca="1">IFERROR(IF(OR('Raw Data'!M85="",LEN(TRIM('Raw Data'!M85))=0),"",IF(AND(ISNUMBER('Raw Data'!M85), IFERROR('Raw Data'!M85 = ROUND('Raw Data'!M85, 2),FALSE)),"",_xlfn.REGEXEXTRACT(CELL("address",M85), "\$([A-Z]+)\$[0-9]+"))),_xlfn.REGEXEXTRACT(CELL("address",M85), "\$([A-Z]+)\$[0-9]+"))</f>
        <v/>
      </c>
      <c r="N85" s="7" t="str">
        <f t="array" aca="1" ref="N85" ca="1">IFERROR(IF(OR('Raw Data'!N85="",LEN(TRIM('Raw Data'!N85))=0),"",IF(AND(ISNUMBER('Raw Data'!N85), IFERROR('Raw Data'!N85 = ROUND('Raw Data'!N85, 2),FALSE)),"",_xlfn.REGEXEXTRACT(CELL("address",N85), "\$([A-Z]+)\$[0-9]+"))),_xlfn.REGEXEXTRACT(CELL("address",N85), "\$([A-Z]+)\$[0-9]+"))</f>
        <v/>
      </c>
      <c r="O85" s="7" t="str">
        <f t="array" aca="1" ref="O85" ca="1">IFERROR(IF(OR('Raw Data'!O85="",LEN(TRIM('Raw Data'!O85))=0),"",IF(AND(ISNUMBER('Raw Data'!O85),'Raw Data'!O85&gt;=Configuration!$D$2),"",_xlfn.REGEXEXTRACT(CELL("address",'Raw Data'!O85),"\$([A-Z]+)\$[0-9]+"))),_xlfn.REGEXEXTRACT(CELL("address",O85), "\$([A-Z]+)\$[0-9]+"))</f>
        <v/>
      </c>
      <c r="P85" s="7" t="str">
        <f t="array" aca="1" ref="P85" ca="1">IFERROR(IF(OR('Raw Data'!P85="",LEN(TRIM('Raw Data'!P85))=0),"",IF(AND(ISNUMBER('Raw Data'!P85), IFERROR('Raw Data'!P85 = ROUND('Raw Data'!P85, 2),FALSE)),"",_xlfn.REGEXEXTRACT(CELL("address",P85), "\$([A-Z]+)\$[0-9]+"))),_xlfn.REGEXEXTRACT(CELL("address",P85), "\$([A-Z]+)\$[0-9]+"))</f>
        <v/>
      </c>
      <c r="Q85" s="7" t="str">
        <f t="array" aca="1" ref="Q85" ca="1">IFERROR(IF(OR('Raw Data'!Q85="",LEN(TRIM('Raw Data'!Q85))=0),"",IF(AND(ISNUMBER('Raw Data'!Q85), IFERROR('Raw Data'!Q85 = ROUND('Raw Data'!Q85, 2),FALSE)),"",_xlfn.REGEXEXTRACT(CELL("address",Q85), "\$([A-Z]+)\$[0-9]+"))),_xlfn.REGEXEXTRACT(CELL("address",Q85), "\$([A-Z]+)\$[0-9]+"))</f>
        <v/>
      </c>
      <c r="R85" s="7" t="str">
        <f t="array" aca="1" ref="R85" ca="1">IFERROR(IF(OR('Raw Data'!R85="",LEN(TRIM('Raw Data'!R85))=0),"",IF(AND(LEN('Raw Data'!R85) &lt;= 50,LEN('Raw Data'!R85)&gt; 0),"",_xlfn.REGEXEXTRACT(CELL("address",'Raw Data'!R85),"\$([A-Z]+)\$[0-9]+"))),_xlfn.REGEXEXTRACT(CELL("address",'Raw Data'!R85),"\$([A-Z]+)\$[0-9]+"))</f>
        <v/>
      </c>
      <c r="S85" s="7" t="str">
        <f t="array" aca="1" ref="S85" ca="1">IFERROR(IF(OR('Raw Data'!S85="",LEN(TRIM('Raw Data'!S85))=0),"",IF(AND(LEN('Raw Data'!S85) &lt;= 50,LEN('Raw Data'!S85)&gt; 0),"",_xlfn.REGEXEXTRACT(CELL("address",'Raw Data'!S85),"\$([A-Z]+)\$[0-9]+"))),_xlfn.REGEXEXTRACT(CELL("address",'Raw Data'!S85),"\$([A-Z]+)\$[0-9]+"))</f>
        <v/>
      </c>
      <c r="T85" s="7" t="str">
        <f t="array" aca="1" ref="T85" ca="1">IFERROR(IF(OR('Raw Data'!T85="",LEN(TRIM('Raw Data'!T85))=0),"",IF(AND(ISNUMBER('Raw Data'!T85), IFERROR('Raw Data'!T85 = ROUND('Raw Data'!T85, 2),FALSE)),"",_xlfn.REGEXEXTRACT(CELL("address",T85), "\$([A-Z]+)\$[0-9]+"))),_xlfn.REGEXEXTRACT(CELL("address",T85), "\$([A-Z]+)\$[0-9]+"))</f>
        <v/>
      </c>
      <c r="U85" s="7" t="str">
        <f t="array" aca="1" ref="U85" ca="1">IFERROR(IF(OR('Raw Data'!U85="",LEN(TRIM('Raw Data'!U85))=0),"",IF(AND(ISNUMBER('Raw Data'!U85), IFERROR('Raw Data'!U85 = ROUND('Raw Data'!U85, 2),FALSE)),"",_xlfn.REGEXEXTRACT(CELL("address",U85), "\$([A-Z]+)\$[0-9]+"))),_xlfn.REGEXEXTRACT(CELL("address",U85), "\$([A-Z]+)\$[0-9]+"))</f>
        <v/>
      </c>
      <c r="V85" s="7" t="str">
        <f t="array" aca="1" ref="V85" ca="1">IFERROR(IF(OR('Raw Data'!V85="",LEN(TRIM('Raw Data'!V85))=0),"",IF(AND(ISNUMBER('Raw Data'!V85), IFERROR('Raw Data'!V85 = ROUND('Raw Data'!V85, 2),FALSE)),"",_xlfn.REGEXEXTRACT(CELL("address",V85), "\$([A-Z]+)\$[0-9]+"))),_xlfn.REGEXEXTRACT(CELL("address",V85), "\$([A-Z]+)\$[0-9]+"))</f>
        <v/>
      </c>
      <c r="W85" s="7" t="str">
        <f t="array" aca="1" ref="W85" ca="1">IFERROR(IF(OR('Raw Data'!W85="",LEN(TRIM('Raw Data'!W85))=0),"",IF(AND(ISNUMBER('Raw Data'!W85), IFERROR('Raw Data'!W85 = ROUND('Raw Data'!W85, 2),FALSE)),"",_xlfn.REGEXEXTRACT(CELL("address",W85), "\$([A-Z]+)\$[0-9]+"))),_xlfn.REGEXEXTRACT(CELL("address",W85), "\$([A-Z]+)\$[0-9]+"))</f>
        <v/>
      </c>
      <c r="X85" s="7" t="str">
        <f t="array" aca="1" ref="X85" ca="1">IFERROR(IF(OR('Raw Data'!X85="",LEN(TRIM('Raw Data'!X85))=0),"",IF(AND(ISNUMBER('Raw Data'!X85), IFERROR('Raw Data'!X85 = ROUND('Raw Data'!X85, 2),FALSE)),"",_xlfn.REGEXEXTRACT(CELL("address",X85), "\$([A-Z]+)\$[0-9]+"))),_xlfn.REGEXEXTRACT(CELL("address",X85), "\$([A-Z]+)\$[0-9]+"))</f>
        <v/>
      </c>
      <c r="Y85" s="7" t="str">
        <f t="array" aca="1" ref="Y85" ca="1">IFERROR(IF(OR('Raw Data'!Y85="",LEN(TRIM('Raw Data'!Y85))=0),"",IF(AND(ISNUMBER('Raw Data'!Y85), IFERROR('Raw Data'!Y85 = ROUND('Raw Data'!Y85, 2),FALSE)),"",_xlfn.REGEXEXTRACT(CELL("address",Y85), "\$([A-Z]+)\$[0-9]+"))),_xlfn.REGEXEXTRACT(CELL("address",Y85), "\$([A-Z]+)\$[0-9]+"))</f>
        <v/>
      </c>
      <c r="Z85" s="7" t="str">
        <f t="array" aca="1" ref="Z85" ca="1">IFERROR(IF(OR('Raw Data'!Z85="",LEN(TRIM('Raw Data'!Z85))=0),"",IF(AND(ISNUMBER('Raw Data'!Z85), IFERROR('Raw Data'!Z85 = ROUND('Raw Data'!Z85, 2),FALSE)),"",_xlfn.REGEXEXTRACT(CELL("address",Z85), "\$([A-Z]+)\$[0-9]+"))),_xlfn.REGEXEXTRACT(CELL("address",Z85), "\$([A-Z]+)\$[0-9]+"))</f>
        <v/>
      </c>
      <c r="AA85" s="7" t="str">
        <f t="array" aca="1" ref="AA85" ca="1">IFERROR(IF(OR('Raw Data'!AA85="",LEN(TRIM('Raw Data'!AA85))=0),"",IF(AND(ISNUMBER('Raw Data'!AA85), IFERROR('Raw Data'!AA85 = ROUND('Raw Data'!AA85, 2),FALSE)),"",_xlfn.REGEXEXTRACT(CELL("address",AA85), "\$([A-Z]+)\$[0-9]+"))),_xlfn.REGEXEXTRACT(CELL("address",AA85), "\$([A-Z]+)\$[0-9]+"))</f>
        <v/>
      </c>
      <c r="AB85" s="7" t="str">
        <f t="array" aca="1" ref="AB85" ca="1">IFERROR(IF(OR('Raw Data'!AB85="",LEN(TRIM('Raw Data'!AB85))=0),"",IF(AND(ISNUMBER('Raw Data'!AB85), IFERROR('Raw Data'!AB85 = ROUND('Raw Data'!AB85, 2),FALSE)),"",_xlfn.REGEXEXTRACT(CELL("address",AB85), "\$([A-Z]+)\$[0-9]+"))),_xlfn.REGEXEXTRACT(CELL("address",AB85), "\$([A-Z]+)\$[0-9]+"))</f>
        <v/>
      </c>
      <c r="AC85" s="7" t="str">
        <f t="array" aca="1" ref="AC85" ca="1">IFERROR(IF(OR('Raw Data'!AC85="",LEN(TRIM('Raw Data'!AC85))=0),"",IF(AND(ISNUMBER('Raw Data'!AC85), IFERROR('Raw Data'!AC85 = ROUND('Raw Data'!AC85, 2),FALSE)),"",_xlfn.REGEXEXTRACT(CELL("address",AC85), "\$([A-Z]+)\$[0-9]+"))),_xlfn.REGEXEXTRACT(CELL("address",AC85), "\$([A-Z]+)\$[0-9]+"))</f>
        <v/>
      </c>
      <c r="AD85" s="7" t="str">
        <f t="array" aca="1" ref="AD85" ca="1">IFERROR(IF(OR('Raw Data'!AD85="",LEN(TRIM('Raw Data'!AD85))=0),"",IF(AND(ISNUMBER('Raw Data'!AD85), IFERROR('Raw Data'!AD85 = ROUND('Raw Data'!AD85, 2),FALSE)),"",_xlfn.REGEXEXTRACT(CELL("address",AD85), "\$([A-Z]+)\$[0-9]+"))),_xlfn.REGEXEXTRACT(CELL("address",AD85), "\$([A-Z]+)\$[0-9]+"))</f>
        <v/>
      </c>
      <c r="AE85" s="7" t="str">
        <f t="array" aca="1" ref="AE85" ca="1">IFERROR(IF(OR('Raw Data'!AE85="",LEN(TRIM('Raw Data'!AE85))=0),"",IF(AND(ISNUMBER('Raw Data'!AE85), IFERROR('Raw Data'!AE85 = ROUND('Raw Data'!AE85, 2),FALSE)),"",_xlfn.REGEXEXTRACT(CELL("address",AE85), "\$([A-Z]+)\$[0-9]+"))),_xlfn.REGEXEXTRACT(CELL("address",AE85), "\$([A-Z]+)\$[0-9]+"))</f>
        <v/>
      </c>
      <c r="AF85" s="7" t="str">
        <f t="array" aca="1" ref="AF85" ca="1">IFERROR(IF(OR('Raw Data'!AF85="",LEN(TRIM('Raw Data'!AF85))=0),"",IF(AND(ISNUMBER('Raw Data'!AF85), IFERROR('Raw Data'!AF85 = ROUND('Raw Data'!AF85, 2),FALSE)),"",_xlfn.REGEXEXTRACT(CELL("address",AF85), "\$([A-Z]+)\$[0-9]+"))),_xlfn.REGEXEXTRACT(CELL("address",AF85), "\$([A-Z]+)\$[0-9]+"))</f>
        <v/>
      </c>
      <c r="AG85" s="7" t="str">
        <f t="array" aca="1" ref="AG85" ca="1">IFERROR(IF(OR('Raw Data'!AG85="",LEN(TRIM('Raw Data'!AG85))=0),"",IF(AND(ISNUMBER('Raw Data'!AG85), IFERROR('Raw Data'!AG85 = ROUND('Raw Data'!AG85, 2),FALSE)),"",_xlfn.REGEXEXTRACT(CELL("address",AG85), "\$([A-Z]+)\$[0-9]+"))),_xlfn.REGEXEXTRACT(CELL("address",AG85), "\$([A-Z]+)\$[0-9]+"))</f>
        <v/>
      </c>
      <c r="AH85" s="7" t="str">
        <f t="array" aca="1" ref="AH85" ca="1">IFERROR(IF(OR('Raw Data'!AH85="",LEN(TRIM('Raw Data'!AH85))=0),"",IF(AND(ISNUMBER('Raw Data'!AH85), IFERROR('Raw Data'!AH85 = ROUND('Raw Data'!AH85, 2),FALSE)),"",_xlfn.REGEXEXTRACT(CELL("address",AH85), "\$([A-Z]+)\$[0-9]+"))),_xlfn.REGEXEXTRACT(CELL("address",AH85), "\$([A-Z]+)\$[0-9]+"))</f>
        <v/>
      </c>
      <c r="AI85" s="7" t="str">
        <f t="array" aca="1" ref="AI85" ca="1">IFERROR(IF(OR('Raw Data'!AI85="",LEN(TRIM('Raw Data'!AI85))=0),"",IF(AND(ISNUMBER('Raw Data'!AI85), IFERROR('Raw Data'!AI85 = ROUND('Raw Data'!AI85, 2),FALSE)),"",_xlfn.REGEXEXTRACT(CELL("address",AI85), "\$([A-Z]+)\$[0-9]+"))),_xlfn.REGEXEXTRACT(CELL("address",AI85), "\$([A-Z]+)\$[0-9]+"))</f>
        <v/>
      </c>
      <c r="AJ85" s="7" t="str">
        <f t="array" aca="1" ref="AJ85" ca="1">IFERROR(IF(OR('Raw Data'!AJ85="",LEN(TRIM('Raw Data'!AJ85))=0),"",IF(AND(ISNUMBER('Raw Data'!AJ85), IFERROR('Raw Data'!AJ85 = ROUND('Raw Data'!AJ85, 4),FALSE)),"",_xlfn.REGEXEXTRACT(CELL("address",AJ85), "\$([A-Z]+)\$[0-9]+"))),_xlfn.REGEXEXTRACT(CELL("address",AJ85), "\$([A-Z]+)\$[0-9]+"))</f>
        <v/>
      </c>
      <c r="AK85" s="7" t="str">
        <f t="array" aca="1" ref="AK85" ca="1">IFERROR(IF(OR('Raw Data'!AK85="",LEN(TRIM('Raw Data'!AK85))=0),"",IF(AND(ISNUMBER('Raw Data'!AK85), IFERROR('Raw Data'!AK85 = ROUND('Raw Data'!AK85, 2),FALSE)),"",_xlfn.REGEXEXTRACT(CELL("address",AK85), "\$([A-Z]+)\$[0-9]+"))),_xlfn.REGEXEXTRACT(CELL("address",AK85), "\$([A-Z]+)\$[0-9]+"))</f>
        <v/>
      </c>
      <c r="AL85" s="7" t="str">
        <f t="array" aca="1" ref="AL85" ca="1">IFERROR(IF(OR('Raw Data'!AL85="",LEN(TRIM('Raw Data'!AL85))=0),"",IF(AND(ISNUMBER('Raw Data'!AL85), IFERROR('Raw Data'!AL85 = ROUND('Raw Data'!AL85, 2),FALSE)),"",_xlfn.REGEXEXTRACT(CELL("address",AL85), "\$([A-Z]+)\$[0-9]+"))),_xlfn.REGEXEXTRACT(CELL("address",AL85), "\$([A-Z]+)\$[0-9]+"))</f>
        <v/>
      </c>
      <c r="AM85" s="7" t="str">
        <f t="array" aca="1" ref="AM85" ca="1">IFERROR(IF(OR('Raw Data'!AM85="",LEN(TRIM('Raw Data'!AM85))=0),"",IF(AND(ISNUMBER('Raw Data'!AM85), IFERROR('Raw Data'!AM85 = ROUND('Raw Data'!AM85, 2),FALSE)),"",_xlfn.REGEXEXTRACT(CELL("address",AM85), "\$([A-Z]+)\$[0-9]+"))),_xlfn.REGEXEXTRACT(CELL("address",AM85), "\$([A-Z]+)\$[0-9]+"))</f>
        <v/>
      </c>
      <c r="AN85" s="7" t="str">
        <f t="array" aca="1" ref="AN85" ca="1">IFERROR(IF(OR('Raw Data'!AN85="",LEN(TRIM('Raw Data'!AN85))=0),"",IF(AND(ISNUMBER('Raw Data'!AN85), IFERROR('Raw Data'!AN85 = ROUND('Raw Data'!AN85, 2),FALSE)),"",_xlfn.REGEXEXTRACT(CELL("address",AN85), "\$([A-Z]+)\$[0-9]+"))),_xlfn.REGEXEXTRACT(CELL("address",AN85), "\$([A-Z]+)\$[0-9]+"))</f>
        <v/>
      </c>
      <c r="AO85" s="7" t="str">
        <f t="array" aca="1" ref="AO85" ca="1">IFERROR(IF(OR('Raw Data'!AO85="",LEN(TRIM('Raw Data'!AO85))=0),"",IF(AND(ISNUMBER('Raw Data'!AO85), IFERROR('Raw Data'!AO85 = ROUND('Raw Data'!AO85, 2),FALSE)),"",_xlfn.REGEXEXTRACT(CELL("address",AO85), "\$([A-Z]+)\$[0-9]+"))),_xlfn.REGEXEXTRACT(CELL("address",AO85), "\$([A-Z]+)\$[0-9]+"))</f>
        <v/>
      </c>
      <c r="AP85" s="7" t="str">
        <f t="array" aca="1" ref="AP85" ca="1">IFERROR(IF(OR('Raw Data'!AP85="",LEN(TRIM('Raw Data'!AP85))=0),"",IF(AND(ISNUMBER('Raw Data'!AP85), IFERROR('Raw Data'!AP85 = ROUND('Raw Data'!AP85, 2),FALSE)),"",_xlfn.REGEXEXTRACT(CELL("address",AP85), "\$([A-Z]+)\$[0-9]+"))),_xlfn.REGEXEXTRACT(CELL("address",AP85), "\$([A-Z]+)\$[0-9]+"))</f>
        <v/>
      </c>
    </row>
    <row r="86" spans="2:42" x14ac:dyDescent="0.25">
      <c r="B86" s="7" t="str">
        <f t="array" aca="1" ref="B86" ca="1">IFERROR(IF(OR('Raw Data'!B86="",LEN(TRIM('Raw Data'!B86))=0),"",IF(AND(LEN('Raw Data'!B86) &lt;= 255,LEN('Raw Data'!B86)&gt; 0),"",_xlfn.REGEXEXTRACT(CELL("address",'Raw Data'!B86),"\$([A-Z]+)\$[0-9]+"))),_xlfn.REGEXEXTRACT(CELL("address",'Raw Data'!B86),"\$([A-Z]+)\$[0-9]+"))</f>
        <v/>
      </c>
      <c r="C86" s="7" t="str">
        <f t="array" aca="1" ref="C86" ca="1">IFERROR(IF(OR('Raw Data'!C86="",LEN(TRIM('Raw Data'!C86))=0),"",IF(AND(LEN('Raw Data'!C86) &lt;= 50,LEN('Raw Data'!C86)&gt; 0),"",_xlfn.REGEXEXTRACT(CELL("address",'Raw Data'!C86),"\$([A-Z]+)\$[0-9]+"))),_xlfn.REGEXEXTRACT(CELL("address",'Raw Data'!C86),"\$([A-Z]+)\$[0-9]+"))</f>
        <v/>
      </c>
      <c r="D86" s="7" t="str">
        <f t="array" aca="1" ref="D86" ca="1">IFERROR(IF(OR('Raw Data'!D86="",LEN(TRIM('Raw Data'!D86))=0),"",IF(AND(LEN('Raw Data'!D86) &lt;= 500,LEN('Raw Data'!D86)&gt; 0),"",_xlfn.REGEXEXTRACT(CELL("address",'Raw Data'!D86),"\$([A-Z]+)\$[0-9]+"))),_xlfn.REGEXEXTRACT(CELL("address",'Raw Data'!D86),"\$([A-Z]+)\$[0-9]+"))</f>
        <v/>
      </c>
      <c r="E86" s="7" t="str">
        <f t="array" aca="1" ref="E86" ca="1">IFERROR(IF(OR('Raw Data'!E86="",LEN(TRIM('Raw Data'!E86))=0),"",IF(AND(LEN('Raw Data'!E86) &lt;= 50,LEN('Raw Data'!E86)&gt; 0),"",_xlfn.REGEXEXTRACT(CELL("address",'Raw Data'!E86),"\$([A-Z]+)\$[0-9]+"))),_xlfn.REGEXEXTRACT(CELL("address",'Raw Data'!E86),"\$([A-Z]+)\$[0-9]+"))</f>
        <v/>
      </c>
      <c r="F86" s="7" t="str">
        <f t="array" aca="1" ref="F86" ca="1">IFERROR(IF(OR('Raw Data'!F86="",LEN(TRIM('Raw Data'!F86))=0),"",IF(AND(LEN('Raw Data'!F86) &lt;= 50,LEN('Raw Data'!F86)&gt; 0),"",_xlfn.REGEXEXTRACT(CELL("address",'Raw Data'!F86),"\$([A-Z]+)\$[0-9]+"))),_xlfn.REGEXEXTRACT(CELL("address",'Raw Data'!F86),"\$([A-Z]+)\$[0-9]+"))</f>
        <v/>
      </c>
      <c r="G86" s="7" t="str">
        <f t="array" aca="1" ref="G86" ca="1">IFERROR(IF(OR('Raw Data'!G86="",LEN(TRIM('Raw Data'!G86))=0),"",IF(AND(LEN('Raw Data'!G86) &lt;= 50,LEN('Raw Data'!G86)&gt; 0),"",_xlfn.REGEXEXTRACT(CELL("address",'Raw Data'!G86),"\$([A-Z]+)\$[0-9]+"))),_xlfn.REGEXEXTRACT(CELL("address",'Raw Data'!G86),"\$([A-Z]+)\$[0-9]+"))</f>
        <v/>
      </c>
      <c r="H86" s="7" t="str">
        <f t="array" aca="1" ref="H86" ca="1">IFERROR(IF(OR('Raw Data'!H86="",LEN(TRIM('Raw Data'!H86))=0),"",IF(AND(LEN('Raw Data'!H86) &lt;= 50,LEN('Raw Data'!H86)&gt; 0),"",_xlfn.REGEXEXTRACT(CELL("address",'Raw Data'!H86),"\$([A-Z]+)\$[0-9]+"))),_xlfn.REGEXEXTRACT(CELL("address",'Raw Data'!H86),"\$([A-Z]+)\$[0-9]+"))</f>
        <v/>
      </c>
      <c r="I86" s="7" t="str">
        <f t="array" aca="1" ref="I86" ca="1">IFERROR(IF(OR('Raw Data'!I86="",LEN(TRIM('Raw Data'!I86))=0),"",IF(AND(LEN('Raw Data'!I86) &lt;= 50,LEN('Raw Data'!I86)&gt; 0),"",_xlfn.REGEXEXTRACT(CELL("address",'Raw Data'!I86),"\$([A-Z]+)\$[0-9]+"))),_xlfn.REGEXEXTRACT(CELL("address",'Raw Data'!I86),"\$([A-Z]+)\$[0-9]+"))</f>
        <v/>
      </c>
      <c r="J86" s="7" t="str">
        <f t="array" aca="1" ref="J86" ca="1">IFERROR(IF(OR('Raw Data'!J86="",LEN(TRIM('Raw Data'!J86))=0),"",IF(AND(ISNUMBER('Raw Data'!J86), IFERROR('Raw Data'!J86 = ROUND('Raw Data'!J86, 2),FALSE)),"",_xlfn.REGEXEXTRACT(CELL("address",J86), "\$([A-Z]+)\$[0-9]+"))),_xlfn.REGEXEXTRACT(CELL("address",J86), "\$([A-Z]+)\$[0-9]+"))</f>
        <v/>
      </c>
      <c r="K86" s="7" t="str">
        <f t="array" aca="1" ref="K86" ca="1">IFERROR(IF(OR('Raw Data'!K86="",LEN(TRIM('Raw Data'!K86))=0),"",IF(AND(ISNUMBER('Raw Data'!K86), IFERROR('Raw Data'!K86 = ROUND('Raw Data'!K86, 2),FALSE)),"",_xlfn.REGEXEXTRACT(CELL("address",K86), "\$([A-Z]+)\$[0-9]+"))),_xlfn.REGEXEXTRACT(CELL("address",K86), "\$([A-Z]+)\$[0-9]+"))</f>
        <v/>
      </c>
      <c r="L86" s="7" t="str">
        <f t="array" aca="1" ref="L86" ca="1">IFERROR(IF(OR('Raw Data'!L86="",LEN(TRIM('Raw Data'!L86))=0),"",IF(AND(ISNUMBER('Raw Data'!L86), IFERROR('Raw Data'!L86 = ROUND('Raw Data'!L86, 2),FALSE)),"",_xlfn.REGEXEXTRACT(CELL("address",L86), "\$([A-Z]+)\$[0-9]+"))),_xlfn.REGEXEXTRACT(CELL("address",L86), "\$([A-Z]+)\$[0-9]+"))</f>
        <v/>
      </c>
      <c r="M86" s="7" t="str">
        <f t="array" aca="1" ref="M86" ca="1">IFERROR(IF(OR('Raw Data'!M86="",LEN(TRIM('Raw Data'!M86))=0),"",IF(AND(ISNUMBER('Raw Data'!M86), IFERROR('Raw Data'!M86 = ROUND('Raw Data'!M86, 2),FALSE)),"",_xlfn.REGEXEXTRACT(CELL("address",M86), "\$([A-Z]+)\$[0-9]+"))),_xlfn.REGEXEXTRACT(CELL("address",M86), "\$([A-Z]+)\$[0-9]+"))</f>
        <v/>
      </c>
      <c r="N86" s="7" t="str">
        <f t="array" aca="1" ref="N86" ca="1">IFERROR(IF(OR('Raw Data'!N86="",LEN(TRIM('Raw Data'!N86))=0),"",IF(AND(ISNUMBER('Raw Data'!N86), IFERROR('Raw Data'!N86 = ROUND('Raw Data'!N86, 2),FALSE)),"",_xlfn.REGEXEXTRACT(CELL("address",N86), "\$([A-Z]+)\$[0-9]+"))),_xlfn.REGEXEXTRACT(CELL("address",N86), "\$([A-Z]+)\$[0-9]+"))</f>
        <v/>
      </c>
      <c r="O86" s="7" t="str">
        <f t="array" aca="1" ref="O86" ca="1">IFERROR(IF(OR('Raw Data'!O86="",LEN(TRIM('Raw Data'!O86))=0),"",IF(AND(ISNUMBER('Raw Data'!O86),'Raw Data'!O86&gt;=Configuration!$D$2),"",_xlfn.REGEXEXTRACT(CELL("address",'Raw Data'!O86),"\$([A-Z]+)\$[0-9]+"))),_xlfn.REGEXEXTRACT(CELL("address",O86), "\$([A-Z]+)\$[0-9]+"))</f>
        <v/>
      </c>
      <c r="P86" s="7" t="str">
        <f t="array" aca="1" ref="P86" ca="1">IFERROR(IF(OR('Raw Data'!P86="",LEN(TRIM('Raw Data'!P86))=0),"",IF(AND(ISNUMBER('Raw Data'!P86), IFERROR('Raw Data'!P86 = ROUND('Raw Data'!P86, 2),FALSE)),"",_xlfn.REGEXEXTRACT(CELL("address",P86), "\$([A-Z]+)\$[0-9]+"))),_xlfn.REGEXEXTRACT(CELL("address",P86), "\$([A-Z]+)\$[0-9]+"))</f>
        <v/>
      </c>
      <c r="Q86" s="7" t="str">
        <f t="array" aca="1" ref="Q86" ca="1">IFERROR(IF(OR('Raw Data'!Q86="",LEN(TRIM('Raw Data'!Q86))=0),"",IF(AND(ISNUMBER('Raw Data'!Q86), IFERROR('Raw Data'!Q86 = ROUND('Raw Data'!Q86, 2),FALSE)),"",_xlfn.REGEXEXTRACT(CELL("address",Q86), "\$([A-Z]+)\$[0-9]+"))),_xlfn.REGEXEXTRACT(CELL("address",Q86), "\$([A-Z]+)\$[0-9]+"))</f>
        <v/>
      </c>
      <c r="R86" s="7" t="str">
        <f t="array" aca="1" ref="R86" ca="1">IFERROR(IF(OR('Raw Data'!R86="",LEN(TRIM('Raw Data'!R86))=0),"",IF(AND(LEN('Raw Data'!R86) &lt;= 50,LEN('Raw Data'!R86)&gt; 0),"",_xlfn.REGEXEXTRACT(CELL("address",'Raw Data'!R86),"\$([A-Z]+)\$[0-9]+"))),_xlfn.REGEXEXTRACT(CELL("address",'Raw Data'!R86),"\$([A-Z]+)\$[0-9]+"))</f>
        <v/>
      </c>
      <c r="S86" s="7" t="str">
        <f t="array" aca="1" ref="S86" ca="1">IFERROR(IF(OR('Raw Data'!S86="",LEN(TRIM('Raw Data'!S86))=0),"",IF(AND(LEN('Raw Data'!S86) &lt;= 50,LEN('Raw Data'!S86)&gt; 0),"",_xlfn.REGEXEXTRACT(CELL("address",'Raw Data'!S86),"\$([A-Z]+)\$[0-9]+"))),_xlfn.REGEXEXTRACT(CELL("address",'Raw Data'!S86),"\$([A-Z]+)\$[0-9]+"))</f>
        <v/>
      </c>
      <c r="T86" s="7" t="str">
        <f t="array" aca="1" ref="T86" ca="1">IFERROR(IF(OR('Raw Data'!T86="",LEN(TRIM('Raw Data'!T86))=0),"",IF(AND(ISNUMBER('Raw Data'!T86), IFERROR('Raw Data'!T86 = ROUND('Raw Data'!T86, 2),FALSE)),"",_xlfn.REGEXEXTRACT(CELL("address",T86), "\$([A-Z]+)\$[0-9]+"))),_xlfn.REGEXEXTRACT(CELL("address",T86), "\$([A-Z]+)\$[0-9]+"))</f>
        <v/>
      </c>
      <c r="U86" s="7" t="str">
        <f t="array" aca="1" ref="U86" ca="1">IFERROR(IF(OR('Raw Data'!U86="",LEN(TRIM('Raw Data'!U86))=0),"",IF(AND(ISNUMBER('Raw Data'!U86), IFERROR('Raw Data'!U86 = ROUND('Raw Data'!U86, 2),FALSE)),"",_xlfn.REGEXEXTRACT(CELL("address",U86), "\$([A-Z]+)\$[0-9]+"))),_xlfn.REGEXEXTRACT(CELL("address",U86), "\$([A-Z]+)\$[0-9]+"))</f>
        <v/>
      </c>
      <c r="V86" s="7" t="str">
        <f t="array" aca="1" ref="V86" ca="1">IFERROR(IF(OR('Raw Data'!V86="",LEN(TRIM('Raw Data'!V86))=0),"",IF(AND(ISNUMBER('Raw Data'!V86), IFERROR('Raw Data'!V86 = ROUND('Raw Data'!V86, 2),FALSE)),"",_xlfn.REGEXEXTRACT(CELL("address",V86), "\$([A-Z]+)\$[0-9]+"))),_xlfn.REGEXEXTRACT(CELL("address",V86), "\$([A-Z]+)\$[0-9]+"))</f>
        <v/>
      </c>
      <c r="W86" s="7" t="str">
        <f t="array" aca="1" ref="W86" ca="1">IFERROR(IF(OR('Raw Data'!W86="",LEN(TRIM('Raw Data'!W86))=0),"",IF(AND(ISNUMBER('Raw Data'!W86), IFERROR('Raw Data'!W86 = ROUND('Raw Data'!W86, 2),FALSE)),"",_xlfn.REGEXEXTRACT(CELL("address",W86), "\$([A-Z]+)\$[0-9]+"))),_xlfn.REGEXEXTRACT(CELL("address",W86), "\$([A-Z]+)\$[0-9]+"))</f>
        <v/>
      </c>
      <c r="X86" s="7" t="str">
        <f t="array" aca="1" ref="X86" ca="1">IFERROR(IF(OR('Raw Data'!X86="",LEN(TRIM('Raw Data'!X86))=0),"",IF(AND(ISNUMBER('Raw Data'!X86), IFERROR('Raw Data'!X86 = ROUND('Raw Data'!X86, 2),FALSE)),"",_xlfn.REGEXEXTRACT(CELL("address",X86), "\$([A-Z]+)\$[0-9]+"))),_xlfn.REGEXEXTRACT(CELL("address",X86), "\$([A-Z]+)\$[0-9]+"))</f>
        <v/>
      </c>
      <c r="Y86" s="7" t="str">
        <f t="array" aca="1" ref="Y86" ca="1">IFERROR(IF(OR('Raw Data'!Y86="",LEN(TRIM('Raw Data'!Y86))=0),"",IF(AND(ISNUMBER('Raw Data'!Y86), IFERROR('Raw Data'!Y86 = ROUND('Raw Data'!Y86, 2),FALSE)),"",_xlfn.REGEXEXTRACT(CELL("address",Y86), "\$([A-Z]+)\$[0-9]+"))),_xlfn.REGEXEXTRACT(CELL("address",Y86), "\$([A-Z]+)\$[0-9]+"))</f>
        <v/>
      </c>
      <c r="Z86" s="7" t="str">
        <f t="array" aca="1" ref="Z86" ca="1">IFERROR(IF(OR('Raw Data'!Z86="",LEN(TRIM('Raw Data'!Z86))=0),"",IF(AND(ISNUMBER('Raw Data'!Z86), IFERROR('Raw Data'!Z86 = ROUND('Raw Data'!Z86, 2),FALSE)),"",_xlfn.REGEXEXTRACT(CELL("address",Z86), "\$([A-Z]+)\$[0-9]+"))),_xlfn.REGEXEXTRACT(CELL("address",Z86), "\$([A-Z]+)\$[0-9]+"))</f>
        <v/>
      </c>
      <c r="AA86" s="7" t="str">
        <f t="array" aca="1" ref="AA86" ca="1">IFERROR(IF(OR('Raw Data'!AA86="",LEN(TRIM('Raw Data'!AA86))=0),"",IF(AND(ISNUMBER('Raw Data'!AA86), IFERROR('Raw Data'!AA86 = ROUND('Raw Data'!AA86, 2),FALSE)),"",_xlfn.REGEXEXTRACT(CELL("address",AA86), "\$([A-Z]+)\$[0-9]+"))),_xlfn.REGEXEXTRACT(CELL("address",AA86), "\$([A-Z]+)\$[0-9]+"))</f>
        <v/>
      </c>
      <c r="AB86" s="7" t="str">
        <f t="array" aca="1" ref="AB86" ca="1">IFERROR(IF(OR('Raw Data'!AB86="",LEN(TRIM('Raw Data'!AB86))=0),"",IF(AND(ISNUMBER('Raw Data'!AB86), IFERROR('Raw Data'!AB86 = ROUND('Raw Data'!AB86, 2),FALSE)),"",_xlfn.REGEXEXTRACT(CELL("address",AB86), "\$([A-Z]+)\$[0-9]+"))),_xlfn.REGEXEXTRACT(CELL("address",AB86), "\$([A-Z]+)\$[0-9]+"))</f>
        <v/>
      </c>
      <c r="AC86" s="7" t="str">
        <f t="array" aca="1" ref="AC86" ca="1">IFERROR(IF(OR('Raw Data'!AC86="",LEN(TRIM('Raw Data'!AC86))=0),"",IF(AND(ISNUMBER('Raw Data'!AC86), IFERROR('Raw Data'!AC86 = ROUND('Raw Data'!AC86, 2),FALSE)),"",_xlfn.REGEXEXTRACT(CELL("address",AC86), "\$([A-Z]+)\$[0-9]+"))),_xlfn.REGEXEXTRACT(CELL("address",AC86), "\$([A-Z]+)\$[0-9]+"))</f>
        <v/>
      </c>
      <c r="AD86" s="7" t="str">
        <f t="array" aca="1" ref="AD86" ca="1">IFERROR(IF(OR('Raw Data'!AD86="",LEN(TRIM('Raw Data'!AD86))=0),"",IF(AND(ISNUMBER('Raw Data'!AD86), IFERROR('Raw Data'!AD86 = ROUND('Raw Data'!AD86, 2),FALSE)),"",_xlfn.REGEXEXTRACT(CELL("address",AD86), "\$([A-Z]+)\$[0-9]+"))),_xlfn.REGEXEXTRACT(CELL("address",AD86), "\$([A-Z]+)\$[0-9]+"))</f>
        <v/>
      </c>
      <c r="AE86" s="7" t="str">
        <f t="array" aca="1" ref="AE86" ca="1">IFERROR(IF(OR('Raw Data'!AE86="",LEN(TRIM('Raw Data'!AE86))=0),"",IF(AND(ISNUMBER('Raw Data'!AE86), IFERROR('Raw Data'!AE86 = ROUND('Raw Data'!AE86, 2),FALSE)),"",_xlfn.REGEXEXTRACT(CELL("address",AE86), "\$([A-Z]+)\$[0-9]+"))),_xlfn.REGEXEXTRACT(CELL("address",AE86), "\$([A-Z]+)\$[0-9]+"))</f>
        <v/>
      </c>
      <c r="AF86" s="7" t="str">
        <f t="array" aca="1" ref="AF86" ca="1">IFERROR(IF(OR('Raw Data'!AF86="",LEN(TRIM('Raw Data'!AF86))=0),"",IF(AND(ISNUMBER('Raw Data'!AF86), IFERROR('Raw Data'!AF86 = ROUND('Raw Data'!AF86, 2),FALSE)),"",_xlfn.REGEXEXTRACT(CELL("address",AF86), "\$([A-Z]+)\$[0-9]+"))),_xlfn.REGEXEXTRACT(CELL("address",AF86), "\$([A-Z]+)\$[0-9]+"))</f>
        <v/>
      </c>
      <c r="AG86" s="7" t="str">
        <f t="array" aca="1" ref="AG86" ca="1">IFERROR(IF(OR('Raw Data'!AG86="",LEN(TRIM('Raw Data'!AG86))=0),"",IF(AND(ISNUMBER('Raw Data'!AG86), IFERROR('Raw Data'!AG86 = ROUND('Raw Data'!AG86, 2),FALSE)),"",_xlfn.REGEXEXTRACT(CELL("address",AG86), "\$([A-Z]+)\$[0-9]+"))),_xlfn.REGEXEXTRACT(CELL("address",AG86), "\$([A-Z]+)\$[0-9]+"))</f>
        <v/>
      </c>
      <c r="AH86" s="7" t="str">
        <f t="array" aca="1" ref="AH86" ca="1">IFERROR(IF(OR('Raw Data'!AH86="",LEN(TRIM('Raw Data'!AH86))=0),"",IF(AND(ISNUMBER('Raw Data'!AH86), IFERROR('Raw Data'!AH86 = ROUND('Raw Data'!AH86, 2),FALSE)),"",_xlfn.REGEXEXTRACT(CELL("address",AH86), "\$([A-Z]+)\$[0-9]+"))),_xlfn.REGEXEXTRACT(CELL("address",AH86), "\$([A-Z]+)\$[0-9]+"))</f>
        <v/>
      </c>
      <c r="AI86" s="7" t="str">
        <f t="array" aca="1" ref="AI86" ca="1">IFERROR(IF(OR('Raw Data'!AI86="",LEN(TRIM('Raw Data'!AI86))=0),"",IF(AND(ISNUMBER('Raw Data'!AI86), IFERROR('Raw Data'!AI86 = ROUND('Raw Data'!AI86, 2),FALSE)),"",_xlfn.REGEXEXTRACT(CELL("address",AI86), "\$([A-Z]+)\$[0-9]+"))),_xlfn.REGEXEXTRACT(CELL("address",AI86), "\$([A-Z]+)\$[0-9]+"))</f>
        <v/>
      </c>
      <c r="AJ86" s="7" t="str">
        <f t="array" aca="1" ref="AJ86" ca="1">IFERROR(IF(OR('Raw Data'!AJ86="",LEN(TRIM('Raw Data'!AJ86))=0),"",IF(AND(ISNUMBER('Raw Data'!AJ86), IFERROR('Raw Data'!AJ86 = ROUND('Raw Data'!AJ86, 4),FALSE)),"",_xlfn.REGEXEXTRACT(CELL("address",AJ86), "\$([A-Z]+)\$[0-9]+"))),_xlfn.REGEXEXTRACT(CELL("address",AJ86), "\$([A-Z]+)\$[0-9]+"))</f>
        <v/>
      </c>
      <c r="AK86" s="7" t="str">
        <f t="array" aca="1" ref="AK86" ca="1">IFERROR(IF(OR('Raw Data'!AK86="",LEN(TRIM('Raw Data'!AK86))=0),"",IF(AND(ISNUMBER('Raw Data'!AK86), IFERROR('Raw Data'!AK86 = ROUND('Raw Data'!AK86, 2),FALSE)),"",_xlfn.REGEXEXTRACT(CELL("address",AK86), "\$([A-Z]+)\$[0-9]+"))),_xlfn.REGEXEXTRACT(CELL("address",AK86), "\$([A-Z]+)\$[0-9]+"))</f>
        <v/>
      </c>
      <c r="AL86" s="7" t="str">
        <f t="array" aca="1" ref="AL86" ca="1">IFERROR(IF(OR('Raw Data'!AL86="",LEN(TRIM('Raw Data'!AL86))=0),"",IF(AND(ISNUMBER('Raw Data'!AL86), IFERROR('Raw Data'!AL86 = ROUND('Raw Data'!AL86, 2),FALSE)),"",_xlfn.REGEXEXTRACT(CELL("address",AL86), "\$([A-Z]+)\$[0-9]+"))),_xlfn.REGEXEXTRACT(CELL("address",AL86), "\$([A-Z]+)\$[0-9]+"))</f>
        <v/>
      </c>
      <c r="AM86" s="7" t="str">
        <f t="array" aca="1" ref="AM86" ca="1">IFERROR(IF(OR('Raw Data'!AM86="",LEN(TRIM('Raw Data'!AM86))=0),"",IF(AND(ISNUMBER('Raw Data'!AM86), IFERROR('Raw Data'!AM86 = ROUND('Raw Data'!AM86, 2),FALSE)),"",_xlfn.REGEXEXTRACT(CELL("address",AM86), "\$([A-Z]+)\$[0-9]+"))),_xlfn.REGEXEXTRACT(CELL("address",AM86), "\$([A-Z]+)\$[0-9]+"))</f>
        <v/>
      </c>
      <c r="AN86" s="7" t="str">
        <f t="array" aca="1" ref="AN86" ca="1">IFERROR(IF(OR('Raw Data'!AN86="",LEN(TRIM('Raw Data'!AN86))=0),"",IF(AND(ISNUMBER('Raw Data'!AN86), IFERROR('Raw Data'!AN86 = ROUND('Raw Data'!AN86, 2),FALSE)),"",_xlfn.REGEXEXTRACT(CELL("address",AN86), "\$([A-Z]+)\$[0-9]+"))),_xlfn.REGEXEXTRACT(CELL("address",AN86), "\$([A-Z]+)\$[0-9]+"))</f>
        <v/>
      </c>
      <c r="AO86" s="7" t="str">
        <f t="array" aca="1" ref="AO86" ca="1">IFERROR(IF(OR('Raw Data'!AO86="",LEN(TRIM('Raw Data'!AO86))=0),"",IF(AND(ISNUMBER('Raw Data'!AO86), IFERROR('Raw Data'!AO86 = ROUND('Raw Data'!AO86, 2),FALSE)),"",_xlfn.REGEXEXTRACT(CELL("address",AO86), "\$([A-Z]+)\$[0-9]+"))),_xlfn.REGEXEXTRACT(CELL("address",AO86), "\$([A-Z]+)\$[0-9]+"))</f>
        <v/>
      </c>
      <c r="AP86" s="7" t="str">
        <f t="array" aca="1" ref="AP86" ca="1">IFERROR(IF(OR('Raw Data'!AP86="",LEN(TRIM('Raw Data'!AP86))=0),"",IF(AND(ISNUMBER('Raw Data'!AP86), IFERROR('Raw Data'!AP86 = ROUND('Raw Data'!AP86, 2),FALSE)),"",_xlfn.REGEXEXTRACT(CELL("address",AP86), "\$([A-Z]+)\$[0-9]+"))),_xlfn.REGEXEXTRACT(CELL("address",AP86), "\$([A-Z]+)\$[0-9]+"))</f>
        <v/>
      </c>
    </row>
    <row r="87" spans="2:42" x14ac:dyDescent="0.25">
      <c r="B87" s="7" t="str">
        <f t="array" aca="1" ref="B87" ca="1">IFERROR(IF(OR('Raw Data'!B87="",LEN(TRIM('Raw Data'!B87))=0),"",IF(AND(LEN('Raw Data'!B87) &lt;= 255,LEN('Raw Data'!B87)&gt; 0),"",_xlfn.REGEXEXTRACT(CELL("address",'Raw Data'!B87),"\$([A-Z]+)\$[0-9]+"))),_xlfn.REGEXEXTRACT(CELL("address",'Raw Data'!B87),"\$([A-Z]+)\$[0-9]+"))</f>
        <v/>
      </c>
      <c r="C87" s="7" t="str">
        <f t="array" aca="1" ref="C87" ca="1">IFERROR(IF(OR('Raw Data'!C87="",LEN(TRIM('Raw Data'!C87))=0),"",IF(AND(LEN('Raw Data'!C87) &lt;= 50,LEN('Raw Data'!C87)&gt; 0),"",_xlfn.REGEXEXTRACT(CELL("address",'Raw Data'!C87),"\$([A-Z]+)\$[0-9]+"))),_xlfn.REGEXEXTRACT(CELL("address",'Raw Data'!C87),"\$([A-Z]+)\$[0-9]+"))</f>
        <v/>
      </c>
      <c r="D87" s="7" t="str">
        <f t="array" aca="1" ref="D87" ca="1">IFERROR(IF(OR('Raw Data'!D87="",LEN(TRIM('Raw Data'!D87))=0),"",IF(AND(LEN('Raw Data'!D87) &lt;= 500,LEN('Raw Data'!D87)&gt; 0),"",_xlfn.REGEXEXTRACT(CELL("address",'Raw Data'!D87),"\$([A-Z]+)\$[0-9]+"))),_xlfn.REGEXEXTRACT(CELL("address",'Raw Data'!D87),"\$([A-Z]+)\$[0-9]+"))</f>
        <v/>
      </c>
      <c r="E87" s="7" t="str">
        <f t="array" aca="1" ref="E87" ca="1">IFERROR(IF(OR('Raw Data'!E87="",LEN(TRIM('Raw Data'!E87))=0),"",IF(AND(LEN('Raw Data'!E87) &lt;= 50,LEN('Raw Data'!E87)&gt; 0),"",_xlfn.REGEXEXTRACT(CELL("address",'Raw Data'!E87),"\$([A-Z]+)\$[0-9]+"))),_xlfn.REGEXEXTRACT(CELL("address",'Raw Data'!E87),"\$([A-Z]+)\$[0-9]+"))</f>
        <v/>
      </c>
      <c r="F87" s="7" t="str">
        <f t="array" aca="1" ref="F87" ca="1">IFERROR(IF(OR('Raw Data'!F87="",LEN(TRIM('Raw Data'!F87))=0),"",IF(AND(LEN('Raw Data'!F87) &lt;= 50,LEN('Raw Data'!F87)&gt; 0),"",_xlfn.REGEXEXTRACT(CELL("address",'Raw Data'!F87),"\$([A-Z]+)\$[0-9]+"))),_xlfn.REGEXEXTRACT(CELL("address",'Raw Data'!F87),"\$([A-Z]+)\$[0-9]+"))</f>
        <v/>
      </c>
      <c r="G87" s="7" t="str">
        <f t="array" aca="1" ref="G87" ca="1">IFERROR(IF(OR('Raw Data'!G87="",LEN(TRIM('Raw Data'!G87))=0),"",IF(AND(LEN('Raw Data'!G87) &lt;= 50,LEN('Raw Data'!G87)&gt; 0),"",_xlfn.REGEXEXTRACT(CELL("address",'Raw Data'!G87),"\$([A-Z]+)\$[0-9]+"))),_xlfn.REGEXEXTRACT(CELL("address",'Raw Data'!G87),"\$([A-Z]+)\$[0-9]+"))</f>
        <v/>
      </c>
      <c r="H87" s="7" t="str">
        <f t="array" aca="1" ref="H87" ca="1">IFERROR(IF(OR('Raw Data'!H87="",LEN(TRIM('Raw Data'!H87))=0),"",IF(AND(LEN('Raw Data'!H87) &lt;= 50,LEN('Raw Data'!H87)&gt; 0),"",_xlfn.REGEXEXTRACT(CELL("address",'Raw Data'!H87),"\$([A-Z]+)\$[0-9]+"))),_xlfn.REGEXEXTRACT(CELL("address",'Raw Data'!H87),"\$([A-Z]+)\$[0-9]+"))</f>
        <v/>
      </c>
      <c r="I87" s="7" t="str">
        <f t="array" aca="1" ref="I87" ca="1">IFERROR(IF(OR('Raw Data'!I87="",LEN(TRIM('Raw Data'!I87))=0),"",IF(AND(LEN('Raw Data'!I87) &lt;= 50,LEN('Raw Data'!I87)&gt; 0),"",_xlfn.REGEXEXTRACT(CELL("address",'Raw Data'!I87),"\$([A-Z]+)\$[0-9]+"))),_xlfn.REGEXEXTRACT(CELL("address",'Raw Data'!I87),"\$([A-Z]+)\$[0-9]+"))</f>
        <v/>
      </c>
      <c r="J87" s="7" t="str">
        <f t="array" aca="1" ref="J87" ca="1">IFERROR(IF(OR('Raw Data'!J87="",LEN(TRIM('Raw Data'!J87))=0),"",IF(AND(ISNUMBER('Raw Data'!J87), IFERROR('Raw Data'!J87 = ROUND('Raw Data'!J87, 2),FALSE)),"",_xlfn.REGEXEXTRACT(CELL("address",J87), "\$([A-Z]+)\$[0-9]+"))),_xlfn.REGEXEXTRACT(CELL("address",J87), "\$([A-Z]+)\$[0-9]+"))</f>
        <v/>
      </c>
      <c r="K87" s="7" t="str">
        <f t="array" aca="1" ref="K87" ca="1">IFERROR(IF(OR('Raw Data'!K87="",LEN(TRIM('Raw Data'!K87))=0),"",IF(AND(ISNUMBER('Raw Data'!K87), IFERROR('Raw Data'!K87 = ROUND('Raw Data'!K87, 2),FALSE)),"",_xlfn.REGEXEXTRACT(CELL("address",K87), "\$([A-Z]+)\$[0-9]+"))),_xlfn.REGEXEXTRACT(CELL("address",K87), "\$([A-Z]+)\$[0-9]+"))</f>
        <v/>
      </c>
      <c r="L87" s="7" t="str">
        <f t="array" aca="1" ref="L87" ca="1">IFERROR(IF(OR('Raw Data'!L87="",LEN(TRIM('Raw Data'!L87))=0),"",IF(AND(ISNUMBER('Raw Data'!L87), IFERROR('Raw Data'!L87 = ROUND('Raw Data'!L87, 2),FALSE)),"",_xlfn.REGEXEXTRACT(CELL("address",L87), "\$([A-Z]+)\$[0-9]+"))),_xlfn.REGEXEXTRACT(CELL("address",L87), "\$([A-Z]+)\$[0-9]+"))</f>
        <v/>
      </c>
      <c r="M87" s="7" t="str">
        <f t="array" aca="1" ref="M87" ca="1">IFERROR(IF(OR('Raw Data'!M87="",LEN(TRIM('Raw Data'!M87))=0),"",IF(AND(ISNUMBER('Raw Data'!M87), IFERROR('Raw Data'!M87 = ROUND('Raw Data'!M87, 2),FALSE)),"",_xlfn.REGEXEXTRACT(CELL("address",M87), "\$([A-Z]+)\$[0-9]+"))),_xlfn.REGEXEXTRACT(CELL("address",M87), "\$([A-Z]+)\$[0-9]+"))</f>
        <v/>
      </c>
      <c r="N87" s="7" t="str">
        <f t="array" aca="1" ref="N87" ca="1">IFERROR(IF(OR('Raw Data'!N87="",LEN(TRIM('Raw Data'!N87))=0),"",IF(AND(ISNUMBER('Raw Data'!N87), IFERROR('Raw Data'!N87 = ROUND('Raw Data'!N87, 2),FALSE)),"",_xlfn.REGEXEXTRACT(CELL("address",N87), "\$([A-Z]+)\$[0-9]+"))),_xlfn.REGEXEXTRACT(CELL("address",N87), "\$([A-Z]+)\$[0-9]+"))</f>
        <v/>
      </c>
      <c r="O87" s="7" t="str">
        <f t="array" aca="1" ref="O87" ca="1">IFERROR(IF(OR('Raw Data'!O87="",LEN(TRIM('Raw Data'!O87))=0),"",IF(AND(ISNUMBER('Raw Data'!O87),'Raw Data'!O87&gt;=Configuration!$D$2),"",_xlfn.REGEXEXTRACT(CELL("address",'Raw Data'!O87),"\$([A-Z]+)\$[0-9]+"))),_xlfn.REGEXEXTRACT(CELL("address",O87), "\$([A-Z]+)\$[0-9]+"))</f>
        <v/>
      </c>
      <c r="P87" s="7" t="str">
        <f t="array" aca="1" ref="P87" ca="1">IFERROR(IF(OR('Raw Data'!P87="",LEN(TRIM('Raw Data'!P87))=0),"",IF(AND(ISNUMBER('Raw Data'!P87), IFERROR('Raw Data'!P87 = ROUND('Raw Data'!P87, 2),FALSE)),"",_xlfn.REGEXEXTRACT(CELL("address",P87), "\$([A-Z]+)\$[0-9]+"))),_xlfn.REGEXEXTRACT(CELL("address",P87), "\$([A-Z]+)\$[0-9]+"))</f>
        <v/>
      </c>
      <c r="Q87" s="7" t="str">
        <f t="array" aca="1" ref="Q87" ca="1">IFERROR(IF(OR('Raw Data'!Q87="",LEN(TRIM('Raw Data'!Q87))=0),"",IF(AND(ISNUMBER('Raw Data'!Q87), IFERROR('Raw Data'!Q87 = ROUND('Raw Data'!Q87, 2),FALSE)),"",_xlfn.REGEXEXTRACT(CELL("address",Q87), "\$([A-Z]+)\$[0-9]+"))),_xlfn.REGEXEXTRACT(CELL("address",Q87), "\$([A-Z]+)\$[0-9]+"))</f>
        <v/>
      </c>
      <c r="R87" s="7" t="str">
        <f t="array" aca="1" ref="R87" ca="1">IFERROR(IF(OR('Raw Data'!R87="",LEN(TRIM('Raw Data'!R87))=0),"",IF(AND(LEN('Raw Data'!R87) &lt;= 50,LEN('Raw Data'!R87)&gt; 0),"",_xlfn.REGEXEXTRACT(CELL("address",'Raw Data'!R87),"\$([A-Z]+)\$[0-9]+"))),_xlfn.REGEXEXTRACT(CELL("address",'Raw Data'!R87),"\$([A-Z]+)\$[0-9]+"))</f>
        <v/>
      </c>
      <c r="S87" s="7" t="str">
        <f t="array" aca="1" ref="S87" ca="1">IFERROR(IF(OR('Raw Data'!S87="",LEN(TRIM('Raw Data'!S87))=0),"",IF(AND(LEN('Raw Data'!S87) &lt;= 50,LEN('Raw Data'!S87)&gt; 0),"",_xlfn.REGEXEXTRACT(CELL("address",'Raw Data'!S87),"\$([A-Z]+)\$[0-9]+"))),_xlfn.REGEXEXTRACT(CELL("address",'Raw Data'!S87),"\$([A-Z]+)\$[0-9]+"))</f>
        <v/>
      </c>
      <c r="T87" s="7" t="str">
        <f t="array" aca="1" ref="T87" ca="1">IFERROR(IF(OR('Raw Data'!T87="",LEN(TRIM('Raw Data'!T87))=0),"",IF(AND(ISNUMBER('Raw Data'!T87), IFERROR('Raw Data'!T87 = ROUND('Raw Data'!T87, 2),FALSE)),"",_xlfn.REGEXEXTRACT(CELL("address",T87), "\$([A-Z]+)\$[0-9]+"))),_xlfn.REGEXEXTRACT(CELL("address",T87), "\$([A-Z]+)\$[0-9]+"))</f>
        <v/>
      </c>
      <c r="U87" s="7" t="str">
        <f t="array" aca="1" ref="U87" ca="1">IFERROR(IF(OR('Raw Data'!U87="",LEN(TRIM('Raw Data'!U87))=0),"",IF(AND(ISNUMBER('Raw Data'!U87), IFERROR('Raw Data'!U87 = ROUND('Raw Data'!U87, 2),FALSE)),"",_xlfn.REGEXEXTRACT(CELL("address",U87), "\$([A-Z]+)\$[0-9]+"))),_xlfn.REGEXEXTRACT(CELL("address",U87), "\$([A-Z]+)\$[0-9]+"))</f>
        <v/>
      </c>
      <c r="V87" s="7" t="str">
        <f t="array" aca="1" ref="V87" ca="1">IFERROR(IF(OR('Raw Data'!V87="",LEN(TRIM('Raw Data'!V87))=0),"",IF(AND(ISNUMBER('Raw Data'!V87), IFERROR('Raw Data'!V87 = ROUND('Raw Data'!V87, 2),FALSE)),"",_xlfn.REGEXEXTRACT(CELL("address",V87), "\$([A-Z]+)\$[0-9]+"))),_xlfn.REGEXEXTRACT(CELL("address",V87), "\$([A-Z]+)\$[0-9]+"))</f>
        <v/>
      </c>
      <c r="W87" s="7" t="str">
        <f t="array" aca="1" ref="W87" ca="1">IFERROR(IF(OR('Raw Data'!W87="",LEN(TRIM('Raw Data'!W87))=0),"",IF(AND(ISNUMBER('Raw Data'!W87), IFERROR('Raw Data'!W87 = ROUND('Raw Data'!W87, 2),FALSE)),"",_xlfn.REGEXEXTRACT(CELL("address",W87), "\$([A-Z]+)\$[0-9]+"))),_xlfn.REGEXEXTRACT(CELL("address",W87), "\$([A-Z]+)\$[0-9]+"))</f>
        <v/>
      </c>
      <c r="X87" s="7" t="str">
        <f t="array" aca="1" ref="X87" ca="1">IFERROR(IF(OR('Raw Data'!X87="",LEN(TRIM('Raw Data'!X87))=0),"",IF(AND(ISNUMBER('Raw Data'!X87), IFERROR('Raw Data'!X87 = ROUND('Raw Data'!X87, 2),FALSE)),"",_xlfn.REGEXEXTRACT(CELL("address",X87), "\$([A-Z]+)\$[0-9]+"))),_xlfn.REGEXEXTRACT(CELL("address",X87), "\$([A-Z]+)\$[0-9]+"))</f>
        <v/>
      </c>
      <c r="Y87" s="7" t="str">
        <f t="array" aca="1" ref="Y87" ca="1">IFERROR(IF(OR('Raw Data'!Y87="",LEN(TRIM('Raw Data'!Y87))=0),"",IF(AND(ISNUMBER('Raw Data'!Y87), IFERROR('Raw Data'!Y87 = ROUND('Raw Data'!Y87, 2),FALSE)),"",_xlfn.REGEXEXTRACT(CELL("address",Y87), "\$([A-Z]+)\$[0-9]+"))),_xlfn.REGEXEXTRACT(CELL("address",Y87), "\$([A-Z]+)\$[0-9]+"))</f>
        <v/>
      </c>
      <c r="Z87" s="7" t="str">
        <f t="array" aca="1" ref="Z87" ca="1">IFERROR(IF(OR('Raw Data'!Z87="",LEN(TRIM('Raw Data'!Z87))=0),"",IF(AND(ISNUMBER('Raw Data'!Z87), IFERROR('Raw Data'!Z87 = ROUND('Raw Data'!Z87, 2),FALSE)),"",_xlfn.REGEXEXTRACT(CELL("address",Z87), "\$([A-Z]+)\$[0-9]+"))),_xlfn.REGEXEXTRACT(CELL("address",Z87), "\$([A-Z]+)\$[0-9]+"))</f>
        <v/>
      </c>
      <c r="AA87" s="7" t="str">
        <f t="array" aca="1" ref="AA87" ca="1">IFERROR(IF(OR('Raw Data'!AA87="",LEN(TRIM('Raw Data'!AA87))=0),"",IF(AND(ISNUMBER('Raw Data'!AA87), IFERROR('Raw Data'!AA87 = ROUND('Raw Data'!AA87, 2),FALSE)),"",_xlfn.REGEXEXTRACT(CELL("address",AA87), "\$([A-Z]+)\$[0-9]+"))),_xlfn.REGEXEXTRACT(CELL("address",AA87), "\$([A-Z]+)\$[0-9]+"))</f>
        <v/>
      </c>
      <c r="AB87" s="7" t="str">
        <f t="array" aca="1" ref="AB87" ca="1">IFERROR(IF(OR('Raw Data'!AB87="",LEN(TRIM('Raw Data'!AB87))=0),"",IF(AND(ISNUMBER('Raw Data'!AB87), IFERROR('Raw Data'!AB87 = ROUND('Raw Data'!AB87, 2),FALSE)),"",_xlfn.REGEXEXTRACT(CELL("address",AB87), "\$([A-Z]+)\$[0-9]+"))),_xlfn.REGEXEXTRACT(CELL("address",AB87), "\$([A-Z]+)\$[0-9]+"))</f>
        <v/>
      </c>
      <c r="AC87" s="7" t="str">
        <f t="array" aca="1" ref="AC87" ca="1">IFERROR(IF(OR('Raw Data'!AC87="",LEN(TRIM('Raw Data'!AC87))=0),"",IF(AND(ISNUMBER('Raw Data'!AC87), IFERROR('Raw Data'!AC87 = ROUND('Raw Data'!AC87, 2),FALSE)),"",_xlfn.REGEXEXTRACT(CELL("address",AC87), "\$([A-Z]+)\$[0-9]+"))),_xlfn.REGEXEXTRACT(CELL("address",AC87), "\$([A-Z]+)\$[0-9]+"))</f>
        <v/>
      </c>
      <c r="AD87" s="7" t="str">
        <f t="array" aca="1" ref="AD87" ca="1">IFERROR(IF(OR('Raw Data'!AD87="",LEN(TRIM('Raw Data'!AD87))=0),"",IF(AND(ISNUMBER('Raw Data'!AD87), IFERROR('Raw Data'!AD87 = ROUND('Raw Data'!AD87, 2),FALSE)),"",_xlfn.REGEXEXTRACT(CELL("address",AD87), "\$([A-Z]+)\$[0-9]+"))),_xlfn.REGEXEXTRACT(CELL("address",AD87), "\$([A-Z]+)\$[0-9]+"))</f>
        <v/>
      </c>
      <c r="AE87" s="7" t="str">
        <f t="array" aca="1" ref="AE87" ca="1">IFERROR(IF(OR('Raw Data'!AE87="",LEN(TRIM('Raw Data'!AE87))=0),"",IF(AND(ISNUMBER('Raw Data'!AE87), IFERROR('Raw Data'!AE87 = ROUND('Raw Data'!AE87, 2),FALSE)),"",_xlfn.REGEXEXTRACT(CELL("address",AE87), "\$([A-Z]+)\$[0-9]+"))),_xlfn.REGEXEXTRACT(CELL("address",AE87), "\$([A-Z]+)\$[0-9]+"))</f>
        <v/>
      </c>
      <c r="AF87" s="7" t="str">
        <f t="array" aca="1" ref="AF87" ca="1">IFERROR(IF(OR('Raw Data'!AF87="",LEN(TRIM('Raw Data'!AF87))=0),"",IF(AND(ISNUMBER('Raw Data'!AF87), IFERROR('Raw Data'!AF87 = ROUND('Raw Data'!AF87, 2),FALSE)),"",_xlfn.REGEXEXTRACT(CELL("address",AF87), "\$([A-Z]+)\$[0-9]+"))),_xlfn.REGEXEXTRACT(CELL("address",AF87), "\$([A-Z]+)\$[0-9]+"))</f>
        <v/>
      </c>
      <c r="AG87" s="7" t="str">
        <f t="array" aca="1" ref="AG87" ca="1">IFERROR(IF(OR('Raw Data'!AG87="",LEN(TRIM('Raw Data'!AG87))=0),"",IF(AND(ISNUMBER('Raw Data'!AG87), IFERROR('Raw Data'!AG87 = ROUND('Raw Data'!AG87, 2),FALSE)),"",_xlfn.REGEXEXTRACT(CELL("address",AG87), "\$([A-Z]+)\$[0-9]+"))),_xlfn.REGEXEXTRACT(CELL("address",AG87), "\$([A-Z]+)\$[0-9]+"))</f>
        <v/>
      </c>
      <c r="AH87" s="7" t="str">
        <f t="array" aca="1" ref="AH87" ca="1">IFERROR(IF(OR('Raw Data'!AH87="",LEN(TRIM('Raw Data'!AH87))=0),"",IF(AND(ISNUMBER('Raw Data'!AH87), IFERROR('Raw Data'!AH87 = ROUND('Raw Data'!AH87, 2),FALSE)),"",_xlfn.REGEXEXTRACT(CELL("address",AH87), "\$([A-Z]+)\$[0-9]+"))),_xlfn.REGEXEXTRACT(CELL("address",AH87), "\$([A-Z]+)\$[0-9]+"))</f>
        <v/>
      </c>
      <c r="AI87" s="7" t="str">
        <f t="array" aca="1" ref="AI87" ca="1">IFERROR(IF(OR('Raw Data'!AI87="",LEN(TRIM('Raw Data'!AI87))=0),"",IF(AND(ISNUMBER('Raw Data'!AI87), IFERROR('Raw Data'!AI87 = ROUND('Raw Data'!AI87, 2),FALSE)),"",_xlfn.REGEXEXTRACT(CELL("address",AI87), "\$([A-Z]+)\$[0-9]+"))),_xlfn.REGEXEXTRACT(CELL("address",AI87), "\$([A-Z]+)\$[0-9]+"))</f>
        <v/>
      </c>
      <c r="AJ87" s="7" t="str">
        <f t="array" aca="1" ref="AJ87" ca="1">IFERROR(IF(OR('Raw Data'!AJ87="",LEN(TRIM('Raw Data'!AJ87))=0),"",IF(AND(ISNUMBER('Raw Data'!AJ87), IFERROR('Raw Data'!AJ87 = ROUND('Raw Data'!AJ87, 4),FALSE)),"",_xlfn.REGEXEXTRACT(CELL("address",AJ87), "\$([A-Z]+)\$[0-9]+"))),_xlfn.REGEXEXTRACT(CELL("address",AJ87), "\$([A-Z]+)\$[0-9]+"))</f>
        <v/>
      </c>
      <c r="AK87" s="7" t="str">
        <f t="array" aca="1" ref="AK87" ca="1">IFERROR(IF(OR('Raw Data'!AK87="",LEN(TRIM('Raw Data'!AK87))=0),"",IF(AND(ISNUMBER('Raw Data'!AK87), IFERROR('Raw Data'!AK87 = ROUND('Raw Data'!AK87, 2),FALSE)),"",_xlfn.REGEXEXTRACT(CELL("address",AK87), "\$([A-Z]+)\$[0-9]+"))),_xlfn.REGEXEXTRACT(CELL("address",AK87), "\$([A-Z]+)\$[0-9]+"))</f>
        <v/>
      </c>
      <c r="AL87" s="7" t="str">
        <f t="array" aca="1" ref="AL87" ca="1">IFERROR(IF(OR('Raw Data'!AL87="",LEN(TRIM('Raw Data'!AL87))=0),"",IF(AND(ISNUMBER('Raw Data'!AL87), IFERROR('Raw Data'!AL87 = ROUND('Raw Data'!AL87, 2),FALSE)),"",_xlfn.REGEXEXTRACT(CELL("address",AL87), "\$([A-Z]+)\$[0-9]+"))),_xlfn.REGEXEXTRACT(CELL("address",AL87), "\$([A-Z]+)\$[0-9]+"))</f>
        <v/>
      </c>
      <c r="AM87" s="7" t="str">
        <f t="array" aca="1" ref="AM87" ca="1">IFERROR(IF(OR('Raw Data'!AM87="",LEN(TRIM('Raw Data'!AM87))=0),"",IF(AND(ISNUMBER('Raw Data'!AM87), IFERROR('Raw Data'!AM87 = ROUND('Raw Data'!AM87, 2),FALSE)),"",_xlfn.REGEXEXTRACT(CELL("address",AM87), "\$([A-Z]+)\$[0-9]+"))),_xlfn.REGEXEXTRACT(CELL("address",AM87), "\$([A-Z]+)\$[0-9]+"))</f>
        <v/>
      </c>
      <c r="AN87" s="7" t="str">
        <f t="array" aca="1" ref="AN87" ca="1">IFERROR(IF(OR('Raw Data'!AN87="",LEN(TRIM('Raw Data'!AN87))=0),"",IF(AND(ISNUMBER('Raw Data'!AN87), IFERROR('Raw Data'!AN87 = ROUND('Raw Data'!AN87, 2),FALSE)),"",_xlfn.REGEXEXTRACT(CELL("address",AN87), "\$([A-Z]+)\$[0-9]+"))),_xlfn.REGEXEXTRACT(CELL("address",AN87), "\$([A-Z]+)\$[0-9]+"))</f>
        <v/>
      </c>
      <c r="AO87" s="7" t="str">
        <f t="array" aca="1" ref="AO87" ca="1">IFERROR(IF(OR('Raw Data'!AO87="",LEN(TRIM('Raw Data'!AO87))=0),"",IF(AND(ISNUMBER('Raw Data'!AO87), IFERROR('Raw Data'!AO87 = ROUND('Raw Data'!AO87, 2),FALSE)),"",_xlfn.REGEXEXTRACT(CELL("address",AO87), "\$([A-Z]+)\$[0-9]+"))),_xlfn.REGEXEXTRACT(CELL("address",AO87), "\$([A-Z]+)\$[0-9]+"))</f>
        <v/>
      </c>
      <c r="AP87" s="7" t="str">
        <f t="array" aca="1" ref="AP87" ca="1">IFERROR(IF(OR('Raw Data'!AP87="",LEN(TRIM('Raw Data'!AP87))=0),"",IF(AND(ISNUMBER('Raw Data'!AP87), IFERROR('Raw Data'!AP87 = ROUND('Raw Data'!AP87, 2),FALSE)),"",_xlfn.REGEXEXTRACT(CELL("address",AP87), "\$([A-Z]+)\$[0-9]+"))),_xlfn.REGEXEXTRACT(CELL("address",AP87), "\$([A-Z]+)\$[0-9]+"))</f>
        <v/>
      </c>
    </row>
    <row r="88" spans="2:42" x14ac:dyDescent="0.25">
      <c r="B88" s="7" t="str">
        <f t="array" aca="1" ref="B88" ca="1">IFERROR(IF(OR('Raw Data'!B88="",LEN(TRIM('Raw Data'!B88))=0),"",IF(AND(LEN('Raw Data'!B88) &lt;= 255,LEN('Raw Data'!B88)&gt; 0),"",_xlfn.REGEXEXTRACT(CELL("address",'Raw Data'!B88),"\$([A-Z]+)\$[0-9]+"))),_xlfn.REGEXEXTRACT(CELL("address",'Raw Data'!B88),"\$([A-Z]+)\$[0-9]+"))</f>
        <v/>
      </c>
      <c r="C88" s="7" t="str">
        <f t="array" aca="1" ref="C88" ca="1">IFERROR(IF(OR('Raw Data'!C88="",LEN(TRIM('Raw Data'!C88))=0),"",IF(AND(LEN('Raw Data'!C88) &lt;= 50,LEN('Raw Data'!C88)&gt; 0),"",_xlfn.REGEXEXTRACT(CELL("address",'Raw Data'!C88),"\$([A-Z]+)\$[0-9]+"))),_xlfn.REGEXEXTRACT(CELL("address",'Raw Data'!C88),"\$([A-Z]+)\$[0-9]+"))</f>
        <v/>
      </c>
      <c r="D88" s="7" t="str">
        <f t="array" aca="1" ref="D88" ca="1">IFERROR(IF(OR('Raw Data'!D88="",LEN(TRIM('Raw Data'!D88))=0),"",IF(AND(LEN('Raw Data'!D88) &lt;= 500,LEN('Raw Data'!D88)&gt; 0),"",_xlfn.REGEXEXTRACT(CELL("address",'Raw Data'!D88),"\$([A-Z]+)\$[0-9]+"))),_xlfn.REGEXEXTRACT(CELL("address",'Raw Data'!D88),"\$([A-Z]+)\$[0-9]+"))</f>
        <v/>
      </c>
      <c r="E88" s="7" t="str">
        <f t="array" aca="1" ref="E88" ca="1">IFERROR(IF(OR('Raw Data'!E88="",LEN(TRIM('Raw Data'!E88))=0),"",IF(AND(LEN('Raw Data'!E88) &lt;= 50,LEN('Raw Data'!E88)&gt; 0),"",_xlfn.REGEXEXTRACT(CELL("address",'Raw Data'!E88),"\$([A-Z]+)\$[0-9]+"))),_xlfn.REGEXEXTRACT(CELL("address",'Raw Data'!E88),"\$([A-Z]+)\$[0-9]+"))</f>
        <v/>
      </c>
      <c r="F88" s="7" t="str">
        <f t="array" aca="1" ref="F88" ca="1">IFERROR(IF(OR('Raw Data'!F88="",LEN(TRIM('Raw Data'!F88))=0),"",IF(AND(LEN('Raw Data'!F88) &lt;= 50,LEN('Raw Data'!F88)&gt; 0),"",_xlfn.REGEXEXTRACT(CELL("address",'Raw Data'!F88),"\$([A-Z]+)\$[0-9]+"))),_xlfn.REGEXEXTRACT(CELL("address",'Raw Data'!F88),"\$([A-Z]+)\$[0-9]+"))</f>
        <v/>
      </c>
      <c r="G88" s="7" t="str">
        <f t="array" aca="1" ref="G88" ca="1">IFERROR(IF(OR('Raw Data'!G88="",LEN(TRIM('Raw Data'!G88))=0),"",IF(AND(LEN('Raw Data'!G88) &lt;= 50,LEN('Raw Data'!G88)&gt; 0),"",_xlfn.REGEXEXTRACT(CELL("address",'Raw Data'!G88),"\$([A-Z]+)\$[0-9]+"))),_xlfn.REGEXEXTRACT(CELL("address",'Raw Data'!G88),"\$([A-Z]+)\$[0-9]+"))</f>
        <v/>
      </c>
      <c r="H88" s="7" t="str">
        <f t="array" aca="1" ref="H88" ca="1">IFERROR(IF(OR('Raw Data'!H88="",LEN(TRIM('Raw Data'!H88))=0),"",IF(AND(LEN('Raw Data'!H88) &lt;= 50,LEN('Raw Data'!H88)&gt; 0),"",_xlfn.REGEXEXTRACT(CELL("address",'Raw Data'!H88),"\$([A-Z]+)\$[0-9]+"))),_xlfn.REGEXEXTRACT(CELL("address",'Raw Data'!H88),"\$([A-Z]+)\$[0-9]+"))</f>
        <v/>
      </c>
      <c r="I88" s="7" t="str">
        <f t="array" aca="1" ref="I88" ca="1">IFERROR(IF(OR('Raw Data'!I88="",LEN(TRIM('Raw Data'!I88))=0),"",IF(AND(LEN('Raw Data'!I88) &lt;= 50,LEN('Raw Data'!I88)&gt; 0),"",_xlfn.REGEXEXTRACT(CELL("address",'Raw Data'!I88),"\$([A-Z]+)\$[0-9]+"))),_xlfn.REGEXEXTRACT(CELL("address",'Raw Data'!I88),"\$([A-Z]+)\$[0-9]+"))</f>
        <v/>
      </c>
      <c r="J88" s="7" t="str">
        <f t="array" aca="1" ref="J88" ca="1">IFERROR(IF(OR('Raw Data'!J88="",LEN(TRIM('Raw Data'!J88))=0),"",IF(AND(ISNUMBER('Raw Data'!J88), IFERROR('Raw Data'!J88 = ROUND('Raw Data'!J88, 2),FALSE)),"",_xlfn.REGEXEXTRACT(CELL("address",J88), "\$([A-Z]+)\$[0-9]+"))),_xlfn.REGEXEXTRACT(CELL("address",J88), "\$([A-Z]+)\$[0-9]+"))</f>
        <v/>
      </c>
      <c r="K88" s="7" t="str">
        <f t="array" aca="1" ref="K88" ca="1">IFERROR(IF(OR('Raw Data'!K88="",LEN(TRIM('Raw Data'!K88))=0),"",IF(AND(ISNUMBER('Raw Data'!K88), IFERROR('Raw Data'!K88 = ROUND('Raw Data'!K88, 2),FALSE)),"",_xlfn.REGEXEXTRACT(CELL("address",K88), "\$([A-Z]+)\$[0-9]+"))),_xlfn.REGEXEXTRACT(CELL("address",K88), "\$([A-Z]+)\$[0-9]+"))</f>
        <v/>
      </c>
      <c r="L88" s="7" t="str">
        <f t="array" aca="1" ref="L88" ca="1">IFERROR(IF(OR('Raw Data'!L88="",LEN(TRIM('Raw Data'!L88))=0),"",IF(AND(ISNUMBER('Raw Data'!L88), IFERROR('Raw Data'!L88 = ROUND('Raw Data'!L88, 2),FALSE)),"",_xlfn.REGEXEXTRACT(CELL("address",L88), "\$([A-Z]+)\$[0-9]+"))),_xlfn.REGEXEXTRACT(CELL("address",L88), "\$([A-Z]+)\$[0-9]+"))</f>
        <v/>
      </c>
      <c r="M88" s="7" t="str">
        <f t="array" aca="1" ref="M88" ca="1">IFERROR(IF(OR('Raw Data'!M88="",LEN(TRIM('Raw Data'!M88))=0),"",IF(AND(ISNUMBER('Raw Data'!M88), IFERROR('Raw Data'!M88 = ROUND('Raw Data'!M88, 2),FALSE)),"",_xlfn.REGEXEXTRACT(CELL("address",M88), "\$([A-Z]+)\$[0-9]+"))),_xlfn.REGEXEXTRACT(CELL("address",M88), "\$([A-Z]+)\$[0-9]+"))</f>
        <v/>
      </c>
      <c r="N88" s="7" t="str">
        <f t="array" aca="1" ref="N88" ca="1">IFERROR(IF(OR('Raw Data'!N88="",LEN(TRIM('Raw Data'!N88))=0),"",IF(AND(ISNUMBER('Raw Data'!N88), IFERROR('Raw Data'!N88 = ROUND('Raw Data'!N88, 2),FALSE)),"",_xlfn.REGEXEXTRACT(CELL("address",N88), "\$([A-Z]+)\$[0-9]+"))),_xlfn.REGEXEXTRACT(CELL("address",N88), "\$([A-Z]+)\$[0-9]+"))</f>
        <v/>
      </c>
      <c r="O88" s="7" t="str">
        <f t="array" aca="1" ref="O88" ca="1">IFERROR(IF(OR('Raw Data'!O88="",LEN(TRIM('Raw Data'!O88))=0),"",IF(AND(ISNUMBER('Raw Data'!O88),'Raw Data'!O88&gt;=Configuration!$D$2),"",_xlfn.REGEXEXTRACT(CELL("address",'Raw Data'!O88),"\$([A-Z]+)\$[0-9]+"))),_xlfn.REGEXEXTRACT(CELL("address",O88), "\$([A-Z]+)\$[0-9]+"))</f>
        <v/>
      </c>
      <c r="P88" s="7" t="str">
        <f t="array" aca="1" ref="P88" ca="1">IFERROR(IF(OR('Raw Data'!P88="",LEN(TRIM('Raw Data'!P88))=0),"",IF(AND(ISNUMBER('Raw Data'!P88), IFERROR('Raw Data'!P88 = ROUND('Raw Data'!P88, 2),FALSE)),"",_xlfn.REGEXEXTRACT(CELL("address",P88), "\$([A-Z]+)\$[0-9]+"))),_xlfn.REGEXEXTRACT(CELL("address",P88), "\$([A-Z]+)\$[0-9]+"))</f>
        <v/>
      </c>
      <c r="Q88" s="7" t="str">
        <f t="array" aca="1" ref="Q88" ca="1">IFERROR(IF(OR('Raw Data'!Q88="",LEN(TRIM('Raw Data'!Q88))=0),"",IF(AND(ISNUMBER('Raw Data'!Q88), IFERROR('Raw Data'!Q88 = ROUND('Raw Data'!Q88, 2),FALSE)),"",_xlfn.REGEXEXTRACT(CELL("address",Q88), "\$([A-Z]+)\$[0-9]+"))),_xlfn.REGEXEXTRACT(CELL("address",Q88), "\$([A-Z]+)\$[0-9]+"))</f>
        <v/>
      </c>
      <c r="R88" s="7" t="str">
        <f t="array" aca="1" ref="R88" ca="1">IFERROR(IF(OR('Raw Data'!R88="",LEN(TRIM('Raw Data'!R88))=0),"",IF(AND(LEN('Raw Data'!R88) &lt;= 50,LEN('Raw Data'!R88)&gt; 0),"",_xlfn.REGEXEXTRACT(CELL("address",'Raw Data'!R88),"\$([A-Z]+)\$[0-9]+"))),_xlfn.REGEXEXTRACT(CELL("address",'Raw Data'!R88),"\$([A-Z]+)\$[0-9]+"))</f>
        <v/>
      </c>
      <c r="S88" s="7" t="str">
        <f t="array" aca="1" ref="S88" ca="1">IFERROR(IF(OR('Raw Data'!S88="",LEN(TRIM('Raw Data'!S88))=0),"",IF(AND(LEN('Raw Data'!S88) &lt;= 50,LEN('Raw Data'!S88)&gt; 0),"",_xlfn.REGEXEXTRACT(CELL("address",'Raw Data'!S88),"\$([A-Z]+)\$[0-9]+"))),_xlfn.REGEXEXTRACT(CELL("address",'Raw Data'!S88),"\$([A-Z]+)\$[0-9]+"))</f>
        <v/>
      </c>
      <c r="T88" s="7" t="str">
        <f t="array" aca="1" ref="T88" ca="1">IFERROR(IF(OR('Raw Data'!T88="",LEN(TRIM('Raw Data'!T88))=0),"",IF(AND(ISNUMBER('Raw Data'!T88), IFERROR('Raw Data'!T88 = ROUND('Raw Data'!T88, 2),FALSE)),"",_xlfn.REGEXEXTRACT(CELL("address",T88), "\$([A-Z]+)\$[0-9]+"))),_xlfn.REGEXEXTRACT(CELL("address",T88), "\$([A-Z]+)\$[0-9]+"))</f>
        <v/>
      </c>
      <c r="U88" s="7" t="str">
        <f t="array" aca="1" ref="U88" ca="1">IFERROR(IF(OR('Raw Data'!U88="",LEN(TRIM('Raw Data'!U88))=0),"",IF(AND(ISNUMBER('Raw Data'!U88), IFERROR('Raw Data'!U88 = ROUND('Raw Data'!U88, 2),FALSE)),"",_xlfn.REGEXEXTRACT(CELL("address",U88), "\$([A-Z]+)\$[0-9]+"))),_xlfn.REGEXEXTRACT(CELL("address",U88), "\$([A-Z]+)\$[0-9]+"))</f>
        <v/>
      </c>
      <c r="V88" s="7" t="str">
        <f t="array" aca="1" ref="V88" ca="1">IFERROR(IF(OR('Raw Data'!V88="",LEN(TRIM('Raw Data'!V88))=0),"",IF(AND(ISNUMBER('Raw Data'!V88), IFERROR('Raw Data'!V88 = ROUND('Raw Data'!V88, 2),FALSE)),"",_xlfn.REGEXEXTRACT(CELL("address",V88), "\$([A-Z]+)\$[0-9]+"))),_xlfn.REGEXEXTRACT(CELL("address",V88), "\$([A-Z]+)\$[0-9]+"))</f>
        <v/>
      </c>
      <c r="W88" s="7" t="str">
        <f t="array" aca="1" ref="W88" ca="1">IFERROR(IF(OR('Raw Data'!W88="",LEN(TRIM('Raw Data'!W88))=0),"",IF(AND(ISNUMBER('Raw Data'!W88), IFERROR('Raw Data'!W88 = ROUND('Raw Data'!W88, 2),FALSE)),"",_xlfn.REGEXEXTRACT(CELL("address",W88), "\$([A-Z]+)\$[0-9]+"))),_xlfn.REGEXEXTRACT(CELL("address",W88), "\$([A-Z]+)\$[0-9]+"))</f>
        <v/>
      </c>
      <c r="X88" s="7" t="str">
        <f t="array" aca="1" ref="X88" ca="1">IFERROR(IF(OR('Raw Data'!X88="",LEN(TRIM('Raw Data'!X88))=0),"",IF(AND(ISNUMBER('Raw Data'!X88), IFERROR('Raw Data'!X88 = ROUND('Raw Data'!X88, 2),FALSE)),"",_xlfn.REGEXEXTRACT(CELL("address",X88), "\$([A-Z]+)\$[0-9]+"))),_xlfn.REGEXEXTRACT(CELL("address",X88), "\$([A-Z]+)\$[0-9]+"))</f>
        <v/>
      </c>
      <c r="Y88" s="7" t="str">
        <f t="array" aca="1" ref="Y88" ca="1">IFERROR(IF(OR('Raw Data'!Y88="",LEN(TRIM('Raw Data'!Y88))=0),"",IF(AND(ISNUMBER('Raw Data'!Y88), IFERROR('Raw Data'!Y88 = ROUND('Raw Data'!Y88, 2),FALSE)),"",_xlfn.REGEXEXTRACT(CELL("address",Y88), "\$([A-Z]+)\$[0-9]+"))),_xlfn.REGEXEXTRACT(CELL("address",Y88), "\$([A-Z]+)\$[0-9]+"))</f>
        <v/>
      </c>
      <c r="Z88" s="7" t="str">
        <f t="array" aca="1" ref="Z88" ca="1">IFERROR(IF(OR('Raw Data'!Z88="",LEN(TRIM('Raw Data'!Z88))=0),"",IF(AND(ISNUMBER('Raw Data'!Z88), IFERROR('Raw Data'!Z88 = ROUND('Raw Data'!Z88, 2),FALSE)),"",_xlfn.REGEXEXTRACT(CELL("address",Z88), "\$([A-Z]+)\$[0-9]+"))),_xlfn.REGEXEXTRACT(CELL("address",Z88), "\$([A-Z]+)\$[0-9]+"))</f>
        <v/>
      </c>
      <c r="AA88" s="7" t="str">
        <f t="array" aca="1" ref="AA88" ca="1">IFERROR(IF(OR('Raw Data'!AA88="",LEN(TRIM('Raw Data'!AA88))=0),"",IF(AND(ISNUMBER('Raw Data'!AA88), IFERROR('Raw Data'!AA88 = ROUND('Raw Data'!AA88, 2),FALSE)),"",_xlfn.REGEXEXTRACT(CELL("address",AA88), "\$([A-Z]+)\$[0-9]+"))),_xlfn.REGEXEXTRACT(CELL("address",AA88), "\$([A-Z]+)\$[0-9]+"))</f>
        <v/>
      </c>
      <c r="AB88" s="7" t="str">
        <f t="array" aca="1" ref="AB88" ca="1">IFERROR(IF(OR('Raw Data'!AB88="",LEN(TRIM('Raw Data'!AB88))=0),"",IF(AND(ISNUMBER('Raw Data'!AB88), IFERROR('Raw Data'!AB88 = ROUND('Raw Data'!AB88, 2),FALSE)),"",_xlfn.REGEXEXTRACT(CELL("address",AB88), "\$([A-Z]+)\$[0-9]+"))),_xlfn.REGEXEXTRACT(CELL("address",AB88), "\$([A-Z]+)\$[0-9]+"))</f>
        <v/>
      </c>
      <c r="AC88" s="7" t="str">
        <f t="array" aca="1" ref="AC88" ca="1">IFERROR(IF(OR('Raw Data'!AC88="",LEN(TRIM('Raw Data'!AC88))=0),"",IF(AND(ISNUMBER('Raw Data'!AC88), IFERROR('Raw Data'!AC88 = ROUND('Raw Data'!AC88, 2),FALSE)),"",_xlfn.REGEXEXTRACT(CELL("address",AC88), "\$([A-Z]+)\$[0-9]+"))),_xlfn.REGEXEXTRACT(CELL("address",AC88), "\$([A-Z]+)\$[0-9]+"))</f>
        <v/>
      </c>
      <c r="AD88" s="7" t="str">
        <f t="array" aca="1" ref="AD88" ca="1">IFERROR(IF(OR('Raw Data'!AD88="",LEN(TRIM('Raw Data'!AD88))=0),"",IF(AND(ISNUMBER('Raw Data'!AD88), IFERROR('Raw Data'!AD88 = ROUND('Raw Data'!AD88, 2),FALSE)),"",_xlfn.REGEXEXTRACT(CELL("address",AD88), "\$([A-Z]+)\$[0-9]+"))),_xlfn.REGEXEXTRACT(CELL("address",AD88), "\$([A-Z]+)\$[0-9]+"))</f>
        <v/>
      </c>
      <c r="AE88" s="7" t="str">
        <f t="array" aca="1" ref="AE88" ca="1">IFERROR(IF(OR('Raw Data'!AE88="",LEN(TRIM('Raw Data'!AE88))=0),"",IF(AND(ISNUMBER('Raw Data'!AE88), IFERROR('Raw Data'!AE88 = ROUND('Raw Data'!AE88, 2),FALSE)),"",_xlfn.REGEXEXTRACT(CELL("address",AE88), "\$([A-Z]+)\$[0-9]+"))),_xlfn.REGEXEXTRACT(CELL("address",AE88), "\$([A-Z]+)\$[0-9]+"))</f>
        <v/>
      </c>
      <c r="AF88" s="7" t="str">
        <f t="array" aca="1" ref="AF88" ca="1">IFERROR(IF(OR('Raw Data'!AF88="",LEN(TRIM('Raw Data'!AF88))=0),"",IF(AND(ISNUMBER('Raw Data'!AF88), IFERROR('Raw Data'!AF88 = ROUND('Raw Data'!AF88, 2),FALSE)),"",_xlfn.REGEXEXTRACT(CELL("address",AF88), "\$([A-Z]+)\$[0-9]+"))),_xlfn.REGEXEXTRACT(CELL("address",AF88), "\$([A-Z]+)\$[0-9]+"))</f>
        <v/>
      </c>
      <c r="AG88" s="7" t="str">
        <f t="array" aca="1" ref="AG88" ca="1">IFERROR(IF(OR('Raw Data'!AG88="",LEN(TRIM('Raw Data'!AG88))=0),"",IF(AND(ISNUMBER('Raw Data'!AG88), IFERROR('Raw Data'!AG88 = ROUND('Raw Data'!AG88, 2),FALSE)),"",_xlfn.REGEXEXTRACT(CELL("address",AG88), "\$([A-Z]+)\$[0-9]+"))),_xlfn.REGEXEXTRACT(CELL("address",AG88), "\$([A-Z]+)\$[0-9]+"))</f>
        <v/>
      </c>
      <c r="AH88" s="7" t="str">
        <f t="array" aca="1" ref="AH88" ca="1">IFERROR(IF(OR('Raw Data'!AH88="",LEN(TRIM('Raw Data'!AH88))=0),"",IF(AND(ISNUMBER('Raw Data'!AH88), IFERROR('Raw Data'!AH88 = ROUND('Raw Data'!AH88, 2),FALSE)),"",_xlfn.REGEXEXTRACT(CELL("address",AH88), "\$([A-Z]+)\$[0-9]+"))),_xlfn.REGEXEXTRACT(CELL("address",AH88), "\$([A-Z]+)\$[0-9]+"))</f>
        <v/>
      </c>
      <c r="AI88" s="7" t="str">
        <f t="array" aca="1" ref="AI88" ca="1">IFERROR(IF(OR('Raw Data'!AI88="",LEN(TRIM('Raw Data'!AI88))=0),"",IF(AND(ISNUMBER('Raw Data'!AI88), IFERROR('Raw Data'!AI88 = ROUND('Raw Data'!AI88, 2),FALSE)),"",_xlfn.REGEXEXTRACT(CELL("address",AI88), "\$([A-Z]+)\$[0-9]+"))),_xlfn.REGEXEXTRACT(CELL("address",AI88), "\$([A-Z]+)\$[0-9]+"))</f>
        <v/>
      </c>
      <c r="AJ88" s="7" t="str">
        <f t="array" aca="1" ref="AJ88" ca="1">IFERROR(IF(OR('Raw Data'!AJ88="",LEN(TRIM('Raw Data'!AJ88))=0),"",IF(AND(ISNUMBER('Raw Data'!AJ88), IFERROR('Raw Data'!AJ88 = ROUND('Raw Data'!AJ88, 4),FALSE)),"",_xlfn.REGEXEXTRACT(CELL("address",AJ88), "\$([A-Z]+)\$[0-9]+"))),_xlfn.REGEXEXTRACT(CELL("address",AJ88), "\$([A-Z]+)\$[0-9]+"))</f>
        <v/>
      </c>
      <c r="AK88" s="7" t="str">
        <f t="array" aca="1" ref="AK88" ca="1">IFERROR(IF(OR('Raw Data'!AK88="",LEN(TRIM('Raw Data'!AK88))=0),"",IF(AND(ISNUMBER('Raw Data'!AK88), IFERROR('Raw Data'!AK88 = ROUND('Raw Data'!AK88, 2),FALSE)),"",_xlfn.REGEXEXTRACT(CELL("address",AK88), "\$([A-Z]+)\$[0-9]+"))),_xlfn.REGEXEXTRACT(CELL("address",AK88), "\$([A-Z]+)\$[0-9]+"))</f>
        <v/>
      </c>
      <c r="AL88" s="7" t="str">
        <f t="array" aca="1" ref="AL88" ca="1">IFERROR(IF(OR('Raw Data'!AL88="",LEN(TRIM('Raw Data'!AL88))=0),"",IF(AND(ISNUMBER('Raw Data'!AL88), IFERROR('Raw Data'!AL88 = ROUND('Raw Data'!AL88, 2),FALSE)),"",_xlfn.REGEXEXTRACT(CELL("address",AL88), "\$([A-Z]+)\$[0-9]+"))),_xlfn.REGEXEXTRACT(CELL("address",AL88), "\$([A-Z]+)\$[0-9]+"))</f>
        <v/>
      </c>
      <c r="AM88" s="7" t="str">
        <f t="array" aca="1" ref="AM88" ca="1">IFERROR(IF(OR('Raw Data'!AM88="",LEN(TRIM('Raw Data'!AM88))=0),"",IF(AND(ISNUMBER('Raw Data'!AM88), IFERROR('Raw Data'!AM88 = ROUND('Raw Data'!AM88, 2),FALSE)),"",_xlfn.REGEXEXTRACT(CELL("address",AM88), "\$([A-Z]+)\$[0-9]+"))),_xlfn.REGEXEXTRACT(CELL("address",AM88), "\$([A-Z]+)\$[0-9]+"))</f>
        <v/>
      </c>
      <c r="AN88" s="7" t="str">
        <f t="array" aca="1" ref="AN88" ca="1">IFERROR(IF(OR('Raw Data'!AN88="",LEN(TRIM('Raw Data'!AN88))=0),"",IF(AND(ISNUMBER('Raw Data'!AN88), IFERROR('Raw Data'!AN88 = ROUND('Raw Data'!AN88, 2),FALSE)),"",_xlfn.REGEXEXTRACT(CELL("address",AN88), "\$([A-Z]+)\$[0-9]+"))),_xlfn.REGEXEXTRACT(CELL("address",AN88), "\$([A-Z]+)\$[0-9]+"))</f>
        <v/>
      </c>
      <c r="AO88" s="7" t="str">
        <f t="array" aca="1" ref="AO88" ca="1">IFERROR(IF(OR('Raw Data'!AO88="",LEN(TRIM('Raw Data'!AO88))=0),"",IF(AND(ISNUMBER('Raw Data'!AO88), IFERROR('Raw Data'!AO88 = ROUND('Raw Data'!AO88, 2),FALSE)),"",_xlfn.REGEXEXTRACT(CELL("address",AO88), "\$([A-Z]+)\$[0-9]+"))),_xlfn.REGEXEXTRACT(CELL("address",AO88), "\$([A-Z]+)\$[0-9]+"))</f>
        <v/>
      </c>
      <c r="AP88" s="7" t="str">
        <f t="array" aca="1" ref="AP88" ca="1">IFERROR(IF(OR('Raw Data'!AP88="",LEN(TRIM('Raw Data'!AP88))=0),"",IF(AND(ISNUMBER('Raw Data'!AP88), IFERROR('Raw Data'!AP88 = ROUND('Raw Data'!AP88, 2),FALSE)),"",_xlfn.REGEXEXTRACT(CELL("address",AP88), "\$([A-Z]+)\$[0-9]+"))),_xlfn.REGEXEXTRACT(CELL("address",AP88), "\$([A-Z]+)\$[0-9]+"))</f>
        <v/>
      </c>
    </row>
    <row r="89" spans="2:42" x14ac:dyDescent="0.25">
      <c r="B89" s="7" t="str">
        <f t="array" aca="1" ref="B89" ca="1">IFERROR(IF(OR('Raw Data'!B89="",LEN(TRIM('Raw Data'!B89))=0),"",IF(AND(LEN('Raw Data'!B89) &lt;= 255,LEN('Raw Data'!B89)&gt; 0),"",_xlfn.REGEXEXTRACT(CELL("address",'Raw Data'!B89),"\$([A-Z]+)\$[0-9]+"))),_xlfn.REGEXEXTRACT(CELL("address",'Raw Data'!B89),"\$([A-Z]+)\$[0-9]+"))</f>
        <v/>
      </c>
      <c r="C89" s="7" t="str">
        <f t="array" aca="1" ref="C89" ca="1">IFERROR(IF(OR('Raw Data'!C89="",LEN(TRIM('Raw Data'!C89))=0),"",IF(AND(LEN('Raw Data'!C89) &lt;= 50,LEN('Raw Data'!C89)&gt; 0),"",_xlfn.REGEXEXTRACT(CELL("address",'Raw Data'!C89),"\$([A-Z]+)\$[0-9]+"))),_xlfn.REGEXEXTRACT(CELL("address",'Raw Data'!C89),"\$([A-Z]+)\$[0-9]+"))</f>
        <v/>
      </c>
      <c r="D89" s="7" t="str">
        <f t="array" aca="1" ref="D89" ca="1">IFERROR(IF(OR('Raw Data'!D89="",LEN(TRIM('Raw Data'!D89))=0),"",IF(AND(LEN('Raw Data'!D89) &lt;= 500,LEN('Raw Data'!D89)&gt; 0),"",_xlfn.REGEXEXTRACT(CELL("address",'Raw Data'!D89),"\$([A-Z]+)\$[0-9]+"))),_xlfn.REGEXEXTRACT(CELL("address",'Raw Data'!D89),"\$([A-Z]+)\$[0-9]+"))</f>
        <v/>
      </c>
      <c r="E89" s="7" t="str">
        <f t="array" aca="1" ref="E89" ca="1">IFERROR(IF(OR('Raw Data'!E89="",LEN(TRIM('Raw Data'!E89))=0),"",IF(AND(LEN('Raw Data'!E89) &lt;= 50,LEN('Raw Data'!E89)&gt; 0),"",_xlfn.REGEXEXTRACT(CELL("address",'Raw Data'!E89),"\$([A-Z]+)\$[0-9]+"))),_xlfn.REGEXEXTRACT(CELL("address",'Raw Data'!E89),"\$([A-Z]+)\$[0-9]+"))</f>
        <v/>
      </c>
      <c r="F89" s="7" t="str">
        <f t="array" aca="1" ref="F89" ca="1">IFERROR(IF(OR('Raw Data'!F89="",LEN(TRIM('Raw Data'!F89))=0),"",IF(AND(LEN('Raw Data'!F89) &lt;= 50,LEN('Raw Data'!F89)&gt; 0),"",_xlfn.REGEXEXTRACT(CELL("address",'Raw Data'!F89),"\$([A-Z]+)\$[0-9]+"))),_xlfn.REGEXEXTRACT(CELL("address",'Raw Data'!F89),"\$([A-Z]+)\$[0-9]+"))</f>
        <v/>
      </c>
      <c r="G89" s="7" t="str">
        <f t="array" aca="1" ref="G89" ca="1">IFERROR(IF(OR('Raw Data'!G89="",LEN(TRIM('Raw Data'!G89))=0),"",IF(AND(LEN('Raw Data'!G89) &lt;= 50,LEN('Raw Data'!G89)&gt; 0),"",_xlfn.REGEXEXTRACT(CELL("address",'Raw Data'!G89),"\$([A-Z]+)\$[0-9]+"))),_xlfn.REGEXEXTRACT(CELL("address",'Raw Data'!G89),"\$([A-Z]+)\$[0-9]+"))</f>
        <v/>
      </c>
      <c r="H89" s="7" t="str">
        <f t="array" aca="1" ref="H89" ca="1">IFERROR(IF(OR('Raw Data'!H89="",LEN(TRIM('Raw Data'!H89))=0),"",IF(AND(LEN('Raw Data'!H89) &lt;= 50,LEN('Raw Data'!H89)&gt; 0),"",_xlfn.REGEXEXTRACT(CELL("address",'Raw Data'!H89),"\$([A-Z]+)\$[0-9]+"))),_xlfn.REGEXEXTRACT(CELL("address",'Raw Data'!H89),"\$([A-Z]+)\$[0-9]+"))</f>
        <v/>
      </c>
      <c r="I89" s="7" t="str">
        <f t="array" aca="1" ref="I89" ca="1">IFERROR(IF(OR('Raw Data'!I89="",LEN(TRIM('Raw Data'!I89))=0),"",IF(AND(LEN('Raw Data'!I89) &lt;= 50,LEN('Raw Data'!I89)&gt; 0),"",_xlfn.REGEXEXTRACT(CELL("address",'Raw Data'!I89),"\$([A-Z]+)\$[0-9]+"))),_xlfn.REGEXEXTRACT(CELL("address",'Raw Data'!I89),"\$([A-Z]+)\$[0-9]+"))</f>
        <v/>
      </c>
      <c r="J89" s="7" t="str">
        <f t="array" aca="1" ref="J89" ca="1">IFERROR(IF(OR('Raw Data'!J89="",LEN(TRIM('Raw Data'!J89))=0),"",IF(AND(ISNUMBER('Raw Data'!J89), IFERROR('Raw Data'!J89 = ROUND('Raw Data'!J89, 2),FALSE)),"",_xlfn.REGEXEXTRACT(CELL("address",J89), "\$([A-Z]+)\$[0-9]+"))),_xlfn.REGEXEXTRACT(CELL("address",J89), "\$([A-Z]+)\$[0-9]+"))</f>
        <v/>
      </c>
      <c r="K89" s="7" t="str">
        <f t="array" aca="1" ref="K89" ca="1">IFERROR(IF(OR('Raw Data'!K89="",LEN(TRIM('Raw Data'!K89))=0),"",IF(AND(ISNUMBER('Raw Data'!K89), IFERROR('Raw Data'!K89 = ROUND('Raw Data'!K89, 2),FALSE)),"",_xlfn.REGEXEXTRACT(CELL("address",K89), "\$([A-Z]+)\$[0-9]+"))),_xlfn.REGEXEXTRACT(CELL("address",K89), "\$([A-Z]+)\$[0-9]+"))</f>
        <v/>
      </c>
      <c r="L89" s="7" t="str">
        <f t="array" aca="1" ref="L89" ca="1">IFERROR(IF(OR('Raw Data'!L89="",LEN(TRIM('Raw Data'!L89))=0),"",IF(AND(ISNUMBER('Raw Data'!L89), IFERROR('Raw Data'!L89 = ROUND('Raw Data'!L89, 2),FALSE)),"",_xlfn.REGEXEXTRACT(CELL("address",L89), "\$([A-Z]+)\$[0-9]+"))),_xlfn.REGEXEXTRACT(CELL("address",L89), "\$([A-Z]+)\$[0-9]+"))</f>
        <v/>
      </c>
      <c r="M89" s="7" t="str">
        <f t="array" aca="1" ref="M89" ca="1">IFERROR(IF(OR('Raw Data'!M89="",LEN(TRIM('Raw Data'!M89))=0),"",IF(AND(ISNUMBER('Raw Data'!M89), IFERROR('Raw Data'!M89 = ROUND('Raw Data'!M89, 2),FALSE)),"",_xlfn.REGEXEXTRACT(CELL("address",M89), "\$([A-Z]+)\$[0-9]+"))),_xlfn.REGEXEXTRACT(CELL("address",M89), "\$([A-Z]+)\$[0-9]+"))</f>
        <v/>
      </c>
      <c r="N89" s="7" t="str">
        <f t="array" aca="1" ref="N89" ca="1">IFERROR(IF(OR('Raw Data'!N89="",LEN(TRIM('Raw Data'!N89))=0),"",IF(AND(ISNUMBER('Raw Data'!N89), IFERROR('Raw Data'!N89 = ROUND('Raw Data'!N89, 2),FALSE)),"",_xlfn.REGEXEXTRACT(CELL("address",N89), "\$([A-Z]+)\$[0-9]+"))),_xlfn.REGEXEXTRACT(CELL("address",N89), "\$([A-Z]+)\$[0-9]+"))</f>
        <v/>
      </c>
      <c r="O89" s="7" t="str">
        <f t="array" aca="1" ref="O89" ca="1">IFERROR(IF(OR('Raw Data'!O89="",LEN(TRIM('Raw Data'!O89))=0),"",IF(AND(ISNUMBER('Raw Data'!O89),'Raw Data'!O89&gt;=Configuration!$D$2),"",_xlfn.REGEXEXTRACT(CELL("address",'Raw Data'!O89),"\$([A-Z]+)\$[0-9]+"))),_xlfn.REGEXEXTRACT(CELL("address",O89), "\$([A-Z]+)\$[0-9]+"))</f>
        <v/>
      </c>
      <c r="P89" s="7" t="str">
        <f t="array" aca="1" ref="P89" ca="1">IFERROR(IF(OR('Raw Data'!P89="",LEN(TRIM('Raw Data'!P89))=0),"",IF(AND(ISNUMBER('Raw Data'!P89), IFERROR('Raw Data'!P89 = ROUND('Raw Data'!P89, 2),FALSE)),"",_xlfn.REGEXEXTRACT(CELL("address",P89), "\$([A-Z]+)\$[0-9]+"))),_xlfn.REGEXEXTRACT(CELL("address",P89), "\$([A-Z]+)\$[0-9]+"))</f>
        <v/>
      </c>
      <c r="Q89" s="7" t="str">
        <f t="array" aca="1" ref="Q89" ca="1">IFERROR(IF(OR('Raw Data'!Q89="",LEN(TRIM('Raw Data'!Q89))=0),"",IF(AND(ISNUMBER('Raw Data'!Q89), IFERROR('Raw Data'!Q89 = ROUND('Raw Data'!Q89, 2),FALSE)),"",_xlfn.REGEXEXTRACT(CELL("address",Q89), "\$([A-Z]+)\$[0-9]+"))),_xlfn.REGEXEXTRACT(CELL("address",Q89), "\$([A-Z]+)\$[0-9]+"))</f>
        <v/>
      </c>
      <c r="R89" s="7" t="str">
        <f t="array" aca="1" ref="R89" ca="1">IFERROR(IF(OR('Raw Data'!R89="",LEN(TRIM('Raw Data'!R89))=0),"",IF(AND(LEN('Raw Data'!R89) &lt;= 50,LEN('Raw Data'!R89)&gt; 0),"",_xlfn.REGEXEXTRACT(CELL("address",'Raw Data'!R89),"\$([A-Z]+)\$[0-9]+"))),_xlfn.REGEXEXTRACT(CELL("address",'Raw Data'!R89),"\$([A-Z]+)\$[0-9]+"))</f>
        <v/>
      </c>
      <c r="S89" s="7" t="str">
        <f t="array" aca="1" ref="S89" ca="1">IFERROR(IF(OR('Raw Data'!S89="",LEN(TRIM('Raw Data'!S89))=0),"",IF(AND(LEN('Raw Data'!S89) &lt;= 50,LEN('Raw Data'!S89)&gt; 0),"",_xlfn.REGEXEXTRACT(CELL("address",'Raw Data'!S89),"\$([A-Z]+)\$[0-9]+"))),_xlfn.REGEXEXTRACT(CELL("address",'Raw Data'!S89),"\$([A-Z]+)\$[0-9]+"))</f>
        <v/>
      </c>
      <c r="T89" s="7" t="str">
        <f t="array" aca="1" ref="T89" ca="1">IFERROR(IF(OR('Raw Data'!T89="",LEN(TRIM('Raw Data'!T89))=0),"",IF(AND(ISNUMBER('Raw Data'!T89), IFERROR('Raw Data'!T89 = ROUND('Raw Data'!T89, 2),FALSE)),"",_xlfn.REGEXEXTRACT(CELL("address",T89), "\$([A-Z]+)\$[0-9]+"))),_xlfn.REGEXEXTRACT(CELL("address",T89), "\$([A-Z]+)\$[0-9]+"))</f>
        <v/>
      </c>
      <c r="U89" s="7" t="str">
        <f t="array" aca="1" ref="U89" ca="1">IFERROR(IF(OR('Raw Data'!U89="",LEN(TRIM('Raw Data'!U89))=0),"",IF(AND(ISNUMBER('Raw Data'!U89), IFERROR('Raw Data'!U89 = ROUND('Raw Data'!U89, 2),FALSE)),"",_xlfn.REGEXEXTRACT(CELL("address",U89), "\$([A-Z]+)\$[0-9]+"))),_xlfn.REGEXEXTRACT(CELL("address",U89), "\$([A-Z]+)\$[0-9]+"))</f>
        <v/>
      </c>
      <c r="V89" s="7" t="str">
        <f t="array" aca="1" ref="V89" ca="1">IFERROR(IF(OR('Raw Data'!V89="",LEN(TRIM('Raw Data'!V89))=0),"",IF(AND(ISNUMBER('Raw Data'!V89), IFERROR('Raw Data'!V89 = ROUND('Raw Data'!V89, 2),FALSE)),"",_xlfn.REGEXEXTRACT(CELL("address",V89), "\$([A-Z]+)\$[0-9]+"))),_xlfn.REGEXEXTRACT(CELL("address",V89), "\$([A-Z]+)\$[0-9]+"))</f>
        <v/>
      </c>
      <c r="W89" s="7" t="str">
        <f t="array" aca="1" ref="W89" ca="1">IFERROR(IF(OR('Raw Data'!W89="",LEN(TRIM('Raw Data'!W89))=0),"",IF(AND(ISNUMBER('Raw Data'!W89), IFERROR('Raw Data'!W89 = ROUND('Raw Data'!W89, 2),FALSE)),"",_xlfn.REGEXEXTRACT(CELL("address",W89), "\$([A-Z]+)\$[0-9]+"))),_xlfn.REGEXEXTRACT(CELL("address",W89), "\$([A-Z]+)\$[0-9]+"))</f>
        <v/>
      </c>
      <c r="X89" s="7" t="str">
        <f t="array" aca="1" ref="X89" ca="1">IFERROR(IF(OR('Raw Data'!X89="",LEN(TRIM('Raw Data'!X89))=0),"",IF(AND(ISNUMBER('Raw Data'!X89), IFERROR('Raw Data'!X89 = ROUND('Raw Data'!X89, 2),FALSE)),"",_xlfn.REGEXEXTRACT(CELL("address",X89), "\$([A-Z]+)\$[0-9]+"))),_xlfn.REGEXEXTRACT(CELL("address",X89), "\$([A-Z]+)\$[0-9]+"))</f>
        <v/>
      </c>
      <c r="Y89" s="7" t="str">
        <f t="array" aca="1" ref="Y89" ca="1">IFERROR(IF(OR('Raw Data'!Y89="",LEN(TRIM('Raw Data'!Y89))=0),"",IF(AND(ISNUMBER('Raw Data'!Y89), IFERROR('Raw Data'!Y89 = ROUND('Raw Data'!Y89, 2),FALSE)),"",_xlfn.REGEXEXTRACT(CELL("address",Y89), "\$([A-Z]+)\$[0-9]+"))),_xlfn.REGEXEXTRACT(CELL("address",Y89), "\$([A-Z]+)\$[0-9]+"))</f>
        <v/>
      </c>
      <c r="Z89" s="7" t="str">
        <f t="array" aca="1" ref="Z89" ca="1">IFERROR(IF(OR('Raw Data'!Z89="",LEN(TRIM('Raw Data'!Z89))=0),"",IF(AND(ISNUMBER('Raw Data'!Z89), IFERROR('Raw Data'!Z89 = ROUND('Raw Data'!Z89, 2),FALSE)),"",_xlfn.REGEXEXTRACT(CELL("address",Z89), "\$([A-Z]+)\$[0-9]+"))),_xlfn.REGEXEXTRACT(CELL("address",Z89), "\$([A-Z]+)\$[0-9]+"))</f>
        <v/>
      </c>
      <c r="AA89" s="7" t="str">
        <f t="array" aca="1" ref="AA89" ca="1">IFERROR(IF(OR('Raw Data'!AA89="",LEN(TRIM('Raw Data'!AA89))=0),"",IF(AND(ISNUMBER('Raw Data'!AA89), IFERROR('Raw Data'!AA89 = ROUND('Raw Data'!AA89, 2),FALSE)),"",_xlfn.REGEXEXTRACT(CELL("address",AA89), "\$([A-Z]+)\$[0-9]+"))),_xlfn.REGEXEXTRACT(CELL("address",AA89), "\$([A-Z]+)\$[0-9]+"))</f>
        <v/>
      </c>
      <c r="AB89" s="7" t="str">
        <f t="array" aca="1" ref="AB89" ca="1">IFERROR(IF(OR('Raw Data'!AB89="",LEN(TRIM('Raw Data'!AB89))=0),"",IF(AND(ISNUMBER('Raw Data'!AB89), IFERROR('Raw Data'!AB89 = ROUND('Raw Data'!AB89, 2),FALSE)),"",_xlfn.REGEXEXTRACT(CELL("address",AB89), "\$([A-Z]+)\$[0-9]+"))),_xlfn.REGEXEXTRACT(CELL("address",AB89), "\$([A-Z]+)\$[0-9]+"))</f>
        <v/>
      </c>
      <c r="AC89" s="7" t="str">
        <f t="array" aca="1" ref="AC89" ca="1">IFERROR(IF(OR('Raw Data'!AC89="",LEN(TRIM('Raw Data'!AC89))=0),"",IF(AND(ISNUMBER('Raw Data'!AC89), IFERROR('Raw Data'!AC89 = ROUND('Raw Data'!AC89, 2),FALSE)),"",_xlfn.REGEXEXTRACT(CELL("address",AC89), "\$([A-Z]+)\$[0-9]+"))),_xlfn.REGEXEXTRACT(CELL("address",AC89), "\$([A-Z]+)\$[0-9]+"))</f>
        <v/>
      </c>
      <c r="AD89" s="7" t="str">
        <f t="array" aca="1" ref="AD89" ca="1">IFERROR(IF(OR('Raw Data'!AD89="",LEN(TRIM('Raw Data'!AD89))=0),"",IF(AND(ISNUMBER('Raw Data'!AD89), IFERROR('Raw Data'!AD89 = ROUND('Raw Data'!AD89, 2),FALSE)),"",_xlfn.REGEXEXTRACT(CELL("address",AD89), "\$([A-Z]+)\$[0-9]+"))),_xlfn.REGEXEXTRACT(CELL("address",AD89), "\$([A-Z]+)\$[0-9]+"))</f>
        <v/>
      </c>
      <c r="AE89" s="7" t="str">
        <f t="array" aca="1" ref="AE89" ca="1">IFERROR(IF(OR('Raw Data'!AE89="",LEN(TRIM('Raw Data'!AE89))=0),"",IF(AND(ISNUMBER('Raw Data'!AE89), IFERROR('Raw Data'!AE89 = ROUND('Raw Data'!AE89, 2),FALSE)),"",_xlfn.REGEXEXTRACT(CELL("address",AE89), "\$([A-Z]+)\$[0-9]+"))),_xlfn.REGEXEXTRACT(CELL("address",AE89), "\$([A-Z]+)\$[0-9]+"))</f>
        <v/>
      </c>
      <c r="AF89" s="7" t="str">
        <f t="array" aca="1" ref="AF89" ca="1">IFERROR(IF(OR('Raw Data'!AF89="",LEN(TRIM('Raw Data'!AF89))=0),"",IF(AND(ISNUMBER('Raw Data'!AF89), IFERROR('Raw Data'!AF89 = ROUND('Raw Data'!AF89, 2),FALSE)),"",_xlfn.REGEXEXTRACT(CELL("address",AF89), "\$([A-Z]+)\$[0-9]+"))),_xlfn.REGEXEXTRACT(CELL("address",AF89), "\$([A-Z]+)\$[0-9]+"))</f>
        <v/>
      </c>
      <c r="AG89" s="7" t="str">
        <f t="array" aca="1" ref="AG89" ca="1">IFERROR(IF(OR('Raw Data'!AG89="",LEN(TRIM('Raw Data'!AG89))=0),"",IF(AND(ISNUMBER('Raw Data'!AG89), IFERROR('Raw Data'!AG89 = ROUND('Raw Data'!AG89, 2),FALSE)),"",_xlfn.REGEXEXTRACT(CELL("address",AG89), "\$([A-Z]+)\$[0-9]+"))),_xlfn.REGEXEXTRACT(CELL("address",AG89), "\$([A-Z]+)\$[0-9]+"))</f>
        <v/>
      </c>
      <c r="AH89" s="7" t="str">
        <f t="array" aca="1" ref="AH89" ca="1">IFERROR(IF(OR('Raw Data'!AH89="",LEN(TRIM('Raw Data'!AH89))=0),"",IF(AND(ISNUMBER('Raw Data'!AH89), IFERROR('Raw Data'!AH89 = ROUND('Raw Data'!AH89, 2),FALSE)),"",_xlfn.REGEXEXTRACT(CELL("address",AH89), "\$([A-Z]+)\$[0-9]+"))),_xlfn.REGEXEXTRACT(CELL("address",AH89), "\$([A-Z]+)\$[0-9]+"))</f>
        <v/>
      </c>
      <c r="AI89" s="7" t="str">
        <f t="array" aca="1" ref="AI89" ca="1">IFERROR(IF(OR('Raw Data'!AI89="",LEN(TRIM('Raw Data'!AI89))=0),"",IF(AND(ISNUMBER('Raw Data'!AI89), IFERROR('Raw Data'!AI89 = ROUND('Raw Data'!AI89, 2),FALSE)),"",_xlfn.REGEXEXTRACT(CELL("address",AI89), "\$([A-Z]+)\$[0-9]+"))),_xlfn.REGEXEXTRACT(CELL("address",AI89), "\$([A-Z]+)\$[0-9]+"))</f>
        <v/>
      </c>
      <c r="AJ89" s="7" t="str">
        <f t="array" aca="1" ref="AJ89" ca="1">IFERROR(IF(OR('Raw Data'!AJ89="",LEN(TRIM('Raw Data'!AJ89))=0),"",IF(AND(ISNUMBER('Raw Data'!AJ89), IFERROR('Raw Data'!AJ89 = ROUND('Raw Data'!AJ89, 4),FALSE)),"",_xlfn.REGEXEXTRACT(CELL("address",AJ89), "\$([A-Z]+)\$[0-9]+"))),_xlfn.REGEXEXTRACT(CELL("address",AJ89), "\$([A-Z]+)\$[0-9]+"))</f>
        <v/>
      </c>
      <c r="AK89" s="7" t="str">
        <f t="array" aca="1" ref="AK89" ca="1">IFERROR(IF(OR('Raw Data'!AK89="",LEN(TRIM('Raw Data'!AK89))=0),"",IF(AND(ISNUMBER('Raw Data'!AK89), IFERROR('Raw Data'!AK89 = ROUND('Raw Data'!AK89, 2),FALSE)),"",_xlfn.REGEXEXTRACT(CELL("address",AK89), "\$([A-Z]+)\$[0-9]+"))),_xlfn.REGEXEXTRACT(CELL("address",AK89), "\$([A-Z]+)\$[0-9]+"))</f>
        <v/>
      </c>
      <c r="AL89" s="7" t="str">
        <f t="array" aca="1" ref="AL89" ca="1">IFERROR(IF(OR('Raw Data'!AL89="",LEN(TRIM('Raw Data'!AL89))=0),"",IF(AND(ISNUMBER('Raw Data'!AL89), IFERROR('Raw Data'!AL89 = ROUND('Raw Data'!AL89, 2),FALSE)),"",_xlfn.REGEXEXTRACT(CELL("address",AL89), "\$([A-Z]+)\$[0-9]+"))),_xlfn.REGEXEXTRACT(CELL("address",AL89), "\$([A-Z]+)\$[0-9]+"))</f>
        <v/>
      </c>
      <c r="AM89" s="7" t="str">
        <f t="array" aca="1" ref="AM89" ca="1">IFERROR(IF(OR('Raw Data'!AM89="",LEN(TRIM('Raw Data'!AM89))=0),"",IF(AND(ISNUMBER('Raw Data'!AM89), IFERROR('Raw Data'!AM89 = ROUND('Raw Data'!AM89, 2),FALSE)),"",_xlfn.REGEXEXTRACT(CELL("address",AM89), "\$([A-Z]+)\$[0-9]+"))),_xlfn.REGEXEXTRACT(CELL("address",AM89), "\$([A-Z]+)\$[0-9]+"))</f>
        <v/>
      </c>
      <c r="AN89" s="7" t="str">
        <f t="array" aca="1" ref="AN89" ca="1">IFERROR(IF(OR('Raw Data'!AN89="",LEN(TRIM('Raw Data'!AN89))=0),"",IF(AND(ISNUMBER('Raw Data'!AN89), IFERROR('Raw Data'!AN89 = ROUND('Raw Data'!AN89, 2),FALSE)),"",_xlfn.REGEXEXTRACT(CELL("address",AN89), "\$([A-Z]+)\$[0-9]+"))),_xlfn.REGEXEXTRACT(CELL("address",AN89), "\$([A-Z]+)\$[0-9]+"))</f>
        <v/>
      </c>
      <c r="AO89" s="7" t="str">
        <f t="array" aca="1" ref="AO89" ca="1">IFERROR(IF(OR('Raw Data'!AO89="",LEN(TRIM('Raw Data'!AO89))=0),"",IF(AND(ISNUMBER('Raw Data'!AO89), IFERROR('Raw Data'!AO89 = ROUND('Raw Data'!AO89, 2),FALSE)),"",_xlfn.REGEXEXTRACT(CELL("address",AO89), "\$([A-Z]+)\$[0-9]+"))),_xlfn.REGEXEXTRACT(CELL("address",AO89), "\$([A-Z]+)\$[0-9]+"))</f>
        <v/>
      </c>
      <c r="AP89" s="7" t="str">
        <f t="array" aca="1" ref="AP89" ca="1">IFERROR(IF(OR('Raw Data'!AP89="",LEN(TRIM('Raw Data'!AP89))=0),"",IF(AND(ISNUMBER('Raw Data'!AP89), IFERROR('Raw Data'!AP89 = ROUND('Raw Data'!AP89, 2),FALSE)),"",_xlfn.REGEXEXTRACT(CELL("address",AP89), "\$([A-Z]+)\$[0-9]+"))),_xlfn.REGEXEXTRACT(CELL("address",AP89), "\$([A-Z]+)\$[0-9]+"))</f>
        <v/>
      </c>
    </row>
    <row r="90" spans="2:42" x14ac:dyDescent="0.25">
      <c r="B90" s="7" t="str">
        <f t="array" aca="1" ref="B90" ca="1">IFERROR(IF(OR('Raw Data'!B90="",LEN(TRIM('Raw Data'!B90))=0),"",IF(AND(LEN('Raw Data'!B90) &lt;= 255,LEN('Raw Data'!B90)&gt; 0),"",_xlfn.REGEXEXTRACT(CELL("address",'Raw Data'!B90),"\$([A-Z]+)\$[0-9]+"))),_xlfn.REGEXEXTRACT(CELL("address",'Raw Data'!B90),"\$([A-Z]+)\$[0-9]+"))</f>
        <v/>
      </c>
      <c r="C90" s="7" t="str">
        <f t="array" aca="1" ref="C90" ca="1">IFERROR(IF(OR('Raw Data'!C90="",LEN(TRIM('Raw Data'!C90))=0),"",IF(AND(LEN('Raw Data'!C90) &lt;= 50,LEN('Raw Data'!C90)&gt; 0),"",_xlfn.REGEXEXTRACT(CELL("address",'Raw Data'!C90),"\$([A-Z]+)\$[0-9]+"))),_xlfn.REGEXEXTRACT(CELL("address",'Raw Data'!C90),"\$([A-Z]+)\$[0-9]+"))</f>
        <v/>
      </c>
      <c r="D90" s="7" t="str">
        <f t="array" aca="1" ref="D90" ca="1">IFERROR(IF(OR('Raw Data'!D90="",LEN(TRIM('Raw Data'!D90))=0),"",IF(AND(LEN('Raw Data'!D90) &lt;= 500,LEN('Raw Data'!D90)&gt; 0),"",_xlfn.REGEXEXTRACT(CELL("address",'Raw Data'!D90),"\$([A-Z]+)\$[0-9]+"))),_xlfn.REGEXEXTRACT(CELL("address",'Raw Data'!D90),"\$([A-Z]+)\$[0-9]+"))</f>
        <v/>
      </c>
      <c r="E90" s="7" t="str">
        <f t="array" aca="1" ref="E90" ca="1">IFERROR(IF(OR('Raw Data'!E90="",LEN(TRIM('Raw Data'!E90))=0),"",IF(AND(LEN('Raw Data'!E90) &lt;= 50,LEN('Raw Data'!E90)&gt; 0),"",_xlfn.REGEXEXTRACT(CELL("address",'Raw Data'!E90),"\$([A-Z]+)\$[0-9]+"))),_xlfn.REGEXEXTRACT(CELL("address",'Raw Data'!E90),"\$([A-Z]+)\$[0-9]+"))</f>
        <v/>
      </c>
      <c r="F90" s="7" t="str">
        <f t="array" aca="1" ref="F90" ca="1">IFERROR(IF(OR('Raw Data'!F90="",LEN(TRIM('Raw Data'!F90))=0),"",IF(AND(LEN('Raw Data'!F90) &lt;= 50,LEN('Raw Data'!F90)&gt; 0),"",_xlfn.REGEXEXTRACT(CELL("address",'Raw Data'!F90),"\$([A-Z]+)\$[0-9]+"))),_xlfn.REGEXEXTRACT(CELL("address",'Raw Data'!F90),"\$([A-Z]+)\$[0-9]+"))</f>
        <v/>
      </c>
      <c r="G90" s="7" t="str">
        <f t="array" aca="1" ref="G90" ca="1">IFERROR(IF(OR('Raw Data'!G90="",LEN(TRIM('Raw Data'!G90))=0),"",IF(AND(LEN('Raw Data'!G90) &lt;= 50,LEN('Raw Data'!G90)&gt; 0),"",_xlfn.REGEXEXTRACT(CELL("address",'Raw Data'!G90),"\$([A-Z]+)\$[0-9]+"))),_xlfn.REGEXEXTRACT(CELL("address",'Raw Data'!G90),"\$([A-Z]+)\$[0-9]+"))</f>
        <v/>
      </c>
      <c r="H90" s="7" t="str">
        <f t="array" aca="1" ref="H90" ca="1">IFERROR(IF(OR('Raw Data'!H90="",LEN(TRIM('Raw Data'!H90))=0),"",IF(AND(LEN('Raw Data'!H90) &lt;= 50,LEN('Raw Data'!H90)&gt; 0),"",_xlfn.REGEXEXTRACT(CELL("address",'Raw Data'!H90),"\$([A-Z]+)\$[0-9]+"))),_xlfn.REGEXEXTRACT(CELL("address",'Raw Data'!H90),"\$([A-Z]+)\$[0-9]+"))</f>
        <v/>
      </c>
      <c r="I90" s="7" t="str">
        <f t="array" aca="1" ref="I90" ca="1">IFERROR(IF(OR('Raw Data'!I90="",LEN(TRIM('Raw Data'!I90))=0),"",IF(AND(LEN('Raw Data'!I90) &lt;= 50,LEN('Raw Data'!I90)&gt; 0),"",_xlfn.REGEXEXTRACT(CELL("address",'Raw Data'!I90),"\$([A-Z]+)\$[0-9]+"))),_xlfn.REGEXEXTRACT(CELL("address",'Raw Data'!I90),"\$([A-Z]+)\$[0-9]+"))</f>
        <v/>
      </c>
      <c r="J90" s="7" t="str">
        <f t="array" aca="1" ref="J90" ca="1">IFERROR(IF(OR('Raw Data'!J90="",LEN(TRIM('Raw Data'!J90))=0),"",IF(AND(ISNUMBER('Raw Data'!J90), IFERROR('Raw Data'!J90 = ROUND('Raw Data'!J90, 2),FALSE)),"",_xlfn.REGEXEXTRACT(CELL("address",J90), "\$([A-Z]+)\$[0-9]+"))),_xlfn.REGEXEXTRACT(CELL("address",J90), "\$([A-Z]+)\$[0-9]+"))</f>
        <v/>
      </c>
      <c r="K90" s="7" t="str">
        <f t="array" aca="1" ref="K90" ca="1">IFERROR(IF(OR('Raw Data'!K90="",LEN(TRIM('Raw Data'!K90))=0),"",IF(AND(ISNUMBER('Raw Data'!K90), IFERROR('Raw Data'!K90 = ROUND('Raw Data'!K90, 2),FALSE)),"",_xlfn.REGEXEXTRACT(CELL("address",K90), "\$([A-Z]+)\$[0-9]+"))),_xlfn.REGEXEXTRACT(CELL("address",K90), "\$([A-Z]+)\$[0-9]+"))</f>
        <v/>
      </c>
      <c r="L90" s="7" t="str">
        <f t="array" aca="1" ref="L90" ca="1">IFERROR(IF(OR('Raw Data'!L90="",LEN(TRIM('Raw Data'!L90))=0),"",IF(AND(ISNUMBER('Raw Data'!L90), IFERROR('Raw Data'!L90 = ROUND('Raw Data'!L90, 2),FALSE)),"",_xlfn.REGEXEXTRACT(CELL("address",L90), "\$([A-Z]+)\$[0-9]+"))),_xlfn.REGEXEXTRACT(CELL("address",L90), "\$([A-Z]+)\$[0-9]+"))</f>
        <v/>
      </c>
      <c r="M90" s="7" t="str">
        <f t="array" aca="1" ref="M90" ca="1">IFERROR(IF(OR('Raw Data'!M90="",LEN(TRIM('Raw Data'!M90))=0),"",IF(AND(ISNUMBER('Raw Data'!M90), IFERROR('Raw Data'!M90 = ROUND('Raw Data'!M90, 2),FALSE)),"",_xlfn.REGEXEXTRACT(CELL("address",M90), "\$([A-Z]+)\$[0-9]+"))),_xlfn.REGEXEXTRACT(CELL("address",M90), "\$([A-Z]+)\$[0-9]+"))</f>
        <v/>
      </c>
      <c r="N90" s="7" t="str">
        <f t="array" aca="1" ref="N90" ca="1">IFERROR(IF(OR('Raw Data'!N90="",LEN(TRIM('Raw Data'!N90))=0),"",IF(AND(ISNUMBER('Raw Data'!N90), IFERROR('Raw Data'!N90 = ROUND('Raw Data'!N90, 2),FALSE)),"",_xlfn.REGEXEXTRACT(CELL("address",N90), "\$([A-Z]+)\$[0-9]+"))),_xlfn.REGEXEXTRACT(CELL("address",N90), "\$([A-Z]+)\$[0-9]+"))</f>
        <v/>
      </c>
      <c r="O90" s="7" t="str">
        <f t="array" aca="1" ref="O90" ca="1">IFERROR(IF(OR('Raw Data'!O90="",LEN(TRIM('Raw Data'!O90))=0),"",IF(AND(ISNUMBER('Raw Data'!O90),'Raw Data'!O90&gt;=Configuration!$D$2),"",_xlfn.REGEXEXTRACT(CELL("address",'Raw Data'!O90),"\$([A-Z]+)\$[0-9]+"))),_xlfn.REGEXEXTRACT(CELL("address",O90), "\$([A-Z]+)\$[0-9]+"))</f>
        <v/>
      </c>
      <c r="P90" s="7" t="str">
        <f t="array" aca="1" ref="P90" ca="1">IFERROR(IF(OR('Raw Data'!P90="",LEN(TRIM('Raw Data'!P90))=0),"",IF(AND(ISNUMBER('Raw Data'!P90), IFERROR('Raw Data'!P90 = ROUND('Raw Data'!P90, 2),FALSE)),"",_xlfn.REGEXEXTRACT(CELL("address",P90), "\$([A-Z]+)\$[0-9]+"))),_xlfn.REGEXEXTRACT(CELL("address",P90), "\$([A-Z]+)\$[0-9]+"))</f>
        <v/>
      </c>
      <c r="Q90" s="7" t="str">
        <f t="array" aca="1" ref="Q90" ca="1">IFERROR(IF(OR('Raw Data'!Q90="",LEN(TRIM('Raw Data'!Q90))=0),"",IF(AND(ISNUMBER('Raw Data'!Q90), IFERROR('Raw Data'!Q90 = ROUND('Raw Data'!Q90, 2),FALSE)),"",_xlfn.REGEXEXTRACT(CELL("address",Q90), "\$([A-Z]+)\$[0-9]+"))),_xlfn.REGEXEXTRACT(CELL("address",Q90), "\$([A-Z]+)\$[0-9]+"))</f>
        <v/>
      </c>
      <c r="R90" s="7" t="str">
        <f t="array" aca="1" ref="R90" ca="1">IFERROR(IF(OR('Raw Data'!R90="",LEN(TRIM('Raw Data'!R90))=0),"",IF(AND(LEN('Raw Data'!R90) &lt;= 50,LEN('Raw Data'!R90)&gt; 0),"",_xlfn.REGEXEXTRACT(CELL("address",'Raw Data'!R90),"\$([A-Z]+)\$[0-9]+"))),_xlfn.REGEXEXTRACT(CELL("address",'Raw Data'!R90),"\$([A-Z]+)\$[0-9]+"))</f>
        <v/>
      </c>
      <c r="S90" s="7" t="str">
        <f t="array" aca="1" ref="S90" ca="1">IFERROR(IF(OR('Raw Data'!S90="",LEN(TRIM('Raw Data'!S90))=0),"",IF(AND(LEN('Raw Data'!S90) &lt;= 50,LEN('Raw Data'!S90)&gt; 0),"",_xlfn.REGEXEXTRACT(CELL("address",'Raw Data'!S90),"\$([A-Z]+)\$[0-9]+"))),_xlfn.REGEXEXTRACT(CELL("address",'Raw Data'!S90),"\$([A-Z]+)\$[0-9]+"))</f>
        <v/>
      </c>
      <c r="T90" s="7" t="str">
        <f t="array" aca="1" ref="T90" ca="1">IFERROR(IF(OR('Raw Data'!T90="",LEN(TRIM('Raw Data'!T90))=0),"",IF(AND(ISNUMBER('Raw Data'!T90), IFERROR('Raw Data'!T90 = ROUND('Raw Data'!T90, 2),FALSE)),"",_xlfn.REGEXEXTRACT(CELL("address",T90), "\$([A-Z]+)\$[0-9]+"))),_xlfn.REGEXEXTRACT(CELL("address",T90), "\$([A-Z]+)\$[0-9]+"))</f>
        <v/>
      </c>
      <c r="U90" s="7" t="str">
        <f t="array" aca="1" ref="U90" ca="1">IFERROR(IF(OR('Raw Data'!U90="",LEN(TRIM('Raw Data'!U90))=0),"",IF(AND(ISNUMBER('Raw Data'!U90), IFERROR('Raw Data'!U90 = ROUND('Raw Data'!U90, 2),FALSE)),"",_xlfn.REGEXEXTRACT(CELL("address",U90), "\$([A-Z]+)\$[0-9]+"))),_xlfn.REGEXEXTRACT(CELL("address",U90), "\$([A-Z]+)\$[0-9]+"))</f>
        <v/>
      </c>
      <c r="V90" s="7" t="str">
        <f t="array" aca="1" ref="V90" ca="1">IFERROR(IF(OR('Raw Data'!V90="",LEN(TRIM('Raw Data'!V90))=0),"",IF(AND(ISNUMBER('Raw Data'!V90), IFERROR('Raw Data'!V90 = ROUND('Raw Data'!V90, 2),FALSE)),"",_xlfn.REGEXEXTRACT(CELL("address",V90), "\$([A-Z]+)\$[0-9]+"))),_xlfn.REGEXEXTRACT(CELL("address",V90), "\$([A-Z]+)\$[0-9]+"))</f>
        <v/>
      </c>
      <c r="W90" s="7" t="str">
        <f t="array" aca="1" ref="W90" ca="1">IFERROR(IF(OR('Raw Data'!W90="",LEN(TRIM('Raw Data'!W90))=0),"",IF(AND(ISNUMBER('Raw Data'!W90), IFERROR('Raw Data'!W90 = ROUND('Raw Data'!W90, 2),FALSE)),"",_xlfn.REGEXEXTRACT(CELL("address",W90), "\$([A-Z]+)\$[0-9]+"))),_xlfn.REGEXEXTRACT(CELL("address",W90), "\$([A-Z]+)\$[0-9]+"))</f>
        <v/>
      </c>
      <c r="X90" s="7" t="str">
        <f t="array" aca="1" ref="X90" ca="1">IFERROR(IF(OR('Raw Data'!X90="",LEN(TRIM('Raw Data'!X90))=0),"",IF(AND(ISNUMBER('Raw Data'!X90), IFERROR('Raw Data'!X90 = ROUND('Raw Data'!X90, 2),FALSE)),"",_xlfn.REGEXEXTRACT(CELL("address",X90), "\$([A-Z]+)\$[0-9]+"))),_xlfn.REGEXEXTRACT(CELL("address",X90), "\$([A-Z]+)\$[0-9]+"))</f>
        <v/>
      </c>
      <c r="Y90" s="7" t="str">
        <f t="array" aca="1" ref="Y90" ca="1">IFERROR(IF(OR('Raw Data'!Y90="",LEN(TRIM('Raw Data'!Y90))=0),"",IF(AND(ISNUMBER('Raw Data'!Y90), IFERROR('Raw Data'!Y90 = ROUND('Raw Data'!Y90, 2),FALSE)),"",_xlfn.REGEXEXTRACT(CELL("address",Y90), "\$([A-Z]+)\$[0-9]+"))),_xlfn.REGEXEXTRACT(CELL("address",Y90), "\$([A-Z]+)\$[0-9]+"))</f>
        <v/>
      </c>
      <c r="Z90" s="7" t="str">
        <f t="array" aca="1" ref="Z90" ca="1">IFERROR(IF(OR('Raw Data'!Z90="",LEN(TRIM('Raw Data'!Z90))=0),"",IF(AND(ISNUMBER('Raw Data'!Z90), IFERROR('Raw Data'!Z90 = ROUND('Raw Data'!Z90, 2),FALSE)),"",_xlfn.REGEXEXTRACT(CELL("address",Z90), "\$([A-Z]+)\$[0-9]+"))),_xlfn.REGEXEXTRACT(CELL("address",Z90), "\$([A-Z]+)\$[0-9]+"))</f>
        <v/>
      </c>
      <c r="AA90" s="7" t="str">
        <f t="array" aca="1" ref="AA90" ca="1">IFERROR(IF(OR('Raw Data'!AA90="",LEN(TRIM('Raw Data'!AA90))=0),"",IF(AND(ISNUMBER('Raw Data'!AA90), IFERROR('Raw Data'!AA90 = ROUND('Raw Data'!AA90, 2),FALSE)),"",_xlfn.REGEXEXTRACT(CELL("address",AA90), "\$([A-Z]+)\$[0-9]+"))),_xlfn.REGEXEXTRACT(CELL("address",AA90), "\$([A-Z]+)\$[0-9]+"))</f>
        <v/>
      </c>
      <c r="AB90" s="7" t="str">
        <f t="array" aca="1" ref="AB90" ca="1">IFERROR(IF(OR('Raw Data'!AB90="",LEN(TRIM('Raw Data'!AB90))=0),"",IF(AND(ISNUMBER('Raw Data'!AB90), IFERROR('Raw Data'!AB90 = ROUND('Raw Data'!AB90, 2),FALSE)),"",_xlfn.REGEXEXTRACT(CELL("address",AB90), "\$([A-Z]+)\$[0-9]+"))),_xlfn.REGEXEXTRACT(CELL("address",AB90), "\$([A-Z]+)\$[0-9]+"))</f>
        <v/>
      </c>
      <c r="AC90" s="7" t="str">
        <f t="array" aca="1" ref="AC90" ca="1">IFERROR(IF(OR('Raw Data'!AC90="",LEN(TRIM('Raw Data'!AC90))=0),"",IF(AND(ISNUMBER('Raw Data'!AC90), IFERROR('Raw Data'!AC90 = ROUND('Raw Data'!AC90, 2),FALSE)),"",_xlfn.REGEXEXTRACT(CELL("address",AC90), "\$([A-Z]+)\$[0-9]+"))),_xlfn.REGEXEXTRACT(CELL("address",AC90), "\$([A-Z]+)\$[0-9]+"))</f>
        <v/>
      </c>
      <c r="AD90" s="7" t="str">
        <f t="array" aca="1" ref="AD90" ca="1">IFERROR(IF(OR('Raw Data'!AD90="",LEN(TRIM('Raw Data'!AD90))=0),"",IF(AND(ISNUMBER('Raw Data'!AD90), IFERROR('Raw Data'!AD90 = ROUND('Raw Data'!AD90, 2),FALSE)),"",_xlfn.REGEXEXTRACT(CELL("address",AD90), "\$([A-Z]+)\$[0-9]+"))),_xlfn.REGEXEXTRACT(CELL("address",AD90), "\$([A-Z]+)\$[0-9]+"))</f>
        <v/>
      </c>
      <c r="AE90" s="7" t="str">
        <f t="array" aca="1" ref="AE90" ca="1">IFERROR(IF(OR('Raw Data'!AE90="",LEN(TRIM('Raw Data'!AE90))=0),"",IF(AND(ISNUMBER('Raw Data'!AE90), IFERROR('Raw Data'!AE90 = ROUND('Raw Data'!AE90, 2),FALSE)),"",_xlfn.REGEXEXTRACT(CELL("address",AE90), "\$([A-Z]+)\$[0-9]+"))),_xlfn.REGEXEXTRACT(CELL("address",AE90), "\$([A-Z]+)\$[0-9]+"))</f>
        <v/>
      </c>
      <c r="AF90" s="7" t="str">
        <f t="array" aca="1" ref="AF90" ca="1">IFERROR(IF(OR('Raw Data'!AF90="",LEN(TRIM('Raw Data'!AF90))=0),"",IF(AND(ISNUMBER('Raw Data'!AF90), IFERROR('Raw Data'!AF90 = ROUND('Raw Data'!AF90, 2),FALSE)),"",_xlfn.REGEXEXTRACT(CELL("address",AF90), "\$([A-Z]+)\$[0-9]+"))),_xlfn.REGEXEXTRACT(CELL("address",AF90), "\$([A-Z]+)\$[0-9]+"))</f>
        <v/>
      </c>
      <c r="AG90" s="7" t="str">
        <f t="array" aca="1" ref="AG90" ca="1">IFERROR(IF(OR('Raw Data'!AG90="",LEN(TRIM('Raw Data'!AG90))=0),"",IF(AND(ISNUMBER('Raw Data'!AG90), IFERROR('Raw Data'!AG90 = ROUND('Raw Data'!AG90, 2),FALSE)),"",_xlfn.REGEXEXTRACT(CELL("address",AG90), "\$([A-Z]+)\$[0-9]+"))),_xlfn.REGEXEXTRACT(CELL("address",AG90), "\$([A-Z]+)\$[0-9]+"))</f>
        <v/>
      </c>
      <c r="AH90" s="7" t="str">
        <f t="array" aca="1" ref="AH90" ca="1">IFERROR(IF(OR('Raw Data'!AH90="",LEN(TRIM('Raw Data'!AH90))=0),"",IF(AND(ISNUMBER('Raw Data'!AH90), IFERROR('Raw Data'!AH90 = ROUND('Raw Data'!AH90, 2),FALSE)),"",_xlfn.REGEXEXTRACT(CELL("address",AH90), "\$([A-Z]+)\$[0-9]+"))),_xlfn.REGEXEXTRACT(CELL("address",AH90), "\$([A-Z]+)\$[0-9]+"))</f>
        <v/>
      </c>
      <c r="AI90" s="7" t="str">
        <f t="array" aca="1" ref="AI90" ca="1">IFERROR(IF(OR('Raw Data'!AI90="",LEN(TRIM('Raw Data'!AI90))=0),"",IF(AND(ISNUMBER('Raw Data'!AI90), IFERROR('Raw Data'!AI90 = ROUND('Raw Data'!AI90, 2),FALSE)),"",_xlfn.REGEXEXTRACT(CELL("address",AI90), "\$([A-Z]+)\$[0-9]+"))),_xlfn.REGEXEXTRACT(CELL("address",AI90), "\$([A-Z]+)\$[0-9]+"))</f>
        <v/>
      </c>
      <c r="AJ90" s="7" t="str">
        <f t="array" aca="1" ref="AJ90" ca="1">IFERROR(IF(OR('Raw Data'!AJ90="",LEN(TRIM('Raw Data'!AJ90))=0),"",IF(AND(ISNUMBER('Raw Data'!AJ90), IFERROR('Raw Data'!AJ90 = ROUND('Raw Data'!AJ90, 4),FALSE)),"",_xlfn.REGEXEXTRACT(CELL("address",AJ90), "\$([A-Z]+)\$[0-9]+"))),_xlfn.REGEXEXTRACT(CELL("address",AJ90), "\$([A-Z]+)\$[0-9]+"))</f>
        <v/>
      </c>
      <c r="AK90" s="7" t="str">
        <f t="array" aca="1" ref="AK90" ca="1">IFERROR(IF(OR('Raw Data'!AK90="",LEN(TRIM('Raw Data'!AK90))=0),"",IF(AND(ISNUMBER('Raw Data'!AK90), IFERROR('Raw Data'!AK90 = ROUND('Raw Data'!AK90, 2),FALSE)),"",_xlfn.REGEXEXTRACT(CELL("address",AK90), "\$([A-Z]+)\$[0-9]+"))),_xlfn.REGEXEXTRACT(CELL("address",AK90), "\$([A-Z]+)\$[0-9]+"))</f>
        <v/>
      </c>
      <c r="AL90" s="7" t="str">
        <f t="array" aca="1" ref="AL90" ca="1">IFERROR(IF(OR('Raw Data'!AL90="",LEN(TRIM('Raw Data'!AL90))=0),"",IF(AND(ISNUMBER('Raw Data'!AL90), IFERROR('Raw Data'!AL90 = ROUND('Raw Data'!AL90, 2),FALSE)),"",_xlfn.REGEXEXTRACT(CELL("address",AL90), "\$([A-Z]+)\$[0-9]+"))),_xlfn.REGEXEXTRACT(CELL("address",AL90), "\$([A-Z]+)\$[0-9]+"))</f>
        <v/>
      </c>
      <c r="AM90" s="7" t="str">
        <f t="array" aca="1" ref="AM90" ca="1">IFERROR(IF(OR('Raw Data'!AM90="",LEN(TRIM('Raw Data'!AM90))=0),"",IF(AND(ISNUMBER('Raw Data'!AM90), IFERROR('Raw Data'!AM90 = ROUND('Raw Data'!AM90, 2),FALSE)),"",_xlfn.REGEXEXTRACT(CELL("address",AM90), "\$([A-Z]+)\$[0-9]+"))),_xlfn.REGEXEXTRACT(CELL("address",AM90), "\$([A-Z]+)\$[0-9]+"))</f>
        <v/>
      </c>
      <c r="AN90" s="7" t="str">
        <f t="array" aca="1" ref="AN90" ca="1">IFERROR(IF(OR('Raw Data'!AN90="",LEN(TRIM('Raw Data'!AN90))=0),"",IF(AND(ISNUMBER('Raw Data'!AN90), IFERROR('Raw Data'!AN90 = ROUND('Raw Data'!AN90, 2),FALSE)),"",_xlfn.REGEXEXTRACT(CELL("address",AN90), "\$([A-Z]+)\$[0-9]+"))),_xlfn.REGEXEXTRACT(CELL("address",AN90), "\$([A-Z]+)\$[0-9]+"))</f>
        <v/>
      </c>
      <c r="AO90" s="7" t="str">
        <f t="array" aca="1" ref="AO90" ca="1">IFERROR(IF(OR('Raw Data'!AO90="",LEN(TRIM('Raw Data'!AO90))=0),"",IF(AND(ISNUMBER('Raw Data'!AO90), IFERROR('Raw Data'!AO90 = ROUND('Raw Data'!AO90, 2),FALSE)),"",_xlfn.REGEXEXTRACT(CELL("address",AO90), "\$([A-Z]+)\$[0-9]+"))),_xlfn.REGEXEXTRACT(CELL("address",AO90), "\$([A-Z]+)\$[0-9]+"))</f>
        <v/>
      </c>
      <c r="AP90" s="7" t="str">
        <f t="array" aca="1" ref="AP90" ca="1">IFERROR(IF(OR('Raw Data'!AP90="",LEN(TRIM('Raw Data'!AP90))=0),"",IF(AND(ISNUMBER('Raw Data'!AP90), IFERROR('Raw Data'!AP90 = ROUND('Raw Data'!AP90, 2),FALSE)),"",_xlfn.REGEXEXTRACT(CELL("address",AP90), "\$([A-Z]+)\$[0-9]+"))),_xlfn.REGEXEXTRACT(CELL("address",AP90), "\$([A-Z]+)\$[0-9]+"))</f>
        <v/>
      </c>
    </row>
    <row r="91" spans="2:42" x14ac:dyDescent="0.25">
      <c r="B91" s="7" t="str">
        <f t="array" aca="1" ref="B91" ca="1">IFERROR(IF(OR('Raw Data'!B91="",LEN(TRIM('Raw Data'!B91))=0),"",IF(AND(LEN('Raw Data'!B91) &lt;= 255,LEN('Raw Data'!B91)&gt; 0),"",_xlfn.REGEXEXTRACT(CELL("address",'Raw Data'!B91),"\$([A-Z]+)\$[0-9]+"))),_xlfn.REGEXEXTRACT(CELL("address",'Raw Data'!B91),"\$([A-Z]+)\$[0-9]+"))</f>
        <v/>
      </c>
      <c r="C91" s="7" t="str">
        <f t="array" aca="1" ref="C91" ca="1">IFERROR(IF(OR('Raw Data'!C91="",LEN(TRIM('Raw Data'!C91))=0),"",IF(AND(LEN('Raw Data'!C91) &lt;= 50,LEN('Raw Data'!C91)&gt; 0),"",_xlfn.REGEXEXTRACT(CELL("address",'Raw Data'!C91),"\$([A-Z]+)\$[0-9]+"))),_xlfn.REGEXEXTRACT(CELL("address",'Raw Data'!C91),"\$([A-Z]+)\$[0-9]+"))</f>
        <v/>
      </c>
      <c r="D91" s="7" t="str">
        <f t="array" aca="1" ref="D91" ca="1">IFERROR(IF(OR('Raw Data'!D91="",LEN(TRIM('Raw Data'!D91))=0),"",IF(AND(LEN('Raw Data'!D91) &lt;= 500,LEN('Raw Data'!D91)&gt; 0),"",_xlfn.REGEXEXTRACT(CELL("address",'Raw Data'!D91),"\$([A-Z]+)\$[0-9]+"))),_xlfn.REGEXEXTRACT(CELL("address",'Raw Data'!D91),"\$([A-Z]+)\$[0-9]+"))</f>
        <v/>
      </c>
      <c r="E91" s="7" t="str">
        <f t="array" aca="1" ref="E91" ca="1">IFERROR(IF(OR('Raw Data'!E91="",LEN(TRIM('Raw Data'!E91))=0),"",IF(AND(LEN('Raw Data'!E91) &lt;= 50,LEN('Raw Data'!E91)&gt; 0),"",_xlfn.REGEXEXTRACT(CELL("address",'Raw Data'!E91),"\$([A-Z]+)\$[0-9]+"))),_xlfn.REGEXEXTRACT(CELL("address",'Raw Data'!E91),"\$([A-Z]+)\$[0-9]+"))</f>
        <v/>
      </c>
      <c r="F91" s="7" t="str">
        <f t="array" aca="1" ref="F91" ca="1">IFERROR(IF(OR('Raw Data'!F91="",LEN(TRIM('Raw Data'!F91))=0),"",IF(AND(LEN('Raw Data'!F91) &lt;= 50,LEN('Raw Data'!F91)&gt; 0),"",_xlfn.REGEXEXTRACT(CELL("address",'Raw Data'!F91),"\$([A-Z]+)\$[0-9]+"))),_xlfn.REGEXEXTRACT(CELL("address",'Raw Data'!F91),"\$([A-Z]+)\$[0-9]+"))</f>
        <v/>
      </c>
      <c r="G91" s="7" t="str">
        <f t="array" aca="1" ref="G91" ca="1">IFERROR(IF(OR('Raw Data'!G91="",LEN(TRIM('Raw Data'!G91))=0),"",IF(AND(LEN('Raw Data'!G91) &lt;= 50,LEN('Raw Data'!G91)&gt; 0),"",_xlfn.REGEXEXTRACT(CELL("address",'Raw Data'!G91),"\$([A-Z]+)\$[0-9]+"))),_xlfn.REGEXEXTRACT(CELL("address",'Raw Data'!G91),"\$([A-Z]+)\$[0-9]+"))</f>
        <v/>
      </c>
      <c r="H91" s="7" t="str">
        <f t="array" aca="1" ref="H91" ca="1">IFERROR(IF(OR('Raw Data'!H91="",LEN(TRIM('Raw Data'!H91))=0),"",IF(AND(LEN('Raw Data'!H91) &lt;= 50,LEN('Raw Data'!H91)&gt; 0),"",_xlfn.REGEXEXTRACT(CELL("address",'Raw Data'!H91),"\$([A-Z]+)\$[0-9]+"))),_xlfn.REGEXEXTRACT(CELL("address",'Raw Data'!H91),"\$([A-Z]+)\$[0-9]+"))</f>
        <v/>
      </c>
      <c r="I91" s="7" t="str">
        <f t="array" aca="1" ref="I91" ca="1">IFERROR(IF(OR('Raw Data'!I91="",LEN(TRIM('Raw Data'!I91))=0),"",IF(AND(LEN('Raw Data'!I91) &lt;= 50,LEN('Raw Data'!I91)&gt; 0),"",_xlfn.REGEXEXTRACT(CELL("address",'Raw Data'!I91),"\$([A-Z]+)\$[0-9]+"))),_xlfn.REGEXEXTRACT(CELL("address",'Raw Data'!I91),"\$([A-Z]+)\$[0-9]+"))</f>
        <v/>
      </c>
      <c r="J91" s="7" t="str">
        <f t="array" aca="1" ref="J91" ca="1">IFERROR(IF(OR('Raw Data'!J91="",LEN(TRIM('Raw Data'!J91))=0),"",IF(AND(ISNUMBER('Raw Data'!J91), IFERROR('Raw Data'!J91 = ROUND('Raw Data'!J91, 2),FALSE)),"",_xlfn.REGEXEXTRACT(CELL("address",J91), "\$([A-Z]+)\$[0-9]+"))),_xlfn.REGEXEXTRACT(CELL("address",J91), "\$([A-Z]+)\$[0-9]+"))</f>
        <v/>
      </c>
      <c r="K91" s="7" t="str">
        <f t="array" aca="1" ref="K91" ca="1">IFERROR(IF(OR('Raw Data'!K91="",LEN(TRIM('Raw Data'!K91))=0),"",IF(AND(ISNUMBER('Raw Data'!K91), IFERROR('Raw Data'!K91 = ROUND('Raw Data'!K91, 2),FALSE)),"",_xlfn.REGEXEXTRACT(CELL("address",K91), "\$([A-Z]+)\$[0-9]+"))),_xlfn.REGEXEXTRACT(CELL("address",K91), "\$([A-Z]+)\$[0-9]+"))</f>
        <v/>
      </c>
      <c r="L91" s="7" t="str">
        <f t="array" aca="1" ref="L91" ca="1">IFERROR(IF(OR('Raw Data'!L91="",LEN(TRIM('Raw Data'!L91))=0),"",IF(AND(ISNUMBER('Raw Data'!L91), IFERROR('Raw Data'!L91 = ROUND('Raw Data'!L91, 2),FALSE)),"",_xlfn.REGEXEXTRACT(CELL("address",L91), "\$([A-Z]+)\$[0-9]+"))),_xlfn.REGEXEXTRACT(CELL("address",L91), "\$([A-Z]+)\$[0-9]+"))</f>
        <v/>
      </c>
      <c r="M91" s="7" t="str">
        <f t="array" aca="1" ref="M91" ca="1">IFERROR(IF(OR('Raw Data'!M91="",LEN(TRIM('Raw Data'!M91))=0),"",IF(AND(ISNUMBER('Raw Data'!M91), IFERROR('Raw Data'!M91 = ROUND('Raw Data'!M91, 2),FALSE)),"",_xlfn.REGEXEXTRACT(CELL("address",M91), "\$([A-Z]+)\$[0-9]+"))),_xlfn.REGEXEXTRACT(CELL("address",M91), "\$([A-Z]+)\$[0-9]+"))</f>
        <v/>
      </c>
      <c r="N91" s="7" t="str">
        <f t="array" aca="1" ref="N91" ca="1">IFERROR(IF(OR('Raw Data'!N91="",LEN(TRIM('Raw Data'!N91))=0),"",IF(AND(ISNUMBER('Raw Data'!N91), IFERROR('Raw Data'!N91 = ROUND('Raw Data'!N91, 2),FALSE)),"",_xlfn.REGEXEXTRACT(CELL("address",N91), "\$([A-Z]+)\$[0-9]+"))),_xlfn.REGEXEXTRACT(CELL("address",N91), "\$([A-Z]+)\$[0-9]+"))</f>
        <v/>
      </c>
      <c r="O91" s="7" t="str">
        <f t="array" aca="1" ref="O91" ca="1">IFERROR(IF(OR('Raw Data'!O91="",LEN(TRIM('Raw Data'!O91))=0),"",IF(AND(ISNUMBER('Raw Data'!O91),'Raw Data'!O91&gt;=Configuration!$D$2),"",_xlfn.REGEXEXTRACT(CELL("address",'Raw Data'!O91),"\$([A-Z]+)\$[0-9]+"))),_xlfn.REGEXEXTRACT(CELL("address",O91), "\$([A-Z]+)\$[0-9]+"))</f>
        <v/>
      </c>
      <c r="P91" s="7" t="str">
        <f t="array" aca="1" ref="P91" ca="1">IFERROR(IF(OR('Raw Data'!P91="",LEN(TRIM('Raw Data'!P91))=0),"",IF(AND(ISNUMBER('Raw Data'!P91), IFERROR('Raw Data'!P91 = ROUND('Raw Data'!P91, 2),FALSE)),"",_xlfn.REGEXEXTRACT(CELL("address",P91), "\$([A-Z]+)\$[0-9]+"))),_xlfn.REGEXEXTRACT(CELL("address",P91), "\$([A-Z]+)\$[0-9]+"))</f>
        <v/>
      </c>
      <c r="Q91" s="7" t="str">
        <f t="array" aca="1" ref="Q91" ca="1">IFERROR(IF(OR('Raw Data'!Q91="",LEN(TRIM('Raw Data'!Q91))=0),"",IF(AND(ISNUMBER('Raw Data'!Q91), IFERROR('Raw Data'!Q91 = ROUND('Raw Data'!Q91, 2),FALSE)),"",_xlfn.REGEXEXTRACT(CELL("address",Q91), "\$([A-Z]+)\$[0-9]+"))),_xlfn.REGEXEXTRACT(CELL("address",Q91), "\$([A-Z]+)\$[0-9]+"))</f>
        <v/>
      </c>
      <c r="R91" s="7" t="str">
        <f t="array" aca="1" ref="R91" ca="1">IFERROR(IF(OR('Raw Data'!R91="",LEN(TRIM('Raw Data'!R91))=0),"",IF(AND(LEN('Raw Data'!R91) &lt;= 50,LEN('Raw Data'!R91)&gt; 0),"",_xlfn.REGEXEXTRACT(CELL("address",'Raw Data'!R91),"\$([A-Z]+)\$[0-9]+"))),_xlfn.REGEXEXTRACT(CELL("address",'Raw Data'!R91),"\$([A-Z]+)\$[0-9]+"))</f>
        <v/>
      </c>
      <c r="S91" s="7" t="str">
        <f t="array" aca="1" ref="S91" ca="1">IFERROR(IF(OR('Raw Data'!S91="",LEN(TRIM('Raw Data'!S91))=0),"",IF(AND(LEN('Raw Data'!S91) &lt;= 50,LEN('Raw Data'!S91)&gt; 0),"",_xlfn.REGEXEXTRACT(CELL("address",'Raw Data'!S91),"\$([A-Z]+)\$[0-9]+"))),_xlfn.REGEXEXTRACT(CELL("address",'Raw Data'!S91),"\$([A-Z]+)\$[0-9]+"))</f>
        <v/>
      </c>
      <c r="T91" s="7" t="str">
        <f t="array" aca="1" ref="T91" ca="1">IFERROR(IF(OR('Raw Data'!T91="",LEN(TRIM('Raw Data'!T91))=0),"",IF(AND(ISNUMBER('Raw Data'!T91), IFERROR('Raw Data'!T91 = ROUND('Raw Data'!T91, 2),FALSE)),"",_xlfn.REGEXEXTRACT(CELL("address",T91), "\$([A-Z]+)\$[0-9]+"))),_xlfn.REGEXEXTRACT(CELL("address",T91), "\$([A-Z]+)\$[0-9]+"))</f>
        <v/>
      </c>
      <c r="U91" s="7" t="str">
        <f t="array" aca="1" ref="U91" ca="1">IFERROR(IF(OR('Raw Data'!U91="",LEN(TRIM('Raw Data'!U91))=0),"",IF(AND(ISNUMBER('Raw Data'!U91), IFERROR('Raw Data'!U91 = ROUND('Raw Data'!U91, 2),FALSE)),"",_xlfn.REGEXEXTRACT(CELL("address",U91), "\$([A-Z]+)\$[0-9]+"))),_xlfn.REGEXEXTRACT(CELL("address",U91), "\$([A-Z]+)\$[0-9]+"))</f>
        <v/>
      </c>
      <c r="V91" s="7" t="str">
        <f t="array" aca="1" ref="V91" ca="1">IFERROR(IF(OR('Raw Data'!V91="",LEN(TRIM('Raw Data'!V91))=0),"",IF(AND(ISNUMBER('Raw Data'!V91), IFERROR('Raw Data'!V91 = ROUND('Raw Data'!V91, 2),FALSE)),"",_xlfn.REGEXEXTRACT(CELL("address",V91), "\$([A-Z]+)\$[0-9]+"))),_xlfn.REGEXEXTRACT(CELL("address",V91), "\$([A-Z]+)\$[0-9]+"))</f>
        <v/>
      </c>
      <c r="W91" s="7" t="str">
        <f t="array" aca="1" ref="W91" ca="1">IFERROR(IF(OR('Raw Data'!W91="",LEN(TRIM('Raw Data'!W91))=0),"",IF(AND(ISNUMBER('Raw Data'!W91), IFERROR('Raw Data'!W91 = ROUND('Raw Data'!W91, 2),FALSE)),"",_xlfn.REGEXEXTRACT(CELL("address",W91), "\$([A-Z]+)\$[0-9]+"))),_xlfn.REGEXEXTRACT(CELL("address",W91), "\$([A-Z]+)\$[0-9]+"))</f>
        <v/>
      </c>
      <c r="X91" s="7" t="str">
        <f t="array" aca="1" ref="X91" ca="1">IFERROR(IF(OR('Raw Data'!X91="",LEN(TRIM('Raw Data'!X91))=0),"",IF(AND(ISNUMBER('Raw Data'!X91), IFERROR('Raw Data'!X91 = ROUND('Raw Data'!X91, 2),FALSE)),"",_xlfn.REGEXEXTRACT(CELL("address",X91), "\$([A-Z]+)\$[0-9]+"))),_xlfn.REGEXEXTRACT(CELL("address",X91), "\$([A-Z]+)\$[0-9]+"))</f>
        <v/>
      </c>
      <c r="Y91" s="7" t="str">
        <f t="array" aca="1" ref="Y91" ca="1">IFERROR(IF(OR('Raw Data'!Y91="",LEN(TRIM('Raw Data'!Y91))=0),"",IF(AND(ISNUMBER('Raw Data'!Y91), IFERROR('Raw Data'!Y91 = ROUND('Raw Data'!Y91, 2),FALSE)),"",_xlfn.REGEXEXTRACT(CELL("address",Y91), "\$([A-Z]+)\$[0-9]+"))),_xlfn.REGEXEXTRACT(CELL("address",Y91), "\$([A-Z]+)\$[0-9]+"))</f>
        <v/>
      </c>
      <c r="Z91" s="7" t="str">
        <f t="array" aca="1" ref="Z91" ca="1">IFERROR(IF(OR('Raw Data'!Z91="",LEN(TRIM('Raw Data'!Z91))=0),"",IF(AND(ISNUMBER('Raw Data'!Z91), IFERROR('Raw Data'!Z91 = ROUND('Raw Data'!Z91, 2),FALSE)),"",_xlfn.REGEXEXTRACT(CELL("address",Z91), "\$([A-Z]+)\$[0-9]+"))),_xlfn.REGEXEXTRACT(CELL("address",Z91), "\$([A-Z]+)\$[0-9]+"))</f>
        <v/>
      </c>
      <c r="AA91" s="7" t="str">
        <f t="array" aca="1" ref="AA91" ca="1">IFERROR(IF(OR('Raw Data'!AA91="",LEN(TRIM('Raw Data'!AA91))=0),"",IF(AND(ISNUMBER('Raw Data'!AA91), IFERROR('Raw Data'!AA91 = ROUND('Raw Data'!AA91, 2),FALSE)),"",_xlfn.REGEXEXTRACT(CELL("address",AA91), "\$([A-Z]+)\$[0-9]+"))),_xlfn.REGEXEXTRACT(CELL("address",AA91), "\$([A-Z]+)\$[0-9]+"))</f>
        <v/>
      </c>
      <c r="AB91" s="7" t="str">
        <f t="array" aca="1" ref="AB91" ca="1">IFERROR(IF(OR('Raw Data'!AB91="",LEN(TRIM('Raw Data'!AB91))=0),"",IF(AND(ISNUMBER('Raw Data'!AB91), IFERROR('Raw Data'!AB91 = ROUND('Raw Data'!AB91, 2),FALSE)),"",_xlfn.REGEXEXTRACT(CELL("address",AB91), "\$([A-Z]+)\$[0-9]+"))),_xlfn.REGEXEXTRACT(CELL("address",AB91), "\$([A-Z]+)\$[0-9]+"))</f>
        <v/>
      </c>
      <c r="AC91" s="7" t="str">
        <f t="array" aca="1" ref="AC91" ca="1">IFERROR(IF(OR('Raw Data'!AC91="",LEN(TRIM('Raw Data'!AC91))=0),"",IF(AND(ISNUMBER('Raw Data'!AC91), IFERROR('Raw Data'!AC91 = ROUND('Raw Data'!AC91, 2),FALSE)),"",_xlfn.REGEXEXTRACT(CELL("address",AC91), "\$([A-Z]+)\$[0-9]+"))),_xlfn.REGEXEXTRACT(CELL("address",AC91), "\$([A-Z]+)\$[0-9]+"))</f>
        <v/>
      </c>
      <c r="AD91" s="7" t="str">
        <f t="array" aca="1" ref="AD91" ca="1">IFERROR(IF(OR('Raw Data'!AD91="",LEN(TRIM('Raw Data'!AD91))=0),"",IF(AND(ISNUMBER('Raw Data'!AD91), IFERROR('Raw Data'!AD91 = ROUND('Raw Data'!AD91, 2),FALSE)),"",_xlfn.REGEXEXTRACT(CELL("address",AD91), "\$([A-Z]+)\$[0-9]+"))),_xlfn.REGEXEXTRACT(CELL("address",AD91), "\$([A-Z]+)\$[0-9]+"))</f>
        <v/>
      </c>
      <c r="AE91" s="7" t="str">
        <f t="array" aca="1" ref="AE91" ca="1">IFERROR(IF(OR('Raw Data'!AE91="",LEN(TRIM('Raw Data'!AE91))=0),"",IF(AND(ISNUMBER('Raw Data'!AE91), IFERROR('Raw Data'!AE91 = ROUND('Raw Data'!AE91, 2),FALSE)),"",_xlfn.REGEXEXTRACT(CELL("address",AE91), "\$([A-Z]+)\$[0-9]+"))),_xlfn.REGEXEXTRACT(CELL("address",AE91), "\$([A-Z]+)\$[0-9]+"))</f>
        <v/>
      </c>
      <c r="AF91" s="7" t="str">
        <f t="array" aca="1" ref="AF91" ca="1">IFERROR(IF(OR('Raw Data'!AF91="",LEN(TRIM('Raw Data'!AF91))=0),"",IF(AND(ISNUMBER('Raw Data'!AF91), IFERROR('Raw Data'!AF91 = ROUND('Raw Data'!AF91, 2),FALSE)),"",_xlfn.REGEXEXTRACT(CELL("address",AF91), "\$([A-Z]+)\$[0-9]+"))),_xlfn.REGEXEXTRACT(CELL("address",AF91), "\$([A-Z]+)\$[0-9]+"))</f>
        <v/>
      </c>
      <c r="AG91" s="7" t="str">
        <f t="array" aca="1" ref="AG91" ca="1">IFERROR(IF(OR('Raw Data'!AG91="",LEN(TRIM('Raw Data'!AG91))=0),"",IF(AND(ISNUMBER('Raw Data'!AG91), IFERROR('Raw Data'!AG91 = ROUND('Raw Data'!AG91, 2),FALSE)),"",_xlfn.REGEXEXTRACT(CELL("address",AG91), "\$([A-Z]+)\$[0-9]+"))),_xlfn.REGEXEXTRACT(CELL("address",AG91), "\$([A-Z]+)\$[0-9]+"))</f>
        <v/>
      </c>
      <c r="AH91" s="7" t="str">
        <f t="array" aca="1" ref="AH91" ca="1">IFERROR(IF(OR('Raw Data'!AH91="",LEN(TRIM('Raw Data'!AH91))=0),"",IF(AND(ISNUMBER('Raw Data'!AH91), IFERROR('Raw Data'!AH91 = ROUND('Raw Data'!AH91, 2),FALSE)),"",_xlfn.REGEXEXTRACT(CELL("address",AH91), "\$([A-Z]+)\$[0-9]+"))),_xlfn.REGEXEXTRACT(CELL("address",AH91), "\$([A-Z]+)\$[0-9]+"))</f>
        <v/>
      </c>
      <c r="AI91" s="7" t="str">
        <f t="array" aca="1" ref="AI91" ca="1">IFERROR(IF(OR('Raw Data'!AI91="",LEN(TRIM('Raw Data'!AI91))=0),"",IF(AND(ISNUMBER('Raw Data'!AI91), IFERROR('Raw Data'!AI91 = ROUND('Raw Data'!AI91, 2),FALSE)),"",_xlfn.REGEXEXTRACT(CELL("address",AI91), "\$([A-Z]+)\$[0-9]+"))),_xlfn.REGEXEXTRACT(CELL("address",AI91), "\$([A-Z]+)\$[0-9]+"))</f>
        <v/>
      </c>
      <c r="AJ91" s="7" t="str">
        <f t="array" aca="1" ref="AJ91" ca="1">IFERROR(IF(OR('Raw Data'!AJ91="",LEN(TRIM('Raw Data'!AJ91))=0),"",IF(AND(ISNUMBER('Raw Data'!AJ91), IFERROR('Raw Data'!AJ91 = ROUND('Raw Data'!AJ91, 4),FALSE)),"",_xlfn.REGEXEXTRACT(CELL("address",AJ91), "\$([A-Z]+)\$[0-9]+"))),_xlfn.REGEXEXTRACT(CELL("address",AJ91), "\$([A-Z]+)\$[0-9]+"))</f>
        <v/>
      </c>
      <c r="AK91" s="7" t="str">
        <f t="array" aca="1" ref="AK91" ca="1">IFERROR(IF(OR('Raw Data'!AK91="",LEN(TRIM('Raw Data'!AK91))=0),"",IF(AND(ISNUMBER('Raw Data'!AK91), IFERROR('Raw Data'!AK91 = ROUND('Raw Data'!AK91, 2),FALSE)),"",_xlfn.REGEXEXTRACT(CELL("address",AK91), "\$([A-Z]+)\$[0-9]+"))),_xlfn.REGEXEXTRACT(CELL("address",AK91), "\$([A-Z]+)\$[0-9]+"))</f>
        <v/>
      </c>
      <c r="AL91" s="7" t="str">
        <f t="array" aca="1" ref="AL91" ca="1">IFERROR(IF(OR('Raw Data'!AL91="",LEN(TRIM('Raw Data'!AL91))=0),"",IF(AND(ISNUMBER('Raw Data'!AL91), IFERROR('Raw Data'!AL91 = ROUND('Raw Data'!AL91, 2),FALSE)),"",_xlfn.REGEXEXTRACT(CELL("address",AL91), "\$([A-Z]+)\$[0-9]+"))),_xlfn.REGEXEXTRACT(CELL("address",AL91), "\$([A-Z]+)\$[0-9]+"))</f>
        <v/>
      </c>
      <c r="AM91" s="7" t="str">
        <f t="array" aca="1" ref="AM91" ca="1">IFERROR(IF(OR('Raw Data'!AM91="",LEN(TRIM('Raw Data'!AM91))=0),"",IF(AND(ISNUMBER('Raw Data'!AM91), IFERROR('Raw Data'!AM91 = ROUND('Raw Data'!AM91, 2),FALSE)),"",_xlfn.REGEXEXTRACT(CELL("address",AM91), "\$([A-Z]+)\$[0-9]+"))),_xlfn.REGEXEXTRACT(CELL("address",AM91), "\$([A-Z]+)\$[0-9]+"))</f>
        <v/>
      </c>
      <c r="AN91" s="7" t="str">
        <f t="array" aca="1" ref="AN91" ca="1">IFERROR(IF(OR('Raw Data'!AN91="",LEN(TRIM('Raw Data'!AN91))=0),"",IF(AND(ISNUMBER('Raw Data'!AN91), IFERROR('Raw Data'!AN91 = ROUND('Raw Data'!AN91, 2),FALSE)),"",_xlfn.REGEXEXTRACT(CELL("address",AN91), "\$([A-Z]+)\$[0-9]+"))),_xlfn.REGEXEXTRACT(CELL("address",AN91), "\$([A-Z]+)\$[0-9]+"))</f>
        <v/>
      </c>
      <c r="AO91" s="7" t="str">
        <f t="array" aca="1" ref="AO91" ca="1">IFERROR(IF(OR('Raw Data'!AO91="",LEN(TRIM('Raw Data'!AO91))=0),"",IF(AND(ISNUMBER('Raw Data'!AO91), IFERROR('Raw Data'!AO91 = ROUND('Raw Data'!AO91, 2),FALSE)),"",_xlfn.REGEXEXTRACT(CELL("address",AO91), "\$([A-Z]+)\$[0-9]+"))),_xlfn.REGEXEXTRACT(CELL("address",AO91), "\$([A-Z]+)\$[0-9]+"))</f>
        <v/>
      </c>
      <c r="AP91" s="7" t="str">
        <f t="array" aca="1" ref="AP91" ca="1">IFERROR(IF(OR('Raw Data'!AP91="",LEN(TRIM('Raw Data'!AP91))=0),"",IF(AND(ISNUMBER('Raw Data'!AP91), IFERROR('Raw Data'!AP91 = ROUND('Raw Data'!AP91, 2),FALSE)),"",_xlfn.REGEXEXTRACT(CELL("address",AP91), "\$([A-Z]+)\$[0-9]+"))),_xlfn.REGEXEXTRACT(CELL("address",AP91), "\$([A-Z]+)\$[0-9]+"))</f>
        <v/>
      </c>
    </row>
    <row r="92" spans="2:42" x14ac:dyDescent="0.25">
      <c r="B92" s="7" t="str">
        <f t="array" aca="1" ref="B92" ca="1">IFERROR(IF(OR('Raw Data'!B92="",LEN(TRIM('Raw Data'!B92))=0),"",IF(AND(LEN('Raw Data'!B92) &lt;= 255,LEN('Raw Data'!B92)&gt; 0),"",_xlfn.REGEXEXTRACT(CELL("address",'Raw Data'!B92),"\$([A-Z]+)\$[0-9]+"))),_xlfn.REGEXEXTRACT(CELL("address",'Raw Data'!B92),"\$([A-Z]+)\$[0-9]+"))</f>
        <v/>
      </c>
      <c r="C92" s="7" t="str">
        <f t="array" aca="1" ref="C92" ca="1">IFERROR(IF(OR('Raw Data'!C92="",LEN(TRIM('Raw Data'!C92))=0),"",IF(AND(LEN('Raw Data'!C92) &lt;= 50,LEN('Raw Data'!C92)&gt; 0),"",_xlfn.REGEXEXTRACT(CELL("address",'Raw Data'!C92),"\$([A-Z]+)\$[0-9]+"))),_xlfn.REGEXEXTRACT(CELL("address",'Raw Data'!C92),"\$([A-Z]+)\$[0-9]+"))</f>
        <v/>
      </c>
      <c r="D92" s="7" t="str">
        <f t="array" aca="1" ref="D92" ca="1">IFERROR(IF(OR('Raw Data'!D92="",LEN(TRIM('Raw Data'!D92))=0),"",IF(AND(LEN('Raw Data'!D92) &lt;= 500,LEN('Raw Data'!D92)&gt; 0),"",_xlfn.REGEXEXTRACT(CELL("address",'Raw Data'!D92),"\$([A-Z]+)\$[0-9]+"))),_xlfn.REGEXEXTRACT(CELL("address",'Raw Data'!D92),"\$([A-Z]+)\$[0-9]+"))</f>
        <v/>
      </c>
      <c r="E92" s="7" t="str">
        <f t="array" aca="1" ref="E92" ca="1">IFERROR(IF(OR('Raw Data'!E92="",LEN(TRIM('Raw Data'!E92))=0),"",IF(AND(LEN('Raw Data'!E92) &lt;= 50,LEN('Raw Data'!E92)&gt; 0),"",_xlfn.REGEXEXTRACT(CELL("address",'Raw Data'!E92),"\$([A-Z]+)\$[0-9]+"))),_xlfn.REGEXEXTRACT(CELL("address",'Raw Data'!E92),"\$([A-Z]+)\$[0-9]+"))</f>
        <v/>
      </c>
      <c r="F92" s="7" t="str">
        <f t="array" aca="1" ref="F92" ca="1">IFERROR(IF(OR('Raw Data'!F92="",LEN(TRIM('Raw Data'!F92))=0),"",IF(AND(LEN('Raw Data'!F92) &lt;= 50,LEN('Raw Data'!F92)&gt; 0),"",_xlfn.REGEXEXTRACT(CELL("address",'Raw Data'!F92),"\$([A-Z]+)\$[0-9]+"))),_xlfn.REGEXEXTRACT(CELL("address",'Raw Data'!F92),"\$([A-Z]+)\$[0-9]+"))</f>
        <v/>
      </c>
      <c r="G92" s="7" t="str">
        <f t="array" aca="1" ref="G92" ca="1">IFERROR(IF(OR('Raw Data'!G92="",LEN(TRIM('Raw Data'!G92))=0),"",IF(AND(LEN('Raw Data'!G92) &lt;= 50,LEN('Raw Data'!G92)&gt; 0),"",_xlfn.REGEXEXTRACT(CELL("address",'Raw Data'!G92),"\$([A-Z]+)\$[0-9]+"))),_xlfn.REGEXEXTRACT(CELL("address",'Raw Data'!G92),"\$([A-Z]+)\$[0-9]+"))</f>
        <v/>
      </c>
      <c r="H92" s="7" t="str">
        <f t="array" aca="1" ref="H92" ca="1">IFERROR(IF(OR('Raw Data'!H92="",LEN(TRIM('Raw Data'!H92))=0),"",IF(AND(LEN('Raw Data'!H92) &lt;= 50,LEN('Raw Data'!H92)&gt; 0),"",_xlfn.REGEXEXTRACT(CELL("address",'Raw Data'!H92),"\$([A-Z]+)\$[0-9]+"))),_xlfn.REGEXEXTRACT(CELL("address",'Raw Data'!H92),"\$([A-Z]+)\$[0-9]+"))</f>
        <v/>
      </c>
      <c r="I92" s="7" t="str">
        <f t="array" aca="1" ref="I92" ca="1">IFERROR(IF(OR('Raw Data'!I92="",LEN(TRIM('Raw Data'!I92))=0),"",IF(AND(LEN('Raw Data'!I92) &lt;= 50,LEN('Raw Data'!I92)&gt; 0),"",_xlfn.REGEXEXTRACT(CELL("address",'Raw Data'!I92),"\$([A-Z]+)\$[0-9]+"))),_xlfn.REGEXEXTRACT(CELL("address",'Raw Data'!I92),"\$([A-Z]+)\$[0-9]+"))</f>
        <v/>
      </c>
      <c r="J92" s="7" t="str">
        <f t="array" aca="1" ref="J92" ca="1">IFERROR(IF(OR('Raw Data'!J92="",LEN(TRIM('Raw Data'!J92))=0),"",IF(AND(ISNUMBER('Raw Data'!J92), IFERROR('Raw Data'!J92 = ROUND('Raw Data'!J92, 2),FALSE)),"",_xlfn.REGEXEXTRACT(CELL("address",J92), "\$([A-Z]+)\$[0-9]+"))),_xlfn.REGEXEXTRACT(CELL("address",J92), "\$([A-Z]+)\$[0-9]+"))</f>
        <v/>
      </c>
      <c r="K92" s="7" t="str">
        <f t="array" aca="1" ref="K92" ca="1">IFERROR(IF(OR('Raw Data'!K92="",LEN(TRIM('Raw Data'!K92))=0),"",IF(AND(ISNUMBER('Raw Data'!K92), IFERROR('Raw Data'!K92 = ROUND('Raw Data'!K92, 2),FALSE)),"",_xlfn.REGEXEXTRACT(CELL("address",K92), "\$([A-Z]+)\$[0-9]+"))),_xlfn.REGEXEXTRACT(CELL("address",K92), "\$([A-Z]+)\$[0-9]+"))</f>
        <v/>
      </c>
      <c r="L92" s="7" t="str">
        <f t="array" aca="1" ref="L92" ca="1">IFERROR(IF(OR('Raw Data'!L92="",LEN(TRIM('Raw Data'!L92))=0),"",IF(AND(ISNUMBER('Raw Data'!L92), IFERROR('Raw Data'!L92 = ROUND('Raw Data'!L92, 2),FALSE)),"",_xlfn.REGEXEXTRACT(CELL("address",L92), "\$([A-Z]+)\$[0-9]+"))),_xlfn.REGEXEXTRACT(CELL("address",L92), "\$([A-Z]+)\$[0-9]+"))</f>
        <v/>
      </c>
      <c r="M92" s="7" t="str">
        <f t="array" aca="1" ref="M92" ca="1">IFERROR(IF(OR('Raw Data'!M92="",LEN(TRIM('Raw Data'!M92))=0),"",IF(AND(ISNUMBER('Raw Data'!M92), IFERROR('Raw Data'!M92 = ROUND('Raw Data'!M92, 2),FALSE)),"",_xlfn.REGEXEXTRACT(CELL("address",M92), "\$([A-Z]+)\$[0-9]+"))),_xlfn.REGEXEXTRACT(CELL("address",M92), "\$([A-Z]+)\$[0-9]+"))</f>
        <v/>
      </c>
      <c r="N92" s="7" t="str">
        <f t="array" aca="1" ref="N92" ca="1">IFERROR(IF(OR('Raw Data'!N92="",LEN(TRIM('Raw Data'!N92))=0),"",IF(AND(ISNUMBER('Raw Data'!N92), IFERROR('Raw Data'!N92 = ROUND('Raw Data'!N92, 2),FALSE)),"",_xlfn.REGEXEXTRACT(CELL("address",N92), "\$([A-Z]+)\$[0-9]+"))),_xlfn.REGEXEXTRACT(CELL("address",N92), "\$([A-Z]+)\$[0-9]+"))</f>
        <v/>
      </c>
      <c r="O92" s="7" t="str">
        <f t="array" aca="1" ref="O92" ca="1">IFERROR(IF(OR('Raw Data'!O92="",LEN(TRIM('Raw Data'!O92))=0),"",IF(AND(ISNUMBER('Raw Data'!O92),'Raw Data'!O92&gt;=Configuration!$D$2),"",_xlfn.REGEXEXTRACT(CELL("address",'Raw Data'!O92),"\$([A-Z]+)\$[0-9]+"))),_xlfn.REGEXEXTRACT(CELL("address",O92), "\$([A-Z]+)\$[0-9]+"))</f>
        <v/>
      </c>
      <c r="P92" s="7" t="str">
        <f t="array" aca="1" ref="P92" ca="1">IFERROR(IF(OR('Raw Data'!P92="",LEN(TRIM('Raw Data'!P92))=0),"",IF(AND(ISNUMBER('Raw Data'!P92), IFERROR('Raw Data'!P92 = ROUND('Raw Data'!P92, 2),FALSE)),"",_xlfn.REGEXEXTRACT(CELL("address",P92), "\$([A-Z]+)\$[0-9]+"))),_xlfn.REGEXEXTRACT(CELL("address",P92), "\$([A-Z]+)\$[0-9]+"))</f>
        <v/>
      </c>
      <c r="Q92" s="7" t="str">
        <f t="array" aca="1" ref="Q92" ca="1">IFERROR(IF(OR('Raw Data'!Q92="",LEN(TRIM('Raw Data'!Q92))=0),"",IF(AND(ISNUMBER('Raw Data'!Q92), IFERROR('Raw Data'!Q92 = ROUND('Raw Data'!Q92, 2),FALSE)),"",_xlfn.REGEXEXTRACT(CELL("address",Q92), "\$([A-Z]+)\$[0-9]+"))),_xlfn.REGEXEXTRACT(CELL("address",Q92), "\$([A-Z]+)\$[0-9]+"))</f>
        <v/>
      </c>
      <c r="R92" s="7" t="str">
        <f t="array" aca="1" ref="R92" ca="1">IFERROR(IF(OR('Raw Data'!R92="",LEN(TRIM('Raw Data'!R92))=0),"",IF(AND(LEN('Raw Data'!R92) &lt;= 50,LEN('Raw Data'!R92)&gt; 0),"",_xlfn.REGEXEXTRACT(CELL("address",'Raw Data'!R92),"\$([A-Z]+)\$[0-9]+"))),_xlfn.REGEXEXTRACT(CELL("address",'Raw Data'!R92),"\$([A-Z]+)\$[0-9]+"))</f>
        <v/>
      </c>
      <c r="S92" s="7" t="str">
        <f t="array" aca="1" ref="S92" ca="1">IFERROR(IF(OR('Raw Data'!S92="",LEN(TRIM('Raw Data'!S92))=0),"",IF(AND(LEN('Raw Data'!S92) &lt;= 50,LEN('Raw Data'!S92)&gt; 0),"",_xlfn.REGEXEXTRACT(CELL("address",'Raw Data'!S92),"\$([A-Z]+)\$[0-9]+"))),_xlfn.REGEXEXTRACT(CELL("address",'Raw Data'!S92),"\$([A-Z]+)\$[0-9]+"))</f>
        <v/>
      </c>
      <c r="T92" s="7" t="str">
        <f t="array" aca="1" ref="T92" ca="1">IFERROR(IF(OR('Raw Data'!T92="",LEN(TRIM('Raw Data'!T92))=0),"",IF(AND(ISNUMBER('Raw Data'!T92), IFERROR('Raw Data'!T92 = ROUND('Raw Data'!T92, 2),FALSE)),"",_xlfn.REGEXEXTRACT(CELL("address",T92), "\$([A-Z]+)\$[0-9]+"))),_xlfn.REGEXEXTRACT(CELL("address",T92), "\$([A-Z]+)\$[0-9]+"))</f>
        <v/>
      </c>
      <c r="U92" s="7" t="str">
        <f t="array" aca="1" ref="U92" ca="1">IFERROR(IF(OR('Raw Data'!U92="",LEN(TRIM('Raw Data'!U92))=0),"",IF(AND(ISNUMBER('Raw Data'!U92), IFERROR('Raw Data'!U92 = ROUND('Raw Data'!U92, 2),FALSE)),"",_xlfn.REGEXEXTRACT(CELL("address",U92), "\$([A-Z]+)\$[0-9]+"))),_xlfn.REGEXEXTRACT(CELL("address",U92), "\$([A-Z]+)\$[0-9]+"))</f>
        <v/>
      </c>
      <c r="V92" s="7" t="str">
        <f t="array" aca="1" ref="V92" ca="1">IFERROR(IF(OR('Raw Data'!V92="",LEN(TRIM('Raw Data'!V92))=0),"",IF(AND(ISNUMBER('Raw Data'!V92), IFERROR('Raw Data'!V92 = ROUND('Raw Data'!V92, 2),FALSE)),"",_xlfn.REGEXEXTRACT(CELL("address",V92), "\$([A-Z]+)\$[0-9]+"))),_xlfn.REGEXEXTRACT(CELL("address",V92), "\$([A-Z]+)\$[0-9]+"))</f>
        <v/>
      </c>
      <c r="W92" s="7" t="str">
        <f t="array" aca="1" ref="W92" ca="1">IFERROR(IF(OR('Raw Data'!W92="",LEN(TRIM('Raw Data'!W92))=0),"",IF(AND(ISNUMBER('Raw Data'!W92), IFERROR('Raw Data'!W92 = ROUND('Raw Data'!W92, 2),FALSE)),"",_xlfn.REGEXEXTRACT(CELL("address",W92), "\$([A-Z]+)\$[0-9]+"))),_xlfn.REGEXEXTRACT(CELL("address",W92), "\$([A-Z]+)\$[0-9]+"))</f>
        <v/>
      </c>
      <c r="X92" s="7" t="str">
        <f t="array" aca="1" ref="X92" ca="1">IFERROR(IF(OR('Raw Data'!X92="",LEN(TRIM('Raw Data'!X92))=0),"",IF(AND(ISNUMBER('Raw Data'!X92), IFERROR('Raw Data'!X92 = ROUND('Raw Data'!X92, 2),FALSE)),"",_xlfn.REGEXEXTRACT(CELL("address",X92), "\$([A-Z]+)\$[0-9]+"))),_xlfn.REGEXEXTRACT(CELL("address",X92), "\$([A-Z]+)\$[0-9]+"))</f>
        <v/>
      </c>
      <c r="Y92" s="7" t="str">
        <f t="array" aca="1" ref="Y92" ca="1">IFERROR(IF(OR('Raw Data'!Y92="",LEN(TRIM('Raw Data'!Y92))=0),"",IF(AND(ISNUMBER('Raw Data'!Y92), IFERROR('Raw Data'!Y92 = ROUND('Raw Data'!Y92, 2),FALSE)),"",_xlfn.REGEXEXTRACT(CELL("address",Y92), "\$([A-Z]+)\$[0-9]+"))),_xlfn.REGEXEXTRACT(CELL("address",Y92), "\$([A-Z]+)\$[0-9]+"))</f>
        <v/>
      </c>
      <c r="Z92" s="7" t="str">
        <f t="array" aca="1" ref="Z92" ca="1">IFERROR(IF(OR('Raw Data'!Z92="",LEN(TRIM('Raw Data'!Z92))=0),"",IF(AND(ISNUMBER('Raw Data'!Z92), IFERROR('Raw Data'!Z92 = ROUND('Raw Data'!Z92, 2),FALSE)),"",_xlfn.REGEXEXTRACT(CELL("address",Z92), "\$([A-Z]+)\$[0-9]+"))),_xlfn.REGEXEXTRACT(CELL("address",Z92), "\$([A-Z]+)\$[0-9]+"))</f>
        <v/>
      </c>
      <c r="AA92" s="7" t="str">
        <f t="array" aca="1" ref="AA92" ca="1">IFERROR(IF(OR('Raw Data'!AA92="",LEN(TRIM('Raw Data'!AA92))=0),"",IF(AND(ISNUMBER('Raw Data'!AA92), IFERROR('Raw Data'!AA92 = ROUND('Raw Data'!AA92, 2),FALSE)),"",_xlfn.REGEXEXTRACT(CELL("address",AA92), "\$([A-Z]+)\$[0-9]+"))),_xlfn.REGEXEXTRACT(CELL("address",AA92), "\$([A-Z]+)\$[0-9]+"))</f>
        <v/>
      </c>
      <c r="AB92" s="7" t="str">
        <f t="array" aca="1" ref="AB92" ca="1">IFERROR(IF(OR('Raw Data'!AB92="",LEN(TRIM('Raw Data'!AB92))=0),"",IF(AND(ISNUMBER('Raw Data'!AB92), IFERROR('Raw Data'!AB92 = ROUND('Raw Data'!AB92, 2),FALSE)),"",_xlfn.REGEXEXTRACT(CELL("address",AB92), "\$([A-Z]+)\$[0-9]+"))),_xlfn.REGEXEXTRACT(CELL("address",AB92), "\$([A-Z]+)\$[0-9]+"))</f>
        <v/>
      </c>
      <c r="AC92" s="7" t="str">
        <f t="array" aca="1" ref="AC92" ca="1">IFERROR(IF(OR('Raw Data'!AC92="",LEN(TRIM('Raw Data'!AC92))=0),"",IF(AND(ISNUMBER('Raw Data'!AC92), IFERROR('Raw Data'!AC92 = ROUND('Raw Data'!AC92, 2),FALSE)),"",_xlfn.REGEXEXTRACT(CELL("address",AC92), "\$([A-Z]+)\$[0-9]+"))),_xlfn.REGEXEXTRACT(CELL("address",AC92), "\$([A-Z]+)\$[0-9]+"))</f>
        <v/>
      </c>
      <c r="AD92" s="7" t="str">
        <f t="array" aca="1" ref="AD92" ca="1">IFERROR(IF(OR('Raw Data'!AD92="",LEN(TRIM('Raw Data'!AD92))=0),"",IF(AND(ISNUMBER('Raw Data'!AD92), IFERROR('Raw Data'!AD92 = ROUND('Raw Data'!AD92, 2),FALSE)),"",_xlfn.REGEXEXTRACT(CELL("address",AD92), "\$([A-Z]+)\$[0-9]+"))),_xlfn.REGEXEXTRACT(CELL("address",AD92), "\$([A-Z]+)\$[0-9]+"))</f>
        <v/>
      </c>
      <c r="AE92" s="7" t="str">
        <f t="array" aca="1" ref="AE92" ca="1">IFERROR(IF(OR('Raw Data'!AE92="",LEN(TRIM('Raw Data'!AE92))=0),"",IF(AND(ISNUMBER('Raw Data'!AE92), IFERROR('Raw Data'!AE92 = ROUND('Raw Data'!AE92, 2),FALSE)),"",_xlfn.REGEXEXTRACT(CELL("address",AE92), "\$([A-Z]+)\$[0-9]+"))),_xlfn.REGEXEXTRACT(CELL("address",AE92), "\$([A-Z]+)\$[0-9]+"))</f>
        <v/>
      </c>
      <c r="AF92" s="7" t="str">
        <f t="array" aca="1" ref="AF92" ca="1">IFERROR(IF(OR('Raw Data'!AF92="",LEN(TRIM('Raw Data'!AF92))=0),"",IF(AND(ISNUMBER('Raw Data'!AF92), IFERROR('Raw Data'!AF92 = ROUND('Raw Data'!AF92, 2),FALSE)),"",_xlfn.REGEXEXTRACT(CELL("address",AF92), "\$([A-Z]+)\$[0-9]+"))),_xlfn.REGEXEXTRACT(CELL("address",AF92), "\$([A-Z]+)\$[0-9]+"))</f>
        <v/>
      </c>
      <c r="AG92" s="7" t="str">
        <f t="array" aca="1" ref="AG92" ca="1">IFERROR(IF(OR('Raw Data'!AG92="",LEN(TRIM('Raw Data'!AG92))=0),"",IF(AND(ISNUMBER('Raw Data'!AG92), IFERROR('Raw Data'!AG92 = ROUND('Raw Data'!AG92, 2),FALSE)),"",_xlfn.REGEXEXTRACT(CELL("address",AG92), "\$([A-Z]+)\$[0-9]+"))),_xlfn.REGEXEXTRACT(CELL("address",AG92), "\$([A-Z]+)\$[0-9]+"))</f>
        <v/>
      </c>
      <c r="AH92" s="7" t="str">
        <f t="array" aca="1" ref="AH92" ca="1">IFERROR(IF(OR('Raw Data'!AH92="",LEN(TRIM('Raw Data'!AH92))=0),"",IF(AND(ISNUMBER('Raw Data'!AH92), IFERROR('Raw Data'!AH92 = ROUND('Raw Data'!AH92, 2),FALSE)),"",_xlfn.REGEXEXTRACT(CELL("address",AH92), "\$([A-Z]+)\$[0-9]+"))),_xlfn.REGEXEXTRACT(CELL("address",AH92), "\$([A-Z]+)\$[0-9]+"))</f>
        <v/>
      </c>
      <c r="AI92" s="7" t="str">
        <f t="array" aca="1" ref="AI92" ca="1">IFERROR(IF(OR('Raw Data'!AI92="",LEN(TRIM('Raw Data'!AI92))=0),"",IF(AND(ISNUMBER('Raw Data'!AI92), IFERROR('Raw Data'!AI92 = ROUND('Raw Data'!AI92, 2),FALSE)),"",_xlfn.REGEXEXTRACT(CELL("address",AI92), "\$([A-Z]+)\$[0-9]+"))),_xlfn.REGEXEXTRACT(CELL("address",AI92), "\$([A-Z]+)\$[0-9]+"))</f>
        <v/>
      </c>
      <c r="AJ92" s="7" t="str">
        <f t="array" aca="1" ref="AJ92" ca="1">IFERROR(IF(OR('Raw Data'!AJ92="",LEN(TRIM('Raw Data'!AJ92))=0),"",IF(AND(ISNUMBER('Raw Data'!AJ92), IFERROR('Raw Data'!AJ92 = ROUND('Raw Data'!AJ92, 4),FALSE)),"",_xlfn.REGEXEXTRACT(CELL("address",AJ92), "\$([A-Z]+)\$[0-9]+"))),_xlfn.REGEXEXTRACT(CELL("address",AJ92), "\$([A-Z]+)\$[0-9]+"))</f>
        <v/>
      </c>
      <c r="AK92" s="7" t="str">
        <f t="array" aca="1" ref="AK92" ca="1">IFERROR(IF(OR('Raw Data'!AK92="",LEN(TRIM('Raw Data'!AK92))=0),"",IF(AND(ISNUMBER('Raw Data'!AK92), IFERROR('Raw Data'!AK92 = ROUND('Raw Data'!AK92, 2),FALSE)),"",_xlfn.REGEXEXTRACT(CELL("address",AK92), "\$([A-Z]+)\$[0-9]+"))),_xlfn.REGEXEXTRACT(CELL("address",AK92), "\$([A-Z]+)\$[0-9]+"))</f>
        <v/>
      </c>
      <c r="AL92" s="7" t="str">
        <f t="array" aca="1" ref="AL92" ca="1">IFERROR(IF(OR('Raw Data'!AL92="",LEN(TRIM('Raw Data'!AL92))=0),"",IF(AND(ISNUMBER('Raw Data'!AL92), IFERROR('Raw Data'!AL92 = ROUND('Raw Data'!AL92, 2),FALSE)),"",_xlfn.REGEXEXTRACT(CELL("address",AL92), "\$([A-Z]+)\$[0-9]+"))),_xlfn.REGEXEXTRACT(CELL("address",AL92), "\$([A-Z]+)\$[0-9]+"))</f>
        <v/>
      </c>
      <c r="AM92" s="7" t="str">
        <f t="array" aca="1" ref="AM92" ca="1">IFERROR(IF(OR('Raw Data'!AM92="",LEN(TRIM('Raw Data'!AM92))=0),"",IF(AND(ISNUMBER('Raw Data'!AM92), IFERROR('Raw Data'!AM92 = ROUND('Raw Data'!AM92, 2),FALSE)),"",_xlfn.REGEXEXTRACT(CELL("address",AM92), "\$([A-Z]+)\$[0-9]+"))),_xlfn.REGEXEXTRACT(CELL("address",AM92), "\$([A-Z]+)\$[0-9]+"))</f>
        <v/>
      </c>
      <c r="AN92" s="7" t="str">
        <f t="array" aca="1" ref="AN92" ca="1">IFERROR(IF(OR('Raw Data'!AN92="",LEN(TRIM('Raw Data'!AN92))=0),"",IF(AND(ISNUMBER('Raw Data'!AN92), IFERROR('Raw Data'!AN92 = ROUND('Raw Data'!AN92, 2),FALSE)),"",_xlfn.REGEXEXTRACT(CELL("address",AN92), "\$([A-Z]+)\$[0-9]+"))),_xlfn.REGEXEXTRACT(CELL("address",AN92), "\$([A-Z]+)\$[0-9]+"))</f>
        <v/>
      </c>
      <c r="AO92" s="7" t="str">
        <f t="array" aca="1" ref="AO92" ca="1">IFERROR(IF(OR('Raw Data'!AO92="",LEN(TRIM('Raw Data'!AO92))=0),"",IF(AND(ISNUMBER('Raw Data'!AO92), IFERROR('Raw Data'!AO92 = ROUND('Raw Data'!AO92, 2),FALSE)),"",_xlfn.REGEXEXTRACT(CELL("address",AO92), "\$([A-Z]+)\$[0-9]+"))),_xlfn.REGEXEXTRACT(CELL("address",AO92), "\$([A-Z]+)\$[0-9]+"))</f>
        <v/>
      </c>
      <c r="AP92" s="7" t="str">
        <f t="array" aca="1" ref="AP92" ca="1">IFERROR(IF(OR('Raw Data'!AP92="",LEN(TRIM('Raw Data'!AP92))=0),"",IF(AND(ISNUMBER('Raw Data'!AP92), IFERROR('Raw Data'!AP92 = ROUND('Raw Data'!AP92, 2),FALSE)),"",_xlfn.REGEXEXTRACT(CELL("address",AP92), "\$([A-Z]+)\$[0-9]+"))),_xlfn.REGEXEXTRACT(CELL("address",AP92), "\$([A-Z]+)\$[0-9]+"))</f>
        <v/>
      </c>
    </row>
    <row r="93" spans="2:42" x14ac:dyDescent="0.25">
      <c r="B93" s="7" t="str">
        <f t="array" aca="1" ref="B93" ca="1">IFERROR(IF(OR('Raw Data'!B93="",LEN(TRIM('Raw Data'!B93))=0),"",IF(AND(LEN('Raw Data'!B93) &lt;= 255,LEN('Raw Data'!B93)&gt; 0),"",_xlfn.REGEXEXTRACT(CELL("address",'Raw Data'!B93),"\$([A-Z]+)\$[0-9]+"))),_xlfn.REGEXEXTRACT(CELL("address",'Raw Data'!B93),"\$([A-Z]+)\$[0-9]+"))</f>
        <v/>
      </c>
      <c r="C93" s="7" t="str">
        <f t="array" aca="1" ref="C93" ca="1">IFERROR(IF(OR('Raw Data'!C93="",LEN(TRIM('Raw Data'!C93))=0),"",IF(AND(LEN('Raw Data'!C93) &lt;= 50,LEN('Raw Data'!C93)&gt; 0),"",_xlfn.REGEXEXTRACT(CELL("address",'Raw Data'!C93),"\$([A-Z]+)\$[0-9]+"))),_xlfn.REGEXEXTRACT(CELL("address",'Raw Data'!C93),"\$([A-Z]+)\$[0-9]+"))</f>
        <v/>
      </c>
      <c r="D93" s="7" t="str">
        <f t="array" aca="1" ref="D93" ca="1">IFERROR(IF(OR('Raw Data'!D93="",LEN(TRIM('Raw Data'!D93))=0),"",IF(AND(LEN('Raw Data'!D93) &lt;= 500,LEN('Raw Data'!D93)&gt; 0),"",_xlfn.REGEXEXTRACT(CELL("address",'Raw Data'!D93),"\$([A-Z]+)\$[0-9]+"))),_xlfn.REGEXEXTRACT(CELL("address",'Raw Data'!D93),"\$([A-Z]+)\$[0-9]+"))</f>
        <v/>
      </c>
      <c r="E93" s="7" t="str">
        <f t="array" aca="1" ref="E93" ca="1">IFERROR(IF(OR('Raw Data'!E93="",LEN(TRIM('Raw Data'!E93))=0),"",IF(AND(LEN('Raw Data'!E93) &lt;= 50,LEN('Raw Data'!E93)&gt; 0),"",_xlfn.REGEXEXTRACT(CELL("address",'Raw Data'!E93),"\$([A-Z]+)\$[0-9]+"))),_xlfn.REGEXEXTRACT(CELL("address",'Raw Data'!E93),"\$([A-Z]+)\$[0-9]+"))</f>
        <v/>
      </c>
      <c r="F93" s="7" t="str">
        <f t="array" aca="1" ref="F93" ca="1">IFERROR(IF(OR('Raw Data'!F93="",LEN(TRIM('Raw Data'!F93))=0),"",IF(AND(LEN('Raw Data'!F93) &lt;= 50,LEN('Raw Data'!F93)&gt; 0),"",_xlfn.REGEXEXTRACT(CELL("address",'Raw Data'!F93),"\$([A-Z]+)\$[0-9]+"))),_xlfn.REGEXEXTRACT(CELL("address",'Raw Data'!F93),"\$([A-Z]+)\$[0-9]+"))</f>
        <v/>
      </c>
      <c r="G93" s="7" t="str">
        <f t="array" aca="1" ref="G93" ca="1">IFERROR(IF(OR('Raw Data'!G93="",LEN(TRIM('Raw Data'!G93))=0),"",IF(AND(LEN('Raw Data'!G93) &lt;= 50,LEN('Raw Data'!G93)&gt; 0),"",_xlfn.REGEXEXTRACT(CELL("address",'Raw Data'!G93),"\$([A-Z]+)\$[0-9]+"))),_xlfn.REGEXEXTRACT(CELL("address",'Raw Data'!G93),"\$([A-Z]+)\$[0-9]+"))</f>
        <v/>
      </c>
      <c r="H93" s="7" t="str">
        <f t="array" aca="1" ref="H93" ca="1">IFERROR(IF(OR('Raw Data'!H93="",LEN(TRIM('Raw Data'!H93))=0),"",IF(AND(LEN('Raw Data'!H93) &lt;= 50,LEN('Raw Data'!H93)&gt; 0),"",_xlfn.REGEXEXTRACT(CELL("address",'Raw Data'!H93),"\$([A-Z]+)\$[0-9]+"))),_xlfn.REGEXEXTRACT(CELL("address",'Raw Data'!H93),"\$([A-Z]+)\$[0-9]+"))</f>
        <v/>
      </c>
      <c r="I93" s="7" t="str">
        <f t="array" aca="1" ref="I93" ca="1">IFERROR(IF(OR('Raw Data'!I93="",LEN(TRIM('Raw Data'!I93))=0),"",IF(AND(LEN('Raw Data'!I93) &lt;= 50,LEN('Raw Data'!I93)&gt; 0),"",_xlfn.REGEXEXTRACT(CELL("address",'Raw Data'!I93),"\$([A-Z]+)\$[0-9]+"))),_xlfn.REGEXEXTRACT(CELL("address",'Raw Data'!I93),"\$([A-Z]+)\$[0-9]+"))</f>
        <v/>
      </c>
      <c r="J93" s="7" t="str">
        <f t="array" aca="1" ref="J93" ca="1">IFERROR(IF(OR('Raw Data'!J93="",LEN(TRIM('Raw Data'!J93))=0),"",IF(AND(ISNUMBER('Raw Data'!J93), IFERROR('Raw Data'!J93 = ROUND('Raw Data'!J93, 2),FALSE)),"",_xlfn.REGEXEXTRACT(CELL("address",J93), "\$([A-Z]+)\$[0-9]+"))),_xlfn.REGEXEXTRACT(CELL("address",J93), "\$([A-Z]+)\$[0-9]+"))</f>
        <v/>
      </c>
      <c r="K93" s="7" t="str">
        <f t="array" aca="1" ref="K93" ca="1">IFERROR(IF(OR('Raw Data'!K93="",LEN(TRIM('Raw Data'!K93))=0),"",IF(AND(ISNUMBER('Raw Data'!K93), IFERROR('Raw Data'!K93 = ROUND('Raw Data'!K93, 2),FALSE)),"",_xlfn.REGEXEXTRACT(CELL("address",K93), "\$([A-Z]+)\$[0-9]+"))),_xlfn.REGEXEXTRACT(CELL("address",K93), "\$([A-Z]+)\$[0-9]+"))</f>
        <v/>
      </c>
      <c r="L93" s="7" t="str">
        <f t="array" aca="1" ref="L93" ca="1">IFERROR(IF(OR('Raw Data'!L93="",LEN(TRIM('Raw Data'!L93))=0),"",IF(AND(ISNUMBER('Raw Data'!L93), IFERROR('Raw Data'!L93 = ROUND('Raw Data'!L93, 2),FALSE)),"",_xlfn.REGEXEXTRACT(CELL("address",L93), "\$([A-Z]+)\$[0-9]+"))),_xlfn.REGEXEXTRACT(CELL("address",L93), "\$([A-Z]+)\$[0-9]+"))</f>
        <v/>
      </c>
      <c r="M93" s="7" t="str">
        <f t="array" aca="1" ref="M93" ca="1">IFERROR(IF(OR('Raw Data'!M93="",LEN(TRIM('Raw Data'!M93))=0),"",IF(AND(ISNUMBER('Raw Data'!M93), IFERROR('Raw Data'!M93 = ROUND('Raw Data'!M93, 2),FALSE)),"",_xlfn.REGEXEXTRACT(CELL("address",M93), "\$([A-Z]+)\$[0-9]+"))),_xlfn.REGEXEXTRACT(CELL("address",M93), "\$([A-Z]+)\$[0-9]+"))</f>
        <v/>
      </c>
      <c r="N93" s="7" t="str">
        <f t="array" aca="1" ref="N93" ca="1">IFERROR(IF(OR('Raw Data'!N93="",LEN(TRIM('Raw Data'!N93))=0),"",IF(AND(ISNUMBER('Raw Data'!N93), IFERROR('Raw Data'!N93 = ROUND('Raw Data'!N93, 2),FALSE)),"",_xlfn.REGEXEXTRACT(CELL("address",N93), "\$([A-Z]+)\$[0-9]+"))),_xlfn.REGEXEXTRACT(CELL("address",N93), "\$([A-Z]+)\$[0-9]+"))</f>
        <v/>
      </c>
      <c r="O93" s="7" t="str">
        <f t="array" aca="1" ref="O93" ca="1">IFERROR(IF(OR('Raw Data'!O93="",LEN(TRIM('Raw Data'!O93))=0),"",IF(AND(ISNUMBER('Raw Data'!O93),'Raw Data'!O93&gt;=Configuration!$D$2),"",_xlfn.REGEXEXTRACT(CELL("address",'Raw Data'!O93),"\$([A-Z]+)\$[0-9]+"))),_xlfn.REGEXEXTRACT(CELL("address",O93), "\$([A-Z]+)\$[0-9]+"))</f>
        <v/>
      </c>
      <c r="P93" s="7" t="str">
        <f t="array" aca="1" ref="P93" ca="1">IFERROR(IF(OR('Raw Data'!P93="",LEN(TRIM('Raw Data'!P93))=0),"",IF(AND(ISNUMBER('Raw Data'!P93), IFERROR('Raw Data'!P93 = ROUND('Raw Data'!P93, 2),FALSE)),"",_xlfn.REGEXEXTRACT(CELL("address",P93), "\$([A-Z]+)\$[0-9]+"))),_xlfn.REGEXEXTRACT(CELL("address",P93), "\$([A-Z]+)\$[0-9]+"))</f>
        <v/>
      </c>
      <c r="Q93" s="7" t="str">
        <f t="array" aca="1" ref="Q93" ca="1">IFERROR(IF(OR('Raw Data'!Q93="",LEN(TRIM('Raw Data'!Q93))=0),"",IF(AND(ISNUMBER('Raw Data'!Q93), IFERROR('Raw Data'!Q93 = ROUND('Raw Data'!Q93, 2),FALSE)),"",_xlfn.REGEXEXTRACT(CELL("address",Q93), "\$([A-Z]+)\$[0-9]+"))),_xlfn.REGEXEXTRACT(CELL("address",Q93), "\$([A-Z]+)\$[0-9]+"))</f>
        <v/>
      </c>
      <c r="R93" s="7" t="str">
        <f t="array" aca="1" ref="R93" ca="1">IFERROR(IF(OR('Raw Data'!R93="",LEN(TRIM('Raw Data'!R93))=0),"",IF(AND(LEN('Raw Data'!R93) &lt;= 50,LEN('Raw Data'!R93)&gt; 0),"",_xlfn.REGEXEXTRACT(CELL("address",'Raw Data'!R93),"\$([A-Z]+)\$[0-9]+"))),_xlfn.REGEXEXTRACT(CELL("address",'Raw Data'!R93),"\$([A-Z]+)\$[0-9]+"))</f>
        <v/>
      </c>
      <c r="S93" s="7" t="str">
        <f t="array" aca="1" ref="S93" ca="1">IFERROR(IF(OR('Raw Data'!S93="",LEN(TRIM('Raw Data'!S93))=0),"",IF(AND(LEN('Raw Data'!S93) &lt;= 50,LEN('Raw Data'!S93)&gt; 0),"",_xlfn.REGEXEXTRACT(CELL("address",'Raw Data'!S93),"\$([A-Z]+)\$[0-9]+"))),_xlfn.REGEXEXTRACT(CELL("address",'Raw Data'!S93),"\$([A-Z]+)\$[0-9]+"))</f>
        <v/>
      </c>
      <c r="T93" s="7" t="str">
        <f t="array" aca="1" ref="T93" ca="1">IFERROR(IF(OR('Raw Data'!T93="",LEN(TRIM('Raw Data'!T93))=0),"",IF(AND(ISNUMBER('Raw Data'!T93), IFERROR('Raw Data'!T93 = ROUND('Raw Data'!T93, 2),FALSE)),"",_xlfn.REGEXEXTRACT(CELL("address",T93), "\$([A-Z]+)\$[0-9]+"))),_xlfn.REGEXEXTRACT(CELL("address",T93), "\$([A-Z]+)\$[0-9]+"))</f>
        <v/>
      </c>
      <c r="U93" s="7" t="str">
        <f t="array" aca="1" ref="U93" ca="1">IFERROR(IF(OR('Raw Data'!U93="",LEN(TRIM('Raw Data'!U93))=0),"",IF(AND(ISNUMBER('Raw Data'!U93), IFERROR('Raw Data'!U93 = ROUND('Raw Data'!U93, 2),FALSE)),"",_xlfn.REGEXEXTRACT(CELL("address",U93), "\$([A-Z]+)\$[0-9]+"))),_xlfn.REGEXEXTRACT(CELL("address",U93), "\$([A-Z]+)\$[0-9]+"))</f>
        <v/>
      </c>
      <c r="V93" s="7" t="str">
        <f t="array" aca="1" ref="V93" ca="1">IFERROR(IF(OR('Raw Data'!V93="",LEN(TRIM('Raw Data'!V93))=0),"",IF(AND(ISNUMBER('Raw Data'!V93), IFERROR('Raw Data'!V93 = ROUND('Raw Data'!V93, 2),FALSE)),"",_xlfn.REGEXEXTRACT(CELL("address",V93), "\$([A-Z]+)\$[0-9]+"))),_xlfn.REGEXEXTRACT(CELL("address",V93), "\$([A-Z]+)\$[0-9]+"))</f>
        <v/>
      </c>
      <c r="W93" s="7" t="str">
        <f t="array" aca="1" ref="W93" ca="1">IFERROR(IF(OR('Raw Data'!W93="",LEN(TRIM('Raw Data'!W93))=0),"",IF(AND(ISNUMBER('Raw Data'!W93), IFERROR('Raw Data'!W93 = ROUND('Raw Data'!W93, 2),FALSE)),"",_xlfn.REGEXEXTRACT(CELL("address",W93), "\$([A-Z]+)\$[0-9]+"))),_xlfn.REGEXEXTRACT(CELL("address",W93), "\$([A-Z]+)\$[0-9]+"))</f>
        <v/>
      </c>
      <c r="X93" s="7" t="str">
        <f t="array" aca="1" ref="X93" ca="1">IFERROR(IF(OR('Raw Data'!X93="",LEN(TRIM('Raw Data'!X93))=0),"",IF(AND(ISNUMBER('Raw Data'!X93), IFERROR('Raw Data'!X93 = ROUND('Raw Data'!X93, 2),FALSE)),"",_xlfn.REGEXEXTRACT(CELL("address",X93), "\$([A-Z]+)\$[0-9]+"))),_xlfn.REGEXEXTRACT(CELL("address",X93), "\$([A-Z]+)\$[0-9]+"))</f>
        <v/>
      </c>
      <c r="Y93" s="7" t="str">
        <f t="array" aca="1" ref="Y93" ca="1">IFERROR(IF(OR('Raw Data'!Y93="",LEN(TRIM('Raw Data'!Y93))=0),"",IF(AND(ISNUMBER('Raw Data'!Y93), IFERROR('Raw Data'!Y93 = ROUND('Raw Data'!Y93, 2),FALSE)),"",_xlfn.REGEXEXTRACT(CELL("address",Y93), "\$([A-Z]+)\$[0-9]+"))),_xlfn.REGEXEXTRACT(CELL("address",Y93), "\$([A-Z]+)\$[0-9]+"))</f>
        <v/>
      </c>
      <c r="Z93" s="7" t="str">
        <f t="array" aca="1" ref="Z93" ca="1">IFERROR(IF(OR('Raw Data'!Z93="",LEN(TRIM('Raw Data'!Z93))=0),"",IF(AND(ISNUMBER('Raw Data'!Z93), IFERROR('Raw Data'!Z93 = ROUND('Raw Data'!Z93, 2),FALSE)),"",_xlfn.REGEXEXTRACT(CELL("address",Z93), "\$([A-Z]+)\$[0-9]+"))),_xlfn.REGEXEXTRACT(CELL("address",Z93), "\$([A-Z]+)\$[0-9]+"))</f>
        <v/>
      </c>
      <c r="AA93" s="7" t="str">
        <f t="array" aca="1" ref="AA93" ca="1">IFERROR(IF(OR('Raw Data'!AA93="",LEN(TRIM('Raw Data'!AA93))=0),"",IF(AND(ISNUMBER('Raw Data'!AA93), IFERROR('Raw Data'!AA93 = ROUND('Raw Data'!AA93, 2),FALSE)),"",_xlfn.REGEXEXTRACT(CELL("address",AA93), "\$([A-Z]+)\$[0-9]+"))),_xlfn.REGEXEXTRACT(CELL("address",AA93), "\$([A-Z]+)\$[0-9]+"))</f>
        <v/>
      </c>
      <c r="AB93" s="7" t="str">
        <f t="array" aca="1" ref="AB93" ca="1">IFERROR(IF(OR('Raw Data'!AB93="",LEN(TRIM('Raw Data'!AB93))=0),"",IF(AND(ISNUMBER('Raw Data'!AB93), IFERROR('Raw Data'!AB93 = ROUND('Raw Data'!AB93, 2),FALSE)),"",_xlfn.REGEXEXTRACT(CELL("address",AB93), "\$([A-Z]+)\$[0-9]+"))),_xlfn.REGEXEXTRACT(CELL("address",AB93), "\$([A-Z]+)\$[0-9]+"))</f>
        <v/>
      </c>
      <c r="AC93" s="7" t="str">
        <f t="array" aca="1" ref="AC93" ca="1">IFERROR(IF(OR('Raw Data'!AC93="",LEN(TRIM('Raw Data'!AC93))=0),"",IF(AND(ISNUMBER('Raw Data'!AC93), IFERROR('Raw Data'!AC93 = ROUND('Raw Data'!AC93, 2),FALSE)),"",_xlfn.REGEXEXTRACT(CELL("address",AC93), "\$([A-Z]+)\$[0-9]+"))),_xlfn.REGEXEXTRACT(CELL("address",AC93), "\$([A-Z]+)\$[0-9]+"))</f>
        <v/>
      </c>
      <c r="AD93" s="7" t="str">
        <f t="array" aca="1" ref="AD93" ca="1">IFERROR(IF(OR('Raw Data'!AD93="",LEN(TRIM('Raw Data'!AD93))=0),"",IF(AND(ISNUMBER('Raw Data'!AD93), IFERROR('Raw Data'!AD93 = ROUND('Raw Data'!AD93, 2),FALSE)),"",_xlfn.REGEXEXTRACT(CELL("address",AD93), "\$([A-Z]+)\$[0-9]+"))),_xlfn.REGEXEXTRACT(CELL("address",AD93), "\$([A-Z]+)\$[0-9]+"))</f>
        <v/>
      </c>
      <c r="AE93" s="7" t="str">
        <f t="array" aca="1" ref="AE93" ca="1">IFERROR(IF(OR('Raw Data'!AE93="",LEN(TRIM('Raw Data'!AE93))=0),"",IF(AND(ISNUMBER('Raw Data'!AE93), IFERROR('Raw Data'!AE93 = ROUND('Raw Data'!AE93, 2),FALSE)),"",_xlfn.REGEXEXTRACT(CELL("address",AE93), "\$([A-Z]+)\$[0-9]+"))),_xlfn.REGEXEXTRACT(CELL("address",AE93), "\$([A-Z]+)\$[0-9]+"))</f>
        <v/>
      </c>
      <c r="AF93" s="7" t="str">
        <f t="array" aca="1" ref="AF93" ca="1">IFERROR(IF(OR('Raw Data'!AF93="",LEN(TRIM('Raw Data'!AF93))=0),"",IF(AND(ISNUMBER('Raw Data'!AF93), IFERROR('Raw Data'!AF93 = ROUND('Raw Data'!AF93, 2),FALSE)),"",_xlfn.REGEXEXTRACT(CELL("address",AF93), "\$([A-Z]+)\$[0-9]+"))),_xlfn.REGEXEXTRACT(CELL("address",AF93), "\$([A-Z]+)\$[0-9]+"))</f>
        <v/>
      </c>
      <c r="AG93" s="7" t="str">
        <f t="array" aca="1" ref="AG93" ca="1">IFERROR(IF(OR('Raw Data'!AG93="",LEN(TRIM('Raw Data'!AG93))=0),"",IF(AND(ISNUMBER('Raw Data'!AG93), IFERROR('Raw Data'!AG93 = ROUND('Raw Data'!AG93, 2),FALSE)),"",_xlfn.REGEXEXTRACT(CELL("address",AG93), "\$([A-Z]+)\$[0-9]+"))),_xlfn.REGEXEXTRACT(CELL("address",AG93), "\$([A-Z]+)\$[0-9]+"))</f>
        <v/>
      </c>
      <c r="AH93" s="7" t="str">
        <f t="array" aca="1" ref="AH93" ca="1">IFERROR(IF(OR('Raw Data'!AH93="",LEN(TRIM('Raw Data'!AH93))=0),"",IF(AND(ISNUMBER('Raw Data'!AH93), IFERROR('Raw Data'!AH93 = ROUND('Raw Data'!AH93, 2),FALSE)),"",_xlfn.REGEXEXTRACT(CELL("address",AH93), "\$([A-Z]+)\$[0-9]+"))),_xlfn.REGEXEXTRACT(CELL("address",AH93), "\$([A-Z]+)\$[0-9]+"))</f>
        <v/>
      </c>
      <c r="AI93" s="7" t="str">
        <f t="array" aca="1" ref="AI93" ca="1">IFERROR(IF(OR('Raw Data'!AI93="",LEN(TRIM('Raw Data'!AI93))=0),"",IF(AND(ISNUMBER('Raw Data'!AI93), IFERROR('Raw Data'!AI93 = ROUND('Raw Data'!AI93, 2),FALSE)),"",_xlfn.REGEXEXTRACT(CELL("address",AI93), "\$([A-Z]+)\$[0-9]+"))),_xlfn.REGEXEXTRACT(CELL("address",AI93), "\$([A-Z]+)\$[0-9]+"))</f>
        <v/>
      </c>
      <c r="AJ93" s="7" t="str">
        <f t="array" aca="1" ref="AJ93" ca="1">IFERROR(IF(OR('Raw Data'!AJ93="",LEN(TRIM('Raw Data'!AJ93))=0),"",IF(AND(ISNUMBER('Raw Data'!AJ93), IFERROR('Raw Data'!AJ93 = ROUND('Raw Data'!AJ93, 4),FALSE)),"",_xlfn.REGEXEXTRACT(CELL("address",AJ93), "\$([A-Z]+)\$[0-9]+"))),_xlfn.REGEXEXTRACT(CELL("address",AJ93), "\$([A-Z]+)\$[0-9]+"))</f>
        <v/>
      </c>
      <c r="AK93" s="7" t="str">
        <f t="array" aca="1" ref="AK93" ca="1">IFERROR(IF(OR('Raw Data'!AK93="",LEN(TRIM('Raw Data'!AK93))=0),"",IF(AND(ISNUMBER('Raw Data'!AK93), IFERROR('Raw Data'!AK93 = ROUND('Raw Data'!AK93, 2),FALSE)),"",_xlfn.REGEXEXTRACT(CELL("address",AK93), "\$([A-Z]+)\$[0-9]+"))),_xlfn.REGEXEXTRACT(CELL("address",AK93), "\$([A-Z]+)\$[0-9]+"))</f>
        <v/>
      </c>
      <c r="AL93" s="7" t="str">
        <f t="array" aca="1" ref="AL93" ca="1">IFERROR(IF(OR('Raw Data'!AL93="",LEN(TRIM('Raw Data'!AL93))=0),"",IF(AND(ISNUMBER('Raw Data'!AL93), IFERROR('Raw Data'!AL93 = ROUND('Raw Data'!AL93, 2),FALSE)),"",_xlfn.REGEXEXTRACT(CELL("address",AL93), "\$([A-Z]+)\$[0-9]+"))),_xlfn.REGEXEXTRACT(CELL("address",AL93), "\$([A-Z]+)\$[0-9]+"))</f>
        <v/>
      </c>
      <c r="AM93" s="7" t="str">
        <f t="array" aca="1" ref="AM93" ca="1">IFERROR(IF(OR('Raw Data'!AM93="",LEN(TRIM('Raw Data'!AM93))=0),"",IF(AND(ISNUMBER('Raw Data'!AM93), IFERROR('Raw Data'!AM93 = ROUND('Raw Data'!AM93, 2),FALSE)),"",_xlfn.REGEXEXTRACT(CELL("address",AM93), "\$([A-Z]+)\$[0-9]+"))),_xlfn.REGEXEXTRACT(CELL("address",AM93), "\$([A-Z]+)\$[0-9]+"))</f>
        <v/>
      </c>
      <c r="AN93" s="7" t="str">
        <f t="array" aca="1" ref="AN93" ca="1">IFERROR(IF(OR('Raw Data'!AN93="",LEN(TRIM('Raw Data'!AN93))=0),"",IF(AND(ISNUMBER('Raw Data'!AN93), IFERROR('Raw Data'!AN93 = ROUND('Raw Data'!AN93, 2),FALSE)),"",_xlfn.REGEXEXTRACT(CELL("address",AN93), "\$([A-Z]+)\$[0-9]+"))),_xlfn.REGEXEXTRACT(CELL("address",AN93), "\$([A-Z]+)\$[0-9]+"))</f>
        <v/>
      </c>
      <c r="AO93" s="7" t="str">
        <f t="array" aca="1" ref="AO93" ca="1">IFERROR(IF(OR('Raw Data'!AO93="",LEN(TRIM('Raw Data'!AO93))=0),"",IF(AND(ISNUMBER('Raw Data'!AO93), IFERROR('Raw Data'!AO93 = ROUND('Raw Data'!AO93, 2),FALSE)),"",_xlfn.REGEXEXTRACT(CELL("address",AO93), "\$([A-Z]+)\$[0-9]+"))),_xlfn.REGEXEXTRACT(CELL("address",AO93), "\$([A-Z]+)\$[0-9]+"))</f>
        <v/>
      </c>
      <c r="AP93" s="7" t="str">
        <f t="array" aca="1" ref="AP93" ca="1">IFERROR(IF(OR('Raw Data'!AP93="",LEN(TRIM('Raw Data'!AP93))=0),"",IF(AND(ISNUMBER('Raw Data'!AP93), IFERROR('Raw Data'!AP93 = ROUND('Raw Data'!AP93, 2),FALSE)),"",_xlfn.REGEXEXTRACT(CELL("address",AP93), "\$([A-Z]+)\$[0-9]+"))),_xlfn.REGEXEXTRACT(CELL("address",AP93), "\$([A-Z]+)\$[0-9]+"))</f>
        <v/>
      </c>
    </row>
    <row r="94" spans="2:42" x14ac:dyDescent="0.25">
      <c r="B94" s="7" t="str">
        <f t="array" aca="1" ref="B94" ca="1">IFERROR(IF(OR('Raw Data'!B94="",LEN(TRIM('Raw Data'!B94))=0),"",IF(AND(LEN('Raw Data'!B94) &lt;= 255,LEN('Raw Data'!B94)&gt; 0),"",_xlfn.REGEXEXTRACT(CELL("address",'Raw Data'!B94),"\$([A-Z]+)\$[0-9]+"))),_xlfn.REGEXEXTRACT(CELL("address",'Raw Data'!B94),"\$([A-Z]+)\$[0-9]+"))</f>
        <v/>
      </c>
      <c r="C94" s="7" t="str">
        <f t="array" aca="1" ref="C94" ca="1">IFERROR(IF(OR('Raw Data'!C94="",LEN(TRIM('Raw Data'!C94))=0),"",IF(AND(LEN('Raw Data'!C94) &lt;= 50,LEN('Raw Data'!C94)&gt; 0),"",_xlfn.REGEXEXTRACT(CELL("address",'Raw Data'!C94),"\$([A-Z]+)\$[0-9]+"))),_xlfn.REGEXEXTRACT(CELL("address",'Raw Data'!C94),"\$([A-Z]+)\$[0-9]+"))</f>
        <v/>
      </c>
      <c r="D94" s="7" t="str">
        <f t="array" aca="1" ref="D94" ca="1">IFERROR(IF(OR('Raw Data'!D94="",LEN(TRIM('Raw Data'!D94))=0),"",IF(AND(LEN('Raw Data'!D94) &lt;= 500,LEN('Raw Data'!D94)&gt; 0),"",_xlfn.REGEXEXTRACT(CELL("address",'Raw Data'!D94),"\$([A-Z]+)\$[0-9]+"))),_xlfn.REGEXEXTRACT(CELL("address",'Raw Data'!D94),"\$([A-Z]+)\$[0-9]+"))</f>
        <v/>
      </c>
      <c r="E94" s="7" t="str">
        <f t="array" aca="1" ref="E94" ca="1">IFERROR(IF(OR('Raw Data'!E94="",LEN(TRIM('Raw Data'!E94))=0),"",IF(AND(LEN('Raw Data'!E94) &lt;= 50,LEN('Raw Data'!E94)&gt; 0),"",_xlfn.REGEXEXTRACT(CELL("address",'Raw Data'!E94),"\$([A-Z]+)\$[0-9]+"))),_xlfn.REGEXEXTRACT(CELL("address",'Raw Data'!E94),"\$([A-Z]+)\$[0-9]+"))</f>
        <v/>
      </c>
      <c r="F94" s="7" t="str">
        <f t="array" aca="1" ref="F94" ca="1">IFERROR(IF(OR('Raw Data'!F94="",LEN(TRIM('Raw Data'!F94))=0),"",IF(AND(LEN('Raw Data'!F94) &lt;= 50,LEN('Raw Data'!F94)&gt; 0),"",_xlfn.REGEXEXTRACT(CELL("address",'Raw Data'!F94),"\$([A-Z]+)\$[0-9]+"))),_xlfn.REGEXEXTRACT(CELL("address",'Raw Data'!F94),"\$([A-Z]+)\$[0-9]+"))</f>
        <v/>
      </c>
      <c r="G94" s="7" t="str">
        <f t="array" aca="1" ref="G94" ca="1">IFERROR(IF(OR('Raw Data'!G94="",LEN(TRIM('Raw Data'!G94))=0),"",IF(AND(LEN('Raw Data'!G94) &lt;= 50,LEN('Raw Data'!G94)&gt; 0),"",_xlfn.REGEXEXTRACT(CELL("address",'Raw Data'!G94),"\$([A-Z]+)\$[0-9]+"))),_xlfn.REGEXEXTRACT(CELL("address",'Raw Data'!G94),"\$([A-Z]+)\$[0-9]+"))</f>
        <v/>
      </c>
      <c r="H94" s="7" t="str">
        <f t="array" aca="1" ref="H94" ca="1">IFERROR(IF(OR('Raw Data'!H94="",LEN(TRIM('Raw Data'!H94))=0),"",IF(AND(LEN('Raw Data'!H94) &lt;= 50,LEN('Raw Data'!H94)&gt; 0),"",_xlfn.REGEXEXTRACT(CELL("address",'Raw Data'!H94),"\$([A-Z]+)\$[0-9]+"))),_xlfn.REGEXEXTRACT(CELL("address",'Raw Data'!H94),"\$([A-Z]+)\$[0-9]+"))</f>
        <v/>
      </c>
      <c r="I94" s="7" t="str">
        <f t="array" aca="1" ref="I94" ca="1">IFERROR(IF(OR('Raw Data'!I94="",LEN(TRIM('Raw Data'!I94))=0),"",IF(AND(LEN('Raw Data'!I94) &lt;= 50,LEN('Raw Data'!I94)&gt; 0),"",_xlfn.REGEXEXTRACT(CELL("address",'Raw Data'!I94),"\$([A-Z]+)\$[0-9]+"))),_xlfn.REGEXEXTRACT(CELL("address",'Raw Data'!I94),"\$([A-Z]+)\$[0-9]+"))</f>
        <v/>
      </c>
      <c r="J94" s="7" t="str">
        <f t="array" aca="1" ref="J94" ca="1">IFERROR(IF(OR('Raw Data'!J94="",LEN(TRIM('Raw Data'!J94))=0),"",IF(AND(ISNUMBER('Raw Data'!J94), IFERROR('Raw Data'!J94 = ROUND('Raw Data'!J94, 2),FALSE)),"",_xlfn.REGEXEXTRACT(CELL("address",J94), "\$([A-Z]+)\$[0-9]+"))),_xlfn.REGEXEXTRACT(CELL("address",J94), "\$([A-Z]+)\$[0-9]+"))</f>
        <v/>
      </c>
      <c r="K94" s="7" t="str">
        <f t="array" aca="1" ref="K94" ca="1">IFERROR(IF(OR('Raw Data'!K94="",LEN(TRIM('Raw Data'!K94))=0),"",IF(AND(ISNUMBER('Raw Data'!K94), IFERROR('Raw Data'!K94 = ROUND('Raw Data'!K94, 2),FALSE)),"",_xlfn.REGEXEXTRACT(CELL("address",K94), "\$([A-Z]+)\$[0-9]+"))),_xlfn.REGEXEXTRACT(CELL("address",K94), "\$([A-Z]+)\$[0-9]+"))</f>
        <v/>
      </c>
      <c r="L94" s="7" t="str">
        <f t="array" aca="1" ref="L94" ca="1">IFERROR(IF(OR('Raw Data'!L94="",LEN(TRIM('Raw Data'!L94))=0),"",IF(AND(ISNUMBER('Raw Data'!L94), IFERROR('Raw Data'!L94 = ROUND('Raw Data'!L94, 2),FALSE)),"",_xlfn.REGEXEXTRACT(CELL("address",L94), "\$([A-Z]+)\$[0-9]+"))),_xlfn.REGEXEXTRACT(CELL("address",L94), "\$([A-Z]+)\$[0-9]+"))</f>
        <v/>
      </c>
      <c r="M94" s="7" t="str">
        <f t="array" aca="1" ref="M94" ca="1">IFERROR(IF(OR('Raw Data'!M94="",LEN(TRIM('Raw Data'!M94))=0),"",IF(AND(ISNUMBER('Raw Data'!M94), IFERROR('Raw Data'!M94 = ROUND('Raw Data'!M94, 2),FALSE)),"",_xlfn.REGEXEXTRACT(CELL("address",M94), "\$([A-Z]+)\$[0-9]+"))),_xlfn.REGEXEXTRACT(CELL("address",M94), "\$([A-Z]+)\$[0-9]+"))</f>
        <v/>
      </c>
      <c r="N94" s="7" t="str">
        <f t="array" aca="1" ref="N94" ca="1">IFERROR(IF(OR('Raw Data'!N94="",LEN(TRIM('Raw Data'!N94))=0),"",IF(AND(ISNUMBER('Raw Data'!N94), IFERROR('Raw Data'!N94 = ROUND('Raw Data'!N94, 2),FALSE)),"",_xlfn.REGEXEXTRACT(CELL("address",N94), "\$([A-Z]+)\$[0-9]+"))),_xlfn.REGEXEXTRACT(CELL("address",N94), "\$([A-Z]+)\$[0-9]+"))</f>
        <v/>
      </c>
      <c r="O94" s="7" t="str">
        <f t="array" aca="1" ref="O94" ca="1">IFERROR(IF(OR('Raw Data'!O94="",LEN(TRIM('Raw Data'!O94))=0),"",IF(AND(ISNUMBER('Raw Data'!O94),'Raw Data'!O94&gt;=Configuration!$D$2),"",_xlfn.REGEXEXTRACT(CELL("address",'Raw Data'!O94),"\$([A-Z]+)\$[0-9]+"))),_xlfn.REGEXEXTRACT(CELL("address",O94), "\$([A-Z]+)\$[0-9]+"))</f>
        <v/>
      </c>
      <c r="P94" s="7" t="str">
        <f t="array" aca="1" ref="P94" ca="1">IFERROR(IF(OR('Raw Data'!P94="",LEN(TRIM('Raw Data'!P94))=0),"",IF(AND(ISNUMBER('Raw Data'!P94), IFERROR('Raw Data'!P94 = ROUND('Raw Data'!P94, 2),FALSE)),"",_xlfn.REGEXEXTRACT(CELL("address",P94), "\$([A-Z]+)\$[0-9]+"))),_xlfn.REGEXEXTRACT(CELL("address",P94), "\$([A-Z]+)\$[0-9]+"))</f>
        <v/>
      </c>
      <c r="Q94" s="7" t="str">
        <f t="array" aca="1" ref="Q94" ca="1">IFERROR(IF(OR('Raw Data'!Q94="",LEN(TRIM('Raw Data'!Q94))=0),"",IF(AND(ISNUMBER('Raw Data'!Q94), IFERROR('Raw Data'!Q94 = ROUND('Raw Data'!Q94, 2),FALSE)),"",_xlfn.REGEXEXTRACT(CELL("address",Q94), "\$([A-Z]+)\$[0-9]+"))),_xlfn.REGEXEXTRACT(CELL("address",Q94), "\$([A-Z]+)\$[0-9]+"))</f>
        <v/>
      </c>
      <c r="R94" s="7" t="str">
        <f t="array" aca="1" ref="R94" ca="1">IFERROR(IF(OR('Raw Data'!R94="",LEN(TRIM('Raw Data'!R94))=0),"",IF(AND(LEN('Raw Data'!R94) &lt;= 50,LEN('Raw Data'!R94)&gt; 0),"",_xlfn.REGEXEXTRACT(CELL("address",'Raw Data'!R94),"\$([A-Z]+)\$[0-9]+"))),_xlfn.REGEXEXTRACT(CELL("address",'Raw Data'!R94),"\$([A-Z]+)\$[0-9]+"))</f>
        <v/>
      </c>
      <c r="S94" s="7" t="str">
        <f t="array" aca="1" ref="S94" ca="1">IFERROR(IF(OR('Raw Data'!S94="",LEN(TRIM('Raw Data'!S94))=0),"",IF(AND(LEN('Raw Data'!S94) &lt;= 50,LEN('Raw Data'!S94)&gt; 0),"",_xlfn.REGEXEXTRACT(CELL("address",'Raw Data'!S94),"\$([A-Z]+)\$[0-9]+"))),_xlfn.REGEXEXTRACT(CELL("address",'Raw Data'!S94),"\$([A-Z]+)\$[0-9]+"))</f>
        <v/>
      </c>
      <c r="T94" s="7" t="str">
        <f t="array" aca="1" ref="T94" ca="1">IFERROR(IF(OR('Raw Data'!T94="",LEN(TRIM('Raw Data'!T94))=0),"",IF(AND(ISNUMBER('Raw Data'!T94), IFERROR('Raw Data'!T94 = ROUND('Raw Data'!T94, 2),FALSE)),"",_xlfn.REGEXEXTRACT(CELL("address",T94), "\$([A-Z]+)\$[0-9]+"))),_xlfn.REGEXEXTRACT(CELL("address",T94), "\$([A-Z]+)\$[0-9]+"))</f>
        <v/>
      </c>
      <c r="U94" s="7" t="str">
        <f t="array" aca="1" ref="U94" ca="1">IFERROR(IF(OR('Raw Data'!U94="",LEN(TRIM('Raw Data'!U94))=0),"",IF(AND(ISNUMBER('Raw Data'!U94), IFERROR('Raw Data'!U94 = ROUND('Raw Data'!U94, 2),FALSE)),"",_xlfn.REGEXEXTRACT(CELL("address",U94), "\$([A-Z]+)\$[0-9]+"))),_xlfn.REGEXEXTRACT(CELL("address",U94), "\$([A-Z]+)\$[0-9]+"))</f>
        <v/>
      </c>
      <c r="V94" s="7" t="str">
        <f t="array" aca="1" ref="V94" ca="1">IFERROR(IF(OR('Raw Data'!V94="",LEN(TRIM('Raw Data'!V94))=0),"",IF(AND(ISNUMBER('Raw Data'!V94), IFERROR('Raw Data'!V94 = ROUND('Raw Data'!V94, 2),FALSE)),"",_xlfn.REGEXEXTRACT(CELL("address",V94), "\$([A-Z]+)\$[0-9]+"))),_xlfn.REGEXEXTRACT(CELL("address",V94), "\$([A-Z]+)\$[0-9]+"))</f>
        <v/>
      </c>
      <c r="W94" s="7" t="str">
        <f t="array" aca="1" ref="W94" ca="1">IFERROR(IF(OR('Raw Data'!W94="",LEN(TRIM('Raw Data'!W94))=0),"",IF(AND(ISNUMBER('Raw Data'!W94), IFERROR('Raw Data'!W94 = ROUND('Raw Data'!W94, 2),FALSE)),"",_xlfn.REGEXEXTRACT(CELL("address",W94), "\$([A-Z]+)\$[0-9]+"))),_xlfn.REGEXEXTRACT(CELL("address",W94), "\$([A-Z]+)\$[0-9]+"))</f>
        <v/>
      </c>
      <c r="X94" s="7" t="str">
        <f t="array" aca="1" ref="X94" ca="1">IFERROR(IF(OR('Raw Data'!X94="",LEN(TRIM('Raw Data'!X94))=0),"",IF(AND(ISNUMBER('Raw Data'!X94), IFERROR('Raw Data'!X94 = ROUND('Raw Data'!X94, 2),FALSE)),"",_xlfn.REGEXEXTRACT(CELL("address",X94), "\$([A-Z]+)\$[0-9]+"))),_xlfn.REGEXEXTRACT(CELL("address",X94), "\$([A-Z]+)\$[0-9]+"))</f>
        <v/>
      </c>
      <c r="Y94" s="7" t="str">
        <f t="array" aca="1" ref="Y94" ca="1">IFERROR(IF(OR('Raw Data'!Y94="",LEN(TRIM('Raw Data'!Y94))=0),"",IF(AND(ISNUMBER('Raw Data'!Y94), IFERROR('Raw Data'!Y94 = ROUND('Raw Data'!Y94, 2),FALSE)),"",_xlfn.REGEXEXTRACT(CELL("address",Y94), "\$([A-Z]+)\$[0-9]+"))),_xlfn.REGEXEXTRACT(CELL("address",Y94), "\$([A-Z]+)\$[0-9]+"))</f>
        <v/>
      </c>
      <c r="Z94" s="7" t="str">
        <f t="array" aca="1" ref="Z94" ca="1">IFERROR(IF(OR('Raw Data'!Z94="",LEN(TRIM('Raw Data'!Z94))=0),"",IF(AND(ISNUMBER('Raw Data'!Z94), IFERROR('Raw Data'!Z94 = ROUND('Raw Data'!Z94, 2),FALSE)),"",_xlfn.REGEXEXTRACT(CELL("address",Z94), "\$([A-Z]+)\$[0-9]+"))),_xlfn.REGEXEXTRACT(CELL("address",Z94), "\$([A-Z]+)\$[0-9]+"))</f>
        <v/>
      </c>
      <c r="AA94" s="7" t="str">
        <f t="array" aca="1" ref="AA94" ca="1">IFERROR(IF(OR('Raw Data'!AA94="",LEN(TRIM('Raw Data'!AA94))=0),"",IF(AND(ISNUMBER('Raw Data'!AA94), IFERROR('Raw Data'!AA94 = ROUND('Raw Data'!AA94, 2),FALSE)),"",_xlfn.REGEXEXTRACT(CELL("address",AA94), "\$([A-Z]+)\$[0-9]+"))),_xlfn.REGEXEXTRACT(CELL("address",AA94), "\$([A-Z]+)\$[0-9]+"))</f>
        <v/>
      </c>
      <c r="AB94" s="7" t="str">
        <f t="array" aca="1" ref="AB94" ca="1">IFERROR(IF(OR('Raw Data'!AB94="",LEN(TRIM('Raw Data'!AB94))=0),"",IF(AND(ISNUMBER('Raw Data'!AB94), IFERROR('Raw Data'!AB94 = ROUND('Raw Data'!AB94, 2),FALSE)),"",_xlfn.REGEXEXTRACT(CELL("address",AB94), "\$([A-Z]+)\$[0-9]+"))),_xlfn.REGEXEXTRACT(CELL("address",AB94), "\$([A-Z]+)\$[0-9]+"))</f>
        <v/>
      </c>
      <c r="AC94" s="7" t="str">
        <f t="array" aca="1" ref="AC94" ca="1">IFERROR(IF(OR('Raw Data'!AC94="",LEN(TRIM('Raw Data'!AC94))=0),"",IF(AND(ISNUMBER('Raw Data'!AC94), IFERROR('Raw Data'!AC94 = ROUND('Raw Data'!AC94, 2),FALSE)),"",_xlfn.REGEXEXTRACT(CELL("address",AC94), "\$([A-Z]+)\$[0-9]+"))),_xlfn.REGEXEXTRACT(CELL("address",AC94), "\$([A-Z]+)\$[0-9]+"))</f>
        <v/>
      </c>
      <c r="AD94" s="7" t="str">
        <f t="array" aca="1" ref="AD94" ca="1">IFERROR(IF(OR('Raw Data'!AD94="",LEN(TRIM('Raw Data'!AD94))=0),"",IF(AND(ISNUMBER('Raw Data'!AD94), IFERROR('Raw Data'!AD94 = ROUND('Raw Data'!AD94, 2),FALSE)),"",_xlfn.REGEXEXTRACT(CELL("address",AD94), "\$([A-Z]+)\$[0-9]+"))),_xlfn.REGEXEXTRACT(CELL("address",AD94), "\$([A-Z]+)\$[0-9]+"))</f>
        <v/>
      </c>
      <c r="AE94" s="7" t="str">
        <f t="array" aca="1" ref="AE94" ca="1">IFERROR(IF(OR('Raw Data'!AE94="",LEN(TRIM('Raw Data'!AE94))=0),"",IF(AND(ISNUMBER('Raw Data'!AE94), IFERROR('Raw Data'!AE94 = ROUND('Raw Data'!AE94, 2),FALSE)),"",_xlfn.REGEXEXTRACT(CELL("address",AE94), "\$([A-Z]+)\$[0-9]+"))),_xlfn.REGEXEXTRACT(CELL("address",AE94), "\$([A-Z]+)\$[0-9]+"))</f>
        <v/>
      </c>
      <c r="AF94" s="7" t="str">
        <f t="array" aca="1" ref="AF94" ca="1">IFERROR(IF(OR('Raw Data'!AF94="",LEN(TRIM('Raw Data'!AF94))=0),"",IF(AND(ISNUMBER('Raw Data'!AF94), IFERROR('Raw Data'!AF94 = ROUND('Raw Data'!AF94, 2),FALSE)),"",_xlfn.REGEXEXTRACT(CELL("address",AF94), "\$([A-Z]+)\$[0-9]+"))),_xlfn.REGEXEXTRACT(CELL("address",AF94), "\$([A-Z]+)\$[0-9]+"))</f>
        <v/>
      </c>
      <c r="AG94" s="7" t="str">
        <f t="array" aca="1" ref="AG94" ca="1">IFERROR(IF(OR('Raw Data'!AG94="",LEN(TRIM('Raw Data'!AG94))=0),"",IF(AND(ISNUMBER('Raw Data'!AG94), IFERROR('Raw Data'!AG94 = ROUND('Raw Data'!AG94, 2),FALSE)),"",_xlfn.REGEXEXTRACT(CELL("address",AG94), "\$([A-Z]+)\$[0-9]+"))),_xlfn.REGEXEXTRACT(CELL("address",AG94), "\$([A-Z]+)\$[0-9]+"))</f>
        <v/>
      </c>
      <c r="AH94" s="7" t="str">
        <f t="array" aca="1" ref="AH94" ca="1">IFERROR(IF(OR('Raw Data'!AH94="",LEN(TRIM('Raw Data'!AH94))=0),"",IF(AND(ISNUMBER('Raw Data'!AH94), IFERROR('Raw Data'!AH94 = ROUND('Raw Data'!AH94, 2),FALSE)),"",_xlfn.REGEXEXTRACT(CELL("address",AH94), "\$([A-Z]+)\$[0-9]+"))),_xlfn.REGEXEXTRACT(CELL("address",AH94), "\$([A-Z]+)\$[0-9]+"))</f>
        <v/>
      </c>
      <c r="AI94" s="7" t="str">
        <f t="array" aca="1" ref="AI94" ca="1">IFERROR(IF(OR('Raw Data'!AI94="",LEN(TRIM('Raw Data'!AI94))=0),"",IF(AND(ISNUMBER('Raw Data'!AI94), IFERROR('Raw Data'!AI94 = ROUND('Raw Data'!AI94, 2),FALSE)),"",_xlfn.REGEXEXTRACT(CELL("address",AI94), "\$([A-Z]+)\$[0-9]+"))),_xlfn.REGEXEXTRACT(CELL("address",AI94), "\$([A-Z]+)\$[0-9]+"))</f>
        <v/>
      </c>
      <c r="AJ94" s="7" t="str">
        <f t="array" aca="1" ref="AJ94" ca="1">IFERROR(IF(OR('Raw Data'!AJ94="",LEN(TRIM('Raw Data'!AJ94))=0),"",IF(AND(ISNUMBER('Raw Data'!AJ94), IFERROR('Raw Data'!AJ94 = ROUND('Raw Data'!AJ94, 4),FALSE)),"",_xlfn.REGEXEXTRACT(CELL("address",AJ94), "\$([A-Z]+)\$[0-9]+"))),_xlfn.REGEXEXTRACT(CELL("address",AJ94), "\$([A-Z]+)\$[0-9]+"))</f>
        <v/>
      </c>
      <c r="AK94" s="7" t="str">
        <f t="array" aca="1" ref="AK94" ca="1">IFERROR(IF(OR('Raw Data'!AK94="",LEN(TRIM('Raw Data'!AK94))=0),"",IF(AND(ISNUMBER('Raw Data'!AK94), IFERROR('Raw Data'!AK94 = ROUND('Raw Data'!AK94, 2),FALSE)),"",_xlfn.REGEXEXTRACT(CELL("address",AK94), "\$([A-Z]+)\$[0-9]+"))),_xlfn.REGEXEXTRACT(CELL("address",AK94), "\$([A-Z]+)\$[0-9]+"))</f>
        <v/>
      </c>
      <c r="AL94" s="7" t="str">
        <f t="array" aca="1" ref="AL94" ca="1">IFERROR(IF(OR('Raw Data'!AL94="",LEN(TRIM('Raw Data'!AL94))=0),"",IF(AND(ISNUMBER('Raw Data'!AL94), IFERROR('Raw Data'!AL94 = ROUND('Raw Data'!AL94, 2),FALSE)),"",_xlfn.REGEXEXTRACT(CELL("address",AL94), "\$([A-Z]+)\$[0-9]+"))),_xlfn.REGEXEXTRACT(CELL("address",AL94), "\$([A-Z]+)\$[0-9]+"))</f>
        <v/>
      </c>
      <c r="AM94" s="7" t="str">
        <f t="array" aca="1" ref="AM94" ca="1">IFERROR(IF(OR('Raw Data'!AM94="",LEN(TRIM('Raw Data'!AM94))=0),"",IF(AND(ISNUMBER('Raw Data'!AM94), IFERROR('Raw Data'!AM94 = ROUND('Raw Data'!AM94, 2),FALSE)),"",_xlfn.REGEXEXTRACT(CELL("address",AM94), "\$([A-Z]+)\$[0-9]+"))),_xlfn.REGEXEXTRACT(CELL("address",AM94), "\$([A-Z]+)\$[0-9]+"))</f>
        <v/>
      </c>
      <c r="AN94" s="7" t="str">
        <f t="array" aca="1" ref="AN94" ca="1">IFERROR(IF(OR('Raw Data'!AN94="",LEN(TRIM('Raw Data'!AN94))=0),"",IF(AND(ISNUMBER('Raw Data'!AN94), IFERROR('Raw Data'!AN94 = ROUND('Raw Data'!AN94, 2),FALSE)),"",_xlfn.REGEXEXTRACT(CELL("address",AN94), "\$([A-Z]+)\$[0-9]+"))),_xlfn.REGEXEXTRACT(CELL("address",AN94), "\$([A-Z]+)\$[0-9]+"))</f>
        <v/>
      </c>
      <c r="AO94" s="7" t="str">
        <f t="array" aca="1" ref="AO94" ca="1">IFERROR(IF(OR('Raw Data'!AO94="",LEN(TRIM('Raw Data'!AO94))=0),"",IF(AND(ISNUMBER('Raw Data'!AO94), IFERROR('Raw Data'!AO94 = ROUND('Raw Data'!AO94, 2),FALSE)),"",_xlfn.REGEXEXTRACT(CELL("address",AO94), "\$([A-Z]+)\$[0-9]+"))),_xlfn.REGEXEXTRACT(CELL("address",AO94), "\$([A-Z]+)\$[0-9]+"))</f>
        <v/>
      </c>
      <c r="AP94" s="7" t="str">
        <f t="array" aca="1" ref="AP94" ca="1">IFERROR(IF(OR('Raw Data'!AP94="",LEN(TRIM('Raw Data'!AP94))=0),"",IF(AND(ISNUMBER('Raw Data'!AP94), IFERROR('Raw Data'!AP94 = ROUND('Raw Data'!AP94, 2),FALSE)),"",_xlfn.REGEXEXTRACT(CELL("address",AP94), "\$([A-Z]+)\$[0-9]+"))),_xlfn.REGEXEXTRACT(CELL("address",AP94), "\$([A-Z]+)\$[0-9]+"))</f>
        <v/>
      </c>
    </row>
    <row r="95" spans="2:42" x14ac:dyDescent="0.25">
      <c r="B95" s="7" t="str">
        <f t="array" aca="1" ref="B95" ca="1">IFERROR(IF(OR('Raw Data'!B95="",LEN(TRIM('Raw Data'!B95))=0),"",IF(AND(LEN('Raw Data'!B95) &lt;= 255,LEN('Raw Data'!B95)&gt; 0),"",_xlfn.REGEXEXTRACT(CELL("address",'Raw Data'!B95),"\$([A-Z]+)\$[0-9]+"))),_xlfn.REGEXEXTRACT(CELL("address",'Raw Data'!B95),"\$([A-Z]+)\$[0-9]+"))</f>
        <v/>
      </c>
      <c r="C95" s="7" t="str">
        <f t="array" aca="1" ref="C95" ca="1">IFERROR(IF(OR('Raw Data'!C95="",LEN(TRIM('Raw Data'!C95))=0),"",IF(AND(LEN('Raw Data'!C95) &lt;= 50,LEN('Raw Data'!C95)&gt; 0),"",_xlfn.REGEXEXTRACT(CELL("address",'Raw Data'!C95),"\$([A-Z]+)\$[0-9]+"))),_xlfn.REGEXEXTRACT(CELL("address",'Raw Data'!C95),"\$([A-Z]+)\$[0-9]+"))</f>
        <v/>
      </c>
      <c r="D95" s="7" t="str">
        <f t="array" aca="1" ref="D95" ca="1">IFERROR(IF(OR('Raw Data'!D95="",LEN(TRIM('Raw Data'!D95))=0),"",IF(AND(LEN('Raw Data'!D95) &lt;= 500,LEN('Raw Data'!D95)&gt; 0),"",_xlfn.REGEXEXTRACT(CELL("address",'Raw Data'!D95),"\$([A-Z]+)\$[0-9]+"))),_xlfn.REGEXEXTRACT(CELL("address",'Raw Data'!D95),"\$([A-Z]+)\$[0-9]+"))</f>
        <v/>
      </c>
      <c r="E95" s="7" t="str">
        <f t="array" aca="1" ref="E95" ca="1">IFERROR(IF(OR('Raw Data'!E95="",LEN(TRIM('Raw Data'!E95))=0),"",IF(AND(LEN('Raw Data'!E95) &lt;= 50,LEN('Raw Data'!E95)&gt; 0),"",_xlfn.REGEXEXTRACT(CELL("address",'Raw Data'!E95),"\$([A-Z]+)\$[0-9]+"))),_xlfn.REGEXEXTRACT(CELL("address",'Raw Data'!E95),"\$([A-Z]+)\$[0-9]+"))</f>
        <v/>
      </c>
      <c r="F95" s="7" t="str">
        <f t="array" aca="1" ref="F95" ca="1">IFERROR(IF(OR('Raw Data'!F95="",LEN(TRIM('Raw Data'!F95))=0),"",IF(AND(LEN('Raw Data'!F95) &lt;= 50,LEN('Raw Data'!F95)&gt; 0),"",_xlfn.REGEXEXTRACT(CELL("address",'Raw Data'!F95),"\$([A-Z]+)\$[0-9]+"))),_xlfn.REGEXEXTRACT(CELL("address",'Raw Data'!F95),"\$([A-Z]+)\$[0-9]+"))</f>
        <v/>
      </c>
      <c r="G95" s="7" t="str">
        <f t="array" aca="1" ref="G95" ca="1">IFERROR(IF(OR('Raw Data'!G95="",LEN(TRIM('Raw Data'!G95))=0),"",IF(AND(LEN('Raw Data'!G95) &lt;= 50,LEN('Raw Data'!G95)&gt; 0),"",_xlfn.REGEXEXTRACT(CELL("address",'Raw Data'!G95),"\$([A-Z]+)\$[0-9]+"))),_xlfn.REGEXEXTRACT(CELL("address",'Raw Data'!G95),"\$([A-Z]+)\$[0-9]+"))</f>
        <v/>
      </c>
      <c r="H95" s="7" t="str">
        <f t="array" aca="1" ref="H95" ca="1">IFERROR(IF(OR('Raw Data'!H95="",LEN(TRIM('Raw Data'!H95))=0),"",IF(AND(LEN('Raw Data'!H95) &lt;= 50,LEN('Raw Data'!H95)&gt; 0),"",_xlfn.REGEXEXTRACT(CELL("address",'Raw Data'!H95),"\$([A-Z]+)\$[0-9]+"))),_xlfn.REGEXEXTRACT(CELL("address",'Raw Data'!H95),"\$([A-Z]+)\$[0-9]+"))</f>
        <v/>
      </c>
      <c r="I95" s="7" t="str">
        <f t="array" aca="1" ref="I95" ca="1">IFERROR(IF(OR('Raw Data'!I95="",LEN(TRIM('Raw Data'!I95))=0),"",IF(AND(LEN('Raw Data'!I95) &lt;= 50,LEN('Raw Data'!I95)&gt; 0),"",_xlfn.REGEXEXTRACT(CELL("address",'Raw Data'!I95),"\$([A-Z]+)\$[0-9]+"))),_xlfn.REGEXEXTRACT(CELL("address",'Raw Data'!I95),"\$([A-Z]+)\$[0-9]+"))</f>
        <v/>
      </c>
      <c r="J95" s="7" t="str">
        <f t="array" aca="1" ref="J95" ca="1">IFERROR(IF(OR('Raw Data'!J95="",LEN(TRIM('Raw Data'!J95))=0),"",IF(AND(ISNUMBER('Raw Data'!J95), IFERROR('Raw Data'!J95 = ROUND('Raw Data'!J95, 2),FALSE)),"",_xlfn.REGEXEXTRACT(CELL("address",J95), "\$([A-Z]+)\$[0-9]+"))),_xlfn.REGEXEXTRACT(CELL("address",J95), "\$([A-Z]+)\$[0-9]+"))</f>
        <v/>
      </c>
      <c r="K95" s="7" t="str">
        <f t="array" aca="1" ref="K95" ca="1">IFERROR(IF(OR('Raw Data'!K95="",LEN(TRIM('Raw Data'!K95))=0),"",IF(AND(ISNUMBER('Raw Data'!K95), IFERROR('Raw Data'!K95 = ROUND('Raw Data'!K95, 2),FALSE)),"",_xlfn.REGEXEXTRACT(CELL("address",K95), "\$([A-Z]+)\$[0-9]+"))),_xlfn.REGEXEXTRACT(CELL("address",K95), "\$([A-Z]+)\$[0-9]+"))</f>
        <v/>
      </c>
      <c r="L95" s="7" t="str">
        <f t="array" aca="1" ref="L95" ca="1">IFERROR(IF(OR('Raw Data'!L95="",LEN(TRIM('Raw Data'!L95))=0),"",IF(AND(ISNUMBER('Raw Data'!L95), IFERROR('Raw Data'!L95 = ROUND('Raw Data'!L95, 2),FALSE)),"",_xlfn.REGEXEXTRACT(CELL("address",L95), "\$([A-Z]+)\$[0-9]+"))),_xlfn.REGEXEXTRACT(CELL("address",L95), "\$([A-Z]+)\$[0-9]+"))</f>
        <v/>
      </c>
      <c r="M95" s="7" t="str">
        <f t="array" aca="1" ref="M95" ca="1">IFERROR(IF(OR('Raw Data'!M95="",LEN(TRIM('Raw Data'!M95))=0),"",IF(AND(ISNUMBER('Raw Data'!M95), IFERROR('Raw Data'!M95 = ROUND('Raw Data'!M95, 2),FALSE)),"",_xlfn.REGEXEXTRACT(CELL("address",M95), "\$([A-Z]+)\$[0-9]+"))),_xlfn.REGEXEXTRACT(CELL("address",M95), "\$([A-Z]+)\$[0-9]+"))</f>
        <v/>
      </c>
      <c r="N95" s="7" t="str">
        <f t="array" aca="1" ref="N95" ca="1">IFERROR(IF(OR('Raw Data'!N95="",LEN(TRIM('Raw Data'!N95))=0),"",IF(AND(ISNUMBER('Raw Data'!N95), IFERROR('Raw Data'!N95 = ROUND('Raw Data'!N95, 2),FALSE)),"",_xlfn.REGEXEXTRACT(CELL("address",N95), "\$([A-Z]+)\$[0-9]+"))),_xlfn.REGEXEXTRACT(CELL("address",N95), "\$([A-Z]+)\$[0-9]+"))</f>
        <v/>
      </c>
      <c r="O95" s="7" t="str">
        <f t="array" aca="1" ref="O95" ca="1">IFERROR(IF(OR('Raw Data'!O95="",LEN(TRIM('Raw Data'!O95))=0),"",IF(AND(ISNUMBER('Raw Data'!O95),'Raw Data'!O95&gt;=Configuration!$D$2),"",_xlfn.REGEXEXTRACT(CELL("address",'Raw Data'!O95),"\$([A-Z]+)\$[0-9]+"))),_xlfn.REGEXEXTRACT(CELL("address",O95), "\$([A-Z]+)\$[0-9]+"))</f>
        <v/>
      </c>
      <c r="P95" s="7" t="str">
        <f t="array" aca="1" ref="P95" ca="1">IFERROR(IF(OR('Raw Data'!P95="",LEN(TRIM('Raw Data'!P95))=0),"",IF(AND(ISNUMBER('Raw Data'!P95), IFERROR('Raw Data'!P95 = ROUND('Raw Data'!P95, 2),FALSE)),"",_xlfn.REGEXEXTRACT(CELL("address",P95), "\$([A-Z]+)\$[0-9]+"))),_xlfn.REGEXEXTRACT(CELL("address",P95), "\$([A-Z]+)\$[0-9]+"))</f>
        <v/>
      </c>
      <c r="Q95" s="7" t="str">
        <f t="array" aca="1" ref="Q95" ca="1">IFERROR(IF(OR('Raw Data'!Q95="",LEN(TRIM('Raw Data'!Q95))=0),"",IF(AND(ISNUMBER('Raw Data'!Q95), IFERROR('Raw Data'!Q95 = ROUND('Raw Data'!Q95, 2),FALSE)),"",_xlfn.REGEXEXTRACT(CELL("address",Q95), "\$([A-Z]+)\$[0-9]+"))),_xlfn.REGEXEXTRACT(CELL("address",Q95), "\$([A-Z]+)\$[0-9]+"))</f>
        <v/>
      </c>
      <c r="R95" s="7" t="str">
        <f t="array" aca="1" ref="R95" ca="1">IFERROR(IF(OR('Raw Data'!R95="",LEN(TRIM('Raw Data'!R95))=0),"",IF(AND(LEN('Raw Data'!R95) &lt;= 50,LEN('Raw Data'!R95)&gt; 0),"",_xlfn.REGEXEXTRACT(CELL("address",'Raw Data'!R95),"\$([A-Z]+)\$[0-9]+"))),_xlfn.REGEXEXTRACT(CELL("address",'Raw Data'!R95),"\$([A-Z]+)\$[0-9]+"))</f>
        <v/>
      </c>
      <c r="S95" s="7" t="str">
        <f t="array" aca="1" ref="S95" ca="1">IFERROR(IF(OR('Raw Data'!S95="",LEN(TRIM('Raw Data'!S95))=0),"",IF(AND(LEN('Raw Data'!S95) &lt;= 50,LEN('Raw Data'!S95)&gt; 0),"",_xlfn.REGEXEXTRACT(CELL("address",'Raw Data'!S95),"\$([A-Z]+)\$[0-9]+"))),_xlfn.REGEXEXTRACT(CELL("address",'Raw Data'!S95),"\$([A-Z]+)\$[0-9]+"))</f>
        <v/>
      </c>
      <c r="T95" s="7" t="str">
        <f t="array" aca="1" ref="T95" ca="1">IFERROR(IF(OR('Raw Data'!T95="",LEN(TRIM('Raw Data'!T95))=0),"",IF(AND(ISNUMBER('Raw Data'!T95), IFERROR('Raw Data'!T95 = ROUND('Raw Data'!T95, 2),FALSE)),"",_xlfn.REGEXEXTRACT(CELL("address",T95), "\$([A-Z]+)\$[0-9]+"))),_xlfn.REGEXEXTRACT(CELL("address",T95), "\$([A-Z]+)\$[0-9]+"))</f>
        <v/>
      </c>
      <c r="U95" s="7" t="str">
        <f t="array" aca="1" ref="U95" ca="1">IFERROR(IF(OR('Raw Data'!U95="",LEN(TRIM('Raw Data'!U95))=0),"",IF(AND(ISNUMBER('Raw Data'!U95), IFERROR('Raw Data'!U95 = ROUND('Raw Data'!U95, 2),FALSE)),"",_xlfn.REGEXEXTRACT(CELL("address",U95), "\$([A-Z]+)\$[0-9]+"))),_xlfn.REGEXEXTRACT(CELL("address",U95), "\$([A-Z]+)\$[0-9]+"))</f>
        <v/>
      </c>
      <c r="V95" s="7" t="str">
        <f t="array" aca="1" ref="V95" ca="1">IFERROR(IF(OR('Raw Data'!V95="",LEN(TRIM('Raw Data'!V95))=0),"",IF(AND(ISNUMBER('Raw Data'!V95), IFERROR('Raw Data'!V95 = ROUND('Raw Data'!V95, 2),FALSE)),"",_xlfn.REGEXEXTRACT(CELL("address",V95), "\$([A-Z]+)\$[0-9]+"))),_xlfn.REGEXEXTRACT(CELL("address",V95), "\$([A-Z]+)\$[0-9]+"))</f>
        <v/>
      </c>
      <c r="W95" s="7" t="str">
        <f t="array" aca="1" ref="W95" ca="1">IFERROR(IF(OR('Raw Data'!W95="",LEN(TRIM('Raw Data'!W95))=0),"",IF(AND(ISNUMBER('Raw Data'!W95), IFERROR('Raw Data'!W95 = ROUND('Raw Data'!W95, 2),FALSE)),"",_xlfn.REGEXEXTRACT(CELL("address",W95), "\$([A-Z]+)\$[0-9]+"))),_xlfn.REGEXEXTRACT(CELL("address",W95), "\$([A-Z]+)\$[0-9]+"))</f>
        <v/>
      </c>
      <c r="X95" s="7" t="str">
        <f t="array" aca="1" ref="X95" ca="1">IFERROR(IF(OR('Raw Data'!X95="",LEN(TRIM('Raw Data'!X95))=0),"",IF(AND(ISNUMBER('Raw Data'!X95), IFERROR('Raw Data'!X95 = ROUND('Raw Data'!X95, 2),FALSE)),"",_xlfn.REGEXEXTRACT(CELL("address",X95), "\$([A-Z]+)\$[0-9]+"))),_xlfn.REGEXEXTRACT(CELL("address",X95), "\$([A-Z]+)\$[0-9]+"))</f>
        <v/>
      </c>
      <c r="Y95" s="7" t="str">
        <f t="array" aca="1" ref="Y95" ca="1">IFERROR(IF(OR('Raw Data'!Y95="",LEN(TRIM('Raw Data'!Y95))=0),"",IF(AND(ISNUMBER('Raw Data'!Y95), IFERROR('Raw Data'!Y95 = ROUND('Raw Data'!Y95, 2),FALSE)),"",_xlfn.REGEXEXTRACT(CELL("address",Y95), "\$([A-Z]+)\$[0-9]+"))),_xlfn.REGEXEXTRACT(CELL("address",Y95), "\$([A-Z]+)\$[0-9]+"))</f>
        <v/>
      </c>
      <c r="Z95" s="7" t="str">
        <f t="array" aca="1" ref="Z95" ca="1">IFERROR(IF(OR('Raw Data'!Z95="",LEN(TRIM('Raw Data'!Z95))=0),"",IF(AND(ISNUMBER('Raw Data'!Z95), IFERROR('Raw Data'!Z95 = ROUND('Raw Data'!Z95, 2),FALSE)),"",_xlfn.REGEXEXTRACT(CELL("address",Z95), "\$([A-Z]+)\$[0-9]+"))),_xlfn.REGEXEXTRACT(CELL("address",Z95), "\$([A-Z]+)\$[0-9]+"))</f>
        <v/>
      </c>
      <c r="AA95" s="7" t="str">
        <f t="array" aca="1" ref="AA95" ca="1">IFERROR(IF(OR('Raw Data'!AA95="",LEN(TRIM('Raw Data'!AA95))=0),"",IF(AND(ISNUMBER('Raw Data'!AA95), IFERROR('Raw Data'!AA95 = ROUND('Raw Data'!AA95, 2),FALSE)),"",_xlfn.REGEXEXTRACT(CELL("address",AA95), "\$([A-Z]+)\$[0-9]+"))),_xlfn.REGEXEXTRACT(CELL("address",AA95), "\$([A-Z]+)\$[0-9]+"))</f>
        <v/>
      </c>
      <c r="AB95" s="7" t="str">
        <f t="array" aca="1" ref="AB95" ca="1">IFERROR(IF(OR('Raw Data'!AB95="",LEN(TRIM('Raw Data'!AB95))=0),"",IF(AND(ISNUMBER('Raw Data'!AB95), IFERROR('Raw Data'!AB95 = ROUND('Raw Data'!AB95, 2),FALSE)),"",_xlfn.REGEXEXTRACT(CELL("address",AB95), "\$([A-Z]+)\$[0-9]+"))),_xlfn.REGEXEXTRACT(CELL("address",AB95), "\$([A-Z]+)\$[0-9]+"))</f>
        <v/>
      </c>
      <c r="AC95" s="7" t="str">
        <f t="array" aca="1" ref="AC95" ca="1">IFERROR(IF(OR('Raw Data'!AC95="",LEN(TRIM('Raw Data'!AC95))=0),"",IF(AND(ISNUMBER('Raw Data'!AC95), IFERROR('Raw Data'!AC95 = ROUND('Raw Data'!AC95, 2),FALSE)),"",_xlfn.REGEXEXTRACT(CELL("address",AC95), "\$([A-Z]+)\$[0-9]+"))),_xlfn.REGEXEXTRACT(CELL("address",AC95), "\$([A-Z]+)\$[0-9]+"))</f>
        <v/>
      </c>
      <c r="AD95" s="7" t="str">
        <f t="array" aca="1" ref="AD95" ca="1">IFERROR(IF(OR('Raw Data'!AD95="",LEN(TRIM('Raw Data'!AD95))=0),"",IF(AND(ISNUMBER('Raw Data'!AD95), IFERROR('Raw Data'!AD95 = ROUND('Raw Data'!AD95, 2),FALSE)),"",_xlfn.REGEXEXTRACT(CELL("address",AD95), "\$([A-Z]+)\$[0-9]+"))),_xlfn.REGEXEXTRACT(CELL("address",AD95), "\$([A-Z]+)\$[0-9]+"))</f>
        <v/>
      </c>
      <c r="AE95" s="7" t="str">
        <f t="array" aca="1" ref="AE95" ca="1">IFERROR(IF(OR('Raw Data'!AE95="",LEN(TRIM('Raw Data'!AE95))=0),"",IF(AND(ISNUMBER('Raw Data'!AE95), IFERROR('Raw Data'!AE95 = ROUND('Raw Data'!AE95, 2),FALSE)),"",_xlfn.REGEXEXTRACT(CELL("address",AE95), "\$([A-Z]+)\$[0-9]+"))),_xlfn.REGEXEXTRACT(CELL("address",AE95), "\$([A-Z]+)\$[0-9]+"))</f>
        <v/>
      </c>
      <c r="AF95" s="7" t="str">
        <f t="array" aca="1" ref="AF95" ca="1">IFERROR(IF(OR('Raw Data'!AF95="",LEN(TRIM('Raw Data'!AF95))=0),"",IF(AND(ISNUMBER('Raw Data'!AF95), IFERROR('Raw Data'!AF95 = ROUND('Raw Data'!AF95, 2),FALSE)),"",_xlfn.REGEXEXTRACT(CELL("address",AF95), "\$([A-Z]+)\$[0-9]+"))),_xlfn.REGEXEXTRACT(CELL("address",AF95), "\$([A-Z]+)\$[0-9]+"))</f>
        <v/>
      </c>
      <c r="AG95" s="7" t="str">
        <f t="array" aca="1" ref="AG95" ca="1">IFERROR(IF(OR('Raw Data'!AG95="",LEN(TRIM('Raw Data'!AG95))=0),"",IF(AND(ISNUMBER('Raw Data'!AG95), IFERROR('Raw Data'!AG95 = ROUND('Raw Data'!AG95, 2),FALSE)),"",_xlfn.REGEXEXTRACT(CELL("address",AG95), "\$([A-Z]+)\$[0-9]+"))),_xlfn.REGEXEXTRACT(CELL("address",AG95), "\$([A-Z]+)\$[0-9]+"))</f>
        <v/>
      </c>
      <c r="AH95" s="7" t="str">
        <f t="array" aca="1" ref="AH95" ca="1">IFERROR(IF(OR('Raw Data'!AH95="",LEN(TRIM('Raw Data'!AH95))=0),"",IF(AND(ISNUMBER('Raw Data'!AH95), IFERROR('Raw Data'!AH95 = ROUND('Raw Data'!AH95, 2),FALSE)),"",_xlfn.REGEXEXTRACT(CELL("address",AH95), "\$([A-Z]+)\$[0-9]+"))),_xlfn.REGEXEXTRACT(CELL("address",AH95), "\$([A-Z]+)\$[0-9]+"))</f>
        <v/>
      </c>
      <c r="AI95" s="7" t="str">
        <f t="array" aca="1" ref="AI95" ca="1">IFERROR(IF(OR('Raw Data'!AI95="",LEN(TRIM('Raw Data'!AI95))=0),"",IF(AND(ISNUMBER('Raw Data'!AI95), IFERROR('Raw Data'!AI95 = ROUND('Raw Data'!AI95, 2),FALSE)),"",_xlfn.REGEXEXTRACT(CELL("address",AI95), "\$([A-Z]+)\$[0-9]+"))),_xlfn.REGEXEXTRACT(CELL("address",AI95), "\$([A-Z]+)\$[0-9]+"))</f>
        <v/>
      </c>
      <c r="AJ95" s="7" t="str">
        <f t="array" aca="1" ref="AJ95" ca="1">IFERROR(IF(OR('Raw Data'!AJ95="",LEN(TRIM('Raw Data'!AJ95))=0),"",IF(AND(ISNUMBER('Raw Data'!AJ95), IFERROR('Raw Data'!AJ95 = ROUND('Raw Data'!AJ95, 4),FALSE)),"",_xlfn.REGEXEXTRACT(CELL("address",AJ95), "\$([A-Z]+)\$[0-9]+"))),_xlfn.REGEXEXTRACT(CELL("address",AJ95), "\$([A-Z]+)\$[0-9]+"))</f>
        <v/>
      </c>
      <c r="AK95" s="7" t="str">
        <f t="array" aca="1" ref="AK95" ca="1">IFERROR(IF(OR('Raw Data'!AK95="",LEN(TRIM('Raw Data'!AK95))=0),"",IF(AND(ISNUMBER('Raw Data'!AK95), IFERROR('Raw Data'!AK95 = ROUND('Raw Data'!AK95, 2),FALSE)),"",_xlfn.REGEXEXTRACT(CELL("address",AK95), "\$([A-Z]+)\$[0-9]+"))),_xlfn.REGEXEXTRACT(CELL("address",AK95), "\$([A-Z]+)\$[0-9]+"))</f>
        <v/>
      </c>
      <c r="AL95" s="7" t="str">
        <f t="array" aca="1" ref="AL95" ca="1">IFERROR(IF(OR('Raw Data'!AL95="",LEN(TRIM('Raw Data'!AL95))=0),"",IF(AND(ISNUMBER('Raw Data'!AL95), IFERROR('Raw Data'!AL95 = ROUND('Raw Data'!AL95, 2),FALSE)),"",_xlfn.REGEXEXTRACT(CELL("address",AL95), "\$([A-Z]+)\$[0-9]+"))),_xlfn.REGEXEXTRACT(CELL("address",AL95), "\$([A-Z]+)\$[0-9]+"))</f>
        <v/>
      </c>
      <c r="AM95" s="7" t="str">
        <f t="array" aca="1" ref="AM95" ca="1">IFERROR(IF(OR('Raw Data'!AM95="",LEN(TRIM('Raw Data'!AM95))=0),"",IF(AND(ISNUMBER('Raw Data'!AM95), IFERROR('Raw Data'!AM95 = ROUND('Raw Data'!AM95, 2),FALSE)),"",_xlfn.REGEXEXTRACT(CELL("address",AM95), "\$([A-Z]+)\$[0-9]+"))),_xlfn.REGEXEXTRACT(CELL("address",AM95), "\$([A-Z]+)\$[0-9]+"))</f>
        <v/>
      </c>
      <c r="AN95" s="7" t="str">
        <f t="array" aca="1" ref="AN95" ca="1">IFERROR(IF(OR('Raw Data'!AN95="",LEN(TRIM('Raw Data'!AN95))=0),"",IF(AND(ISNUMBER('Raw Data'!AN95), IFERROR('Raw Data'!AN95 = ROUND('Raw Data'!AN95, 2),FALSE)),"",_xlfn.REGEXEXTRACT(CELL("address",AN95), "\$([A-Z]+)\$[0-9]+"))),_xlfn.REGEXEXTRACT(CELL("address",AN95), "\$([A-Z]+)\$[0-9]+"))</f>
        <v/>
      </c>
      <c r="AO95" s="7" t="str">
        <f t="array" aca="1" ref="AO95" ca="1">IFERROR(IF(OR('Raw Data'!AO95="",LEN(TRIM('Raw Data'!AO95))=0),"",IF(AND(ISNUMBER('Raw Data'!AO95), IFERROR('Raw Data'!AO95 = ROUND('Raw Data'!AO95, 2),FALSE)),"",_xlfn.REGEXEXTRACT(CELL("address",AO95), "\$([A-Z]+)\$[0-9]+"))),_xlfn.REGEXEXTRACT(CELL("address",AO95), "\$([A-Z]+)\$[0-9]+"))</f>
        <v/>
      </c>
      <c r="AP95" s="7" t="str">
        <f t="array" aca="1" ref="AP95" ca="1">IFERROR(IF(OR('Raw Data'!AP95="",LEN(TRIM('Raw Data'!AP95))=0),"",IF(AND(ISNUMBER('Raw Data'!AP95), IFERROR('Raw Data'!AP95 = ROUND('Raw Data'!AP95, 2),FALSE)),"",_xlfn.REGEXEXTRACT(CELL("address",AP95), "\$([A-Z]+)\$[0-9]+"))),_xlfn.REGEXEXTRACT(CELL("address",AP95), "\$([A-Z]+)\$[0-9]+"))</f>
        <v/>
      </c>
    </row>
    <row r="96" spans="2:42" x14ac:dyDescent="0.25">
      <c r="B96" s="7" t="str">
        <f t="array" aca="1" ref="B96" ca="1">IFERROR(IF(OR('Raw Data'!B96="",LEN(TRIM('Raw Data'!B96))=0),"",IF(AND(LEN('Raw Data'!B96) &lt;= 255,LEN('Raw Data'!B96)&gt; 0),"",_xlfn.REGEXEXTRACT(CELL("address",'Raw Data'!B96),"\$([A-Z]+)\$[0-9]+"))),_xlfn.REGEXEXTRACT(CELL("address",'Raw Data'!B96),"\$([A-Z]+)\$[0-9]+"))</f>
        <v/>
      </c>
      <c r="C96" s="7" t="str">
        <f t="array" aca="1" ref="C96" ca="1">IFERROR(IF(OR('Raw Data'!C96="",LEN(TRIM('Raw Data'!C96))=0),"",IF(AND(LEN('Raw Data'!C96) &lt;= 50,LEN('Raw Data'!C96)&gt; 0),"",_xlfn.REGEXEXTRACT(CELL("address",'Raw Data'!C96),"\$([A-Z]+)\$[0-9]+"))),_xlfn.REGEXEXTRACT(CELL("address",'Raw Data'!C96),"\$([A-Z]+)\$[0-9]+"))</f>
        <v/>
      </c>
      <c r="D96" s="7" t="str">
        <f t="array" aca="1" ref="D96" ca="1">IFERROR(IF(OR('Raw Data'!D96="",LEN(TRIM('Raw Data'!D96))=0),"",IF(AND(LEN('Raw Data'!D96) &lt;= 500,LEN('Raw Data'!D96)&gt; 0),"",_xlfn.REGEXEXTRACT(CELL("address",'Raw Data'!D96),"\$([A-Z]+)\$[0-9]+"))),_xlfn.REGEXEXTRACT(CELL("address",'Raw Data'!D96),"\$([A-Z]+)\$[0-9]+"))</f>
        <v/>
      </c>
      <c r="E96" s="7" t="str">
        <f t="array" aca="1" ref="E96" ca="1">IFERROR(IF(OR('Raw Data'!E96="",LEN(TRIM('Raw Data'!E96))=0),"",IF(AND(LEN('Raw Data'!E96) &lt;= 50,LEN('Raw Data'!E96)&gt; 0),"",_xlfn.REGEXEXTRACT(CELL("address",'Raw Data'!E96),"\$([A-Z]+)\$[0-9]+"))),_xlfn.REGEXEXTRACT(CELL("address",'Raw Data'!E96),"\$([A-Z]+)\$[0-9]+"))</f>
        <v/>
      </c>
      <c r="F96" s="7" t="str">
        <f t="array" aca="1" ref="F96" ca="1">IFERROR(IF(OR('Raw Data'!F96="",LEN(TRIM('Raw Data'!F96))=0),"",IF(AND(LEN('Raw Data'!F96) &lt;= 50,LEN('Raw Data'!F96)&gt; 0),"",_xlfn.REGEXEXTRACT(CELL("address",'Raw Data'!F96),"\$([A-Z]+)\$[0-9]+"))),_xlfn.REGEXEXTRACT(CELL("address",'Raw Data'!F96),"\$([A-Z]+)\$[0-9]+"))</f>
        <v/>
      </c>
      <c r="G96" s="7" t="str">
        <f t="array" aca="1" ref="G96" ca="1">IFERROR(IF(OR('Raw Data'!G96="",LEN(TRIM('Raw Data'!G96))=0),"",IF(AND(LEN('Raw Data'!G96) &lt;= 50,LEN('Raw Data'!G96)&gt; 0),"",_xlfn.REGEXEXTRACT(CELL("address",'Raw Data'!G96),"\$([A-Z]+)\$[0-9]+"))),_xlfn.REGEXEXTRACT(CELL("address",'Raw Data'!G96),"\$([A-Z]+)\$[0-9]+"))</f>
        <v/>
      </c>
      <c r="H96" s="7" t="str">
        <f t="array" aca="1" ref="H96" ca="1">IFERROR(IF(OR('Raw Data'!H96="",LEN(TRIM('Raw Data'!H96))=0),"",IF(AND(LEN('Raw Data'!H96) &lt;= 50,LEN('Raw Data'!H96)&gt; 0),"",_xlfn.REGEXEXTRACT(CELL("address",'Raw Data'!H96),"\$([A-Z]+)\$[0-9]+"))),_xlfn.REGEXEXTRACT(CELL("address",'Raw Data'!H96),"\$([A-Z]+)\$[0-9]+"))</f>
        <v/>
      </c>
      <c r="I96" s="7" t="str">
        <f t="array" aca="1" ref="I96" ca="1">IFERROR(IF(OR('Raw Data'!I96="",LEN(TRIM('Raw Data'!I96))=0),"",IF(AND(LEN('Raw Data'!I96) &lt;= 50,LEN('Raw Data'!I96)&gt; 0),"",_xlfn.REGEXEXTRACT(CELL("address",'Raw Data'!I96),"\$([A-Z]+)\$[0-9]+"))),_xlfn.REGEXEXTRACT(CELL("address",'Raw Data'!I96),"\$([A-Z]+)\$[0-9]+"))</f>
        <v/>
      </c>
      <c r="J96" s="7" t="str">
        <f t="array" aca="1" ref="J96" ca="1">IFERROR(IF(OR('Raw Data'!J96="",LEN(TRIM('Raw Data'!J96))=0),"",IF(AND(ISNUMBER('Raw Data'!J96), IFERROR('Raw Data'!J96 = ROUND('Raw Data'!J96, 2),FALSE)),"",_xlfn.REGEXEXTRACT(CELL("address",J96), "\$([A-Z]+)\$[0-9]+"))),_xlfn.REGEXEXTRACT(CELL("address",J96), "\$([A-Z]+)\$[0-9]+"))</f>
        <v/>
      </c>
      <c r="K96" s="7" t="str">
        <f t="array" aca="1" ref="K96" ca="1">IFERROR(IF(OR('Raw Data'!K96="",LEN(TRIM('Raw Data'!K96))=0),"",IF(AND(ISNUMBER('Raw Data'!K96), IFERROR('Raw Data'!K96 = ROUND('Raw Data'!K96, 2),FALSE)),"",_xlfn.REGEXEXTRACT(CELL("address",K96), "\$([A-Z]+)\$[0-9]+"))),_xlfn.REGEXEXTRACT(CELL("address",K96), "\$([A-Z]+)\$[0-9]+"))</f>
        <v/>
      </c>
      <c r="L96" s="7" t="str">
        <f t="array" aca="1" ref="L96" ca="1">IFERROR(IF(OR('Raw Data'!L96="",LEN(TRIM('Raw Data'!L96))=0),"",IF(AND(ISNUMBER('Raw Data'!L96), IFERROR('Raw Data'!L96 = ROUND('Raw Data'!L96, 2),FALSE)),"",_xlfn.REGEXEXTRACT(CELL("address",L96), "\$([A-Z]+)\$[0-9]+"))),_xlfn.REGEXEXTRACT(CELL("address",L96), "\$([A-Z]+)\$[0-9]+"))</f>
        <v/>
      </c>
      <c r="M96" s="7" t="str">
        <f t="array" aca="1" ref="M96" ca="1">IFERROR(IF(OR('Raw Data'!M96="",LEN(TRIM('Raw Data'!M96))=0),"",IF(AND(ISNUMBER('Raw Data'!M96), IFERROR('Raw Data'!M96 = ROUND('Raw Data'!M96, 2),FALSE)),"",_xlfn.REGEXEXTRACT(CELL("address",M96), "\$([A-Z]+)\$[0-9]+"))),_xlfn.REGEXEXTRACT(CELL("address",M96), "\$([A-Z]+)\$[0-9]+"))</f>
        <v/>
      </c>
      <c r="N96" s="7" t="str">
        <f t="array" aca="1" ref="N96" ca="1">IFERROR(IF(OR('Raw Data'!N96="",LEN(TRIM('Raw Data'!N96))=0),"",IF(AND(ISNUMBER('Raw Data'!N96), IFERROR('Raw Data'!N96 = ROUND('Raw Data'!N96, 2),FALSE)),"",_xlfn.REGEXEXTRACT(CELL("address",N96), "\$([A-Z]+)\$[0-9]+"))),_xlfn.REGEXEXTRACT(CELL("address",N96), "\$([A-Z]+)\$[0-9]+"))</f>
        <v/>
      </c>
      <c r="O96" s="7" t="str">
        <f t="array" aca="1" ref="O96" ca="1">IFERROR(IF(OR('Raw Data'!O96="",LEN(TRIM('Raw Data'!O96))=0),"",IF(AND(ISNUMBER('Raw Data'!O96),'Raw Data'!O96&gt;=Configuration!$D$2),"",_xlfn.REGEXEXTRACT(CELL("address",'Raw Data'!O96),"\$([A-Z]+)\$[0-9]+"))),_xlfn.REGEXEXTRACT(CELL("address",O96), "\$([A-Z]+)\$[0-9]+"))</f>
        <v/>
      </c>
      <c r="P96" s="7" t="str">
        <f t="array" aca="1" ref="P96" ca="1">IFERROR(IF(OR('Raw Data'!P96="",LEN(TRIM('Raw Data'!P96))=0),"",IF(AND(ISNUMBER('Raw Data'!P96), IFERROR('Raw Data'!P96 = ROUND('Raw Data'!P96, 2),FALSE)),"",_xlfn.REGEXEXTRACT(CELL("address",P96), "\$([A-Z]+)\$[0-9]+"))),_xlfn.REGEXEXTRACT(CELL("address",P96), "\$([A-Z]+)\$[0-9]+"))</f>
        <v/>
      </c>
      <c r="Q96" s="7" t="str">
        <f t="array" aca="1" ref="Q96" ca="1">IFERROR(IF(OR('Raw Data'!Q96="",LEN(TRIM('Raw Data'!Q96))=0),"",IF(AND(ISNUMBER('Raw Data'!Q96), IFERROR('Raw Data'!Q96 = ROUND('Raw Data'!Q96, 2),FALSE)),"",_xlfn.REGEXEXTRACT(CELL("address",Q96), "\$([A-Z]+)\$[0-9]+"))),_xlfn.REGEXEXTRACT(CELL("address",Q96), "\$([A-Z]+)\$[0-9]+"))</f>
        <v/>
      </c>
      <c r="R96" s="7" t="str">
        <f t="array" aca="1" ref="R96" ca="1">IFERROR(IF(OR('Raw Data'!R96="",LEN(TRIM('Raw Data'!R96))=0),"",IF(AND(LEN('Raw Data'!R96) &lt;= 50,LEN('Raw Data'!R96)&gt; 0),"",_xlfn.REGEXEXTRACT(CELL("address",'Raw Data'!R96),"\$([A-Z]+)\$[0-9]+"))),_xlfn.REGEXEXTRACT(CELL("address",'Raw Data'!R96),"\$([A-Z]+)\$[0-9]+"))</f>
        <v/>
      </c>
      <c r="S96" s="7" t="str">
        <f t="array" aca="1" ref="S96" ca="1">IFERROR(IF(OR('Raw Data'!S96="",LEN(TRIM('Raw Data'!S96))=0),"",IF(AND(LEN('Raw Data'!S96) &lt;= 50,LEN('Raw Data'!S96)&gt; 0),"",_xlfn.REGEXEXTRACT(CELL("address",'Raw Data'!S96),"\$([A-Z]+)\$[0-9]+"))),_xlfn.REGEXEXTRACT(CELL("address",'Raw Data'!S96),"\$([A-Z]+)\$[0-9]+"))</f>
        <v/>
      </c>
      <c r="T96" s="7" t="str">
        <f t="array" aca="1" ref="T96" ca="1">IFERROR(IF(OR('Raw Data'!T96="",LEN(TRIM('Raw Data'!T96))=0),"",IF(AND(ISNUMBER('Raw Data'!T96), IFERROR('Raw Data'!T96 = ROUND('Raw Data'!T96, 2),FALSE)),"",_xlfn.REGEXEXTRACT(CELL("address",T96), "\$([A-Z]+)\$[0-9]+"))),_xlfn.REGEXEXTRACT(CELL("address",T96), "\$([A-Z]+)\$[0-9]+"))</f>
        <v/>
      </c>
      <c r="U96" s="7" t="str">
        <f t="array" aca="1" ref="U96" ca="1">IFERROR(IF(OR('Raw Data'!U96="",LEN(TRIM('Raw Data'!U96))=0),"",IF(AND(ISNUMBER('Raw Data'!U96), IFERROR('Raw Data'!U96 = ROUND('Raw Data'!U96, 2),FALSE)),"",_xlfn.REGEXEXTRACT(CELL("address",U96), "\$([A-Z]+)\$[0-9]+"))),_xlfn.REGEXEXTRACT(CELL("address",U96), "\$([A-Z]+)\$[0-9]+"))</f>
        <v/>
      </c>
      <c r="V96" s="7" t="str">
        <f t="array" aca="1" ref="V96" ca="1">IFERROR(IF(OR('Raw Data'!V96="",LEN(TRIM('Raw Data'!V96))=0),"",IF(AND(ISNUMBER('Raw Data'!V96), IFERROR('Raw Data'!V96 = ROUND('Raw Data'!V96, 2),FALSE)),"",_xlfn.REGEXEXTRACT(CELL("address",V96), "\$([A-Z]+)\$[0-9]+"))),_xlfn.REGEXEXTRACT(CELL("address",V96), "\$([A-Z]+)\$[0-9]+"))</f>
        <v/>
      </c>
      <c r="W96" s="7" t="str">
        <f t="array" aca="1" ref="W96" ca="1">IFERROR(IF(OR('Raw Data'!W96="",LEN(TRIM('Raw Data'!W96))=0),"",IF(AND(ISNUMBER('Raw Data'!W96), IFERROR('Raw Data'!W96 = ROUND('Raw Data'!W96, 2),FALSE)),"",_xlfn.REGEXEXTRACT(CELL("address",W96), "\$([A-Z]+)\$[0-9]+"))),_xlfn.REGEXEXTRACT(CELL("address",W96), "\$([A-Z]+)\$[0-9]+"))</f>
        <v/>
      </c>
      <c r="X96" s="7" t="str">
        <f t="array" aca="1" ref="X96" ca="1">IFERROR(IF(OR('Raw Data'!X96="",LEN(TRIM('Raw Data'!X96))=0),"",IF(AND(ISNUMBER('Raw Data'!X96), IFERROR('Raw Data'!X96 = ROUND('Raw Data'!X96, 2),FALSE)),"",_xlfn.REGEXEXTRACT(CELL("address",X96), "\$([A-Z]+)\$[0-9]+"))),_xlfn.REGEXEXTRACT(CELL("address",X96), "\$([A-Z]+)\$[0-9]+"))</f>
        <v/>
      </c>
      <c r="Y96" s="7" t="str">
        <f t="array" aca="1" ref="Y96" ca="1">IFERROR(IF(OR('Raw Data'!Y96="",LEN(TRIM('Raw Data'!Y96))=0),"",IF(AND(ISNUMBER('Raw Data'!Y96), IFERROR('Raw Data'!Y96 = ROUND('Raw Data'!Y96, 2),FALSE)),"",_xlfn.REGEXEXTRACT(CELL("address",Y96), "\$([A-Z]+)\$[0-9]+"))),_xlfn.REGEXEXTRACT(CELL("address",Y96), "\$([A-Z]+)\$[0-9]+"))</f>
        <v/>
      </c>
      <c r="Z96" s="7" t="str">
        <f t="array" aca="1" ref="Z96" ca="1">IFERROR(IF(OR('Raw Data'!Z96="",LEN(TRIM('Raw Data'!Z96))=0),"",IF(AND(ISNUMBER('Raw Data'!Z96), IFERROR('Raw Data'!Z96 = ROUND('Raw Data'!Z96, 2),FALSE)),"",_xlfn.REGEXEXTRACT(CELL("address",Z96), "\$([A-Z]+)\$[0-9]+"))),_xlfn.REGEXEXTRACT(CELL("address",Z96), "\$([A-Z]+)\$[0-9]+"))</f>
        <v/>
      </c>
      <c r="AA96" s="7" t="str">
        <f t="array" aca="1" ref="AA96" ca="1">IFERROR(IF(OR('Raw Data'!AA96="",LEN(TRIM('Raw Data'!AA96))=0),"",IF(AND(ISNUMBER('Raw Data'!AA96), IFERROR('Raw Data'!AA96 = ROUND('Raw Data'!AA96, 2),FALSE)),"",_xlfn.REGEXEXTRACT(CELL("address",AA96), "\$([A-Z]+)\$[0-9]+"))),_xlfn.REGEXEXTRACT(CELL("address",AA96), "\$([A-Z]+)\$[0-9]+"))</f>
        <v/>
      </c>
      <c r="AB96" s="7" t="str">
        <f t="array" aca="1" ref="AB96" ca="1">IFERROR(IF(OR('Raw Data'!AB96="",LEN(TRIM('Raw Data'!AB96))=0),"",IF(AND(ISNUMBER('Raw Data'!AB96), IFERROR('Raw Data'!AB96 = ROUND('Raw Data'!AB96, 2),FALSE)),"",_xlfn.REGEXEXTRACT(CELL("address",AB96), "\$([A-Z]+)\$[0-9]+"))),_xlfn.REGEXEXTRACT(CELL("address",AB96), "\$([A-Z]+)\$[0-9]+"))</f>
        <v/>
      </c>
      <c r="AC96" s="7" t="str">
        <f t="array" aca="1" ref="AC96" ca="1">IFERROR(IF(OR('Raw Data'!AC96="",LEN(TRIM('Raw Data'!AC96))=0),"",IF(AND(ISNUMBER('Raw Data'!AC96), IFERROR('Raw Data'!AC96 = ROUND('Raw Data'!AC96, 2),FALSE)),"",_xlfn.REGEXEXTRACT(CELL("address",AC96), "\$([A-Z]+)\$[0-9]+"))),_xlfn.REGEXEXTRACT(CELL("address",AC96), "\$([A-Z]+)\$[0-9]+"))</f>
        <v/>
      </c>
      <c r="AD96" s="7" t="str">
        <f t="array" aca="1" ref="AD96" ca="1">IFERROR(IF(OR('Raw Data'!AD96="",LEN(TRIM('Raw Data'!AD96))=0),"",IF(AND(ISNUMBER('Raw Data'!AD96), IFERROR('Raw Data'!AD96 = ROUND('Raw Data'!AD96, 2),FALSE)),"",_xlfn.REGEXEXTRACT(CELL("address",AD96), "\$([A-Z]+)\$[0-9]+"))),_xlfn.REGEXEXTRACT(CELL("address",AD96), "\$([A-Z]+)\$[0-9]+"))</f>
        <v/>
      </c>
      <c r="AE96" s="7" t="str">
        <f t="array" aca="1" ref="AE96" ca="1">IFERROR(IF(OR('Raw Data'!AE96="",LEN(TRIM('Raw Data'!AE96))=0),"",IF(AND(ISNUMBER('Raw Data'!AE96), IFERROR('Raw Data'!AE96 = ROUND('Raw Data'!AE96, 2),FALSE)),"",_xlfn.REGEXEXTRACT(CELL("address",AE96), "\$([A-Z]+)\$[0-9]+"))),_xlfn.REGEXEXTRACT(CELL("address",AE96), "\$([A-Z]+)\$[0-9]+"))</f>
        <v/>
      </c>
      <c r="AF96" s="7" t="str">
        <f t="array" aca="1" ref="AF96" ca="1">IFERROR(IF(OR('Raw Data'!AF96="",LEN(TRIM('Raw Data'!AF96))=0),"",IF(AND(ISNUMBER('Raw Data'!AF96), IFERROR('Raw Data'!AF96 = ROUND('Raw Data'!AF96, 2),FALSE)),"",_xlfn.REGEXEXTRACT(CELL("address",AF96), "\$([A-Z]+)\$[0-9]+"))),_xlfn.REGEXEXTRACT(CELL("address",AF96), "\$([A-Z]+)\$[0-9]+"))</f>
        <v/>
      </c>
      <c r="AG96" s="7" t="str">
        <f t="array" aca="1" ref="AG96" ca="1">IFERROR(IF(OR('Raw Data'!AG96="",LEN(TRIM('Raw Data'!AG96))=0),"",IF(AND(ISNUMBER('Raw Data'!AG96), IFERROR('Raw Data'!AG96 = ROUND('Raw Data'!AG96, 2),FALSE)),"",_xlfn.REGEXEXTRACT(CELL("address",AG96), "\$([A-Z]+)\$[0-9]+"))),_xlfn.REGEXEXTRACT(CELL("address",AG96), "\$([A-Z]+)\$[0-9]+"))</f>
        <v/>
      </c>
      <c r="AH96" s="7" t="str">
        <f t="array" aca="1" ref="AH96" ca="1">IFERROR(IF(OR('Raw Data'!AH96="",LEN(TRIM('Raw Data'!AH96))=0),"",IF(AND(ISNUMBER('Raw Data'!AH96), IFERROR('Raw Data'!AH96 = ROUND('Raw Data'!AH96, 2),FALSE)),"",_xlfn.REGEXEXTRACT(CELL("address",AH96), "\$([A-Z]+)\$[0-9]+"))),_xlfn.REGEXEXTRACT(CELL("address",AH96), "\$([A-Z]+)\$[0-9]+"))</f>
        <v/>
      </c>
      <c r="AI96" s="7" t="str">
        <f t="array" aca="1" ref="AI96" ca="1">IFERROR(IF(OR('Raw Data'!AI96="",LEN(TRIM('Raw Data'!AI96))=0),"",IF(AND(ISNUMBER('Raw Data'!AI96), IFERROR('Raw Data'!AI96 = ROUND('Raw Data'!AI96, 2),FALSE)),"",_xlfn.REGEXEXTRACT(CELL("address",AI96), "\$([A-Z]+)\$[0-9]+"))),_xlfn.REGEXEXTRACT(CELL("address",AI96), "\$([A-Z]+)\$[0-9]+"))</f>
        <v/>
      </c>
      <c r="AJ96" s="7" t="str">
        <f t="array" aca="1" ref="AJ96" ca="1">IFERROR(IF(OR('Raw Data'!AJ96="",LEN(TRIM('Raw Data'!AJ96))=0),"",IF(AND(ISNUMBER('Raw Data'!AJ96), IFERROR('Raw Data'!AJ96 = ROUND('Raw Data'!AJ96, 4),FALSE)),"",_xlfn.REGEXEXTRACT(CELL("address",AJ96), "\$([A-Z]+)\$[0-9]+"))),_xlfn.REGEXEXTRACT(CELL("address",AJ96), "\$([A-Z]+)\$[0-9]+"))</f>
        <v/>
      </c>
      <c r="AK96" s="7" t="str">
        <f t="array" aca="1" ref="AK96" ca="1">IFERROR(IF(OR('Raw Data'!AK96="",LEN(TRIM('Raw Data'!AK96))=0),"",IF(AND(ISNUMBER('Raw Data'!AK96), IFERROR('Raw Data'!AK96 = ROUND('Raw Data'!AK96, 2),FALSE)),"",_xlfn.REGEXEXTRACT(CELL("address",AK96), "\$([A-Z]+)\$[0-9]+"))),_xlfn.REGEXEXTRACT(CELL("address",AK96), "\$([A-Z]+)\$[0-9]+"))</f>
        <v/>
      </c>
      <c r="AL96" s="7" t="str">
        <f t="array" aca="1" ref="AL96" ca="1">IFERROR(IF(OR('Raw Data'!AL96="",LEN(TRIM('Raw Data'!AL96))=0),"",IF(AND(ISNUMBER('Raw Data'!AL96), IFERROR('Raw Data'!AL96 = ROUND('Raw Data'!AL96, 2),FALSE)),"",_xlfn.REGEXEXTRACT(CELL("address",AL96), "\$([A-Z]+)\$[0-9]+"))),_xlfn.REGEXEXTRACT(CELL("address",AL96), "\$([A-Z]+)\$[0-9]+"))</f>
        <v/>
      </c>
      <c r="AM96" s="7" t="str">
        <f t="array" aca="1" ref="AM96" ca="1">IFERROR(IF(OR('Raw Data'!AM96="",LEN(TRIM('Raw Data'!AM96))=0),"",IF(AND(ISNUMBER('Raw Data'!AM96), IFERROR('Raw Data'!AM96 = ROUND('Raw Data'!AM96, 2),FALSE)),"",_xlfn.REGEXEXTRACT(CELL("address",AM96), "\$([A-Z]+)\$[0-9]+"))),_xlfn.REGEXEXTRACT(CELL("address",AM96), "\$([A-Z]+)\$[0-9]+"))</f>
        <v/>
      </c>
      <c r="AN96" s="7" t="str">
        <f t="array" aca="1" ref="AN96" ca="1">IFERROR(IF(OR('Raw Data'!AN96="",LEN(TRIM('Raw Data'!AN96))=0),"",IF(AND(ISNUMBER('Raw Data'!AN96), IFERROR('Raw Data'!AN96 = ROUND('Raw Data'!AN96, 2),FALSE)),"",_xlfn.REGEXEXTRACT(CELL("address",AN96), "\$([A-Z]+)\$[0-9]+"))),_xlfn.REGEXEXTRACT(CELL("address",AN96), "\$([A-Z]+)\$[0-9]+"))</f>
        <v/>
      </c>
      <c r="AO96" s="7" t="str">
        <f t="array" aca="1" ref="AO96" ca="1">IFERROR(IF(OR('Raw Data'!AO96="",LEN(TRIM('Raw Data'!AO96))=0),"",IF(AND(ISNUMBER('Raw Data'!AO96), IFERROR('Raw Data'!AO96 = ROUND('Raw Data'!AO96, 2),FALSE)),"",_xlfn.REGEXEXTRACT(CELL("address",AO96), "\$([A-Z]+)\$[0-9]+"))),_xlfn.REGEXEXTRACT(CELL("address",AO96), "\$([A-Z]+)\$[0-9]+"))</f>
        <v/>
      </c>
      <c r="AP96" s="7" t="str">
        <f t="array" aca="1" ref="AP96" ca="1">IFERROR(IF(OR('Raw Data'!AP96="",LEN(TRIM('Raw Data'!AP96))=0),"",IF(AND(ISNUMBER('Raw Data'!AP96), IFERROR('Raw Data'!AP96 = ROUND('Raw Data'!AP96, 2),FALSE)),"",_xlfn.REGEXEXTRACT(CELL("address",AP96), "\$([A-Z]+)\$[0-9]+"))),_xlfn.REGEXEXTRACT(CELL("address",AP96), "\$([A-Z]+)\$[0-9]+"))</f>
        <v/>
      </c>
    </row>
    <row r="97" spans="2:42" x14ac:dyDescent="0.25">
      <c r="B97" s="7" t="str">
        <f t="array" aca="1" ref="B97" ca="1">IFERROR(IF(OR('Raw Data'!B97="",LEN(TRIM('Raw Data'!B97))=0),"",IF(AND(LEN('Raw Data'!B97) &lt;= 255,LEN('Raw Data'!B97)&gt; 0),"",_xlfn.REGEXEXTRACT(CELL("address",'Raw Data'!B97),"\$([A-Z]+)\$[0-9]+"))),_xlfn.REGEXEXTRACT(CELL("address",'Raw Data'!B97),"\$([A-Z]+)\$[0-9]+"))</f>
        <v/>
      </c>
      <c r="C97" s="7" t="str">
        <f t="array" aca="1" ref="C97" ca="1">IFERROR(IF(OR('Raw Data'!C97="",LEN(TRIM('Raw Data'!C97))=0),"",IF(AND(LEN('Raw Data'!C97) &lt;= 50,LEN('Raw Data'!C97)&gt; 0),"",_xlfn.REGEXEXTRACT(CELL("address",'Raw Data'!C97),"\$([A-Z]+)\$[0-9]+"))),_xlfn.REGEXEXTRACT(CELL("address",'Raw Data'!C97),"\$([A-Z]+)\$[0-9]+"))</f>
        <v/>
      </c>
      <c r="D97" s="7" t="str">
        <f t="array" aca="1" ref="D97" ca="1">IFERROR(IF(OR('Raw Data'!D97="",LEN(TRIM('Raw Data'!D97))=0),"",IF(AND(LEN('Raw Data'!D97) &lt;= 500,LEN('Raw Data'!D97)&gt; 0),"",_xlfn.REGEXEXTRACT(CELL("address",'Raw Data'!D97),"\$([A-Z]+)\$[0-9]+"))),_xlfn.REGEXEXTRACT(CELL("address",'Raw Data'!D97),"\$([A-Z]+)\$[0-9]+"))</f>
        <v/>
      </c>
      <c r="E97" s="7" t="str">
        <f t="array" aca="1" ref="E97" ca="1">IFERROR(IF(OR('Raw Data'!E97="",LEN(TRIM('Raw Data'!E97))=0),"",IF(AND(LEN('Raw Data'!E97) &lt;= 50,LEN('Raw Data'!E97)&gt; 0),"",_xlfn.REGEXEXTRACT(CELL("address",'Raw Data'!E97),"\$([A-Z]+)\$[0-9]+"))),_xlfn.REGEXEXTRACT(CELL("address",'Raw Data'!E97),"\$([A-Z]+)\$[0-9]+"))</f>
        <v/>
      </c>
      <c r="F97" s="7" t="str">
        <f t="array" aca="1" ref="F97" ca="1">IFERROR(IF(OR('Raw Data'!F97="",LEN(TRIM('Raw Data'!F97))=0),"",IF(AND(LEN('Raw Data'!F97) &lt;= 50,LEN('Raw Data'!F97)&gt; 0),"",_xlfn.REGEXEXTRACT(CELL("address",'Raw Data'!F97),"\$([A-Z]+)\$[0-9]+"))),_xlfn.REGEXEXTRACT(CELL("address",'Raw Data'!F97),"\$([A-Z]+)\$[0-9]+"))</f>
        <v/>
      </c>
      <c r="G97" s="7" t="str">
        <f t="array" aca="1" ref="G97" ca="1">IFERROR(IF(OR('Raw Data'!G97="",LEN(TRIM('Raw Data'!G97))=0),"",IF(AND(LEN('Raw Data'!G97) &lt;= 50,LEN('Raw Data'!G97)&gt; 0),"",_xlfn.REGEXEXTRACT(CELL("address",'Raw Data'!G97),"\$([A-Z]+)\$[0-9]+"))),_xlfn.REGEXEXTRACT(CELL("address",'Raw Data'!G97),"\$([A-Z]+)\$[0-9]+"))</f>
        <v/>
      </c>
      <c r="H97" s="7" t="str">
        <f t="array" aca="1" ref="H97" ca="1">IFERROR(IF(OR('Raw Data'!H97="",LEN(TRIM('Raw Data'!H97))=0),"",IF(AND(LEN('Raw Data'!H97) &lt;= 50,LEN('Raw Data'!H97)&gt; 0),"",_xlfn.REGEXEXTRACT(CELL("address",'Raw Data'!H97),"\$([A-Z]+)\$[0-9]+"))),_xlfn.REGEXEXTRACT(CELL("address",'Raw Data'!H97),"\$([A-Z]+)\$[0-9]+"))</f>
        <v/>
      </c>
      <c r="I97" s="7" t="str">
        <f t="array" aca="1" ref="I97" ca="1">IFERROR(IF(OR('Raw Data'!I97="",LEN(TRIM('Raw Data'!I97))=0),"",IF(AND(LEN('Raw Data'!I97) &lt;= 50,LEN('Raw Data'!I97)&gt; 0),"",_xlfn.REGEXEXTRACT(CELL("address",'Raw Data'!I97),"\$([A-Z]+)\$[0-9]+"))),_xlfn.REGEXEXTRACT(CELL("address",'Raw Data'!I97),"\$([A-Z]+)\$[0-9]+"))</f>
        <v/>
      </c>
      <c r="J97" s="7" t="str">
        <f t="array" aca="1" ref="J97" ca="1">IFERROR(IF(OR('Raw Data'!J97="",LEN(TRIM('Raw Data'!J97))=0),"",IF(AND(ISNUMBER('Raw Data'!J97), IFERROR('Raw Data'!J97 = ROUND('Raw Data'!J97, 2),FALSE)),"",_xlfn.REGEXEXTRACT(CELL("address",J97), "\$([A-Z]+)\$[0-9]+"))),_xlfn.REGEXEXTRACT(CELL("address",J97), "\$([A-Z]+)\$[0-9]+"))</f>
        <v/>
      </c>
      <c r="K97" s="7" t="str">
        <f t="array" aca="1" ref="K97" ca="1">IFERROR(IF(OR('Raw Data'!K97="",LEN(TRIM('Raw Data'!K97))=0),"",IF(AND(ISNUMBER('Raw Data'!K97), IFERROR('Raw Data'!K97 = ROUND('Raw Data'!K97, 2),FALSE)),"",_xlfn.REGEXEXTRACT(CELL("address",K97), "\$([A-Z]+)\$[0-9]+"))),_xlfn.REGEXEXTRACT(CELL("address",K97), "\$([A-Z]+)\$[0-9]+"))</f>
        <v/>
      </c>
      <c r="L97" s="7" t="str">
        <f t="array" aca="1" ref="L97" ca="1">IFERROR(IF(OR('Raw Data'!L97="",LEN(TRIM('Raw Data'!L97))=0),"",IF(AND(ISNUMBER('Raw Data'!L97), IFERROR('Raw Data'!L97 = ROUND('Raw Data'!L97, 2),FALSE)),"",_xlfn.REGEXEXTRACT(CELL("address",L97), "\$([A-Z]+)\$[0-9]+"))),_xlfn.REGEXEXTRACT(CELL("address",L97), "\$([A-Z]+)\$[0-9]+"))</f>
        <v/>
      </c>
      <c r="M97" s="7" t="str">
        <f t="array" aca="1" ref="M97" ca="1">IFERROR(IF(OR('Raw Data'!M97="",LEN(TRIM('Raw Data'!M97))=0),"",IF(AND(ISNUMBER('Raw Data'!M97), IFERROR('Raw Data'!M97 = ROUND('Raw Data'!M97, 2),FALSE)),"",_xlfn.REGEXEXTRACT(CELL("address",M97), "\$([A-Z]+)\$[0-9]+"))),_xlfn.REGEXEXTRACT(CELL("address",M97), "\$([A-Z]+)\$[0-9]+"))</f>
        <v/>
      </c>
      <c r="N97" s="7" t="str">
        <f t="array" aca="1" ref="N97" ca="1">IFERROR(IF(OR('Raw Data'!N97="",LEN(TRIM('Raw Data'!N97))=0),"",IF(AND(ISNUMBER('Raw Data'!N97), IFERROR('Raw Data'!N97 = ROUND('Raw Data'!N97, 2),FALSE)),"",_xlfn.REGEXEXTRACT(CELL("address",N97), "\$([A-Z]+)\$[0-9]+"))),_xlfn.REGEXEXTRACT(CELL("address",N97), "\$([A-Z]+)\$[0-9]+"))</f>
        <v/>
      </c>
      <c r="O97" s="7" t="str">
        <f t="array" aca="1" ref="O97" ca="1">IFERROR(IF(OR('Raw Data'!O97="",LEN(TRIM('Raw Data'!O97))=0),"",IF(AND(ISNUMBER('Raw Data'!O97),'Raw Data'!O97&gt;=Configuration!$D$2),"",_xlfn.REGEXEXTRACT(CELL("address",'Raw Data'!O97),"\$([A-Z]+)\$[0-9]+"))),_xlfn.REGEXEXTRACT(CELL("address",O97), "\$([A-Z]+)\$[0-9]+"))</f>
        <v/>
      </c>
      <c r="P97" s="7" t="str">
        <f t="array" aca="1" ref="P97" ca="1">IFERROR(IF(OR('Raw Data'!P97="",LEN(TRIM('Raw Data'!P97))=0),"",IF(AND(ISNUMBER('Raw Data'!P97), IFERROR('Raw Data'!P97 = ROUND('Raw Data'!P97, 2),FALSE)),"",_xlfn.REGEXEXTRACT(CELL("address",P97), "\$([A-Z]+)\$[0-9]+"))),_xlfn.REGEXEXTRACT(CELL("address",P97), "\$([A-Z]+)\$[0-9]+"))</f>
        <v/>
      </c>
      <c r="Q97" s="7" t="str">
        <f t="array" aca="1" ref="Q97" ca="1">IFERROR(IF(OR('Raw Data'!Q97="",LEN(TRIM('Raw Data'!Q97))=0),"",IF(AND(ISNUMBER('Raw Data'!Q97), IFERROR('Raw Data'!Q97 = ROUND('Raw Data'!Q97, 2),FALSE)),"",_xlfn.REGEXEXTRACT(CELL("address",Q97), "\$([A-Z]+)\$[0-9]+"))),_xlfn.REGEXEXTRACT(CELL("address",Q97), "\$([A-Z]+)\$[0-9]+"))</f>
        <v/>
      </c>
      <c r="R97" s="7" t="str">
        <f t="array" aca="1" ref="R97" ca="1">IFERROR(IF(OR('Raw Data'!R97="",LEN(TRIM('Raw Data'!R97))=0),"",IF(AND(LEN('Raw Data'!R97) &lt;= 50,LEN('Raw Data'!R97)&gt; 0),"",_xlfn.REGEXEXTRACT(CELL("address",'Raw Data'!R97),"\$([A-Z]+)\$[0-9]+"))),_xlfn.REGEXEXTRACT(CELL("address",'Raw Data'!R97),"\$([A-Z]+)\$[0-9]+"))</f>
        <v/>
      </c>
      <c r="S97" s="7" t="str">
        <f t="array" aca="1" ref="S97" ca="1">IFERROR(IF(OR('Raw Data'!S97="",LEN(TRIM('Raw Data'!S97))=0),"",IF(AND(LEN('Raw Data'!S97) &lt;= 50,LEN('Raw Data'!S97)&gt; 0),"",_xlfn.REGEXEXTRACT(CELL("address",'Raw Data'!S97),"\$([A-Z]+)\$[0-9]+"))),_xlfn.REGEXEXTRACT(CELL("address",'Raw Data'!S97),"\$([A-Z]+)\$[0-9]+"))</f>
        <v/>
      </c>
      <c r="T97" s="7" t="str">
        <f t="array" aca="1" ref="T97" ca="1">IFERROR(IF(OR('Raw Data'!T97="",LEN(TRIM('Raw Data'!T97))=0),"",IF(AND(ISNUMBER('Raw Data'!T97), IFERROR('Raw Data'!T97 = ROUND('Raw Data'!T97, 2),FALSE)),"",_xlfn.REGEXEXTRACT(CELL("address",T97), "\$([A-Z]+)\$[0-9]+"))),_xlfn.REGEXEXTRACT(CELL("address",T97), "\$([A-Z]+)\$[0-9]+"))</f>
        <v/>
      </c>
      <c r="U97" s="7" t="str">
        <f t="array" aca="1" ref="U97" ca="1">IFERROR(IF(OR('Raw Data'!U97="",LEN(TRIM('Raw Data'!U97))=0),"",IF(AND(ISNUMBER('Raw Data'!U97), IFERROR('Raw Data'!U97 = ROUND('Raw Data'!U97, 2),FALSE)),"",_xlfn.REGEXEXTRACT(CELL("address",U97), "\$([A-Z]+)\$[0-9]+"))),_xlfn.REGEXEXTRACT(CELL("address",U97), "\$([A-Z]+)\$[0-9]+"))</f>
        <v/>
      </c>
      <c r="V97" s="7" t="str">
        <f t="array" aca="1" ref="V97" ca="1">IFERROR(IF(OR('Raw Data'!V97="",LEN(TRIM('Raw Data'!V97))=0),"",IF(AND(ISNUMBER('Raw Data'!V97), IFERROR('Raw Data'!V97 = ROUND('Raw Data'!V97, 2),FALSE)),"",_xlfn.REGEXEXTRACT(CELL("address",V97), "\$([A-Z]+)\$[0-9]+"))),_xlfn.REGEXEXTRACT(CELL("address",V97), "\$([A-Z]+)\$[0-9]+"))</f>
        <v/>
      </c>
      <c r="W97" s="7" t="str">
        <f t="array" aca="1" ref="W97" ca="1">IFERROR(IF(OR('Raw Data'!W97="",LEN(TRIM('Raw Data'!W97))=0),"",IF(AND(ISNUMBER('Raw Data'!W97), IFERROR('Raw Data'!W97 = ROUND('Raw Data'!W97, 2),FALSE)),"",_xlfn.REGEXEXTRACT(CELL("address",W97), "\$([A-Z]+)\$[0-9]+"))),_xlfn.REGEXEXTRACT(CELL("address",W97), "\$([A-Z]+)\$[0-9]+"))</f>
        <v/>
      </c>
      <c r="X97" s="7" t="str">
        <f t="array" aca="1" ref="X97" ca="1">IFERROR(IF(OR('Raw Data'!X97="",LEN(TRIM('Raw Data'!X97))=0),"",IF(AND(ISNUMBER('Raw Data'!X97), IFERROR('Raw Data'!X97 = ROUND('Raw Data'!X97, 2),FALSE)),"",_xlfn.REGEXEXTRACT(CELL("address",X97), "\$([A-Z]+)\$[0-9]+"))),_xlfn.REGEXEXTRACT(CELL("address",X97), "\$([A-Z]+)\$[0-9]+"))</f>
        <v/>
      </c>
      <c r="Y97" s="7" t="str">
        <f t="array" aca="1" ref="Y97" ca="1">IFERROR(IF(OR('Raw Data'!Y97="",LEN(TRIM('Raw Data'!Y97))=0),"",IF(AND(ISNUMBER('Raw Data'!Y97), IFERROR('Raw Data'!Y97 = ROUND('Raw Data'!Y97, 2),FALSE)),"",_xlfn.REGEXEXTRACT(CELL("address",Y97), "\$([A-Z]+)\$[0-9]+"))),_xlfn.REGEXEXTRACT(CELL("address",Y97), "\$([A-Z]+)\$[0-9]+"))</f>
        <v/>
      </c>
      <c r="Z97" s="7" t="str">
        <f t="array" aca="1" ref="Z97" ca="1">IFERROR(IF(OR('Raw Data'!Z97="",LEN(TRIM('Raw Data'!Z97))=0),"",IF(AND(ISNUMBER('Raw Data'!Z97), IFERROR('Raw Data'!Z97 = ROUND('Raw Data'!Z97, 2),FALSE)),"",_xlfn.REGEXEXTRACT(CELL("address",Z97), "\$([A-Z]+)\$[0-9]+"))),_xlfn.REGEXEXTRACT(CELL("address",Z97), "\$([A-Z]+)\$[0-9]+"))</f>
        <v/>
      </c>
      <c r="AA97" s="7" t="str">
        <f t="array" aca="1" ref="AA97" ca="1">IFERROR(IF(OR('Raw Data'!AA97="",LEN(TRIM('Raw Data'!AA97))=0),"",IF(AND(ISNUMBER('Raw Data'!AA97), IFERROR('Raw Data'!AA97 = ROUND('Raw Data'!AA97, 2),FALSE)),"",_xlfn.REGEXEXTRACT(CELL("address",AA97), "\$([A-Z]+)\$[0-9]+"))),_xlfn.REGEXEXTRACT(CELL("address",AA97), "\$([A-Z]+)\$[0-9]+"))</f>
        <v/>
      </c>
      <c r="AB97" s="7" t="str">
        <f t="array" aca="1" ref="AB97" ca="1">IFERROR(IF(OR('Raw Data'!AB97="",LEN(TRIM('Raw Data'!AB97))=0),"",IF(AND(ISNUMBER('Raw Data'!AB97), IFERROR('Raw Data'!AB97 = ROUND('Raw Data'!AB97, 2),FALSE)),"",_xlfn.REGEXEXTRACT(CELL("address",AB97), "\$([A-Z]+)\$[0-9]+"))),_xlfn.REGEXEXTRACT(CELL("address",AB97), "\$([A-Z]+)\$[0-9]+"))</f>
        <v/>
      </c>
      <c r="AC97" s="7" t="str">
        <f t="array" aca="1" ref="AC97" ca="1">IFERROR(IF(OR('Raw Data'!AC97="",LEN(TRIM('Raw Data'!AC97))=0),"",IF(AND(ISNUMBER('Raw Data'!AC97), IFERROR('Raw Data'!AC97 = ROUND('Raw Data'!AC97, 2),FALSE)),"",_xlfn.REGEXEXTRACT(CELL("address",AC97), "\$([A-Z]+)\$[0-9]+"))),_xlfn.REGEXEXTRACT(CELL("address",AC97), "\$([A-Z]+)\$[0-9]+"))</f>
        <v/>
      </c>
      <c r="AD97" s="7" t="str">
        <f t="array" aca="1" ref="AD97" ca="1">IFERROR(IF(OR('Raw Data'!AD97="",LEN(TRIM('Raw Data'!AD97))=0),"",IF(AND(ISNUMBER('Raw Data'!AD97), IFERROR('Raw Data'!AD97 = ROUND('Raw Data'!AD97, 2),FALSE)),"",_xlfn.REGEXEXTRACT(CELL("address",AD97), "\$([A-Z]+)\$[0-9]+"))),_xlfn.REGEXEXTRACT(CELL("address",AD97), "\$([A-Z]+)\$[0-9]+"))</f>
        <v/>
      </c>
      <c r="AE97" s="7" t="str">
        <f t="array" aca="1" ref="AE97" ca="1">IFERROR(IF(OR('Raw Data'!AE97="",LEN(TRIM('Raw Data'!AE97))=0),"",IF(AND(ISNUMBER('Raw Data'!AE97), IFERROR('Raw Data'!AE97 = ROUND('Raw Data'!AE97, 2),FALSE)),"",_xlfn.REGEXEXTRACT(CELL("address",AE97), "\$([A-Z]+)\$[0-9]+"))),_xlfn.REGEXEXTRACT(CELL("address",AE97), "\$([A-Z]+)\$[0-9]+"))</f>
        <v/>
      </c>
      <c r="AF97" s="7" t="str">
        <f t="array" aca="1" ref="AF97" ca="1">IFERROR(IF(OR('Raw Data'!AF97="",LEN(TRIM('Raw Data'!AF97))=0),"",IF(AND(ISNUMBER('Raw Data'!AF97), IFERROR('Raw Data'!AF97 = ROUND('Raw Data'!AF97, 2),FALSE)),"",_xlfn.REGEXEXTRACT(CELL("address",AF97), "\$([A-Z]+)\$[0-9]+"))),_xlfn.REGEXEXTRACT(CELL("address",AF97), "\$([A-Z]+)\$[0-9]+"))</f>
        <v/>
      </c>
      <c r="AG97" s="7" t="str">
        <f t="array" aca="1" ref="AG97" ca="1">IFERROR(IF(OR('Raw Data'!AG97="",LEN(TRIM('Raw Data'!AG97))=0),"",IF(AND(ISNUMBER('Raw Data'!AG97), IFERROR('Raw Data'!AG97 = ROUND('Raw Data'!AG97, 2),FALSE)),"",_xlfn.REGEXEXTRACT(CELL("address",AG97), "\$([A-Z]+)\$[0-9]+"))),_xlfn.REGEXEXTRACT(CELL("address",AG97), "\$([A-Z]+)\$[0-9]+"))</f>
        <v/>
      </c>
      <c r="AH97" s="7" t="str">
        <f t="array" aca="1" ref="AH97" ca="1">IFERROR(IF(OR('Raw Data'!AH97="",LEN(TRIM('Raw Data'!AH97))=0),"",IF(AND(ISNUMBER('Raw Data'!AH97), IFERROR('Raw Data'!AH97 = ROUND('Raw Data'!AH97, 2),FALSE)),"",_xlfn.REGEXEXTRACT(CELL("address",AH97), "\$([A-Z]+)\$[0-9]+"))),_xlfn.REGEXEXTRACT(CELL("address",AH97), "\$([A-Z]+)\$[0-9]+"))</f>
        <v/>
      </c>
      <c r="AI97" s="7" t="str">
        <f t="array" aca="1" ref="AI97" ca="1">IFERROR(IF(OR('Raw Data'!AI97="",LEN(TRIM('Raw Data'!AI97))=0),"",IF(AND(ISNUMBER('Raw Data'!AI97), IFERROR('Raw Data'!AI97 = ROUND('Raw Data'!AI97, 2),FALSE)),"",_xlfn.REGEXEXTRACT(CELL("address",AI97), "\$([A-Z]+)\$[0-9]+"))),_xlfn.REGEXEXTRACT(CELL("address",AI97), "\$([A-Z]+)\$[0-9]+"))</f>
        <v/>
      </c>
      <c r="AJ97" s="7" t="str">
        <f t="array" aca="1" ref="AJ97" ca="1">IFERROR(IF(OR('Raw Data'!AJ97="",LEN(TRIM('Raw Data'!AJ97))=0),"",IF(AND(ISNUMBER('Raw Data'!AJ97), IFERROR('Raw Data'!AJ97 = ROUND('Raw Data'!AJ97, 4),FALSE)),"",_xlfn.REGEXEXTRACT(CELL("address",AJ97), "\$([A-Z]+)\$[0-9]+"))),_xlfn.REGEXEXTRACT(CELL("address",AJ97), "\$([A-Z]+)\$[0-9]+"))</f>
        <v/>
      </c>
      <c r="AK97" s="7" t="str">
        <f t="array" aca="1" ref="AK97" ca="1">IFERROR(IF(OR('Raw Data'!AK97="",LEN(TRIM('Raw Data'!AK97))=0),"",IF(AND(ISNUMBER('Raw Data'!AK97), IFERROR('Raw Data'!AK97 = ROUND('Raw Data'!AK97, 2),FALSE)),"",_xlfn.REGEXEXTRACT(CELL("address",AK97), "\$([A-Z]+)\$[0-9]+"))),_xlfn.REGEXEXTRACT(CELL("address",AK97), "\$([A-Z]+)\$[0-9]+"))</f>
        <v/>
      </c>
      <c r="AL97" s="7" t="str">
        <f t="array" aca="1" ref="AL97" ca="1">IFERROR(IF(OR('Raw Data'!AL97="",LEN(TRIM('Raw Data'!AL97))=0),"",IF(AND(ISNUMBER('Raw Data'!AL97), IFERROR('Raw Data'!AL97 = ROUND('Raw Data'!AL97, 2),FALSE)),"",_xlfn.REGEXEXTRACT(CELL("address",AL97), "\$([A-Z]+)\$[0-9]+"))),_xlfn.REGEXEXTRACT(CELL("address",AL97), "\$([A-Z]+)\$[0-9]+"))</f>
        <v/>
      </c>
      <c r="AM97" s="7" t="str">
        <f t="array" aca="1" ref="AM97" ca="1">IFERROR(IF(OR('Raw Data'!AM97="",LEN(TRIM('Raw Data'!AM97))=0),"",IF(AND(ISNUMBER('Raw Data'!AM97), IFERROR('Raw Data'!AM97 = ROUND('Raw Data'!AM97, 2),FALSE)),"",_xlfn.REGEXEXTRACT(CELL("address",AM97), "\$([A-Z]+)\$[0-9]+"))),_xlfn.REGEXEXTRACT(CELL("address",AM97), "\$([A-Z]+)\$[0-9]+"))</f>
        <v/>
      </c>
      <c r="AN97" s="7" t="str">
        <f t="array" aca="1" ref="AN97" ca="1">IFERROR(IF(OR('Raw Data'!AN97="",LEN(TRIM('Raw Data'!AN97))=0),"",IF(AND(ISNUMBER('Raw Data'!AN97), IFERROR('Raw Data'!AN97 = ROUND('Raw Data'!AN97, 2),FALSE)),"",_xlfn.REGEXEXTRACT(CELL("address",AN97), "\$([A-Z]+)\$[0-9]+"))),_xlfn.REGEXEXTRACT(CELL("address",AN97), "\$([A-Z]+)\$[0-9]+"))</f>
        <v/>
      </c>
      <c r="AO97" s="7" t="str">
        <f t="array" aca="1" ref="AO97" ca="1">IFERROR(IF(OR('Raw Data'!AO97="",LEN(TRIM('Raw Data'!AO97))=0),"",IF(AND(ISNUMBER('Raw Data'!AO97), IFERROR('Raw Data'!AO97 = ROUND('Raw Data'!AO97, 2),FALSE)),"",_xlfn.REGEXEXTRACT(CELL("address",AO97), "\$([A-Z]+)\$[0-9]+"))),_xlfn.REGEXEXTRACT(CELL("address",AO97), "\$([A-Z]+)\$[0-9]+"))</f>
        <v/>
      </c>
      <c r="AP97" s="7" t="str">
        <f t="array" aca="1" ref="AP97" ca="1">IFERROR(IF(OR('Raw Data'!AP97="",LEN(TRIM('Raw Data'!AP97))=0),"",IF(AND(ISNUMBER('Raw Data'!AP97), IFERROR('Raw Data'!AP97 = ROUND('Raw Data'!AP97, 2),FALSE)),"",_xlfn.REGEXEXTRACT(CELL("address",AP97), "\$([A-Z]+)\$[0-9]+"))),_xlfn.REGEXEXTRACT(CELL("address",AP97), "\$([A-Z]+)\$[0-9]+"))</f>
        <v/>
      </c>
    </row>
    <row r="98" spans="2:42" x14ac:dyDescent="0.25">
      <c r="B98" s="7" t="str">
        <f t="array" aca="1" ref="B98" ca="1">IFERROR(IF(OR('Raw Data'!B98="",LEN(TRIM('Raw Data'!B98))=0),"",IF(AND(LEN('Raw Data'!B98) &lt;= 255,LEN('Raw Data'!B98)&gt; 0),"",_xlfn.REGEXEXTRACT(CELL("address",'Raw Data'!B98),"\$([A-Z]+)\$[0-9]+"))),_xlfn.REGEXEXTRACT(CELL("address",'Raw Data'!B98),"\$([A-Z]+)\$[0-9]+"))</f>
        <v/>
      </c>
      <c r="C98" s="7" t="str">
        <f t="array" aca="1" ref="C98" ca="1">IFERROR(IF(OR('Raw Data'!C98="",LEN(TRIM('Raw Data'!C98))=0),"",IF(AND(LEN('Raw Data'!C98) &lt;= 50,LEN('Raw Data'!C98)&gt; 0),"",_xlfn.REGEXEXTRACT(CELL("address",'Raw Data'!C98),"\$([A-Z]+)\$[0-9]+"))),_xlfn.REGEXEXTRACT(CELL("address",'Raw Data'!C98),"\$([A-Z]+)\$[0-9]+"))</f>
        <v/>
      </c>
      <c r="D98" s="7" t="str">
        <f t="array" aca="1" ref="D98" ca="1">IFERROR(IF(OR('Raw Data'!D98="",LEN(TRIM('Raw Data'!D98))=0),"",IF(AND(LEN('Raw Data'!D98) &lt;= 500,LEN('Raw Data'!D98)&gt; 0),"",_xlfn.REGEXEXTRACT(CELL("address",'Raw Data'!D98),"\$([A-Z]+)\$[0-9]+"))),_xlfn.REGEXEXTRACT(CELL("address",'Raw Data'!D98),"\$([A-Z]+)\$[0-9]+"))</f>
        <v/>
      </c>
      <c r="E98" s="7" t="str">
        <f t="array" aca="1" ref="E98" ca="1">IFERROR(IF(OR('Raw Data'!E98="",LEN(TRIM('Raw Data'!E98))=0),"",IF(AND(LEN('Raw Data'!E98) &lt;= 50,LEN('Raw Data'!E98)&gt; 0),"",_xlfn.REGEXEXTRACT(CELL("address",'Raw Data'!E98),"\$([A-Z]+)\$[0-9]+"))),_xlfn.REGEXEXTRACT(CELL("address",'Raw Data'!E98),"\$([A-Z]+)\$[0-9]+"))</f>
        <v/>
      </c>
      <c r="F98" s="7" t="str">
        <f t="array" aca="1" ref="F98" ca="1">IFERROR(IF(OR('Raw Data'!F98="",LEN(TRIM('Raw Data'!F98))=0),"",IF(AND(LEN('Raw Data'!F98) &lt;= 50,LEN('Raw Data'!F98)&gt; 0),"",_xlfn.REGEXEXTRACT(CELL("address",'Raw Data'!F98),"\$([A-Z]+)\$[0-9]+"))),_xlfn.REGEXEXTRACT(CELL("address",'Raw Data'!F98),"\$([A-Z]+)\$[0-9]+"))</f>
        <v/>
      </c>
      <c r="G98" s="7" t="str">
        <f t="array" aca="1" ref="G98" ca="1">IFERROR(IF(OR('Raw Data'!G98="",LEN(TRIM('Raw Data'!G98))=0),"",IF(AND(LEN('Raw Data'!G98) &lt;= 50,LEN('Raw Data'!G98)&gt; 0),"",_xlfn.REGEXEXTRACT(CELL("address",'Raw Data'!G98),"\$([A-Z]+)\$[0-9]+"))),_xlfn.REGEXEXTRACT(CELL("address",'Raw Data'!G98),"\$([A-Z]+)\$[0-9]+"))</f>
        <v/>
      </c>
      <c r="H98" s="7" t="str">
        <f t="array" aca="1" ref="H98" ca="1">IFERROR(IF(OR('Raw Data'!H98="",LEN(TRIM('Raw Data'!H98))=0),"",IF(AND(LEN('Raw Data'!H98) &lt;= 50,LEN('Raw Data'!H98)&gt; 0),"",_xlfn.REGEXEXTRACT(CELL("address",'Raw Data'!H98),"\$([A-Z]+)\$[0-9]+"))),_xlfn.REGEXEXTRACT(CELL("address",'Raw Data'!H98),"\$([A-Z]+)\$[0-9]+"))</f>
        <v/>
      </c>
      <c r="I98" s="7" t="str">
        <f t="array" aca="1" ref="I98" ca="1">IFERROR(IF(OR('Raw Data'!I98="",LEN(TRIM('Raw Data'!I98))=0),"",IF(AND(LEN('Raw Data'!I98) &lt;= 50,LEN('Raw Data'!I98)&gt; 0),"",_xlfn.REGEXEXTRACT(CELL("address",'Raw Data'!I98),"\$([A-Z]+)\$[0-9]+"))),_xlfn.REGEXEXTRACT(CELL("address",'Raw Data'!I98),"\$([A-Z]+)\$[0-9]+"))</f>
        <v/>
      </c>
      <c r="J98" s="7" t="str">
        <f t="array" aca="1" ref="J98" ca="1">IFERROR(IF(OR('Raw Data'!J98="",LEN(TRIM('Raw Data'!J98))=0),"",IF(AND(ISNUMBER('Raw Data'!J98), IFERROR('Raw Data'!J98 = ROUND('Raw Data'!J98, 2),FALSE)),"",_xlfn.REGEXEXTRACT(CELL("address",J98), "\$([A-Z]+)\$[0-9]+"))),_xlfn.REGEXEXTRACT(CELL("address",J98), "\$([A-Z]+)\$[0-9]+"))</f>
        <v/>
      </c>
      <c r="K98" s="7" t="str">
        <f t="array" aca="1" ref="K98" ca="1">IFERROR(IF(OR('Raw Data'!K98="",LEN(TRIM('Raw Data'!K98))=0),"",IF(AND(ISNUMBER('Raw Data'!K98), IFERROR('Raw Data'!K98 = ROUND('Raw Data'!K98, 2),FALSE)),"",_xlfn.REGEXEXTRACT(CELL("address",K98), "\$([A-Z]+)\$[0-9]+"))),_xlfn.REGEXEXTRACT(CELL("address",K98), "\$([A-Z]+)\$[0-9]+"))</f>
        <v/>
      </c>
      <c r="L98" s="7" t="str">
        <f t="array" aca="1" ref="L98" ca="1">IFERROR(IF(OR('Raw Data'!L98="",LEN(TRIM('Raw Data'!L98))=0),"",IF(AND(ISNUMBER('Raw Data'!L98), IFERROR('Raw Data'!L98 = ROUND('Raw Data'!L98, 2),FALSE)),"",_xlfn.REGEXEXTRACT(CELL("address",L98), "\$([A-Z]+)\$[0-9]+"))),_xlfn.REGEXEXTRACT(CELL("address",L98), "\$([A-Z]+)\$[0-9]+"))</f>
        <v/>
      </c>
      <c r="M98" s="7" t="str">
        <f t="array" aca="1" ref="M98" ca="1">IFERROR(IF(OR('Raw Data'!M98="",LEN(TRIM('Raw Data'!M98))=0),"",IF(AND(ISNUMBER('Raw Data'!M98), IFERROR('Raw Data'!M98 = ROUND('Raw Data'!M98, 2),FALSE)),"",_xlfn.REGEXEXTRACT(CELL("address",M98), "\$([A-Z]+)\$[0-9]+"))),_xlfn.REGEXEXTRACT(CELL("address",M98), "\$([A-Z]+)\$[0-9]+"))</f>
        <v/>
      </c>
      <c r="N98" s="7" t="str">
        <f t="array" aca="1" ref="N98" ca="1">IFERROR(IF(OR('Raw Data'!N98="",LEN(TRIM('Raw Data'!N98))=0),"",IF(AND(ISNUMBER('Raw Data'!N98), IFERROR('Raw Data'!N98 = ROUND('Raw Data'!N98, 2),FALSE)),"",_xlfn.REGEXEXTRACT(CELL("address",N98), "\$([A-Z]+)\$[0-9]+"))),_xlfn.REGEXEXTRACT(CELL("address",N98), "\$([A-Z]+)\$[0-9]+"))</f>
        <v/>
      </c>
      <c r="O98" s="7" t="str">
        <f t="array" aca="1" ref="O98" ca="1">IFERROR(IF(OR('Raw Data'!O98="",LEN(TRIM('Raw Data'!O98))=0),"",IF(AND(ISNUMBER('Raw Data'!O98),'Raw Data'!O98&gt;=Configuration!$D$2),"",_xlfn.REGEXEXTRACT(CELL("address",'Raw Data'!O98),"\$([A-Z]+)\$[0-9]+"))),_xlfn.REGEXEXTRACT(CELL("address",O98), "\$([A-Z]+)\$[0-9]+"))</f>
        <v/>
      </c>
      <c r="P98" s="7" t="str">
        <f t="array" aca="1" ref="P98" ca="1">IFERROR(IF(OR('Raw Data'!P98="",LEN(TRIM('Raw Data'!P98))=0),"",IF(AND(ISNUMBER('Raw Data'!P98), IFERROR('Raw Data'!P98 = ROUND('Raw Data'!P98, 2),FALSE)),"",_xlfn.REGEXEXTRACT(CELL("address",P98), "\$([A-Z]+)\$[0-9]+"))),_xlfn.REGEXEXTRACT(CELL("address",P98), "\$([A-Z]+)\$[0-9]+"))</f>
        <v/>
      </c>
      <c r="Q98" s="7" t="str">
        <f t="array" aca="1" ref="Q98" ca="1">IFERROR(IF(OR('Raw Data'!Q98="",LEN(TRIM('Raw Data'!Q98))=0),"",IF(AND(ISNUMBER('Raw Data'!Q98), IFERROR('Raw Data'!Q98 = ROUND('Raw Data'!Q98, 2),FALSE)),"",_xlfn.REGEXEXTRACT(CELL("address",Q98), "\$([A-Z]+)\$[0-9]+"))),_xlfn.REGEXEXTRACT(CELL("address",Q98), "\$([A-Z]+)\$[0-9]+"))</f>
        <v/>
      </c>
      <c r="R98" s="7" t="str">
        <f t="array" aca="1" ref="R98" ca="1">IFERROR(IF(OR('Raw Data'!R98="",LEN(TRIM('Raw Data'!R98))=0),"",IF(AND(LEN('Raw Data'!R98) &lt;= 50,LEN('Raw Data'!R98)&gt; 0),"",_xlfn.REGEXEXTRACT(CELL("address",'Raw Data'!R98),"\$([A-Z]+)\$[0-9]+"))),_xlfn.REGEXEXTRACT(CELL("address",'Raw Data'!R98),"\$([A-Z]+)\$[0-9]+"))</f>
        <v/>
      </c>
      <c r="S98" s="7" t="str">
        <f t="array" aca="1" ref="S98" ca="1">IFERROR(IF(OR('Raw Data'!S98="",LEN(TRIM('Raw Data'!S98))=0),"",IF(AND(LEN('Raw Data'!S98) &lt;= 50,LEN('Raw Data'!S98)&gt; 0),"",_xlfn.REGEXEXTRACT(CELL("address",'Raw Data'!S98),"\$([A-Z]+)\$[0-9]+"))),_xlfn.REGEXEXTRACT(CELL("address",'Raw Data'!S98),"\$([A-Z]+)\$[0-9]+"))</f>
        <v/>
      </c>
      <c r="T98" s="7" t="str">
        <f t="array" aca="1" ref="T98" ca="1">IFERROR(IF(OR('Raw Data'!T98="",LEN(TRIM('Raw Data'!T98))=0),"",IF(AND(ISNUMBER('Raw Data'!T98), IFERROR('Raw Data'!T98 = ROUND('Raw Data'!T98, 2),FALSE)),"",_xlfn.REGEXEXTRACT(CELL("address",T98), "\$([A-Z]+)\$[0-9]+"))),_xlfn.REGEXEXTRACT(CELL("address",T98), "\$([A-Z]+)\$[0-9]+"))</f>
        <v/>
      </c>
      <c r="U98" s="7" t="str">
        <f t="array" aca="1" ref="U98" ca="1">IFERROR(IF(OR('Raw Data'!U98="",LEN(TRIM('Raw Data'!U98))=0),"",IF(AND(ISNUMBER('Raw Data'!U98), IFERROR('Raw Data'!U98 = ROUND('Raw Data'!U98, 2),FALSE)),"",_xlfn.REGEXEXTRACT(CELL("address",U98), "\$([A-Z]+)\$[0-9]+"))),_xlfn.REGEXEXTRACT(CELL("address",U98), "\$([A-Z]+)\$[0-9]+"))</f>
        <v/>
      </c>
      <c r="V98" s="7" t="str">
        <f t="array" aca="1" ref="V98" ca="1">IFERROR(IF(OR('Raw Data'!V98="",LEN(TRIM('Raw Data'!V98))=0),"",IF(AND(ISNUMBER('Raw Data'!V98), IFERROR('Raw Data'!V98 = ROUND('Raw Data'!V98, 2),FALSE)),"",_xlfn.REGEXEXTRACT(CELL("address",V98), "\$([A-Z]+)\$[0-9]+"))),_xlfn.REGEXEXTRACT(CELL("address",V98), "\$([A-Z]+)\$[0-9]+"))</f>
        <v/>
      </c>
      <c r="W98" s="7" t="str">
        <f t="array" aca="1" ref="W98" ca="1">IFERROR(IF(OR('Raw Data'!W98="",LEN(TRIM('Raw Data'!W98))=0),"",IF(AND(ISNUMBER('Raw Data'!W98), IFERROR('Raw Data'!W98 = ROUND('Raw Data'!W98, 2),FALSE)),"",_xlfn.REGEXEXTRACT(CELL("address",W98), "\$([A-Z]+)\$[0-9]+"))),_xlfn.REGEXEXTRACT(CELL("address",W98), "\$([A-Z]+)\$[0-9]+"))</f>
        <v/>
      </c>
      <c r="X98" s="7" t="str">
        <f t="array" aca="1" ref="X98" ca="1">IFERROR(IF(OR('Raw Data'!X98="",LEN(TRIM('Raw Data'!X98))=0),"",IF(AND(ISNUMBER('Raw Data'!X98), IFERROR('Raw Data'!X98 = ROUND('Raw Data'!X98, 2),FALSE)),"",_xlfn.REGEXEXTRACT(CELL("address",X98), "\$([A-Z]+)\$[0-9]+"))),_xlfn.REGEXEXTRACT(CELL("address",X98), "\$([A-Z]+)\$[0-9]+"))</f>
        <v/>
      </c>
      <c r="Y98" s="7" t="str">
        <f t="array" aca="1" ref="Y98" ca="1">IFERROR(IF(OR('Raw Data'!Y98="",LEN(TRIM('Raw Data'!Y98))=0),"",IF(AND(ISNUMBER('Raw Data'!Y98), IFERROR('Raw Data'!Y98 = ROUND('Raw Data'!Y98, 2),FALSE)),"",_xlfn.REGEXEXTRACT(CELL("address",Y98), "\$([A-Z]+)\$[0-9]+"))),_xlfn.REGEXEXTRACT(CELL("address",Y98), "\$([A-Z]+)\$[0-9]+"))</f>
        <v/>
      </c>
      <c r="Z98" s="7" t="str">
        <f t="array" aca="1" ref="Z98" ca="1">IFERROR(IF(OR('Raw Data'!Z98="",LEN(TRIM('Raw Data'!Z98))=0),"",IF(AND(ISNUMBER('Raw Data'!Z98), IFERROR('Raw Data'!Z98 = ROUND('Raw Data'!Z98, 2),FALSE)),"",_xlfn.REGEXEXTRACT(CELL("address",Z98), "\$([A-Z]+)\$[0-9]+"))),_xlfn.REGEXEXTRACT(CELL("address",Z98), "\$([A-Z]+)\$[0-9]+"))</f>
        <v/>
      </c>
      <c r="AA98" s="7" t="str">
        <f t="array" aca="1" ref="AA98" ca="1">IFERROR(IF(OR('Raw Data'!AA98="",LEN(TRIM('Raw Data'!AA98))=0),"",IF(AND(ISNUMBER('Raw Data'!AA98), IFERROR('Raw Data'!AA98 = ROUND('Raw Data'!AA98, 2),FALSE)),"",_xlfn.REGEXEXTRACT(CELL("address",AA98), "\$([A-Z]+)\$[0-9]+"))),_xlfn.REGEXEXTRACT(CELL("address",AA98), "\$([A-Z]+)\$[0-9]+"))</f>
        <v/>
      </c>
      <c r="AB98" s="7" t="str">
        <f t="array" aca="1" ref="AB98" ca="1">IFERROR(IF(OR('Raw Data'!AB98="",LEN(TRIM('Raw Data'!AB98))=0),"",IF(AND(ISNUMBER('Raw Data'!AB98), IFERROR('Raw Data'!AB98 = ROUND('Raw Data'!AB98, 2),FALSE)),"",_xlfn.REGEXEXTRACT(CELL("address",AB98), "\$([A-Z]+)\$[0-9]+"))),_xlfn.REGEXEXTRACT(CELL("address",AB98), "\$([A-Z]+)\$[0-9]+"))</f>
        <v/>
      </c>
      <c r="AC98" s="7" t="str">
        <f t="array" aca="1" ref="AC98" ca="1">IFERROR(IF(OR('Raw Data'!AC98="",LEN(TRIM('Raw Data'!AC98))=0),"",IF(AND(ISNUMBER('Raw Data'!AC98), IFERROR('Raw Data'!AC98 = ROUND('Raw Data'!AC98, 2),FALSE)),"",_xlfn.REGEXEXTRACT(CELL("address",AC98), "\$([A-Z]+)\$[0-9]+"))),_xlfn.REGEXEXTRACT(CELL("address",AC98), "\$([A-Z]+)\$[0-9]+"))</f>
        <v/>
      </c>
      <c r="AD98" s="7" t="str">
        <f t="array" aca="1" ref="AD98" ca="1">IFERROR(IF(OR('Raw Data'!AD98="",LEN(TRIM('Raw Data'!AD98))=0),"",IF(AND(ISNUMBER('Raw Data'!AD98), IFERROR('Raw Data'!AD98 = ROUND('Raw Data'!AD98, 2),FALSE)),"",_xlfn.REGEXEXTRACT(CELL("address",AD98), "\$([A-Z]+)\$[0-9]+"))),_xlfn.REGEXEXTRACT(CELL("address",AD98), "\$([A-Z]+)\$[0-9]+"))</f>
        <v/>
      </c>
      <c r="AE98" s="7" t="str">
        <f t="array" aca="1" ref="AE98" ca="1">IFERROR(IF(OR('Raw Data'!AE98="",LEN(TRIM('Raw Data'!AE98))=0),"",IF(AND(ISNUMBER('Raw Data'!AE98), IFERROR('Raw Data'!AE98 = ROUND('Raw Data'!AE98, 2),FALSE)),"",_xlfn.REGEXEXTRACT(CELL("address",AE98), "\$([A-Z]+)\$[0-9]+"))),_xlfn.REGEXEXTRACT(CELL("address",AE98), "\$([A-Z]+)\$[0-9]+"))</f>
        <v/>
      </c>
      <c r="AF98" s="7" t="str">
        <f t="array" aca="1" ref="AF98" ca="1">IFERROR(IF(OR('Raw Data'!AF98="",LEN(TRIM('Raw Data'!AF98))=0),"",IF(AND(ISNUMBER('Raw Data'!AF98), IFERROR('Raw Data'!AF98 = ROUND('Raw Data'!AF98, 2),FALSE)),"",_xlfn.REGEXEXTRACT(CELL("address",AF98), "\$([A-Z]+)\$[0-9]+"))),_xlfn.REGEXEXTRACT(CELL("address",AF98), "\$([A-Z]+)\$[0-9]+"))</f>
        <v/>
      </c>
      <c r="AG98" s="7" t="str">
        <f t="array" aca="1" ref="AG98" ca="1">IFERROR(IF(OR('Raw Data'!AG98="",LEN(TRIM('Raw Data'!AG98))=0),"",IF(AND(ISNUMBER('Raw Data'!AG98), IFERROR('Raw Data'!AG98 = ROUND('Raw Data'!AG98, 2),FALSE)),"",_xlfn.REGEXEXTRACT(CELL("address",AG98), "\$([A-Z]+)\$[0-9]+"))),_xlfn.REGEXEXTRACT(CELL("address",AG98), "\$([A-Z]+)\$[0-9]+"))</f>
        <v/>
      </c>
      <c r="AH98" s="7" t="str">
        <f t="array" aca="1" ref="AH98" ca="1">IFERROR(IF(OR('Raw Data'!AH98="",LEN(TRIM('Raw Data'!AH98))=0),"",IF(AND(ISNUMBER('Raw Data'!AH98), IFERROR('Raw Data'!AH98 = ROUND('Raw Data'!AH98, 2),FALSE)),"",_xlfn.REGEXEXTRACT(CELL("address",AH98), "\$([A-Z]+)\$[0-9]+"))),_xlfn.REGEXEXTRACT(CELL("address",AH98), "\$([A-Z]+)\$[0-9]+"))</f>
        <v/>
      </c>
      <c r="AI98" s="7" t="str">
        <f t="array" aca="1" ref="AI98" ca="1">IFERROR(IF(OR('Raw Data'!AI98="",LEN(TRIM('Raw Data'!AI98))=0),"",IF(AND(ISNUMBER('Raw Data'!AI98), IFERROR('Raw Data'!AI98 = ROUND('Raw Data'!AI98, 2),FALSE)),"",_xlfn.REGEXEXTRACT(CELL("address",AI98), "\$([A-Z]+)\$[0-9]+"))),_xlfn.REGEXEXTRACT(CELL("address",AI98), "\$([A-Z]+)\$[0-9]+"))</f>
        <v/>
      </c>
      <c r="AJ98" s="7" t="str">
        <f t="array" aca="1" ref="AJ98" ca="1">IFERROR(IF(OR('Raw Data'!AJ98="",LEN(TRIM('Raw Data'!AJ98))=0),"",IF(AND(ISNUMBER('Raw Data'!AJ98), IFERROR('Raw Data'!AJ98 = ROUND('Raw Data'!AJ98, 4),FALSE)),"",_xlfn.REGEXEXTRACT(CELL("address",AJ98), "\$([A-Z]+)\$[0-9]+"))),_xlfn.REGEXEXTRACT(CELL("address",AJ98), "\$([A-Z]+)\$[0-9]+"))</f>
        <v/>
      </c>
      <c r="AK98" s="7" t="str">
        <f t="array" aca="1" ref="AK98" ca="1">IFERROR(IF(OR('Raw Data'!AK98="",LEN(TRIM('Raw Data'!AK98))=0),"",IF(AND(ISNUMBER('Raw Data'!AK98), IFERROR('Raw Data'!AK98 = ROUND('Raw Data'!AK98, 2),FALSE)),"",_xlfn.REGEXEXTRACT(CELL("address",AK98), "\$([A-Z]+)\$[0-9]+"))),_xlfn.REGEXEXTRACT(CELL("address",AK98), "\$([A-Z]+)\$[0-9]+"))</f>
        <v/>
      </c>
      <c r="AL98" s="7" t="str">
        <f t="array" aca="1" ref="AL98" ca="1">IFERROR(IF(OR('Raw Data'!AL98="",LEN(TRIM('Raw Data'!AL98))=0),"",IF(AND(ISNUMBER('Raw Data'!AL98), IFERROR('Raw Data'!AL98 = ROUND('Raw Data'!AL98, 2),FALSE)),"",_xlfn.REGEXEXTRACT(CELL("address",AL98), "\$([A-Z]+)\$[0-9]+"))),_xlfn.REGEXEXTRACT(CELL("address",AL98), "\$([A-Z]+)\$[0-9]+"))</f>
        <v/>
      </c>
      <c r="AM98" s="7" t="str">
        <f t="array" aca="1" ref="AM98" ca="1">IFERROR(IF(OR('Raw Data'!AM98="",LEN(TRIM('Raw Data'!AM98))=0),"",IF(AND(ISNUMBER('Raw Data'!AM98), IFERROR('Raw Data'!AM98 = ROUND('Raw Data'!AM98, 2),FALSE)),"",_xlfn.REGEXEXTRACT(CELL("address",AM98), "\$([A-Z]+)\$[0-9]+"))),_xlfn.REGEXEXTRACT(CELL("address",AM98), "\$([A-Z]+)\$[0-9]+"))</f>
        <v/>
      </c>
      <c r="AN98" s="7" t="str">
        <f t="array" aca="1" ref="AN98" ca="1">IFERROR(IF(OR('Raw Data'!AN98="",LEN(TRIM('Raw Data'!AN98))=0),"",IF(AND(ISNUMBER('Raw Data'!AN98), IFERROR('Raw Data'!AN98 = ROUND('Raw Data'!AN98, 2),FALSE)),"",_xlfn.REGEXEXTRACT(CELL("address",AN98), "\$([A-Z]+)\$[0-9]+"))),_xlfn.REGEXEXTRACT(CELL("address",AN98), "\$([A-Z]+)\$[0-9]+"))</f>
        <v/>
      </c>
      <c r="AO98" s="7" t="str">
        <f t="array" aca="1" ref="AO98" ca="1">IFERROR(IF(OR('Raw Data'!AO98="",LEN(TRIM('Raw Data'!AO98))=0),"",IF(AND(ISNUMBER('Raw Data'!AO98), IFERROR('Raw Data'!AO98 = ROUND('Raw Data'!AO98, 2),FALSE)),"",_xlfn.REGEXEXTRACT(CELL("address",AO98), "\$([A-Z]+)\$[0-9]+"))),_xlfn.REGEXEXTRACT(CELL("address",AO98), "\$([A-Z]+)\$[0-9]+"))</f>
        <v/>
      </c>
      <c r="AP98" s="7" t="str">
        <f t="array" aca="1" ref="AP98" ca="1">IFERROR(IF(OR('Raw Data'!AP98="",LEN(TRIM('Raw Data'!AP98))=0),"",IF(AND(ISNUMBER('Raw Data'!AP98), IFERROR('Raw Data'!AP98 = ROUND('Raw Data'!AP98, 2),FALSE)),"",_xlfn.REGEXEXTRACT(CELL("address",AP98), "\$([A-Z]+)\$[0-9]+"))),_xlfn.REGEXEXTRACT(CELL("address",AP98), "\$([A-Z]+)\$[0-9]+"))</f>
        <v/>
      </c>
    </row>
    <row r="99" spans="2:42" x14ac:dyDescent="0.25">
      <c r="B99" s="7" t="str">
        <f t="array" aca="1" ref="B99" ca="1">IFERROR(IF(OR('Raw Data'!B99="",LEN(TRIM('Raw Data'!B99))=0),"",IF(AND(LEN('Raw Data'!B99) &lt;= 255,LEN('Raw Data'!B99)&gt; 0),"",_xlfn.REGEXEXTRACT(CELL("address",'Raw Data'!B99),"\$([A-Z]+)\$[0-9]+"))),_xlfn.REGEXEXTRACT(CELL("address",'Raw Data'!B99),"\$([A-Z]+)\$[0-9]+"))</f>
        <v/>
      </c>
      <c r="C99" s="7" t="str">
        <f t="array" aca="1" ref="C99" ca="1">IFERROR(IF(OR('Raw Data'!C99="",LEN(TRIM('Raw Data'!C99))=0),"",IF(AND(LEN('Raw Data'!C99) &lt;= 50,LEN('Raw Data'!C99)&gt; 0),"",_xlfn.REGEXEXTRACT(CELL("address",'Raw Data'!C99),"\$([A-Z]+)\$[0-9]+"))),_xlfn.REGEXEXTRACT(CELL("address",'Raw Data'!C99),"\$([A-Z]+)\$[0-9]+"))</f>
        <v/>
      </c>
      <c r="D99" s="7" t="str">
        <f t="array" aca="1" ref="D99" ca="1">IFERROR(IF(OR('Raw Data'!D99="",LEN(TRIM('Raw Data'!D99))=0),"",IF(AND(LEN('Raw Data'!D99) &lt;= 500,LEN('Raw Data'!D99)&gt; 0),"",_xlfn.REGEXEXTRACT(CELL("address",'Raw Data'!D99),"\$([A-Z]+)\$[0-9]+"))),_xlfn.REGEXEXTRACT(CELL("address",'Raw Data'!D99),"\$([A-Z]+)\$[0-9]+"))</f>
        <v/>
      </c>
      <c r="E99" s="7" t="str">
        <f t="array" aca="1" ref="E99" ca="1">IFERROR(IF(OR('Raw Data'!E99="",LEN(TRIM('Raw Data'!E99))=0),"",IF(AND(LEN('Raw Data'!E99) &lt;= 50,LEN('Raw Data'!E99)&gt; 0),"",_xlfn.REGEXEXTRACT(CELL("address",'Raw Data'!E99),"\$([A-Z]+)\$[0-9]+"))),_xlfn.REGEXEXTRACT(CELL("address",'Raw Data'!E99),"\$([A-Z]+)\$[0-9]+"))</f>
        <v/>
      </c>
      <c r="F99" s="7" t="str">
        <f t="array" aca="1" ref="F99" ca="1">IFERROR(IF(OR('Raw Data'!F99="",LEN(TRIM('Raw Data'!F99))=0),"",IF(AND(LEN('Raw Data'!F99) &lt;= 50,LEN('Raw Data'!F99)&gt; 0),"",_xlfn.REGEXEXTRACT(CELL("address",'Raw Data'!F99),"\$([A-Z]+)\$[0-9]+"))),_xlfn.REGEXEXTRACT(CELL("address",'Raw Data'!F99),"\$([A-Z]+)\$[0-9]+"))</f>
        <v/>
      </c>
      <c r="G99" s="7" t="str">
        <f t="array" aca="1" ref="G99" ca="1">IFERROR(IF(OR('Raw Data'!G99="",LEN(TRIM('Raw Data'!G99))=0),"",IF(AND(LEN('Raw Data'!G99) &lt;= 50,LEN('Raw Data'!G99)&gt; 0),"",_xlfn.REGEXEXTRACT(CELL("address",'Raw Data'!G99),"\$([A-Z]+)\$[0-9]+"))),_xlfn.REGEXEXTRACT(CELL("address",'Raw Data'!G99),"\$([A-Z]+)\$[0-9]+"))</f>
        <v/>
      </c>
      <c r="H99" s="7" t="str">
        <f t="array" aca="1" ref="H99" ca="1">IFERROR(IF(OR('Raw Data'!H99="",LEN(TRIM('Raw Data'!H99))=0),"",IF(AND(LEN('Raw Data'!H99) &lt;= 50,LEN('Raw Data'!H99)&gt; 0),"",_xlfn.REGEXEXTRACT(CELL("address",'Raw Data'!H99),"\$([A-Z]+)\$[0-9]+"))),_xlfn.REGEXEXTRACT(CELL("address",'Raw Data'!H99),"\$([A-Z]+)\$[0-9]+"))</f>
        <v/>
      </c>
      <c r="I99" s="7" t="str">
        <f t="array" aca="1" ref="I99" ca="1">IFERROR(IF(OR('Raw Data'!I99="",LEN(TRIM('Raw Data'!I99))=0),"",IF(AND(LEN('Raw Data'!I99) &lt;= 50,LEN('Raw Data'!I99)&gt; 0),"",_xlfn.REGEXEXTRACT(CELL("address",'Raw Data'!I99),"\$([A-Z]+)\$[0-9]+"))),_xlfn.REGEXEXTRACT(CELL("address",'Raw Data'!I99),"\$([A-Z]+)\$[0-9]+"))</f>
        <v/>
      </c>
      <c r="J99" s="7" t="str">
        <f t="array" aca="1" ref="J99" ca="1">IFERROR(IF(OR('Raw Data'!J99="",LEN(TRIM('Raw Data'!J99))=0),"",IF(AND(ISNUMBER('Raw Data'!J99), IFERROR('Raw Data'!J99 = ROUND('Raw Data'!J99, 2),FALSE)),"",_xlfn.REGEXEXTRACT(CELL("address",J99), "\$([A-Z]+)\$[0-9]+"))),_xlfn.REGEXEXTRACT(CELL("address",J99), "\$([A-Z]+)\$[0-9]+"))</f>
        <v/>
      </c>
      <c r="K99" s="7" t="str">
        <f t="array" aca="1" ref="K99" ca="1">IFERROR(IF(OR('Raw Data'!K99="",LEN(TRIM('Raw Data'!K99))=0),"",IF(AND(ISNUMBER('Raw Data'!K99), IFERROR('Raw Data'!K99 = ROUND('Raw Data'!K99, 2),FALSE)),"",_xlfn.REGEXEXTRACT(CELL("address",K99), "\$([A-Z]+)\$[0-9]+"))),_xlfn.REGEXEXTRACT(CELL("address",K99), "\$([A-Z]+)\$[0-9]+"))</f>
        <v/>
      </c>
      <c r="L99" s="7" t="str">
        <f t="array" aca="1" ref="L99" ca="1">IFERROR(IF(OR('Raw Data'!L99="",LEN(TRIM('Raw Data'!L99))=0),"",IF(AND(ISNUMBER('Raw Data'!L99), IFERROR('Raw Data'!L99 = ROUND('Raw Data'!L99, 2),FALSE)),"",_xlfn.REGEXEXTRACT(CELL("address",L99), "\$([A-Z]+)\$[0-9]+"))),_xlfn.REGEXEXTRACT(CELL("address",L99), "\$([A-Z]+)\$[0-9]+"))</f>
        <v/>
      </c>
      <c r="M99" s="7" t="str">
        <f t="array" aca="1" ref="M99" ca="1">IFERROR(IF(OR('Raw Data'!M99="",LEN(TRIM('Raw Data'!M99))=0),"",IF(AND(ISNUMBER('Raw Data'!M99), IFERROR('Raw Data'!M99 = ROUND('Raw Data'!M99, 2),FALSE)),"",_xlfn.REGEXEXTRACT(CELL("address",M99), "\$([A-Z]+)\$[0-9]+"))),_xlfn.REGEXEXTRACT(CELL("address",M99), "\$([A-Z]+)\$[0-9]+"))</f>
        <v/>
      </c>
      <c r="N99" s="7" t="str">
        <f t="array" aca="1" ref="N99" ca="1">IFERROR(IF(OR('Raw Data'!N99="",LEN(TRIM('Raw Data'!N99))=0),"",IF(AND(ISNUMBER('Raw Data'!N99), IFERROR('Raw Data'!N99 = ROUND('Raw Data'!N99, 2),FALSE)),"",_xlfn.REGEXEXTRACT(CELL("address",N99), "\$([A-Z]+)\$[0-9]+"))),_xlfn.REGEXEXTRACT(CELL("address",N99), "\$([A-Z]+)\$[0-9]+"))</f>
        <v/>
      </c>
      <c r="O99" s="7" t="str">
        <f t="array" aca="1" ref="O99" ca="1">IFERROR(IF(OR('Raw Data'!O99="",LEN(TRIM('Raw Data'!O99))=0),"",IF(AND(ISNUMBER('Raw Data'!O99),'Raw Data'!O99&gt;=Configuration!$D$2),"",_xlfn.REGEXEXTRACT(CELL("address",'Raw Data'!O99),"\$([A-Z]+)\$[0-9]+"))),_xlfn.REGEXEXTRACT(CELL("address",O99), "\$([A-Z]+)\$[0-9]+"))</f>
        <v/>
      </c>
      <c r="P99" s="7" t="str">
        <f t="array" aca="1" ref="P99" ca="1">IFERROR(IF(OR('Raw Data'!P99="",LEN(TRIM('Raw Data'!P99))=0),"",IF(AND(ISNUMBER('Raw Data'!P99), IFERROR('Raw Data'!P99 = ROUND('Raw Data'!P99, 2),FALSE)),"",_xlfn.REGEXEXTRACT(CELL("address",P99), "\$([A-Z]+)\$[0-9]+"))),_xlfn.REGEXEXTRACT(CELL("address",P99), "\$([A-Z]+)\$[0-9]+"))</f>
        <v/>
      </c>
      <c r="Q99" s="7" t="str">
        <f t="array" aca="1" ref="Q99" ca="1">IFERROR(IF(OR('Raw Data'!Q99="",LEN(TRIM('Raw Data'!Q99))=0),"",IF(AND(ISNUMBER('Raw Data'!Q99), IFERROR('Raw Data'!Q99 = ROUND('Raw Data'!Q99, 2),FALSE)),"",_xlfn.REGEXEXTRACT(CELL("address",Q99), "\$([A-Z]+)\$[0-9]+"))),_xlfn.REGEXEXTRACT(CELL("address",Q99), "\$([A-Z]+)\$[0-9]+"))</f>
        <v/>
      </c>
      <c r="R99" s="7" t="str">
        <f t="array" aca="1" ref="R99" ca="1">IFERROR(IF(OR('Raw Data'!R99="",LEN(TRIM('Raw Data'!R99))=0),"",IF(AND(LEN('Raw Data'!R99) &lt;= 50,LEN('Raw Data'!R99)&gt; 0),"",_xlfn.REGEXEXTRACT(CELL("address",'Raw Data'!R99),"\$([A-Z]+)\$[0-9]+"))),_xlfn.REGEXEXTRACT(CELL("address",'Raw Data'!R99),"\$([A-Z]+)\$[0-9]+"))</f>
        <v/>
      </c>
      <c r="S99" s="7" t="str">
        <f t="array" aca="1" ref="S99" ca="1">IFERROR(IF(OR('Raw Data'!S99="",LEN(TRIM('Raw Data'!S99))=0),"",IF(AND(LEN('Raw Data'!S99) &lt;= 50,LEN('Raw Data'!S99)&gt; 0),"",_xlfn.REGEXEXTRACT(CELL("address",'Raw Data'!S99),"\$([A-Z]+)\$[0-9]+"))),_xlfn.REGEXEXTRACT(CELL("address",'Raw Data'!S99),"\$([A-Z]+)\$[0-9]+"))</f>
        <v/>
      </c>
      <c r="T99" s="7" t="str">
        <f t="array" aca="1" ref="T99" ca="1">IFERROR(IF(OR('Raw Data'!T99="",LEN(TRIM('Raw Data'!T99))=0),"",IF(AND(ISNUMBER('Raw Data'!T99), IFERROR('Raw Data'!T99 = ROUND('Raw Data'!T99, 2),FALSE)),"",_xlfn.REGEXEXTRACT(CELL("address",T99), "\$([A-Z]+)\$[0-9]+"))),_xlfn.REGEXEXTRACT(CELL("address",T99), "\$([A-Z]+)\$[0-9]+"))</f>
        <v/>
      </c>
      <c r="U99" s="7" t="str">
        <f t="array" aca="1" ref="U99" ca="1">IFERROR(IF(OR('Raw Data'!U99="",LEN(TRIM('Raw Data'!U99))=0),"",IF(AND(ISNUMBER('Raw Data'!U99), IFERROR('Raw Data'!U99 = ROUND('Raw Data'!U99, 2),FALSE)),"",_xlfn.REGEXEXTRACT(CELL("address",U99), "\$([A-Z]+)\$[0-9]+"))),_xlfn.REGEXEXTRACT(CELL("address",U99), "\$([A-Z]+)\$[0-9]+"))</f>
        <v/>
      </c>
      <c r="V99" s="7" t="str">
        <f t="array" aca="1" ref="V99" ca="1">IFERROR(IF(OR('Raw Data'!V99="",LEN(TRIM('Raw Data'!V99))=0),"",IF(AND(ISNUMBER('Raw Data'!V99), IFERROR('Raw Data'!V99 = ROUND('Raw Data'!V99, 2),FALSE)),"",_xlfn.REGEXEXTRACT(CELL("address",V99), "\$([A-Z]+)\$[0-9]+"))),_xlfn.REGEXEXTRACT(CELL("address",V99), "\$([A-Z]+)\$[0-9]+"))</f>
        <v/>
      </c>
      <c r="W99" s="7" t="str">
        <f t="array" aca="1" ref="W99" ca="1">IFERROR(IF(OR('Raw Data'!W99="",LEN(TRIM('Raw Data'!W99))=0),"",IF(AND(ISNUMBER('Raw Data'!W99), IFERROR('Raw Data'!W99 = ROUND('Raw Data'!W99, 2),FALSE)),"",_xlfn.REGEXEXTRACT(CELL("address",W99), "\$([A-Z]+)\$[0-9]+"))),_xlfn.REGEXEXTRACT(CELL("address",W99), "\$([A-Z]+)\$[0-9]+"))</f>
        <v/>
      </c>
      <c r="X99" s="7" t="str">
        <f t="array" aca="1" ref="X99" ca="1">IFERROR(IF(OR('Raw Data'!X99="",LEN(TRIM('Raw Data'!X99))=0),"",IF(AND(ISNUMBER('Raw Data'!X99), IFERROR('Raw Data'!X99 = ROUND('Raw Data'!X99, 2),FALSE)),"",_xlfn.REGEXEXTRACT(CELL("address",X99), "\$([A-Z]+)\$[0-9]+"))),_xlfn.REGEXEXTRACT(CELL("address",X99), "\$([A-Z]+)\$[0-9]+"))</f>
        <v/>
      </c>
      <c r="Y99" s="7" t="str">
        <f t="array" aca="1" ref="Y99" ca="1">IFERROR(IF(OR('Raw Data'!Y99="",LEN(TRIM('Raw Data'!Y99))=0),"",IF(AND(ISNUMBER('Raw Data'!Y99), IFERROR('Raw Data'!Y99 = ROUND('Raw Data'!Y99, 2),FALSE)),"",_xlfn.REGEXEXTRACT(CELL("address",Y99), "\$([A-Z]+)\$[0-9]+"))),_xlfn.REGEXEXTRACT(CELL("address",Y99), "\$([A-Z]+)\$[0-9]+"))</f>
        <v/>
      </c>
      <c r="Z99" s="7" t="str">
        <f t="array" aca="1" ref="Z99" ca="1">IFERROR(IF(OR('Raw Data'!Z99="",LEN(TRIM('Raw Data'!Z99))=0),"",IF(AND(ISNUMBER('Raw Data'!Z99), IFERROR('Raw Data'!Z99 = ROUND('Raw Data'!Z99, 2),FALSE)),"",_xlfn.REGEXEXTRACT(CELL("address",Z99), "\$([A-Z]+)\$[0-9]+"))),_xlfn.REGEXEXTRACT(CELL("address",Z99), "\$([A-Z]+)\$[0-9]+"))</f>
        <v/>
      </c>
      <c r="AA99" s="7" t="str">
        <f t="array" aca="1" ref="AA99" ca="1">IFERROR(IF(OR('Raw Data'!AA99="",LEN(TRIM('Raw Data'!AA99))=0),"",IF(AND(ISNUMBER('Raw Data'!AA99), IFERROR('Raw Data'!AA99 = ROUND('Raw Data'!AA99, 2),FALSE)),"",_xlfn.REGEXEXTRACT(CELL("address",AA99), "\$([A-Z]+)\$[0-9]+"))),_xlfn.REGEXEXTRACT(CELL("address",AA99), "\$([A-Z]+)\$[0-9]+"))</f>
        <v/>
      </c>
      <c r="AB99" s="7" t="str">
        <f t="array" aca="1" ref="AB99" ca="1">IFERROR(IF(OR('Raw Data'!AB99="",LEN(TRIM('Raw Data'!AB99))=0),"",IF(AND(ISNUMBER('Raw Data'!AB99), IFERROR('Raw Data'!AB99 = ROUND('Raw Data'!AB99, 2),FALSE)),"",_xlfn.REGEXEXTRACT(CELL("address",AB99), "\$([A-Z]+)\$[0-9]+"))),_xlfn.REGEXEXTRACT(CELL("address",AB99), "\$([A-Z]+)\$[0-9]+"))</f>
        <v/>
      </c>
      <c r="AC99" s="7" t="str">
        <f t="array" aca="1" ref="AC99" ca="1">IFERROR(IF(OR('Raw Data'!AC99="",LEN(TRIM('Raw Data'!AC99))=0),"",IF(AND(ISNUMBER('Raw Data'!AC99), IFERROR('Raw Data'!AC99 = ROUND('Raw Data'!AC99, 2),FALSE)),"",_xlfn.REGEXEXTRACT(CELL("address",AC99), "\$([A-Z]+)\$[0-9]+"))),_xlfn.REGEXEXTRACT(CELL("address",AC99), "\$([A-Z]+)\$[0-9]+"))</f>
        <v/>
      </c>
      <c r="AD99" s="7" t="str">
        <f t="array" aca="1" ref="AD99" ca="1">IFERROR(IF(OR('Raw Data'!AD99="",LEN(TRIM('Raw Data'!AD99))=0),"",IF(AND(ISNUMBER('Raw Data'!AD99), IFERROR('Raw Data'!AD99 = ROUND('Raw Data'!AD99, 2),FALSE)),"",_xlfn.REGEXEXTRACT(CELL("address",AD99), "\$([A-Z]+)\$[0-9]+"))),_xlfn.REGEXEXTRACT(CELL("address",AD99), "\$([A-Z]+)\$[0-9]+"))</f>
        <v/>
      </c>
      <c r="AE99" s="7" t="str">
        <f t="array" aca="1" ref="AE99" ca="1">IFERROR(IF(OR('Raw Data'!AE99="",LEN(TRIM('Raw Data'!AE99))=0),"",IF(AND(ISNUMBER('Raw Data'!AE99), IFERROR('Raw Data'!AE99 = ROUND('Raw Data'!AE99, 2),FALSE)),"",_xlfn.REGEXEXTRACT(CELL("address",AE99), "\$([A-Z]+)\$[0-9]+"))),_xlfn.REGEXEXTRACT(CELL("address",AE99), "\$([A-Z]+)\$[0-9]+"))</f>
        <v/>
      </c>
      <c r="AF99" s="7" t="str">
        <f t="array" aca="1" ref="AF99" ca="1">IFERROR(IF(OR('Raw Data'!AF99="",LEN(TRIM('Raw Data'!AF99))=0),"",IF(AND(ISNUMBER('Raw Data'!AF99), IFERROR('Raw Data'!AF99 = ROUND('Raw Data'!AF99, 2),FALSE)),"",_xlfn.REGEXEXTRACT(CELL("address",AF99), "\$([A-Z]+)\$[0-9]+"))),_xlfn.REGEXEXTRACT(CELL("address",AF99), "\$([A-Z]+)\$[0-9]+"))</f>
        <v/>
      </c>
      <c r="AG99" s="7" t="str">
        <f t="array" aca="1" ref="AG99" ca="1">IFERROR(IF(OR('Raw Data'!AG99="",LEN(TRIM('Raw Data'!AG99))=0),"",IF(AND(ISNUMBER('Raw Data'!AG99), IFERROR('Raw Data'!AG99 = ROUND('Raw Data'!AG99, 2),FALSE)),"",_xlfn.REGEXEXTRACT(CELL("address",AG99), "\$([A-Z]+)\$[0-9]+"))),_xlfn.REGEXEXTRACT(CELL("address",AG99), "\$([A-Z]+)\$[0-9]+"))</f>
        <v/>
      </c>
      <c r="AH99" s="7" t="str">
        <f t="array" aca="1" ref="AH99" ca="1">IFERROR(IF(OR('Raw Data'!AH99="",LEN(TRIM('Raw Data'!AH99))=0),"",IF(AND(ISNUMBER('Raw Data'!AH99), IFERROR('Raw Data'!AH99 = ROUND('Raw Data'!AH99, 2),FALSE)),"",_xlfn.REGEXEXTRACT(CELL("address",AH99), "\$([A-Z]+)\$[0-9]+"))),_xlfn.REGEXEXTRACT(CELL("address",AH99), "\$([A-Z]+)\$[0-9]+"))</f>
        <v/>
      </c>
      <c r="AI99" s="7" t="str">
        <f t="array" aca="1" ref="AI99" ca="1">IFERROR(IF(OR('Raw Data'!AI99="",LEN(TRIM('Raw Data'!AI99))=0),"",IF(AND(ISNUMBER('Raw Data'!AI99), IFERROR('Raw Data'!AI99 = ROUND('Raw Data'!AI99, 2),FALSE)),"",_xlfn.REGEXEXTRACT(CELL("address",AI99), "\$([A-Z]+)\$[0-9]+"))),_xlfn.REGEXEXTRACT(CELL("address",AI99), "\$([A-Z]+)\$[0-9]+"))</f>
        <v/>
      </c>
      <c r="AJ99" s="7" t="str">
        <f t="array" aca="1" ref="AJ99" ca="1">IFERROR(IF(OR('Raw Data'!AJ99="",LEN(TRIM('Raw Data'!AJ99))=0),"",IF(AND(ISNUMBER('Raw Data'!AJ99), IFERROR('Raw Data'!AJ99 = ROUND('Raw Data'!AJ99, 4),FALSE)),"",_xlfn.REGEXEXTRACT(CELL("address",AJ99), "\$([A-Z]+)\$[0-9]+"))),_xlfn.REGEXEXTRACT(CELL("address",AJ99), "\$([A-Z]+)\$[0-9]+"))</f>
        <v/>
      </c>
      <c r="AK99" s="7" t="str">
        <f t="array" aca="1" ref="AK99" ca="1">IFERROR(IF(OR('Raw Data'!AK99="",LEN(TRIM('Raw Data'!AK99))=0),"",IF(AND(ISNUMBER('Raw Data'!AK99), IFERROR('Raw Data'!AK99 = ROUND('Raw Data'!AK99, 2),FALSE)),"",_xlfn.REGEXEXTRACT(CELL("address",AK99), "\$([A-Z]+)\$[0-9]+"))),_xlfn.REGEXEXTRACT(CELL("address",AK99), "\$([A-Z]+)\$[0-9]+"))</f>
        <v/>
      </c>
      <c r="AL99" s="7" t="str">
        <f t="array" aca="1" ref="AL99" ca="1">IFERROR(IF(OR('Raw Data'!AL99="",LEN(TRIM('Raw Data'!AL99))=0),"",IF(AND(ISNUMBER('Raw Data'!AL99), IFERROR('Raw Data'!AL99 = ROUND('Raw Data'!AL99, 2),FALSE)),"",_xlfn.REGEXEXTRACT(CELL("address",AL99), "\$([A-Z]+)\$[0-9]+"))),_xlfn.REGEXEXTRACT(CELL("address",AL99), "\$([A-Z]+)\$[0-9]+"))</f>
        <v/>
      </c>
      <c r="AM99" s="7" t="str">
        <f t="array" aca="1" ref="AM99" ca="1">IFERROR(IF(OR('Raw Data'!AM99="",LEN(TRIM('Raw Data'!AM99))=0),"",IF(AND(ISNUMBER('Raw Data'!AM99), IFERROR('Raw Data'!AM99 = ROUND('Raw Data'!AM99, 2),FALSE)),"",_xlfn.REGEXEXTRACT(CELL("address",AM99), "\$([A-Z]+)\$[0-9]+"))),_xlfn.REGEXEXTRACT(CELL("address",AM99), "\$([A-Z]+)\$[0-9]+"))</f>
        <v/>
      </c>
      <c r="AN99" s="7" t="str">
        <f t="array" aca="1" ref="AN99" ca="1">IFERROR(IF(OR('Raw Data'!AN99="",LEN(TRIM('Raw Data'!AN99))=0),"",IF(AND(ISNUMBER('Raw Data'!AN99), IFERROR('Raw Data'!AN99 = ROUND('Raw Data'!AN99, 2),FALSE)),"",_xlfn.REGEXEXTRACT(CELL("address",AN99), "\$([A-Z]+)\$[0-9]+"))),_xlfn.REGEXEXTRACT(CELL("address",AN99), "\$([A-Z]+)\$[0-9]+"))</f>
        <v/>
      </c>
      <c r="AO99" s="7" t="str">
        <f t="array" aca="1" ref="AO99" ca="1">IFERROR(IF(OR('Raw Data'!AO99="",LEN(TRIM('Raw Data'!AO99))=0),"",IF(AND(ISNUMBER('Raw Data'!AO99), IFERROR('Raw Data'!AO99 = ROUND('Raw Data'!AO99, 2),FALSE)),"",_xlfn.REGEXEXTRACT(CELL("address",AO99), "\$([A-Z]+)\$[0-9]+"))),_xlfn.REGEXEXTRACT(CELL("address",AO99), "\$([A-Z]+)\$[0-9]+"))</f>
        <v/>
      </c>
      <c r="AP99" s="7" t="str">
        <f t="array" aca="1" ref="AP99" ca="1">IFERROR(IF(OR('Raw Data'!AP99="",LEN(TRIM('Raw Data'!AP99))=0),"",IF(AND(ISNUMBER('Raw Data'!AP99), IFERROR('Raw Data'!AP99 = ROUND('Raw Data'!AP99, 2),FALSE)),"",_xlfn.REGEXEXTRACT(CELL("address",AP99), "\$([A-Z]+)\$[0-9]+"))),_xlfn.REGEXEXTRACT(CELL("address",AP99), "\$([A-Z]+)\$[0-9]+"))</f>
        <v/>
      </c>
    </row>
    <row r="100" spans="2:42" x14ac:dyDescent="0.25">
      <c r="B100" s="7" t="str">
        <f t="array" aca="1" ref="B100" ca="1">IFERROR(IF(OR('Raw Data'!B100="",LEN(TRIM('Raw Data'!B100))=0),"",IF(AND(LEN('Raw Data'!B100) &lt;= 255,LEN('Raw Data'!B100)&gt; 0),"",_xlfn.REGEXEXTRACT(CELL("address",'Raw Data'!B100),"\$([A-Z]+)\$[0-9]+"))),_xlfn.REGEXEXTRACT(CELL("address",'Raw Data'!B100),"\$([A-Z]+)\$[0-9]+"))</f>
        <v/>
      </c>
      <c r="C100" s="7" t="str">
        <f t="array" aca="1" ref="C100" ca="1">IFERROR(IF(OR('Raw Data'!C100="",LEN(TRIM('Raw Data'!C100))=0),"",IF(AND(LEN('Raw Data'!C100) &lt;= 50,LEN('Raw Data'!C100)&gt; 0),"",_xlfn.REGEXEXTRACT(CELL("address",'Raw Data'!C100),"\$([A-Z]+)\$[0-9]+"))),_xlfn.REGEXEXTRACT(CELL("address",'Raw Data'!C100),"\$([A-Z]+)\$[0-9]+"))</f>
        <v/>
      </c>
      <c r="D100" s="7" t="str">
        <f t="array" aca="1" ref="D100" ca="1">IFERROR(IF(OR('Raw Data'!D100="",LEN(TRIM('Raw Data'!D100))=0),"",IF(AND(LEN('Raw Data'!D100) &lt;= 500,LEN('Raw Data'!D100)&gt; 0),"",_xlfn.REGEXEXTRACT(CELL("address",'Raw Data'!D100),"\$([A-Z]+)\$[0-9]+"))),_xlfn.REGEXEXTRACT(CELL("address",'Raw Data'!D100),"\$([A-Z]+)\$[0-9]+"))</f>
        <v/>
      </c>
      <c r="E100" s="7" t="str">
        <f t="array" aca="1" ref="E100" ca="1">IFERROR(IF(OR('Raw Data'!E100="",LEN(TRIM('Raw Data'!E100))=0),"",IF(AND(LEN('Raw Data'!E100) &lt;= 50,LEN('Raw Data'!E100)&gt; 0),"",_xlfn.REGEXEXTRACT(CELL("address",'Raw Data'!E100),"\$([A-Z]+)\$[0-9]+"))),_xlfn.REGEXEXTRACT(CELL("address",'Raw Data'!E100),"\$([A-Z]+)\$[0-9]+"))</f>
        <v/>
      </c>
      <c r="F100" s="7" t="str">
        <f t="array" aca="1" ref="F100" ca="1">IFERROR(IF(OR('Raw Data'!F100="",LEN(TRIM('Raw Data'!F100))=0),"",IF(AND(LEN('Raw Data'!F100) &lt;= 50,LEN('Raw Data'!F100)&gt; 0),"",_xlfn.REGEXEXTRACT(CELL("address",'Raw Data'!F100),"\$([A-Z]+)\$[0-9]+"))),_xlfn.REGEXEXTRACT(CELL("address",'Raw Data'!F100),"\$([A-Z]+)\$[0-9]+"))</f>
        <v/>
      </c>
      <c r="G100" s="7" t="str">
        <f t="array" aca="1" ref="G100" ca="1">IFERROR(IF(OR('Raw Data'!G100="",LEN(TRIM('Raw Data'!G100))=0),"",IF(AND(LEN('Raw Data'!G100) &lt;= 50,LEN('Raw Data'!G100)&gt; 0),"",_xlfn.REGEXEXTRACT(CELL("address",'Raw Data'!G100),"\$([A-Z]+)\$[0-9]+"))),_xlfn.REGEXEXTRACT(CELL("address",'Raw Data'!G100),"\$([A-Z]+)\$[0-9]+"))</f>
        <v/>
      </c>
      <c r="H100" s="7" t="str">
        <f t="array" aca="1" ref="H100" ca="1">IFERROR(IF(OR('Raw Data'!H100="",LEN(TRIM('Raw Data'!H100))=0),"",IF(AND(LEN('Raw Data'!H100) &lt;= 50,LEN('Raw Data'!H100)&gt; 0),"",_xlfn.REGEXEXTRACT(CELL("address",'Raw Data'!H100),"\$([A-Z]+)\$[0-9]+"))),_xlfn.REGEXEXTRACT(CELL("address",'Raw Data'!H100),"\$([A-Z]+)\$[0-9]+"))</f>
        <v/>
      </c>
      <c r="I100" s="7" t="str">
        <f t="array" aca="1" ref="I100" ca="1">IFERROR(IF(OR('Raw Data'!I100="",LEN(TRIM('Raw Data'!I100))=0),"",IF(AND(LEN('Raw Data'!I100) &lt;= 50,LEN('Raw Data'!I100)&gt; 0),"",_xlfn.REGEXEXTRACT(CELL("address",'Raw Data'!I100),"\$([A-Z]+)\$[0-9]+"))),_xlfn.REGEXEXTRACT(CELL("address",'Raw Data'!I100),"\$([A-Z]+)\$[0-9]+"))</f>
        <v/>
      </c>
      <c r="J100" s="7" t="str">
        <f t="array" aca="1" ref="J100" ca="1">IFERROR(IF(OR('Raw Data'!J100="",LEN(TRIM('Raw Data'!J100))=0),"",IF(AND(ISNUMBER('Raw Data'!J100), IFERROR('Raw Data'!J100 = ROUND('Raw Data'!J100, 2),FALSE)),"",_xlfn.REGEXEXTRACT(CELL("address",J100), "\$([A-Z]+)\$[0-9]+"))),_xlfn.REGEXEXTRACT(CELL("address",J100), "\$([A-Z]+)\$[0-9]+"))</f>
        <v/>
      </c>
      <c r="K100" s="7" t="str">
        <f t="array" aca="1" ref="K100" ca="1">IFERROR(IF(OR('Raw Data'!K100="",LEN(TRIM('Raw Data'!K100))=0),"",IF(AND(ISNUMBER('Raw Data'!K100), IFERROR('Raw Data'!K100 = ROUND('Raw Data'!K100, 2),FALSE)),"",_xlfn.REGEXEXTRACT(CELL("address",K100), "\$([A-Z]+)\$[0-9]+"))),_xlfn.REGEXEXTRACT(CELL("address",K100), "\$([A-Z]+)\$[0-9]+"))</f>
        <v/>
      </c>
      <c r="L100" s="7" t="str">
        <f t="array" aca="1" ref="L100" ca="1">IFERROR(IF(OR('Raw Data'!L100="",LEN(TRIM('Raw Data'!L100))=0),"",IF(AND(ISNUMBER('Raw Data'!L100), IFERROR('Raw Data'!L100 = ROUND('Raw Data'!L100, 2),FALSE)),"",_xlfn.REGEXEXTRACT(CELL("address",L100), "\$([A-Z]+)\$[0-9]+"))),_xlfn.REGEXEXTRACT(CELL("address",L100), "\$([A-Z]+)\$[0-9]+"))</f>
        <v/>
      </c>
      <c r="M100" s="7" t="str">
        <f t="array" aca="1" ref="M100" ca="1">IFERROR(IF(OR('Raw Data'!M100="",LEN(TRIM('Raw Data'!M100))=0),"",IF(AND(ISNUMBER('Raw Data'!M100), IFERROR('Raw Data'!M100 = ROUND('Raw Data'!M100, 2),FALSE)),"",_xlfn.REGEXEXTRACT(CELL("address",M100), "\$([A-Z]+)\$[0-9]+"))),_xlfn.REGEXEXTRACT(CELL("address",M100), "\$([A-Z]+)\$[0-9]+"))</f>
        <v/>
      </c>
      <c r="N100" s="7" t="str">
        <f t="array" aca="1" ref="N100" ca="1">IFERROR(IF(OR('Raw Data'!N100="",LEN(TRIM('Raw Data'!N100))=0),"",IF(AND(ISNUMBER('Raw Data'!N100), IFERROR('Raw Data'!N100 = ROUND('Raw Data'!N100, 2),FALSE)),"",_xlfn.REGEXEXTRACT(CELL("address",N100), "\$([A-Z]+)\$[0-9]+"))),_xlfn.REGEXEXTRACT(CELL("address",N100), "\$([A-Z]+)\$[0-9]+"))</f>
        <v/>
      </c>
      <c r="O100" s="7" t="str">
        <f t="array" aca="1" ref="O100" ca="1">IFERROR(IF(OR('Raw Data'!O100="",LEN(TRIM('Raw Data'!O100))=0),"",IF(AND(ISNUMBER('Raw Data'!O100),'Raw Data'!O100&gt;=Configuration!$D$2),"",_xlfn.REGEXEXTRACT(CELL("address",'Raw Data'!O100),"\$([A-Z]+)\$[0-9]+"))),_xlfn.REGEXEXTRACT(CELL("address",O100), "\$([A-Z]+)\$[0-9]+"))</f>
        <v/>
      </c>
      <c r="P100" s="7" t="str">
        <f t="array" aca="1" ref="P100" ca="1">IFERROR(IF(OR('Raw Data'!P100="",LEN(TRIM('Raw Data'!P100))=0),"",IF(AND(ISNUMBER('Raw Data'!P100), IFERROR('Raw Data'!P100 = ROUND('Raw Data'!P100, 2),FALSE)),"",_xlfn.REGEXEXTRACT(CELL("address",P100), "\$([A-Z]+)\$[0-9]+"))),_xlfn.REGEXEXTRACT(CELL("address",P100), "\$([A-Z]+)\$[0-9]+"))</f>
        <v/>
      </c>
      <c r="Q100" s="7" t="str">
        <f t="array" aca="1" ref="Q100" ca="1">IFERROR(IF(OR('Raw Data'!Q100="",LEN(TRIM('Raw Data'!Q100))=0),"",IF(AND(ISNUMBER('Raw Data'!Q100), IFERROR('Raw Data'!Q100 = ROUND('Raw Data'!Q100, 2),FALSE)),"",_xlfn.REGEXEXTRACT(CELL("address",Q100), "\$([A-Z]+)\$[0-9]+"))),_xlfn.REGEXEXTRACT(CELL("address",Q100), "\$([A-Z]+)\$[0-9]+"))</f>
        <v/>
      </c>
      <c r="R100" s="7" t="str">
        <f t="array" aca="1" ref="R100" ca="1">IFERROR(IF(OR('Raw Data'!R100="",LEN(TRIM('Raw Data'!R100))=0),"",IF(AND(LEN('Raw Data'!R100) &lt;= 50,LEN('Raw Data'!R100)&gt; 0),"",_xlfn.REGEXEXTRACT(CELL("address",'Raw Data'!R100),"\$([A-Z]+)\$[0-9]+"))),_xlfn.REGEXEXTRACT(CELL("address",'Raw Data'!R100),"\$([A-Z]+)\$[0-9]+"))</f>
        <v/>
      </c>
      <c r="S100" s="7" t="str">
        <f t="array" aca="1" ref="S100" ca="1">IFERROR(IF(OR('Raw Data'!S100="",LEN(TRIM('Raw Data'!S100))=0),"",IF(AND(LEN('Raw Data'!S100) &lt;= 50,LEN('Raw Data'!S100)&gt; 0),"",_xlfn.REGEXEXTRACT(CELL("address",'Raw Data'!S100),"\$([A-Z]+)\$[0-9]+"))),_xlfn.REGEXEXTRACT(CELL("address",'Raw Data'!S100),"\$([A-Z]+)\$[0-9]+"))</f>
        <v/>
      </c>
      <c r="T100" s="7" t="str">
        <f t="array" aca="1" ref="T100" ca="1">IFERROR(IF(OR('Raw Data'!T100="",LEN(TRIM('Raw Data'!T100))=0),"",IF(AND(ISNUMBER('Raw Data'!T100), IFERROR('Raw Data'!T100 = ROUND('Raw Data'!T100, 2),FALSE)),"",_xlfn.REGEXEXTRACT(CELL("address",T100), "\$([A-Z]+)\$[0-9]+"))),_xlfn.REGEXEXTRACT(CELL("address",T100), "\$([A-Z]+)\$[0-9]+"))</f>
        <v/>
      </c>
      <c r="U100" s="7" t="str">
        <f t="array" aca="1" ref="U100" ca="1">IFERROR(IF(OR('Raw Data'!U100="",LEN(TRIM('Raw Data'!U100))=0),"",IF(AND(ISNUMBER('Raw Data'!U100), IFERROR('Raw Data'!U100 = ROUND('Raw Data'!U100, 2),FALSE)),"",_xlfn.REGEXEXTRACT(CELL("address",U100), "\$([A-Z]+)\$[0-9]+"))),_xlfn.REGEXEXTRACT(CELL("address",U100), "\$([A-Z]+)\$[0-9]+"))</f>
        <v/>
      </c>
      <c r="V100" s="7" t="str">
        <f t="array" aca="1" ref="V100" ca="1">IFERROR(IF(OR('Raw Data'!V100="",LEN(TRIM('Raw Data'!V100))=0),"",IF(AND(ISNUMBER('Raw Data'!V100), IFERROR('Raw Data'!V100 = ROUND('Raw Data'!V100, 2),FALSE)),"",_xlfn.REGEXEXTRACT(CELL("address",V100), "\$([A-Z]+)\$[0-9]+"))),_xlfn.REGEXEXTRACT(CELL("address",V100), "\$([A-Z]+)\$[0-9]+"))</f>
        <v/>
      </c>
      <c r="W100" s="7" t="str">
        <f t="array" aca="1" ref="W100" ca="1">IFERROR(IF(OR('Raw Data'!W100="",LEN(TRIM('Raw Data'!W100))=0),"",IF(AND(ISNUMBER('Raw Data'!W100), IFERROR('Raw Data'!W100 = ROUND('Raw Data'!W100, 2),FALSE)),"",_xlfn.REGEXEXTRACT(CELL("address",W100), "\$([A-Z]+)\$[0-9]+"))),_xlfn.REGEXEXTRACT(CELL("address",W100), "\$([A-Z]+)\$[0-9]+"))</f>
        <v/>
      </c>
      <c r="X100" s="7" t="str">
        <f t="array" aca="1" ref="X100" ca="1">IFERROR(IF(OR('Raw Data'!X100="",LEN(TRIM('Raw Data'!X100))=0),"",IF(AND(ISNUMBER('Raw Data'!X100), IFERROR('Raw Data'!X100 = ROUND('Raw Data'!X100, 2),FALSE)),"",_xlfn.REGEXEXTRACT(CELL("address",X100), "\$([A-Z]+)\$[0-9]+"))),_xlfn.REGEXEXTRACT(CELL("address",X100), "\$([A-Z]+)\$[0-9]+"))</f>
        <v/>
      </c>
      <c r="Y100" s="7" t="str">
        <f t="array" aca="1" ref="Y100" ca="1">IFERROR(IF(OR('Raw Data'!Y100="",LEN(TRIM('Raw Data'!Y100))=0),"",IF(AND(ISNUMBER('Raw Data'!Y100), IFERROR('Raw Data'!Y100 = ROUND('Raw Data'!Y100, 2),FALSE)),"",_xlfn.REGEXEXTRACT(CELL("address",Y100), "\$([A-Z]+)\$[0-9]+"))),_xlfn.REGEXEXTRACT(CELL("address",Y100), "\$([A-Z]+)\$[0-9]+"))</f>
        <v/>
      </c>
      <c r="Z100" s="7" t="str">
        <f t="array" aca="1" ref="Z100" ca="1">IFERROR(IF(OR('Raw Data'!Z100="",LEN(TRIM('Raw Data'!Z100))=0),"",IF(AND(ISNUMBER('Raw Data'!Z100), IFERROR('Raw Data'!Z100 = ROUND('Raw Data'!Z100, 2),FALSE)),"",_xlfn.REGEXEXTRACT(CELL("address",Z100), "\$([A-Z]+)\$[0-9]+"))),_xlfn.REGEXEXTRACT(CELL("address",Z100), "\$([A-Z]+)\$[0-9]+"))</f>
        <v/>
      </c>
      <c r="AA100" s="7" t="str">
        <f t="array" aca="1" ref="AA100" ca="1">IFERROR(IF(OR('Raw Data'!AA100="",LEN(TRIM('Raw Data'!AA100))=0),"",IF(AND(ISNUMBER('Raw Data'!AA100), IFERROR('Raw Data'!AA100 = ROUND('Raw Data'!AA100, 2),FALSE)),"",_xlfn.REGEXEXTRACT(CELL("address",AA100), "\$([A-Z]+)\$[0-9]+"))),_xlfn.REGEXEXTRACT(CELL("address",AA100), "\$([A-Z]+)\$[0-9]+"))</f>
        <v/>
      </c>
      <c r="AB100" s="7" t="str">
        <f t="array" aca="1" ref="AB100" ca="1">IFERROR(IF(OR('Raw Data'!AB100="",LEN(TRIM('Raw Data'!AB100))=0),"",IF(AND(ISNUMBER('Raw Data'!AB100), IFERROR('Raw Data'!AB100 = ROUND('Raw Data'!AB100, 2),FALSE)),"",_xlfn.REGEXEXTRACT(CELL("address",AB100), "\$([A-Z]+)\$[0-9]+"))),_xlfn.REGEXEXTRACT(CELL("address",AB100), "\$([A-Z]+)\$[0-9]+"))</f>
        <v/>
      </c>
      <c r="AC100" s="7" t="str">
        <f t="array" aca="1" ref="AC100" ca="1">IFERROR(IF(OR('Raw Data'!AC100="",LEN(TRIM('Raw Data'!AC100))=0),"",IF(AND(ISNUMBER('Raw Data'!AC100), IFERROR('Raw Data'!AC100 = ROUND('Raw Data'!AC100, 2),FALSE)),"",_xlfn.REGEXEXTRACT(CELL("address",AC100), "\$([A-Z]+)\$[0-9]+"))),_xlfn.REGEXEXTRACT(CELL("address",AC100), "\$([A-Z]+)\$[0-9]+"))</f>
        <v/>
      </c>
      <c r="AD100" s="7" t="str">
        <f t="array" aca="1" ref="AD100" ca="1">IFERROR(IF(OR('Raw Data'!AD100="",LEN(TRIM('Raw Data'!AD100))=0),"",IF(AND(ISNUMBER('Raw Data'!AD100), IFERROR('Raw Data'!AD100 = ROUND('Raw Data'!AD100, 2),FALSE)),"",_xlfn.REGEXEXTRACT(CELL("address",AD100), "\$([A-Z]+)\$[0-9]+"))),_xlfn.REGEXEXTRACT(CELL("address",AD100), "\$([A-Z]+)\$[0-9]+"))</f>
        <v/>
      </c>
      <c r="AE100" s="7" t="str">
        <f t="array" aca="1" ref="AE100" ca="1">IFERROR(IF(OR('Raw Data'!AE100="",LEN(TRIM('Raw Data'!AE100))=0),"",IF(AND(ISNUMBER('Raw Data'!AE100), IFERROR('Raw Data'!AE100 = ROUND('Raw Data'!AE100, 2),FALSE)),"",_xlfn.REGEXEXTRACT(CELL("address",AE100), "\$([A-Z]+)\$[0-9]+"))),_xlfn.REGEXEXTRACT(CELL("address",AE100), "\$([A-Z]+)\$[0-9]+"))</f>
        <v/>
      </c>
      <c r="AF100" s="7" t="str">
        <f t="array" aca="1" ref="AF100" ca="1">IFERROR(IF(OR('Raw Data'!AF100="",LEN(TRIM('Raw Data'!AF100))=0),"",IF(AND(ISNUMBER('Raw Data'!AF100), IFERROR('Raw Data'!AF100 = ROUND('Raw Data'!AF100, 2),FALSE)),"",_xlfn.REGEXEXTRACT(CELL("address",AF100), "\$([A-Z]+)\$[0-9]+"))),_xlfn.REGEXEXTRACT(CELL("address",AF100), "\$([A-Z]+)\$[0-9]+"))</f>
        <v/>
      </c>
      <c r="AG100" s="7" t="str">
        <f t="array" aca="1" ref="AG100" ca="1">IFERROR(IF(OR('Raw Data'!AG100="",LEN(TRIM('Raw Data'!AG100))=0),"",IF(AND(ISNUMBER('Raw Data'!AG100), IFERROR('Raw Data'!AG100 = ROUND('Raw Data'!AG100, 2),FALSE)),"",_xlfn.REGEXEXTRACT(CELL("address",AG100), "\$([A-Z]+)\$[0-9]+"))),_xlfn.REGEXEXTRACT(CELL("address",AG100), "\$([A-Z]+)\$[0-9]+"))</f>
        <v/>
      </c>
      <c r="AH100" s="7" t="str">
        <f t="array" aca="1" ref="AH100" ca="1">IFERROR(IF(OR('Raw Data'!AH100="",LEN(TRIM('Raw Data'!AH100))=0),"",IF(AND(ISNUMBER('Raw Data'!AH100), IFERROR('Raw Data'!AH100 = ROUND('Raw Data'!AH100, 2),FALSE)),"",_xlfn.REGEXEXTRACT(CELL("address",AH100), "\$([A-Z]+)\$[0-9]+"))),_xlfn.REGEXEXTRACT(CELL("address",AH100), "\$([A-Z]+)\$[0-9]+"))</f>
        <v/>
      </c>
      <c r="AI100" s="7" t="str">
        <f t="array" aca="1" ref="AI100" ca="1">IFERROR(IF(OR('Raw Data'!AI100="",LEN(TRIM('Raw Data'!AI100))=0),"",IF(AND(ISNUMBER('Raw Data'!AI100), IFERROR('Raw Data'!AI100 = ROUND('Raw Data'!AI100, 2),FALSE)),"",_xlfn.REGEXEXTRACT(CELL("address",AI100), "\$([A-Z]+)\$[0-9]+"))),_xlfn.REGEXEXTRACT(CELL("address",AI100), "\$([A-Z]+)\$[0-9]+"))</f>
        <v/>
      </c>
      <c r="AJ100" s="7" t="str">
        <f t="array" aca="1" ref="AJ100" ca="1">IFERROR(IF(OR('Raw Data'!AJ100="",LEN(TRIM('Raw Data'!AJ100))=0),"",IF(AND(ISNUMBER('Raw Data'!AJ100), IFERROR('Raw Data'!AJ100 = ROUND('Raw Data'!AJ100, 4),FALSE)),"",_xlfn.REGEXEXTRACT(CELL("address",AJ100), "\$([A-Z]+)\$[0-9]+"))),_xlfn.REGEXEXTRACT(CELL("address",AJ100), "\$([A-Z]+)\$[0-9]+"))</f>
        <v/>
      </c>
      <c r="AK100" s="7" t="str">
        <f t="array" aca="1" ref="AK100" ca="1">IFERROR(IF(OR('Raw Data'!AK100="",LEN(TRIM('Raw Data'!AK100))=0),"",IF(AND(ISNUMBER('Raw Data'!AK100), IFERROR('Raw Data'!AK100 = ROUND('Raw Data'!AK100, 2),FALSE)),"",_xlfn.REGEXEXTRACT(CELL("address",AK100), "\$([A-Z]+)\$[0-9]+"))),_xlfn.REGEXEXTRACT(CELL("address",AK100), "\$([A-Z]+)\$[0-9]+"))</f>
        <v/>
      </c>
      <c r="AL100" s="7" t="str">
        <f t="array" aca="1" ref="AL100" ca="1">IFERROR(IF(OR('Raw Data'!AL100="",LEN(TRIM('Raw Data'!AL100))=0),"",IF(AND(ISNUMBER('Raw Data'!AL100), IFERROR('Raw Data'!AL100 = ROUND('Raw Data'!AL100, 2),FALSE)),"",_xlfn.REGEXEXTRACT(CELL("address",AL100), "\$([A-Z]+)\$[0-9]+"))),_xlfn.REGEXEXTRACT(CELL("address",AL100), "\$([A-Z]+)\$[0-9]+"))</f>
        <v/>
      </c>
      <c r="AM100" s="7" t="str">
        <f t="array" aca="1" ref="AM100" ca="1">IFERROR(IF(OR('Raw Data'!AM100="",LEN(TRIM('Raw Data'!AM100))=0),"",IF(AND(ISNUMBER('Raw Data'!AM100), IFERROR('Raw Data'!AM100 = ROUND('Raw Data'!AM100, 2),FALSE)),"",_xlfn.REGEXEXTRACT(CELL("address",AM100), "\$([A-Z]+)\$[0-9]+"))),_xlfn.REGEXEXTRACT(CELL("address",AM100), "\$([A-Z]+)\$[0-9]+"))</f>
        <v/>
      </c>
      <c r="AN100" s="7" t="str">
        <f t="array" aca="1" ref="AN100" ca="1">IFERROR(IF(OR('Raw Data'!AN100="",LEN(TRIM('Raw Data'!AN100))=0),"",IF(AND(ISNUMBER('Raw Data'!AN100), IFERROR('Raw Data'!AN100 = ROUND('Raw Data'!AN100, 2),FALSE)),"",_xlfn.REGEXEXTRACT(CELL("address",AN100), "\$([A-Z]+)\$[0-9]+"))),_xlfn.REGEXEXTRACT(CELL("address",AN100), "\$([A-Z]+)\$[0-9]+"))</f>
        <v/>
      </c>
      <c r="AO100" s="7" t="str">
        <f t="array" aca="1" ref="AO100" ca="1">IFERROR(IF(OR('Raw Data'!AO100="",LEN(TRIM('Raw Data'!AO100))=0),"",IF(AND(ISNUMBER('Raw Data'!AO100), IFERROR('Raw Data'!AO100 = ROUND('Raw Data'!AO100, 2),FALSE)),"",_xlfn.REGEXEXTRACT(CELL("address",AO100), "\$([A-Z]+)\$[0-9]+"))),_xlfn.REGEXEXTRACT(CELL("address",AO100), "\$([A-Z]+)\$[0-9]+"))</f>
        <v/>
      </c>
      <c r="AP100" s="7" t="str">
        <f t="array" aca="1" ref="AP100" ca="1">IFERROR(IF(OR('Raw Data'!AP100="",LEN(TRIM('Raw Data'!AP100))=0),"",IF(AND(ISNUMBER('Raw Data'!AP100), IFERROR('Raw Data'!AP100 = ROUND('Raw Data'!AP100, 2),FALSE)),"",_xlfn.REGEXEXTRACT(CELL("address",AP100), "\$([A-Z]+)\$[0-9]+"))),_xlfn.REGEXEXTRACT(CELL("address",AP100), "\$([A-Z]+)\$[0-9]+"))</f>
        <v/>
      </c>
    </row>
    <row r="101" spans="2:42" x14ac:dyDescent="0.25">
      <c r="B101" s="7" t="str">
        <f t="array" aca="1" ref="B101" ca="1">IFERROR(IF(OR('Raw Data'!B101="",LEN(TRIM('Raw Data'!B101))=0),"",IF(AND(LEN('Raw Data'!B101) &lt;= 255,LEN('Raw Data'!B101)&gt; 0),"",_xlfn.REGEXEXTRACT(CELL("address",'Raw Data'!B101),"\$([A-Z]+)\$[0-9]+"))),_xlfn.REGEXEXTRACT(CELL("address",'Raw Data'!B101),"\$([A-Z]+)\$[0-9]+"))</f>
        <v/>
      </c>
      <c r="C101" s="7" t="str">
        <f t="array" aca="1" ref="C101" ca="1">IFERROR(IF(OR('Raw Data'!C101="",LEN(TRIM('Raw Data'!C101))=0),"",IF(AND(LEN('Raw Data'!C101) &lt;= 50,LEN('Raw Data'!C101)&gt; 0),"",_xlfn.REGEXEXTRACT(CELL("address",'Raw Data'!C101),"\$([A-Z]+)\$[0-9]+"))),_xlfn.REGEXEXTRACT(CELL("address",'Raw Data'!C101),"\$([A-Z]+)\$[0-9]+"))</f>
        <v/>
      </c>
      <c r="D101" s="7" t="str">
        <f t="array" aca="1" ref="D101" ca="1">IFERROR(IF(OR('Raw Data'!D101="",LEN(TRIM('Raw Data'!D101))=0),"",IF(AND(LEN('Raw Data'!D101) &lt;= 500,LEN('Raw Data'!D101)&gt; 0),"",_xlfn.REGEXEXTRACT(CELL("address",'Raw Data'!D101),"\$([A-Z]+)\$[0-9]+"))),_xlfn.REGEXEXTRACT(CELL("address",'Raw Data'!D101),"\$([A-Z]+)\$[0-9]+"))</f>
        <v/>
      </c>
      <c r="E101" s="7" t="str">
        <f t="array" aca="1" ref="E101" ca="1">IFERROR(IF(OR('Raw Data'!E101="",LEN(TRIM('Raw Data'!E101))=0),"",IF(AND(LEN('Raw Data'!E101) &lt;= 50,LEN('Raw Data'!E101)&gt; 0),"",_xlfn.REGEXEXTRACT(CELL("address",'Raw Data'!E101),"\$([A-Z]+)\$[0-9]+"))),_xlfn.REGEXEXTRACT(CELL("address",'Raw Data'!E101),"\$([A-Z]+)\$[0-9]+"))</f>
        <v/>
      </c>
      <c r="F101" s="7" t="str">
        <f t="array" aca="1" ref="F101" ca="1">IFERROR(IF(OR('Raw Data'!F101="",LEN(TRIM('Raw Data'!F101))=0),"",IF(AND(LEN('Raw Data'!F101) &lt;= 50,LEN('Raw Data'!F101)&gt; 0),"",_xlfn.REGEXEXTRACT(CELL("address",'Raw Data'!F101),"\$([A-Z]+)\$[0-9]+"))),_xlfn.REGEXEXTRACT(CELL("address",'Raw Data'!F101),"\$([A-Z]+)\$[0-9]+"))</f>
        <v/>
      </c>
      <c r="G101" s="7" t="str">
        <f t="array" aca="1" ref="G101" ca="1">IFERROR(IF(OR('Raw Data'!G101="",LEN(TRIM('Raw Data'!G101))=0),"",IF(AND(LEN('Raw Data'!G101) &lt;= 50,LEN('Raw Data'!G101)&gt; 0),"",_xlfn.REGEXEXTRACT(CELL("address",'Raw Data'!G101),"\$([A-Z]+)\$[0-9]+"))),_xlfn.REGEXEXTRACT(CELL("address",'Raw Data'!G101),"\$([A-Z]+)\$[0-9]+"))</f>
        <v/>
      </c>
      <c r="H101" s="7" t="str">
        <f t="array" aca="1" ref="H101" ca="1">IFERROR(IF(OR('Raw Data'!H101="",LEN(TRIM('Raw Data'!H101))=0),"",IF(AND(LEN('Raw Data'!H101) &lt;= 50,LEN('Raw Data'!H101)&gt; 0),"",_xlfn.REGEXEXTRACT(CELL("address",'Raw Data'!H101),"\$([A-Z]+)\$[0-9]+"))),_xlfn.REGEXEXTRACT(CELL("address",'Raw Data'!H101),"\$([A-Z]+)\$[0-9]+"))</f>
        <v/>
      </c>
      <c r="I101" s="7" t="str">
        <f t="array" aca="1" ref="I101" ca="1">IFERROR(IF(OR('Raw Data'!I101="",LEN(TRIM('Raw Data'!I101))=0),"",IF(AND(LEN('Raw Data'!I101) &lt;= 50,LEN('Raw Data'!I101)&gt; 0),"",_xlfn.REGEXEXTRACT(CELL("address",'Raw Data'!I101),"\$([A-Z]+)\$[0-9]+"))),_xlfn.REGEXEXTRACT(CELL("address",'Raw Data'!I101),"\$([A-Z]+)\$[0-9]+"))</f>
        <v/>
      </c>
      <c r="J101" s="7" t="str">
        <f t="array" aca="1" ref="J101" ca="1">IFERROR(IF(OR('Raw Data'!J101="",LEN(TRIM('Raw Data'!J101))=0),"",IF(AND(ISNUMBER('Raw Data'!J101), IFERROR('Raw Data'!J101 = ROUND('Raw Data'!J101, 2),FALSE)),"",_xlfn.REGEXEXTRACT(CELL("address",J101), "\$([A-Z]+)\$[0-9]+"))),_xlfn.REGEXEXTRACT(CELL("address",J101), "\$([A-Z]+)\$[0-9]+"))</f>
        <v/>
      </c>
      <c r="K101" s="7" t="str">
        <f t="array" aca="1" ref="K101" ca="1">IFERROR(IF(OR('Raw Data'!K101="",LEN(TRIM('Raw Data'!K101))=0),"",IF(AND(ISNUMBER('Raw Data'!K101), IFERROR('Raw Data'!K101 = ROUND('Raw Data'!K101, 2),FALSE)),"",_xlfn.REGEXEXTRACT(CELL("address",K101), "\$([A-Z]+)\$[0-9]+"))),_xlfn.REGEXEXTRACT(CELL("address",K101), "\$([A-Z]+)\$[0-9]+"))</f>
        <v/>
      </c>
      <c r="L101" s="7" t="str">
        <f t="array" aca="1" ref="L101" ca="1">IFERROR(IF(OR('Raw Data'!L101="",LEN(TRIM('Raw Data'!L101))=0),"",IF(AND(ISNUMBER('Raw Data'!L101), IFERROR('Raw Data'!L101 = ROUND('Raw Data'!L101, 2),FALSE)),"",_xlfn.REGEXEXTRACT(CELL("address",L101), "\$([A-Z]+)\$[0-9]+"))),_xlfn.REGEXEXTRACT(CELL("address",L101), "\$([A-Z]+)\$[0-9]+"))</f>
        <v/>
      </c>
      <c r="M101" s="7" t="str">
        <f t="array" aca="1" ref="M101" ca="1">IFERROR(IF(OR('Raw Data'!M101="",LEN(TRIM('Raw Data'!M101))=0),"",IF(AND(ISNUMBER('Raw Data'!M101), IFERROR('Raw Data'!M101 = ROUND('Raw Data'!M101, 2),FALSE)),"",_xlfn.REGEXEXTRACT(CELL("address",M101), "\$([A-Z]+)\$[0-9]+"))),_xlfn.REGEXEXTRACT(CELL("address",M101), "\$([A-Z]+)\$[0-9]+"))</f>
        <v/>
      </c>
      <c r="N101" s="7" t="str">
        <f t="array" aca="1" ref="N101" ca="1">IFERROR(IF(OR('Raw Data'!N101="",LEN(TRIM('Raw Data'!N101))=0),"",IF(AND(ISNUMBER('Raw Data'!N101), IFERROR('Raw Data'!N101 = ROUND('Raw Data'!N101, 2),FALSE)),"",_xlfn.REGEXEXTRACT(CELL("address",N101), "\$([A-Z]+)\$[0-9]+"))),_xlfn.REGEXEXTRACT(CELL("address",N101), "\$([A-Z]+)\$[0-9]+"))</f>
        <v/>
      </c>
      <c r="O101" s="7" t="str">
        <f t="array" aca="1" ref="O101" ca="1">IFERROR(IF(OR('Raw Data'!O101="",LEN(TRIM('Raw Data'!O101))=0),"",IF(AND(ISNUMBER('Raw Data'!O101),'Raw Data'!O101&gt;=Configuration!$D$2),"",_xlfn.REGEXEXTRACT(CELL("address",'Raw Data'!O101),"\$([A-Z]+)\$[0-9]+"))),_xlfn.REGEXEXTRACT(CELL("address",O101), "\$([A-Z]+)\$[0-9]+"))</f>
        <v/>
      </c>
      <c r="P101" s="7" t="str">
        <f t="array" aca="1" ref="P101" ca="1">IFERROR(IF(OR('Raw Data'!P101="",LEN(TRIM('Raw Data'!P101))=0),"",IF(AND(ISNUMBER('Raw Data'!P101), IFERROR('Raw Data'!P101 = ROUND('Raw Data'!P101, 2),FALSE)),"",_xlfn.REGEXEXTRACT(CELL("address",P101), "\$([A-Z]+)\$[0-9]+"))),_xlfn.REGEXEXTRACT(CELL("address",P101), "\$([A-Z]+)\$[0-9]+"))</f>
        <v/>
      </c>
      <c r="Q101" s="7" t="str">
        <f t="array" aca="1" ref="Q101" ca="1">IFERROR(IF(OR('Raw Data'!Q101="",LEN(TRIM('Raw Data'!Q101))=0),"",IF(AND(ISNUMBER('Raw Data'!Q101), IFERROR('Raw Data'!Q101 = ROUND('Raw Data'!Q101, 2),FALSE)),"",_xlfn.REGEXEXTRACT(CELL("address",Q101), "\$([A-Z]+)\$[0-9]+"))),_xlfn.REGEXEXTRACT(CELL("address",Q101), "\$([A-Z]+)\$[0-9]+"))</f>
        <v/>
      </c>
      <c r="R101" s="7" t="str">
        <f t="array" aca="1" ref="R101" ca="1">IFERROR(IF(OR('Raw Data'!R101="",LEN(TRIM('Raw Data'!R101))=0),"",IF(AND(LEN('Raw Data'!R101) &lt;= 50,LEN('Raw Data'!R101)&gt; 0),"",_xlfn.REGEXEXTRACT(CELL("address",'Raw Data'!R101),"\$([A-Z]+)\$[0-9]+"))),_xlfn.REGEXEXTRACT(CELL("address",'Raw Data'!R101),"\$([A-Z]+)\$[0-9]+"))</f>
        <v/>
      </c>
      <c r="S101" s="7" t="str">
        <f t="array" aca="1" ref="S101" ca="1">IFERROR(IF(OR('Raw Data'!S101="",LEN(TRIM('Raw Data'!S101))=0),"",IF(AND(LEN('Raw Data'!S101) &lt;= 50,LEN('Raw Data'!S101)&gt; 0),"",_xlfn.REGEXEXTRACT(CELL("address",'Raw Data'!S101),"\$([A-Z]+)\$[0-9]+"))),_xlfn.REGEXEXTRACT(CELL("address",'Raw Data'!S101),"\$([A-Z]+)\$[0-9]+"))</f>
        <v/>
      </c>
      <c r="T101" s="7" t="str">
        <f t="array" aca="1" ref="T101" ca="1">IFERROR(IF(OR('Raw Data'!T101="",LEN(TRIM('Raw Data'!T101))=0),"",IF(AND(ISNUMBER('Raw Data'!T101), IFERROR('Raw Data'!T101 = ROUND('Raw Data'!T101, 2),FALSE)),"",_xlfn.REGEXEXTRACT(CELL("address",T101), "\$([A-Z]+)\$[0-9]+"))),_xlfn.REGEXEXTRACT(CELL("address",T101), "\$([A-Z]+)\$[0-9]+"))</f>
        <v/>
      </c>
      <c r="U101" s="7" t="str">
        <f t="array" aca="1" ref="U101" ca="1">IFERROR(IF(OR('Raw Data'!U101="",LEN(TRIM('Raw Data'!U101))=0),"",IF(AND(ISNUMBER('Raw Data'!U101), IFERROR('Raw Data'!U101 = ROUND('Raw Data'!U101, 2),FALSE)),"",_xlfn.REGEXEXTRACT(CELL("address",U101), "\$([A-Z]+)\$[0-9]+"))),_xlfn.REGEXEXTRACT(CELL("address",U101), "\$([A-Z]+)\$[0-9]+"))</f>
        <v/>
      </c>
      <c r="V101" s="7" t="str">
        <f t="array" aca="1" ref="V101" ca="1">IFERROR(IF(OR('Raw Data'!V101="",LEN(TRIM('Raw Data'!V101))=0),"",IF(AND(ISNUMBER('Raw Data'!V101), IFERROR('Raw Data'!V101 = ROUND('Raw Data'!V101, 2),FALSE)),"",_xlfn.REGEXEXTRACT(CELL("address",V101), "\$([A-Z]+)\$[0-9]+"))),_xlfn.REGEXEXTRACT(CELL("address",V101), "\$([A-Z]+)\$[0-9]+"))</f>
        <v/>
      </c>
      <c r="W101" s="7" t="str">
        <f t="array" aca="1" ref="W101" ca="1">IFERROR(IF(OR('Raw Data'!W101="",LEN(TRIM('Raw Data'!W101))=0),"",IF(AND(ISNUMBER('Raw Data'!W101), IFERROR('Raw Data'!W101 = ROUND('Raw Data'!W101, 2),FALSE)),"",_xlfn.REGEXEXTRACT(CELL("address",W101), "\$([A-Z]+)\$[0-9]+"))),_xlfn.REGEXEXTRACT(CELL("address",W101), "\$([A-Z]+)\$[0-9]+"))</f>
        <v/>
      </c>
      <c r="X101" s="7" t="str">
        <f t="array" aca="1" ref="X101" ca="1">IFERROR(IF(OR('Raw Data'!X101="",LEN(TRIM('Raw Data'!X101))=0),"",IF(AND(ISNUMBER('Raw Data'!X101), IFERROR('Raw Data'!X101 = ROUND('Raw Data'!X101, 2),FALSE)),"",_xlfn.REGEXEXTRACT(CELL("address",X101), "\$([A-Z]+)\$[0-9]+"))),_xlfn.REGEXEXTRACT(CELL("address",X101), "\$([A-Z]+)\$[0-9]+"))</f>
        <v/>
      </c>
      <c r="Y101" s="7" t="str">
        <f t="array" aca="1" ref="Y101" ca="1">IFERROR(IF(OR('Raw Data'!Y101="",LEN(TRIM('Raw Data'!Y101))=0),"",IF(AND(ISNUMBER('Raw Data'!Y101), IFERROR('Raw Data'!Y101 = ROUND('Raw Data'!Y101, 2),FALSE)),"",_xlfn.REGEXEXTRACT(CELL("address",Y101), "\$([A-Z]+)\$[0-9]+"))),_xlfn.REGEXEXTRACT(CELL("address",Y101), "\$([A-Z]+)\$[0-9]+"))</f>
        <v/>
      </c>
      <c r="Z101" s="7" t="str">
        <f t="array" aca="1" ref="Z101" ca="1">IFERROR(IF(OR('Raw Data'!Z101="",LEN(TRIM('Raw Data'!Z101))=0),"",IF(AND(ISNUMBER('Raw Data'!Z101), IFERROR('Raw Data'!Z101 = ROUND('Raw Data'!Z101, 2),FALSE)),"",_xlfn.REGEXEXTRACT(CELL("address",Z101), "\$([A-Z]+)\$[0-9]+"))),_xlfn.REGEXEXTRACT(CELL("address",Z101), "\$([A-Z]+)\$[0-9]+"))</f>
        <v/>
      </c>
      <c r="AA101" s="7" t="str">
        <f t="array" aca="1" ref="AA101" ca="1">IFERROR(IF(OR('Raw Data'!AA101="",LEN(TRIM('Raw Data'!AA101))=0),"",IF(AND(ISNUMBER('Raw Data'!AA101), IFERROR('Raw Data'!AA101 = ROUND('Raw Data'!AA101, 2),FALSE)),"",_xlfn.REGEXEXTRACT(CELL("address",AA101), "\$([A-Z]+)\$[0-9]+"))),_xlfn.REGEXEXTRACT(CELL("address",AA101), "\$([A-Z]+)\$[0-9]+"))</f>
        <v/>
      </c>
      <c r="AB101" s="7" t="str">
        <f t="array" aca="1" ref="AB101" ca="1">IFERROR(IF(OR('Raw Data'!AB101="",LEN(TRIM('Raw Data'!AB101))=0),"",IF(AND(ISNUMBER('Raw Data'!AB101), IFERROR('Raw Data'!AB101 = ROUND('Raw Data'!AB101, 2),FALSE)),"",_xlfn.REGEXEXTRACT(CELL("address",AB101), "\$([A-Z]+)\$[0-9]+"))),_xlfn.REGEXEXTRACT(CELL("address",AB101), "\$([A-Z]+)\$[0-9]+"))</f>
        <v/>
      </c>
      <c r="AC101" s="7" t="str">
        <f t="array" aca="1" ref="AC101" ca="1">IFERROR(IF(OR('Raw Data'!AC101="",LEN(TRIM('Raw Data'!AC101))=0),"",IF(AND(ISNUMBER('Raw Data'!AC101), IFERROR('Raw Data'!AC101 = ROUND('Raw Data'!AC101, 2),FALSE)),"",_xlfn.REGEXEXTRACT(CELL("address",AC101), "\$([A-Z]+)\$[0-9]+"))),_xlfn.REGEXEXTRACT(CELL("address",AC101), "\$([A-Z]+)\$[0-9]+"))</f>
        <v/>
      </c>
      <c r="AD101" s="7" t="str">
        <f t="array" aca="1" ref="AD101" ca="1">IFERROR(IF(OR('Raw Data'!AD101="",LEN(TRIM('Raw Data'!AD101))=0),"",IF(AND(ISNUMBER('Raw Data'!AD101), IFERROR('Raw Data'!AD101 = ROUND('Raw Data'!AD101, 2),FALSE)),"",_xlfn.REGEXEXTRACT(CELL("address",AD101), "\$([A-Z]+)\$[0-9]+"))),_xlfn.REGEXEXTRACT(CELL("address",AD101), "\$([A-Z]+)\$[0-9]+"))</f>
        <v/>
      </c>
      <c r="AE101" s="7" t="str">
        <f t="array" aca="1" ref="AE101" ca="1">IFERROR(IF(OR('Raw Data'!AE101="",LEN(TRIM('Raw Data'!AE101))=0),"",IF(AND(ISNUMBER('Raw Data'!AE101), IFERROR('Raw Data'!AE101 = ROUND('Raw Data'!AE101, 2),FALSE)),"",_xlfn.REGEXEXTRACT(CELL("address",AE101), "\$([A-Z]+)\$[0-9]+"))),_xlfn.REGEXEXTRACT(CELL("address",AE101), "\$([A-Z]+)\$[0-9]+"))</f>
        <v/>
      </c>
      <c r="AF101" s="7" t="str">
        <f t="array" aca="1" ref="AF101" ca="1">IFERROR(IF(OR('Raw Data'!AF101="",LEN(TRIM('Raw Data'!AF101))=0),"",IF(AND(ISNUMBER('Raw Data'!AF101), IFERROR('Raw Data'!AF101 = ROUND('Raw Data'!AF101, 2),FALSE)),"",_xlfn.REGEXEXTRACT(CELL("address",AF101), "\$([A-Z]+)\$[0-9]+"))),_xlfn.REGEXEXTRACT(CELL("address",AF101), "\$([A-Z]+)\$[0-9]+"))</f>
        <v/>
      </c>
      <c r="AG101" s="7" t="str">
        <f t="array" aca="1" ref="AG101" ca="1">IFERROR(IF(OR('Raw Data'!AG101="",LEN(TRIM('Raw Data'!AG101))=0),"",IF(AND(ISNUMBER('Raw Data'!AG101), IFERROR('Raw Data'!AG101 = ROUND('Raw Data'!AG101, 2),FALSE)),"",_xlfn.REGEXEXTRACT(CELL("address",AG101), "\$([A-Z]+)\$[0-9]+"))),_xlfn.REGEXEXTRACT(CELL("address",AG101), "\$([A-Z]+)\$[0-9]+"))</f>
        <v/>
      </c>
      <c r="AH101" s="7" t="str">
        <f t="array" aca="1" ref="AH101" ca="1">IFERROR(IF(OR('Raw Data'!AH101="",LEN(TRIM('Raw Data'!AH101))=0),"",IF(AND(ISNUMBER('Raw Data'!AH101), IFERROR('Raw Data'!AH101 = ROUND('Raw Data'!AH101, 2),FALSE)),"",_xlfn.REGEXEXTRACT(CELL("address",AH101), "\$([A-Z]+)\$[0-9]+"))),_xlfn.REGEXEXTRACT(CELL("address",AH101), "\$([A-Z]+)\$[0-9]+"))</f>
        <v/>
      </c>
      <c r="AI101" s="7" t="str">
        <f t="array" aca="1" ref="AI101" ca="1">IFERROR(IF(OR('Raw Data'!AI101="",LEN(TRIM('Raw Data'!AI101))=0),"",IF(AND(ISNUMBER('Raw Data'!AI101), IFERROR('Raw Data'!AI101 = ROUND('Raw Data'!AI101, 2),FALSE)),"",_xlfn.REGEXEXTRACT(CELL("address",AI101), "\$([A-Z]+)\$[0-9]+"))),_xlfn.REGEXEXTRACT(CELL("address",AI101), "\$([A-Z]+)\$[0-9]+"))</f>
        <v/>
      </c>
      <c r="AJ101" s="7" t="str">
        <f t="array" aca="1" ref="AJ101" ca="1">IFERROR(IF(OR('Raw Data'!AJ101="",LEN(TRIM('Raw Data'!AJ101))=0),"",IF(AND(ISNUMBER('Raw Data'!AJ101), IFERROR('Raw Data'!AJ101 = ROUND('Raw Data'!AJ101, 4),FALSE)),"",_xlfn.REGEXEXTRACT(CELL("address",AJ101), "\$([A-Z]+)\$[0-9]+"))),_xlfn.REGEXEXTRACT(CELL("address",AJ101), "\$([A-Z]+)\$[0-9]+"))</f>
        <v/>
      </c>
      <c r="AK101" s="7" t="str">
        <f t="array" aca="1" ref="AK101" ca="1">IFERROR(IF(OR('Raw Data'!AK101="",LEN(TRIM('Raw Data'!AK101))=0),"",IF(AND(ISNUMBER('Raw Data'!AK101), IFERROR('Raw Data'!AK101 = ROUND('Raw Data'!AK101, 2),FALSE)),"",_xlfn.REGEXEXTRACT(CELL("address",AK101), "\$([A-Z]+)\$[0-9]+"))),_xlfn.REGEXEXTRACT(CELL("address",AK101), "\$([A-Z]+)\$[0-9]+"))</f>
        <v/>
      </c>
      <c r="AL101" s="7" t="str">
        <f t="array" aca="1" ref="AL101" ca="1">IFERROR(IF(OR('Raw Data'!AL101="",LEN(TRIM('Raw Data'!AL101))=0),"",IF(AND(ISNUMBER('Raw Data'!AL101), IFERROR('Raw Data'!AL101 = ROUND('Raw Data'!AL101, 2),FALSE)),"",_xlfn.REGEXEXTRACT(CELL("address",AL101), "\$([A-Z]+)\$[0-9]+"))),_xlfn.REGEXEXTRACT(CELL("address",AL101), "\$([A-Z]+)\$[0-9]+"))</f>
        <v/>
      </c>
      <c r="AM101" s="7" t="str">
        <f t="array" aca="1" ref="AM101" ca="1">IFERROR(IF(OR('Raw Data'!AM101="",LEN(TRIM('Raw Data'!AM101))=0),"",IF(AND(ISNUMBER('Raw Data'!AM101), IFERROR('Raw Data'!AM101 = ROUND('Raw Data'!AM101, 2),FALSE)),"",_xlfn.REGEXEXTRACT(CELL("address",AM101), "\$([A-Z]+)\$[0-9]+"))),_xlfn.REGEXEXTRACT(CELL("address",AM101), "\$([A-Z]+)\$[0-9]+"))</f>
        <v/>
      </c>
      <c r="AN101" s="7" t="str">
        <f t="array" aca="1" ref="AN101" ca="1">IFERROR(IF(OR('Raw Data'!AN101="",LEN(TRIM('Raw Data'!AN101))=0),"",IF(AND(ISNUMBER('Raw Data'!AN101), IFERROR('Raw Data'!AN101 = ROUND('Raw Data'!AN101, 2),FALSE)),"",_xlfn.REGEXEXTRACT(CELL("address",AN101), "\$([A-Z]+)\$[0-9]+"))),_xlfn.REGEXEXTRACT(CELL("address",AN101), "\$([A-Z]+)\$[0-9]+"))</f>
        <v/>
      </c>
      <c r="AO101" s="7" t="str">
        <f t="array" aca="1" ref="AO101" ca="1">IFERROR(IF(OR('Raw Data'!AO101="",LEN(TRIM('Raw Data'!AO101))=0),"",IF(AND(ISNUMBER('Raw Data'!AO101), IFERROR('Raw Data'!AO101 = ROUND('Raw Data'!AO101, 2),FALSE)),"",_xlfn.REGEXEXTRACT(CELL("address",AO101), "\$([A-Z]+)\$[0-9]+"))),_xlfn.REGEXEXTRACT(CELL("address",AO101), "\$([A-Z]+)\$[0-9]+"))</f>
        <v/>
      </c>
      <c r="AP101" s="7" t="str">
        <f t="array" aca="1" ref="AP101" ca="1">IFERROR(IF(OR('Raw Data'!AP101="",LEN(TRIM('Raw Data'!AP101))=0),"",IF(AND(ISNUMBER('Raw Data'!AP101), IFERROR('Raw Data'!AP101 = ROUND('Raw Data'!AP101, 2),FALSE)),"",_xlfn.REGEXEXTRACT(CELL("address",AP101), "\$([A-Z]+)\$[0-9]+"))),_xlfn.REGEXEXTRACT(CELL("address",AP101), "\$([A-Z]+)\$[0-9]+"))</f>
        <v/>
      </c>
    </row>
    <row r="102" spans="2:42" x14ac:dyDescent="0.25">
      <c r="B102" s="7" t="str">
        <f t="array" aca="1" ref="B102" ca="1">IFERROR(IF(OR('Raw Data'!B102="",LEN(TRIM('Raw Data'!B102))=0),"",IF(AND(LEN('Raw Data'!B102) &lt;= 255,LEN('Raw Data'!B102)&gt; 0),"",_xlfn.REGEXEXTRACT(CELL("address",'Raw Data'!B102),"\$([A-Z]+)\$[0-9]+"))),_xlfn.REGEXEXTRACT(CELL("address",'Raw Data'!B102),"\$([A-Z]+)\$[0-9]+"))</f>
        <v/>
      </c>
      <c r="C102" s="7" t="str">
        <f t="array" aca="1" ref="C102" ca="1">IFERROR(IF(OR('Raw Data'!C102="",LEN(TRIM('Raw Data'!C102))=0),"",IF(AND(LEN('Raw Data'!C102) &lt;= 50,LEN('Raw Data'!C102)&gt; 0),"",_xlfn.REGEXEXTRACT(CELL("address",'Raw Data'!C102),"\$([A-Z]+)\$[0-9]+"))),_xlfn.REGEXEXTRACT(CELL("address",'Raw Data'!C102),"\$([A-Z]+)\$[0-9]+"))</f>
        <v/>
      </c>
      <c r="D102" s="7" t="str">
        <f t="array" aca="1" ref="D102" ca="1">IFERROR(IF(OR('Raw Data'!D102="",LEN(TRIM('Raw Data'!D102))=0),"",IF(AND(LEN('Raw Data'!D102) &lt;= 500,LEN('Raw Data'!D102)&gt; 0),"",_xlfn.REGEXEXTRACT(CELL("address",'Raw Data'!D102),"\$([A-Z]+)\$[0-9]+"))),_xlfn.REGEXEXTRACT(CELL("address",'Raw Data'!D102),"\$([A-Z]+)\$[0-9]+"))</f>
        <v/>
      </c>
      <c r="E102" s="7" t="str">
        <f t="array" aca="1" ref="E102" ca="1">IFERROR(IF(OR('Raw Data'!E102="",LEN(TRIM('Raw Data'!E102))=0),"",IF(AND(LEN('Raw Data'!E102) &lt;= 50,LEN('Raw Data'!E102)&gt; 0),"",_xlfn.REGEXEXTRACT(CELL("address",'Raw Data'!E102),"\$([A-Z]+)\$[0-9]+"))),_xlfn.REGEXEXTRACT(CELL("address",'Raw Data'!E102),"\$([A-Z]+)\$[0-9]+"))</f>
        <v/>
      </c>
      <c r="F102" s="7" t="str">
        <f t="array" aca="1" ref="F102" ca="1">IFERROR(IF(OR('Raw Data'!F102="",LEN(TRIM('Raw Data'!F102))=0),"",IF(AND(LEN('Raw Data'!F102) &lt;= 50,LEN('Raw Data'!F102)&gt; 0),"",_xlfn.REGEXEXTRACT(CELL("address",'Raw Data'!F102),"\$([A-Z]+)\$[0-9]+"))),_xlfn.REGEXEXTRACT(CELL("address",'Raw Data'!F102),"\$([A-Z]+)\$[0-9]+"))</f>
        <v/>
      </c>
      <c r="G102" s="7" t="str">
        <f t="array" aca="1" ref="G102" ca="1">IFERROR(IF(OR('Raw Data'!G102="",LEN(TRIM('Raw Data'!G102))=0),"",IF(AND(LEN('Raw Data'!G102) &lt;= 50,LEN('Raw Data'!G102)&gt; 0),"",_xlfn.REGEXEXTRACT(CELL("address",'Raw Data'!G102),"\$([A-Z]+)\$[0-9]+"))),_xlfn.REGEXEXTRACT(CELL("address",'Raw Data'!G102),"\$([A-Z]+)\$[0-9]+"))</f>
        <v/>
      </c>
      <c r="H102" s="7" t="str">
        <f t="array" aca="1" ref="H102" ca="1">IFERROR(IF(OR('Raw Data'!H102="",LEN(TRIM('Raw Data'!H102))=0),"",IF(AND(LEN('Raw Data'!H102) &lt;= 50,LEN('Raw Data'!H102)&gt; 0),"",_xlfn.REGEXEXTRACT(CELL("address",'Raw Data'!H102),"\$([A-Z]+)\$[0-9]+"))),_xlfn.REGEXEXTRACT(CELL("address",'Raw Data'!H102),"\$([A-Z]+)\$[0-9]+"))</f>
        <v/>
      </c>
      <c r="I102" s="7" t="str">
        <f t="array" aca="1" ref="I102" ca="1">IFERROR(IF(OR('Raw Data'!I102="",LEN(TRIM('Raw Data'!I102))=0),"",IF(AND(LEN('Raw Data'!I102) &lt;= 50,LEN('Raw Data'!I102)&gt; 0),"",_xlfn.REGEXEXTRACT(CELL("address",'Raw Data'!I102),"\$([A-Z]+)\$[0-9]+"))),_xlfn.REGEXEXTRACT(CELL("address",'Raw Data'!I102),"\$([A-Z]+)\$[0-9]+"))</f>
        <v/>
      </c>
      <c r="J102" s="7" t="str">
        <f t="array" aca="1" ref="J102" ca="1">IFERROR(IF(OR('Raw Data'!J102="",LEN(TRIM('Raw Data'!J102))=0),"",IF(AND(ISNUMBER('Raw Data'!J102), IFERROR('Raw Data'!J102 = ROUND('Raw Data'!J102, 2),FALSE)),"",_xlfn.REGEXEXTRACT(CELL("address",J102), "\$([A-Z]+)\$[0-9]+"))),_xlfn.REGEXEXTRACT(CELL("address",J102), "\$([A-Z]+)\$[0-9]+"))</f>
        <v/>
      </c>
      <c r="K102" s="7" t="str">
        <f t="array" aca="1" ref="K102" ca="1">IFERROR(IF(OR('Raw Data'!K102="",LEN(TRIM('Raw Data'!K102))=0),"",IF(AND(ISNUMBER('Raw Data'!K102), IFERROR('Raw Data'!K102 = ROUND('Raw Data'!K102, 2),FALSE)),"",_xlfn.REGEXEXTRACT(CELL("address",K102), "\$([A-Z]+)\$[0-9]+"))),_xlfn.REGEXEXTRACT(CELL("address",K102), "\$([A-Z]+)\$[0-9]+"))</f>
        <v/>
      </c>
      <c r="L102" s="7" t="str">
        <f t="array" aca="1" ref="L102" ca="1">IFERROR(IF(OR('Raw Data'!L102="",LEN(TRIM('Raw Data'!L102))=0),"",IF(AND(ISNUMBER('Raw Data'!L102), IFERROR('Raw Data'!L102 = ROUND('Raw Data'!L102, 2),FALSE)),"",_xlfn.REGEXEXTRACT(CELL("address",L102), "\$([A-Z]+)\$[0-9]+"))),_xlfn.REGEXEXTRACT(CELL("address",L102), "\$([A-Z]+)\$[0-9]+"))</f>
        <v/>
      </c>
      <c r="M102" s="7" t="str">
        <f t="array" aca="1" ref="M102" ca="1">IFERROR(IF(OR('Raw Data'!M102="",LEN(TRIM('Raw Data'!M102))=0),"",IF(AND(ISNUMBER('Raw Data'!M102), IFERROR('Raw Data'!M102 = ROUND('Raw Data'!M102, 2),FALSE)),"",_xlfn.REGEXEXTRACT(CELL("address",M102), "\$([A-Z]+)\$[0-9]+"))),_xlfn.REGEXEXTRACT(CELL("address",M102), "\$([A-Z]+)\$[0-9]+"))</f>
        <v/>
      </c>
      <c r="N102" s="7" t="str">
        <f t="array" aca="1" ref="N102" ca="1">IFERROR(IF(OR('Raw Data'!N102="",LEN(TRIM('Raw Data'!N102))=0),"",IF(AND(ISNUMBER('Raw Data'!N102), IFERROR('Raw Data'!N102 = ROUND('Raw Data'!N102, 2),FALSE)),"",_xlfn.REGEXEXTRACT(CELL("address",N102), "\$([A-Z]+)\$[0-9]+"))),_xlfn.REGEXEXTRACT(CELL("address",N102), "\$([A-Z]+)\$[0-9]+"))</f>
        <v/>
      </c>
      <c r="O102" s="7" t="str">
        <f t="array" aca="1" ref="O102" ca="1">IFERROR(IF(OR('Raw Data'!O102="",LEN(TRIM('Raw Data'!O102))=0),"",IF(AND(ISNUMBER('Raw Data'!O102),'Raw Data'!O102&gt;=Configuration!$D$2),"",_xlfn.REGEXEXTRACT(CELL("address",'Raw Data'!O102),"\$([A-Z]+)\$[0-9]+"))),_xlfn.REGEXEXTRACT(CELL("address",O102), "\$([A-Z]+)\$[0-9]+"))</f>
        <v/>
      </c>
      <c r="P102" s="7" t="str">
        <f t="array" aca="1" ref="P102" ca="1">IFERROR(IF(OR('Raw Data'!P102="",LEN(TRIM('Raw Data'!P102))=0),"",IF(AND(ISNUMBER('Raw Data'!P102), IFERROR('Raw Data'!P102 = ROUND('Raw Data'!P102, 2),FALSE)),"",_xlfn.REGEXEXTRACT(CELL("address",P102), "\$([A-Z]+)\$[0-9]+"))),_xlfn.REGEXEXTRACT(CELL("address",P102), "\$([A-Z]+)\$[0-9]+"))</f>
        <v/>
      </c>
      <c r="Q102" s="7" t="str">
        <f t="array" aca="1" ref="Q102" ca="1">IFERROR(IF(OR('Raw Data'!Q102="",LEN(TRIM('Raw Data'!Q102))=0),"",IF(AND(ISNUMBER('Raw Data'!Q102), IFERROR('Raw Data'!Q102 = ROUND('Raw Data'!Q102, 2),FALSE)),"",_xlfn.REGEXEXTRACT(CELL("address",Q102), "\$([A-Z]+)\$[0-9]+"))),_xlfn.REGEXEXTRACT(CELL("address",Q102), "\$([A-Z]+)\$[0-9]+"))</f>
        <v/>
      </c>
      <c r="R102" s="7" t="str">
        <f t="array" aca="1" ref="R102" ca="1">IFERROR(IF(OR('Raw Data'!R102="",LEN(TRIM('Raw Data'!R102))=0),"",IF(AND(LEN('Raw Data'!R102) &lt;= 50,LEN('Raw Data'!R102)&gt; 0),"",_xlfn.REGEXEXTRACT(CELL("address",'Raw Data'!R102),"\$([A-Z]+)\$[0-9]+"))),_xlfn.REGEXEXTRACT(CELL("address",'Raw Data'!R102),"\$([A-Z]+)\$[0-9]+"))</f>
        <v/>
      </c>
      <c r="S102" s="7" t="str">
        <f t="array" aca="1" ref="S102" ca="1">IFERROR(IF(OR('Raw Data'!S102="",LEN(TRIM('Raw Data'!S102))=0),"",IF(AND(LEN('Raw Data'!S102) &lt;= 50,LEN('Raw Data'!S102)&gt; 0),"",_xlfn.REGEXEXTRACT(CELL("address",'Raw Data'!S102),"\$([A-Z]+)\$[0-9]+"))),_xlfn.REGEXEXTRACT(CELL("address",'Raw Data'!S102),"\$([A-Z]+)\$[0-9]+"))</f>
        <v/>
      </c>
      <c r="T102" s="7" t="str">
        <f t="array" aca="1" ref="T102" ca="1">IFERROR(IF(OR('Raw Data'!T102="",LEN(TRIM('Raw Data'!T102))=0),"",IF(AND(ISNUMBER('Raw Data'!T102), IFERROR('Raw Data'!T102 = ROUND('Raw Data'!T102, 2),FALSE)),"",_xlfn.REGEXEXTRACT(CELL("address",T102), "\$([A-Z]+)\$[0-9]+"))),_xlfn.REGEXEXTRACT(CELL("address",T102), "\$([A-Z]+)\$[0-9]+"))</f>
        <v/>
      </c>
      <c r="U102" s="7" t="str">
        <f t="array" aca="1" ref="U102" ca="1">IFERROR(IF(OR('Raw Data'!U102="",LEN(TRIM('Raw Data'!U102))=0),"",IF(AND(ISNUMBER('Raw Data'!U102), IFERROR('Raw Data'!U102 = ROUND('Raw Data'!U102, 2),FALSE)),"",_xlfn.REGEXEXTRACT(CELL("address",U102), "\$([A-Z]+)\$[0-9]+"))),_xlfn.REGEXEXTRACT(CELL("address",U102), "\$([A-Z]+)\$[0-9]+"))</f>
        <v/>
      </c>
      <c r="V102" s="7" t="str">
        <f t="array" aca="1" ref="V102" ca="1">IFERROR(IF(OR('Raw Data'!V102="",LEN(TRIM('Raw Data'!V102))=0),"",IF(AND(ISNUMBER('Raw Data'!V102), IFERROR('Raw Data'!V102 = ROUND('Raw Data'!V102, 2),FALSE)),"",_xlfn.REGEXEXTRACT(CELL("address",V102), "\$([A-Z]+)\$[0-9]+"))),_xlfn.REGEXEXTRACT(CELL("address",V102), "\$([A-Z]+)\$[0-9]+"))</f>
        <v/>
      </c>
      <c r="W102" s="7" t="str">
        <f t="array" aca="1" ref="W102" ca="1">IFERROR(IF(OR('Raw Data'!W102="",LEN(TRIM('Raw Data'!W102))=0),"",IF(AND(ISNUMBER('Raw Data'!W102), IFERROR('Raw Data'!W102 = ROUND('Raw Data'!W102, 2),FALSE)),"",_xlfn.REGEXEXTRACT(CELL("address",W102), "\$([A-Z]+)\$[0-9]+"))),_xlfn.REGEXEXTRACT(CELL("address",W102), "\$([A-Z]+)\$[0-9]+"))</f>
        <v/>
      </c>
      <c r="X102" s="7" t="str">
        <f t="array" aca="1" ref="X102" ca="1">IFERROR(IF(OR('Raw Data'!X102="",LEN(TRIM('Raw Data'!X102))=0),"",IF(AND(ISNUMBER('Raw Data'!X102), IFERROR('Raw Data'!X102 = ROUND('Raw Data'!X102, 2),FALSE)),"",_xlfn.REGEXEXTRACT(CELL("address",X102), "\$([A-Z]+)\$[0-9]+"))),_xlfn.REGEXEXTRACT(CELL("address",X102), "\$([A-Z]+)\$[0-9]+"))</f>
        <v/>
      </c>
      <c r="Y102" s="7" t="str">
        <f t="array" aca="1" ref="Y102" ca="1">IFERROR(IF(OR('Raw Data'!Y102="",LEN(TRIM('Raw Data'!Y102))=0),"",IF(AND(ISNUMBER('Raw Data'!Y102), IFERROR('Raw Data'!Y102 = ROUND('Raw Data'!Y102, 2),FALSE)),"",_xlfn.REGEXEXTRACT(CELL("address",Y102), "\$([A-Z]+)\$[0-9]+"))),_xlfn.REGEXEXTRACT(CELL("address",Y102), "\$([A-Z]+)\$[0-9]+"))</f>
        <v/>
      </c>
      <c r="Z102" s="7" t="str">
        <f t="array" aca="1" ref="Z102" ca="1">IFERROR(IF(OR('Raw Data'!Z102="",LEN(TRIM('Raw Data'!Z102))=0),"",IF(AND(ISNUMBER('Raw Data'!Z102), IFERROR('Raw Data'!Z102 = ROUND('Raw Data'!Z102, 2),FALSE)),"",_xlfn.REGEXEXTRACT(CELL("address",Z102), "\$([A-Z]+)\$[0-9]+"))),_xlfn.REGEXEXTRACT(CELL("address",Z102), "\$([A-Z]+)\$[0-9]+"))</f>
        <v/>
      </c>
      <c r="AA102" s="7" t="str">
        <f t="array" aca="1" ref="AA102" ca="1">IFERROR(IF(OR('Raw Data'!AA102="",LEN(TRIM('Raw Data'!AA102))=0),"",IF(AND(ISNUMBER('Raw Data'!AA102), IFERROR('Raw Data'!AA102 = ROUND('Raw Data'!AA102, 2),FALSE)),"",_xlfn.REGEXEXTRACT(CELL("address",AA102), "\$([A-Z]+)\$[0-9]+"))),_xlfn.REGEXEXTRACT(CELL("address",AA102), "\$([A-Z]+)\$[0-9]+"))</f>
        <v/>
      </c>
      <c r="AB102" s="7" t="str">
        <f t="array" aca="1" ref="AB102" ca="1">IFERROR(IF(OR('Raw Data'!AB102="",LEN(TRIM('Raw Data'!AB102))=0),"",IF(AND(ISNUMBER('Raw Data'!AB102), IFERROR('Raw Data'!AB102 = ROUND('Raw Data'!AB102, 2),FALSE)),"",_xlfn.REGEXEXTRACT(CELL("address",AB102), "\$([A-Z]+)\$[0-9]+"))),_xlfn.REGEXEXTRACT(CELL("address",AB102), "\$([A-Z]+)\$[0-9]+"))</f>
        <v/>
      </c>
      <c r="AC102" s="7" t="str">
        <f t="array" aca="1" ref="AC102" ca="1">IFERROR(IF(OR('Raw Data'!AC102="",LEN(TRIM('Raw Data'!AC102))=0),"",IF(AND(ISNUMBER('Raw Data'!AC102), IFERROR('Raw Data'!AC102 = ROUND('Raw Data'!AC102, 2),FALSE)),"",_xlfn.REGEXEXTRACT(CELL("address",AC102), "\$([A-Z]+)\$[0-9]+"))),_xlfn.REGEXEXTRACT(CELL("address",AC102), "\$([A-Z]+)\$[0-9]+"))</f>
        <v/>
      </c>
      <c r="AD102" s="7" t="str">
        <f t="array" aca="1" ref="AD102" ca="1">IFERROR(IF(OR('Raw Data'!AD102="",LEN(TRIM('Raw Data'!AD102))=0),"",IF(AND(ISNUMBER('Raw Data'!AD102), IFERROR('Raw Data'!AD102 = ROUND('Raw Data'!AD102, 2),FALSE)),"",_xlfn.REGEXEXTRACT(CELL("address",AD102), "\$([A-Z]+)\$[0-9]+"))),_xlfn.REGEXEXTRACT(CELL("address",AD102), "\$([A-Z]+)\$[0-9]+"))</f>
        <v/>
      </c>
      <c r="AE102" s="7" t="str">
        <f t="array" aca="1" ref="AE102" ca="1">IFERROR(IF(OR('Raw Data'!AE102="",LEN(TRIM('Raw Data'!AE102))=0),"",IF(AND(ISNUMBER('Raw Data'!AE102), IFERROR('Raw Data'!AE102 = ROUND('Raw Data'!AE102, 2),FALSE)),"",_xlfn.REGEXEXTRACT(CELL("address",AE102), "\$([A-Z]+)\$[0-9]+"))),_xlfn.REGEXEXTRACT(CELL("address",AE102), "\$([A-Z]+)\$[0-9]+"))</f>
        <v/>
      </c>
      <c r="AF102" s="7" t="str">
        <f t="array" aca="1" ref="AF102" ca="1">IFERROR(IF(OR('Raw Data'!AF102="",LEN(TRIM('Raw Data'!AF102))=0),"",IF(AND(ISNUMBER('Raw Data'!AF102), IFERROR('Raw Data'!AF102 = ROUND('Raw Data'!AF102, 2),FALSE)),"",_xlfn.REGEXEXTRACT(CELL("address",AF102), "\$([A-Z]+)\$[0-9]+"))),_xlfn.REGEXEXTRACT(CELL("address",AF102), "\$([A-Z]+)\$[0-9]+"))</f>
        <v/>
      </c>
      <c r="AG102" s="7" t="str">
        <f t="array" aca="1" ref="AG102" ca="1">IFERROR(IF(OR('Raw Data'!AG102="",LEN(TRIM('Raw Data'!AG102))=0),"",IF(AND(ISNUMBER('Raw Data'!AG102), IFERROR('Raw Data'!AG102 = ROUND('Raw Data'!AG102, 2),FALSE)),"",_xlfn.REGEXEXTRACT(CELL("address",AG102), "\$([A-Z]+)\$[0-9]+"))),_xlfn.REGEXEXTRACT(CELL("address",AG102), "\$([A-Z]+)\$[0-9]+"))</f>
        <v/>
      </c>
      <c r="AH102" s="7" t="str">
        <f t="array" aca="1" ref="AH102" ca="1">IFERROR(IF(OR('Raw Data'!AH102="",LEN(TRIM('Raw Data'!AH102))=0),"",IF(AND(ISNUMBER('Raw Data'!AH102), IFERROR('Raw Data'!AH102 = ROUND('Raw Data'!AH102, 2),FALSE)),"",_xlfn.REGEXEXTRACT(CELL("address",AH102), "\$([A-Z]+)\$[0-9]+"))),_xlfn.REGEXEXTRACT(CELL("address",AH102), "\$([A-Z]+)\$[0-9]+"))</f>
        <v/>
      </c>
      <c r="AI102" s="7" t="str">
        <f t="array" aca="1" ref="AI102" ca="1">IFERROR(IF(OR('Raw Data'!AI102="",LEN(TRIM('Raw Data'!AI102))=0),"",IF(AND(ISNUMBER('Raw Data'!AI102), IFERROR('Raw Data'!AI102 = ROUND('Raw Data'!AI102, 2),FALSE)),"",_xlfn.REGEXEXTRACT(CELL("address",AI102), "\$([A-Z]+)\$[0-9]+"))),_xlfn.REGEXEXTRACT(CELL("address",AI102), "\$([A-Z]+)\$[0-9]+"))</f>
        <v/>
      </c>
      <c r="AJ102" s="7" t="str">
        <f t="array" aca="1" ref="AJ102" ca="1">IFERROR(IF(OR('Raw Data'!AJ102="",LEN(TRIM('Raw Data'!AJ102))=0),"",IF(AND(ISNUMBER('Raw Data'!AJ102), IFERROR('Raw Data'!AJ102 = ROUND('Raw Data'!AJ102, 4),FALSE)),"",_xlfn.REGEXEXTRACT(CELL("address",AJ102), "\$([A-Z]+)\$[0-9]+"))),_xlfn.REGEXEXTRACT(CELL("address",AJ102), "\$([A-Z]+)\$[0-9]+"))</f>
        <v/>
      </c>
      <c r="AK102" s="7" t="str">
        <f t="array" aca="1" ref="AK102" ca="1">IFERROR(IF(OR('Raw Data'!AK102="",LEN(TRIM('Raw Data'!AK102))=0),"",IF(AND(ISNUMBER('Raw Data'!AK102), IFERROR('Raw Data'!AK102 = ROUND('Raw Data'!AK102, 2),FALSE)),"",_xlfn.REGEXEXTRACT(CELL("address",AK102), "\$([A-Z]+)\$[0-9]+"))),_xlfn.REGEXEXTRACT(CELL("address",AK102), "\$([A-Z]+)\$[0-9]+"))</f>
        <v/>
      </c>
      <c r="AL102" s="7" t="str">
        <f t="array" aca="1" ref="AL102" ca="1">IFERROR(IF(OR('Raw Data'!AL102="",LEN(TRIM('Raw Data'!AL102))=0),"",IF(AND(ISNUMBER('Raw Data'!AL102), IFERROR('Raw Data'!AL102 = ROUND('Raw Data'!AL102, 2),FALSE)),"",_xlfn.REGEXEXTRACT(CELL("address",AL102), "\$([A-Z]+)\$[0-9]+"))),_xlfn.REGEXEXTRACT(CELL("address",AL102), "\$([A-Z]+)\$[0-9]+"))</f>
        <v/>
      </c>
      <c r="AM102" s="7" t="str">
        <f t="array" aca="1" ref="AM102" ca="1">IFERROR(IF(OR('Raw Data'!AM102="",LEN(TRIM('Raw Data'!AM102))=0),"",IF(AND(ISNUMBER('Raw Data'!AM102), IFERROR('Raw Data'!AM102 = ROUND('Raw Data'!AM102, 2),FALSE)),"",_xlfn.REGEXEXTRACT(CELL("address",AM102), "\$([A-Z]+)\$[0-9]+"))),_xlfn.REGEXEXTRACT(CELL("address",AM102), "\$([A-Z]+)\$[0-9]+"))</f>
        <v/>
      </c>
      <c r="AN102" s="7" t="str">
        <f t="array" aca="1" ref="AN102" ca="1">IFERROR(IF(OR('Raw Data'!AN102="",LEN(TRIM('Raw Data'!AN102))=0),"",IF(AND(ISNUMBER('Raw Data'!AN102), IFERROR('Raw Data'!AN102 = ROUND('Raw Data'!AN102, 2),FALSE)),"",_xlfn.REGEXEXTRACT(CELL("address",AN102), "\$([A-Z]+)\$[0-9]+"))),_xlfn.REGEXEXTRACT(CELL("address",AN102), "\$([A-Z]+)\$[0-9]+"))</f>
        <v/>
      </c>
      <c r="AO102" s="7" t="str">
        <f t="array" aca="1" ref="AO102" ca="1">IFERROR(IF(OR('Raw Data'!AO102="",LEN(TRIM('Raw Data'!AO102))=0),"",IF(AND(ISNUMBER('Raw Data'!AO102), IFERROR('Raw Data'!AO102 = ROUND('Raw Data'!AO102, 2),FALSE)),"",_xlfn.REGEXEXTRACT(CELL("address",AO102), "\$([A-Z]+)\$[0-9]+"))),_xlfn.REGEXEXTRACT(CELL("address",AO102), "\$([A-Z]+)\$[0-9]+"))</f>
        <v/>
      </c>
      <c r="AP102" s="7" t="str">
        <f t="array" aca="1" ref="AP102" ca="1">IFERROR(IF(OR('Raw Data'!AP102="",LEN(TRIM('Raw Data'!AP102))=0),"",IF(AND(ISNUMBER('Raw Data'!AP102), IFERROR('Raw Data'!AP102 = ROUND('Raw Data'!AP102, 2),FALSE)),"",_xlfn.REGEXEXTRACT(CELL("address",AP102), "\$([A-Z]+)\$[0-9]+"))),_xlfn.REGEXEXTRACT(CELL("address",AP102), "\$([A-Z]+)\$[0-9]+"))</f>
        <v/>
      </c>
    </row>
    <row r="103" spans="2:42" x14ac:dyDescent="0.25">
      <c r="B103" s="7" t="str">
        <f t="array" aca="1" ref="B103" ca="1">IFERROR(IF(OR('Raw Data'!B103="",LEN(TRIM('Raw Data'!B103))=0),"",IF(AND(LEN('Raw Data'!B103) &lt;= 255,LEN('Raw Data'!B103)&gt; 0),"",_xlfn.REGEXEXTRACT(CELL("address",'Raw Data'!B103),"\$([A-Z]+)\$[0-9]+"))),_xlfn.REGEXEXTRACT(CELL("address",'Raw Data'!B103),"\$([A-Z]+)\$[0-9]+"))</f>
        <v/>
      </c>
      <c r="C103" s="7" t="str">
        <f t="array" aca="1" ref="C103" ca="1">IFERROR(IF(OR('Raw Data'!C103="",LEN(TRIM('Raw Data'!C103))=0),"",IF(AND(LEN('Raw Data'!C103) &lt;= 50,LEN('Raw Data'!C103)&gt; 0),"",_xlfn.REGEXEXTRACT(CELL("address",'Raw Data'!C103),"\$([A-Z]+)\$[0-9]+"))),_xlfn.REGEXEXTRACT(CELL("address",'Raw Data'!C103),"\$([A-Z]+)\$[0-9]+"))</f>
        <v/>
      </c>
      <c r="D103" s="7" t="str">
        <f t="array" aca="1" ref="D103" ca="1">IFERROR(IF(OR('Raw Data'!D103="",LEN(TRIM('Raw Data'!D103))=0),"",IF(AND(LEN('Raw Data'!D103) &lt;= 500,LEN('Raw Data'!D103)&gt; 0),"",_xlfn.REGEXEXTRACT(CELL("address",'Raw Data'!D103),"\$([A-Z]+)\$[0-9]+"))),_xlfn.REGEXEXTRACT(CELL("address",'Raw Data'!D103),"\$([A-Z]+)\$[0-9]+"))</f>
        <v/>
      </c>
      <c r="E103" s="7" t="str">
        <f t="array" aca="1" ref="E103" ca="1">IFERROR(IF(OR('Raw Data'!E103="",LEN(TRIM('Raw Data'!E103))=0),"",IF(AND(LEN('Raw Data'!E103) &lt;= 50,LEN('Raw Data'!E103)&gt; 0),"",_xlfn.REGEXEXTRACT(CELL("address",'Raw Data'!E103),"\$([A-Z]+)\$[0-9]+"))),_xlfn.REGEXEXTRACT(CELL("address",'Raw Data'!E103),"\$([A-Z]+)\$[0-9]+"))</f>
        <v/>
      </c>
      <c r="F103" s="7" t="str">
        <f t="array" aca="1" ref="F103" ca="1">IFERROR(IF(OR('Raw Data'!F103="",LEN(TRIM('Raw Data'!F103))=0),"",IF(AND(LEN('Raw Data'!F103) &lt;= 50,LEN('Raw Data'!F103)&gt; 0),"",_xlfn.REGEXEXTRACT(CELL("address",'Raw Data'!F103),"\$([A-Z]+)\$[0-9]+"))),_xlfn.REGEXEXTRACT(CELL("address",'Raw Data'!F103),"\$([A-Z]+)\$[0-9]+"))</f>
        <v/>
      </c>
      <c r="G103" s="7" t="str">
        <f t="array" aca="1" ref="G103" ca="1">IFERROR(IF(OR('Raw Data'!G103="",LEN(TRIM('Raw Data'!G103))=0),"",IF(AND(LEN('Raw Data'!G103) &lt;= 50,LEN('Raw Data'!G103)&gt; 0),"",_xlfn.REGEXEXTRACT(CELL("address",'Raw Data'!G103),"\$([A-Z]+)\$[0-9]+"))),_xlfn.REGEXEXTRACT(CELL("address",'Raw Data'!G103),"\$([A-Z]+)\$[0-9]+"))</f>
        <v/>
      </c>
      <c r="H103" s="7" t="str">
        <f t="array" aca="1" ref="H103" ca="1">IFERROR(IF(OR('Raw Data'!H103="",LEN(TRIM('Raw Data'!H103))=0),"",IF(AND(LEN('Raw Data'!H103) &lt;= 50,LEN('Raw Data'!H103)&gt; 0),"",_xlfn.REGEXEXTRACT(CELL("address",'Raw Data'!H103),"\$([A-Z]+)\$[0-9]+"))),_xlfn.REGEXEXTRACT(CELL("address",'Raw Data'!H103),"\$([A-Z]+)\$[0-9]+"))</f>
        <v/>
      </c>
      <c r="I103" s="7" t="str">
        <f t="array" aca="1" ref="I103" ca="1">IFERROR(IF(OR('Raw Data'!I103="",LEN(TRIM('Raw Data'!I103))=0),"",IF(AND(LEN('Raw Data'!I103) &lt;= 50,LEN('Raw Data'!I103)&gt; 0),"",_xlfn.REGEXEXTRACT(CELL("address",'Raw Data'!I103),"\$([A-Z]+)\$[0-9]+"))),_xlfn.REGEXEXTRACT(CELL("address",'Raw Data'!I103),"\$([A-Z]+)\$[0-9]+"))</f>
        <v/>
      </c>
      <c r="J103" s="7" t="str">
        <f t="array" aca="1" ref="J103" ca="1">IFERROR(IF(OR('Raw Data'!J103="",LEN(TRIM('Raw Data'!J103))=0),"",IF(AND(ISNUMBER('Raw Data'!J103), IFERROR('Raw Data'!J103 = ROUND('Raw Data'!J103, 2),FALSE)),"",_xlfn.REGEXEXTRACT(CELL("address",J103), "\$([A-Z]+)\$[0-9]+"))),_xlfn.REGEXEXTRACT(CELL("address",J103), "\$([A-Z]+)\$[0-9]+"))</f>
        <v/>
      </c>
      <c r="K103" s="7" t="str">
        <f t="array" aca="1" ref="K103" ca="1">IFERROR(IF(OR('Raw Data'!K103="",LEN(TRIM('Raw Data'!K103))=0),"",IF(AND(ISNUMBER('Raw Data'!K103), IFERROR('Raw Data'!K103 = ROUND('Raw Data'!K103, 2),FALSE)),"",_xlfn.REGEXEXTRACT(CELL("address",K103), "\$([A-Z]+)\$[0-9]+"))),_xlfn.REGEXEXTRACT(CELL("address",K103), "\$([A-Z]+)\$[0-9]+"))</f>
        <v/>
      </c>
      <c r="L103" s="7" t="str">
        <f t="array" aca="1" ref="L103" ca="1">IFERROR(IF(OR('Raw Data'!L103="",LEN(TRIM('Raw Data'!L103))=0),"",IF(AND(ISNUMBER('Raw Data'!L103), IFERROR('Raw Data'!L103 = ROUND('Raw Data'!L103, 2),FALSE)),"",_xlfn.REGEXEXTRACT(CELL("address",L103), "\$([A-Z]+)\$[0-9]+"))),_xlfn.REGEXEXTRACT(CELL("address",L103), "\$([A-Z]+)\$[0-9]+"))</f>
        <v/>
      </c>
      <c r="M103" s="7" t="str">
        <f t="array" aca="1" ref="M103" ca="1">IFERROR(IF(OR('Raw Data'!M103="",LEN(TRIM('Raw Data'!M103))=0),"",IF(AND(ISNUMBER('Raw Data'!M103), IFERROR('Raw Data'!M103 = ROUND('Raw Data'!M103, 2),FALSE)),"",_xlfn.REGEXEXTRACT(CELL("address",M103), "\$([A-Z]+)\$[0-9]+"))),_xlfn.REGEXEXTRACT(CELL("address",M103), "\$([A-Z]+)\$[0-9]+"))</f>
        <v/>
      </c>
      <c r="N103" s="7" t="str">
        <f t="array" aca="1" ref="N103" ca="1">IFERROR(IF(OR('Raw Data'!N103="",LEN(TRIM('Raw Data'!N103))=0),"",IF(AND(ISNUMBER('Raw Data'!N103), IFERROR('Raw Data'!N103 = ROUND('Raw Data'!N103, 2),FALSE)),"",_xlfn.REGEXEXTRACT(CELL("address",N103), "\$([A-Z]+)\$[0-9]+"))),_xlfn.REGEXEXTRACT(CELL("address",N103), "\$([A-Z]+)\$[0-9]+"))</f>
        <v/>
      </c>
      <c r="O103" s="7" t="str">
        <f t="array" aca="1" ref="O103" ca="1">IFERROR(IF(OR('Raw Data'!O103="",LEN(TRIM('Raw Data'!O103))=0),"",IF(AND(ISNUMBER('Raw Data'!O103),'Raw Data'!O103&gt;=Configuration!$D$2),"",_xlfn.REGEXEXTRACT(CELL("address",'Raw Data'!O103),"\$([A-Z]+)\$[0-9]+"))),_xlfn.REGEXEXTRACT(CELL("address",O103), "\$([A-Z]+)\$[0-9]+"))</f>
        <v/>
      </c>
      <c r="P103" s="7" t="str">
        <f t="array" aca="1" ref="P103" ca="1">IFERROR(IF(OR('Raw Data'!P103="",LEN(TRIM('Raw Data'!P103))=0),"",IF(AND(ISNUMBER('Raw Data'!P103), IFERROR('Raw Data'!P103 = ROUND('Raw Data'!P103, 2),FALSE)),"",_xlfn.REGEXEXTRACT(CELL("address",P103), "\$([A-Z]+)\$[0-9]+"))),_xlfn.REGEXEXTRACT(CELL("address",P103), "\$([A-Z]+)\$[0-9]+"))</f>
        <v/>
      </c>
      <c r="Q103" s="7" t="str">
        <f t="array" aca="1" ref="Q103" ca="1">IFERROR(IF(OR('Raw Data'!Q103="",LEN(TRIM('Raw Data'!Q103))=0),"",IF(AND(ISNUMBER('Raw Data'!Q103), IFERROR('Raw Data'!Q103 = ROUND('Raw Data'!Q103, 2),FALSE)),"",_xlfn.REGEXEXTRACT(CELL("address",Q103), "\$([A-Z]+)\$[0-9]+"))),_xlfn.REGEXEXTRACT(CELL("address",Q103), "\$([A-Z]+)\$[0-9]+"))</f>
        <v/>
      </c>
      <c r="R103" s="7" t="str">
        <f t="array" aca="1" ref="R103" ca="1">IFERROR(IF(OR('Raw Data'!R103="",LEN(TRIM('Raw Data'!R103))=0),"",IF(AND(LEN('Raw Data'!R103) &lt;= 50,LEN('Raw Data'!R103)&gt; 0),"",_xlfn.REGEXEXTRACT(CELL("address",'Raw Data'!R103),"\$([A-Z]+)\$[0-9]+"))),_xlfn.REGEXEXTRACT(CELL("address",'Raw Data'!R103),"\$([A-Z]+)\$[0-9]+"))</f>
        <v/>
      </c>
      <c r="S103" s="7" t="str">
        <f t="array" aca="1" ref="S103" ca="1">IFERROR(IF(OR('Raw Data'!S103="",LEN(TRIM('Raw Data'!S103))=0),"",IF(AND(LEN('Raw Data'!S103) &lt;= 50,LEN('Raw Data'!S103)&gt; 0),"",_xlfn.REGEXEXTRACT(CELL("address",'Raw Data'!S103),"\$([A-Z]+)\$[0-9]+"))),_xlfn.REGEXEXTRACT(CELL("address",'Raw Data'!S103),"\$([A-Z]+)\$[0-9]+"))</f>
        <v/>
      </c>
      <c r="T103" s="7" t="str">
        <f t="array" aca="1" ref="T103" ca="1">IFERROR(IF(OR('Raw Data'!T103="",LEN(TRIM('Raw Data'!T103))=0),"",IF(AND(ISNUMBER('Raw Data'!T103), IFERROR('Raw Data'!T103 = ROUND('Raw Data'!T103, 2),FALSE)),"",_xlfn.REGEXEXTRACT(CELL("address",T103), "\$([A-Z]+)\$[0-9]+"))),_xlfn.REGEXEXTRACT(CELL("address",T103), "\$([A-Z]+)\$[0-9]+"))</f>
        <v/>
      </c>
      <c r="U103" s="7" t="str">
        <f t="array" aca="1" ref="U103" ca="1">IFERROR(IF(OR('Raw Data'!U103="",LEN(TRIM('Raw Data'!U103))=0),"",IF(AND(ISNUMBER('Raw Data'!U103), IFERROR('Raw Data'!U103 = ROUND('Raw Data'!U103, 2),FALSE)),"",_xlfn.REGEXEXTRACT(CELL("address",U103), "\$([A-Z]+)\$[0-9]+"))),_xlfn.REGEXEXTRACT(CELL("address",U103), "\$([A-Z]+)\$[0-9]+"))</f>
        <v/>
      </c>
      <c r="V103" s="7" t="str">
        <f t="array" aca="1" ref="V103" ca="1">IFERROR(IF(OR('Raw Data'!V103="",LEN(TRIM('Raw Data'!V103))=0),"",IF(AND(ISNUMBER('Raw Data'!V103), IFERROR('Raw Data'!V103 = ROUND('Raw Data'!V103, 2),FALSE)),"",_xlfn.REGEXEXTRACT(CELL("address",V103), "\$([A-Z]+)\$[0-9]+"))),_xlfn.REGEXEXTRACT(CELL("address",V103), "\$([A-Z]+)\$[0-9]+"))</f>
        <v/>
      </c>
      <c r="W103" s="7" t="str">
        <f t="array" aca="1" ref="W103" ca="1">IFERROR(IF(OR('Raw Data'!W103="",LEN(TRIM('Raw Data'!W103))=0),"",IF(AND(ISNUMBER('Raw Data'!W103), IFERROR('Raw Data'!W103 = ROUND('Raw Data'!W103, 2),FALSE)),"",_xlfn.REGEXEXTRACT(CELL("address",W103), "\$([A-Z]+)\$[0-9]+"))),_xlfn.REGEXEXTRACT(CELL("address",W103), "\$([A-Z]+)\$[0-9]+"))</f>
        <v/>
      </c>
      <c r="X103" s="7" t="str">
        <f t="array" aca="1" ref="X103" ca="1">IFERROR(IF(OR('Raw Data'!X103="",LEN(TRIM('Raw Data'!X103))=0),"",IF(AND(ISNUMBER('Raw Data'!X103), IFERROR('Raw Data'!X103 = ROUND('Raw Data'!X103, 2),FALSE)),"",_xlfn.REGEXEXTRACT(CELL("address",X103), "\$([A-Z]+)\$[0-9]+"))),_xlfn.REGEXEXTRACT(CELL("address",X103), "\$([A-Z]+)\$[0-9]+"))</f>
        <v/>
      </c>
      <c r="Y103" s="7" t="str">
        <f t="array" aca="1" ref="Y103" ca="1">IFERROR(IF(OR('Raw Data'!Y103="",LEN(TRIM('Raw Data'!Y103))=0),"",IF(AND(ISNUMBER('Raw Data'!Y103), IFERROR('Raw Data'!Y103 = ROUND('Raw Data'!Y103, 2),FALSE)),"",_xlfn.REGEXEXTRACT(CELL("address",Y103), "\$([A-Z]+)\$[0-9]+"))),_xlfn.REGEXEXTRACT(CELL("address",Y103), "\$([A-Z]+)\$[0-9]+"))</f>
        <v/>
      </c>
      <c r="Z103" s="7" t="str">
        <f t="array" aca="1" ref="Z103" ca="1">IFERROR(IF(OR('Raw Data'!Z103="",LEN(TRIM('Raw Data'!Z103))=0),"",IF(AND(ISNUMBER('Raw Data'!Z103), IFERROR('Raw Data'!Z103 = ROUND('Raw Data'!Z103, 2),FALSE)),"",_xlfn.REGEXEXTRACT(CELL("address",Z103), "\$([A-Z]+)\$[0-9]+"))),_xlfn.REGEXEXTRACT(CELL("address",Z103), "\$([A-Z]+)\$[0-9]+"))</f>
        <v/>
      </c>
      <c r="AA103" s="7" t="str">
        <f t="array" aca="1" ref="AA103" ca="1">IFERROR(IF(OR('Raw Data'!AA103="",LEN(TRIM('Raw Data'!AA103))=0),"",IF(AND(ISNUMBER('Raw Data'!AA103), IFERROR('Raw Data'!AA103 = ROUND('Raw Data'!AA103, 2),FALSE)),"",_xlfn.REGEXEXTRACT(CELL("address",AA103), "\$([A-Z]+)\$[0-9]+"))),_xlfn.REGEXEXTRACT(CELL("address",AA103), "\$([A-Z]+)\$[0-9]+"))</f>
        <v/>
      </c>
      <c r="AB103" s="7" t="str">
        <f t="array" aca="1" ref="AB103" ca="1">IFERROR(IF(OR('Raw Data'!AB103="",LEN(TRIM('Raw Data'!AB103))=0),"",IF(AND(ISNUMBER('Raw Data'!AB103), IFERROR('Raw Data'!AB103 = ROUND('Raw Data'!AB103, 2),FALSE)),"",_xlfn.REGEXEXTRACT(CELL("address",AB103), "\$([A-Z]+)\$[0-9]+"))),_xlfn.REGEXEXTRACT(CELL("address",AB103), "\$([A-Z]+)\$[0-9]+"))</f>
        <v/>
      </c>
      <c r="AC103" s="7" t="str">
        <f t="array" aca="1" ref="AC103" ca="1">IFERROR(IF(OR('Raw Data'!AC103="",LEN(TRIM('Raw Data'!AC103))=0),"",IF(AND(ISNUMBER('Raw Data'!AC103), IFERROR('Raw Data'!AC103 = ROUND('Raw Data'!AC103, 2),FALSE)),"",_xlfn.REGEXEXTRACT(CELL("address",AC103), "\$([A-Z]+)\$[0-9]+"))),_xlfn.REGEXEXTRACT(CELL("address",AC103), "\$([A-Z]+)\$[0-9]+"))</f>
        <v/>
      </c>
      <c r="AD103" s="7" t="str">
        <f t="array" aca="1" ref="AD103" ca="1">IFERROR(IF(OR('Raw Data'!AD103="",LEN(TRIM('Raw Data'!AD103))=0),"",IF(AND(ISNUMBER('Raw Data'!AD103), IFERROR('Raw Data'!AD103 = ROUND('Raw Data'!AD103, 2),FALSE)),"",_xlfn.REGEXEXTRACT(CELL("address",AD103), "\$([A-Z]+)\$[0-9]+"))),_xlfn.REGEXEXTRACT(CELL("address",AD103), "\$([A-Z]+)\$[0-9]+"))</f>
        <v/>
      </c>
      <c r="AE103" s="7" t="str">
        <f t="array" aca="1" ref="AE103" ca="1">IFERROR(IF(OR('Raw Data'!AE103="",LEN(TRIM('Raw Data'!AE103))=0),"",IF(AND(ISNUMBER('Raw Data'!AE103), IFERROR('Raw Data'!AE103 = ROUND('Raw Data'!AE103, 2),FALSE)),"",_xlfn.REGEXEXTRACT(CELL("address",AE103), "\$([A-Z]+)\$[0-9]+"))),_xlfn.REGEXEXTRACT(CELL("address",AE103), "\$([A-Z]+)\$[0-9]+"))</f>
        <v/>
      </c>
      <c r="AF103" s="7" t="str">
        <f t="array" aca="1" ref="AF103" ca="1">IFERROR(IF(OR('Raw Data'!AF103="",LEN(TRIM('Raw Data'!AF103))=0),"",IF(AND(ISNUMBER('Raw Data'!AF103), IFERROR('Raw Data'!AF103 = ROUND('Raw Data'!AF103, 2),FALSE)),"",_xlfn.REGEXEXTRACT(CELL("address",AF103), "\$([A-Z]+)\$[0-9]+"))),_xlfn.REGEXEXTRACT(CELL("address",AF103), "\$([A-Z]+)\$[0-9]+"))</f>
        <v/>
      </c>
      <c r="AG103" s="7" t="str">
        <f t="array" aca="1" ref="AG103" ca="1">IFERROR(IF(OR('Raw Data'!AG103="",LEN(TRIM('Raw Data'!AG103))=0),"",IF(AND(ISNUMBER('Raw Data'!AG103), IFERROR('Raw Data'!AG103 = ROUND('Raw Data'!AG103, 2),FALSE)),"",_xlfn.REGEXEXTRACT(CELL("address",AG103), "\$([A-Z]+)\$[0-9]+"))),_xlfn.REGEXEXTRACT(CELL("address",AG103), "\$([A-Z]+)\$[0-9]+"))</f>
        <v/>
      </c>
      <c r="AH103" s="7" t="str">
        <f t="array" aca="1" ref="AH103" ca="1">IFERROR(IF(OR('Raw Data'!AH103="",LEN(TRIM('Raw Data'!AH103))=0),"",IF(AND(ISNUMBER('Raw Data'!AH103), IFERROR('Raw Data'!AH103 = ROUND('Raw Data'!AH103, 2),FALSE)),"",_xlfn.REGEXEXTRACT(CELL("address",AH103), "\$([A-Z]+)\$[0-9]+"))),_xlfn.REGEXEXTRACT(CELL("address",AH103), "\$([A-Z]+)\$[0-9]+"))</f>
        <v/>
      </c>
      <c r="AI103" s="7" t="str">
        <f t="array" aca="1" ref="AI103" ca="1">IFERROR(IF(OR('Raw Data'!AI103="",LEN(TRIM('Raw Data'!AI103))=0),"",IF(AND(ISNUMBER('Raw Data'!AI103), IFERROR('Raw Data'!AI103 = ROUND('Raw Data'!AI103, 2),FALSE)),"",_xlfn.REGEXEXTRACT(CELL("address",AI103), "\$([A-Z]+)\$[0-9]+"))),_xlfn.REGEXEXTRACT(CELL("address",AI103), "\$([A-Z]+)\$[0-9]+"))</f>
        <v/>
      </c>
      <c r="AJ103" s="7" t="str">
        <f t="array" aca="1" ref="AJ103" ca="1">IFERROR(IF(OR('Raw Data'!AJ103="",LEN(TRIM('Raw Data'!AJ103))=0),"",IF(AND(ISNUMBER('Raw Data'!AJ103), IFERROR('Raw Data'!AJ103 = ROUND('Raw Data'!AJ103, 4),FALSE)),"",_xlfn.REGEXEXTRACT(CELL("address",AJ103), "\$([A-Z]+)\$[0-9]+"))),_xlfn.REGEXEXTRACT(CELL("address",AJ103), "\$([A-Z]+)\$[0-9]+"))</f>
        <v/>
      </c>
      <c r="AK103" s="7" t="str">
        <f t="array" aca="1" ref="AK103" ca="1">IFERROR(IF(OR('Raw Data'!AK103="",LEN(TRIM('Raw Data'!AK103))=0),"",IF(AND(ISNUMBER('Raw Data'!AK103), IFERROR('Raw Data'!AK103 = ROUND('Raw Data'!AK103, 2),FALSE)),"",_xlfn.REGEXEXTRACT(CELL("address",AK103), "\$([A-Z]+)\$[0-9]+"))),_xlfn.REGEXEXTRACT(CELL("address",AK103), "\$([A-Z]+)\$[0-9]+"))</f>
        <v/>
      </c>
      <c r="AL103" s="7" t="str">
        <f t="array" aca="1" ref="AL103" ca="1">IFERROR(IF(OR('Raw Data'!AL103="",LEN(TRIM('Raw Data'!AL103))=0),"",IF(AND(ISNUMBER('Raw Data'!AL103), IFERROR('Raw Data'!AL103 = ROUND('Raw Data'!AL103, 2),FALSE)),"",_xlfn.REGEXEXTRACT(CELL("address",AL103), "\$([A-Z]+)\$[0-9]+"))),_xlfn.REGEXEXTRACT(CELL("address",AL103), "\$([A-Z]+)\$[0-9]+"))</f>
        <v/>
      </c>
      <c r="AM103" s="7" t="str">
        <f t="array" aca="1" ref="AM103" ca="1">IFERROR(IF(OR('Raw Data'!AM103="",LEN(TRIM('Raw Data'!AM103))=0),"",IF(AND(ISNUMBER('Raw Data'!AM103), IFERROR('Raw Data'!AM103 = ROUND('Raw Data'!AM103, 2),FALSE)),"",_xlfn.REGEXEXTRACT(CELL("address",AM103), "\$([A-Z]+)\$[0-9]+"))),_xlfn.REGEXEXTRACT(CELL("address",AM103), "\$([A-Z]+)\$[0-9]+"))</f>
        <v/>
      </c>
      <c r="AN103" s="7" t="str">
        <f t="array" aca="1" ref="AN103" ca="1">IFERROR(IF(OR('Raw Data'!AN103="",LEN(TRIM('Raw Data'!AN103))=0),"",IF(AND(ISNUMBER('Raw Data'!AN103), IFERROR('Raw Data'!AN103 = ROUND('Raw Data'!AN103, 2),FALSE)),"",_xlfn.REGEXEXTRACT(CELL("address",AN103), "\$([A-Z]+)\$[0-9]+"))),_xlfn.REGEXEXTRACT(CELL("address",AN103), "\$([A-Z]+)\$[0-9]+"))</f>
        <v/>
      </c>
      <c r="AO103" s="7" t="str">
        <f t="array" aca="1" ref="AO103" ca="1">IFERROR(IF(OR('Raw Data'!AO103="",LEN(TRIM('Raw Data'!AO103))=0),"",IF(AND(ISNUMBER('Raw Data'!AO103), IFERROR('Raw Data'!AO103 = ROUND('Raw Data'!AO103, 2),FALSE)),"",_xlfn.REGEXEXTRACT(CELL("address",AO103), "\$([A-Z]+)\$[0-9]+"))),_xlfn.REGEXEXTRACT(CELL("address",AO103), "\$([A-Z]+)\$[0-9]+"))</f>
        <v/>
      </c>
      <c r="AP103" s="7" t="str">
        <f t="array" aca="1" ref="AP103" ca="1">IFERROR(IF(OR('Raw Data'!AP103="",LEN(TRIM('Raw Data'!AP103))=0),"",IF(AND(ISNUMBER('Raw Data'!AP103), IFERROR('Raw Data'!AP103 = ROUND('Raw Data'!AP103, 2),FALSE)),"",_xlfn.REGEXEXTRACT(CELL("address",AP103), "\$([A-Z]+)\$[0-9]+"))),_xlfn.REGEXEXTRACT(CELL("address",AP103), "\$([A-Z]+)\$[0-9]+"))</f>
        <v/>
      </c>
    </row>
    <row r="104" spans="2:42" x14ac:dyDescent="0.25">
      <c r="B104" s="7" t="str">
        <f t="array" aca="1" ref="B104" ca="1">IFERROR(IF(OR('Raw Data'!B104="",LEN(TRIM('Raw Data'!B104))=0),"",IF(AND(LEN('Raw Data'!B104) &lt;= 255,LEN('Raw Data'!B104)&gt; 0),"",_xlfn.REGEXEXTRACT(CELL("address",'Raw Data'!B104),"\$([A-Z]+)\$[0-9]+"))),_xlfn.REGEXEXTRACT(CELL("address",'Raw Data'!B104),"\$([A-Z]+)\$[0-9]+"))</f>
        <v/>
      </c>
      <c r="C104" s="7" t="str">
        <f t="array" aca="1" ref="C104" ca="1">IFERROR(IF(OR('Raw Data'!C104="",LEN(TRIM('Raw Data'!C104))=0),"",IF(AND(LEN('Raw Data'!C104) &lt;= 50,LEN('Raw Data'!C104)&gt; 0),"",_xlfn.REGEXEXTRACT(CELL("address",'Raw Data'!C104),"\$([A-Z]+)\$[0-9]+"))),_xlfn.REGEXEXTRACT(CELL("address",'Raw Data'!C104),"\$([A-Z]+)\$[0-9]+"))</f>
        <v/>
      </c>
      <c r="D104" s="7" t="str">
        <f t="array" aca="1" ref="D104" ca="1">IFERROR(IF(OR('Raw Data'!D104="",LEN(TRIM('Raw Data'!D104))=0),"",IF(AND(LEN('Raw Data'!D104) &lt;= 500,LEN('Raw Data'!D104)&gt; 0),"",_xlfn.REGEXEXTRACT(CELL("address",'Raw Data'!D104),"\$([A-Z]+)\$[0-9]+"))),_xlfn.REGEXEXTRACT(CELL("address",'Raw Data'!D104),"\$([A-Z]+)\$[0-9]+"))</f>
        <v/>
      </c>
      <c r="E104" s="7" t="str">
        <f t="array" aca="1" ref="E104" ca="1">IFERROR(IF(OR('Raw Data'!E104="",LEN(TRIM('Raw Data'!E104))=0),"",IF(AND(LEN('Raw Data'!E104) &lt;= 50,LEN('Raw Data'!E104)&gt; 0),"",_xlfn.REGEXEXTRACT(CELL("address",'Raw Data'!E104),"\$([A-Z]+)\$[0-9]+"))),_xlfn.REGEXEXTRACT(CELL("address",'Raw Data'!E104),"\$([A-Z]+)\$[0-9]+"))</f>
        <v/>
      </c>
      <c r="F104" s="7" t="str">
        <f t="array" aca="1" ref="F104" ca="1">IFERROR(IF(OR('Raw Data'!F104="",LEN(TRIM('Raw Data'!F104))=0),"",IF(AND(LEN('Raw Data'!F104) &lt;= 50,LEN('Raw Data'!F104)&gt; 0),"",_xlfn.REGEXEXTRACT(CELL("address",'Raw Data'!F104),"\$([A-Z]+)\$[0-9]+"))),_xlfn.REGEXEXTRACT(CELL("address",'Raw Data'!F104),"\$([A-Z]+)\$[0-9]+"))</f>
        <v/>
      </c>
      <c r="G104" s="7" t="str">
        <f t="array" aca="1" ref="G104" ca="1">IFERROR(IF(OR('Raw Data'!G104="",LEN(TRIM('Raw Data'!G104))=0),"",IF(AND(LEN('Raw Data'!G104) &lt;= 50,LEN('Raw Data'!G104)&gt; 0),"",_xlfn.REGEXEXTRACT(CELL("address",'Raw Data'!G104),"\$([A-Z]+)\$[0-9]+"))),_xlfn.REGEXEXTRACT(CELL("address",'Raw Data'!G104),"\$([A-Z]+)\$[0-9]+"))</f>
        <v/>
      </c>
      <c r="H104" s="7" t="str">
        <f t="array" aca="1" ref="H104" ca="1">IFERROR(IF(OR('Raw Data'!H104="",LEN(TRIM('Raw Data'!H104))=0),"",IF(AND(LEN('Raw Data'!H104) &lt;= 50,LEN('Raw Data'!H104)&gt; 0),"",_xlfn.REGEXEXTRACT(CELL("address",'Raw Data'!H104),"\$([A-Z]+)\$[0-9]+"))),_xlfn.REGEXEXTRACT(CELL("address",'Raw Data'!H104),"\$([A-Z]+)\$[0-9]+"))</f>
        <v/>
      </c>
      <c r="I104" s="7" t="str">
        <f t="array" aca="1" ref="I104" ca="1">IFERROR(IF(OR('Raw Data'!I104="",LEN(TRIM('Raw Data'!I104))=0),"",IF(AND(LEN('Raw Data'!I104) &lt;= 50,LEN('Raw Data'!I104)&gt; 0),"",_xlfn.REGEXEXTRACT(CELL("address",'Raw Data'!I104),"\$([A-Z]+)\$[0-9]+"))),_xlfn.REGEXEXTRACT(CELL("address",'Raw Data'!I104),"\$([A-Z]+)\$[0-9]+"))</f>
        <v/>
      </c>
      <c r="J104" s="7" t="str">
        <f t="array" aca="1" ref="J104" ca="1">IFERROR(IF(OR('Raw Data'!J104="",LEN(TRIM('Raw Data'!J104))=0),"",IF(AND(ISNUMBER('Raw Data'!J104), IFERROR('Raw Data'!J104 = ROUND('Raw Data'!J104, 2),FALSE)),"",_xlfn.REGEXEXTRACT(CELL("address",J104), "\$([A-Z]+)\$[0-9]+"))),_xlfn.REGEXEXTRACT(CELL("address",J104), "\$([A-Z]+)\$[0-9]+"))</f>
        <v/>
      </c>
      <c r="K104" s="7" t="str">
        <f t="array" aca="1" ref="K104" ca="1">IFERROR(IF(OR('Raw Data'!K104="",LEN(TRIM('Raw Data'!K104))=0),"",IF(AND(ISNUMBER('Raw Data'!K104), IFERROR('Raw Data'!K104 = ROUND('Raw Data'!K104, 2),FALSE)),"",_xlfn.REGEXEXTRACT(CELL("address",K104), "\$([A-Z]+)\$[0-9]+"))),_xlfn.REGEXEXTRACT(CELL("address",K104), "\$([A-Z]+)\$[0-9]+"))</f>
        <v/>
      </c>
      <c r="L104" s="7" t="str">
        <f t="array" aca="1" ref="L104" ca="1">IFERROR(IF(OR('Raw Data'!L104="",LEN(TRIM('Raw Data'!L104))=0),"",IF(AND(ISNUMBER('Raw Data'!L104), IFERROR('Raw Data'!L104 = ROUND('Raw Data'!L104, 2),FALSE)),"",_xlfn.REGEXEXTRACT(CELL("address",L104), "\$([A-Z]+)\$[0-9]+"))),_xlfn.REGEXEXTRACT(CELL("address",L104), "\$([A-Z]+)\$[0-9]+"))</f>
        <v/>
      </c>
      <c r="M104" s="7" t="str">
        <f t="array" aca="1" ref="M104" ca="1">IFERROR(IF(OR('Raw Data'!M104="",LEN(TRIM('Raw Data'!M104))=0),"",IF(AND(ISNUMBER('Raw Data'!M104), IFERROR('Raw Data'!M104 = ROUND('Raw Data'!M104, 2),FALSE)),"",_xlfn.REGEXEXTRACT(CELL("address",M104), "\$([A-Z]+)\$[0-9]+"))),_xlfn.REGEXEXTRACT(CELL("address",M104), "\$([A-Z]+)\$[0-9]+"))</f>
        <v/>
      </c>
      <c r="N104" s="7" t="str">
        <f t="array" aca="1" ref="N104" ca="1">IFERROR(IF(OR('Raw Data'!N104="",LEN(TRIM('Raw Data'!N104))=0),"",IF(AND(ISNUMBER('Raw Data'!N104), IFERROR('Raw Data'!N104 = ROUND('Raw Data'!N104, 2),FALSE)),"",_xlfn.REGEXEXTRACT(CELL("address",N104), "\$([A-Z]+)\$[0-9]+"))),_xlfn.REGEXEXTRACT(CELL("address",N104), "\$([A-Z]+)\$[0-9]+"))</f>
        <v/>
      </c>
      <c r="O104" s="7" t="str">
        <f t="array" aca="1" ref="O104" ca="1">IFERROR(IF(OR('Raw Data'!O104="",LEN(TRIM('Raw Data'!O104))=0),"",IF(AND(ISNUMBER('Raw Data'!O104),'Raw Data'!O104&gt;=Configuration!$D$2),"",_xlfn.REGEXEXTRACT(CELL("address",'Raw Data'!O104),"\$([A-Z]+)\$[0-9]+"))),_xlfn.REGEXEXTRACT(CELL("address",O104), "\$([A-Z]+)\$[0-9]+"))</f>
        <v/>
      </c>
      <c r="P104" s="7" t="str">
        <f t="array" aca="1" ref="P104" ca="1">IFERROR(IF(OR('Raw Data'!P104="",LEN(TRIM('Raw Data'!P104))=0),"",IF(AND(ISNUMBER('Raw Data'!P104), IFERROR('Raw Data'!P104 = ROUND('Raw Data'!P104, 2),FALSE)),"",_xlfn.REGEXEXTRACT(CELL("address",P104), "\$([A-Z]+)\$[0-9]+"))),_xlfn.REGEXEXTRACT(CELL("address",P104), "\$([A-Z]+)\$[0-9]+"))</f>
        <v/>
      </c>
      <c r="Q104" s="7" t="str">
        <f t="array" aca="1" ref="Q104" ca="1">IFERROR(IF(OR('Raw Data'!Q104="",LEN(TRIM('Raw Data'!Q104))=0),"",IF(AND(ISNUMBER('Raw Data'!Q104), IFERROR('Raw Data'!Q104 = ROUND('Raw Data'!Q104, 2),FALSE)),"",_xlfn.REGEXEXTRACT(CELL("address",Q104), "\$([A-Z]+)\$[0-9]+"))),_xlfn.REGEXEXTRACT(CELL("address",Q104), "\$([A-Z]+)\$[0-9]+"))</f>
        <v/>
      </c>
      <c r="R104" s="7" t="str">
        <f t="array" aca="1" ref="R104" ca="1">IFERROR(IF(OR('Raw Data'!R104="",LEN(TRIM('Raw Data'!R104))=0),"",IF(AND(LEN('Raw Data'!R104) &lt;= 50,LEN('Raw Data'!R104)&gt; 0),"",_xlfn.REGEXEXTRACT(CELL("address",'Raw Data'!R104),"\$([A-Z]+)\$[0-9]+"))),_xlfn.REGEXEXTRACT(CELL("address",'Raw Data'!R104),"\$([A-Z]+)\$[0-9]+"))</f>
        <v/>
      </c>
      <c r="S104" s="7" t="str">
        <f t="array" aca="1" ref="S104" ca="1">IFERROR(IF(OR('Raw Data'!S104="",LEN(TRIM('Raw Data'!S104))=0),"",IF(AND(LEN('Raw Data'!S104) &lt;= 50,LEN('Raw Data'!S104)&gt; 0),"",_xlfn.REGEXEXTRACT(CELL("address",'Raw Data'!S104),"\$([A-Z]+)\$[0-9]+"))),_xlfn.REGEXEXTRACT(CELL("address",'Raw Data'!S104),"\$([A-Z]+)\$[0-9]+"))</f>
        <v/>
      </c>
      <c r="T104" s="7" t="str">
        <f t="array" aca="1" ref="T104" ca="1">IFERROR(IF(OR('Raw Data'!T104="",LEN(TRIM('Raw Data'!T104))=0),"",IF(AND(ISNUMBER('Raw Data'!T104), IFERROR('Raw Data'!T104 = ROUND('Raw Data'!T104, 2),FALSE)),"",_xlfn.REGEXEXTRACT(CELL("address",T104), "\$([A-Z]+)\$[0-9]+"))),_xlfn.REGEXEXTRACT(CELL("address",T104), "\$([A-Z]+)\$[0-9]+"))</f>
        <v/>
      </c>
      <c r="U104" s="7" t="str">
        <f t="array" aca="1" ref="U104" ca="1">IFERROR(IF(OR('Raw Data'!U104="",LEN(TRIM('Raw Data'!U104))=0),"",IF(AND(ISNUMBER('Raw Data'!U104), IFERROR('Raw Data'!U104 = ROUND('Raw Data'!U104, 2),FALSE)),"",_xlfn.REGEXEXTRACT(CELL("address",U104), "\$([A-Z]+)\$[0-9]+"))),_xlfn.REGEXEXTRACT(CELL("address",U104), "\$([A-Z]+)\$[0-9]+"))</f>
        <v/>
      </c>
      <c r="V104" s="7" t="str">
        <f t="array" aca="1" ref="V104" ca="1">IFERROR(IF(OR('Raw Data'!V104="",LEN(TRIM('Raw Data'!V104))=0),"",IF(AND(ISNUMBER('Raw Data'!V104), IFERROR('Raw Data'!V104 = ROUND('Raw Data'!V104, 2),FALSE)),"",_xlfn.REGEXEXTRACT(CELL("address",V104), "\$([A-Z]+)\$[0-9]+"))),_xlfn.REGEXEXTRACT(CELL("address",V104), "\$([A-Z]+)\$[0-9]+"))</f>
        <v/>
      </c>
      <c r="W104" s="7" t="str">
        <f t="array" aca="1" ref="W104" ca="1">IFERROR(IF(OR('Raw Data'!W104="",LEN(TRIM('Raw Data'!W104))=0),"",IF(AND(ISNUMBER('Raw Data'!W104), IFERROR('Raw Data'!W104 = ROUND('Raw Data'!W104, 2),FALSE)),"",_xlfn.REGEXEXTRACT(CELL("address",W104), "\$([A-Z]+)\$[0-9]+"))),_xlfn.REGEXEXTRACT(CELL("address",W104), "\$([A-Z]+)\$[0-9]+"))</f>
        <v/>
      </c>
      <c r="X104" s="7" t="str">
        <f t="array" aca="1" ref="X104" ca="1">IFERROR(IF(OR('Raw Data'!X104="",LEN(TRIM('Raw Data'!X104))=0),"",IF(AND(ISNUMBER('Raw Data'!X104), IFERROR('Raw Data'!X104 = ROUND('Raw Data'!X104, 2),FALSE)),"",_xlfn.REGEXEXTRACT(CELL("address",X104), "\$([A-Z]+)\$[0-9]+"))),_xlfn.REGEXEXTRACT(CELL("address",X104), "\$([A-Z]+)\$[0-9]+"))</f>
        <v/>
      </c>
      <c r="Y104" s="7" t="str">
        <f t="array" aca="1" ref="Y104" ca="1">IFERROR(IF(OR('Raw Data'!Y104="",LEN(TRIM('Raw Data'!Y104))=0),"",IF(AND(ISNUMBER('Raw Data'!Y104), IFERROR('Raw Data'!Y104 = ROUND('Raw Data'!Y104, 2),FALSE)),"",_xlfn.REGEXEXTRACT(CELL("address",Y104), "\$([A-Z]+)\$[0-9]+"))),_xlfn.REGEXEXTRACT(CELL("address",Y104), "\$([A-Z]+)\$[0-9]+"))</f>
        <v/>
      </c>
      <c r="Z104" s="7" t="str">
        <f t="array" aca="1" ref="Z104" ca="1">IFERROR(IF(OR('Raw Data'!Z104="",LEN(TRIM('Raw Data'!Z104))=0),"",IF(AND(ISNUMBER('Raw Data'!Z104), IFERROR('Raw Data'!Z104 = ROUND('Raw Data'!Z104, 2),FALSE)),"",_xlfn.REGEXEXTRACT(CELL("address",Z104), "\$([A-Z]+)\$[0-9]+"))),_xlfn.REGEXEXTRACT(CELL("address",Z104), "\$([A-Z]+)\$[0-9]+"))</f>
        <v/>
      </c>
      <c r="AA104" s="7" t="str">
        <f t="array" aca="1" ref="AA104" ca="1">IFERROR(IF(OR('Raw Data'!AA104="",LEN(TRIM('Raw Data'!AA104))=0),"",IF(AND(ISNUMBER('Raw Data'!AA104), IFERROR('Raw Data'!AA104 = ROUND('Raw Data'!AA104, 2),FALSE)),"",_xlfn.REGEXEXTRACT(CELL("address",AA104), "\$([A-Z]+)\$[0-9]+"))),_xlfn.REGEXEXTRACT(CELL("address",AA104), "\$([A-Z]+)\$[0-9]+"))</f>
        <v/>
      </c>
      <c r="AB104" s="7" t="str">
        <f t="array" aca="1" ref="AB104" ca="1">IFERROR(IF(OR('Raw Data'!AB104="",LEN(TRIM('Raw Data'!AB104))=0),"",IF(AND(ISNUMBER('Raw Data'!AB104), IFERROR('Raw Data'!AB104 = ROUND('Raw Data'!AB104, 2),FALSE)),"",_xlfn.REGEXEXTRACT(CELL("address",AB104), "\$([A-Z]+)\$[0-9]+"))),_xlfn.REGEXEXTRACT(CELL("address",AB104), "\$([A-Z]+)\$[0-9]+"))</f>
        <v/>
      </c>
      <c r="AC104" s="7" t="str">
        <f t="array" aca="1" ref="AC104" ca="1">IFERROR(IF(OR('Raw Data'!AC104="",LEN(TRIM('Raw Data'!AC104))=0),"",IF(AND(ISNUMBER('Raw Data'!AC104), IFERROR('Raw Data'!AC104 = ROUND('Raw Data'!AC104, 2),FALSE)),"",_xlfn.REGEXEXTRACT(CELL("address",AC104), "\$([A-Z]+)\$[0-9]+"))),_xlfn.REGEXEXTRACT(CELL("address",AC104), "\$([A-Z]+)\$[0-9]+"))</f>
        <v/>
      </c>
      <c r="AD104" s="7" t="str">
        <f t="array" aca="1" ref="AD104" ca="1">IFERROR(IF(OR('Raw Data'!AD104="",LEN(TRIM('Raw Data'!AD104))=0),"",IF(AND(ISNUMBER('Raw Data'!AD104), IFERROR('Raw Data'!AD104 = ROUND('Raw Data'!AD104, 2),FALSE)),"",_xlfn.REGEXEXTRACT(CELL("address",AD104), "\$([A-Z]+)\$[0-9]+"))),_xlfn.REGEXEXTRACT(CELL("address",AD104), "\$([A-Z]+)\$[0-9]+"))</f>
        <v/>
      </c>
      <c r="AE104" s="7" t="str">
        <f t="array" aca="1" ref="AE104" ca="1">IFERROR(IF(OR('Raw Data'!AE104="",LEN(TRIM('Raw Data'!AE104))=0),"",IF(AND(ISNUMBER('Raw Data'!AE104), IFERROR('Raw Data'!AE104 = ROUND('Raw Data'!AE104, 2),FALSE)),"",_xlfn.REGEXEXTRACT(CELL("address",AE104), "\$([A-Z]+)\$[0-9]+"))),_xlfn.REGEXEXTRACT(CELL("address",AE104), "\$([A-Z]+)\$[0-9]+"))</f>
        <v/>
      </c>
      <c r="AF104" s="7" t="str">
        <f t="array" aca="1" ref="AF104" ca="1">IFERROR(IF(OR('Raw Data'!AF104="",LEN(TRIM('Raw Data'!AF104))=0),"",IF(AND(ISNUMBER('Raw Data'!AF104), IFERROR('Raw Data'!AF104 = ROUND('Raw Data'!AF104, 2),FALSE)),"",_xlfn.REGEXEXTRACT(CELL("address",AF104), "\$([A-Z]+)\$[0-9]+"))),_xlfn.REGEXEXTRACT(CELL("address",AF104), "\$([A-Z]+)\$[0-9]+"))</f>
        <v/>
      </c>
      <c r="AG104" s="7" t="str">
        <f t="array" aca="1" ref="AG104" ca="1">IFERROR(IF(OR('Raw Data'!AG104="",LEN(TRIM('Raw Data'!AG104))=0),"",IF(AND(ISNUMBER('Raw Data'!AG104), IFERROR('Raw Data'!AG104 = ROUND('Raw Data'!AG104, 2),FALSE)),"",_xlfn.REGEXEXTRACT(CELL("address",AG104), "\$([A-Z]+)\$[0-9]+"))),_xlfn.REGEXEXTRACT(CELL("address",AG104), "\$([A-Z]+)\$[0-9]+"))</f>
        <v/>
      </c>
      <c r="AH104" s="7" t="str">
        <f t="array" aca="1" ref="AH104" ca="1">IFERROR(IF(OR('Raw Data'!AH104="",LEN(TRIM('Raw Data'!AH104))=0),"",IF(AND(ISNUMBER('Raw Data'!AH104), IFERROR('Raw Data'!AH104 = ROUND('Raw Data'!AH104, 2),FALSE)),"",_xlfn.REGEXEXTRACT(CELL("address",AH104), "\$([A-Z]+)\$[0-9]+"))),_xlfn.REGEXEXTRACT(CELL("address",AH104), "\$([A-Z]+)\$[0-9]+"))</f>
        <v/>
      </c>
      <c r="AI104" s="7" t="str">
        <f t="array" aca="1" ref="AI104" ca="1">IFERROR(IF(OR('Raw Data'!AI104="",LEN(TRIM('Raw Data'!AI104))=0),"",IF(AND(ISNUMBER('Raw Data'!AI104), IFERROR('Raw Data'!AI104 = ROUND('Raw Data'!AI104, 2),FALSE)),"",_xlfn.REGEXEXTRACT(CELL("address",AI104), "\$([A-Z]+)\$[0-9]+"))),_xlfn.REGEXEXTRACT(CELL("address",AI104), "\$([A-Z]+)\$[0-9]+"))</f>
        <v/>
      </c>
      <c r="AJ104" s="7" t="str">
        <f t="array" aca="1" ref="AJ104" ca="1">IFERROR(IF(OR('Raw Data'!AJ104="",LEN(TRIM('Raw Data'!AJ104))=0),"",IF(AND(ISNUMBER('Raw Data'!AJ104), IFERROR('Raw Data'!AJ104 = ROUND('Raw Data'!AJ104, 4),FALSE)),"",_xlfn.REGEXEXTRACT(CELL("address",AJ104), "\$([A-Z]+)\$[0-9]+"))),_xlfn.REGEXEXTRACT(CELL("address",AJ104), "\$([A-Z]+)\$[0-9]+"))</f>
        <v/>
      </c>
      <c r="AK104" s="7" t="str">
        <f t="array" aca="1" ref="AK104" ca="1">IFERROR(IF(OR('Raw Data'!AK104="",LEN(TRIM('Raw Data'!AK104))=0),"",IF(AND(ISNUMBER('Raw Data'!AK104), IFERROR('Raw Data'!AK104 = ROUND('Raw Data'!AK104, 2),FALSE)),"",_xlfn.REGEXEXTRACT(CELL("address",AK104), "\$([A-Z]+)\$[0-9]+"))),_xlfn.REGEXEXTRACT(CELL("address",AK104), "\$([A-Z]+)\$[0-9]+"))</f>
        <v/>
      </c>
      <c r="AL104" s="7" t="str">
        <f t="array" aca="1" ref="AL104" ca="1">IFERROR(IF(OR('Raw Data'!AL104="",LEN(TRIM('Raw Data'!AL104))=0),"",IF(AND(ISNUMBER('Raw Data'!AL104), IFERROR('Raw Data'!AL104 = ROUND('Raw Data'!AL104, 2),FALSE)),"",_xlfn.REGEXEXTRACT(CELL("address",AL104), "\$([A-Z]+)\$[0-9]+"))),_xlfn.REGEXEXTRACT(CELL("address",AL104), "\$([A-Z]+)\$[0-9]+"))</f>
        <v/>
      </c>
      <c r="AM104" s="7" t="str">
        <f t="array" aca="1" ref="AM104" ca="1">IFERROR(IF(OR('Raw Data'!AM104="",LEN(TRIM('Raw Data'!AM104))=0),"",IF(AND(ISNUMBER('Raw Data'!AM104), IFERROR('Raw Data'!AM104 = ROUND('Raw Data'!AM104, 2),FALSE)),"",_xlfn.REGEXEXTRACT(CELL("address",AM104), "\$([A-Z]+)\$[0-9]+"))),_xlfn.REGEXEXTRACT(CELL("address",AM104), "\$([A-Z]+)\$[0-9]+"))</f>
        <v/>
      </c>
      <c r="AN104" s="7" t="str">
        <f t="array" aca="1" ref="AN104" ca="1">IFERROR(IF(OR('Raw Data'!AN104="",LEN(TRIM('Raw Data'!AN104))=0),"",IF(AND(ISNUMBER('Raw Data'!AN104), IFERROR('Raw Data'!AN104 = ROUND('Raw Data'!AN104, 2),FALSE)),"",_xlfn.REGEXEXTRACT(CELL("address",AN104), "\$([A-Z]+)\$[0-9]+"))),_xlfn.REGEXEXTRACT(CELL("address",AN104), "\$([A-Z]+)\$[0-9]+"))</f>
        <v/>
      </c>
      <c r="AO104" s="7" t="str">
        <f t="array" aca="1" ref="AO104" ca="1">IFERROR(IF(OR('Raw Data'!AO104="",LEN(TRIM('Raw Data'!AO104))=0),"",IF(AND(ISNUMBER('Raw Data'!AO104), IFERROR('Raw Data'!AO104 = ROUND('Raw Data'!AO104, 2),FALSE)),"",_xlfn.REGEXEXTRACT(CELL("address",AO104), "\$([A-Z]+)\$[0-9]+"))),_xlfn.REGEXEXTRACT(CELL("address",AO104), "\$([A-Z]+)\$[0-9]+"))</f>
        <v/>
      </c>
      <c r="AP104" s="7" t="str">
        <f t="array" aca="1" ref="AP104" ca="1">IFERROR(IF(OR('Raw Data'!AP104="",LEN(TRIM('Raw Data'!AP104))=0),"",IF(AND(ISNUMBER('Raw Data'!AP104), IFERROR('Raw Data'!AP104 = ROUND('Raw Data'!AP104, 2),FALSE)),"",_xlfn.REGEXEXTRACT(CELL("address",AP104), "\$([A-Z]+)\$[0-9]+"))),_xlfn.REGEXEXTRACT(CELL("address",AP104), "\$([A-Z]+)\$[0-9]+"))</f>
        <v/>
      </c>
    </row>
    <row r="105" spans="2:42" x14ac:dyDescent="0.25">
      <c r="B105" s="7" t="str">
        <f t="array" aca="1" ref="B105" ca="1">IFERROR(IF(OR('Raw Data'!B105="",LEN(TRIM('Raw Data'!B105))=0),"",IF(AND(LEN('Raw Data'!B105) &lt;= 255,LEN('Raw Data'!B105)&gt; 0),"",_xlfn.REGEXEXTRACT(CELL("address",'Raw Data'!B105),"\$([A-Z]+)\$[0-9]+"))),_xlfn.REGEXEXTRACT(CELL("address",'Raw Data'!B105),"\$([A-Z]+)\$[0-9]+"))</f>
        <v/>
      </c>
      <c r="C105" s="7" t="str">
        <f t="array" aca="1" ref="C105" ca="1">IFERROR(IF(OR('Raw Data'!C105="",LEN(TRIM('Raw Data'!C105))=0),"",IF(AND(LEN('Raw Data'!C105) &lt;= 50,LEN('Raw Data'!C105)&gt; 0),"",_xlfn.REGEXEXTRACT(CELL("address",'Raw Data'!C105),"\$([A-Z]+)\$[0-9]+"))),_xlfn.REGEXEXTRACT(CELL("address",'Raw Data'!C105),"\$([A-Z]+)\$[0-9]+"))</f>
        <v/>
      </c>
      <c r="D105" s="7" t="str">
        <f t="array" aca="1" ref="D105" ca="1">IFERROR(IF(OR('Raw Data'!D105="",LEN(TRIM('Raw Data'!D105))=0),"",IF(AND(LEN('Raw Data'!D105) &lt;= 500,LEN('Raw Data'!D105)&gt; 0),"",_xlfn.REGEXEXTRACT(CELL("address",'Raw Data'!D105),"\$([A-Z]+)\$[0-9]+"))),_xlfn.REGEXEXTRACT(CELL("address",'Raw Data'!D105),"\$([A-Z]+)\$[0-9]+"))</f>
        <v/>
      </c>
      <c r="E105" s="7" t="str">
        <f t="array" aca="1" ref="E105" ca="1">IFERROR(IF(OR('Raw Data'!E105="",LEN(TRIM('Raw Data'!E105))=0),"",IF(AND(LEN('Raw Data'!E105) &lt;= 50,LEN('Raw Data'!E105)&gt; 0),"",_xlfn.REGEXEXTRACT(CELL("address",'Raw Data'!E105),"\$([A-Z]+)\$[0-9]+"))),_xlfn.REGEXEXTRACT(CELL("address",'Raw Data'!E105),"\$([A-Z]+)\$[0-9]+"))</f>
        <v/>
      </c>
      <c r="F105" s="7" t="str">
        <f t="array" aca="1" ref="F105" ca="1">IFERROR(IF(OR('Raw Data'!F105="",LEN(TRIM('Raw Data'!F105))=0),"",IF(AND(LEN('Raw Data'!F105) &lt;= 50,LEN('Raw Data'!F105)&gt; 0),"",_xlfn.REGEXEXTRACT(CELL("address",'Raw Data'!F105),"\$([A-Z]+)\$[0-9]+"))),_xlfn.REGEXEXTRACT(CELL("address",'Raw Data'!F105),"\$([A-Z]+)\$[0-9]+"))</f>
        <v/>
      </c>
      <c r="G105" s="7" t="str">
        <f t="array" aca="1" ref="G105" ca="1">IFERROR(IF(OR('Raw Data'!G105="",LEN(TRIM('Raw Data'!G105))=0),"",IF(AND(LEN('Raw Data'!G105) &lt;= 50,LEN('Raw Data'!G105)&gt; 0),"",_xlfn.REGEXEXTRACT(CELL("address",'Raw Data'!G105),"\$([A-Z]+)\$[0-9]+"))),_xlfn.REGEXEXTRACT(CELL("address",'Raw Data'!G105),"\$([A-Z]+)\$[0-9]+"))</f>
        <v/>
      </c>
      <c r="H105" s="7" t="str">
        <f t="array" aca="1" ref="H105" ca="1">IFERROR(IF(OR('Raw Data'!H105="",LEN(TRIM('Raw Data'!H105))=0),"",IF(AND(LEN('Raw Data'!H105) &lt;= 50,LEN('Raw Data'!H105)&gt; 0),"",_xlfn.REGEXEXTRACT(CELL("address",'Raw Data'!H105),"\$([A-Z]+)\$[0-9]+"))),_xlfn.REGEXEXTRACT(CELL("address",'Raw Data'!H105),"\$([A-Z]+)\$[0-9]+"))</f>
        <v/>
      </c>
      <c r="I105" s="7" t="str">
        <f t="array" aca="1" ref="I105" ca="1">IFERROR(IF(OR('Raw Data'!I105="",LEN(TRIM('Raw Data'!I105))=0),"",IF(AND(LEN('Raw Data'!I105) &lt;= 50,LEN('Raw Data'!I105)&gt; 0),"",_xlfn.REGEXEXTRACT(CELL("address",'Raw Data'!I105),"\$([A-Z]+)\$[0-9]+"))),_xlfn.REGEXEXTRACT(CELL("address",'Raw Data'!I105),"\$([A-Z]+)\$[0-9]+"))</f>
        <v/>
      </c>
      <c r="J105" s="7" t="str">
        <f t="array" aca="1" ref="J105" ca="1">IFERROR(IF(OR('Raw Data'!J105="",LEN(TRIM('Raw Data'!J105))=0),"",IF(AND(ISNUMBER('Raw Data'!J105), IFERROR('Raw Data'!J105 = ROUND('Raw Data'!J105, 2),FALSE)),"",_xlfn.REGEXEXTRACT(CELL("address",J105), "\$([A-Z]+)\$[0-9]+"))),_xlfn.REGEXEXTRACT(CELL("address",J105), "\$([A-Z]+)\$[0-9]+"))</f>
        <v/>
      </c>
      <c r="K105" s="7" t="str">
        <f t="array" aca="1" ref="K105" ca="1">IFERROR(IF(OR('Raw Data'!K105="",LEN(TRIM('Raw Data'!K105))=0),"",IF(AND(ISNUMBER('Raw Data'!K105), IFERROR('Raw Data'!K105 = ROUND('Raw Data'!K105, 2),FALSE)),"",_xlfn.REGEXEXTRACT(CELL("address",K105), "\$([A-Z]+)\$[0-9]+"))),_xlfn.REGEXEXTRACT(CELL("address",K105), "\$([A-Z]+)\$[0-9]+"))</f>
        <v/>
      </c>
      <c r="L105" s="7" t="str">
        <f t="array" aca="1" ref="L105" ca="1">IFERROR(IF(OR('Raw Data'!L105="",LEN(TRIM('Raw Data'!L105))=0),"",IF(AND(ISNUMBER('Raw Data'!L105), IFERROR('Raw Data'!L105 = ROUND('Raw Data'!L105, 2),FALSE)),"",_xlfn.REGEXEXTRACT(CELL("address",L105), "\$([A-Z]+)\$[0-9]+"))),_xlfn.REGEXEXTRACT(CELL("address",L105), "\$([A-Z]+)\$[0-9]+"))</f>
        <v/>
      </c>
      <c r="M105" s="7" t="str">
        <f t="array" aca="1" ref="M105" ca="1">IFERROR(IF(OR('Raw Data'!M105="",LEN(TRIM('Raw Data'!M105))=0),"",IF(AND(ISNUMBER('Raw Data'!M105), IFERROR('Raw Data'!M105 = ROUND('Raw Data'!M105, 2),FALSE)),"",_xlfn.REGEXEXTRACT(CELL("address",M105), "\$([A-Z]+)\$[0-9]+"))),_xlfn.REGEXEXTRACT(CELL("address",M105), "\$([A-Z]+)\$[0-9]+"))</f>
        <v/>
      </c>
      <c r="N105" s="7" t="str">
        <f t="array" aca="1" ref="N105" ca="1">IFERROR(IF(OR('Raw Data'!N105="",LEN(TRIM('Raw Data'!N105))=0),"",IF(AND(ISNUMBER('Raw Data'!N105), IFERROR('Raw Data'!N105 = ROUND('Raw Data'!N105, 2),FALSE)),"",_xlfn.REGEXEXTRACT(CELL("address",N105), "\$([A-Z]+)\$[0-9]+"))),_xlfn.REGEXEXTRACT(CELL("address",N105), "\$([A-Z]+)\$[0-9]+"))</f>
        <v/>
      </c>
      <c r="O105" s="7" t="str">
        <f t="array" aca="1" ref="O105" ca="1">IFERROR(IF(OR('Raw Data'!O105="",LEN(TRIM('Raw Data'!O105))=0),"",IF(AND(ISNUMBER('Raw Data'!O105),'Raw Data'!O105&gt;=Configuration!$D$2),"",_xlfn.REGEXEXTRACT(CELL("address",'Raw Data'!O105),"\$([A-Z]+)\$[0-9]+"))),_xlfn.REGEXEXTRACT(CELL("address",O105), "\$([A-Z]+)\$[0-9]+"))</f>
        <v/>
      </c>
      <c r="P105" s="7" t="str">
        <f t="array" aca="1" ref="P105" ca="1">IFERROR(IF(OR('Raw Data'!P105="",LEN(TRIM('Raw Data'!P105))=0),"",IF(AND(ISNUMBER('Raw Data'!P105), IFERROR('Raw Data'!P105 = ROUND('Raw Data'!P105, 2),FALSE)),"",_xlfn.REGEXEXTRACT(CELL("address",P105), "\$([A-Z]+)\$[0-9]+"))),_xlfn.REGEXEXTRACT(CELL("address",P105), "\$([A-Z]+)\$[0-9]+"))</f>
        <v/>
      </c>
      <c r="Q105" s="7" t="str">
        <f t="array" aca="1" ref="Q105" ca="1">IFERROR(IF(OR('Raw Data'!Q105="",LEN(TRIM('Raw Data'!Q105))=0),"",IF(AND(ISNUMBER('Raw Data'!Q105), IFERROR('Raw Data'!Q105 = ROUND('Raw Data'!Q105, 2),FALSE)),"",_xlfn.REGEXEXTRACT(CELL("address",Q105), "\$([A-Z]+)\$[0-9]+"))),_xlfn.REGEXEXTRACT(CELL("address",Q105), "\$([A-Z]+)\$[0-9]+"))</f>
        <v/>
      </c>
      <c r="R105" s="7" t="str">
        <f t="array" aca="1" ref="R105" ca="1">IFERROR(IF(OR('Raw Data'!R105="",LEN(TRIM('Raw Data'!R105))=0),"",IF(AND(LEN('Raw Data'!R105) &lt;= 50,LEN('Raw Data'!R105)&gt; 0),"",_xlfn.REGEXEXTRACT(CELL("address",'Raw Data'!R105),"\$([A-Z]+)\$[0-9]+"))),_xlfn.REGEXEXTRACT(CELL("address",'Raw Data'!R105),"\$([A-Z]+)\$[0-9]+"))</f>
        <v/>
      </c>
      <c r="S105" s="7" t="str">
        <f t="array" aca="1" ref="S105" ca="1">IFERROR(IF(OR('Raw Data'!S105="",LEN(TRIM('Raw Data'!S105))=0),"",IF(AND(LEN('Raw Data'!S105) &lt;= 50,LEN('Raw Data'!S105)&gt; 0),"",_xlfn.REGEXEXTRACT(CELL("address",'Raw Data'!S105),"\$([A-Z]+)\$[0-9]+"))),_xlfn.REGEXEXTRACT(CELL("address",'Raw Data'!S105),"\$([A-Z]+)\$[0-9]+"))</f>
        <v/>
      </c>
      <c r="T105" s="7" t="str">
        <f t="array" aca="1" ref="T105" ca="1">IFERROR(IF(OR('Raw Data'!T105="",LEN(TRIM('Raw Data'!T105))=0),"",IF(AND(ISNUMBER('Raw Data'!T105), IFERROR('Raw Data'!T105 = ROUND('Raw Data'!T105, 2),FALSE)),"",_xlfn.REGEXEXTRACT(CELL("address",T105), "\$([A-Z]+)\$[0-9]+"))),_xlfn.REGEXEXTRACT(CELL("address",T105), "\$([A-Z]+)\$[0-9]+"))</f>
        <v/>
      </c>
      <c r="U105" s="7" t="str">
        <f t="array" aca="1" ref="U105" ca="1">IFERROR(IF(OR('Raw Data'!U105="",LEN(TRIM('Raw Data'!U105))=0),"",IF(AND(ISNUMBER('Raw Data'!U105), IFERROR('Raw Data'!U105 = ROUND('Raw Data'!U105, 2),FALSE)),"",_xlfn.REGEXEXTRACT(CELL("address",U105), "\$([A-Z]+)\$[0-9]+"))),_xlfn.REGEXEXTRACT(CELL("address",U105), "\$([A-Z]+)\$[0-9]+"))</f>
        <v/>
      </c>
      <c r="V105" s="7" t="str">
        <f t="array" aca="1" ref="V105" ca="1">IFERROR(IF(OR('Raw Data'!V105="",LEN(TRIM('Raw Data'!V105))=0),"",IF(AND(ISNUMBER('Raw Data'!V105), IFERROR('Raw Data'!V105 = ROUND('Raw Data'!V105, 2),FALSE)),"",_xlfn.REGEXEXTRACT(CELL("address",V105), "\$([A-Z]+)\$[0-9]+"))),_xlfn.REGEXEXTRACT(CELL("address",V105), "\$([A-Z]+)\$[0-9]+"))</f>
        <v/>
      </c>
      <c r="W105" s="7" t="str">
        <f t="array" aca="1" ref="W105" ca="1">IFERROR(IF(OR('Raw Data'!W105="",LEN(TRIM('Raw Data'!W105))=0),"",IF(AND(ISNUMBER('Raw Data'!W105), IFERROR('Raw Data'!W105 = ROUND('Raw Data'!W105, 2),FALSE)),"",_xlfn.REGEXEXTRACT(CELL("address",W105), "\$([A-Z]+)\$[0-9]+"))),_xlfn.REGEXEXTRACT(CELL("address",W105), "\$([A-Z]+)\$[0-9]+"))</f>
        <v/>
      </c>
      <c r="X105" s="7" t="str">
        <f t="array" aca="1" ref="X105" ca="1">IFERROR(IF(OR('Raw Data'!X105="",LEN(TRIM('Raw Data'!X105))=0),"",IF(AND(ISNUMBER('Raw Data'!X105), IFERROR('Raw Data'!X105 = ROUND('Raw Data'!X105, 2),FALSE)),"",_xlfn.REGEXEXTRACT(CELL("address",X105), "\$([A-Z]+)\$[0-9]+"))),_xlfn.REGEXEXTRACT(CELL("address",X105), "\$([A-Z]+)\$[0-9]+"))</f>
        <v/>
      </c>
      <c r="Y105" s="7" t="str">
        <f t="array" aca="1" ref="Y105" ca="1">IFERROR(IF(OR('Raw Data'!Y105="",LEN(TRIM('Raw Data'!Y105))=0),"",IF(AND(ISNUMBER('Raw Data'!Y105), IFERROR('Raw Data'!Y105 = ROUND('Raw Data'!Y105, 2),FALSE)),"",_xlfn.REGEXEXTRACT(CELL("address",Y105), "\$([A-Z]+)\$[0-9]+"))),_xlfn.REGEXEXTRACT(CELL("address",Y105), "\$([A-Z]+)\$[0-9]+"))</f>
        <v/>
      </c>
      <c r="Z105" s="7" t="str">
        <f t="array" aca="1" ref="Z105" ca="1">IFERROR(IF(OR('Raw Data'!Z105="",LEN(TRIM('Raw Data'!Z105))=0),"",IF(AND(ISNUMBER('Raw Data'!Z105), IFERROR('Raw Data'!Z105 = ROUND('Raw Data'!Z105, 2),FALSE)),"",_xlfn.REGEXEXTRACT(CELL("address",Z105), "\$([A-Z]+)\$[0-9]+"))),_xlfn.REGEXEXTRACT(CELL("address",Z105), "\$([A-Z]+)\$[0-9]+"))</f>
        <v/>
      </c>
      <c r="AA105" s="7" t="str">
        <f t="array" aca="1" ref="AA105" ca="1">IFERROR(IF(OR('Raw Data'!AA105="",LEN(TRIM('Raw Data'!AA105))=0),"",IF(AND(ISNUMBER('Raw Data'!AA105), IFERROR('Raw Data'!AA105 = ROUND('Raw Data'!AA105, 2),FALSE)),"",_xlfn.REGEXEXTRACT(CELL("address",AA105), "\$([A-Z]+)\$[0-9]+"))),_xlfn.REGEXEXTRACT(CELL("address",AA105), "\$([A-Z]+)\$[0-9]+"))</f>
        <v/>
      </c>
      <c r="AB105" s="7" t="str">
        <f t="array" aca="1" ref="AB105" ca="1">IFERROR(IF(OR('Raw Data'!AB105="",LEN(TRIM('Raw Data'!AB105))=0),"",IF(AND(ISNUMBER('Raw Data'!AB105), IFERROR('Raw Data'!AB105 = ROUND('Raw Data'!AB105, 2),FALSE)),"",_xlfn.REGEXEXTRACT(CELL("address",AB105), "\$([A-Z]+)\$[0-9]+"))),_xlfn.REGEXEXTRACT(CELL("address",AB105), "\$([A-Z]+)\$[0-9]+"))</f>
        <v/>
      </c>
      <c r="AC105" s="7" t="str">
        <f t="array" aca="1" ref="AC105" ca="1">IFERROR(IF(OR('Raw Data'!AC105="",LEN(TRIM('Raw Data'!AC105))=0),"",IF(AND(ISNUMBER('Raw Data'!AC105), IFERROR('Raw Data'!AC105 = ROUND('Raw Data'!AC105, 2),FALSE)),"",_xlfn.REGEXEXTRACT(CELL("address",AC105), "\$([A-Z]+)\$[0-9]+"))),_xlfn.REGEXEXTRACT(CELL("address",AC105), "\$([A-Z]+)\$[0-9]+"))</f>
        <v/>
      </c>
      <c r="AD105" s="7" t="str">
        <f t="array" aca="1" ref="AD105" ca="1">IFERROR(IF(OR('Raw Data'!AD105="",LEN(TRIM('Raw Data'!AD105))=0),"",IF(AND(ISNUMBER('Raw Data'!AD105), IFERROR('Raw Data'!AD105 = ROUND('Raw Data'!AD105, 2),FALSE)),"",_xlfn.REGEXEXTRACT(CELL("address",AD105), "\$([A-Z]+)\$[0-9]+"))),_xlfn.REGEXEXTRACT(CELL("address",AD105), "\$([A-Z]+)\$[0-9]+"))</f>
        <v/>
      </c>
      <c r="AE105" s="7" t="str">
        <f t="array" aca="1" ref="AE105" ca="1">IFERROR(IF(OR('Raw Data'!AE105="",LEN(TRIM('Raw Data'!AE105))=0),"",IF(AND(ISNUMBER('Raw Data'!AE105), IFERROR('Raw Data'!AE105 = ROUND('Raw Data'!AE105, 2),FALSE)),"",_xlfn.REGEXEXTRACT(CELL("address",AE105), "\$([A-Z]+)\$[0-9]+"))),_xlfn.REGEXEXTRACT(CELL("address",AE105), "\$([A-Z]+)\$[0-9]+"))</f>
        <v/>
      </c>
      <c r="AF105" s="7" t="str">
        <f t="array" aca="1" ref="AF105" ca="1">IFERROR(IF(OR('Raw Data'!AF105="",LEN(TRIM('Raw Data'!AF105))=0),"",IF(AND(ISNUMBER('Raw Data'!AF105), IFERROR('Raw Data'!AF105 = ROUND('Raw Data'!AF105, 2),FALSE)),"",_xlfn.REGEXEXTRACT(CELL("address",AF105), "\$([A-Z]+)\$[0-9]+"))),_xlfn.REGEXEXTRACT(CELL("address",AF105), "\$([A-Z]+)\$[0-9]+"))</f>
        <v/>
      </c>
      <c r="AG105" s="7" t="str">
        <f t="array" aca="1" ref="AG105" ca="1">IFERROR(IF(OR('Raw Data'!AG105="",LEN(TRIM('Raw Data'!AG105))=0),"",IF(AND(ISNUMBER('Raw Data'!AG105), IFERROR('Raw Data'!AG105 = ROUND('Raw Data'!AG105, 2),FALSE)),"",_xlfn.REGEXEXTRACT(CELL("address",AG105), "\$([A-Z]+)\$[0-9]+"))),_xlfn.REGEXEXTRACT(CELL("address",AG105), "\$([A-Z]+)\$[0-9]+"))</f>
        <v/>
      </c>
      <c r="AH105" s="7" t="str">
        <f t="array" aca="1" ref="AH105" ca="1">IFERROR(IF(OR('Raw Data'!AH105="",LEN(TRIM('Raw Data'!AH105))=0),"",IF(AND(ISNUMBER('Raw Data'!AH105), IFERROR('Raw Data'!AH105 = ROUND('Raw Data'!AH105, 2),FALSE)),"",_xlfn.REGEXEXTRACT(CELL("address",AH105), "\$([A-Z]+)\$[0-9]+"))),_xlfn.REGEXEXTRACT(CELL("address",AH105), "\$([A-Z]+)\$[0-9]+"))</f>
        <v/>
      </c>
      <c r="AI105" s="7" t="str">
        <f t="array" aca="1" ref="AI105" ca="1">IFERROR(IF(OR('Raw Data'!AI105="",LEN(TRIM('Raw Data'!AI105))=0),"",IF(AND(ISNUMBER('Raw Data'!AI105), IFERROR('Raw Data'!AI105 = ROUND('Raw Data'!AI105, 2),FALSE)),"",_xlfn.REGEXEXTRACT(CELL("address",AI105), "\$([A-Z]+)\$[0-9]+"))),_xlfn.REGEXEXTRACT(CELL("address",AI105), "\$([A-Z]+)\$[0-9]+"))</f>
        <v/>
      </c>
      <c r="AJ105" s="7" t="str">
        <f t="array" aca="1" ref="AJ105" ca="1">IFERROR(IF(OR('Raw Data'!AJ105="",LEN(TRIM('Raw Data'!AJ105))=0),"",IF(AND(ISNUMBER('Raw Data'!AJ105), IFERROR('Raw Data'!AJ105 = ROUND('Raw Data'!AJ105, 4),FALSE)),"",_xlfn.REGEXEXTRACT(CELL("address",AJ105), "\$([A-Z]+)\$[0-9]+"))),_xlfn.REGEXEXTRACT(CELL("address",AJ105), "\$([A-Z]+)\$[0-9]+"))</f>
        <v/>
      </c>
      <c r="AK105" s="7" t="str">
        <f t="array" aca="1" ref="AK105" ca="1">IFERROR(IF(OR('Raw Data'!AK105="",LEN(TRIM('Raw Data'!AK105))=0),"",IF(AND(ISNUMBER('Raw Data'!AK105), IFERROR('Raw Data'!AK105 = ROUND('Raw Data'!AK105, 2),FALSE)),"",_xlfn.REGEXEXTRACT(CELL("address",AK105), "\$([A-Z]+)\$[0-9]+"))),_xlfn.REGEXEXTRACT(CELL("address",AK105), "\$([A-Z]+)\$[0-9]+"))</f>
        <v/>
      </c>
      <c r="AL105" s="7" t="str">
        <f t="array" aca="1" ref="AL105" ca="1">IFERROR(IF(OR('Raw Data'!AL105="",LEN(TRIM('Raw Data'!AL105))=0),"",IF(AND(ISNUMBER('Raw Data'!AL105), IFERROR('Raw Data'!AL105 = ROUND('Raw Data'!AL105, 2),FALSE)),"",_xlfn.REGEXEXTRACT(CELL("address",AL105), "\$([A-Z]+)\$[0-9]+"))),_xlfn.REGEXEXTRACT(CELL("address",AL105), "\$([A-Z]+)\$[0-9]+"))</f>
        <v/>
      </c>
      <c r="AM105" s="7" t="str">
        <f t="array" aca="1" ref="AM105" ca="1">IFERROR(IF(OR('Raw Data'!AM105="",LEN(TRIM('Raw Data'!AM105))=0),"",IF(AND(ISNUMBER('Raw Data'!AM105), IFERROR('Raw Data'!AM105 = ROUND('Raw Data'!AM105, 2),FALSE)),"",_xlfn.REGEXEXTRACT(CELL("address",AM105), "\$([A-Z]+)\$[0-9]+"))),_xlfn.REGEXEXTRACT(CELL("address",AM105), "\$([A-Z]+)\$[0-9]+"))</f>
        <v/>
      </c>
      <c r="AN105" s="7" t="str">
        <f t="array" aca="1" ref="AN105" ca="1">IFERROR(IF(OR('Raw Data'!AN105="",LEN(TRIM('Raw Data'!AN105))=0),"",IF(AND(ISNUMBER('Raw Data'!AN105), IFERROR('Raw Data'!AN105 = ROUND('Raw Data'!AN105, 2),FALSE)),"",_xlfn.REGEXEXTRACT(CELL("address",AN105), "\$([A-Z]+)\$[0-9]+"))),_xlfn.REGEXEXTRACT(CELL("address",AN105), "\$([A-Z]+)\$[0-9]+"))</f>
        <v/>
      </c>
      <c r="AO105" s="7" t="str">
        <f t="array" aca="1" ref="AO105" ca="1">IFERROR(IF(OR('Raw Data'!AO105="",LEN(TRIM('Raw Data'!AO105))=0),"",IF(AND(ISNUMBER('Raw Data'!AO105), IFERROR('Raw Data'!AO105 = ROUND('Raw Data'!AO105, 2),FALSE)),"",_xlfn.REGEXEXTRACT(CELL("address",AO105), "\$([A-Z]+)\$[0-9]+"))),_xlfn.REGEXEXTRACT(CELL("address",AO105), "\$([A-Z]+)\$[0-9]+"))</f>
        <v/>
      </c>
      <c r="AP105" s="7" t="str">
        <f t="array" aca="1" ref="AP105" ca="1">IFERROR(IF(OR('Raw Data'!AP105="",LEN(TRIM('Raw Data'!AP105))=0),"",IF(AND(ISNUMBER('Raw Data'!AP105), IFERROR('Raw Data'!AP105 = ROUND('Raw Data'!AP105, 2),FALSE)),"",_xlfn.REGEXEXTRACT(CELL("address",AP105), "\$([A-Z]+)\$[0-9]+"))),_xlfn.REGEXEXTRACT(CELL("address",AP105), "\$([A-Z]+)\$[0-9]+"))</f>
        <v/>
      </c>
    </row>
    <row r="106" spans="2:42" x14ac:dyDescent="0.25">
      <c r="B106" s="7" t="str">
        <f t="array" aca="1" ref="B106" ca="1">IFERROR(IF(OR('Raw Data'!B106="",LEN(TRIM('Raw Data'!B106))=0),"",IF(AND(LEN('Raw Data'!B106) &lt;= 255,LEN('Raw Data'!B106)&gt; 0),"",_xlfn.REGEXEXTRACT(CELL("address",'Raw Data'!B106),"\$([A-Z]+)\$[0-9]+"))),_xlfn.REGEXEXTRACT(CELL("address",'Raw Data'!B106),"\$([A-Z]+)\$[0-9]+"))</f>
        <v/>
      </c>
      <c r="C106" s="7" t="str">
        <f t="array" aca="1" ref="C106" ca="1">IFERROR(IF(OR('Raw Data'!C106="",LEN(TRIM('Raw Data'!C106))=0),"",IF(AND(LEN('Raw Data'!C106) &lt;= 50,LEN('Raw Data'!C106)&gt; 0),"",_xlfn.REGEXEXTRACT(CELL("address",'Raw Data'!C106),"\$([A-Z]+)\$[0-9]+"))),_xlfn.REGEXEXTRACT(CELL("address",'Raw Data'!C106),"\$([A-Z]+)\$[0-9]+"))</f>
        <v/>
      </c>
      <c r="D106" s="7" t="str">
        <f t="array" aca="1" ref="D106" ca="1">IFERROR(IF(OR('Raw Data'!D106="",LEN(TRIM('Raw Data'!D106))=0),"",IF(AND(LEN('Raw Data'!D106) &lt;= 500,LEN('Raw Data'!D106)&gt; 0),"",_xlfn.REGEXEXTRACT(CELL("address",'Raw Data'!D106),"\$([A-Z]+)\$[0-9]+"))),_xlfn.REGEXEXTRACT(CELL("address",'Raw Data'!D106),"\$([A-Z]+)\$[0-9]+"))</f>
        <v/>
      </c>
      <c r="E106" s="7" t="str">
        <f t="array" aca="1" ref="E106" ca="1">IFERROR(IF(OR('Raw Data'!E106="",LEN(TRIM('Raw Data'!E106))=0),"",IF(AND(LEN('Raw Data'!E106) &lt;= 50,LEN('Raw Data'!E106)&gt; 0),"",_xlfn.REGEXEXTRACT(CELL("address",'Raw Data'!E106),"\$([A-Z]+)\$[0-9]+"))),_xlfn.REGEXEXTRACT(CELL("address",'Raw Data'!E106),"\$([A-Z]+)\$[0-9]+"))</f>
        <v/>
      </c>
      <c r="F106" s="7" t="str">
        <f t="array" aca="1" ref="F106" ca="1">IFERROR(IF(OR('Raw Data'!F106="",LEN(TRIM('Raw Data'!F106))=0),"",IF(AND(LEN('Raw Data'!F106) &lt;= 50,LEN('Raw Data'!F106)&gt; 0),"",_xlfn.REGEXEXTRACT(CELL("address",'Raw Data'!F106),"\$([A-Z]+)\$[0-9]+"))),_xlfn.REGEXEXTRACT(CELL("address",'Raw Data'!F106),"\$([A-Z]+)\$[0-9]+"))</f>
        <v/>
      </c>
      <c r="G106" s="7" t="str">
        <f t="array" aca="1" ref="G106" ca="1">IFERROR(IF(OR('Raw Data'!G106="",LEN(TRIM('Raw Data'!G106))=0),"",IF(AND(LEN('Raw Data'!G106) &lt;= 50,LEN('Raw Data'!G106)&gt; 0),"",_xlfn.REGEXEXTRACT(CELL("address",'Raw Data'!G106),"\$([A-Z]+)\$[0-9]+"))),_xlfn.REGEXEXTRACT(CELL("address",'Raw Data'!G106),"\$([A-Z]+)\$[0-9]+"))</f>
        <v/>
      </c>
      <c r="H106" s="7" t="str">
        <f t="array" aca="1" ref="H106" ca="1">IFERROR(IF(OR('Raw Data'!H106="",LEN(TRIM('Raw Data'!H106))=0),"",IF(AND(LEN('Raw Data'!H106) &lt;= 50,LEN('Raw Data'!H106)&gt; 0),"",_xlfn.REGEXEXTRACT(CELL("address",'Raw Data'!H106),"\$([A-Z]+)\$[0-9]+"))),_xlfn.REGEXEXTRACT(CELL("address",'Raw Data'!H106),"\$([A-Z]+)\$[0-9]+"))</f>
        <v/>
      </c>
      <c r="I106" s="7" t="str">
        <f t="array" aca="1" ref="I106" ca="1">IFERROR(IF(OR('Raw Data'!I106="",LEN(TRIM('Raw Data'!I106))=0),"",IF(AND(LEN('Raw Data'!I106) &lt;= 50,LEN('Raw Data'!I106)&gt; 0),"",_xlfn.REGEXEXTRACT(CELL("address",'Raw Data'!I106),"\$([A-Z]+)\$[0-9]+"))),_xlfn.REGEXEXTRACT(CELL("address",'Raw Data'!I106),"\$([A-Z]+)\$[0-9]+"))</f>
        <v/>
      </c>
      <c r="J106" s="7" t="str">
        <f t="array" aca="1" ref="J106" ca="1">IFERROR(IF(OR('Raw Data'!J106="",LEN(TRIM('Raw Data'!J106))=0),"",IF(AND(ISNUMBER('Raw Data'!J106), IFERROR('Raw Data'!J106 = ROUND('Raw Data'!J106, 2),FALSE)),"",_xlfn.REGEXEXTRACT(CELL("address",J106), "\$([A-Z]+)\$[0-9]+"))),_xlfn.REGEXEXTRACT(CELL("address",J106), "\$([A-Z]+)\$[0-9]+"))</f>
        <v/>
      </c>
      <c r="K106" s="7" t="str">
        <f t="array" aca="1" ref="K106" ca="1">IFERROR(IF(OR('Raw Data'!K106="",LEN(TRIM('Raw Data'!K106))=0),"",IF(AND(ISNUMBER('Raw Data'!K106), IFERROR('Raw Data'!K106 = ROUND('Raw Data'!K106, 2),FALSE)),"",_xlfn.REGEXEXTRACT(CELL("address",K106), "\$([A-Z]+)\$[0-9]+"))),_xlfn.REGEXEXTRACT(CELL("address",K106), "\$([A-Z]+)\$[0-9]+"))</f>
        <v/>
      </c>
      <c r="L106" s="7" t="str">
        <f t="array" aca="1" ref="L106" ca="1">IFERROR(IF(OR('Raw Data'!L106="",LEN(TRIM('Raw Data'!L106))=0),"",IF(AND(ISNUMBER('Raw Data'!L106), IFERROR('Raw Data'!L106 = ROUND('Raw Data'!L106, 2),FALSE)),"",_xlfn.REGEXEXTRACT(CELL("address",L106), "\$([A-Z]+)\$[0-9]+"))),_xlfn.REGEXEXTRACT(CELL("address",L106), "\$([A-Z]+)\$[0-9]+"))</f>
        <v/>
      </c>
      <c r="M106" s="7" t="str">
        <f t="array" aca="1" ref="M106" ca="1">IFERROR(IF(OR('Raw Data'!M106="",LEN(TRIM('Raw Data'!M106))=0),"",IF(AND(ISNUMBER('Raw Data'!M106), IFERROR('Raw Data'!M106 = ROUND('Raw Data'!M106, 2),FALSE)),"",_xlfn.REGEXEXTRACT(CELL("address",M106), "\$([A-Z]+)\$[0-9]+"))),_xlfn.REGEXEXTRACT(CELL("address",M106), "\$([A-Z]+)\$[0-9]+"))</f>
        <v/>
      </c>
      <c r="N106" s="7" t="str">
        <f t="array" aca="1" ref="N106" ca="1">IFERROR(IF(OR('Raw Data'!N106="",LEN(TRIM('Raw Data'!N106))=0),"",IF(AND(ISNUMBER('Raw Data'!N106), IFERROR('Raw Data'!N106 = ROUND('Raw Data'!N106, 2),FALSE)),"",_xlfn.REGEXEXTRACT(CELL("address",N106), "\$([A-Z]+)\$[0-9]+"))),_xlfn.REGEXEXTRACT(CELL("address",N106), "\$([A-Z]+)\$[0-9]+"))</f>
        <v/>
      </c>
      <c r="O106" s="7" t="str">
        <f t="array" aca="1" ref="O106" ca="1">IFERROR(IF(OR('Raw Data'!O106="",LEN(TRIM('Raw Data'!O106))=0),"",IF(AND(ISNUMBER('Raw Data'!O106),'Raw Data'!O106&gt;=Configuration!$D$2),"",_xlfn.REGEXEXTRACT(CELL("address",'Raw Data'!O106),"\$([A-Z]+)\$[0-9]+"))),_xlfn.REGEXEXTRACT(CELL("address",O106), "\$([A-Z]+)\$[0-9]+"))</f>
        <v/>
      </c>
      <c r="P106" s="7" t="str">
        <f t="array" aca="1" ref="P106" ca="1">IFERROR(IF(OR('Raw Data'!P106="",LEN(TRIM('Raw Data'!P106))=0),"",IF(AND(ISNUMBER('Raw Data'!P106), IFERROR('Raw Data'!P106 = ROUND('Raw Data'!P106, 2),FALSE)),"",_xlfn.REGEXEXTRACT(CELL("address",P106), "\$([A-Z]+)\$[0-9]+"))),_xlfn.REGEXEXTRACT(CELL("address",P106), "\$([A-Z]+)\$[0-9]+"))</f>
        <v/>
      </c>
      <c r="Q106" s="7" t="str">
        <f t="array" aca="1" ref="Q106" ca="1">IFERROR(IF(OR('Raw Data'!Q106="",LEN(TRIM('Raw Data'!Q106))=0),"",IF(AND(ISNUMBER('Raw Data'!Q106), IFERROR('Raw Data'!Q106 = ROUND('Raw Data'!Q106, 2),FALSE)),"",_xlfn.REGEXEXTRACT(CELL("address",Q106), "\$([A-Z]+)\$[0-9]+"))),_xlfn.REGEXEXTRACT(CELL("address",Q106), "\$([A-Z]+)\$[0-9]+"))</f>
        <v/>
      </c>
      <c r="R106" s="7" t="str">
        <f t="array" aca="1" ref="R106" ca="1">IFERROR(IF(OR('Raw Data'!R106="",LEN(TRIM('Raw Data'!R106))=0),"",IF(AND(LEN('Raw Data'!R106) &lt;= 50,LEN('Raw Data'!R106)&gt; 0),"",_xlfn.REGEXEXTRACT(CELL("address",'Raw Data'!R106),"\$([A-Z]+)\$[0-9]+"))),_xlfn.REGEXEXTRACT(CELL("address",'Raw Data'!R106),"\$([A-Z]+)\$[0-9]+"))</f>
        <v/>
      </c>
      <c r="S106" s="7" t="str">
        <f t="array" aca="1" ref="S106" ca="1">IFERROR(IF(OR('Raw Data'!S106="",LEN(TRIM('Raw Data'!S106))=0),"",IF(AND(LEN('Raw Data'!S106) &lt;= 50,LEN('Raw Data'!S106)&gt; 0),"",_xlfn.REGEXEXTRACT(CELL("address",'Raw Data'!S106),"\$([A-Z]+)\$[0-9]+"))),_xlfn.REGEXEXTRACT(CELL("address",'Raw Data'!S106),"\$([A-Z]+)\$[0-9]+"))</f>
        <v/>
      </c>
      <c r="T106" s="7" t="str">
        <f t="array" aca="1" ref="T106" ca="1">IFERROR(IF(OR('Raw Data'!T106="",LEN(TRIM('Raw Data'!T106))=0),"",IF(AND(ISNUMBER('Raw Data'!T106), IFERROR('Raw Data'!T106 = ROUND('Raw Data'!T106, 2),FALSE)),"",_xlfn.REGEXEXTRACT(CELL("address",T106), "\$([A-Z]+)\$[0-9]+"))),_xlfn.REGEXEXTRACT(CELL("address",T106), "\$([A-Z]+)\$[0-9]+"))</f>
        <v/>
      </c>
      <c r="U106" s="7" t="str">
        <f t="array" aca="1" ref="U106" ca="1">IFERROR(IF(OR('Raw Data'!U106="",LEN(TRIM('Raw Data'!U106))=0),"",IF(AND(ISNUMBER('Raw Data'!U106), IFERROR('Raw Data'!U106 = ROUND('Raw Data'!U106, 2),FALSE)),"",_xlfn.REGEXEXTRACT(CELL("address",U106), "\$([A-Z]+)\$[0-9]+"))),_xlfn.REGEXEXTRACT(CELL("address",U106), "\$([A-Z]+)\$[0-9]+"))</f>
        <v/>
      </c>
      <c r="V106" s="7" t="str">
        <f t="array" aca="1" ref="V106" ca="1">IFERROR(IF(OR('Raw Data'!V106="",LEN(TRIM('Raw Data'!V106))=0),"",IF(AND(ISNUMBER('Raw Data'!V106), IFERROR('Raw Data'!V106 = ROUND('Raw Data'!V106, 2),FALSE)),"",_xlfn.REGEXEXTRACT(CELL("address",V106), "\$([A-Z]+)\$[0-9]+"))),_xlfn.REGEXEXTRACT(CELL("address",V106), "\$([A-Z]+)\$[0-9]+"))</f>
        <v/>
      </c>
      <c r="W106" s="7" t="str">
        <f t="array" aca="1" ref="W106" ca="1">IFERROR(IF(OR('Raw Data'!W106="",LEN(TRIM('Raw Data'!W106))=0),"",IF(AND(ISNUMBER('Raw Data'!W106), IFERROR('Raw Data'!W106 = ROUND('Raw Data'!W106, 2),FALSE)),"",_xlfn.REGEXEXTRACT(CELL("address",W106), "\$([A-Z]+)\$[0-9]+"))),_xlfn.REGEXEXTRACT(CELL("address",W106), "\$([A-Z]+)\$[0-9]+"))</f>
        <v/>
      </c>
      <c r="X106" s="7" t="str">
        <f t="array" aca="1" ref="X106" ca="1">IFERROR(IF(OR('Raw Data'!X106="",LEN(TRIM('Raw Data'!X106))=0),"",IF(AND(ISNUMBER('Raw Data'!X106), IFERROR('Raw Data'!X106 = ROUND('Raw Data'!X106, 2),FALSE)),"",_xlfn.REGEXEXTRACT(CELL("address",X106), "\$([A-Z]+)\$[0-9]+"))),_xlfn.REGEXEXTRACT(CELL("address",X106), "\$([A-Z]+)\$[0-9]+"))</f>
        <v/>
      </c>
      <c r="Y106" s="7" t="str">
        <f t="array" aca="1" ref="Y106" ca="1">IFERROR(IF(OR('Raw Data'!Y106="",LEN(TRIM('Raw Data'!Y106))=0),"",IF(AND(ISNUMBER('Raw Data'!Y106), IFERROR('Raw Data'!Y106 = ROUND('Raw Data'!Y106, 2),FALSE)),"",_xlfn.REGEXEXTRACT(CELL("address",Y106), "\$([A-Z]+)\$[0-9]+"))),_xlfn.REGEXEXTRACT(CELL("address",Y106), "\$([A-Z]+)\$[0-9]+"))</f>
        <v/>
      </c>
      <c r="Z106" s="7" t="str">
        <f t="array" aca="1" ref="Z106" ca="1">IFERROR(IF(OR('Raw Data'!Z106="",LEN(TRIM('Raw Data'!Z106))=0),"",IF(AND(ISNUMBER('Raw Data'!Z106), IFERROR('Raw Data'!Z106 = ROUND('Raw Data'!Z106, 2),FALSE)),"",_xlfn.REGEXEXTRACT(CELL("address",Z106), "\$([A-Z]+)\$[0-9]+"))),_xlfn.REGEXEXTRACT(CELL("address",Z106), "\$([A-Z]+)\$[0-9]+"))</f>
        <v/>
      </c>
      <c r="AA106" s="7" t="str">
        <f t="array" aca="1" ref="AA106" ca="1">IFERROR(IF(OR('Raw Data'!AA106="",LEN(TRIM('Raw Data'!AA106))=0),"",IF(AND(ISNUMBER('Raw Data'!AA106), IFERROR('Raw Data'!AA106 = ROUND('Raw Data'!AA106, 2),FALSE)),"",_xlfn.REGEXEXTRACT(CELL("address",AA106), "\$([A-Z]+)\$[0-9]+"))),_xlfn.REGEXEXTRACT(CELL("address",AA106), "\$([A-Z]+)\$[0-9]+"))</f>
        <v/>
      </c>
      <c r="AB106" s="7" t="str">
        <f t="array" aca="1" ref="AB106" ca="1">IFERROR(IF(OR('Raw Data'!AB106="",LEN(TRIM('Raw Data'!AB106))=0),"",IF(AND(ISNUMBER('Raw Data'!AB106), IFERROR('Raw Data'!AB106 = ROUND('Raw Data'!AB106, 2),FALSE)),"",_xlfn.REGEXEXTRACT(CELL("address",AB106), "\$([A-Z]+)\$[0-9]+"))),_xlfn.REGEXEXTRACT(CELL("address",AB106), "\$([A-Z]+)\$[0-9]+"))</f>
        <v/>
      </c>
      <c r="AC106" s="7" t="str">
        <f t="array" aca="1" ref="AC106" ca="1">IFERROR(IF(OR('Raw Data'!AC106="",LEN(TRIM('Raw Data'!AC106))=0),"",IF(AND(ISNUMBER('Raw Data'!AC106), IFERROR('Raw Data'!AC106 = ROUND('Raw Data'!AC106, 2),FALSE)),"",_xlfn.REGEXEXTRACT(CELL("address",AC106), "\$([A-Z]+)\$[0-9]+"))),_xlfn.REGEXEXTRACT(CELL("address",AC106), "\$([A-Z]+)\$[0-9]+"))</f>
        <v/>
      </c>
      <c r="AD106" s="7" t="str">
        <f t="array" aca="1" ref="AD106" ca="1">IFERROR(IF(OR('Raw Data'!AD106="",LEN(TRIM('Raw Data'!AD106))=0),"",IF(AND(ISNUMBER('Raw Data'!AD106), IFERROR('Raw Data'!AD106 = ROUND('Raw Data'!AD106, 2),FALSE)),"",_xlfn.REGEXEXTRACT(CELL("address",AD106), "\$([A-Z]+)\$[0-9]+"))),_xlfn.REGEXEXTRACT(CELL("address",AD106), "\$([A-Z]+)\$[0-9]+"))</f>
        <v/>
      </c>
      <c r="AE106" s="7" t="str">
        <f t="array" aca="1" ref="AE106" ca="1">IFERROR(IF(OR('Raw Data'!AE106="",LEN(TRIM('Raw Data'!AE106))=0),"",IF(AND(ISNUMBER('Raw Data'!AE106), IFERROR('Raw Data'!AE106 = ROUND('Raw Data'!AE106, 2),FALSE)),"",_xlfn.REGEXEXTRACT(CELL("address",AE106), "\$([A-Z]+)\$[0-9]+"))),_xlfn.REGEXEXTRACT(CELL("address",AE106), "\$([A-Z]+)\$[0-9]+"))</f>
        <v/>
      </c>
      <c r="AF106" s="7" t="str">
        <f t="array" aca="1" ref="AF106" ca="1">IFERROR(IF(OR('Raw Data'!AF106="",LEN(TRIM('Raw Data'!AF106))=0),"",IF(AND(ISNUMBER('Raw Data'!AF106), IFERROR('Raw Data'!AF106 = ROUND('Raw Data'!AF106, 2),FALSE)),"",_xlfn.REGEXEXTRACT(CELL("address",AF106), "\$([A-Z]+)\$[0-9]+"))),_xlfn.REGEXEXTRACT(CELL("address",AF106), "\$([A-Z]+)\$[0-9]+"))</f>
        <v/>
      </c>
      <c r="AG106" s="7" t="str">
        <f t="array" aca="1" ref="AG106" ca="1">IFERROR(IF(OR('Raw Data'!AG106="",LEN(TRIM('Raw Data'!AG106))=0),"",IF(AND(ISNUMBER('Raw Data'!AG106), IFERROR('Raw Data'!AG106 = ROUND('Raw Data'!AG106, 2),FALSE)),"",_xlfn.REGEXEXTRACT(CELL("address",AG106), "\$([A-Z]+)\$[0-9]+"))),_xlfn.REGEXEXTRACT(CELL("address",AG106), "\$([A-Z]+)\$[0-9]+"))</f>
        <v/>
      </c>
      <c r="AH106" s="7" t="str">
        <f t="array" aca="1" ref="AH106" ca="1">IFERROR(IF(OR('Raw Data'!AH106="",LEN(TRIM('Raw Data'!AH106))=0),"",IF(AND(ISNUMBER('Raw Data'!AH106), IFERROR('Raw Data'!AH106 = ROUND('Raw Data'!AH106, 2),FALSE)),"",_xlfn.REGEXEXTRACT(CELL("address",AH106), "\$([A-Z]+)\$[0-9]+"))),_xlfn.REGEXEXTRACT(CELL("address",AH106), "\$([A-Z]+)\$[0-9]+"))</f>
        <v/>
      </c>
      <c r="AI106" s="7" t="str">
        <f t="array" aca="1" ref="AI106" ca="1">IFERROR(IF(OR('Raw Data'!AI106="",LEN(TRIM('Raw Data'!AI106))=0),"",IF(AND(ISNUMBER('Raw Data'!AI106), IFERROR('Raw Data'!AI106 = ROUND('Raw Data'!AI106, 2),FALSE)),"",_xlfn.REGEXEXTRACT(CELL("address",AI106), "\$([A-Z]+)\$[0-9]+"))),_xlfn.REGEXEXTRACT(CELL("address",AI106), "\$([A-Z]+)\$[0-9]+"))</f>
        <v/>
      </c>
      <c r="AJ106" s="7" t="str">
        <f t="array" aca="1" ref="AJ106" ca="1">IFERROR(IF(OR('Raw Data'!AJ106="",LEN(TRIM('Raw Data'!AJ106))=0),"",IF(AND(ISNUMBER('Raw Data'!AJ106), IFERROR('Raw Data'!AJ106 = ROUND('Raw Data'!AJ106, 4),FALSE)),"",_xlfn.REGEXEXTRACT(CELL("address",AJ106), "\$([A-Z]+)\$[0-9]+"))),_xlfn.REGEXEXTRACT(CELL("address",AJ106), "\$([A-Z]+)\$[0-9]+"))</f>
        <v/>
      </c>
      <c r="AK106" s="7" t="str">
        <f t="array" aca="1" ref="AK106" ca="1">IFERROR(IF(OR('Raw Data'!AK106="",LEN(TRIM('Raw Data'!AK106))=0),"",IF(AND(ISNUMBER('Raw Data'!AK106), IFERROR('Raw Data'!AK106 = ROUND('Raw Data'!AK106, 2),FALSE)),"",_xlfn.REGEXEXTRACT(CELL("address",AK106), "\$([A-Z]+)\$[0-9]+"))),_xlfn.REGEXEXTRACT(CELL("address",AK106), "\$([A-Z]+)\$[0-9]+"))</f>
        <v/>
      </c>
      <c r="AL106" s="7" t="str">
        <f t="array" aca="1" ref="AL106" ca="1">IFERROR(IF(OR('Raw Data'!AL106="",LEN(TRIM('Raw Data'!AL106))=0),"",IF(AND(ISNUMBER('Raw Data'!AL106), IFERROR('Raw Data'!AL106 = ROUND('Raw Data'!AL106, 2),FALSE)),"",_xlfn.REGEXEXTRACT(CELL("address",AL106), "\$([A-Z]+)\$[0-9]+"))),_xlfn.REGEXEXTRACT(CELL("address",AL106), "\$([A-Z]+)\$[0-9]+"))</f>
        <v/>
      </c>
      <c r="AM106" s="7" t="str">
        <f t="array" aca="1" ref="AM106" ca="1">IFERROR(IF(OR('Raw Data'!AM106="",LEN(TRIM('Raw Data'!AM106))=0),"",IF(AND(ISNUMBER('Raw Data'!AM106), IFERROR('Raw Data'!AM106 = ROUND('Raw Data'!AM106, 2),FALSE)),"",_xlfn.REGEXEXTRACT(CELL("address",AM106), "\$([A-Z]+)\$[0-9]+"))),_xlfn.REGEXEXTRACT(CELL("address",AM106), "\$([A-Z]+)\$[0-9]+"))</f>
        <v/>
      </c>
      <c r="AN106" s="7" t="str">
        <f t="array" aca="1" ref="AN106" ca="1">IFERROR(IF(OR('Raw Data'!AN106="",LEN(TRIM('Raw Data'!AN106))=0),"",IF(AND(ISNUMBER('Raw Data'!AN106), IFERROR('Raw Data'!AN106 = ROUND('Raw Data'!AN106, 2),FALSE)),"",_xlfn.REGEXEXTRACT(CELL("address",AN106), "\$([A-Z]+)\$[0-9]+"))),_xlfn.REGEXEXTRACT(CELL("address",AN106), "\$([A-Z]+)\$[0-9]+"))</f>
        <v/>
      </c>
      <c r="AO106" s="7" t="str">
        <f t="array" aca="1" ref="AO106" ca="1">IFERROR(IF(OR('Raw Data'!AO106="",LEN(TRIM('Raw Data'!AO106))=0),"",IF(AND(ISNUMBER('Raw Data'!AO106), IFERROR('Raw Data'!AO106 = ROUND('Raw Data'!AO106, 2),FALSE)),"",_xlfn.REGEXEXTRACT(CELL("address",AO106), "\$([A-Z]+)\$[0-9]+"))),_xlfn.REGEXEXTRACT(CELL("address",AO106), "\$([A-Z]+)\$[0-9]+"))</f>
        <v/>
      </c>
      <c r="AP106" s="7" t="str">
        <f t="array" aca="1" ref="AP106" ca="1">IFERROR(IF(OR('Raw Data'!AP106="",LEN(TRIM('Raw Data'!AP106))=0),"",IF(AND(ISNUMBER('Raw Data'!AP106), IFERROR('Raw Data'!AP106 = ROUND('Raw Data'!AP106, 2),FALSE)),"",_xlfn.REGEXEXTRACT(CELL("address",AP106), "\$([A-Z]+)\$[0-9]+"))),_xlfn.REGEXEXTRACT(CELL("address",AP106), "\$([A-Z]+)\$[0-9]+"))</f>
        <v/>
      </c>
    </row>
    <row r="107" spans="2:42" x14ac:dyDescent="0.25">
      <c r="B107" s="7" t="str">
        <f t="array" aca="1" ref="B107" ca="1">IFERROR(IF(OR('Raw Data'!B107="",LEN(TRIM('Raw Data'!B107))=0),"",IF(AND(LEN('Raw Data'!B107) &lt;= 255,LEN('Raw Data'!B107)&gt; 0),"",_xlfn.REGEXEXTRACT(CELL("address",'Raw Data'!B107),"\$([A-Z]+)\$[0-9]+"))),_xlfn.REGEXEXTRACT(CELL("address",'Raw Data'!B107),"\$([A-Z]+)\$[0-9]+"))</f>
        <v/>
      </c>
      <c r="C107" s="7" t="str">
        <f t="array" aca="1" ref="C107" ca="1">IFERROR(IF(OR('Raw Data'!C107="",LEN(TRIM('Raw Data'!C107))=0),"",IF(AND(LEN('Raw Data'!C107) &lt;= 50,LEN('Raw Data'!C107)&gt; 0),"",_xlfn.REGEXEXTRACT(CELL("address",'Raw Data'!C107),"\$([A-Z]+)\$[0-9]+"))),_xlfn.REGEXEXTRACT(CELL("address",'Raw Data'!C107),"\$([A-Z]+)\$[0-9]+"))</f>
        <v/>
      </c>
      <c r="D107" s="7" t="str">
        <f t="array" aca="1" ref="D107" ca="1">IFERROR(IF(OR('Raw Data'!D107="",LEN(TRIM('Raw Data'!D107))=0),"",IF(AND(LEN('Raw Data'!D107) &lt;= 500,LEN('Raw Data'!D107)&gt; 0),"",_xlfn.REGEXEXTRACT(CELL("address",'Raw Data'!D107),"\$([A-Z]+)\$[0-9]+"))),_xlfn.REGEXEXTRACT(CELL("address",'Raw Data'!D107),"\$([A-Z]+)\$[0-9]+"))</f>
        <v/>
      </c>
      <c r="E107" s="7" t="str">
        <f t="array" aca="1" ref="E107" ca="1">IFERROR(IF(OR('Raw Data'!E107="",LEN(TRIM('Raw Data'!E107))=0),"",IF(AND(LEN('Raw Data'!E107) &lt;= 50,LEN('Raw Data'!E107)&gt; 0),"",_xlfn.REGEXEXTRACT(CELL("address",'Raw Data'!E107),"\$([A-Z]+)\$[0-9]+"))),_xlfn.REGEXEXTRACT(CELL("address",'Raw Data'!E107),"\$([A-Z]+)\$[0-9]+"))</f>
        <v/>
      </c>
      <c r="F107" s="7" t="str">
        <f t="array" aca="1" ref="F107" ca="1">IFERROR(IF(OR('Raw Data'!F107="",LEN(TRIM('Raw Data'!F107))=0),"",IF(AND(LEN('Raw Data'!F107) &lt;= 50,LEN('Raw Data'!F107)&gt; 0),"",_xlfn.REGEXEXTRACT(CELL("address",'Raw Data'!F107),"\$([A-Z]+)\$[0-9]+"))),_xlfn.REGEXEXTRACT(CELL("address",'Raw Data'!F107),"\$([A-Z]+)\$[0-9]+"))</f>
        <v/>
      </c>
      <c r="G107" s="7" t="str">
        <f t="array" aca="1" ref="G107" ca="1">IFERROR(IF(OR('Raw Data'!G107="",LEN(TRIM('Raw Data'!G107))=0),"",IF(AND(LEN('Raw Data'!G107) &lt;= 50,LEN('Raw Data'!G107)&gt; 0),"",_xlfn.REGEXEXTRACT(CELL("address",'Raw Data'!G107),"\$([A-Z]+)\$[0-9]+"))),_xlfn.REGEXEXTRACT(CELL("address",'Raw Data'!G107),"\$([A-Z]+)\$[0-9]+"))</f>
        <v/>
      </c>
      <c r="H107" s="7" t="str">
        <f t="array" aca="1" ref="H107" ca="1">IFERROR(IF(OR('Raw Data'!H107="",LEN(TRIM('Raw Data'!H107))=0),"",IF(AND(LEN('Raw Data'!H107) &lt;= 50,LEN('Raw Data'!H107)&gt; 0),"",_xlfn.REGEXEXTRACT(CELL("address",'Raw Data'!H107),"\$([A-Z]+)\$[0-9]+"))),_xlfn.REGEXEXTRACT(CELL("address",'Raw Data'!H107),"\$([A-Z]+)\$[0-9]+"))</f>
        <v/>
      </c>
      <c r="I107" s="7" t="str">
        <f t="array" aca="1" ref="I107" ca="1">IFERROR(IF(OR('Raw Data'!I107="",LEN(TRIM('Raw Data'!I107))=0),"",IF(AND(LEN('Raw Data'!I107) &lt;= 50,LEN('Raw Data'!I107)&gt; 0),"",_xlfn.REGEXEXTRACT(CELL("address",'Raw Data'!I107),"\$([A-Z]+)\$[0-9]+"))),_xlfn.REGEXEXTRACT(CELL("address",'Raw Data'!I107),"\$([A-Z]+)\$[0-9]+"))</f>
        <v/>
      </c>
      <c r="J107" s="7" t="str">
        <f t="array" aca="1" ref="J107" ca="1">IFERROR(IF(OR('Raw Data'!J107="",LEN(TRIM('Raw Data'!J107))=0),"",IF(AND(ISNUMBER('Raw Data'!J107), IFERROR('Raw Data'!J107 = ROUND('Raw Data'!J107, 2),FALSE)),"",_xlfn.REGEXEXTRACT(CELL("address",J107), "\$([A-Z]+)\$[0-9]+"))),_xlfn.REGEXEXTRACT(CELL("address",J107), "\$([A-Z]+)\$[0-9]+"))</f>
        <v/>
      </c>
      <c r="K107" s="7" t="str">
        <f t="array" aca="1" ref="K107" ca="1">IFERROR(IF(OR('Raw Data'!K107="",LEN(TRIM('Raw Data'!K107))=0),"",IF(AND(ISNUMBER('Raw Data'!K107), IFERROR('Raw Data'!K107 = ROUND('Raw Data'!K107, 2),FALSE)),"",_xlfn.REGEXEXTRACT(CELL("address",K107), "\$([A-Z]+)\$[0-9]+"))),_xlfn.REGEXEXTRACT(CELL("address",K107), "\$([A-Z]+)\$[0-9]+"))</f>
        <v/>
      </c>
      <c r="L107" s="7" t="str">
        <f t="array" aca="1" ref="L107" ca="1">IFERROR(IF(OR('Raw Data'!L107="",LEN(TRIM('Raw Data'!L107))=0),"",IF(AND(ISNUMBER('Raw Data'!L107), IFERROR('Raw Data'!L107 = ROUND('Raw Data'!L107, 2),FALSE)),"",_xlfn.REGEXEXTRACT(CELL("address",L107), "\$([A-Z]+)\$[0-9]+"))),_xlfn.REGEXEXTRACT(CELL("address",L107), "\$([A-Z]+)\$[0-9]+"))</f>
        <v/>
      </c>
      <c r="M107" s="7" t="str">
        <f t="array" aca="1" ref="M107" ca="1">IFERROR(IF(OR('Raw Data'!M107="",LEN(TRIM('Raw Data'!M107))=0),"",IF(AND(ISNUMBER('Raw Data'!M107), IFERROR('Raw Data'!M107 = ROUND('Raw Data'!M107, 2),FALSE)),"",_xlfn.REGEXEXTRACT(CELL("address",M107), "\$([A-Z]+)\$[0-9]+"))),_xlfn.REGEXEXTRACT(CELL("address",M107), "\$([A-Z]+)\$[0-9]+"))</f>
        <v/>
      </c>
      <c r="N107" s="7" t="str">
        <f t="array" aca="1" ref="N107" ca="1">IFERROR(IF(OR('Raw Data'!N107="",LEN(TRIM('Raw Data'!N107))=0),"",IF(AND(ISNUMBER('Raw Data'!N107), IFERROR('Raw Data'!N107 = ROUND('Raw Data'!N107, 2),FALSE)),"",_xlfn.REGEXEXTRACT(CELL("address",N107), "\$([A-Z]+)\$[0-9]+"))),_xlfn.REGEXEXTRACT(CELL("address",N107), "\$([A-Z]+)\$[0-9]+"))</f>
        <v/>
      </c>
      <c r="O107" s="7" t="str">
        <f t="array" aca="1" ref="O107" ca="1">IFERROR(IF(OR('Raw Data'!O107="",LEN(TRIM('Raw Data'!O107))=0),"",IF(AND(ISNUMBER('Raw Data'!O107),'Raw Data'!O107&gt;=Configuration!$D$2),"",_xlfn.REGEXEXTRACT(CELL("address",'Raw Data'!O107),"\$([A-Z]+)\$[0-9]+"))),_xlfn.REGEXEXTRACT(CELL("address",O107), "\$([A-Z]+)\$[0-9]+"))</f>
        <v/>
      </c>
      <c r="P107" s="7" t="str">
        <f t="array" aca="1" ref="P107" ca="1">IFERROR(IF(OR('Raw Data'!P107="",LEN(TRIM('Raw Data'!P107))=0),"",IF(AND(ISNUMBER('Raw Data'!P107), IFERROR('Raw Data'!P107 = ROUND('Raw Data'!P107, 2),FALSE)),"",_xlfn.REGEXEXTRACT(CELL("address",P107), "\$([A-Z]+)\$[0-9]+"))),_xlfn.REGEXEXTRACT(CELL("address",P107), "\$([A-Z]+)\$[0-9]+"))</f>
        <v/>
      </c>
      <c r="Q107" s="7" t="str">
        <f t="array" aca="1" ref="Q107" ca="1">IFERROR(IF(OR('Raw Data'!Q107="",LEN(TRIM('Raw Data'!Q107))=0),"",IF(AND(ISNUMBER('Raw Data'!Q107), IFERROR('Raw Data'!Q107 = ROUND('Raw Data'!Q107, 2),FALSE)),"",_xlfn.REGEXEXTRACT(CELL("address",Q107), "\$([A-Z]+)\$[0-9]+"))),_xlfn.REGEXEXTRACT(CELL("address",Q107), "\$([A-Z]+)\$[0-9]+"))</f>
        <v/>
      </c>
      <c r="R107" s="7" t="str">
        <f t="array" aca="1" ref="R107" ca="1">IFERROR(IF(OR('Raw Data'!R107="",LEN(TRIM('Raw Data'!R107))=0),"",IF(AND(LEN('Raw Data'!R107) &lt;= 50,LEN('Raw Data'!R107)&gt; 0),"",_xlfn.REGEXEXTRACT(CELL("address",'Raw Data'!R107),"\$([A-Z]+)\$[0-9]+"))),_xlfn.REGEXEXTRACT(CELL("address",'Raw Data'!R107),"\$([A-Z]+)\$[0-9]+"))</f>
        <v/>
      </c>
      <c r="S107" s="7" t="str">
        <f t="array" aca="1" ref="S107" ca="1">IFERROR(IF(OR('Raw Data'!S107="",LEN(TRIM('Raw Data'!S107))=0),"",IF(AND(LEN('Raw Data'!S107) &lt;= 50,LEN('Raw Data'!S107)&gt; 0),"",_xlfn.REGEXEXTRACT(CELL("address",'Raw Data'!S107),"\$([A-Z]+)\$[0-9]+"))),_xlfn.REGEXEXTRACT(CELL("address",'Raw Data'!S107),"\$([A-Z]+)\$[0-9]+"))</f>
        <v/>
      </c>
      <c r="T107" s="7" t="str">
        <f t="array" aca="1" ref="T107" ca="1">IFERROR(IF(OR('Raw Data'!T107="",LEN(TRIM('Raw Data'!T107))=0),"",IF(AND(ISNUMBER('Raw Data'!T107), IFERROR('Raw Data'!T107 = ROUND('Raw Data'!T107, 2),FALSE)),"",_xlfn.REGEXEXTRACT(CELL("address",T107), "\$([A-Z]+)\$[0-9]+"))),_xlfn.REGEXEXTRACT(CELL("address",T107), "\$([A-Z]+)\$[0-9]+"))</f>
        <v/>
      </c>
      <c r="U107" s="7" t="str">
        <f t="array" aca="1" ref="U107" ca="1">IFERROR(IF(OR('Raw Data'!U107="",LEN(TRIM('Raw Data'!U107))=0),"",IF(AND(ISNUMBER('Raw Data'!U107), IFERROR('Raw Data'!U107 = ROUND('Raw Data'!U107, 2),FALSE)),"",_xlfn.REGEXEXTRACT(CELL("address",U107), "\$([A-Z]+)\$[0-9]+"))),_xlfn.REGEXEXTRACT(CELL("address",U107), "\$([A-Z]+)\$[0-9]+"))</f>
        <v/>
      </c>
      <c r="V107" s="7" t="str">
        <f t="array" aca="1" ref="V107" ca="1">IFERROR(IF(OR('Raw Data'!V107="",LEN(TRIM('Raw Data'!V107))=0),"",IF(AND(ISNUMBER('Raw Data'!V107), IFERROR('Raw Data'!V107 = ROUND('Raw Data'!V107, 2),FALSE)),"",_xlfn.REGEXEXTRACT(CELL("address",V107), "\$([A-Z]+)\$[0-9]+"))),_xlfn.REGEXEXTRACT(CELL("address",V107), "\$([A-Z]+)\$[0-9]+"))</f>
        <v/>
      </c>
      <c r="W107" s="7" t="str">
        <f t="array" aca="1" ref="W107" ca="1">IFERROR(IF(OR('Raw Data'!W107="",LEN(TRIM('Raw Data'!W107))=0),"",IF(AND(ISNUMBER('Raw Data'!W107), IFERROR('Raw Data'!W107 = ROUND('Raw Data'!W107, 2),FALSE)),"",_xlfn.REGEXEXTRACT(CELL("address",W107), "\$([A-Z]+)\$[0-9]+"))),_xlfn.REGEXEXTRACT(CELL("address",W107), "\$([A-Z]+)\$[0-9]+"))</f>
        <v/>
      </c>
      <c r="X107" s="7" t="str">
        <f t="array" aca="1" ref="X107" ca="1">IFERROR(IF(OR('Raw Data'!X107="",LEN(TRIM('Raw Data'!X107))=0),"",IF(AND(ISNUMBER('Raw Data'!X107), IFERROR('Raw Data'!X107 = ROUND('Raw Data'!X107, 2),FALSE)),"",_xlfn.REGEXEXTRACT(CELL("address",X107), "\$([A-Z]+)\$[0-9]+"))),_xlfn.REGEXEXTRACT(CELL("address",X107), "\$([A-Z]+)\$[0-9]+"))</f>
        <v/>
      </c>
      <c r="Y107" s="7" t="str">
        <f t="array" aca="1" ref="Y107" ca="1">IFERROR(IF(OR('Raw Data'!Y107="",LEN(TRIM('Raw Data'!Y107))=0),"",IF(AND(ISNUMBER('Raw Data'!Y107), IFERROR('Raw Data'!Y107 = ROUND('Raw Data'!Y107, 2),FALSE)),"",_xlfn.REGEXEXTRACT(CELL("address",Y107), "\$([A-Z]+)\$[0-9]+"))),_xlfn.REGEXEXTRACT(CELL("address",Y107), "\$([A-Z]+)\$[0-9]+"))</f>
        <v/>
      </c>
      <c r="Z107" s="7" t="str">
        <f t="array" aca="1" ref="Z107" ca="1">IFERROR(IF(OR('Raw Data'!Z107="",LEN(TRIM('Raw Data'!Z107))=0),"",IF(AND(ISNUMBER('Raw Data'!Z107), IFERROR('Raw Data'!Z107 = ROUND('Raw Data'!Z107, 2),FALSE)),"",_xlfn.REGEXEXTRACT(CELL("address",Z107), "\$([A-Z]+)\$[0-9]+"))),_xlfn.REGEXEXTRACT(CELL("address",Z107), "\$([A-Z]+)\$[0-9]+"))</f>
        <v/>
      </c>
      <c r="AA107" s="7" t="str">
        <f t="array" aca="1" ref="AA107" ca="1">IFERROR(IF(OR('Raw Data'!AA107="",LEN(TRIM('Raw Data'!AA107))=0),"",IF(AND(ISNUMBER('Raw Data'!AA107), IFERROR('Raw Data'!AA107 = ROUND('Raw Data'!AA107, 2),FALSE)),"",_xlfn.REGEXEXTRACT(CELL("address",AA107), "\$([A-Z]+)\$[0-9]+"))),_xlfn.REGEXEXTRACT(CELL("address",AA107), "\$([A-Z]+)\$[0-9]+"))</f>
        <v/>
      </c>
      <c r="AB107" s="7" t="str">
        <f t="array" aca="1" ref="AB107" ca="1">IFERROR(IF(OR('Raw Data'!AB107="",LEN(TRIM('Raw Data'!AB107))=0),"",IF(AND(ISNUMBER('Raw Data'!AB107), IFERROR('Raw Data'!AB107 = ROUND('Raw Data'!AB107, 2),FALSE)),"",_xlfn.REGEXEXTRACT(CELL("address",AB107), "\$([A-Z]+)\$[0-9]+"))),_xlfn.REGEXEXTRACT(CELL("address",AB107), "\$([A-Z]+)\$[0-9]+"))</f>
        <v/>
      </c>
      <c r="AC107" s="7" t="str">
        <f t="array" aca="1" ref="AC107" ca="1">IFERROR(IF(OR('Raw Data'!AC107="",LEN(TRIM('Raw Data'!AC107))=0),"",IF(AND(ISNUMBER('Raw Data'!AC107), IFERROR('Raw Data'!AC107 = ROUND('Raw Data'!AC107, 2),FALSE)),"",_xlfn.REGEXEXTRACT(CELL("address",AC107), "\$([A-Z]+)\$[0-9]+"))),_xlfn.REGEXEXTRACT(CELL("address",AC107), "\$([A-Z]+)\$[0-9]+"))</f>
        <v/>
      </c>
      <c r="AD107" s="7" t="str">
        <f t="array" aca="1" ref="AD107" ca="1">IFERROR(IF(OR('Raw Data'!AD107="",LEN(TRIM('Raw Data'!AD107))=0),"",IF(AND(ISNUMBER('Raw Data'!AD107), IFERROR('Raw Data'!AD107 = ROUND('Raw Data'!AD107, 2),FALSE)),"",_xlfn.REGEXEXTRACT(CELL("address",AD107), "\$([A-Z]+)\$[0-9]+"))),_xlfn.REGEXEXTRACT(CELL("address",AD107), "\$([A-Z]+)\$[0-9]+"))</f>
        <v/>
      </c>
      <c r="AE107" s="7" t="str">
        <f t="array" aca="1" ref="AE107" ca="1">IFERROR(IF(OR('Raw Data'!AE107="",LEN(TRIM('Raw Data'!AE107))=0),"",IF(AND(ISNUMBER('Raw Data'!AE107), IFERROR('Raw Data'!AE107 = ROUND('Raw Data'!AE107, 2),FALSE)),"",_xlfn.REGEXEXTRACT(CELL("address",AE107), "\$([A-Z]+)\$[0-9]+"))),_xlfn.REGEXEXTRACT(CELL("address",AE107), "\$([A-Z]+)\$[0-9]+"))</f>
        <v/>
      </c>
      <c r="AF107" s="7" t="str">
        <f t="array" aca="1" ref="AF107" ca="1">IFERROR(IF(OR('Raw Data'!AF107="",LEN(TRIM('Raw Data'!AF107))=0),"",IF(AND(ISNUMBER('Raw Data'!AF107), IFERROR('Raw Data'!AF107 = ROUND('Raw Data'!AF107, 2),FALSE)),"",_xlfn.REGEXEXTRACT(CELL("address",AF107), "\$([A-Z]+)\$[0-9]+"))),_xlfn.REGEXEXTRACT(CELL("address",AF107), "\$([A-Z]+)\$[0-9]+"))</f>
        <v/>
      </c>
      <c r="AG107" s="7" t="str">
        <f t="array" aca="1" ref="AG107" ca="1">IFERROR(IF(OR('Raw Data'!AG107="",LEN(TRIM('Raw Data'!AG107))=0),"",IF(AND(ISNUMBER('Raw Data'!AG107), IFERROR('Raw Data'!AG107 = ROUND('Raw Data'!AG107, 2),FALSE)),"",_xlfn.REGEXEXTRACT(CELL("address",AG107), "\$([A-Z]+)\$[0-9]+"))),_xlfn.REGEXEXTRACT(CELL("address",AG107), "\$([A-Z]+)\$[0-9]+"))</f>
        <v/>
      </c>
      <c r="AH107" s="7" t="str">
        <f t="array" aca="1" ref="AH107" ca="1">IFERROR(IF(OR('Raw Data'!AH107="",LEN(TRIM('Raw Data'!AH107))=0),"",IF(AND(ISNUMBER('Raw Data'!AH107), IFERROR('Raw Data'!AH107 = ROUND('Raw Data'!AH107, 2),FALSE)),"",_xlfn.REGEXEXTRACT(CELL("address",AH107), "\$([A-Z]+)\$[0-9]+"))),_xlfn.REGEXEXTRACT(CELL("address",AH107), "\$([A-Z]+)\$[0-9]+"))</f>
        <v/>
      </c>
      <c r="AI107" s="7" t="str">
        <f t="array" aca="1" ref="AI107" ca="1">IFERROR(IF(OR('Raw Data'!AI107="",LEN(TRIM('Raw Data'!AI107))=0),"",IF(AND(ISNUMBER('Raw Data'!AI107), IFERROR('Raw Data'!AI107 = ROUND('Raw Data'!AI107, 2),FALSE)),"",_xlfn.REGEXEXTRACT(CELL("address",AI107), "\$([A-Z]+)\$[0-9]+"))),_xlfn.REGEXEXTRACT(CELL("address",AI107), "\$([A-Z]+)\$[0-9]+"))</f>
        <v/>
      </c>
      <c r="AJ107" s="7" t="str">
        <f t="array" aca="1" ref="AJ107" ca="1">IFERROR(IF(OR('Raw Data'!AJ107="",LEN(TRIM('Raw Data'!AJ107))=0),"",IF(AND(ISNUMBER('Raw Data'!AJ107), IFERROR('Raw Data'!AJ107 = ROUND('Raw Data'!AJ107, 4),FALSE)),"",_xlfn.REGEXEXTRACT(CELL("address",AJ107), "\$([A-Z]+)\$[0-9]+"))),_xlfn.REGEXEXTRACT(CELL("address",AJ107), "\$([A-Z]+)\$[0-9]+"))</f>
        <v/>
      </c>
      <c r="AK107" s="7" t="str">
        <f t="array" aca="1" ref="AK107" ca="1">IFERROR(IF(OR('Raw Data'!AK107="",LEN(TRIM('Raw Data'!AK107))=0),"",IF(AND(ISNUMBER('Raw Data'!AK107), IFERROR('Raw Data'!AK107 = ROUND('Raw Data'!AK107, 2),FALSE)),"",_xlfn.REGEXEXTRACT(CELL("address",AK107), "\$([A-Z]+)\$[0-9]+"))),_xlfn.REGEXEXTRACT(CELL("address",AK107), "\$([A-Z]+)\$[0-9]+"))</f>
        <v/>
      </c>
      <c r="AL107" s="7" t="str">
        <f t="array" aca="1" ref="AL107" ca="1">IFERROR(IF(OR('Raw Data'!AL107="",LEN(TRIM('Raw Data'!AL107))=0),"",IF(AND(ISNUMBER('Raw Data'!AL107), IFERROR('Raw Data'!AL107 = ROUND('Raw Data'!AL107, 2),FALSE)),"",_xlfn.REGEXEXTRACT(CELL("address",AL107), "\$([A-Z]+)\$[0-9]+"))),_xlfn.REGEXEXTRACT(CELL("address",AL107), "\$([A-Z]+)\$[0-9]+"))</f>
        <v/>
      </c>
      <c r="AM107" s="7" t="str">
        <f t="array" aca="1" ref="AM107" ca="1">IFERROR(IF(OR('Raw Data'!AM107="",LEN(TRIM('Raw Data'!AM107))=0),"",IF(AND(ISNUMBER('Raw Data'!AM107), IFERROR('Raw Data'!AM107 = ROUND('Raw Data'!AM107, 2),FALSE)),"",_xlfn.REGEXEXTRACT(CELL("address",AM107), "\$([A-Z]+)\$[0-9]+"))),_xlfn.REGEXEXTRACT(CELL("address",AM107), "\$([A-Z]+)\$[0-9]+"))</f>
        <v/>
      </c>
      <c r="AN107" s="7" t="str">
        <f t="array" aca="1" ref="AN107" ca="1">IFERROR(IF(OR('Raw Data'!AN107="",LEN(TRIM('Raw Data'!AN107))=0),"",IF(AND(ISNUMBER('Raw Data'!AN107), IFERROR('Raw Data'!AN107 = ROUND('Raw Data'!AN107, 2),FALSE)),"",_xlfn.REGEXEXTRACT(CELL("address",AN107), "\$([A-Z]+)\$[0-9]+"))),_xlfn.REGEXEXTRACT(CELL("address",AN107), "\$([A-Z]+)\$[0-9]+"))</f>
        <v/>
      </c>
      <c r="AO107" s="7" t="str">
        <f t="array" aca="1" ref="AO107" ca="1">IFERROR(IF(OR('Raw Data'!AO107="",LEN(TRIM('Raw Data'!AO107))=0),"",IF(AND(ISNUMBER('Raw Data'!AO107), IFERROR('Raw Data'!AO107 = ROUND('Raw Data'!AO107, 2),FALSE)),"",_xlfn.REGEXEXTRACT(CELL("address",AO107), "\$([A-Z]+)\$[0-9]+"))),_xlfn.REGEXEXTRACT(CELL("address",AO107), "\$([A-Z]+)\$[0-9]+"))</f>
        <v/>
      </c>
      <c r="AP107" s="7" t="str">
        <f t="array" aca="1" ref="AP107" ca="1">IFERROR(IF(OR('Raw Data'!AP107="",LEN(TRIM('Raw Data'!AP107))=0),"",IF(AND(ISNUMBER('Raw Data'!AP107), IFERROR('Raw Data'!AP107 = ROUND('Raw Data'!AP107, 2),FALSE)),"",_xlfn.REGEXEXTRACT(CELL("address",AP107), "\$([A-Z]+)\$[0-9]+"))),_xlfn.REGEXEXTRACT(CELL("address",AP107), "\$([A-Z]+)\$[0-9]+"))</f>
        <v/>
      </c>
    </row>
    <row r="108" spans="2:42" x14ac:dyDescent="0.25">
      <c r="B108" s="7" t="str">
        <f t="array" aca="1" ref="B108" ca="1">IFERROR(IF(OR('Raw Data'!B108="",LEN(TRIM('Raw Data'!B108))=0),"",IF(AND(LEN('Raw Data'!B108) &lt;= 255,LEN('Raw Data'!B108)&gt; 0),"",_xlfn.REGEXEXTRACT(CELL("address",'Raw Data'!B108),"\$([A-Z]+)\$[0-9]+"))),_xlfn.REGEXEXTRACT(CELL("address",'Raw Data'!B108),"\$([A-Z]+)\$[0-9]+"))</f>
        <v/>
      </c>
      <c r="C108" s="7" t="str">
        <f t="array" aca="1" ref="C108" ca="1">IFERROR(IF(OR('Raw Data'!C108="",LEN(TRIM('Raw Data'!C108))=0),"",IF(AND(LEN('Raw Data'!C108) &lt;= 50,LEN('Raw Data'!C108)&gt; 0),"",_xlfn.REGEXEXTRACT(CELL("address",'Raw Data'!C108),"\$([A-Z]+)\$[0-9]+"))),_xlfn.REGEXEXTRACT(CELL("address",'Raw Data'!C108),"\$([A-Z]+)\$[0-9]+"))</f>
        <v/>
      </c>
      <c r="D108" s="7" t="str">
        <f t="array" aca="1" ref="D108" ca="1">IFERROR(IF(OR('Raw Data'!D108="",LEN(TRIM('Raw Data'!D108))=0),"",IF(AND(LEN('Raw Data'!D108) &lt;= 500,LEN('Raw Data'!D108)&gt; 0),"",_xlfn.REGEXEXTRACT(CELL("address",'Raw Data'!D108),"\$([A-Z]+)\$[0-9]+"))),_xlfn.REGEXEXTRACT(CELL("address",'Raw Data'!D108),"\$([A-Z]+)\$[0-9]+"))</f>
        <v/>
      </c>
      <c r="E108" s="7" t="str">
        <f t="array" aca="1" ref="E108" ca="1">IFERROR(IF(OR('Raw Data'!E108="",LEN(TRIM('Raw Data'!E108))=0),"",IF(AND(LEN('Raw Data'!E108) &lt;= 50,LEN('Raw Data'!E108)&gt; 0),"",_xlfn.REGEXEXTRACT(CELL("address",'Raw Data'!E108),"\$([A-Z]+)\$[0-9]+"))),_xlfn.REGEXEXTRACT(CELL("address",'Raw Data'!E108),"\$([A-Z]+)\$[0-9]+"))</f>
        <v/>
      </c>
      <c r="F108" s="7" t="str">
        <f t="array" aca="1" ref="F108" ca="1">IFERROR(IF(OR('Raw Data'!F108="",LEN(TRIM('Raw Data'!F108))=0),"",IF(AND(LEN('Raw Data'!F108) &lt;= 50,LEN('Raw Data'!F108)&gt; 0),"",_xlfn.REGEXEXTRACT(CELL("address",'Raw Data'!F108),"\$([A-Z]+)\$[0-9]+"))),_xlfn.REGEXEXTRACT(CELL("address",'Raw Data'!F108),"\$([A-Z]+)\$[0-9]+"))</f>
        <v/>
      </c>
      <c r="G108" s="7" t="str">
        <f t="array" aca="1" ref="G108" ca="1">IFERROR(IF(OR('Raw Data'!G108="",LEN(TRIM('Raw Data'!G108))=0),"",IF(AND(LEN('Raw Data'!G108) &lt;= 50,LEN('Raw Data'!G108)&gt; 0),"",_xlfn.REGEXEXTRACT(CELL("address",'Raw Data'!G108),"\$([A-Z]+)\$[0-9]+"))),_xlfn.REGEXEXTRACT(CELL("address",'Raw Data'!G108),"\$([A-Z]+)\$[0-9]+"))</f>
        <v/>
      </c>
      <c r="H108" s="7" t="str">
        <f t="array" aca="1" ref="H108" ca="1">IFERROR(IF(OR('Raw Data'!H108="",LEN(TRIM('Raw Data'!H108))=0),"",IF(AND(LEN('Raw Data'!H108) &lt;= 50,LEN('Raw Data'!H108)&gt; 0),"",_xlfn.REGEXEXTRACT(CELL("address",'Raw Data'!H108),"\$([A-Z]+)\$[0-9]+"))),_xlfn.REGEXEXTRACT(CELL("address",'Raw Data'!H108),"\$([A-Z]+)\$[0-9]+"))</f>
        <v/>
      </c>
      <c r="I108" s="7" t="str">
        <f t="array" aca="1" ref="I108" ca="1">IFERROR(IF(OR('Raw Data'!I108="",LEN(TRIM('Raw Data'!I108))=0),"",IF(AND(LEN('Raw Data'!I108) &lt;= 50,LEN('Raw Data'!I108)&gt; 0),"",_xlfn.REGEXEXTRACT(CELL("address",'Raw Data'!I108),"\$([A-Z]+)\$[0-9]+"))),_xlfn.REGEXEXTRACT(CELL("address",'Raw Data'!I108),"\$([A-Z]+)\$[0-9]+"))</f>
        <v/>
      </c>
      <c r="J108" s="7" t="str">
        <f t="array" aca="1" ref="J108" ca="1">IFERROR(IF(OR('Raw Data'!J108="",LEN(TRIM('Raw Data'!J108))=0),"",IF(AND(ISNUMBER('Raw Data'!J108), IFERROR('Raw Data'!J108 = ROUND('Raw Data'!J108, 2),FALSE)),"",_xlfn.REGEXEXTRACT(CELL("address",J108), "\$([A-Z]+)\$[0-9]+"))),_xlfn.REGEXEXTRACT(CELL("address",J108), "\$([A-Z]+)\$[0-9]+"))</f>
        <v/>
      </c>
      <c r="K108" s="7" t="str">
        <f t="array" aca="1" ref="K108" ca="1">IFERROR(IF(OR('Raw Data'!K108="",LEN(TRIM('Raw Data'!K108))=0),"",IF(AND(ISNUMBER('Raw Data'!K108), IFERROR('Raw Data'!K108 = ROUND('Raw Data'!K108, 2),FALSE)),"",_xlfn.REGEXEXTRACT(CELL("address",K108), "\$([A-Z]+)\$[0-9]+"))),_xlfn.REGEXEXTRACT(CELL("address",K108), "\$([A-Z]+)\$[0-9]+"))</f>
        <v/>
      </c>
      <c r="L108" s="7" t="str">
        <f t="array" aca="1" ref="L108" ca="1">IFERROR(IF(OR('Raw Data'!L108="",LEN(TRIM('Raw Data'!L108))=0),"",IF(AND(ISNUMBER('Raw Data'!L108), IFERROR('Raw Data'!L108 = ROUND('Raw Data'!L108, 2),FALSE)),"",_xlfn.REGEXEXTRACT(CELL("address",L108), "\$([A-Z]+)\$[0-9]+"))),_xlfn.REGEXEXTRACT(CELL("address",L108), "\$([A-Z]+)\$[0-9]+"))</f>
        <v/>
      </c>
      <c r="M108" s="7" t="str">
        <f t="array" aca="1" ref="M108" ca="1">IFERROR(IF(OR('Raw Data'!M108="",LEN(TRIM('Raw Data'!M108))=0),"",IF(AND(ISNUMBER('Raw Data'!M108), IFERROR('Raw Data'!M108 = ROUND('Raw Data'!M108, 2),FALSE)),"",_xlfn.REGEXEXTRACT(CELL("address",M108), "\$([A-Z]+)\$[0-9]+"))),_xlfn.REGEXEXTRACT(CELL("address",M108), "\$([A-Z]+)\$[0-9]+"))</f>
        <v/>
      </c>
      <c r="N108" s="7" t="str">
        <f t="array" aca="1" ref="N108" ca="1">IFERROR(IF(OR('Raw Data'!N108="",LEN(TRIM('Raw Data'!N108))=0),"",IF(AND(ISNUMBER('Raw Data'!N108), IFERROR('Raw Data'!N108 = ROUND('Raw Data'!N108, 2),FALSE)),"",_xlfn.REGEXEXTRACT(CELL("address",N108), "\$([A-Z]+)\$[0-9]+"))),_xlfn.REGEXEXTRACT(CELL("address",N108), "\$([A-Z]+)\$[0-9]+"))</f>
        <v/>
      </c>
      <c r="O108" s="7" t="str">
        <f t="array" aca="1" ref="O108" ca="1">IFERROR(IF(OR('Raw Data'!O108="",LEN(TRIM('Raw Data'!O108))=0),"",IF(AND(ISNUMBER('Raw Data'!O108),'Raw Data'!O108&gt;=Configuration!$D$2),"",_xlfn.REGEXEXTRACT(CELL("address",'Raw Data'!O108),"\$([A-Z]+)\$[0-9]+"))),_xlfn.REGEXEXTRACT(CELL("address",O108), "\$([A-Z]+)\$[0-9]+"))</f>
        <v/>
      </c>
      <c r="P108" s="7" t="str">
        <f t="array" aca="1" ref="P108" ca="1">IFERROR(IF(OR('Raw Data'!P108="",LEN(TRIM('Raw Data'!P108))=0),"",IF(AND(ISNUMBER('Raw Data'!P108), IFERROR('Raw Data'!P108 = ROUND('Raw Data'!P108, 2),FALSE)),"",_xlfn.REGEXEXTRACT(CELL("address",P108), "\$([A-Z]+)\$[0-9]+"))),_xlfn.REGEXEXTRACT(CELL("address",P108), "\$([A-Z]+)\$[0-9]+"))</f>
        <v/>
      </c>
      <c r="Q108" s="7" t="str">
        <f t="array" aca="1" ref="Q108" ca="1">IFERROR(IF(OR('Raw Data'!Q108="",LEN(TRIM('Raw Data'!Q108))=0),"",IF(AND(ISNUMBER('Raw Data'!Q108), IFERROR('Raw Data'!Q108 = ROUND('Raw Data'!Q108, 2),FALSE)),"",_xlfn.REGEXEXTRACT(CELL("address",Q108), "\$([A-Z]+)\$[0-9]+"))),_xlfn.REGEXEXTRACT(CELL("address",Q108), "\$([A-Z]+)\$[0-9]+"))</f>
        <v/>
      </c>
      <c r="R108" s="7" t="str">
        <f t="array" aca="1" ref="R108" ca="1">IFERROR(IF(OR('Raw Data'!R108="",LEN(TRIM('Raw Data'!R108))=0),"",IF(AND(LEN('Raw Data'!R108) &lt;= 50,LEN('Raw Data'!R108)&gt; 0),"",_xlfn.REGEXEXTRACT(CELL("address",'Raw Data'!R108),"\$([A-Z]+)\$[0-9]+"))),_xlfn.REGEXEXTRACT(CELL("address",'Raw Data'!R108),"\$([A-Z]+)\$[0-9]+"))</f>
        <v/>
      </c>
      <c r="S108" s="7" t="str">
        <f t="array" aca="1" ref="S108" ca="1">IFERROR(IF(OR('Raw Data'!S108="",LEN(TRIM('Raw Data'!S108))=0),"",IF(AND(LEN('Raw Data'!S108) &lt;= 50,LEN('Raw Data'!S108)&gt; 0),"",_xlfn.REGEXEXTRACT(CELL("address",'Raw Data'!S108),"\$([A-Z]+)\$[0-9]+"))),_xlfn.REGEXEXTRACT(CELL("address",'Raw Data'!S108),"\$([A-Z]+)\$[0-9]+"))</f>
        <v/>
      </c>
      <c r="T108" s="7" t="str">
        <f t="array" aca="1" ref="T108" ca="1">IFERROR(IF(OR('Raw Data'!T108="",LEN(TRIM('Raw Data'!T108))=0),"",IF(AND(ISNUMBER('Raw Data'!T108), IFERROR('Raw Data'!T108 = ROUND('Raw Data'!T108, 2),FALSE)),"",_xlfn.REGEXEXTRACT(CELL("address",T108), "\$([A-Z]+)\$[0-9]+"))),_xlfn.REGEXEXTRACT(CELL("address",T108), "\$([A-Z]+)\$[0-9]+"))</f>
        <v/>
      </c>
      <c r="U108" s="7" t="str">
        <f t="array" aca="1" ref="U108" ca="1">IFERROR(IF(OR('Raw Data'!U108="",LEN(TRIM('Raw Data'!U108))=0),"",IF(AND(ISNUMBER('Raw Data'!U108), IFERROR('Raw Data'!U108 = ROUND('Raw Data'!U108, 2),FALSE)),"",_xlfn.REGEXEXTRACT(CELL("address",U108), "\$([A-Z]+)\$[0-9]+"))),_xlfn.REGEXEXTRACT(CELL("address",U108), "\$([A-Z]+)\$[0-9]+"))</f>
        <v/>
      </c>
      <c r="V108" s="7" t="str">
        <f t="array" aca="1" ref="V108" ca="1">IFERROR(IF(OR('Raw Data'!V108="",LEN(TRIM('Raw Data'!V108))=0),"",IF(AND(ISNUMBER('Raw Data'!V108), IFERROR('Raw Data'!V108 = ROUND('Raw Data'!V108, 2),FALSE)),"",_xlfn.REGEXEXTRACT(CELL("address",V108), "\$([A-Z]+)\$[0-9]+"))),_xlfn.REGEXEXTRACT(CELL("address",V108), "\$([A-Z]+)\$[0-9]+"))</f>
        <v/>
      </c>
      <c r="W108" s="7" t="str">
        <f t="array" aca="1" ref="W108" ca="1">IFERROR(IF(OR('Raw Data'!W108="",LEN(TRIM('Raw Data'!W108))=0),"",IF(AND(ISNUMBER('Raw Data'!W108), IFERROR('Raw Data'!W108 = ROUND('Raw Data'!W108, 2),FALSE)),"",_xlfn.REGEXEXTRACT(CELL("address",W108), "\$([A-Z]+)\$[0-9]+"))),_xlfn.REGEXEXTRACT(CELL("address",W108), "\$([A-Z]+)\$[0-9]+"))</f>
        <v/>
      </c>
      <c r="X108" s="7" t="str">
        <f t="array" aca="1" ref="X108" ca="1">IFERROR(IF(OR('Raw Data'!X108="",LEN(TRIM('Raw Data'!X108))=0),"",IF(AND(ISNUMBER('Raw Data'!X108), IFERROR('Raw Data'!X108 = ROUND('Raw Data'!X108, 2),FALSE)),"",_xlfn.REGEXEXTRACT(CELL("address",X108), "\$([A-Z]+)\$[0-9]+"))),_xlfn.REGEXEXTRACT(CELL("address",X108), "\$([A-Z]+)\$[0-9]+"))</f>
        <v/>
      </c>
      <c r="Y108" s="7" t="str">
        <f t="array" aca="1" ref="Y108" ca="1">IFERROR(IF(OR('Raw Data'!Y108="",LEN(TRIM('Raw Data'!Y108))=0),"",IF(AND(ISNUMBER('Raw Data'!Y108), IFERROR('Raw Data'!Y108 = ROUND('Raw Data'!Y108, 2),FALSE)),"",_xlfn.REGEXEXTRACT(CELL("address",Y108), "\$([A-Z]+)\$[0-9]+"))),_xlfn.REGEXEXTRACT(CELL("address",Y108), "\$([A-Z]+)\$[0-9]+"))</f>
        <v/>
      </c>
      <c r="Z108" s="7" t="str">
        <f t="array" aca="1" ref="Z108" ca="1">IFERROR(IF(OR('Raw Data'!Z108="",LEN(TRIM('Raw Data'!Z108))=0),"",IF(AND(ISNUMBER('Raw Data'!Z108), IFERROR('Raw Data'!Z108 = ROUND('Raw Data'!Z108, 2),FALSE)),"",_xlfn.REGEXEXTRACT(CELL("address",Z108), "\$([A-Z]+)\$[0-9]+"))),_xlfn.REGEXEXTRACT(CELL("address",Z108), "\$([A-Z]+)\$[0-9]+"))</f>
        <v/>
      </c>
      <c r="AA108" s="7" t="str">
        <f t="array" aca="1" ref="AA108" ca="1">IFERROR(IF(OR('Raw Data'!AA108="",LEN(TRIM('Raw Data'!AA108))=0),"",IF(AND(ISNUMBER('Raw Data'!AA108), IFERROR('Raw Data'!AA108 = ROUND('Raw Data'!AA108, 2),FALSE)),"",_xlfn.REGEXEXTRACT(CELL("address",AA108), "\$([A-Z]+)\$[0-9]+"))),_xlfn.REGEXEXTRACT(CELL("address",AA108), "\$([A-Z]+)\$[0-9]+"))</f>
        <v/>
      </c>
      <c r="AB108" s="7" t="str">
        <f t="array" aca="1" ref="AB108" ca="1">IFERROR(IF(OR('Raw Data'!AB108="",LEN(TRIM('Raw Data'!AB108))=0),"",IF(AND(ISNUMBER('Raw Data'!AB108), IFERROR('Raw Data'!AB108 = ROUND('Raw Data'!AB108, 2),FALSE)),"",_xlfn.REGEXEXTRACT(CELL("address",AB108), "\$([A-Z]+)\$[0-9]+"))),_xlfn.REGEXEXTRACT(CELL("address",AB108), "\$([A-Z]+)\$[0-9]+"))</f>
        <v/>
      </c>
      <c r="AC108" s="7" t="str">
        <f t="array" aca="1" ref="AC108" ca="1">IFERROR(IF(OR('Raw Data'!AC108="",LEN(TRIM('Raw Data'!AC108))=0),"",IF(AND(ISNUMBER('Raw Data'!AC108), IFERROR('Raw Data'!AC108 = ROUND('Raw Data'!AC108, 2),FALSE)),"",_xlfn.REGEXEXTRACT(CELL("address",AC108), "\$([A-Z]+)\$[0-9]+"))),_xlfn.REGEXEXTRACT(CELL("address",AC108), "\$([A-Z]+)\$[0-9]+"))</f>
        <v/>
      </c>
      <c r="AD108" s="7" t="str">
        <f t="array" aca="1" ref="AD108" ca="1">IFERROR(IF(OR('Raw Data'!AD108="",LEN(TRIM('Raw Data'!AD108))=0),"",IF(AND(ISNUMBER('Raw Data'!AD108), IFERROR('Raw Data'!AD108 = ROUND('Raw Data'!AD108, 2),FALSE)),"",_xlfn.REGEXEXTRACT(CELL("address",AD108), "\$([A-Z]+)\$[0-9]+"))),_xlfn.REGEXEXTRACT(CELL("address",AD108), "\$([A-Z]+)\$[0-9]+"))</f>
        <v/>
      </c>
      <c r="AE108" s="7" t="str">
        <f t="array" aca="1" ref="AE108" ca="1">IFERROR(IF(OR('Raw Data'!AE108="",LEN(TRIM('Raw Data'!AE108))=0),"",IF(AND(ISNUMBER('Raw Data'!AE108), IFERROR('Raw Data'!AE108 = ROUND('Raw Data'!AE108, 2),FALSE)),"",_xlfn.REGEXEXTRACT(CELL("address",AE108), "\$([A-Z]+)\$[0-9]+"))),_xlfn.REGEXEXTRACT(CELL("address",AE108), "\$([A-Z]+)\$[0-9]+"))</f>
        <v/>
      </c>
      <c r="AF108" s="7" t="str">
        <f t="array" aca="1" ref="AF108" ca="1">IFERROR(IF(OR('Raw Data'!AF108="",LEN(TRIM('Raw Data'!AF108))=0),"",IF(AND(ISNUMBER('Raw Data'!AF108), IFERROR('Raw Data'!AF108 = ROUND('Raw Data'!AF108, 2),FALSE)),"",_xlfn.REGEXEXTRACT(CELL("address",AF108), "\$([A-Z]+)\$[0-9]+"))),_xlfn.REGEXEXTRACT(CELL("address",AF108), "\$([A-Z]+)\$[0-9]+"))</f>
        <v/>
      </c>
      <c r="AG108" s="7" t="str">
        <f t="array" aca="1" ref="AG108" ca="1">IFERROR(IF(OR('Raw Data'!AG108="",LEN(TRIM('Raw Data'!AG108))=0),"",IF(AND(ISNUMBER('Raw Data'!AG108), IFERROR('Raw Data'!AG108 = ROUND('Raw Data'!AG108, 2),FALSE)),"",_xlfn.REGEXEXTRACT(CELL("address",AG108), "\$([A-Z]+)\$[0-9]+"))),_xlfn.REGEXEXTRACT(CELL("address",AG108), "\$([A-Z]+)\$[0-9]+"))</f>
        <v/>
      </c>
      <c r="AH108" s="7" t="str">
        <f t="array" aca="1" ref="AH108" ca="1">IFERROR(IF(OR('Raw Data'!AH108="",LEN(TRIM('Raw Data'!AH108))=0),"",IF(AND(ISNUMBER('Raw Data'!AH108), IFERROR('Raw Data'!AH108 = ROUND('Raw Data'!AH108, 2),FALSE)),"",_xlfn.REGEXEXTRACT(CELL("address",AH108), "\$([A-Z]+)\$[0-9]+"))),_xlfn.REGEXEXTRACT(CELL("address",AH108), "\$([A-Z]+)\$[0-9]+"))</f>
        <v/>
      </c>
      <c r="AI108" s="7" t="str">
        <f t="array" aca="1" ref="AI108" ca="1">IFERROR(IF(OR('Raw Data'!AI108="",LEN(TRIM('Raw Data'!AI108))=0),"",IF(AND(ISNUMBER('Raw Data'!AI108), IFERROR('Raw Data'!AI108 = ROUND('Raw Data'!AI108, 2),FALSE)),"",_xlfn.REGEXEXTRACT(CELL("address",AI108), "\$([A-Z]+)\$[0-9]+"))),_xlfn.REGEXEXTRACT(CELL("address",AI108), "\$([A-Z]+)\$[0-9]+"))</f>
        <v/>
      </c>
      <c r="AJ108" s="7" t="str">
        <f t="array" aca="1" ref="AJ108" ca="1">IFERROR(IF(OR('Raw Data'!AJ108="",LEN(TRIM('Raw Data'!AJ108))=0),"",IF(AND(ISNUMBER('Raw Data'!AJ108), IFERROR('Raw Data'!AJ108 = ROUND('Raw Data'!AJ108, 4),FALSE)),"",_xlfn.REGEXEXTRACT(CELL("address",AJ108), "\$([A-Z]+)\$[0-9]+"))),_xlfn.REGEXEXTRACT(CELL("address",AJ108), "\$([A-Z]+)\$[0-9]+"))</f>
        <v/>
      </c>
      <c r="AK108" s="7" t="str">
        <f t="array" aca="1" ref="AK108" ca="1">IFERROR(IF(OR('Raw Data'!AK108="",LEN(TRIM('Raw Data'!AK108))=0),"",IF(AND(ISNUMBER('Raw Data'!AK108), IFERROR('Raw Data'!AK108 = ROUND('Raw Data'!AK108, 2),FALSE)),"",_xlfn.REGEXEXTRACT(CELL("address",AK108), "\$([A-Z]+)\$[0-9]+"))),_xlfn.REGEXEXTRACT(CELL("address",AK108), "\$([A-Z]+)\$[0-9]+"))</f>
        <v/>
      </c>
      <c r="AL108" s="7" t="str">
        <f t="array" aca="1" ref="AL108" ca="1">IFERROR(IF(OR('Raw Data'!AL108="",LEN(TRIM('Raw Data'!AL108))=0),"",IF(AND(ISNUMBER('Raw Data'!AL108), IFERROR('Raw Data'!AL108 = ROUND('Raw Data'!AL108, 2),FALSE)),"",_xlfn.REGEXEXTRACT(CELL("address",AL108), "\$([A-Z]+)\$[0-9]+"))),_xlfn.REGEXEXTRACT(CELL("address",AL108), "\$([A-Z]+)\$[0-9]+"))</f>
        <v/>
      </c>
      <c r="AM108" s="7" t="str">
        <f t="array" aca="1" ref="AM108" ca="1">IFERROR(IF(OR('Raw Data'!AM108="",LEN(TRIM('Raw Data'!AM108))=0),"",IF(AND(ISNUMBER('Raw Data'!AM108), IFERROR('Raw Data'!AM108 = ROUND('Raw Data'!AM108, 2),FALSE)),"",_xlfn.REGEXEXTRACT(CELL("address",AM108), "\$([A-Z]+)\$[0-9]+"))),_xlfn.REGEXEXTRACT(CELL("address",AM108), "\$([A-Z]+)\$[0-9]+"))</f>
        <v/>
      </c>
      <c r="AN108" s="7" t="str">
        <f t="array" aca="1" ref="AN108" ca="1">IFERROR(IF(OR('Raw Data'!AN108="",LEN(TRIM('Raw Data'!AN108))=0),"",IF(AND(ISNUMBER('Raw Data'!AN108), IFERROR('Raw Data'!AN108 = ROUND('Raw Data'!AN108, 2),FALSE)),"",_xlfn.REGEXEXTRACT(CELL("address",AN108), "\$([A-Z]+)\$[0-9]+"))),_xlfn.REGEXEXTRACT(CELL("address",AN108), "\$([A-Z]+)\$[0-9]+"))</f>
        <v/>
      </c>
      <c r="AO108" s="7" t="str">
        <f t="array" aca="1" ref="AO108" ca="1">IFERROR(IF(OR('Raw Data'!AO108="",LEN(TRIM('Raw Data'!AO108))=0),"",IF(AND(ISNUMBER('Raw Data'!AO108), IFERROR('Raw Data'!AO108 = ROUND('Raw Data'!AO108, 2),FALSE)),"",_xlfn.REGEXEXTRACT(CELL("address",AO108), "\$([A-Z]+)\$[0-9]+"))),_xlfn.REGEXEXTRACT(CELL("address",AO108), "\$([A-Z]+)\$[0-9]+"))</f>
        <v/>
      </c>
      <c r="AP108" s="7" t="str">
        <f t="array" aca="1" ref="AP108" ca="1">IFERROR(IF(OR('Raw Data'!AP108="",LEN(TRIM('Raw Data'!AP108))=0),"",IF(AND(ISNUMBER('Raw Data'!AP108), IFERROR('Raw Data'!AP108 = ROUND('Raw Data'!AP108, 2),FALSE)),"",_xlfn.REGEXEXTRACT(CELL("address",AP108), "\$([A-Z]+)\$[0-9]+"))),_xlfn.REGEXEXTRACT(CELL("address",AP108), "\$([A-Z]+)\$[0-9]+"))</f>
        <v/>
      </c>
    </row>
    <row r="109" spans="2:42" x14ac:dyDescent="0.25">
      <c r="B109" s="7" t="str">
        <f t="array" aca="1" ref="B109" ca="1">IFERROR(IF(OR('Raw Data'!B109="",LEN(TRIM('Raw Data'!B109))=0),"",IF(AND(LEN('Raw Data'!B109) &lt;= 255,LEN('Raw Data'!B109)&gt; 0),"",_xlfn.REGEXEXTRACT(CELL("address",'Raw Data'!B109),"\$([A-Z]+)\$[0-9]+"))),_xlfn.REGEXEXTRACT(CELL("address",'Raw Data'!B109),"\$([A-Z]+)\$[0-9]+"))</f>
        <v/>
      </c>
      <c r="C109" s="7" t="str">
        <f t="array" aca="1" ref="C109" ca="1">IFERROR(IF(OR('Raw Data'!C109="",LEN(TRIM('Raw Data'!C109))=0),"",IF(AND(LEN('Raw Data'!C109) &lt;= 50,LEN('Raw Data'!C109)&gt; 0),"",_xlfn.REGEXEXTRACT(CELL("address",'Raw Data'!C109),"\$([A-Z]+)\$[0-9]+"))),_xlfn.REGEXEXTRACT(CELL("address",'Raw Data'!C109),"\$([A-Z]+)\$[0-9]+"))</f>
        <v/>
      </c>
      <c r="D109" s="7" t="str">
        <f t="array" aca="1" ref="D109" ca="1">IFERROR(IF(OR('Raw Data'!D109="",LEN(TRIM('Raw Data'!D109))=0),"",IF(AND(LEN('Raw Data'!D109) &lt;= 500,LEN('Raw Data'!D109)&gt; 0),"",_xlfn.REGEXEXTRACT(CELL("address",'Raw Data'!D109),"\$([A-Z]+)\$[0-9]+"))),_xlfn.REGEXEXTRACT(CELL("address",'Raw Data'!D109),"\$([A-Z]+)\$[0-9]+"))</f>
        <v/>
      </c>
      <c r="E109" s="7" t="str">
        <f t="array" aca="1" ref="E109" ca="1">IFERROR(IF(OR('Raw Data'!E109="",LEN(TRIM('Raw Data'!E109))=0),"",IF(AND(LEN('Raw Data'!E109) &lt;= 50,LEN('Raw Data'!E109)&gt; 0),"",_xlfn.REGEXEXTRACT(CELL("address",'Raw Data'!E109),"\$([A-Z]+)\$[0-9]+"))),_xlfn.REGEXEXTRACT(CELL("address",'Raw Data'!E109),"\$([A-Z]+)\$[0-9]+"))</f>
        <v/>
      </c>
      <c r="F109" s="7" t="str">
        <f t="array" aca="1" ref="F109" ca="1">IFERROR(IF(OR('Raw Data'!F109="",LEN(TRIM('Raw Data'!F109))=0),"",IF(AND(LEN('Raw Data'!F109) &lt;= 50,LEN('Raw Data'!F109)&gt; 0),"",_xlfn.REGEXEXTRACT(CELL("address",'Raw Data'!F109),"\$([A-Z]+)\$[0-9]+"))),_xlfn.REGEXEXTRACT(CELL("address",'Raw Data'!F109),"\$([A-Z]+)\$[0-9]+"))</f>
        <v/>
      </c>
      <c r="G109" s="7" t="str">
        <f t="array" aca="1" ref="G109" ca="1">IFERROR(IF(OR('Raw Data'!G109="",LEN(TRIM('Raw Data'!G109))=0),"",IF(AND(LEN('Raw Data'!G109) &lt;= 50,LEN('Raw Data'!G109)&gt; 0),"",_xlfn.REGEXEXTRACT(CELL("address",'Raw Data'!G109),"\$([A-Z]+)\$[0-9]+"))),_xlfn.REGEXEXTRACT(CELL("address",'Raw Data'!G109),"\$([A-Z]+)\$[0-9]+"))</f>
        <v/>
      </c>
      <c r="H109" s="7" t="str">
        <f t="array" aca="1" ref="H109" ca="1">IFERROR(IF(OR('Raw Data'!H109="",LEN(TRIM('Raw Data'!H109))=0),"",IF(AND(LEN('Raw Data'!H109) &lt;= 50,LEN('Raw Data'!H109)&gt; 0),"",_xlfn.REGEXEXTRACT(CELL("address",'Raw Data'!H109),"\$([A-Z]+)\$[0-9]+"))),_xlfn.REGEXEXTRACT(CELL("address",'Raw Data'!H109),"\$([A-Z]+)\$[0-9]+"))</f>
        <v/>
      </c>
      <c r="I109" s="7" t="str">
        <f t="array" aca="1" ref="I109" ca="1">IFERROR(IF(OR('Raw Data'!I109="",LEN(TRIM('Raw Data'!I109))=0),"",IF(AND(LEN('Raw Data'!I109) &lt;= 50,LEN('Raw Data'!I109)&gt; 0),"",_xlfn.REGEXEXTRACT(CELL("address",'Raw Data'!I109),"\$([A-Z]+)\$[0-9]+"))),_xlfn.REGEXEXTRACT(CELL("address",'Raw Data'!I109),"\$([A-Z]+)\$[0-9]+"))</f>
        <v/>
      </c>
      <c r="J109" s="7" t="str">
        <f t="array" aca="1" ref="J109" ca="1">IFERROR(IF(OR('Raw Data'!J109="",LEN(TRIM('Raw Data'!J109))=0),"",IF(AND(ISNUMBER('Raw Data'!J109), IFERROR('Raw Data'!J109 = ROUND('Raw Data'!J109, 2),FALSE)),"",_xlfn.REGEXEXTRACT(CELL("address",J109), "\$([A-Z]+)\$[0-9]+"))),_xlfn.REGEXEXTRACT(CELL("address",J109), "\$([A-Z]+)\$[0-9]+"))</f>
        <v/>
      </c>
      <c r="K109" s="7" t="str">
        <f t="array" aca="1" ref="K109" ca="1">IFERROR(IF(OR('Raw Data'!K109="",LEN(TRIM('Raw Data'!K109))=0),"",IF(AND(ISNUMBER('Raw Data'!K109), IFERROR('Raw Data'!K109 = ROUND('Raw Data'!K109, 2),FALSE)),"",_xlfn.REGEXEXTRACT(CELL("address",K109), "\$([A-Z]+)\$[0-9]+"))),_xlfn.REGEXEXTRACT(CELL("address",K109), "\$([A-Z]+)\$[0-9]+"))</f>
        <v/>
      </c>
      <c r="L109" s="7" t="str">
        <f t="array" aca="1" ref="L109" ca="1">IFERROR(IF(OR('Raw Data'!L109="",LEN(TRIM('Raw Data'!L109))=0),"",IF(AND(ISNUMBER('Raw Data'!L109), IFERROR('Raw Data'!L109 = ROUND('Raw Data'!L109, 2),FALSE)),"",_xlfn.REGEXEXTRACT(CELL("address",L109), "\$([A-Z]+)\$[0-9]+"))),_xlfn.REGEXEXTRACT(CELL("address",L109), "\$([A-Z]+)\$[0-9]+"))</f>
        <v/>
      </c>
      <c r="M109" s="7" t="str">
        <f t="array" aca="1" ref="M109" ca="1">IFERROR(IF(OR('Raw Data'!M109="",LEN(TRIM('Raw Data'!M109))=0),"",IF(AND(ISNUMBER('Raw Data'!M109), IFERROR('Raw Data'!M109 = ROUND('Raw Data'!M109, 2),FALSE)),"",_xlfn.REGEXEXTRACT(CELL("address",M109), "\$([A-Z]+)\$[0-9]+"))),_xlfn.REGEXEXTRACT(CELL("address",M109), "\$([A-Z]+)\$[0-9]+"))</f>
        <v/>
      </c>
      <c r="N109" s="7" t="str">
        <f t="array" aca="1" ref="N109" ca="1">IFERROR(IF(OR('Raw Data'!N109="",LEN(TRIM('Raw Data'!N109))=0),"",IF(AND(ISNUMBER('Raw Data'!N109), IFERROR('Raw Data'!N109 = ROUND('Raw Data'!N109, 2),FALSE)),"",_xlfn.REGEXEXTRACT(CELL("address",N109), "\$([A-Z]+)\$[0-9]+"))),_xlfn.REGEXEXTRACT(CELL("address",N109), "\$([A-Z]+)\$[0-9]+"))</f>
        <v/>
      </c>
      <c r="O109" s="7" t="str">
        <f t="array" aca="1" ref="O109" ca="1">IFERROR(IF(OR('Raw Data'!O109="",LEN(TRIM('Raw Data'!O109))=0),"",IF(AND(ISNUMBER('Raw Data'!O109),'Raw Data'!O109&gt;=Configuration!$D$2),"",_xlfn.REGEXEXTRACT(CELL("address",'Raw Data'!O109),"\$([A-Z]+)\$[0-9]+"))),_xlfn.REGEXEXTRACT(CELL("address",O109), "\$([A-Z]+)\$[0-9]+"))</f>
        <v/>
      </c>
      <c r="P109" s="7" t="str">
        <f t="array" aca="1" ref="P109" ca="1">IFERROR(IF(OR('Raw Data'!P109="",LEN(TRIM('Raw Data'!P109))=0),"",IF(AND(ISNUMBER('Raw Data'!P109), IFERROR('Raw Data'!P109 = ROUND('Raw Data'!P109, 2),FALSE)),"",_xlfn.REGEXEXTRACT(CELL("address",P109), "\$([A-Z]+)\$[0-9]+"))),_xlfn.REGEXEXTRACT(CELL("address",P109), "\$([A-Z]+)\$[0-9]+"))</f>
        <v/>
      </c>
      <c r="Q109" s="7" t="str">
        <f t="array" aca="1" ref="Q109" ca="1">IFERROR(IF(OR('Raw Data'!Q109="",LEN(TRIM('Raw Data'!Q109))=0),"",IF(AND(ISNUMBER('Raw Data'!Q109), IFERROR('Raw Data'!Q109 = ROUND('Raw Data'!Q109, 2),FALSE)),"",_xlfn.REGEXEXTRACT(CELL("address",Q109), "\$([A-Z]+)\$[0-9]+"))),_xlfn.REGEXEXTRACT(CELL("address",Q109), "\$([A-Z]+)\$[0-9]+"))</f>
        <v/>
      </c>
      <c r="R109" s="7" t="str">
        <f t="array" aca="1" ref="R109" ca="1">IFERROR(IF(OR('Raw Data'!R109="",LEN(TRIM('Raw Data'!R109))=0),"",IF(AND(LEN('Raw Data'!R109) &lt;= 50,LEN('Raw Data'!R109)&gt; 0),"",_xlfn.REGEXEXTRACT(CELL("address",'Raw Data'!R109),"\$([A-Z]+)\$[0-9]+"))),_xlfn.REGEXEXTRACT(CELL("address",'Raw Data'!R109),"\$([A-Z]+)\$[0-9]+"))</f>
        <v/>
      </c>
      <c r="S109" s="7" t="str">
        <f t="array" aca="1" ref="S109" ca="1">IFERROR(IF(OR('Raw Data'!S109="",LEN(TRIM('Raw Data'!S109))=0),"",IF(AND(LEN('Raw Data'!S109) &lt;= 50,LEN('Raw Data'!S109)&gt; 0),"",_xlfn.REGEXEXTRACT(CELL("address",'Raw Data'!S109),"\$([A-Z]+)\$[0-9]+"))),_xlfn.REGEXEXTRACT(CELL("address",'Raw Data'!S109),"\$([A-Z]+)\$[0-9]+"))</f>
        <v/>
      </c>
      <c r="T109" s="7" t="str">
        <f t="array" aca="1" ref="T109" ca="1">IFERROR(IF(OR('Raw Data'!T109="",LEN(TRIM('Raw Data'!T109))=0),"",IF(AND(ISNUMBER('Raw Data'!T109), IFERROR('Raw Data'!T109 = ROUND('Raw Data'!T109, 2),FALSE)),"",_xlfn.REGEXEXTRACT(CELL("address",T109), "\$([A-Z]+)\$[0-9]+"))),_xlfn.REGEXEXTRACT(CELL("address",T109), "\$([A-Z]+)\$[0-9]+"))</f>
        <v/>
      </c>
      <c r="U109" s="7" t="str">
        <f t="array" aca="1" ref="U109" ca="1">IFERROR(IF(OR('Raw Data'!U109="",LEN(TRIM('Raw Data'!U109))=0),"",IF(AND(ISNUMBER('Raw Data'!U109), IFERROR('Raw Data'!U109 = ROUND('Raw Data'!U109, 2),FALSE)),"",_xlfn.REGEXEXTRACT(CELL("address",U109), "\$([A-Z]+)\$[0-9]+"))),_xlfn.REGEXEXTRACT(CELL("address",U109), "\$([A-Z]+)\$[0-9]+"))</f>
        <v/>
      </c>
      <c r="V109" s="7" t="str">
        <f t="array" aca="1" ref="V109" ca="1">IFERROR(IF(OR('Raw Data'!V109="",LEN(TRIM('Raw Data'!V109))=0),"",IF(AND(ISNUMBER('Raw Data'!V109), IFERROR('Raw Data'!V109 = ROUND('Raw Data'!V109, 2),FALSE)),"",_xlfn.REGEXEXTRACT(CELL("address",V109), "\$([A-Z]+)\$[0-9]+"))),_xlfn.REGEXEXTRACT(CELL("address",V109), "\$([A-Z]+)\$[0-9]+"))</f>
        <v/>
      </c>
      <c r="W109" s="7" t="str">
        <f t="array" aca="1" ref="W109" ca="1">IFERROR(IF(OR('Raw Data'!W109="",LEN(TRIM('Raw Data'!W109))=0),"",IF(AND(ISNUMBER('Raw Data'!W109), IFERROR('Raw Data'!W109 = ROUND('Raw Data'!W109, 2),FALSE)),"",_xlfn.REGEXEXTRACT(CELL("address",W109), "\$([A-Z]+)\$[0-9]+"))),_xlfn.REGEXEXTRACT(CELL("address",W109), "\$([A-Z]+)\$[0-9]+"))</f>
        <v/>
      </c>
      <c r="X109" s="7" t="str">
        <f t="array" aca="1" ref="X109" ca="1">IFERROR(IF(OR('Raw Data'!X109="",LEN(TRIM('Raw Data'!X109))=0),"",IF(AND(ISNUMBER('Raw Data'!X109), IFERROR('Raw Data'!X109 = ROUND('Raw Data'!X109, 2),FALSE)),"",_xlfn.REGEXEXTRACT(CELL("address",X109), "\$([A-Z]+)\$[0-9]+"))),_xlfn.REGEXEXTRACT(CELL("address",X109), "\$([A-Z]+)\$[0-9]+"))</f>
        <v/>
      </c>
      <c r="Y109" s="7" t="str">
        <f t="array" aca="1" ref="Y109" ca="1">IFERROR(IF(OR('Raw Data'!Y109="",LEN(TRIM('Raw Data'!Y109))=0),"",IF(AND(ISNUMBER('Raw Data'!Y109), IFERROR('Raw Data'!Y109 = ROUND('Raw Data'!Y109, 2),FALSE)),"",_xlfn.REGEXEXTRACT(CELL("address",Y109), "\$([A-Z]+)\$[0-9]+"))),_xlfn.REGEXEXTRACT(CELL("address",Y109), "\$([A-Z]+)\$[0-9]+"))</f>
        <v/>
      </c>
      <c r="Z109" s="7" t="str">
        <f t="array" aca="1" ref="Z109" ca="1">IFERROR(IF(OR('Raw Data'!Z109="",LEN(TRIM('Raw Data'!Z109))=0),"",IF(AND(ISNUMBER('Raw Data'!Z109), IFERROR('Raw Data'!Z109 = ROUND('Raw Data'!Z109, 2),FALSE)),"",_xlfn.REGEXEXTRACT(CELL("address",Z109), "\$([A-Z]+)\$[0-9]+"))),_xlfn.REGEXEXTRACT(CELL("address",Z109), "\$([A-Z]+)\$[0-9]+"))</f>
        <v/>
      </c>
      <c r="AA109" s="7" t="str">
        <f t="array" aca="1" ref="AA109" ca="1">IFERROR(IF(OR('Raw Data'!AA109="",LEN(TRIM('Raw Data'!AA109))=0),"",IF(AND(ISNUMBER('Raw Data'!AA109), IFERROR('Raw Data'!AA109 = ROUND('Raw Data'!AA109, 2),FALSE)),"",_xlfn.REGEXEXTRACT(CELL("address",AA109), "\$([A-Z]+)\$[0-9]+"))),_xlfn.REGEXEXTRACT(CELL("address",AA109), "\$([A-Z]+)\$[0-9]+"))</f>
        <v/>
      </c>
      <c r="AB109" s="7" t="str">
        <f t="array" aca="1" ref="AB109" ca="1">IFERROR(IF(OR('Raw Data'!AB109="",LEN(TRIM('Raw Data'!AB109))=0),"",IF(AND(ISNUMBER('Raw Data'!AB109), IFERROR('Raw Data'!AB109 = ROUND('Raw Data'!AB109, 2),FALSE)),"",_xlfn.REGEXEXTRACT(CELL("address",AB109), "\$([A-Z]+)\$[0-9]+"))),_xlfn.REGEXEXTRACT(CELL("address",AB109), "\$([A-Z]+)\$[0-9]+"))</f>
        <v/>
      </c>
      <c r="AC109" s="7" t="str">
        <f t="array" aca="1" ref="AC109" ca="1">IFERROR(IF(OR('Raw Data'!AC109="",LEN(TRIM('Raw Data'!AC109))=0),"",IF(AND(ISNUMBER('Raw Data'!AC109), IFERROR('Raw Data'!AC109 = ROUND('Raw Data'!AC109, 2),FALSE)),"",_xlfn.REGEXEXTRACT(CELL("address",AC109), "\$([A-Z]+)\$[0-9]+"))),_xlfn.REGEXEXTRACT(CELL("address",AC109), "\$([A-Z]+)\$[0-9]+"))</f>
        <v/>
      </c>
      <c r="AD109" s="7" t="str">
        <f t="array" aca="1" ref="AD109" ca="1">IFERROR(IF(OR('Raw Data'!AD109="",LEN(TRIM('Raw Data'!AD109))=0),"",IF(AND(ISNUMBER('Raw Data'!AD109), IFERROR('Raw Data'!AD109 = ROUND('Raw Data'!AD109, 2),FALSE)),"",_xlfn.REGEXEXTRACT(CELL("address",AD109), "\$([A-Z]+)\$[0-9]+"))),_xlfn.REGEXEXTRACT(CELL("address",AD109), "\$([A-Z]+)\$[0-9]+"))</f>
        <v/>
      </c>
      <c r="AE109" s="7" t="str">
        <f t="array" aca="1" ref="AE109" ca="1">IFERROR(IF(OR('Raw Data'!AE109="",LEN(TRIM('Raw Data'!AE109))=0),"",IF(AND(ISNUMBER('Raw Data'!AE109), IFERROR('Raw Data'!AE109 = ROUND('Raw Data'!AE109, 2),FALSE)),"",_xlfn.REGEXEXTRACT(CELL("address",AE109), "\$([A-Z]+)\$[0-9]+"))),_xlfn.REGEXEXTRACT(CELL("address",AE109), "\$([A-Z]+)\$[0-9]+"))</f>
        <v/>
      </c>
      <c r="AF109" s="7" t="str">
        <f t="array" aca="1" ref="AF109" ca="1">IFERROR(IF(OR('Raw Data'!AF109="",LEN(TRIM('Raw Data'!AF109))=0),"",IF(AND(ISNUMBER('Raw Data'!AF109), IFERROR('Raw Data'!AF109 = ROUND('Raw Data'!AF109, 2),FALSE)),"",_xlfn.REGEXEXTRACT(CELL("address",AF109), "\$([A-Z]+)\$[0-9]+"))),_xlfn.REGEXEXTRACT(CELL("address",AF109), "\$([A-Z]+)\$[0-9]+"))</f>
        <v/>
      </c>
      <c r="AG109" s="7" t="str">
        <f t="array" aca="1" ref="AG109" ca="1">IFERROR(IF(OR('Raw Data'!AG109="",LEN(TRIM('Raw Data'!AG109))=0),"",IF(AND(ISNUMBER('Raw Data'!AG109), IFERROR('Raw Data'!AG109 = ROUND('Raw Data'!AG109, 2),FALSE)),"",_xlfn.REGEXEXTRACT(CELL("address",AG109), "\$([A-Z]+)\$[0-9]+"))),_xlfn.REGEXEXTRACT(CELL("address",AG109), "\$([A-Z]+)\$[0-9]+"))</f>
        <v/>
      </c>
      <c r="AH109" s="7" t="str">
        <f t="array" aca="1" ref="AH109" ca="1">IFERROR(IF(OR('Raw Data'!AH109="",LEN(TRIM('Raw Data'!AH109))=0),"",IF(AND(ISNUMBER('Raw Data'!AH109), IFERROR('Raw Data'!AH109 = ROUND('Raw Data'!AH109, 2),FALSE)),"",_xlfn.REGEXEXTRACT(CELL("address",AH109), "\$([A-Z]+)\$[0-9]+"))),_xlfn.REGEXEXTRACT(CELL("address",AH109), "\$([A-Z]+)\$[0-9]+"))</f>
        <v/>
      </c>
      <c r="AI109" s="7" t="str">
        <f t="array" aca="1" ref="AI109" ca="1">IFERROR(IF(OR('Raw Data'!AI109="",LEN(TRIM('Raw Data'!AI109))=0),"",IF(AND(ISNUMBER('Raw Data'!AI109), IFERROR('Raw Data'!AI109 = ROUND('Raw Data'!AI109, 2),FALSE)),"",_xlfn.REGEXEXTRACT(CELL("address",AI109), "\$([A-Z]+)\$[0-9]+"))),_xlfn.REGEXEXTRACT(CELL("address",AI109), "\$([A-Z]+)\$[0-9]+"))</f>
        <v/>
      </c>
      <c r="AJ109" s="7" t="str">
        <f t="array" aca="1" ref="AJ109" ca="1">IFERROR(IF(OR('Raw Data'!AJ109="",LEN(TRIM('Raw Data'!AJ109))=0),"",IF(AND(ISNUMBER('Raw Data'!AJ109), IFERROR('Raw Data'!AJ109 = ROUND('Raw Data'!AJ109, 4),FALSE)),"",_xlfn.REGEXEXTRACT(CELL("address",AJ109), "\$([A-Z]+)\$[0-9]+"))),_xlfn.REGEXEXTRACT(CELL("address",AJ109), "\$([A-Z]+)\$[0-9]+"))</f>
        <v/>
      </c>
      <c r="AK109" s="7" t="str">
        <f t="array" aca="1" ref="AK109" ca="1">IFERROR(IF(OR('Raw Data'!AK109="",LEN(TRIM('Raw Data'!AK109))=0),"",IF(AND(ISNUMBER('Raw Data'!AK109), IFERROR('Raw Data'!AK109 = ROUND('Raw Data'!AK109, 2),FALSE)),"",_xlfn.REGEXEXTRACT(CELL("address",AK109), "\$([A-Z]+)\$[0-9]+"))),_xlfn.REGEXEXTRACT(CELL("address",AK109), "\$([A-Z]+)\$[0-9]+"))</f>
        <v/>
      </c>
      <c r="AL109" s="7" t="str">
        <f t="array" aca="1" ref="AL109" ca="1">IFERROR(IF(OR('Raw Data'!AL109="",LEN(TRIM('Raw Data'!AL109))=0),"",IF(AND(ISNUMBER('Raw Data'!AL109), IFERROR('Raw Data'!AL109 = ROUND('Raw Data'!AL109, 2),FALSE)),"",_xlfn.REGEXEXTRACT(CELL("address",AL109), "\$([A-Z]+)\$[0-9]+"))),_xlfn.REGEXEXTRACT(CELL("address",AL109), "\$([A-Z]+)\$[0-9]+"))</f>
        <v/>
      </c>
      <c r="AM109" s="7" t="str">
        <f t="array" aca="1" ref="AM109" ca="1">IFERROR(IF(OR('Raw Data'!AM109="",LEN(TRIM('Raw Data'!AM109))=0),"",IF(AND(ISNUMBER('Raw Data'!AM109), IFERROR('Raw Data'!AM109 = ROUND('Raw Data'!AM109, 2),FALSE)),"",_xlfn.REGEXEXTRACT(CELL("address",AM109), "\$([A-Z]+)\$[0-9]+"))),_xlfn.REGEXEXTRACT(CELL("address",AM109), "\$([A-Z]+)\$[0-9]+"))</f>
        <v/>
      </c>
      <c r="AN109" s="7" t="str">
        <f t="array" aca="1" ref="AN109" ca="1">IFERROR(IF(OR('Raw Data'!AN109="",LEN(TRIM('Raw Data'!AN109))=0),"",IF(AND(ISNUMBER('Raw Data'!AN109), IFERROR('Raw Data'!AN109 = ROUND('Raw Data'!AN109, 2),FALSE)),"",_xlfn.REGEXEXTRACT(CELL("address",AN109), "\$([A-Z]+)\$[0-9]+"))),_xlfn.REGEXEXTRACT(CELL("address",AN109), "\$([A-Z]+)\$[0-9]+"))</f>
        <v/>
      </c>
      <c r="AO109" s="7" t="str">
        <f t="array" aca="1" ref="AO109" ca="1">IFERROR(IF(OR('Raw Data'!AO109="",LEN(TRIM('Raw Data'!AO109))=0),"",IF(AND(ISNUMBER('Raw Data'!AO109), IFERROR('Raw Data'!AO109 = ROUND('Raw Data'!AO109, 2),FALSE)),"",_xlfn.REGEXEXTRACT(CELL("address",AO109), "\$([A-Z]+)\$[0-9]+"))),_xlfn.REGEXEXTRACT(CELL("address",AO109), "\$([A-Z]+)\$[0-9]+"))</f>
        <v/>
      </c>
      <c r="AP109" s="7" t="str">
        <f t="array" aca="1" ref="AP109" ca="1">IFERROR(IF(OR('Raw Data'!AP109="",LEN(TRIM('Raw Data'!AP109))=0),"",IF(AND(ISNUMBER('Raw Data'!AP109), IFERROR('Raw Data'!AP109 = ROUND('Raw Data'!AP109, 2),FALSE)),"",_xlfn.REGEXEXTRACT(CELL("address",AP109), "\$([A-Z]+)\$[0-9]+"))),_xlfn.REGEXEXTRACT(CELL("address",AP109), "\$([A-Z]+)\$[0-9]+"))</f>
        <v/>
      </c>
    </row>
    <row r="110" spans="2:42" x14ac:dyDescent="0.25">
      <c r="B110" s="7" t="str">
        <f t="array" aca="1" ref="B110" ca="1">IFERROR(IF(OR('Raw Data'!B110="",LEN(TRIM('Raw Data'!B110))=0),"",IF(AND(LEN('Raw Data'!B110) &lt;= 255,LEN('Raw Data'!B110)&gt; 0),"",_xlfn.REGEXEXTRACT(CELL("address",'Raw Data'!B110),"\$([A-Z]+)\$[0-9]+"))),_xlfn.REGEXEXTRACT(CELL("address",'Raw Data'!B110),"\$([A-Z]+)\$[0-9]+"))</f>
        <v/>
      </c>
      <c r="C110" s="7" t="str">
        <f t="array" aca="1" ref="C110" ca="1">IFERROR(IF(OR('Raw Data'!C110="",LEN(TRIM('Raw Data'!C110))=0),"",IF(AND(LEN('Raw Data'!C110) &lt;= 50,LEN('Raw Data'!C110)&gt; 0),"",_xlfn.REGEXEXTRACT(CELL("address",'Raw Data'!C110),"\$([A-Z]+)\$[0-9]+"))),_xlfn.REGEXEXTRACT(CELL("address",'Raw Data'!C110),"\$([A-Z]+)\$[0-9]+"))</f>
        <v/>
      </c>
      <c r="D110" s="7" t="str">
        <f t="array" aca="1" ref="D110" ca="1">IFERROR(IF(OR('Raw Data'!D110="",LEN(TRIM('Raw Data'!D110))=0),"",IF(AND(LEN('Raw Data'!D110) &lt;= 500,LEN('Raw Data'!D110)&gt; 0),"",_xlfn.REGEXEXTRACT(CELL("address",'Raw Data'!D110),"\$([A-Z]+)\$[0-9]+"))),_xlfn.REGEXEXTRACT(CELL("address",'Raw Data'!D110),"\$([A-Z]+)\$[0-9]+"))</f>
        <v/>
      </c>
      <c r="E110" s="7" t="str">
        <f t="array" aca="1" ref="E110" ca="1">IFERROR(IF(OR('Raw Data'!E110="",LEN(TRIM('Raw Data'!E110))=0),"",IF(AND(LEN('Raw Data'!E110) &lt;= 50,LEN('Raw Data'!E110)&gt; 0),"",_xlfn.REGEXEXTRACT(CELL("address",'Raw Data'!E110),"\$([A-Z]+)\$[0-9]+"))),_xlfn.REGEXEXTRACT(CELL("address",'Raw Data'!E110),"\$([A-Z]+)\$[0-9]+"))</f>
        <v/>
      </c>
      <c r="F110" s="7" t="str">
        <f t="array" aca="1" ref="F110" ca="1">IFERROR(IF(OR('Raw Data'!F110="",LEN(TRIM('Raw Data'!F110))=0),"",IF(AND(LEN('Raw Data'!F110) &lt;= 50,LEN('Raw Data'!F110)&gt; 0),"",_xlfn.REGEXEXTRACT(CELL("address",'Raw Data'!F110),"\$([A-Z]+)\$[0-9]+"))),_xlfn.REGEXEXTRACT(CELL("address",'Raw Data'!F110),"\$([A-Z]+)\$[0-9]+"))</f>
        <v/>
      </c>
      <c r="G110" s="7" t="str">
        <f t="array" aca="1" ref="G110" ca="1">IFERROR(IF(OR('Raw Data'!G110="",LEN(TRIM('Raw Data'!G110))=0),"",IF(AND(LEN('Raw Data'!G110) &lt;= 50,LEN('Raw Data'!G110)&gt; 0),"",_xlfn.REGEXEXTRACT(CELL("address",'Raw Data'!G110),"\$([A-Z]+)\$[0-9]+"))),_xlfn.REGEXEXTRACT(CELL("address",'Raw Data'!G110),"\$([A-Z]+)\$[0-9]+"))</f>
        <v/>
      </c>
      <c r="H110" s="7" t="str">
        <f t="array" aca="1" ref="H110" ca="1">IFERROR(IF(OR('Raw Data'!H110="",LEN(TRIM('Raw Data'!H110))=0),"",IF(AND(LEN('Raw Data'!H110) &lt;= 50,LEN('Raw Data'!H110)&gt; 0),"",_xlfn.REGEXEXTRACT(CELL("address",'Raw Data'!H110),"\$([A-Z]+)\$[0-9]+"))),_xlfn.REGEXEXTRACT(CELL("address",'Raw Data'!H110),"\$([A-Z]+)\$[0-9]+"))</f>
        <v/>
      </c>
      <c r="I110" s="7" t="str">
        <f t="array" aca="1" ref="I110" ca="1">IFERROR(IF(OR('Raw Data'!I110="",LEN(TRIM('Raw Data'!I110))=0),"",IF(AND(LEN('Raw Data'!I110) &lt;= 50,LEN('Raw Data'!I110)&gt; 0),"",_xlfn.REGEXEXTRACT(CELL("address",'Raw Data'!I110),"\$([A-Z]+)\$[0-9]+"))),_xlfn.REGEXEXTRACT(CELL("address",'Raw Data'!I110),"\$([A-Z]+)\$[0-9]+"))</f>
        <v/>
      </c>
      <c r="J110" s="7" t="str">
        <f t="array" aca="1" ref="J110" ca="1">IFERROR(IF(OR('Raw Data'!J110="",LEN(TRIM('Raw Data'!J110))=0),"",IF(AND(ISNUMBER('Raw Data'!J110), IFERROR('Raw Data'!J110 = ROUND('Raw Data'!J110, 2),FALSE)),"",_xlfn.REGEXEXTRACT(CELL("address",J110), "\$([A-Z]+)\$[0-9]+"))),_xlfn.REGEXEXTRACT(CELL("address",J110), "\$([A-Z]+)\$[0-9]+"))</f>
        <v/>
      </c>
      <c r="K110" s="7" t="str">
        <f t="array" aca="1" ref="K110" ca="1">IFERROR(IF(OR('Raw Data'!K110="",LEN(TRIM('Raw Data'!K110))=0),"",IF(AND(ISNUMBER('Raw Data'!K110), IFERROR('Raw Data'!K110 = ROUND('Raw Data'!K110, 2),FALSE)),"",_xlfn.REGEXEXTRACT(CELL("address",K110), "\$([A-Z]+)\$[0-9]+"))),_xlfn.REGEXEXTRACT(CELL("address",K110), "\$([A-Z]+)\$[0-9]+"))</f>
        <v/>
      </c>
      <c r="L110" s="7" t="str">
        <f t="array" aca="1" ref="L110" ca="1">IFERROR(IF(OR('Raw Data'!L110="",LEN(TRIM('Raw Data'!L110))=0),"",IF(AND(ISNUMBER('Raw Data'!L110), IFERROR('Raw Data'!L110 = ROUND('Raw Data'!L110, 2),FALSE)),"",_xlfn.REGEXEXTRACT(CELL("address",L110), "\$([A-Z]+)\$[0-9]+"))),_xlfn.REGEXEXTRACT(CELL("address",L110), "\$([A-Z]+)\$[0-9]+"))</f>
        <v/>
      </c>
      <c r="M110" s="7" t="str">
        <f t="array" aca="1" ref="M110" ca="1">IFERROR(IF(OR('Raw Data'!M110="",LEN(TRIM('Raw Data'!M110))=0),"",IF(AND(ISNUMBER('Raw Data'!M110), IFERROR('Raw Data'!M110 = ROUND('Raw Data'!M110, 2),FALSE)),"",_xlfn.REGEXEXTRACT(CELL("address",M110), "\$([A-Z]+)\$[0-9]+"))),_xlfn.REGEXEXTRACT(CELL("address",M110), "\$([A-Z]+)\$[0-9]+"))</f>
        <v/>
      </c>
      <c r="N110" s="7" t="str">
        <f t="array" aca="1" ref="N110" ca="1">IFERROR(IF(OR('Raw Data'!N110="",LEN(TRIM('Raw Data'!N110))=0),"",IF(AND(ISNUMBER('Raw Data'!N110), IFERROR('Raw Data'!N110 = ROUND('Raw Data'!N110, 2),FALSE)),"",_xlfn.REGEXEXTRACT(CELL("address",N110), "\$([A-Z]+)\$[0-9]+"))),_xlfn.REGEXEXTRACT(CELL("address",N110), "\$([A-Z]+)\$[0-9]+"))</f>
        <v/>
      </c>
      <c r="O110" s="7" t="str">
        <f t="array" aca="1" ref="O110" ca="1">IFERROR(IF(OR('Raw Data'!O110="",LEN(TRIM('Raw Data'!O110))=0),"",IF(AND(ISNUMBER('Raw Data'!O110),'Raw Data'!O110&gt;=Configuration!$D$2),"",_xlfn.REGEXEXTRACT(CELL("address",'Raw Data'!O110),"\$([A-Z]+)\$[0-9]+"))),_xlfn.REGEXEXTRACT(CELL("address",O110), "\$([A-Z]+)\$[0-9]+"))</f>
        <v/>
      </c>
      <c r="P110" s="7" t="str">
        <f t="array" aca="1" ref="P110" ca="1">IFERROR(IF(OR('Raw Data'!P110="",LEN(TRIM('Raw Data'!P110))=0),"",IF(AND(ISNUMBER('Raw Data'!P110), IFERROR('Raw Data'!P110 = ROUND('Raw Data'!P110, 2),FALSE)),"",_xlfn.REGEXEXTRACT(CELL("address",P110), "\$([A-Z]+)\$[0-9]+"))),_xlfn.REGEXEXTRACT(CELL("address",P110), "\$([A-Z]+)\$[0-9]+"))</f>
        <v/>
      </c>
      <c r="Q110" s="7" t="str">
        <f t="array" aca="1" ref="Q110" ca="1">IFERROR(IF(OR('Raw Data'!Q110="",LEN(TRIM('Raw Data'!Q110))=0),"",IF(AND(ISNUMBER('Raw Data'!Q110), IFERROR('Raw Data'!Q110 = ROUND('Raw Data'!Q110, 2),FALSE)),"",_xlfn.REGEXEXTRACT(CELL("address",Q110), "\$([A-Z]+)\$[0-9]+"))),_xlfn.REGEXEXTRACT(CELL("address",Q110), "\$([A-Z]+)\$[0-9]+"))</f>
        <v/>
      </c>
      <c r="R110" s="7" t="str">
        <f t="array" aca="1" ref="R110" ca="1">IFERROR(IF(OR('Raw Data'!R110="",LEN(TRIM('Raw Data'!R110))=0),"",IF(AND(LEN('Raw Data'!R110) &lt;= 50,LEN('Raw Data'!R110)&gt; 0),"",_xlfn.REGEXEXTRACT(CELL("address",'Raw Data'!R110),"\$([A-Z]+)\$[0-9]+"))),_xlfn.REGEXEXTRACT(CELL("address",'Raw Data'!R110),"\$([A-Z]+)\$[0-9]+"))</f>
        <v/>
      </c>
      <c r="S110" s="7" t="str">
        <f t="array" aca="1" ref="S110" ca="1">IFERROR(IF(OR('Raw Data'!S110="",LEN(TRIM('Raw Data'!S110))=0),"",IF(AND(LEN('Raw Data'!S110) &lt;= 50,LEN('Raw Data'!S110)&gt; 0),"",_xlfn.REGEXEXTRACT(CELL("address",'Raw Data'!S110),"\$([A-Z]+)\$[0-9]+"))),_xlfn.REGEXEXTRACT(CELL("address",'Raw Data'!S110),"\$([A-Z]+)\$[0-9]+"))</f>
        <v/>
      </c>
      <c r="T110" s="7" t="str">
        <f t="array" aca="1" ref="T110" ca="1">IFERROR(IF(OR('Raw Data'!T110="",LEN(TRIM('Raw Data'!T110))=0),"",IF(AND(ISNUMBER('Raw Data'!T110), IFERROR('Raw Data'!T110 = ROUND('Raw Data'!T110, 2),FALSE)),"",_xlfn.REGEXEXTRACT(CELL("address",T110), "\$([A-Z]+)\$[0-9]+"))),_xlfn.REGEXEXTRACT(CELL("address",T110), "\$([A-Z]+)\$[0-9]+"))</f>
        <v/>
      </c>
      <c r="U110" s="7" t="str">
        <f t="array" aca="1" ref="U110" ca="1">IFERROR(IF(OR('Raw Data'!U110="",LEN(TRIM('Raw Data'!U110))=0),"",IF(AND(ISNUMBER('Raw Data'!U110), IFERROR('Raw Data'!U110 = ROUND('Raw Data'!U110, 2),FALSE)),"",_xlfn.REGEXEXTRACT(CELL("address",U110), "\$([A-Z]+)\$[0-9]+"))),_xlfn.REGEXEXTRACT(CELL("address",U110), "\$([A-Z]+)\$[0-9]+"))</f>
        <v/>
      </c>
      <c r="V110" s="7" t="str">
        <f t="array" aca="1" ref="V110" ca="1">IFERROR(IF(OR('Raw Data'!V110="",LEN(TRIM('Raw Data'!V110))=0),"",IF(AND(ISNUMBER('Raw Data'!V110), IFERROR('Raw Data'!V110 = ROUND('Raw Data'!V110, 2),FALSE)),"",_xlfn.REGEXEXTRACT(CELL("address",V110), "\$([A-Z]+)\$[0-9]+"))),_xlfn.REGEXEXTRACT(CELL("address",V110), "\$([A-Z]+)\$[0-9]+"))</f>
        <v/>
      </c>
      <c r="W110" s="7" t="str">
        <f t="array" aca="1" ref="W110" ca="1">IFERROR(IF(OR('Raw Data'!W110="",LEN(TRIM('Raw Data'!W110))=0),"",IF(AND(ISNUMBER('Raw Data'!W110), IFERROR('Raw Data'!W110 = ROUND('Raw Data'!W110, 2),FALSE)),"",_xlfn.REGEXEXTRACT(CELL("address",W110), "\$([A-Z]+)\$[0-9]+"))),_xlfn.REGEXEXTRACT(CELL("address",W110), "\$([A-Z]+)\$[0-9]+"))</f>
        <v/>
      </c>
      <c r="X110" s="7" t="str">
        <f t="array" aca="1" ref="X110" ca="1">IFERROR(IF(OR('Raw Data'!X110="",LEN(TRIM('Raw Data'!X110))=0),"",IF(AND(ISNUMBER('Raw Data'!X110), IFERROR('Raw Data'!X110 = ROUND('Raw Data'!X110, 2),FALSE)),"",_xlfn.REGEXEXTRACT(CELL("address",X110), "\$([A-Z]+)\$[0-9]+"))),_xlfn.REGEXEXTRACT(CELL("address",X110), "\$([A-Z]+)\$[0-9]+"))</f>
        <v/>
      </c>
      <c r="Y110" s="7" t="str">
        <f t="array" aca="1" ref="Y110" ca="1">IFERROR(IF(OR('Raw Data'!Y110="",LEN(TRIM('Raw Data'!Y110))=0),"",IF(AND(ISNUMBER('Raw Data'!Y110), IFERROR('Raw Data'!Y110 = ROUND('Raw Data'!Y110, 2),FALSE)),"",_xlfn.REGEXEXTRACT(CELL("address",Y110), "\$([A-Z]+)\$[0-9]+"))),_xlfn.REGEXEXTRACT(CELL("address",Y110), "\$([A-Z]+)\$[0-9]+"))</f>
        <v/>
      </c>
      <c r="Z110" s="7" t="str">
        <f t="array" aca="1" ref="Z110" ca="1">IFERROR(IF(OR('Raw Data'!Z110="",LEN(TRIM('Raw Data'!Z110))=0),"",IF(AND(ISNUMBER('Raw Data'!Z110), IFERROR('Raw Data'!Z110 = ROUND('Raw Data'!Z110, 2),FALSE)),"",_xlfn.REGEXEXTRACT(CELL("address",Z110), "\$([A-Z]+)\$[0-9]+"))),_xlfn.REGEXEXTRACT(CELL("address",Z110), "\$([A-Z]+)\$[0-9]+"))</f>
        <v/>
      </c>
      <c r="AA110" s="7" t="str">
        <f t="array" aca="1" ref="AA110" ca="1">IFERROR(IF(OR('Raw Data'!AA110="",LEN(TRIM('Raw Data'!AA110))=0),"",IF(AND(ISNUMBER('Raw Data'!AA110), IFERROR('Raw Data'!AA110 = ROUND('Raw Data'!AA110, 2),FALSE)),"",_xlfn.REGEXEXTRACT(CELL("address",AA110), "\$([A-Z]+)\$[0-9]+"))),_xlfn.REGEXEXTRACT(CELL("address",AA110), "\$([A-Z]+)\$[0-9]+"))</f>
        <v/>
      </c>
      <c r="AB110" s="7" t="str">
        <f t="array" aca="1" ref="AB110" ca="1">IFERROR(IF(OR('Raw Data'!AB110="",LEN(TRIM('Raw Data'!AB110))=0),"",IF(AND(ISNUMBER('Raw Data'!AB110), IFERROR('Raw Data'!AB110 = ROUND('Raw Data'!AB110, 2),FALSE)),"",_xlfn.REGEXEXTRACT(CELL("address",AB110), "\$([A-Z]+)\$[0-9]+"))),_xlfn.REGEXEXTRACT(CELL("address",AB110), "\$([A-Z]+)\$[0-9]+"))</f>
        <v/>
      </c>
      <c r="AC110" s="7" t="str">
        <f t="array" aca="1" ref="AC110" ca="1">IFERROR(IF(OR('Raw Data'!AC110="",LEN(TRIM('Raw Data'!AC110))=0),"",IF(AND(ISNUMBER('Raw Data'!AC110), IFERROR('Raw Data'!AC110 = ROUND('Raw Data'!AC110, 2),FALSE)),"",_xlfn.REGEXEXTRACT(CELL("address",AC110), "\$([A-Z]+)\$[0-9]+"))),_xlfn.REGEXEXTRACT(CELL("address",AC110), "\$([A-Z]+)\$[0-9]+"))</f>
        <v/>
      </c>
      <c r="AD110" s="7" t="str">
        <f t="array" aca="1" ref="AD110" ca="1">IFERROR(IF(OR('Raw Data'!AD110="",LEN(TRIM('Raw Data'!AD110))=0),"",IF(AND(ISNUMBER('Raw Data'!AD110), IFERROR('Raw Data'!AD110 = ROUND('Raw Data'!AD110, 2),FALSE)),"",_xlfn.REGEXEXTRACT(CELL("address",AD110), "\$([A-Z]+)\$[0-9]+"))),_xlfn.REGEXEXTRACT(CELL("address",AD110), "\$([A-Z]+)\$[0-9]+"))</f>
        <v/>
      </c>
      <c r="AE110" s="7" t="str">
        <f t="array" aca="1" ref="AE110" ca="1">IFERROR(IF(OR('Raw Data'!AE110="",LEN(TRIM('Raw Data'!AE110))=0),"",IF(AND(ISNUMBER('Raw Data'!AE110), IFERROR('Raw Data'!AE110 = ROUND('Raw Data'!AE110, 2),FALSE)),"",_xlfn.REGEXEXTRACT(CELL("address",AE110), "\$([A-Z]+)\$[0-9]+"))),_xlfn.REGEXEXTRACT(CELL("address",AE110), "\$([A-Z]+)\$[0-9]+"))</f>
        <v/>
      </c>
      <c r="AF110" s="7" t="str">
        <f t="array" aca="1" ref="AF110" ca="1">IFERROR(IF(OR('Raw Data'!AF110="",LEN(TRIM('Raw Data'!AF110))=0),"",IF(AND(ISNUMBER('Raw Data'!AF110), IFERROR('Raw Data'!AF110 = ROUND('Raw Data'!AF110, 2),FALSE)),"",_xlfn.REGEXEXTRACT(CELL("address",AF110), "\$([A-Z]+)\$[0-9]+"))),_xlfn.REGEXEXTRACT(CELL("address",AF110), "\$([A-Z]+)\$[0-9]+"))</f>
        <v/>
      </c>
      <c r="AG110" s="7" t="str">
        <f t="array" aca="1" ref="AG110" ca="1">IFERROR(IF(OR('Raw Data'!AG110="",LEN(TRIM('Raw Data'!AG110))=0),"",IF(AND(ISNUMBER('Raw Data'!AG110), IFERROR('Raw Data'!AG110 = ROUND('Raw Data'!AG110, 2),FALSE)),"",_xlfn.REGEXEXTRACT(CELL("address",AG110), "\$([A-Z]+)\$[0-9]+"))),_xlfn.REGEXEXTRACT(CELL("address",AG110), "\$([A-Z]+)\$[0-9]+"))</f>
        <v/>
      </c>
      <c r="AH110" s="7" t="str">
        <f t="array" aca="1" ref="AH110" ca="1">IFERROR(IF(OR('Raw Data'!AH110="",LEN(TRIM('Raw Data'!AH110))=0),"",IF(AND(ISNUMBER('Raw Data'!AH110), IFERROR('Raw Data'!AH110 = ROUND('Raw Data'!AH110, 2),FALSE)),"",_xlfn.REGEXEXTRACT(CELL("address",AH110), "\$([A-Z]+)\$[0-9]+"))),_xlfn.REGEXEXTRACT(CELL("address",AH110), "\$([A-Z]+)\$[0-9]+"))</f>
        <v/>
      </c>
      <c r="AI110" s="7" t="str">
        <f t="array" aca="1" ref="AI110" ca="1">IFERROR(IF(OR('Raw Data'!AI110="",LEN(TRIM('Raw Data'!AI110))=0),"",IF(AND(ISNUMBER('Raw Data'!AI110), IFERROR('Raw Data'!AI110 = ROUND('Raw Data'!AI110, 2),FALSE)),"",_xlfn.REGEXEXTRACT(CELL("address",AI110), "\$([A-Z]+)\$[0-9]+"))),_xlfn.REGEXEXTRACT(CELL("address",AI110), "\$([A-Z]+)\$[0-9]+"))</f>
        <v/>
      </c>
      <c r="AJ110" s="7" t="str">
        <f t="array" aca="1" ref="AJ110" ca="1">IFERROR(IF(OR('Raw Data'!AJ110="",LEN(TRIM('Raw Data'!AJ110))=0),"",IF(AND(ISNUMBER('Raw Data'!AJ110), IFERROR('Raw Data'!AJ110 = ROUND('Raw Data'!AJ110, 4),FALSE)),"",_xlfn.REGEXEXTRACT(CELL("address",AJ110), "\$([A-Z]+)\$[0-9]+"))),_xlfn.REGEXEXTRACT(CELL("address",AJ110), "\$([A-Z]+)\$[0-9]+"))</f>
        <v/>
      </c>
      <c r="AK110" s="7" t="str">
        <f t="array" aca="1" ref="AK110" ca="1">IFERROR(IF(OR('Raw Data'!AK110="",LEN(TRIM('Raw Data'!AK110))=0),"",IF(AND(ISNUMBER('Raw Data'!AK110), IFERROR('Raw Data'!AK110 = ROUND('Raw Data'!AK110, 2),FALSE)),"",_xlfn.REGEXEXTRACT(CELL("address",AK110), "\$([A-Z]+)\$[0-9]+"))),_xlfn.REGEXEXTRACT(CELL("address",AK110), "\$([A-Z]+)\$[0-9]+"))</f>
        <v/>
      </c>
      <c r="AL110" s="7" t="str">
        <f t="array" aca="1" ref="AL110" ca="1">IFERROR(IF(OR('Raw Data'!AL110="",LEN(TRIM('Raw Data'!AL110))=0),"",IF(AND(ISNUMBER('Raw Data'!AL110), IFERROR('Raw Data'!AL110 = ROUND('Raw Data'!AL110, 2),FALSE)),"",_xlfn.REGEXEXTRACT(CELL("address",AL110), "\$([A-Z]+)\$[0-9]+"))),_xlfn.REGEXEXTRACT(CELL("address",AL110), "\$([A-Z]+)\$[0-9]+"))</f>
        <v/>
      </c>
      <c r="AM110" s="7" t="str">
        <f t="array" aca="1" ref="AM110" ca="1">IFERROR(IF(OR('Raw Data'!AM110="",LEN(TRIM('Raw Data'!AM110))=0),"",IF(AND(ISNUMBER('Raw Data'!AM110), IFERROR('Raw Data'!AM110 = ROUND('Raw Data'!AM110, 2),FALSE)),"",_xlfn.REGEXEXTRACT(CELL("address",AM110), "\$([A-Z]+)\$[0-9]+"))),_xlfn.REGEXEXTRACT(CELL("address",AM110), "\$([A-Z]+)\$[0-9]+"))</f>
        <v/>
      </c>
      <c r="AN110" s="7" t="str">
        <f t="array" aca="1" ref="AN110" ca="1">IFERROR(IF(OR('Raw Data'!AN110="",LEN(TRIM('Raw Data'!AN110))=0),"",IF(AND(ISNUMBER('Raw Data'!AN110), IFERROR('Raw Data'!AN110 = ROUND('Raw Data'!AN110, 2),FALSE)),"",_xlfn.REGEXEXTRACT(CELL("address",AN110), "\$([A-Z]+)\$[0-9]+"))),_xlfn.REGEXEXTRACT(CELL("address",AN110), "\$([A-Z]+)\$[0-9]+"))</f>
        <v/>
      </c>
      <c r="AO110" s="7" t="str">
        <f t="array" aca="1" ref="AO110" ca="1">IFERROR(IF(OR('Raw Data'!AO110="",LEN(TRIM('Raw Data'!AO110))=0),"",IF(AND(ISNUMBER('Raw Data'!AO110), IFERROR('Raw Data'!AO110 = ROUND('Raw Data'!AO110, 2),FALSE)),"",_xlfn.REGEXEXTRACT(CELL("address",AO110), "\$([A-Z]+)\$[0-9]+"))),_xlfn.REGEXEXTRACT(CELL("address",AO110), "\$([A-Z]+)\$[0-9]+"))</f>
        <v/>
      </c>
      <c r="AP110" s="7" t="str">
        <f t="array" aca="1" ref="AP110" ca="1">IFERROR(IF(OR('Raw Data'!AP110="",LEN(TRIM('Raw Data'!AP110))=0),"",IF(AND(ISNUMBER('Raw Data'!AP110), IFERROR('Raw Data'!AP110 = ROUND('Raw Data'!AP110, 2),FALSE)),"",_xlfn.REGEXEXTRACT(CELL("address",AP110), "\$([A-Z]+)\$[0-9]+"))),_xlfn.REGEXEXTRACT(CELL("address",AP110), "\$([A-Z]+)\$[0-9]+"))</f>
        <v/>
      </c>
    </row>
    <row r="111" spans="2:42" x14ac:dyDescent="0.25">
      <c r="B111" s="7" t="str">
        <f t="array" aca="1" ref="B111" ca="1">IFERROR(IF(OR('Raw Data'!B111="",LEN(TRIM('Raw Data'!B111))=0),"",IF(AND(LEN('Raw Data'!B111) &lt;= 255,LEN('Raw Data'!B111)&gt; 0),"",_xlfn.REGEXEXTRACT(CELL("address",'Raw Data'!B111),"\$([A-Z]+)\$[0-9]+"))),_xlfn.REGEXEXTRACT(CELL("address",'Raw Data'!B111),"\$([A-Z]+)\$[0-9]+"))</f>
        <v/>
      </c>
      <c r="C111" s="7" t="str">
        <f t="array" aca="1" ref="C111" ca="1">IFERROR(IF(OR('Raw Data'!C111="",LEN(TRIM('Raw Data'!C111))=0),"",IF(AND(LEN('Raw Data'!C111) &lt;= 50,LEN('Raw Data'!C111)&gt; 0),"",_xlfn.REGEXEXTRACT(CELL("address",'Raw Data'!C111),"\$([A-Z]+)\$[0-9]+"))),_xlfn.REGEXEXTRACT(CELL("address",'Raw Data'!C111),"\$([A-Z]+)\$[0-9]+"))</f>
        <v/>
      </c>
      <c r="D111" s="7" t="str">
        <f t="array" aca="1" ref="D111" ca="1">IFERROR(IF(OR('Raw Data'!D111="",LEN(TRIM('Raw Data'!D111))=0),"",IF(AND(LEN('Raw Data'!D111) &lt;= 500,LEN('Raw Data'!D111)&gt; 0),"",_xlfn.REGEXEXTRACT(CELL("address",'Raw Data'!D111),"\$([A-Z]+)\$[0-9]+"))),_xlfn.REGEXEXTRACT(CELL("address",'Raw Data'!D111),"\$([A-Z]+)\$[0-9]+"))</f>
        <v/>
      </c>
      <c r="E111" s="7" t="str">
        <f t="array" aca="1" ref="E111" ca="1">IFERROR(IF(OR('Raw Data'!E111="",LEN(TRIM('Raw Data'!E111))=0),"",IF(AND(LEN('Raw Data'!E111) &lt;= 50,LEN('Raw Data'!E111)&gt; 0),"",_xlfn.REGEXEXTRACT(CELL("address",'Raw Data'!E111),"\$([A-Z]+)\$[0-9]+"))),_xlfn.REGEXEXTRACT(CELL("address",'Raw Data'!E111),"\$([A-Z]+)\$[0-9]+"))</f>
        <v/>
      </c>
      <c r="F111" s="7" t="str">
        <f t="array" aca="1" ref="F111" ca="1">IFERROR(IF(OR('Raw Data'!F111="",LEN(TRIM('Raw Data'!F111))=0),"",IF(AND(LEN('Raw Data'!F111) &lt;= 50,LEN('Raw Data'!F111)&gt; 0),"",_xlfn.REGEXEXTRACT(CELL("address",'Raw Data'!F111),"\$([A-Z]+)\$[0-9]+"))),_xlfn.REGEXEXTRACT(CELL("address",'Raw Data'!F111),"\$([A-Z]+)\$[0-9]+"))</f>
        <v/>
      </c>
      <c r="G111" s="7" t="str">
        <f t="array" aca="1" ref="G111" ca="1">IFERROR(IF(OR('Raw Data'!G111="",LEN(TRIM('Raw Data'!G111))=0),"",IF(AND(LEN('Raw Data'!G111) &lt;= 50,LEN('Raw Data'!G111)&gt; 0),"",_xlfn.REGEXEXTRACT(CELL("address",'Raw Data'!G111),"\$([A-Z]+)\$[0-9]+"))),_xlfn.REGEXEXTRACT(CELL("address",'Raw Data'!G111),"\$([A-Z]+)\$[0-9]+"))</f>
        <v/>
      </c>
      <c r="H111" s="7" t="str">
        <f t="array" aca="1" ref="H111" ca="1">IFERROR(IF(OR('Raw Data'!H111="",LEN(TRIM('Raw Data'!H111))=0),"",IF(AND(LEN('Raw Data'!H111) &lt;= 50,LEN('Raw Data'!H111)&gt; 0),"",_xlfn.REGEXEXTRACT(CELL("address",'Raw Data'!H111),"\$([A-Z]+)\$[0-9]+"))),_xlfn.REGEXEXTRACT(CELL("address",'Raw Data'!H111),"\$([A-Z]+)\$[0-9]+"))</f>
        <v/>
      </c>
      <c r="I111" s="7" t="str">
        <f t="array" aca="1" ref="I111" ca="1">IFERROR(IF(OR('Raw Data'!I111="",LEN(TRIM('Raw Data'!I111))=0),"",IF(AND(LEN('Raw Data'!I111) &lt;= 50,LEN('Raw Data'!I111)&gt; 0),"",_xlfn.REGEXEXTRACT(CELL("address",'Raw Data'!I111),"\$([A-Z]+)\$[0-9]+"))),_xlfn.REGEXEXTRACT(CELL("address",'Raw Data'!I111),"\$([A-Z]+)\$[0-9]+"))</f>
        <v/>
      </c>
      <c r="J111" s="7" t="str">
        <f t="array" aca="1" ref="J111" ca="1">IFERROR(IF(OR('Raw Data'!J111="",LEN(TRIM('Raw Data'!J111))=0),"",IF(AND(ISNUMBER('Raw Data'!J111), IFERROR('Raw Data'!J111 = ROUND('Raw Data'!J111, 2),FALSE)),"",_xlfn.REGEXEXTRACT(CELL("address",J111), "\$([A-Z]+)\$[0-9]+"))),_xlfn.REGEXEXTRACT(CELL("address",J111), "\$([A-Z]+)\$[0-9]+"))</f>
        <v/>
      </c>
      <c r="K111" s="7" t="str">
        <f t="array" aca="1" ref="K111" ca="1">IFERROR(IF(OR('Raw Data'!K111="",LEN(TRIM('Raw Data'!K111))=0),"",IF(AND(ISNUMBER('Raw Data'!K111), IFERROR('Raw Data'!K111 = ROUND('Raw Data'!K111, 2),FALSE)),"",_xlfn.REGEXEXTRACT(CELL("address",K111), "\$([A-Z]+)\$[0-9]+"))),_xlfn.REGEXEXTRACT(CELL("address",K111), "\$([A-Z]+)\$[0-9]+"))</f>
        <v/>
      </c>
      <c r="L111" s="7" t="str">
        <f t="array" aca="1" ref="L111" ca="1">IFERROR(IF(OR('Raw Data'!L111="",LEN(TRIM('Raw Data'!L111))=0),"",IF(AND(ISNUMBER('Raw Data'!L111), IFERROR('Raw Data'!L111 = ROUND('Raw Data'!L111, 2),FALSE)),"",_xlfn.REGEXEXTRACT(CELL("address",L111), "\$([A-Z]+)\$[0-9]+"))),_xlfn.REGEXEXTRACT(CELL("address",L111), "\$([A-Z]+)\$[0-9]+"))</f>
        <v/>
      </c>
      <c r="M111" s="7" t="str">
        <f t="array" aca="1" ref="M111" ca="1">IFERROR(IF(OR('Raw Data'!M111="",LEN(TRIM('Raw Data'!M111))=0),"",IF(AND(ISNUMBER('Raw Data'!M111), IFERROR('Raw Data'!M111 = ROUND('Raw Data'!M111, 2),FALSE)),"",_xlfn.REGEXEXTRACT(CELL("address",M111), "\$([A-Z]+)\$[0-9]+"))),_xlfn.REGEXEXTRACT(CELL("address",M111), "\$([A-Z]+)\$[0-9]+"))</f>
        <v/>
      </c>
      <c r="N111" s="7" t="str">
        <f t="array" aca="1" ref="N111" ca="1">IFERROR(IF(OR('Raw Data'!N111="",LEN(TRIM('Raw Data'!N111))=0),"",IF(AND(ISNUMBER('Raw Data'!N111), IFERROR('Raw Data'!N111 = ROUND('Raw Data'!N111, 2),FALSE)),"",_xlfn.REGEXEXTRACT(CELL("address",N111), "\$([A-Z]+)\$[0-9]+"))),_xlfn.REGEXEXTRACT(CELL("address",N111), "\$([A-Z]+)\$[0-9]+"))</f>
        <v/>
      </c>
      <c r="O111" s="7" t="str">
        <f t="array" aca="1" ref="O111" ca="1">IFERROR(IF(OR('Raw Data'!O111="",LEN(TRIM('Raw Data'!O111))=0),"",IF(AND(ISNUMBER('Raw Data'!O111),'Raw Data'!O111&gt;=Configuration!$D$2),"",_xlfn.REGEXEXTRACT(CELL("address",'Raw Data'!O111),"\$([A-Z]+)\$[0-9]+"))),_xlfn.REGEXEXTRACT(CELL("address",O111), "\$([A-Z]+)\$[0-9]+"))</f>
        <v/>
      </c>
      <c r="P111" s="7" t="str">
        <f t="array" aca="1" ref="P111" ca="1">IFERROR(IF(OR('Raw Data'!P111="",LEN(TRIM('Raw Data'!P111))=0),"",IF(AND(ISNUMBER('Raw Data'!P111), IFERROR('Raw Data'!P111 = ROUND('Raw Data'!P111, 2),FALSE)),"",_xlfn.REGEXEXTRACT(CELL("address",P111), "\$([A-Z]+)\$[0-9]+"))),_xlfn.REGEXEXTRACT(CELL("address",P111), "\$([A-Z]+)\$[0-9]+"))</f>
        <v/>
      </c>
      <c r="Q111" s="7" t="str">
        <f t="array" aca="1" ref="Q111" ca="1">IFERROR(IF(OR('Raw Data'!Q111="",LEN(TRIM('Raw Data'!Q111))=0),"",IF(AND(ISNUMBER('Raw Data'!Q111), IFERROR('Raw Data'!Q111 = ROUND('Raw Data'!Q111, 2),FALSE)),"",_xlfn.REGEXEXTRACT(CELL("address",Q111), "\$([A-Z]+)\$[0-9]+"))),_xlfn.REGEXEXTRACT(CELL("address",Q111), "\$([A-Z]+)\$[0-9]+"))</f>
        <v/>
      </c>
      <c r="R111" s="7" t="str">
        <f t="array" aca="1" ref="R111" ca="1">IFERROR(IF(OR('Raw Data'!R111="",LEN(TRIM('Raw Data'!R111))=0),"",IF(AND(LEN('Raw Data'!R111) &lt;= 50,LEN('Raw Data'!R111)&gt; 0),"",_xlfn.REGEXEXTRACT(CELL("address",'Raw Data'!R111),"\$([A-Z]+)\$[0-9]+"))),_xlfn.REGEXEXTRACT(CELL("address",'Raw Data'!R111),"\$([A-Z]+)\$[0-9]+"))</f>
        <v/>
      </c>
      <c r="S111" s="7" t="str">
        <f t="array" aca="1" ref="S111" ca="1">IFERROR(IF(OR('Raw Data'!S111="",LEN(TRIM('Raw Data'!S111))=0),"",IF(AND(LEN('Raw Data'!S111) &lt;= 50,LEN('Raw Data'!S111)&gt; 0),"",_xlfn.REGEXEXTRACT(CELL("address",'Raw Data'!S111),"\$([A-Z]+)\$[0-9]+"))),_xlfn.REGEXEXTRACT(CELL("address",'Raw Data'!S111),"\$([A-Z]+)\$[0-9]+"))</f>
        <v/>
      </c>
      <c r="T111" s="7" t="str">
        <f t="array" aca="1" ref="T111" ca="1">IFERROR(IF(OR('Raw Data'!T111="",LEN(TRIM('Raw Data'!T111))=0),"",IF(AND(ISNUMBER('Raw Data'!T111), IFERROR('Raw Data'!T111 = ROUND('Raw Data'!T111, 2),FALSE)),"",_xlfn.REGEXEXTRACT(CELL("address",T111), "\$([A-Z]+)\$[0-9]+"))),_xlfn.REGEXEXTRACT(CELL("address",T111), "\$([A-Z]+)\$[0-9]+"))</f>
        <v/>
      </c>
      <c r="U111" s="7" t="str">
        <f t="array" aca="1" ref="U111" ca="1">IFERROR(IF(OR('Raw Data'!U111="",LEN(TRIM('Raw Data'!U111))=0),"",IF(AND(ISNUMBER('Raw Data'!U111), IFERROR('Raw Data'!U111 = ROUND('Raw Data'!U111, 2),FALSE)),"",_xlfn.REGEXEXTRACT(CELL("address",U111), "\$([A-Z]+)\$[0-9]+"))),_xlfn.REGEXEXTRACT(CELL("address",U111), "\$([A-Z]+)\$[0-9]+"))</f>
        <v/>
      </c>
      <c r="V111" s="7" t="str">
        <f t="array" aca="1" ref="V111" ca="1">IFERROR(IF(OR('Raw Data'!V111="",LEN(TRIM('Raw Data'!V111))=0),"",IF(AND(ISNUMBER('Raw Data'!V111), IFERROR('Raw Data'!V111 = ROUND('Raw Data'!V111, 2),FALSE)),"",_xlfn.REGEXEXTRACT(CELL("address",V111), "\$([A-Z]+)\$[0-9]+"))),_xlfn.REGEXEXTRACT(CELL("address",V111), "\$([A-Z]+)\$[0-9]+"))</f>
        <v/>
      </c>
      <c r="W111" s="7" t="str">
        <f t="array" aca="1" ref="W111" ca="1">IFERROR(IF(OR('Raw Data'!W111="",LEN(TRIM('Raw Data'!W111))=0),"",IF(AND(ISNUMBER('Raw Data'!W111), IFERROR('Raw Data'!W111 = ROUND('Raw Data'!W111, 2),FALSE)),"",_xlfn.REGEXEXTRACT(CELL("address",W111), "\$([A-Z]+)\$[0-9]+"))),_xlfn.REGEXEXTRACT(CELL("address",W111), "\$([A-Z]+)\$[0-9]+"))</f>
        <v/>
      </c>
      <c r="X111" s="7" t="str">
        <f t="array" aca="1" ref="X111" ca="1">IFERROR(IF(OR('Raw Data'!X111="",LEN(TRIM('Raw Data'!X111))=0),"",IF(AND(ISNUMBER('Raw Data'!X111), IFERROR('Raw Data'!X111 = ROUND('Raw Data'!X111, 2),FALSE)),"",_xlfn.REGEXEXTRACT(CELL("address",X111), "\$([A-Z]+)\$[0-9]+"))),_xlfn.REGEXEXTRACT(CELL("address",X111), "\$([A-Z]+)\$[0-9]+"))</f>
        <v/>
      </c>
      <c r="Y111" s="7" t="str">
        <f t="array" aca="1" ref="Y111" ca="1">IFERROR(IF(OR('Raw Data'!Y111="",LEN(TRIM('Raw Data'!Y111))=0),"",IF(AND(ISNUMBER('Raw Data'!Y111), IFERROR('Raw Data'!Y111 = ROUND('Raw Data'!Y111, 2),FALSE)),"",_xlfn.REGEXEXTRACT(CELL("address",Y111), "\$([A-Z]+)\$[0-9]+"))),_xlfn.REGEXEXTRACT(CELL("address",Y111), "\$([A-Z]+)\$[0-9]+"))</f>
        <v/>
      </c>
      <c r="Z111" s="7" t="str">
        <f t="array" aca="1" ref="Z111" ca="1">IFERROR(IF(OR('Raw Data'!Z111="",LEN(TRIM('Raw Data'!Z111))=0),"",IF(AND(ISNUMBER('Raw Data'!Z111), IFERROR('Raw Data'!Z111 = ROUND('Raw Data'!Z111, 2),FALSE)),"",_xlfn.REGEXEXTRACT(CELL("address",Z111), "\$([A-Z]+)\$[0-9]+"))),_xlfn.REGEXEXTRACT(CELL("address",Z111), "\$([A-Z]+)\$[0-9]+"))</f>
        <v/>
      </c>
      <c r="AA111" s="7" t="str">
        <f t="array" aca="1" ref="AA111" ca="1">IFERROR(IF(OR('Raw Data'!AA111="",LEN(TRIM('Raw Data'!AA111))=0),"",IF(AND(ISNUMBER('Raw Data'!AA111), IFERROR('Raw Data'!AA111 = ROUND('Raw Data'!AA111, 2),FALSE)),"",_xlfn.REGEXEXTRACT(CELL("address",AA111), "\$([A-Z]+)\$[0-9]+"))),_xlfn.REGEXEXTRACT(CELL("address",AA111), "\$([A-Z]+)\$[0-9]+"))</f>
        <v/>
      </c>
      <c r="AB111" s="7" t="str">
        <f t="array" aca="1" ref="AB111" ca="1">IFERROR(IF(OR('Raw Data'!AB111="",LEN(TRIM('Raw Data'!AB111))=0),"",IF(AND(ISNUMBER('Raw Data'!AB111), IFERROR('Raw Data'!AB111 = ROUND('Raw Data'!AB111, 2),FALSE)),"",_xlfn.REGEXEXTRACT(CELL("address",AB111), "\$([A-Z]+)\$[0-9]+"))),_xlfn.REGEXEXTRACT(CELL("address",AB111), "\$([A-Z]+)\$[0-9]+"))</f>
        <v/>
      </c>
      <c r="AC111" s="7" t="str">
        <f t="array" aca="1" ref="AC111" ca="1">IFERROR(IF(OR('Raw Data'!AC111="",LEN(TRIM('Raw Data'!AC111))=0),"",IF(AND(ISNUMBER('Raw Data'!AC111), IFERROR('Raw Data'!AC111 = ROUND('Raw Data'!AC111, 2),FALSE)),"",_xlfn.REGEXEXTRACT(CELL("address",AC111), "\$([A-Z]+)\$[0-9]+"))),_xlfn.REGEXEXTRACT(CELL("address",AC111), "\$([A-Z]+)\$[0-9]+"))</f>
        <v/>
      </c>
      <c r="AD111" s="7" t="str">
        <f t="array" aca="1" ref="AD111" ca="1">IFERROR(IF(OR('Raw Data'!AD111="",LEN(TRIM('Raw Data'!AD111))=0),"",IF(AND(ISNUMBER('Raw Data'!AD111), IFERROR('Raw Data'!AD111 = ROUND('Raw Data'!AD111, 2),FALSE)),"",_xlfn.REGEXEXTRACT(CELL("address",AD111), "\$([A-Z]+)\$[0-9]+"))),_xlfn.REGEXEXTRACT(CELL("address",AD111), "\$([A-Z]+)\$[0-9]+"))</f>
        <v/>
      </c>
      <c r="AE111" s="7" t="str">
        <f t="array" aca="1" ref="AE111" ca="1">IFERROR(IF(OR('Raw Data'!AE111="",LEN(TRIM('Raw Data'!AE111))=0),"",IF(AND(ISNUMBER('Raw Data'!AE111), IFERROR('Raw Data'!AE111 = ROUND('Raw Data'!AE111, 2),FALSE)),"",_xlfn.REGEXEXTRACT(CELL("address",AE111), "\$([A-Z]+)\$[0-9]+"))),_xlfn.REGEXEXTRACT(CELL("address",AE111), "\$([A-Z]+)\$[0-9]+"))</f>
        <v/>
      </c>
      <c r="AF111" s="7" t="str">
        <f t="array" aca="1" ref="AF111" ca="1">IFERROR(IF(OR('Raw Data'!AF111="",LEN(TRIM('Raw Data'!AF111))=0),"",IF(AND(ISNUMBER('Raw Data'!AF111), IFERROR('Raw Data'!AF111 = ROUND('Raw Data'!AF111, 2),FALSE)),"",_xlfn.REGEXEXTRACT(CELL("address",AF111), "\$([A-Z]+)\$[0-9]+"))),_xlfn.REGEXEXTRACT(CELL("address",AF111), "\$([A-Z]+)\$[0-9]+"))</f>
        <v/>
      </c>
      <c r="AG111" s="7" t="str">
        <f t="array" aca="1" ref="AG111" ca="1">IFERROR(IF(OR('Raw Data'!AG111="",LEN(TRIM('Raw Data'!AG111))=0),"",IF(AND(ISNUMBER('Raw Data'!AG111), IFERROR('Raw Data'!AG111 = ROUND('Raw Data'!AG111, 2),FALSE)),"",_xlfn.REGEXEXTRACT(CELL("address",AG111), "\$([A-Z]+)\$[0-9]+"))),_xlfn.REGEXEXTRACT(CELL("address",AG111), "\$([A-Z]+)\$[0-9]+"))</f>
        <v/>
      </c>
      <c r="AH111" s="7" t="str">
        <f t="array" aca="1" ref="AH111" ca="1">IFERROR(IF(OR('Raw Data'!AH111="",LEN(TRIM('Raw Data'!AH111))=0),"",IF(AND(ISNUMBER('Raw Data'!AH111), IFERROR('Raw Data'!AH111 = ROUND('Raw Data'!AH111, 2),FALSE)),"",_xlfn.REGEXEXTRACT(CELL("address",AH111), "\$([A-Z]+)\$[0-9]+"))),_xlfn.REGEXEXTRACT(CELL("address",AH111), "\$([A-Z]+)\$[0-9]+"))</f>
        <v/>
      </c>
      <c r="AI111" s="7" t="str">
        <f t="array" aca="1" ref="AI111" ca="1">IFERROR(IF(OR('Raw Data'!AI111="",LEN(TRIM('Raw Data'!AI111))=0),"",IF(AND(ISNUMBER('Raw Data'!AI111), IFERROR('Raw Data'!AI111 = ROUND('Raw Data'!AI111, 2),FALSE)),"",_xlfn.REGEXEXTRACT(CELL("address",AI111), "\$([A-Z]+)\$[0-9]+"))),_xlfn.REGEXEXTRACT(CELL("address",AI111), "\$([A-Z]+)\$[0-9]+"))</f>
        <v/>
      </c>
      <c r="AJ111" s="7" t="str">
        <f t="array" aca="1" ref="AJ111" ca="1">IFERROR(IF(OR('Raw Data'!AJ111="",LEN(TRIM('Raw Data'!AJ111))=0),"",IF(AND(ISNUMBER('Raw Data'!AJ111), IFERROR('Raw Data'!AJ111 = ROUND('Raw Data'!AJ111, 4),FALSE)),"",_xlfn.REGEXEXTRACT(CELL("address",AJ111), "\$([A-Z]+)\$[0-9]+"))),_xlfn.REGEXEXTRACT(CELL("address",AJ111), "\$([A-Z]+)\$[0-9]+"))</f>
        <v/>
      </c>
      <c r="AK111" s="7" t="str">
        <f t="array" aca="1" ref="AK111" ca="1">IFERROR(IF(OR('Raw Data'!AK111="",LEN(TRIM('Raw Data'!AK111))=0),"",IF(AND(ISNUMBER('Raw Data'!AK111), IFERROR('Raw Data'!AK111 = ROUND('Raw Data'!AK111, 2),FALSE)),"",_xlfn.REGEXEXTRACT(CELL("address",AK111), "\$([A-Z]+)\$[0-9]+"))),_xlfn.REGEXEXTRACT(CELL("address",AK111), "\$([A-Z]+)\$[0-9]+"))</f>
        <v/>
      </c>
      <c r="AL111" s="7" t="str">
        <f t="array" aca="1" ref="AL111" ca="1">IFERROR(IF(OR('Raw Data'!AL111="",LEN(TRIM('Raw Data'!AL111))=0),"",IF(AND(ISNUMBER('Raw Data'!AL111), IFERROR('Raw Data'!AL111 = ROUND('Raw Data'!AL111, 2),FALSE)),"",_xlfn.REGEXEXTRACT(CELL("address",AL111), "\$([A-Z]+)\$[0-9]+"))),_xlfn.REGEXEXTRACT(CELL("address",AL111), "\$([A-Z]+)\$[0-9]+"))</f>
        <v/>
      </c>
      <c r="AM111" s="7" t="str">
        <f t="array" aca="1" ref="AM111" ca="1">IFERROR(IF(OR('Raw Data'!AM111="",LEN(TRIM('Raw Data'!AM111))=0),"",IF(AND(ISNUMBER('Raw Data'!AM111), IFERROR('Raw Data'!AM111 = ROUND('Raw Data'!AM111, 2),FALSE)),"",_xlfn.REGEXEXTRACT(CELL("address",AM111), "\$([A-Z]+)\$[0-9]+"))),_xlfn.REGEXEXTRACT(CELL("address",AM111), "\$([A-Z]+)\$[0-9]+"))</f>
        <v/>
      </c>
      <c r="AN111" s="7" t="str">
        <f t="array" aca="1" ref="AN111" ca="1">IFERROR(IF(OR('Raw Data'!AN111="",LEN(TRIM('Raw Data'!AN111))=0),"",IF(AND(ISNUMBER('Raw Data'!AN111), IFERROR('Raw Data'!AN111 = ROUND('Raw Data'!AN111, 2),FALSE)),"",_xlfn.REGEXEXTRACT(CELL("address",AN111), "\$([A-Z]+)\$[0-9]+"))),_xlfn.REGEXEXTRACT(CELL("address",AN111), "\$([A-Z]+)\$[0-9]+"))</f>
        <v/>
      </c>
      <c r="AO111" s="7" t="str">
        <f t="array" aca="1" ref="AO111" ca="1">IFERROR(IF(OR('Raw Data'!AO111="",LEN(TRIM('Raw Data'!AO111))=0),"",IF(AND(ISNUMBER('Raw Data'!AO111), IFERROR('Raw Data'!AO111 = ROUND('Raw Data'!AO111, 2),FALSE)),"",_xlfn.REGEXEXTRACT(CELL("address",AO111), "\$([A-Z]+)\$[0-9]+"))),_xlfn.REGEXEXTRACT(CELL("address",AO111), "\$([A-Z]+)\$[0-9]+"))</f>
        <v/>
      </c>
      <c r="AP111" s="7" t="str">
        <f t="array" aca="1" ref="AP111" ca="1">IFERROR(IF(OR('Raw Data'!AP111="",LEN(TRIM('Raw Data'!AP111))=0),"",IF(AND(ISNUMBER('Raw Data'!AP111), IFERROR('Raw Data'!AP111 = ROUND('Raw Data'!AP111, 2),FALSE)),"",_xlfn.REGEXEXTRACT(CELL("address",AP111), "\$([A-Z]+)\$[0-9]+"))),_xlfn.REGEXEXTRACT(CELL("address",AP111), "\$([A-Z]+)\$[0-9]+"))</f>
        <v/>
      </c>
    </row>
    <row r="112" spans="2:42" x14ac:dyDescent="0.25">
      <c r="B112" s="7" t="str">
        <f t="array" aca="1" ref="B112" ca="1">IFERROR(IF(OR('Raw Data'!B112="",LEN(TRIM('Raw Data'!B112))=0),"",IF(AND(LEN('Raw Data'!B112) &lt;= 255,LEN('Raw Data'!B112)&gt; 0),"",_xlfn.REGEXEXTRACT(CELL("address",'Raw Data'!B112),"\$([A-Z]+)\$[0-9]+"))),_xlfn.REGEXEXTRACT(CELL("address",'Raw Data'!B112),"\$([A-Z]+)\$[0-9]+"))</f>
        <v/>
      </c>
      <c r="C112" s="7" t="str">
        <f t="array" aca="1" ref="C112" ca="1">IFERROR(IF(OR('Raw Data'!C112="",LEN(TRIM('Raw Data'!C112))=0),"",IF(AND(LEN('Raw Data'!C112) &lt;= 50,LEN('Raw Data'!C112)&gt; 0),"",_xlfn.REGEXEXTRACT(CELL("address",'Raw Data'!C112),"\$([A-Z]+)\$[0-9]+"))),_xlfn.REGEXEXTRACT(CELL("address",'Raw Data'!C112),"\$([A-Z]+)\$[0-9]+"))</f>
        <v/>
      </c>
      <c r="D112" s="7" t="str">
        <f t="array" aca="1" ref="D112" ca="1">IFERROR(IF(OR('Raw Data'!D112="",LEN(TRIM('Raw Data'!D112))=0),"",IF(AND(LEN('Raw Data'!D112) &lt;= 500,LEN('Raw Data'!D112)&gt; 0),"",_xlfn.REGEXEXTRACT(CELL("address",'Raw Data'!D112),"\$([A-Z]+)\$[0-9]+"))),_xlfn.REGEXEXTRACT(CELL("address",'Raw Data'!D112),"\$([A-Z]+)\$[0-9]+"))</f>
        <v/>
      </c>
      <c r="E112" s="7" t="str">
        <f t="array" aca="1" ref="E112" ca="1">IFERROR(IF(OR('Raw Data'!E112="",LEN(TRIM('Raw Data'!E112))=0),"",IF(AND(LEN('Raw Data'!E112) &lt;= 50,LEN('Raw Data'!E112)&gt; 0),"",_xlfn.REGEXEXTRACT(CELL("address",'Raw Data'!E112),"\$([A-Z]+)\$[0-9]+"))),_xlfn.REGEXEXTRACT(CELL("address",'Raw Data'!E112),"\$([A-Z]+)\$[0-9]+"))</f>
        <v/>
      </c>
      <c r="F112" s="7" t="str">
        <f t="array" aca="1" ref="F112" ca="1">IFERROR(IF(OR('Raw Data'!F112="",LEN(TRIM('Raw Data'!F112))=0),"",IF(AND(LEN('Raw Data'!F112) &lt;= 50,LEN('Raw Data'!F112)&gt; 0),"",_xlfn.REGEXEXTRACT(CELL("address",'Raw Data'!F112),"\$([A-Z]+)\$[0-9]+"))),_xlfn.REGEXEXTRACT(CELL("address",'Raw Data'!F112),"\$([A-Z]+)\$[0-9]+"))</f>
        <v/>
      </c>
      <c r="G112" s="7" t="str">
        <f t="array" aca="1" ref="G112" ca="1">IFERROR(IF(OR('Raw Data'!G112="",LEN(TRIM('Raw Data'!G112))=0),"",IF(AND(LEN('Raw Data'!G112) &lt;= 50,LEN('Raw Data'!G112)&gt; 0),"",_xlfn.REGEXEXTRACT(CELL("address",'Raw Data'!G112),"\$([A-Z]+)\$[0-9]+"))),_xlfn.REGEXEXTRACT(CELL("address",'Raw Data'!G112),"\$([A-Z]+)\$[0-9]+"))</f>
        <v/>
      </c>
      <c r="H112" s="7" t="str">
        <f t="array" aca="1" ref="H112" ca="1">IFERROR(IF(OR('Raw Data'!H112="",LEN(TRIM('Raw Data'!H112))=0),"",IF(AND(LEN('Raw Data'!H112) &lt;= 50,LEN('Raw Data'!H112)&gt; 0),"",_xlfn.REGEXEXTRACT(CELL("address",'Raw Data'!H112),"\$([A-Z]+)\$[0-9]+"))),_xlfn.REGEXEXTRACT(CELL("address",'Raw Data'!H112),"\$([A-Z]+)\$[0-9]+"))</f>
        <v/>
      </c>
      <c r="I112" s="7" t="str">
        <f t="array" aca="1" ref="I112" ca="1">IFERROR(IF(OR('Raw Data'!I112="",LEN(TRIM('Raw Data'!I112))=0),"",IF(AND(LEN('Raw Data'!I112) &lt;= 50,LEN('Raw Data'!I112)&gt; 0),"",_xlfn.REGEXEXTRACT(CELL("address",'Raw Data'!I112),"\$([A-Z]+)\$[0-9]+"))),_xlfn.REGEXEXTRACT(CELL("address",'Raw Data'!I112),"\$([A-Z]+)\$[0-9]+"))</f>
        <v/>
      </c>
      <c r="J112" s="7" t="str">
        <f t="array" aca="1" ref="J112" ca="1">IFERROR(IF(OR('Raw Data'!J112="",LEN(TRIM('Raw Data'!J112))=0),"",IF(AND(ISNUMBER('Raw Data'!J112), IFERROR('Raw Data'!J112 = ROUND('Raw Data'!J112, 2),FALSE)),"",_xlfn.REGEXEXTRACT(CELL("address",J112), "\$([A-Z]+)\$[0-9]+"))),_xlfn.REGEXEXTRACT(CELL("address",J112), "\$([A-Z]+)\$[0-9]+"))</f>
        <v/>
      </c>
      <c r="K112" s="7" t="str">
        <f t="array" aca="1" ref="K112" ca="1">IFERROR(IF(OR('Raw Data'!K112="",LEN(TRIM('Raw Data'!K112))=0),"",IF(AND(ISNUMBER('Raw Data'!K112), IFERROR('Raw Data'!K112 = ROUND('Raw Data'!K112, 2),FALSE)),"",_xlfn.REGEXEXTRACT(CELL("address",K112), "\$([A-Z]+)\$[0-9]+"))),_xlfn.REGEXEXTRACT(CELL("address",K112), "\$([A-Z]+)\$[0-9]+"))</f>
        <v/>
      </c>
      <c r="L112" s="7" t="str">
        <f t="array" aca="1" ref="L112" ca="1">IFERROR(IF(OR('Raw Data'!L112="",LEN(TRIM('Raw Data'!L112))=0),"",IF(AND(ISNUMBER('Raw Data'!L112), IFERROR('Raw Data'!L112 = ROUND('Raw Data'!L112, 2),FALSE)),"",_xlfn.REGEXEXTRACT(CELL("address",L112), "\$([A-Z]+)\$[0-9]+"))),_xlfn.REGEXEXTRACT(CELL("address",L112), "\$([A-Z]+)\$[0-9]+"))</f>
        <v/>
      </c>
      <c r="M112" s="7" t="str">
        <f t="array" aca="1" ref="M112" ca="1">IFERROR(IF(OR('Raw Data'!M112="",LEN(TRIM('Raw Data'!M112))=0),"",IF(AND(ISNUMBER('Raw Data'!M112), IFERROR('Raw Data'!M112 = ROUND('Raw Data'!M112, 2),FALSE)),"",_xlfn.REGEXEXTRACT(CELL("address",M112), "\$([A-Z]+)\$[0-9]+"))),_xlfn.REGEXEXTRACT(CELL("address",M112), "\$([A-Z]+)\$[0-9]+"))</f>
        <v/>
      </c>
      <c r="N112" s="7" t="str">
        <f t="array" aca="1" ref="N112" ca="1">IFERROR(IF(OR('Raw Data'!N112="",LEN(TRIM('Raw Data'!N112))=0),"",IF(AND(ISNUMBER('Raw Data'!N112), IFERROR('Raw Data'!N112 = ROUND('Raw Data'!N112, 2),FALSE)),"",_xlfn.REGEXEXTRACT(CELL("address",N112), "\$([A-Z]+)\$[0-9]+"))),_xlfn.REGEXEXTRACT(CELL("address",N112), "\$([A-Z]+)\$[0-9]+"))</f>
        <v/>
      </c>
      <c r="O112" s="7" t="str">
        <f t="array" aca="1" ref="O112" ca="1">IFERROR(IF(OR('Raw Data'!O112="",LEN(TRIM('Raw Data'!O112))=0),"",IF(AND(ISNUMBER('Raw Data'!O112),'Raw Data'!O112&gt;=Configuration!$D$2),"",_xlfn.REGEXEXTRACT(CELL("address",'Raw Data'!O112),"\$([A-Z]+)\$[0-9]+"))),_xlfn.REGEXEXTRACT(CELL("address",O112), "\$([A-Z]+)\$[0-9]+"))</f>
        <v/>
      </c>
      <c r="P112" s="7" t="str">
        <f t="array" aca="1" ref="P112" ca="1">IFERROR(IF(OR('Raw Data'!P112="",LEN(TRIM('Raw Data'!P112))=0),"",IF(AND(ISNUMBER('Raw Data'!P112), IFERROR('Raw Data'!P112 = ROUND('Raw Data'!P112, 2),FALSE)),"",_xlfn.REGEXEXTRACT(CELL("address",P112), "\$([A-Z]+)\$[0-9]+"))),_xlfn.REGEXEXTRACT(CELL("address",P112), "\$([A-Z]+)\$[0-9]+"))</f>
        <v/>
      </c>
      <c r="Q112" s="7" t="str">
        <f t="array" aca="1" ref="Q112" ca="1">IFERROR(IF(OR('Raw Data'!Q112="",LEN(TRIM('Raw Data'!Q112))=0),"",IF(AND(ISNUMBER('Raw Data'!Q112), IFERROR('Raw Data'!Q112 = ROUND('Raw Data'!Q112, 2),FALSE)),"",_xlfn.REGEXEXTRACT(CELL("address",Q112), "\$([A-Z]+)\$[0-9]+"))),_xlfn.REGEXEXTRACT(CELL("address",Q112), "\$([A-Z]+)\$[0-9]+"))</f>
        <v/>
      </c>
      <c r="R112" s="7" t="str">
        <f t="array" aca="1" ref="R112" ca="1">IFERROR(IF(OR('Raw Data'!R112="",LEN(TRIM('Raw Data'!R112))=0),"",IF(AND(LEN('Raw Data'!R112) &lt;= 50,LEN('Raw Data'!R112)&gt; 0),"",_xlfn.REGEXEXTRACT(CELL("address",'Raw Data'!R112),"\$([A-Z]+)\$[0-9]+"))),_xlfn.REGEXEXTRACT(CELL("address",'Raw Data'!R112),"\$([A-Z]+)\$[0-9]+"))</f>
        <v/>
      </c>
      <c r="S112" s="7" t="str">
        <f t="array" aca="1" ref="S112" ca="1">IFERROR(IF(OR('Raw Data'!S112="",LEN(TRIM('Raw Data'!S112))=0),"",IF(AND(LEN('Raw Data'!S112) &lt;= 50,LEN('Raw Data'!S112)&gt; 0),"",_xlfn.REGEXEXTRACT(CELL("address",'Raw Data'!S112),"\$([A-Z]+)\$[0-9]+"))),_xlfn.REGEXEXTRACT(CELL("address",'Raw Data'!S112),"\$([A-Z]+)\$[0-9]+"))</f>
        <v/>
      </c>
      <c r="T112" s="7" t="str">
        <f t="array" aca="1" ref="T112" ca="1">IFERROR(IF(OR('Raw Data'!T112="",LEN(TRIM('Raw Data'!T112))=0),"",IF(AND(ISNUMBER('Raw Data'!T112), IFERROR('Raw Data'!T112 = ROUND('Raw Data'!T112, 2),FALSE)),"",_xlfn.REGEXEXTRACT(CELL("address",T112), "\$([A-Z]+)\$[0-9]+"))),_xlfn.REGEXEXTRACT(CELL("address",T112), "\$([A-Z]+)\$[0-9]+"))</f>
        <v/>
      </c>
      <c r="U112" s="7" t="str">
        <f t="array" aca="1" ref="U112" ca="1">IFERROR(IF(OR('Raw Data'!U112="",LEN(TRIM('Raw Data'!U112))=0),"",IF(AND(ISNUMBER('Raw Data'!U112), IFERROR('Raw Data'!U112 = ROUND('Raw Data'!U112, 2),FALSE)),"",_xlfn.REGEXEXTRACT(CELL("address",U112), "\$([A-Z]+)\$[0-9]+"))),_xlfn.REGEXEXTRACT(CELL("address",U112), "\$([A-Z]+)\$[0-9]+"))</f>
        <v/>
      </c>
      <c r="V112" s="7" t="str">
        <f t="array" aca="1" ref="V112" ca="1">IFERROR(IF(OR('Raw Data'!V112="",LEN(TRIM('Raw Data'!V112))=0),"",IF(AND(ISNUMBER('Raw Data'!V112), IFERROR('Raw Data'!V112 = ROUND('Raw Data'!V112, 2),FALSE)),"",_xlfn.REGEXEXTRACT(CELL("address",V112), "\$([A-Z]+)\$[0-9]+"))),_xlfn.REGEXEXTRACT(CELL("address",V112), "\$([A-Z]+)\$[0-9]+"))</f>
        <v/>
      </c>
      <c r="W112" s="7" t="str">
        <f t="array" aca="1" ref="W112" ca="1">IFERROR(IF(OR('Raw Data'!W112="",LEN(TRIM('Raw Data'!W112))=0),"",IF(AND(ISNUMBER('Raw Data'!W112), IFERROR('Raw Data'!W112 = ROUND('Raw Data'!W112, 2),FALSE)),"",_xlfn.REGEXEXTRACT(CELL("address",W112), "\$([A-Z]+)\$[0-9]+"))),_xlfn.REGEXEXTRACT(CELL("address",W112), "\$([A-Z]+)\$[0-9]+"))</f>
        <v/>
      </c>
      <c r="X112" s="7" t="str">
        <f t="array" aca="1" ref="X112" ca="1">IFERROR(IF(OR('Raw Data'!X112="",LEN(TRIM('Raw Data'!X112))=0),"",IF(AND(ISNUMBER('Raw Data'!X112), IFERROR('Raw Data'!X112 = ROUND('Raw Data'!X112, 2),FALSE)),"",_xlfn.REGEXEXTRACT(CELL("address",X112), "\$([A-Z]+)\$[0-9]+"))),_xlfn.REGEXEXTRACT(CELL("address",X112), "\$([A-Z]+)\$[0-9]+"))</f>
        <v/>
      </c>
      <c r="Y112" s="7" t="str">
        <f t="array" aca="1" ref="Y112" ca="1">IFERROR(IF(OR('Raw Data'!Y112="",LEN(TRIM('Raw Data'!Y112))=0),"",IF(AND(ISNUMBER('Raw Data'!Y112), IFERROR('Raw Data'!Y112 = ROUND('Raw Data'!Y112, 2),FALSE)),"",_xlfn.REGEXEXTRACT(CELL("address",Y112), "\$([A-Z]+)\$[0-9]+"))),_xlfn.REGEXEXTRACT(CELL("address",Y112), "\$([A-Z]+)\$[0-9]+"))</f>
        <v/>
      </c>
      <c r="Z112" s="7" t="str">
        <f t="array" aca="1" ref="Z112" ca="1">IFERROR(IF(OR('Raw Data'!Z112="",LEN(TRIM('Raw Data'!Z112))=0),"",IF(AND(ISNUMBER('Raw Data'!Z112), IFERROR('Raw Data'!Z112 = ROUND('Raw Data'!Z112, 2),FALSE)),"",_xlfn.REGEXEXTRACT(CELL("address",Z112), "\$([A-Z]+)\$[0-9]+"))),_xlfn.REGEXEXTRACT(CELL("address",Z112), "\$([A-Z]+)\$[0-9]+"))</f>
        <v/>
      </c>
      <c r="AA112" s="7" t="str">
        <f t="array" aca="1" ref="AA112" ca="1">IFERROR(IF(OR('Raw Data'!AA112="",LEN(TRIM('Raw Data'!AA112))=0),"",IF(AND(ISNUMBER('Raw Data'!AA112), IFERROR('Raw Data'!AA112 = ROUND('Raw Data'!AA112, 2),FALSE)),"",_xlfn.REGEXEXTRACT(CELL("address",AA112), "\$([A-Z]+)\$[0-9]+"))),_xlfn.REGEXEXTRACT(CELL("address",AA112), "\$([A-Z]+)\$[0-9]+"))</f>
        <v/>
      </c>
      <c r="AB112" s="7" t="str">
        <f t="array" aca="1" ref="AB112" ca="1">IFERROR(IF(OR('Raw Data'!AB112="",LEN(TRIM('Raw Data'!AB112))=0),"",IF(AND(ISNUMBER('Raw Data'!AB112), IFERROR('Raw Data'!AB112 = ROUND('Raw Data'!AB112, 2),FALSE)),"",_xlfn.REGEXEXTRACT(CELL("address",AB112), "\$([A-Z]+)\$[0-9]+"))),_xlfn.REGEXEXTRACT(CELL("address",AB112), "\$([A-Z]+)\$[0-9]+"))</f>
        <v/>
      </c>
      <c r="AC112" s="7" t="str">
        <f t="array" aca="1" ref="AC112" ca="1">IFERROR(IF(OR('Raw Data'!AC112="",LEN(TRIM('Raw Data'!AC112))=0),"",IF(AND(ISNUMBER('Raw Data'!AC112), IFERROR('Raw Data'!AC112 = ROUND('Raw Data'!AC112, 2),FALSE)),"",_xlfn.REGEXEXTRACT(CELL("address",AC112), "\$([A-Z]+)\$[0-9]+"))),_xlfn.REGEXEXTRACT(CELL("address",AC112), "\$([A-Z]+)\$[0-9]+"))</f>
        <v/>
      </c>
      <c r="AD112" s="7" t="str">
        <f t="array" aca="1" ref="AD112" ca="1">IFERROR(IF(OR('Raw Data'!AD112="",LEN(TRIM('Raw Data'!AD112))=0),"",IF(AND(ISNUMBER('Raw Data'!AD112), IFERROR('Raw Data'!AD112 = ROUND('Raw Data'!AD112, 2),FALSE)),"",_xlfn.REGEXEXTRACT(CELL("address",AD112), "\$([A-Z]+)\$[0-9]+"))),_xlfn.REGEXEXTRACT(CELL("address",AD112), "\$([A-Z]+)\$[0-9]+"))</f>
        <v/>
      </c>
      <c r="AE112" s="7" t="str">
        <f t="array" aca="1" ref="AE112" ca="1">IFERROR(IF(OR('Raw Data'!AE112="",LEN(TRIM('Raw Data'!AE112))=0),"",IF(AND(ISNUMBER('Raw Data'!AE112), IFERROR('Raw Data'!AE112 = ROUND('Raw Data'!AE112, 2),FALSE)),"",_xlfn.REGEXEXTRACT(CELL("address",AE112), "\$([A-Z]+)\$[0-9]+"))),_xlfn.REGEXEXTRACT(CELL("address",AE112), "\$([A-Z]+)\$[0-9]+"))</f>
        <v/>
      </c>
      <c r="AF112" s="7" t="str">
        <f t="array" aca="1" ref="AF112" ca="1">IFERROR(IF(OR('Raw Data'!AF112="",LEN(TRIM('Raw Data'!AF112))=0),"",IF(AND(ISNUMBER('Raw Data'!AF112), IFERROR('Raw Data'!AF112 = ROUND('Raw Data'!AF112, 2),FALSE)),"",_xlfn.REGEXEXTRACT(CELL("address",AF112), "\$([A-Z]+)\$[0-9]+"))),_xlfn.REGEXEXTRACT(CELL("address",AF112), "\$([A-Z]+)\$[0-9]+"))</f>
        <v/>
      </c>
      <c r="AG112" s="7" t="str">
        <f t="array" aca="1" ref="AG112" ca="1">IFERROR(IF(OR('Raw Data'!AG112="",LEN(TRIM('Raw Data'!AG112))=0),"",IF(AND(ISNUMBER('Raw Data'!AG112), IFERROR('Raw Data'!AG112 = ROUND('Raw Data'!AG112, 2),FALSE)),"",_xlfn.REGEXEXTRACT(CELL("address",AG112), "\$([A-Z]+)\$[0-9]+"))),_xlfn.REGEXEXTRACT(CELL("address",AG112), "\$([A-Z]+)\$[0-9]+"))</f>
        <v/>
      </c>
      <c r="AH112" s="7" t="str">
        <f t="array" aca="1" ref="AH112" ca="1">IFERROR(IF(OR('Raw Data'!AH112="",LEN(TRIM('Raw Data'!AH112))=0),"",IF(AND(ISNUMBER('Raw Data'!AH112), IFERROR('Raw Data'!AH112 = ROUND('Raw Data'!AH112, 2),FALSE)),"",_xlfn.REGEXEXTRACT(CELL("address",AH112), "\$([A-Z]+)\$[0-9]+"))),_xlfn.REGEXEXTRACT(CELL("address",AH112), "\$([A-Z]+)\$[0-9]+"))</f>
        <v/>
      </c>
      <c r="AI112" s="7" t="str">
        <f t="array" aca="1" ref="AI112" ca="1">IFERROR(IF(OR('Raw Data'!AI112="",LEN(TRIM('Raw Data'!AI112))=0),"",IF(AND(ISNUMBER('Raw Data'!AI112), IFERROR('Raw Data'!AI112 = ROUND('Raw Data'!AI112, 2),FALSE)),"",_xlfn.REGEXEXTRACT(CELL("address",AI112), "\$([A-Z]+)\$[0-9]+"))),_xlfn.REGEXEXTRACT(CELL("address",AI112), "\$([A-Z]+)\$[0-9]+"))</f>
        <v/>
      </c>
      <c r="AJ112" s="7" t="str">
        <f t="array" aca="1" ref="AJ112" ca="1">IFERROR(IF(OR('Raw Data'!AJ112="",LEN(TRIM('Raw Data'!AJ112))=0),"",IF(AND(ISNUMBER('Raw Data'!AJ112), IFERROR('Raw Data'!AJ112 = ROUND('Raw Data'!AJ112, 4),FALSE)),"",_xlfn.REGEXEXTRACT(CELL("address",AJ112), "\$([A-Z]+)\$[0-9]+"))),_xlfn.REGEXEXTRACT(CELL("address",AJ112), "\$([A-Z]+)\$[0-9]+"))</f>
        <v/>
      </c>
      <c r="AK112" s="7" t="str">
        <f t="array" aca="1" ref="AK112" ca="1">IFERROR(IF(OR('Raw Data'!AK112="",LEN(TRIM('Raw Data'!AK112))=0),"",IF(AND(ISNUMBER('Raw Data'!AK112), IFERROR('Raw Data'!AK112 = ROUND('Raw Data'!AK112, 2),FALSE)),"",_xlfn.REGEXEXTRACT(CELL("address",AK112), "\$([A-Z]+)\$[0-9]+"))),_xlfn.REGEXEXTRACT(CELL("address",AK112), "\$([A-Z]+)\$[0-9]+"))</f>
        <v/>
      </c>
      <c r="AL112" s="7" t="str">
        <f t="array" aca="1" ref="AL112" ca="1">IFERROR(IF(OR('Raw Data'!AL112="",LEN(TRIM('Raw Data'!AL112))=0),"",IF(AND(ISNUMBER('Raw Data'!AL112), IFERROR('Raw Data'!AL112 = ROUND('Raw Data'!AL112, 2),FALSE)),"",_xlfn.REGEXEXTRACT(CELL("address",AL112), "\$([A-Z]+)\$[0-9]+"))),_xlfn.REGEXEXTRACT(CELL("address",AL112), "\$([A-Z]+)\$[0-9]+"))</f>
        <v/>
      </c>
      <c r="AM112" s="7" t="str">
        <f t="array" aca="1" ref="AM112" ca="1">IFERROR(IF(OR('Raw Data'!AM112="",LEN(TRIM('Raw Data'!AM112))=0),"",IF(AND(ISNUMBER('Raw Data'!AM112), IFERROR('Raw Data'!AM112 = ROUND('Raw Data'!AM112, 2),FALSE)),"",_xlfn.REGEXEXTRACT(CELL("address",AM112), "\$([A-Z]+)\$[0-9]+"))),_xlfn.REGEXEXTRACT(CELL("address",AM112), "\$([A-Z]+)\$[0-9]+"))</f>
        <v/>
      </c>
      <c r="AN112" s="7" t="str">
        <f t="array" aca="1" ref="AN112" ca="1">IFERROR(IF(OR('Raw Data'!AN112="",LEN(TRIM('Raw Data'!AN112))=0),"",IF(AND(ISNUMBER('Raw Data'!AN112), IFERROR('Raw Data'!AN112 = ROUND('Raw Data'!AN112, 2),FALSE)),"",_xlfn.REGEXEXTRACT(CELL("address",AN112), "\$([A-Z]+)\$[0-9]+"))),_xlfn.REGEXEXTRACT(CELL("address",AN112), "\$([A-Z]+)\$[0-9]+"))</f>
        <v/>
      </c>
      <c r="AO112" s="7" t="str">
        <f t="array" aca="1" ref="AO112" ca="1">IFERROR(IF(OR('Raw Data'!AO112="",LEN(TRIM('Raw Data'!AO112))=0),"",IF(AND(ISNUMBER('Raw Data'!AO112), IFERROR('Raw Data'!AO112 = ROUND('Raw Data'!AO112, 2),FALSE)),"",_xlfn.REGEXEXTRACT(CELL("address",AO112), "\$([A-Z]+)\$[0-9]+"))),_xlfn.REGEXEXTRACT(CELL("address",AO112), "\$([A-Z]+)\$[0-9]+"))</f>
        <v/>
      </c>
      <c r="AP112" s="7" t="str">
        <f t="array" aca="1" ref="AP112" ca="1">IFERROR(IF(OR('Raw Data'!AP112="",LEN(TRIM('Raw Data'!AP112))=0),"",IF(AND(ISNUMBER('Raw Data'!AP112), IFERROR('Raw Data'!AP112 = ROUND('Raw Data'!AP112, 2),FALSE)),"",_xlfn.REGEXEXTRACT(CELL("address",AP112), "\$([A-Z]+)\$[0-9]+"))),_xlfn.REGEXEXTRACT(CELL("address",AP112), "\$([A-Z]+)\$[0-9]+"))</f>
        <v/>
      </c>
    </row>
    <row r="113" spans="2:42" x14ac:dyDescent="0.25">
      <c r="B113" s="7" t="str">
        <f t="array" aca="1" ref="B113" ca="1">IFERROR(IF(OR('Raw Data'!B113="",LEN(TRIM('Raw Data'!B113))=0),"",IF(AND(LEN('Raw Data'!B113) &lt;= 255,LEN('Raw Data'!B113)&gt; 0),"",_xlfn.REGEXEXTRACT(CELL("address",'Raw Data'!B113),"\$([A-Z]+)\$[0-9]+"))),_xlfn.REGEXEXTRACT(CELL("address",'Raw Data'!B113),"\$([A-Z]+)\$[0-9]+"))</f>
        <v/>
      </c>
      <c r="C113" s="7" t="str">
        <f t="array" aca="1" ref="C113" ca="1">IFERROR(IF(OR('Raw Data'!C113="",LEN(TRIM('Raw Data'!C113))=0),"",IF(AND(LEN('Raw Data'!C113) &lt;= 50,LEN('Raw Data'!C113)&gt; 0),"",_xlfn.REGEXEXTRACT(CELL("address",'Raw Data'!C113),"\$([A-Z]+)\$[0-9]+"))),_xlfn.REGEXEXTRACT(CELL("address",'Raw Data'!C113),"\$([A-Z]+)\$[0-9]+"))</f>
        <v/>
      </c>
      <c r="D113" s="7" t="str">
        <f t="array" aca="1" ref="D113" ca="1">IFERROR(IF(OR('Raw Data'!D113="",LEN(TRIM('Raw Data'!D113))=0),"",IF(AND(LEN('Raw Data'!D113) &lt;= 500,LEN('Raw Data'!D113)&gt; 0),"",_xlfn.REGEXEXTRACT(CELL("address",'Raw Data'!D113),"\$([A-Z]+)\$[0-9]+"))),_xlfn.REGEXEXTRACT(CELL("address",'Raw Data'!D113),"\$([A-Z]+)\$[0-9]+"))</f>
        <v/>
      </c>
      <c r="E113" s="7" t="str">
        <f t="array" aca="1" ref="E113" ca="1">IFERROR(IF(OR('Raw Data'!E113="",LEN(TRIM('Raw Data'!E113))=0),"",IF(AND(LEN('Raw Data'!E113) &lt;= 50,LEN('Raw Data'!E113)&gt; 0),"",_xlfn.REGEXEXTRACT(CELL("address",'Raw Data'!E113),"\$([A-Z]+)\$[0-9]+"))),_xlfn.REGEXEXTRACT(CELL("address",'Raw Data'!E113),"\$([A-Z]+)\$[0-9]+"))</f>
        <v/>
      </c>
      <c r="F113" s="7" t="str">
        <f t="array" aca="1" ref="F113" ca="1">IFERROR(IF(OR('Raw Data'!F113="",LEN(TRIM('Raw Data'!F113))=0),"",IF(AND(LEN('Raw Data'!F113) &lt;= 50,LEN('Raw Data'!F113)&gt; 0),"",_xlfn.REGEXEXTRACT(CELL("address",'Raw Data'!F113),"\$([A-Z]+)\$[0-9]+"))),_xlfn.REGEXEXTRACT(CELL("address",'Raw Data'!F113),"\$([A-Z]+)\$[0-9]+"))</f>
        <v/>
      </c>
      <c r="G113" s="7" t="str">
        <f t="array" aca="1" ref="G113" ca="1">IFERROR(IF(OR('Raw Data'!G113="",LEN(TRIM('Raw Data'!G113))=0),"",IF(AND(LEN('Raw Data'!G113) &lt;= 50,LEN('Raw Data'!G113)&gt; 0),"",_xlfn.REGEXEXTRACT(CELL("address",'Raw Data'!G113),"\$([A-Z]+)\$[0-9]+"))),_xlfn.REGEXEXTRACT(CELL("address",'Raw Data'!G113),"\$([A-Z]+)\$[0-9]+"))</f>
        <v/>
      </c>
      <c r="H113" s="7" t="str">
        <f t="array" aca="1" ref="H113" ca="1">IFERROR(IF(OR('Raw Data'!H113="",LEN(TRIM('Raw Data'!H113))=0),"",IF(AND(LEN('Raw Data'!H113) &lt;= 50,LEN('Raw Data'!H113)&gt; 0),"",_xlfn.REGEXEXTRACT(CELL("address",'Raw Data'!H113),"\$([A-Z]+)\$[0-9]+"))),_xlfn.REGEXEXTRACT(CELL("address",'Raw Data'!H113),"\$([A-Z]+)\$[0-9]+"))</f>
        <v/>
      </c>
      <c r="I113" s="7" t="str">
        <f t="array" aca="1" ref="I113" ca="1">IFERROR(IF(OR('Raw Data'!I113="",LEN(TRIM('Raw Data'!I113))=0),"",IF(AND(LEN('Raw Data'!I113) &lt;= 50,LEN('Raw Data'!I113)&gt; 0),"",_xlfn.REGEXEXTRACT(CELL("address",'Raw Data'!I113),"\$([A-Z]+)\$[0-9]+"))),_xlfn.REGEXEXTRACT(CELL("address",'Raw Data'!I113),"\$([A-Z]+)\$[0-9]+"))</f>
        <v/>
      </c>
      <c r="J113" s="7" t="str">
        <f t="array" aca="1" ref="J113" ca="1">IFERROR(IF(OR('Raw Data'!J113="",LEN(TRIM('Raw Data'!J113))=0),"",IF(AND(ISNUMBER('Raw Data'!J113), IFERROR('Raw Data'!J113 = ROUND('Raw Data'!J113, 2),FALSE)),"",_xlfn.REGEXEXTRACT(CELL("address",J113), "\$([A-Z]+)\$[0-9]+"))),_xlfn.REGEXEXTRACT(CELL("address",J113), "\$([A-Z]+)\$[0-9]+"))</f>
        <v/>
      </c>
      <c r="K113" s="7" t="str">
        <f t="array" aca="1" ref="K113" ca="1">IFERROR(IF(OR('Raw Data'!K113="",LEN(TRIM('Raw Data'!K113))=0),"",IF(AND(ISNUMBER('Raw Data'!K113), IFERROR('Raw Data'!K113 = ROUND('Raw Data'!K113, 2),FALSE)),"",_xlfn.REGEXEXTRACT(CELL("address",K113), "\$([A-Z]+)\$[0-9]+"))),_xlfn.REGEXEXTRACT(CELL("address",K113), "\$([A-Z]+)\$[0-9]+"))</f>
        <v/>
      </c>
      <c r="L113" s="7" t="str">
        <f t="array" aca="1" ref="L113" ca="1">IFERROR(IF(OR('Raw Data'!L113="",LEN(TRIM('Raw Data'!L113))=0),"",IF(AND(ISNUMBER('Raw Data'!L113), IFERROR('Raw Data'!L113 = ROUND('Raw Data'!L113, 2),FALSE)),"",_xlfn.REGEXEXTRACT(CELL("address",L113), "\$([A-Z]+)\$[0-9]+"))),_xlfn.REGEXEXTRACT(CELL("address",L113), "\$([A-Z]+)\$[0-9]+"))</f>
        <v/>
      </c>
      <c r="M113" s="7" t="str">
        <f t="array" aca="1" ref="M113" ca="1">IFERROR(IF(OR('Raw Data'!M113="",LEN(TRIM('Raw Data'!M113))=0),"",IF(AND(ISNUMBER('Raw Data'!M113), IFERROR('Raw Data'!M113 = ROUND('Raw Data'!M113, 2),FALSE)),"",_xlfn.REGEXEXTRACT(CELL("address",M113), "\$([A-Z]+)\$[0-9]+"))),_xlfn.REGEXEXTRACT(CELL("address",M113), "\$([A-Z]+)\$[0-9]+"))</f>
        <v/>
      </c>
      <c r="N113" s="7" t="str">
        <f t="array" aca="1" ref="N113" ca="1">IFERROR(IF(OR('Raw Data'!N113="",LEN(TRIM('Raw Data'!N113))=0),"",IF(AND(ISNUMBER('Raw Data'!N113), IFERROR('Raw Data'!N113 = ROUND('Raw Data'!N113, 2),FALSE)),"",_xlfn.REGEXEXTRACT(CELL("address",N113), "\$([A-Z]+)\$[0-9]+"))),_xlfn.REGEXEXTRACT(CELL("address",N113), "\$([A-Z]+)\$[0-9]+"))</f>
        <v/>
      </c>
      <c r="O113" s="7" t="str">
        <f t="array" aca="1" ref="O113" ca="1">IFERROR(IF(OR('Raw Data'!O113="",LEN(TRIM('Raw Data'!O113))=0),"",IF(AND(ISNUMBER('Raw Data'!O113),'Raw Data'!O113&gt;=Configuration!$D$2),"",_xlfn.REGEXEXTRACT(CELL("address",'Raw Data'!O113),"\$([A-Z]+)\$[0-9]+"))),_xlfn.REGEXEXTRACT(CELL("address",O113), "\$([A-Z]+)\$[0-9]+"))</f>
        <v/>
      </c>
      <c r="P113" s="7" t="str">
        <f t="array" aca="1" ref="P113" ca="1">IFERROR(IF(OR('Raw Data'!P113="",LEN(TRIM('Raw Data'!P113))=0),"",IF(AND(ISNUMBER('Raw Data'!P113), IFERROR('Raw Data'!P113 = ROUND('Raw Data'!P113, 2),FALSE)),"",_xlfn.REGEXEXTRACT(CELL("address",P113), "\$([A-Z]+)\$[0-9]+"))),_xlfn.REGEXEXTRACT(CELL("address",P113), "\$([A-Z]+)\$[0-9]+"))</f>
        <v/>
      </c>
      <c r="Q113" s="7" t="str">
        <f t="array" aca="1" ref="Q113" ca="1">IFERROR(IF(OR('Raw Data'!Q113="",LEN(TRIM('Raw Data'!Q113))=0),"",IF(AND(ISNUMBER('Raw Data'!Q113), IFERROR('Raw Data'!Q113 = ROUND('Raw Data'!Q113, 2),FALSE)),"",_xlfn.REGEXEXTRACT(CELL("address",Q113), "\$([A-Z]+)\$[0-9]+"))),_xlfn.REGEXEXTRACT(CELL("address",Q113), "\$([A-Z]+)\$[0-9]+"))</f>
        <v/>
      </c>
      <c r="R113" s="7" t="str">
        <f t="array" aca="1" ref="R113" ca="1">IFERROR(IF(OR('Raw Data'!R113="",LEN(TRIM('Raw Data'!R113))=0),"",IF(AND(LEN('Raw Data'!R113) &lt;= 50,LEN('Raw Data'!R113)&gt; 0),"",_xlfn.REGEXEXTRACT(CELL("address",'Raw Data'!R113),"\$([A-Z]+)\$[0-9]+"))),_xlfn.REGEXEXTRACT(CELL("address",'Raw Data'!R113),"\$([A-Z]+)\$[0-9]+"))</f>
        <v/>
      </c>
      <c r="S113" s="7" t="str">
        <f t="array" aca="1" ref="S113" ca="1">IFERROR(IF(OR('Raw Data'!S113="",LEN(TRIM('Raw Data'!S113))=0),"",IF(AND(LEN('Raw Data'!S113) &lt;= 50,LEN('Raw Data'!S113)&gt; 0),"",_xlfn.REGEXEXTRACT(CELL("address",'Raw Data'!S113),"\$([A-Z]+)\$[0-9]+"))),_xlfn.REGEXEXTRACT(CELL("address",'Raw Data'!S113),"\$([A-Z]+)\$[0-9]+"))</f>
        <v/>
      </c>
      <c r="T113" s="7" t="str">
        <f t="array" aca="1" ref="T113" ca="1">IFERROR(IF(OR('Raw Data'!T113="",LEN(TRIM('Raw Data'!T113))=0),"",IF(AND(ISNUMBER('Raw Data'!T113), IFERROR('Raw Data'!T113 = ROUND('Raw Data'!T113, 2),FALSE)),"",_xlfn.REGEXEXTRACT(CELL("address",T113), "\$([A-Z]+)\$[0-9]+"))),_xlfn.REGEXEXTRACT(CELL("address",T113), "\$([A-Z]+)\$[0-9]+"))</f>
        <v/>
      </c>
      <c r="U113" s="7" t="str">
        <f t="array" aca="1" ref="U113" ca="1">IFERROR(IF(OR('Raw Data'!U113="",LEN(TRIM('Raw Data'!U113))=0),"",IF(AND(ISNUMBER('Raw Data'!U113), IFERROR('Raw Data'!U113 = ROUND('Raw Data'!U113, 2),FALSE)),"",_xlfn.REGEXEXTRACT(CELL("address",U113), "\$([A-Z]+)\$[0-9]+"))),_xlfn.REGEXEXTRACT(CELL("address",U113), "\$([A-Z]+)\$[0-9]+"))</f>
        <v/>
      </c>
      <c r="V113" s="7" t="str">
        <f t="array" aca="1" ref="V113" ca="1">IFERROR(IF(OR('Raw Data'!V113="",LEN(TRIM('Raw Data'!V113))=0),"",IF(AND(ISNUMBER('Raw Data'!V113), IFERROR('Raw Data'!V113 = ROUND('Raw Data'!V113, 2),FALSE)),"",_xlfn.REGEXEXTRACT(CELL("address",V113), "\$([A-Z]+)\$[0-9]+"))),_xlfn.REGEXEXTRACT(CELL("address",V113), "\$([A-Z]+)\$[0-9]+"))</f>
        <v/>
      </c>
      <c r="W113" s="7" t="str">
        <f t="array" aca="1" ref="W113" ca="1">IFERROR(IF(OR('Raw Data'!W113="",LEN(TRIM('Raw Data'!W113))=0),"",IF(AND(ISNUMBER('Raw Data'!W113), IFERROR('Raw Data'!W113 = ROUND('Raw Data'!W113, 2),FALSE)),"",_xlfn.REGEXEXTRACT(CELL("address",W113), "\$([A-Z]+)\$[0-9]+"))),_xlfn.REGEXEXTRACT(CELL("address",W113), "\$([A-Z]+)\$[0-9]+"))</f>
        <v/>
      </c>
      <c r="X113" s="7" t="str">
        <f t="array" aca="1" ref="X113" ca="1">IFERROR(IF(OR('Raw Data'!X113="",LEN(TRIM('Raw Data'!X113))=0),"",IF(AND(ISNUMBER('Raw Data'!X113), IFERROR('Raw Data'!X113 = ROUND('Raw Data'!X113, 2),FALSE)),"",_xlfn.REGEXEXTRACT(CELL("address",X113), "\$([A-Z]+)\$[0-9]+"))),_xlfn.REGEXEXTRACT(CELL("address",X113), "\$([A-Z]+)\$[0-9]+"))</f>
        <v/>
      </c>
      <c r="Y113" s="7" t="str">
        <f t="array" aca="1" ref="Y113" ca="1">IFERROR(IF(OR('Raw Data'!Y113="",LEN(TRIM('Raw Data'!Y113))=0),"",IF(AND(ISNUMBER('Raw Data'!Y113), IFERROR('Raw Data'!Y113 = ROUND('Raw Data'!Y113, 2),FALSE)),"",_xlfn.REGEXEXTRACT(CELL("address",Y113), "\$([A-Z]+)\$[0-9]+"))),_xlfn.REGEXEXTRACT(CELL("address",Y113), "\$([A-Z]+)\$[0-9]+"))</f>
        <v/>
      </c>
      <c r="Z113" s="7" t="str">
        <f t="array" aca="1" ref="Z113" ca="1">IFERROR(IF(OR('Raw Data'!Z113="",LEN(TRIM('Raw Data'!Z113))=0),"",IF(AND(ISNUMBER('Raw Data'!Z113), IFERROR('Raw Data'!Z113 = ROUND('Raw Data'!Z113, 2),FALSE)),"",_xlfn.REGEXEXTRACT(CELL("address",Z113), "\$([A-Z]+)\$[0-9]+"))),_xlfn.REGEXEXTRACT(CELL("address",Z113), "\$([A-Z]+)\$[0-9]+"))</f>
        <v/>
      </c>
      <c r="AA113" s="7" t="str">
        <f t="array" aca="1" ref="AA113" ca="1">IFERROR(IF(OR('Raw Data'!AA113="",LEN(TRIM('Raw Data'!AA113))=0),"",IF(AND(ISNUMBER('Raw Data'!AA113), IFERROR('Raw Data'!AA113 = ROUND('Raw Data'!AA113, 2),FALSE)),"",_xlfn.REGEXEXTRACT(CELL("address",AA113), "\$([A-Z]+)\$[0-9]+"))),_xlfn.REGEXEXTRACT(CELL("address",AA113), "\$([A-Z]+)\$[0-9]+"))</f>
        <v/>
      </c>
      <c r="AB113" s="7" t="str">
        <f t="array" aca="1" ref="AB113" ca="1">IFERROR(IF(OR('Raw Data'!AB113="",LEN(TRIM('Raw Data'!AB113))=0),"",IF(AND(ISNUMBER('Raw Data'!AB113), IFERROR('Raw Data'!AB113 = ROUND('Raw Data'!AB113, 2),FALSE)),"",_xlfn.REGEXEXTRACT(CELL("address",AB113), "\$([A-Z]+)\$[0-9]+"))),_xlfn.REGEXEXTRACT(CELL("address",AB113), "\$([A-Z]+)\$[0-9]+"))</f>
        <v/>
      </c>
      <c r="AC113" s="7" t="str">
        <f t="array" aca="1" ref="AC113" ca="1">IFERROR(IF(OR('Raw Data'!AC113="",LEN(TRIM('Raw Data'!AC113))=0),"",IF(AND(ISNUMBER('Raw Data'!AC113), IFERROR('Raw Data'!AC113 = ROUND('Raw Data'!AC113, 2),FALSE)),"",_xlfn.REGEXEXTRACT(CELL("address",AC113), "\$([A-Z]+)\$[0-9]+"))),_xlfn.REGEXEXTRACT(CELL("address",AC113), "\$([A-Z]+)\$[0-9]+"))</f>
        <v/>
      </c>
      <c r="AD113" s="7" t="str">
        <f t="array" aca="1" ref="AD113" ca="1">IFERROR(IF(OR('Raw Data'!AD113="",LEN(TRIM('Raw Data'!AD113))=0),"",IF(AND(ISNUMBER('Raw Data'!AD113), IFERROR('Raw Data'!AD113 = ROUND('Raw Data'!AD113, 2),FALSE)),"",_xlfn.REGEXEXTRACT(CELL("address",AD113), "\$([A-Z]+)\$[0-9]+"))),_xlfn.REGEXEXTRACT(CELL("address",AD113), "\$([A-Z]+)\$[0-9]+"))</f>
        <v/>
      </c>
      <c r="AE113" s="7" t="str">
        <f t="array" aca="1" ref="AE113" ca="1">IFERROR(IF(OR('Raw Data'!AE113="",LEN(TRIM('Raw Data'!AE113))=0),"",IF(AND(ISNUMBER('Raw Data'!AE113), IFERROR('Raw Data'!AE113 = ROUND('Raw Data'!AE113, 2),FALSE)),"",_xlfn.REGEXEXTRACT(CELL("address",AE113), "\$([A-Z]+)\$[0-9]+"))),_xlfn.REGEXEXTRACT(CELL("address",AE113), "\$([A-Z]+)\$[0-9]+"))</f>
        <v/>
      </c>
      <c r="AF113" s="7" t="str">
        <f t="array" aca="1" ref="AF113" ca="1">IFERROR(IF(OR('Raw Data'!AF113="",LEN(TRIM('Raw Data'!AF113))=0),"",IF(AND(ISNUMBER('Raw Data'!AF113), IFERROR('Raw Data'!AF113 = ROUND('Raw Data'!AF113, 2),FALSE)),"",_xlfn.REGEXEXTRACT(CELL("address",AF113), "\$([A-Z]+)\$[0-9]+"))),_xlfn.REGEXEXTRACT(CELL("address",AF113), "\$([A-Z]+)\$[0-9]+"))</f>
        <v/>
      </c>
      <c r="AG113" s="7" t="str">
        <f t="array" aca="1" ref="AG113" ca="1">IFERROR(IF(OR('Raw Data'!AG113="",LEN(TRIM('Raw Data'!AG113))=0),"",IF(AND(ISNUMBER('Raw Data'!AG113), IFERROR('Raw Data'!AG113 = ROUND('Raw Data'!AG113, 2),FALSE)),"",_xlfn.REGEXEXTRACT(CELL("address",AG113), "\$([A-Z]+)\$[0-9]+"))),_xlfn.REGEXEXTRACT(CELL("address",AG113), "\$([A-Z]+)\$[0-9]+"))</f>
        <v/>
      </c>
      <c r="AH113" s="7" t="str">
        <f t="array" aca="1" ref="AH113" ca="1">IFERROR(IF(OR('Raw Data'!AH113="",LEN(TRIM('Raw Data'!AH113))=0),"",IF(AND(ISNUMBER('Raw Data'!AH113), IFERROR('Raw Data'!AH113 = ROUND('Raw Data'!AH113, 2),FALSE)),"",_xlfn.REGEXEXTRACT(CELL("address",AH113), "\$([A-Z]+)\$[0-9]+"))),_xlfn.REGEXEXTRACT(CELL("address",AH113), "\$([A-Z]+)\$[0-9]+"))</f>
        <v/>
      </c>
      <c r="AI113" s="7" t="str">
        <f t="array" aca="1" ref="AI113" ca="1">IFERROR(IF(OR('Raw Data'!AI113="",LEN(TRIM('Raw Data'!AI113))=0),"",IF(AND(ISNUMBER('Raw Data'!AI113), IFERROR('Raw Data'!AI113 = ROUND('Raw Data'!AI113, 2),FALSE)),"",_xlfn.REGEXEXTRACT(CELL("address",AI113), "\$([A-Z]+)\$[0-9]+"))),_xlfn.REGEXEXTRACT(CELL("address",AI113), "\$([A-Z]+)\$[0-9]+"))</f>
        <v/>
      </c>
      <c r="AJ113" s="7" t="str">
        <f t="array" aca="1" ref="AJ113" ca="1">IFERROR(IF(OR('Raw Data'!AJ113="",LEN(TRIM('Raw Data'!AJ113))=0),"",IF(AND(ISNUMBER('Raw Data'!AJ113), IFERROR('Raw Data'!AJ113 = ROUND('Raw Data'!AJ113, 4),FALSE)),"",_xlfn.REGEXEXTRACT(CELL("address",AJ113), "\$([A-Z]+)\$[0-9]+"))),_xlfn.REGEXEXTRACT(CELL("address",AJ113), "\$([A-Z]+)\$[0-9]+"))</f>
        <v/>
      </c>
      <c r="AK113" s="7" t="str">
        <f t="array" aca="1" ref="AK113" ca="1">IFERROR(IF(OR('Raw Data'!AK113="",LEN(TRIM('Raw Data'!AK113))=0),"",IF(AND(ISNUMBER('Raw Data'!AK113), IFERROR('Raw Data'!AK113 = ROUND('Raw Data'!AK113, 2),FALSE)),"",_xlfn.REGEXEXTRACT(CELL("address",AK113), "\$([A-Z]+)\$[0-9]+"))),_xlfn.REGEXEXTRACT(CELL("address",AK113), "\$([A-Z]+)\$[0-9]+"))</f>
        <v/>
      </c>
      <c r="AL113" s="7" t="str">
        <f t="array" aca="1" ref="AL113" ca="1">IFERROR(IF(OR('Raw Data'!AL113="",LEN(TRIM('Raw Data'!AL113))=0),"",IF(AND(ISNUMBER('Raw Data'!AL113), IFERROR('Raw Data'!AL113 = ROUND('Raw Data'!AL113, 2),FALSE)),"",_xlfn.REGEXEXTRACT(CELL("address",AL113), "\$([A-Z]+)\$[0-9]+"))),_xlfn.REGEXEXTRACT(CELL("address",AL113), "\$([A-Z]+)\$[0-9]+"))</f>
        <v/>
      </c>
      <c r="AM113" s="7" t="str">
        <f t="array" aca="1" ref="AM113" ca="1">IFERROR(IF(OR('Raw Data'!AM113="",LEN(TRIM('Raw Data'!AM113))=0),"",IF(AND(ISNUMBER('Raw Data'!AM113), IFERROR('Raw Data'!AM113 = ROUND('Raw Data'!AM113, 2),FALSE)),"",_xlfn.REGEXEXTRACT(CELL("address",AM113), "\$([A-Z]+)\$[0-9]+"))),_xlfn.REGEXEXTRACT(CELL("address",AM113), "\$([A-Z]+)\$[0-9]+"))</f>
        <v/>
      </c>
      <c r="AN113" s="7" t="str">
        <f t="array" aca="1" ref="AN113" ca="1">IFERROR(IF(OR('Raw Data'!AN113="",LEN(TRIM('Raw Data'!AN113))=0),"",IF(AND(ISNUMBER('Raw Data'!AN113), IFERROR('Raw Data'!AN113 = ROUND('Raw Data'!AN113, 2),FALSE)),"",_xlfn.REGEXEXTRACT(CELL("address",AN113), "\$([A-Z]+)\$[0-9]+"))),_xlfn.REGEXEXTRACT(CELL("address",AN113), "\$([A-Z]+)\$[0-9]+"))</f>
        <v/>
      </c>
      <c r="AO113" s="7" t="str">
        <f t="array" aca="1" ref="AO113" ca="1">IFERROR(IF(OR('Raw Data'!AO113="",LEN(TRIM('Raw Data'!AO113))=0),"",IF(AND(ISNUMBER('Raw Data'!AO113), IFERROR('Raw Data'!AO113 = ROUND('Raw Data'!AO113, 2),FALSE)),"",_xlfn.REGEXEXTRACT(CELL("address",AO113), "\$([A-Z]+)\$[0-9]+"))),_xlfn.REGEXEXTRACT(CELL("address",AO113), "\$([A-Z]+)\$[0-9]+"))</f>
        <v/>
      </c>
      <c r="AP113" s="7" t="str">
        <f t="array" aca="1" ref="AP113" ca="1">IFERROR(IF(OR('Raw Data'!AP113="",LEN(TRIM('Raw Data'!AP113))=0),"",IF(AND(ISNUMBER('Raw Data'!AP113), IFERROR('Raw Data'!AP113 = ROUND('Raw Data'!AP113, 2),FALSE)),"",_xlfn.REGEXEXTRACT(CELL("address",AP113), "\$([A-Z]+)\$[0-9]+"))),_xlfn.REGEXEXTRACT(CELL("address",AP113), "\$([A-Z]+)\$[0-9]+"))</f>
        <v/>
      </c>
    </row>
    <row r="114" spans="2:42" x14ac:dyDescent="0.25">
      <c r="B114" s="7" t="str">
        <f t="array" aca="1" ref="B114" ca="1">IFERROR(IF(OR('Raw Data'!B114="",LEN(TRIM('Raw Data'!B114))=0),"",IF(AND(LEN('Raw Data'!B114) &lt;= 255,LEN('Raw Data'!B114)&gt; 0),"",_xlfn.REGEXEXTRACT(CELL("address",'Raw Data'!B114),"\$([A-Z]+)\$[0-9]+"))),_xlfn.REGEXEXTRACT(CELL("address",'Raw Data'!B114),"\$([A-Z]+)\$[0-9]+"))</f>
        <v/>
      </c>
      <c r="C114" s="7" t="str">
        <f t="array" aca="1" ref="C114" ca="1">IFERROR(IF(OR('Raw Data'!C114="",LEN(TRIM('Raw Data'!C114))=0),"",IF(AND(LEN('Raw Data'!C114) &lt;= 50,LEN('Raw Data'!C114)&gt; 0),"",_xlfn.REGEXEXTRACT(CELL("address",'Raw Data'!C114),"\$([A-Z]+)\$[0-9]+"))),_xlfn.REGEXEXTRACT(CELL("address",'Raw Data'!C114),"\$([A-Z]+)\$[0-9]+"))</f>
        <v/>
      </c>
      <c r="D114" s="7" t="str">
        <f t="array" aca="1" ref="D114" ca="1">IFERROR(IF(OR('Raw Data'!D114="",LEN(TRIM('Raw Data'!D114))=0),"",IF(AND(LEN('Raw Data'!D114) &lt;= 500,LEN('Raw Data'!D114)&gt; 0),"",_xlfn.REGEXEXTRACT(CELL("address",'Raw Data'!D114),"\$([A-Z]+)\$[0-9]+"))),_xlfn.REGEXEXTRACT(CELL("address",'Raw Data'!D114),"\$([A-Z]+)\$[0-9]+"))</f>
        <v/>
      </c>
      <c r="E114" s="7" t="str">
        <f t="array" aca="1" ref="E114" ca="1">IFERROR(IF(OR('Raw Data'!E114="",LEN(TRIM('Raw Data'!E114))=0),"",IF(AND(LEN('Raw Data'!E114) &lt;= 50,LEN('Raw Data'!E114)&gt; 0),"",_xlfn.REGEXEXTRACT(CELL("address",'Raw Data'!E114),"\$([A-Z]+)\$[0-9]+"))),_xlfn.REGEXEXTRACT(CELL("address",'Raw Data'!E114),"\$([A-Z]+)\$[0-9]+"))</f>
        <v/>
      </c>
      <c r="F114" s="7" t="str">
        <f t="array" aca="1" ref="F114" ca="1">IFERROR(IF(OR('Raw Data'!F114="",LEN(TRIM('Raw Data'!F114))=0),"",IF(AND(LEN('Raw Data'!F114) &lt;= 50,LEN('Raw Data'!F114)&gt; 0),"",_xlfn.REGEXEXTRACT(CELL("address",'Raw Data'!F114),"\$([A-Z]+)\$[0-9]+"))),_xlfn.REGEXEXTRACT(CELL("address",'Raw Data'!F114),"\$([A-Z]+)\$[0-9]+"))</f>
        <v/>
      </c>
      <c r="G114" s="7" t="str">
        <f t="array" aca="1" ref="G114" ca="1">IFERROR(IF(OR('Raw Data'!G114="",LEN(TRIM('Raw Data'!G114))=0),"",IF(AND(LEN('Raw Data'!G114) &lt;= 50,LEN('Raw Data'!G114)&gt; 0),"",_xlfn.REGEXEXTRACT(CELL("address",'Raw Data'!G114),"\$([A-Z]+)\$[0-9]+"))),_xlfn.REGEXEXTRACT(CELL("address",'Raw Data'!G114),"\$([A-Z]+)\$[0-9]+"))</f>
        <v/>
      </c>
      <c r="H114" s="7" t="str">
        <f t="array" aca="1" ref="H114" ca="1">IFERROR(IF(OR('Raw Data'!H114="",LEN(TRIM('Raw Data'!H114))=0),"",IF(AND(LEN('Raw Data'!H114) &lt;= 50,LEN('Raw Data'!H114)&gt; 0),"",_xlfn.REGEXEXTRACT(CELL("address",'Raw Data'!H114),"\$([A-Z]+)\$[0-9]+"))),_xlfn.REGEXEXTRACT(CELL("address",'Raw Data'!H114),"\$([A-Z]+)\$[0-9]+"))</f>
        <v/>
      </c>
      <c r="I114" s="7" t="str">
        <f t="array" aca="1" ref="I114" ca="1">IFERROR(IF(OR('Raw Data'!I114="",LEN(TRIM('Raw Data'!I114))=0),"",IF(AND(LEN('Raw Data'!I114) &lt;= 50,LEN('Raw Data'!I114)&gt; 0),"",_xlfn.REGEXEXTRACT(CELL("address",'Raw Data'!I114),"\$([A-Z]+)\$[0-9]+"))),_xlfn.REGEXEXTRACT(CELL("address",'Raw Data'!I114),"\$([A-Z]+)\$[0-9]+"))</f>
        <v/>
      </c>
      <c r="J114" s="7" t="str">
        <f t="array" aca="1" ref="J114" ca="1">IFERROR(IF(OR('Raw Data'!J114="",LEN(TRIM('Raw Data'!J114))=0),"",IF(AND(ISNUMBER('Raw Data'!J114), IFERROR('Raw Data'!J114 = ROUND('Raw Data'!J114, 2),FALSE)),"",_xlfn.REGEXEXTRACT(CELL("address",J114), "\$([A-Z]+)\$[0-9]+"))),_xlfn.REGEXEXTRACT(CELL("address",J114), "\$([A-Z]+)\$[0-9]+"))</f>
        <v/>
      </c>
      <c r="K114" s="7" t="str">
        <f t="array" aca="1" ref="K114" ca="1">IFERROR(IF(OR('Raw Data'!K114="",LEN(TRIM('Raw Data'!K114))=0),"",IF(AND(ISNUMBER('Raw Data'!K114), IFERROR('Raw Data'!K114 = ROUND('Raw Data'!K114, 2),FALSE)),"",_xlfn.REGEXEXTRACT(CELL("address",K114), "\$([A-Z]+)\$[0-9]+"))),_xlfn.REGEXEXTRACT(CELL("address",K114), "\$([A-Z]+)\$[0-9]+"))</f>
        <v/>
      </c>
      <c r="L114" s="7" t="str">
        <f t="array" aca="1" ref="L114" ca="1">IFERROR(IF(OR('Raw Data'!L114="",LEN(TRIM('Raw Data'!L114))=0),"",IF(AND(ISNUMBER('Raw Data'!L114), IFERROR('Raw Data'!L114 = ROUND('Raw Data'!L114, 2),FALSE)),"",_xlfn.REGEXEXTRACT(CELL("address",L114), "\$([A-Z]+)\$[0-9]+"))),_xlfn.REGEXEXTRACT(CELL("address",L114), "\$([A-Z]+)\$[0-9]+"))</f>
        <v/>
      </c>
      <c r="M114" s="7" t="str">
        <f t="array" aca="1" ref="M114" ca="1">IFERROR(IF(OR('Raw Data'!M114="",LEN(TRIM('Raw Data'!M114))=0),"",IF(AND(ISNUMBER('Raw Data'!M114), IFERROR('Raw Data'!M114 = ROUND('Raw Data'!M114, 2),FALSE)),"",_xlfn.REGEXEXTRACT(CELL("address",M114), "\$([A-Z]+)\$[0-9]+"))),_xlfn.REGEXEXTRACT(CELL("address",M114), "\$([A-Z]+)\$[0-9]+"))</f>
        <v/>
      </c>
      <c r="N114" s="7" t="str">
        <f t="array" aca="1" ref="N114" ca="1">IFERROR(IF(OR('Raw Data'!N114="",LEN(TRIM('Raw Data'!N114))=0),"",IF(AND(ISNUMBER('Raw Data'!N114), IFERROR('Raw Data'!N114 = ROUND('Raw Data'!N114, 2),FALSE)),"",_xlfn.REGEXEXTRACT(CELL("address",N114), "\$([A-Z]+)\$[0-9]+"))),_xlfn.REGEXEXTRACT(CELL("address",N114), "\$([A-Z]+)\$[0-9]+"))</f>
        <v/>
      </c>
      <c r="O114" s="7" t="str">
        <f t="array" aca="1" ref="O114" ca="1">IFERROR(IF(OR('Raw Data'!O114="",LEN(TRIM('Raw Data'!O114))=0),"",IF(AND(ISNUMBER('Raw Data'!O114),'Raw Data'!O114&gt;=Configuration!$D$2),"",_xlfn.REGEXEXTRACT(CELL("address",'Raw Data'!O114),"\$([A-Z]+)\$[0-9]+"))),_xlfn.REGEXEXTRACT(CELL("address",O114), "\$([A-Z]+)\$[0-9]+"))</f>
        <v/>
      </c>
      <c r="P114" s="7" t="str">
        <f t="array" aca="1" ref="P114" ca="1">IFERROR(IF(OR('Raw Data'!P114="",LEN(TRIM('Raw Data'!P114))=0),"",IF(AND(ISNUMBER('Raw Data'!P114), IFERROR('Raw Data'!P114 = ROUND('Raw Data'!P114, 2),FALSE)),"",_xlfn.REGEXEXTRACT(CELL("address",P114), "\$([A-Z]+)\$[0-9]+"))),_xlfn.REGEXEXTRACT(CELL("address",P114), "\$([A-Z]+)\$[0-9]+"))</f>
        <v/>
      </c>
      <c r="Q114" s="7" t="str">
        <f t="array" aca="1" ref="Q114" ca="1">IFERROR(IF(OR('Raw Data'!Q114="",LEN(TRIM('Raw Data'!Q114))=0),"",IF(AND(ISNUMBER('Raw Data'!Q114), IFERROR('Raw Data'!Q114 = ROUND('Raw Data'!Q114, 2),FALSE)),"",_xlfn.REGEXEXTRACT(CELL("address",Q114), "\$([A-Z]+)\$[0-9]+"))),_xlfn.REGEXEXTRACT(CELL("address",Q114), "\$([A-Z]+)\$[0-9]+"))</f>
        <v/>
      </c>
      <c r="R114" s="7" t="str">
        <f t="array" aca="1" ref="R114" ca="1">IFERROR(IF(OR('Raw Data'!R114="",LEN(TRIM('Raw Data'!R114))=0),"",IF(AND(LEN('Raw Data'!R114) &lt;= 50,LEN('Raw Data'!R114)&gt; 0),"",_xlfn.REGEXEXTRACT(CELL("address",'Raw Data'!R114),"\$([A-Z]+)\$[0-9]+"))),_xlfn.REGEXEXTRACT(CELL("address",'Raw Data'!R114),"\$([A-Z]+)\$[0-9]+"))</f>
        <v/>
      </c>
      <c r="S114" s="7" t="str">
        <f t="array" aca="1" ref="S114" ca="1">IFERROR(IF(OR('Raw Data'!S114="",LEN(TRIM('Raw Data'!S114))=0),"",IF(AND(LEN('Raw Data'!S114) &lt;= 50,LEN('Raw Data'!S114)&gt; 0),"",_xlfn.REGEXEXTRACT(CELL("address",'Raw Data'!S114),"\$([A-Z]+)\$[0-9]+"))),_xlfn.REGEXEXTRACT(CELL("address",'Raw Data'!S114),"\$([A-Z]+)\$[0-9]+"))</f>
        <v/>
      </c>
      <c r="T114" s="7" t="str">
        <f t="array" aca="1" ref="T114" ca="1">IFERROR(IF(OR('Raw Data'!T114="",LEN(TRIM('Raw Data'!T114))=0),"",IF(AND(ISNUMBER('Raw Data'!T114), IFERROR('Raw Data'!T114 = ROUND('Raw Data'!T114, 2),FALSE)),"",_xlfn.REGEXEXTRACT(CELL("address",T114), "\$([A-Z]+)\$[0-9]+"))),_xlfn.REGEXEXTRACT(CELL("address",T114), "\$([A-Z]+)\$[0-9]+"))</f>
        <v/>
      </c>
      <c r="U114" s="7" t="str">
        <f t="array" aca="1" ref="U114" ca="1">IFERROR(IF(OR('Raw Data'!U114="",LEN(TRIM('Raw Data'!U114))=0),"",IF(AND(ISNUMBER('Raw Data'!U114), IFERROR('Raw Data'!U114 = ROUND('Raw Data'!U114, 2),FALSE)),"",_xlfn.REGEXEXTRACT(CELL("address",U114), "\$([A-Z]+)\$[0-9]+"))),_xlfn.REGEXEXTRACT(CELL("address",U114), "\$([A-Z]+)\$[0-9]+"))</f>
        <v/>
      </c>
      <c r="V114" s="7" t="str">
        <f t="array" aca="1" ref="V114" ca="1">IFERROR(IF(OR('Raw Data'!V114="",LEN(TRIM('Raw Data'!V114))=0),"",IF(AND(ISNUMBER('Raw Data'!V114), IFERROR('Raw Data'!V114 = ROUND('Raw Data'!V114, 2),FALSE)),"",_xlfn.REGEXEXTRACT(CELL("address",V114), "\$([A-Z]+)\$[0-9]+"))),_xlfn.REGEXEXTRACT(CELL("address",V114), "\$([A-Z]+)\$[0-9]+"))</f>
        <v/>
      </c>
      <c r="W114" s="7" t="str">
        <f t="array" aca="1" ref="W114" ca="1">IFERROR(IF(OR('Raw Data'!W114="",LEN(TRIM('Raw Data'!W114))=0),"",IF(AND(ISNUMBER('Raw Data'!W114), IFERROR('Raw Data'!W114 = ROUND('Raw Data'!W114, 2),FALSE)),"",_xlfn.REGEXEXTRACT(CELL("address",W114), "\$([A-Z]+)\$[0-9]+"))),_xlfn.REGEXEXTRACT(CELL("address",W114), "\$([A-Z]+)\$[0-9]+"))</f>
        <v/>
      </c>
      <c r="X114" s="7" t="str">
        <f t="array" aca="1" ref="X114" ca="1">IFERROR(IF(OR('Raw Data'!X114="",LEN(TRIM('Raw Data'!X114))=0),"",IF(AND(ISNUMBER('Raw Data'!X114), IFERROR('Raw Data'!X114 = ROUND('Raw Data'!X114, 2),FALSE)),"",_xlfn.REGEXEXTRACT(CELL("address",X114), "\$([A-Z]+)\$[0-9]+"))),_xlfn.REGEXEXTRACT(CELL("address",X114), "\$([A-Z]+)\$[0-9]+"))</f>
        <v/>
      </c>
      <c r="Y114" s="7" t="str">
        <f t="array" aca="1" ref="Y114" ca="1">IFERROR(IF(OR('Raw Data'!Y114="",LEN(TRIM('Raw Data'!Y114))=0),"",IF(AND(ISNUMBER('Raw Data'!Y114), IFERROR('Raw Data'!Y114 = ROUND('Raw Data'!Y114, 2),FALSE)),"",_xlfn.REGEXEXTRACT(CELL("address",Y114), "\$([A-Z]+)\$[0-9]+"))),_xlfn.REGEXEXTRACT(CELL("address",Y114), "\$([A-Z]+)\$[0-9]+"))</f>
        <v/>
      </c>
      <c r="Z114" s="7" t="str">
        <f t="array" aca="1" ref="Z114" ca="1">IFERROR(IF(OR('Raw Data'!Z114="",LEN(TRIM('Raw Data'!Z114))=0),"",IF(AND(ISNUMBER('Raw Data'!Z114), IFERROR('Raw Data'!Z114 = ROUND('Raw Data'!Z114, 2),FALSE)),"",_xlfn.REGEXEXTRACT(CELL("address",Z114), "\$([A-Z]+)\$[0-9]+"))),_xlfn.REGEXEXTRACT(CELL("address",Z114), "\$([A-Z]+)\$[0-9]+"))</f>
        <v/>
      </c>
      <c r="AA114" s="7" t="str">
        <f t="array" aca="1" ref="AA114" ca="1">IFERROR(IF(OR('Raw Data'!AA114="",LEN(TRIM('Raw Data'!AA114))=0),"",IF(AND(ISNUMBER('Raw Data'!AA114), IFERROR('Raw Data'!AA114 = ROUND('Raw Data'!AA114, 2),FALSE)),"",_xlfn.REGEXEXTRACT(CELL("address",AA114), "\$([A-Z]+)\$[0-9]+"))),_xlfn.REGEXEXTRACT(CELL("address",AA114), "\$([A-Z]+)\$[0-9]+"))</f>
        <v/>
      </c>
      <c r="AB114" s="7" t="str">
        <f t="array" aca="1" ref="AB114" ca="1">IFERROR(IF(OR('Raw Data'!AB114="",LEN(TRIM('Raw Data'!AB114))=0),"",IF(AND(ISNUMBER('Raw Data'!AB114), IFERROR('Raw Data'!AB114 = ROUND('Raw Data'!AB114, 2),FALSE)),"",_xlfn.REGEXEXTRACT(CELL("address",AB114), "\$([A-Z]+)\$[0-9]+"))),_xlfn.REGEXEXTRACT(CELL("address",AB114), "\$([A-Z]+)\$[0-9]+"))</f>
        <v/>
      </c>
      <c r="AC114" s="7" t="str">
        <f t="array" aca="1" ref="AC114" ca="1">IFERROR(IF(OR('Raw Data'!AC114="",LEN(TRIM('Raw Data'!AC114))=0),"",IF(AND(ISNUMBER('Raw Data'!AC114), IFERROR('Raw Data'!AC114 = ROUND('Raw Data'!AC114, 2),FALSE)),"",_xlfn.REGEXEXTRACT(CELL("address",AC114), "\$([A-Z]+)\$[0-9]+"))),_xlfn.REGEXEXTRACT(CELL("address",AC114), "\$([A-Z]+)\$[0-9]+"))</f>
        <v/>
      </c>
      <c r="AD114" s="7" t="str">
        <f t="array" aca="1" ref="AD114" ca="1">IFERROR(IF(OR('Raw Data'!AD114="",LEN(TRIM('Raw Data'!AD114))=0),"",IF(AND(ISNUMBER('Raw Data'!AD114), IFERROR('Raw Data'!AD114 = ROUND('Raw Data'!AD114, 2),FALSE)),"",_xlfn.REGEXEXTRACT(CELL("address",AD114), "\$([A-Z]+)\$[0-9]+"))),_xlfn.REGEXEXTRACT(CELL("address",AD114), "\$([A-Z]+)\$[0-9]+"))</f>
        <v/>
      </c>
      <c r="AE114" s="7" t="str">
        <f t="array" aca="1" ref="AE114" ca="1">IFERROR(IF(OR('Raw Data'!AE114="",LEN(TRIM('Raw Data'!AE114))=0),"",IF(AND(ISNUMBER('Raw Data'!AE114), IFERROR('Raw Data'!AE114 = ROUND('Raw Data'!AE114, 2),FALSE)),"",_xlfn.REGEXEXTRACT(CELL("address",AE114), "\$([A-Z]+)\$[0-9]+"))),_xlfn.REGEXEXTRACT(CELL("address",AE114), "\$([A-Z]+)\$[0-9]+"))</f>
        <v/>
      </c>
      <c r="AF114" s="7" t="str">
        <f t="array" aca="1" ref="AF114" ca="1">IFERROR(IF(OR('Raw Data'!AF114="",LEN(TRIM('Raw Data'!AF114))=0),"",IF(AND(ISNUMBER('Raw Data'!AF114), IFERROR('Raw Data'!AF114 = ROUND('Raw Data'!AF114, 2),FALSE)),"",_xlfn.REGEXEXTRACT(CELL("address",AF114), "\$([A-Z]+)\$[0-9]+"))),_xlfn.REGEXEXTRACT(CELL("address",AF114), "\$([A-Z]+)\$[0-9]+"))</f>
        <v/>
      </c>
      <c r="AG114" s="7" t="str">
        <f t="array" aca="1" ref="AG114" ca="1">IFERROR(IF(OR('Raw Data'!AG114="",LEN(TRIM('Raw Data'!AG114))=0),"",IF(AND(ISNUMBER('Raw Data'!AG114), IFERROR('Raw Data'!AG114 = ROUND('Raw Data'!AG114, 2),FALSE)),"",_xlfn.REGEXEXTRACT(CELL("address",AG114), "\$([A-Z]+)\$[0-9]+"))),_xlfn.REGEXEXTRACT(CELL("address",AG114), "\$([A-Z]+)\$[0-9]+"))</f>
        <v/>
      </c>
      <c r="AH114" s="7" t="str">
        <f t="array" aca="1" ref="AH114" ca="1">IFERROR(IF(OR('Raw Data'!AH114="",LEN(TRIM('Raw Data'!AH114))=0),"",IF(AND(ISNUMBER('Raw Data'!AH114), IFERROR('Raw Data'!AH114 = ROUND('Raw Data'!AH114, 2),FALSE)),"",_xlfn.REGEXEXTRACT(CELL("address",AH114), "\$([A-Z]+)\$[0-9]+"))),_xlfn.REGEXEXTRACT(CELL("address",AH114), "\$([A-Z]+)\$[0-9]+"))</f>
        <v/>
      </c>
      <c r="AI114" s="7" t="str">
        <f t="array" aca="1" ref="AI114" ca="1">IFERROR(IF(OR('Raw Data'!AI114="",LEN(TRIM('Raw Data'!AI114))=0),"",IF(AND(ISNUMBER('Raw Data'!AI114), IFERROR('Raw Data'!AI114 = ROUND('Raw Data'!AI114, 2),FALSE)),"",_xlfn.REGEXEXTRACT(CELL("address",AI114), "\$([A-Z]+)\$[0-9]+"))),_xlfn.REGEXEXTRACT(CELL("address",AI114), "\$([A-Z]+)\$[0-9]+"))</f>
        <v/>
      </c>
      <c r="AJ114" s="7" t="str">
        <f t="array" aca="1" ref="AJ114" ca="1">IFERROR(IF(OR('Raw Data'!AJ114="",LEN(TRIM('Raw Data'!AJ114))=0),"",IF(AND(ISNUMBER('Raw Data'!AJ114), IFERROR('Raw Data'!AJ114 = ROUND('Raw Data'!AJ114, 4),FALSE)),"",_xlfn.REGEXEXTRACT(CELL("address",AJ114), "\$([A-Z]+)\$[0-9]+"))),_xlfn.REGEXEXTRACT(CELL("address",AJ114), "\$([A-Z]+)\$[0-9]+"))</f>
        <v/>
      </c>
      <c r="AK114" s="7" t="str">
        <f t="array" aca="1" ref="AK114" ca="1">IFERROR(IF(OR('Raw Data'!AK114="",LEN(TRIM('Raw Data'!AK114))=0),"",IF(AND(ISNUMBER('Raw Data'!AK114), IFERROR('Raw Data'!AK114 = ROUND('Raw Data'!AK114, 2),FALSE)),"",_xlfn.REGEXEXTRACT(CELL("address",AK114), "\$([A-Z]+)\$[0-9]+"))),_xlfn.REGEXEXTRACT(CELL("address",AK114), "\$([A-Z]+)\$[0-9]+"))</f>
        <v/>
      </c>
      <c r="AL114" s="7" t="str">
        <f t="array" aca="1" ref="AL114" ca="1">IFERROR(IF(OR('Raw Data'!AL114="",LEN(TRIM('Raw Data'!AL114))=0),"",IF(AND(ISNUMBER('Raw Data'!AL114), IFERROR('Raw Data'!AL114 = ROUND('Raw Data'!AL114, 2),FALSE)),"",_xlfn.REGEXEXTRACT(CELL("address",AL114), "\$([A-Z]+)\$[0-9]+"))),_xlfn.REGEXEXTRACT(CELL("address",AL114), "\$([A-Z]+)\$[0-9]+"))</f>
        <v/>
      </c>
      <c r="AM114" s="7" t="str">
        <f t="array" aca="1" ref="AM114" ca="1">IFERROR(IF(OR('Raw Data'!AM114="",LEN(TRIM('Raw Data'!AM114))=0),"",IF(AND(ISNUMBER('Raw Data'!AM114), IFERROR('Raw Data'!AM114 = ROUND('Raw Data'!AM114, 2),FALSE)),"",_xlfn.REGEXEXTRACT(CELL("address",AM114), "\$([A-Z]+)\$[0-9]+"))),_xlfn.REGEXEXTRACT(CELL("address",AM114), "\$([A-Z]+)\$[0-9]+"))</f>
        <v/>
      </c>
      <c r="AN114" s="7" t="str">
        <f t="array" aca="1" ref="AN114" ca="1">IFERROR(IF(OR('Raw Data'!AN114="",LEN(TRIM('Raw Data'!AN114))=0),"",IF(AND(ISNUMBER('Raw Data'!AN114), IFERROR('Raw Data'!AN114 = ROUND('Raw Data'!AN114, 2),FALSE)),"",_xlfn.REGEXEXTRACT(CELL("address",AN114), "\$([A-Z]+)\$[0-9]+"))),_xlfn.REGEXEXTRACT(CELL("address",AN114), "\$([A-Z]+)\$[0-9]+"))</f>
        <v/>
      </c>
      <c r="AO114" s="7" t="str">
        <f t="array" aca="1" ref="AO114" ca="1">IFERROR(IF(OR('Raw Data'!AO114="",LEN(TRIM('Raw Data'!AO114))=0),"",IF(AND(ISNUMBER('Raw Data'!AO114), IFERROR('Raw Data'!AO114 = ROUND('Raw Data'!AO114, 2),FALSE)),"",_xlfn.REGEXEXTRACT(CELL("address",AO114), "\$([A-Z]+)\$[0-9]+"))),_xlfn.REGEXEXTRACT(CELL("address",AO114), "\$([A-Z]+)\$[0-9]+"))</f>
        <v/>
      </c>
      <c r="AP114" s="7" t="str">
        <f t="array" aca="1" ref="AP114" ca="1">IFERROR(IF(OR('Raw Data'!AP114="",LEN(TRIM('Raw Data'!AP114))=0),"",IF(AND(ISNUMBER('Raw Data'!AP114), IFERROR('Raw Data'!AP114 = ROUND('Raw Data'!AP114, 2),FALSE)),"",_xlfn.REGEXEXTRACT(CELL("address",AP114), "\$([A-Z]+)\$[0-9]+"))),_xlfn.REGEXEXTRACT(CELL("address",AP114), "\$([A-Z]+)\$[0-9]+"))</f>
        <v/>
      </c>
    </row>
    <row r="115" spans="2:42" x14ac:dyDescent="0.25">
      <c r="B115" s="7" t="str">
        <f t="array" aca="1" ref="B115" ca="1">IFERROR(IF(OR('Raw Data'!B115="",LEN(TRIM('Raw Data'!B115))=0),"",IF(AND(LEN('Raw Data'!B115) &lt;= 255,LEN('Raw Data'!B115)&gt; 0),"",_xlfn.REGEXEXTRACT(CELL("address",'Raw Data'!B115),"\$([A-Z]+)\$[0-9]+"))),_xlfn.REGEXEXTRACT(CELL("address",'Raw Data'!B115),"\$([A-Z]+)\$[0-9]+"))</f>
        <v/>
      </c>
      <c r="C115" s="7" t="str">
        <f t="array" aca="1" ref="C115" ca="1">IFERROR(IF(OR('Raw Data'!C115="",LEN(TRIM('Raw Data'!C115))=0),"",IF(AND(LEN('Raw Data'!C115) &lt;= 50,LEN('Raw Data'!C115)&gt; 0),"",_xlfn.REGEXEXTRACT(CELL("address",'Raw Data'!C115),"\$([A-Z]+)\$[0-9]+"))),_xlfn.REGEXEXTRACT(CELL("address",'Raw Data'!C115),"\$([A-Z]+)\$[0-9]+"))</f>
        <v/>
      </c>
      <c r="D115" s="7" t="str">
        <f t="array" aca="1" ref="D115" ca="1">IFERROR(IF(OR('Raw Data'!D115="",LEN(TRIM('Raw Data'!D115))=0),"",IF(AND(LEN('Raw Data'!D115) &lt;= 500,LEN('Raw Data'!D115)&gt; 0),"",_xlfn.REGEXEXTRACT(CELL("address",'Raw Data'!D115),"\$([A-Z]+)\$[0-9]+"))),_xlfn.REGEXEXTRACT(CELL("address",'Raw Data'!D115),"\$([A-Z]+)\$[0-9]+"))</f>
        <v/>
      </c>
      <c r="E115" s="7" t="str">
        <f t="array" aca="1" ref="E115" ca="1">IFERROR(IF(OR('Raw Data'!E115="",LEN(TRIM('Raw Data'!E115))=0),"",IF(AND(LEN('Raw Data'!E115) &lt;= 50,LEN('Raw Data'!E115)&gt; 0),"",_xlfn.REGEXEXTRACT(CELL("address",'Raw Data'!E115),"\$([A-Z]+)\$[0-9]+"))),_xlfn.REGEXEXTRACT(CELL("address",'Raw Data'!E115),"\$([A-Z]+)\$[0-9]+"))</f>
        <v/>
      </c>
      <c r="F115" s="7" t="str">
        <f t="array" aca="1" ref="F115" ca="1">IFERROR(IF(OR('Raw Data'!F115="",LEN(TRIM('Raw Data'!F115))=0),"",IF(AND(LEN('Raw Data'!F115) &lt;= 50,LEN('Raw Data'!F115)&gt; 0),"",_xlfn.REGEXEXTRACT(CELL("address",'Raw Data'!F115),"\$([A-Z]+)\$[0-9]+"))),_xlfn.REGEXEXTRACT(CELL("address",'Raw Data'!F115),"\$([A-Z]+)\$[0-9]+"))</f>
        <v/>
      </c>
      <c r="G115" s="7" t="str">
        <f t="array" aca="1" ref="G115" ca="1">IFERROR(IF(OR('Raw Data'!G115="",LEN(TRIM('Raw Data'!G115))=0),"",IF(AND(LEN('Raw Data'!G115) &lt;= 50,LEN('Raw Data'!G115)&gt; 0),"",_xlfn.REGEXEXTRACT(CELL("address",'Raw Data'!G115),"\$([A-Z]+)\$[0-9]+"))),_xlfn.REGEXEXTRACT(CELL("address",'Raw Data'!G115),"\$([A-Z]+)\$[0-9]+"))</f>
        <v/>
      </c>
      <c r="H115" s="7" t="str">
        <f t="array" aca="1" ref="H115" ca="1">IFERROR(IF(OR('Raw Data'!H115="",LEN(TRIM('Raw Data'!H115))=0),"",IF(AND(LEN('Raw Data'!H115) &lt;= 50,LEN('Raw Data'!H115)&gt; 0),"",_xlfn.REGEXEXTRACT(CELL("address",'Raw Data'!H115),"\$([A-Z]+)\$[0-9]+"))),_xlfn.REGEXEXTRACT(CELL("address",'Raw Data'!H115),"\$([A-Z]+)\$[0-9]+"))</f>
        <v/>
      </c>
      <c r="I115" s="7" t="str">
        <f t="array" aca="1" ref="I115" ca="1">IFERROR(IF(OR('Raw Data'!I115="",LEN(TRIM('Raw Data'!I115))=0),"",IF(AND(LEN('Raw Data'!I115) &lt;= 50,LEN('Raw Data'!I115)&gt; 0),"",_xlfn.REGEXEXTRACT(CELL("address",'Raw Data'!I115),"\$([A-Z]+)\$[0-9]+"))),_xlfn.REGEXEXTRACT(CELL("address",'Raw Data'!I115),"\$([A-Z]+)\$[0-9]+"))</f>
        <v/>
      </c>
      <c r="J115" s="7" t="str">
        <f t="array" aca="1" ref="J115" ca="1">IFERROR(IF(OR('Raw Data'!J115="",LEN(TRIM('Raw Data'!J115))=0),"",IF(AND(ISNUMBER('Raw Data'!J115), IFERROR('Raw Data'!J115 = ROUND('Raw Data'!J115, 2),FALSE)),"",_xlfn.REGEXEXTRACT(CELL("address",J115), "\$([A-Z]+)\$[0-9]+"))),_xlfn.REGEXEXTRACT(CELL("address",J115), "\$([A-Z]+)\$[0-9]+"))</f>
        <v/>
      </c>
      <c r="K115" s="7" t="str">
        <f t="array" aca="1" ref="K115" ca="1">IFERROR(IF(OR('Raw Data'!K115="",LEN(TRIM('Raw Data'!K115))=0),"",IF(AND(ISNUMBER('Raw Data'!K115), IFERROR('Raw Data'!K115 = ROUND('Raw Data'!K115, 2),FALSE)),"",_xlfn.REGEXEXTRACT(CELL("address",K115), "\$([A-Z]+)\$[0-9]+"))),_xlfn.REGEXEXTRACT(CELL("address",K115), "\$([A-Z]+)\$[0-9]+"))</f>
        <v/>
      </c>
      <c r="L115" s="7" t="str">
        <f t="array" aca="1" ref="L115" ca="1">IFERROR(IF(OR('Raw Data'!L115="",LEN(TRIM('Raw Data'!L115))=0),"",IF(AND(ISNUMBER('Raw Data'!L115), IFERROR('Raw Data'!L115 = ROUND('Raw Data'!L115, 2),FALSE)),"",_xlfn.REGEXEXTRACT(CELL("address",L115), "\$([A-Z]+)\$[0-9]+"))),_xlfn.REGEXEXTRACT(CELL("address",L115), "\$([A-Z]+)\$[0-9]+"))</f>
        <v/>
      </c>
      <c r="M115" s="7" t="str">
        <f t="array" aca="1" ref="M115" ca="1">IFERROR(IF(OR('Raw Data'!M115="",LEN(TRIM('Raw Data'!M115))=0),"",IF(AND(ISNUMBER('Raw Data'!M115), IFERROR('Raw Data'!M115 = ROUND('Raw Data'!M115, 2),FALSE)),"",_xlfn.REGEXEXTRACT(CELL("address",M115), "\$([A-Z]+)\$[0-9]+"))),_xlfn.REGEXEXTRACT(CELL("address",M115), "\$([A-Z]+)\$[0-9]+"))</f>
        <v/>
      </c>
      <c r="N115" s="7" t="str">
        <f t="array" aca="1" ref="N115" ca="1">IFERROR(IF(OR('Raw Data'!N115="",LEN(TRIM('Raw Data'!N115))=0),"",IF(AND(ISNUMBER('Raw Data'!N115), IFERROR('Raw Data'!N115 = ROUND('Raw Data'!N115, 2),FALSE)),"",_xlfn.REGEXEXTRACT(CELL("address",N115), "\$([A-Z]+)\$[0-9]+"))),_xlfn.REGEXEXTRACT(CELL("address",N115), "\$([A-Z]+)\$[0-9]+"))</f>
        <v/>
      </c>
      <c r="O115" s="7" t="str">
        <f t="array" aca="1" ref="O115" ca="1">IFERROR(IF(OR('Raw Data'!O115="",LEN(TRIM('Raw Data'!O115))=0),"",IF(AND(ISNUMBER('Raw Data'!O115),'Raw Data'!O115&gt;=Configuration!$D$2),"",_xlfn.REGEXEXTRACT(CELL("address",'Raw Data'!O115),"\$([A-Z]+)\$[0-9]+"))),_xlfn.REGEXEXTRACT(CELL("address",O115), "\$([A-Z]+)\$[0-9]+"))</f>
        <v/>
      </c>
      <c r="P115" s="7" t="str">
        <f t="array" aca="1" ref="P115" ca="1">IFERROR(IF(OR('Raw Data'!P115="",LEN(TRIM('Raw Data'!P115))=0),"",IF(AND(ISNUMBER('Raw Data'!P115), IFERROR('Raw Data'!P115 = ROUND('Raw Data'!P115, 2),FALSE)),"",_xlfn.REGEXEXTRACT(CELL("address",P115), "\$([A-Z]+)\$[0-9]+"))),_xlfn.REGEXEXTRACT(CELL("address",P115), "\$([A-Z]+)\$[0-9]+"))</f>
        <v/>
      </c>
      <c r="Q115" s="7" t="str">
        <f t="array" aca="1" ref="Q115" ca="1">IFERROR(IF(OR('Raw Data'!Q115="",LEN(TRIM('Raw Data'!Q115))=0),"",IF(AND(ISNUMBER('Raw Data'!Q115), IFERROR('Raw Data'!Q115 = ROUND('Raw Data'!Q115, 2),FALSE)),"",_xlfn.REGEXEXTRACT(CELL("address",Q115), "\$([A-Z]+)\$[0-9]+"))),_xlfn.REGEXEXTRACT(CELL("address",Q115), "\$([A-Z]+)\$[0-9]+"))</f>
        <v/>
      </c>
      <c r="R115" s="7" t="str">
        <f t="array" aca="1" ref="R115" ca="1">IFERROR(IF(OR('Raw Data'!R115="",LEN(TRIM('Raw Data'!R115))=0),"",IF(AND(LEN('Raw Data'!R115) &lt;= 50,LEN('Raw Data'!R115)&gt; 0),"",_xlfn.REGEXEXTRACT(CELL("address",'Raw Data'!R115),"\$([A-Z]+)\$[0-9]+"))),_xlfn.REGEXEXTRACT(CELL("address",'Raw Data'!R115),"\$([A-Z]+)\$[0-9]+"))</f>
        <v/>
      </c>
      <c r="S115" s="7" t="str">
        <f t="array" aca="1" ref="S115" ca="1">IFERROR(IF(OR('Raw Data'!S115="",LEN(TRIM('Raw Data'!S115))=0),"",IF(AND(LEN('Raw Data'!S115) &lt;= 50,LEN('Raw Data'!S115)&gt; 0),"",_xlfn.REGEXEXTRACT(CELL("address",'Raw Data'!S115),"\$([A-Z]+)\$[0-9]+"))),_xlfn.REGEXEXTRACT(CELL("address",'Raw Data'!S115),"\$([A-Z]+)\$[0-9]+"))</f>
        <v/>
      </c>
      <c r="T115" s="7" t="str">
        <f t="array" aca="1" ref="T115" ca="1">IFERROR(IF(OR('Raw Data'!T115="",LEN(TRIM('Raw Data'!T115))=0),"",IF(AND(ISNUMBER('Raw Data'!T115), IFERROR('Raw Data'!T115 = ROUND('Raw Data'!T115, 2),FALSE)),"",_xlfn.REGEXEXTRACT(CELL("address",T115), "\$([A-Z]+)\$[0-9]+"))),_xlfn.REGEXEXTRACT(CELL("address",T115), "\$([A-Z]+)\$[0-9]+"))</f>
        <v/>
      </c>
      <c r="U115" s="7" t="str">
        <f t="array" aca="1" ref="U115" ca="1">IFERROR(IF(OR('Raw Data'!U115="",LEN(TRIM('Raw Data'!U115))=0),"",IF(AND(ISNUMBER('Raw Data'!U115), IFERROR('Raw Data'!U115 = ROUND('Raw Data'!U115, 2),FALSE)),"",_xlfn.REGEXEXTRACT(CELL("address",U115), "\$([A-Z]+)\$[0-9]+"))),_xlfn.REGEXEXTRACT(CELL("address",U115), "\$([A-Z]+)\$[0-9]+"))</f>
        <v/>
      </c>
      <c r="V115" s="7" t="str">
        <f t="array" aca="1" ref="V115" ca="1">IFERROR(IF(OR('Raw Data'!V115="",LEN(TRIM('Raw Data'!V115))=0),"",IF(AND(ISNUMBER('Raw Data'!V115), IFERROR('Raw Data'!V115 = ROUND('Raw Data'!V115, 2),FALSE)),"",_xlfn.REGEXEXTRACT(CELL("address",V115), "\$([A-Z]+)\$[0-9]+"))),_xlfn.REGEXEXTRACT(CELL("address",V115), "\$([A-Z]+)\$[0-9]+"))</f>
        <v/>
      </c>
      <c r="W115" s="7" t="str">
        <f t="array" aca="1" ref="W115" ca="1">IFERROR(IF(OR('Raw Data'!W115="",LEN(TRIM('Raw Data'!W115))=0),"",IF(AND(ISNUMBER('Raw Data'!W115), IFERROR('Raw Data'!W115 = ROUND('Raw Data'!W115, 2),FALSE)),"",_xlfn.REGEXEXTRACT(CELL("address",W115), "\$([A-Z]+)\$[0-9]+"))),_xlfn.REGEXEXTRACT(CELL("address",W115), "\$([A-Z]+)\$[0-9]+"))</f>
        <v/>
      </c>
      <c r="X115" s="7" t="str">
        <f t="array" aca="1" ref="X115" ca="1">IFERROR(IF(OR('Raw Data'!X115="",LEN(TRIM('Raw Data'!X115))=0),"",IF(AND(ISNUMBER('Raw Data'!X115), IFERROR('Raw Data'!X115 = ROUND('Raw Data'!X115, 2),FALSE)),"",_xlfn.REGEXEXTRACT(CELL("address",X115), "\$([A-Z]+)\$[0-9]+"))),_xlfn.REGEXEXTRACT(CELL("address",X115), "\$([A-Z]+)\$[0-9]+"))</f>
        <v/>
      </c>
      <c r="Y115" s="7" t="str">
        <f t="array" aca="1" ref="Y115" ca="1">IFERROR(IF(OR('Raw Data'!Y115="",LEN(TRIM('Raw Data'!Y115))=0),"",IF(AND(ISNUMBER('Raw Data'!Y115), IFERROR('Raw Data'!Y115 = ROUND('Raw Data'!Y115, 2),FALSE)),"",_xlfn.REGEXEXTRACT(CELL("address",Y115), "\$([A-Z]+)\$[0-9]+"))),_xlfn.REGEXEXTRACT(CELL("address",Y115), "\$([A-Z]+)\$[0-9]+"))</f>
        <v/>
      </c>
      <c r="Z115" s="7" t="str">
        <f t="array" aca="1" ref="Z115" ca="1">IFERROR(IF(OR('Raw Data'!Z115="",LEN(TRIM('Raw Data'!Z115))=0),"",IF(AND(ISNUMBER('Raw Data'!Z115), IFERROR('Raw Data'!Z115 = ROUND('Raw Data'!Z115, 2),FALSE)),"",_xlfn.REGEXEXTRACT(CELL("address",Z115), "\$([A-Z]+)\$[0-9]+"))),_xlfn.REGEXEXTRACT(CELL("address",Z115), "\$([A-Z]+)\$[0-9]+"))</f>
        <v/>
      </c>
      <c r="AA115" s="7" t="str">
        <f t="array" aca="1" ref="AA115" ca="1">IFERROR(IF(OR('Raw Data'!AA115="",LEN(TRIM('Raw Data'!AA115))=0),"",IF(AND(ISNUMBER('Raw Data'!AA115), IFERROR('Raw Data'!AA115 = ROUND('Raw Data'!AA115, 2),FALSE)),"",_xlfn.REGEXEXTRACT(CELL("address",AA115), "\$([A-Z]+)\$[0-9]+"))),_xlfn.REGEXEXTRACT(CELL("address",AA115), "\$([A-Z]+)\$[0-9]+"))</f>
        <v/>
      </c>
      <c r="AB115" s="7" t="str">
        <f t="array" aca="1" ref="AB115" ca="1">IFERROR(IF(OR('Raw Data'!AB115="",LEN(TRIM('Raw Data'!AB115))=0),"",IF(AND(ISNUMBER('Raw Data'!AB115), IFERROR('Raw Data'!AB115 = ROUND('Raw Data'!AB115, 2),FALSE)),"",_xlfn.REGEXEXTRACT(CELL("address",AB115), "\$([A-Z]+)\$[0-9]+"))),_xlfn.REGEXEXTRACT(CELL("address",AB115), "\$([A-Z]+)\$[0-9]+"))</f>
        <v/>
      </c>
      <c r="AC115" s="7" t="str">
        <f t="array" aca="1" ref="AC115" ca="1">IFERROR(IF(OR('Raw Data'!AC115="",LEN(TRIM('Raw Data'!AC115))=0),"",IF(AND(ISNUMBER('Raw Data'!AC115), IFERROR('Raw Data'!AC115 = ROUND('Raw Data'!AC115, 2),FALSE)),"",_xlfn.REGEXEXTRACT(CELL("address",AC115), "\$([A-Z]+)\$[0-9]+"))),_xlfn.REGEXEXTRACT(CELL("address",AC115), "\$([A-Z]+)\$[0-9]+"))</f>
        <v/>
      </c>
      <c r="AD115" s="7" t="str">
        <f t="array" aca="1" ref="AD115" ca="1">IFERROR(IF(OR('Raw Data'!AD115="",LEN(TRIM('Raw Data'!AD115))=0),"",IF(AND(ISNUMBER('Raw Data'!AD115), IFERROR('Raw Data'!AD115 = ROUND('Raw Data'!AD115, 2),FALSE)),"",_xlfn.REGEXEXTRACT(CELL("address",AD115), "\$([A-Z]+)\$[0-9]+"))),_xlfn.REGEXEXTRACT(CELL("address",AD115), "\$([A-Z]+)\$[0-9]+"))</f>
        <v/>
      </c>
      <c r="AE115" s="7" t="str">
        <f t="array" aca="1" ref="AE115" ca="1">IFERROR(IF(OR('Raw Data'!AE115="",LEN(TRIM('Raw Data'!AE115))=0),"",IF(AND(ISNUMBER('Raw Data'!AE115), IFERROR('Raw Data'!AE115 = ROUND('Raw Data'!AE115, 2),FALSE)),"",_xlfn.REGEXEXTRACT(CELL("address",AE115), "\$([A-Z]+)\$[0-9]+"))),_xlfn.REGEXEXTRACT(CELL("address",AE115), "\$([A-Z]+)\$[0-9]+"))</f>
        <v/>
      </c>
      <c r="AF115" s="7" t="str">
        <f t="array" aca="1" ref="AF115" ca="1">IFERROR(IF(OR('Raw Data'!AF115="",LEN(TRIM('Raw Data'!AF115))=0),"",IF(AND(ISNUMBER('Raw Data'!AF115), IFERROR('Raw Data'!AF115 = ROUND('Raw Data'!AF115, 2),FALSE)),"",_xlfn.REGEXEXTRACT(CELL("address",AF115), "\$([A-Z]+)\$[0-9]+"))),_xlfn.REGEXEXTRACT(CELL("address",AF115), "\$([A-Z]+)\$[0-9]+"))</f>
        <v/>
      </c>
      <c r="AG115" s="7" t="str">
        <f t="array" aca="1" ref="AG115" ca="1">IFERROR(IF(OR('Raw Data'!AG115="",LEN(TRIM('Raw Data'!AG115))=0),"",IF(AND(ISNUMBER('Raw Data'!AG115), IFERROR('Raw Data'!AG115 = ROUND('Raw Data'!AG115, 2),FALSE)),"",_xlfn.REGEXEXTRACT(CELL("address",AG115), "\$([A-Z]+)\$[0-9]+"))),_xlfn.REGEXEXTRACT(CELL("address",AG115), "\$([A-Z]+)\$[0-9]+"))</f>
        <v/>
      </c>
      <c r="AH115" s="7" t="str">
        <f t="array" aca="1" ref="AH115" ca="1">IFERROR(IF(OR('Raw Data'!AH115="",LEN(TRIM('Raw Data'!AH115))=0),"",IF(AND(ISNUMBER('Raw Data'!AH115), IFERROR('Raw Data'!AH115 = ROUND('Raw Data'!AH115, 2),FALSE)),"",_xlfn.REGEXEXTRACT(CELL("address",AH115), "\$([A-Z]+)\$[0-9]+"))),_xlfn.REGEXEXTRACT(CELL("address",AH115), "\$([A-Z]+)\$[0-9]+"))</f>
        <v/>
      </c>
      <c r="AI115" s="7" t="str">
        <f t="array" aca="1" ref="AI115" ca="1">IFERROR(IF(OR('Raw Data'!AI115="",LEN(TRIM('Raw Data'!AI115))=0),"",IF(AND(ISNUMBER('Raw Data'!AI115), IFERROR('Raw Data'!AI115 = ROUND('Raw Data'!AI115, 2),FALSE)),"",_xlfn.REGEXEXTRACT(CELL("address",AI115), "\$([A-Z]+)\$[0-9]+"))),_xlfn.REGEXEXTRACT(CELL("address",AI115), "\$([A-Z]+)\$[0-9]+"))</f>
        <v/>
      </c>
      <c r="AJ115" s="7" t="str">
        <f t="array" aca="1" ref="AJ115" ca="1">IFERROR(IF(OR('Raw Data'!AJ115="",LEN(TRIM('Raw Data'!AJ115))=0),"",IF(AND(ISNUMBER('Raw Data'!AJ115), IFERROR('Raw Data'!AJ115 = ROUND('Raw Data'!AJ115, 4),FALSE)),"",_xlfn.REGEXEXTRACT(CELL("address",AJ115), "\$([A-Z]+)\$[0-9]+"))),_xlfn.REGEXEXTRACT(CELL("address",AJ115), "\$([A-Z]+)\$[0-9]+"))</f>
        <v/>
      </c>
      <c r="AK115" s="7" t="str">
        <f t="array" aca="1" ref="AK115" ca="1">IFERROR(IF(OR('Raw Data'!AK115="",LEN(TRIM('Raw Data'!AK115))=0),"",IF(AND(ISNUMBER('Raw Data'!AK115), IFERROR('Raw Data'!AK115 = ROUND('Raw Data'!AK115, 2),FALSE)),"",_xlfn.REGEXEXTRACT(CELL("address",AK115), "\$([A-Z]+)\$[0-9]+"))),_xlfn.REGEXEXTRACT(CELL("address",AK115), "\$([A-Z]+)\$[0-9]+"))</f>
        <v/>
      </c>
      <c r="AL115" s="7" t="str">
        <f t="array" aca="1" ref="AL115" ca="1">IFERROR(IF(OR('Raw Data'!AL115="",LEN(TRIM('Raw Data'!AL115))=0),"",IF(AND(ISNUMBER('Raw Data'!AL115), IFERROR('Raw Data'!AL115 = ROUND('Raw Data'!AL115, 2),FALSE)),"",_xlfn.REGEXEXTRACT(CELL("address",AL115), "\$([A-Z]+)\$[0-9]+"))),_xlfn.REGEXEXTRACT(CELL("address",AL115), "\$([A-Z]+)\$[0-9]+"))</f>
        <v/>
      </c>
      <c r="AM115" s="7" t="str">
        <f t="array" aca="1" ref="AM115" ca="1">IFERROR(IF(OR('Raw Data'!AM115="",LEN(TRIM('Raw Data'!AM115))=0),"",IF(AND(ISNUMBER('Raw Data'!AM115), IFERROR('Raw Data'!AM115 = ROUND('Raw Data'!AM115, 2),FALSE)),"",_xlfn.REGEXEXTRACT(CELL("address",AM115), "\$([A-Z]+)\$[0-9]+"))),_xlfn.REGEXEXTRACT(CELL("address",AM115), "\$([A-Z]+)\$[0-9]+"))</f>
        <v/>
      </c>
      <c r="AN115" s="7" t="str">
        <f t="array" aca="1" ref="AN115" ca="1">IFERROR(IF(OR('Raw Data'!AN115="",LEN(TRIM('Raw Data'!AN115))=0),"",IF(AND(ISNUMBER('Raw Data'!AN115), IFERROR('Raw Data'!AN115 = ROUND('Raw Data'!AN115, 2),FALSE)),"",_xlfn.REGEXEXTRACT(CELL("address",AN115), "\$([A-Z]+)\$[0-9]+"))),_xlfn.REGEXEXTRACT(CELL("address",AN115), "\$([A-Z]+)\$[0-9]+"))</f>
        <v/>
      </c>
      <c r="AO115" s="7" t="str">
        <f t="array" aca="1" ref="AO115" ca="1">IFERROR(IF(OR('Raw Data'!AO115="",LEN(TRIM('Raw Data'!AO115))=0),"",IF(AND(ISNUMBER('Raw Data'!AO115), IFERROR('Raw Data'!AO115 = ROUND('Raw Data'!AO115, 2),FALSE)),"",_xlfn.REGEXEXTRACT(CELL("address",AO115), "\$([A-Z]+)\$[0-9]+"))),_xlfn.REGEXEXTRACT(CELL("address",AO115), "\$([A-Z]+)\$[0-9]+"))</f>
        <v/>
      </c>
      <c r="AP115" s="7" t="str">
        <f t="array" aca="1" ref="AP115" ca="1">IFERROR(IF(OR('Raw Data'!AP115="",LEN(TRIM('Raw Data'!AP115))=0),"",IF(AND(ISNUMBER('Raw Data'!AP115), IFERROR('Raw Data'!AP115 = ROUND('Raw Data'!AP115, 2),FALSE)),"",_xlfn.REGEXEXTRACT(CELL("address",AP115), "\$([A-Z]+)\$[0-9]+"))),_xlfn.REGEXEXTRACT(CELL("address",AP115), "\$([A-Z]+)\$[0-9]+"))</f>
        <v/>
      </c>
    </row>
    <row r="116" spans="2:42" x14ac:dyDescent="0.25">
      <c r="B116" s="7" t="str">
        <f t="array" aca="1" ref="B116" ca="1">IFERROR(IF(OR('Raw Data'!B116="",LEN(TRIM('Raw Data'!B116))=0),"",IF(AND(LEN('Raw Data'!B116) &lt;= 255,LEN('Raw Data'!B116)&gt; 0),"",_xlfn.REGEXEXTRACT(CELL("address",'Raw Data'!B116),"\$([A-Z]+)\$[0-9]+"))),_xlfn.REGEXEXTRACT(CELL("address",'Raw Data'!B116),"\$([A-Z]+)\$[0-9]+"))</f>
        <v/>
      </c>
      <c r="C116" s="7" t="str">
        <f t="array" aca="1" ref="C116" ca="1">IFERROR(IF(OR('Raw Data'!C116="",LEN(TRIM('Raw Data'!C116))=0),"",IF(AND(LEN('Raw Data'!C116) &lt;= 50,LEN('Raw Data'!C116)&gt; 0),"",_xlfn.REGEXEXTRACT(CELL("address",'Raw Data'!C116),"\$([A-Z]+)\$[0-9]+"))),_xlfn.REGEXEXTRACT(CELL("address",'Raw Data'!C116),"\$([A-Z]+)\$[0-9]+"))</f>
        <v/>
      </c>
      <c r="D116" s="7" t="str">
        <f t="array" aca="1" ref="D116" ca="1">IFERROR(IF(OR('Raw Data'!D116="",LEN(TRIM('Raw Data'!D116))=0),"",IF(AND(LEN('Raw Data'!D116) &lt;= 500,LEN('Raw Data'!D116)&gt; 0),"",_xlfn.REGEXEXTRACT(CELL("address",'Raw Data'!D116),"\$([A-Z]+)\$[0-9]+"))),_xlfn.REGEXEXTRACT(CELL("address",'Raw Data'!D116),"\$([A-Z]+)\$[0-9]+"))</f>
        <v/>
      </c>
      <c r="E116" s="7" t="str">
        <f t="array" aca="1" ref="E116" ca="1">IFERROR(IF(OR('Raw Data'!E116="",LEN(TRIM('Raw Data'!E116))=0),"",IF(AND(LEN('Raw Data'!E116) &lt;= 50,LEN('Raw Data'!E116)&gt; 0),"",_xlfn.REGEXEXTRACT(CELL("address",'Raw Data'!E116),"\$([A-Z]+)\$[0-9]+"))),_xlfn.REGEXEXTRACT(CELL("address",'Raw Data'!E116),"\$([A-Z]+)\$[0-9]+"))</f>
        <v/>
      </c>
      <c r="F116" s="7" t="str">
        <f t="array" aca="1" ref="F116" ca="1">IFERROR(IF(OR('Raw Data'!F116="",LEN(TRIM('Raw Data'!F116))=0),"",IF(AND(LEN('Raw Data'!F116) &lt;= 50,LEN('Raw Data'!F116)&gt; 0),"",_xlfn.REGEXEXTRACT(CELL("address",'Raw Data'!F116),"\$([A-Z]+)\$[0-9]+"))),_xlfn.REGEXEXTRACT(CELL("address",'Raw Data'!F116),"\$([A-Z]+)\$[0-9]+"))</f>
        <v/>
      </c>
      <c r="G116" s="7" t="str">
        <f t="array" aca="1" ref="G116" ca="1">IFERROR(IF(OR('Raw Data'!G116="",LEN(TRIM('Raw Data'!G116))=0),"",IF(AND(LEN('Raw Data'!G116) &lt;= 50,LEN('Raw Data'!G116)&gt; 0),"",_xlfn.REGEXEXTRACT(CELL("address",'Raw Data'!G116),"\$([A-Z]+)\$[0-9]+"))),_xlfn.REGEXEXTRACT(CELL("address",'Raw Data'!G116),"\$([A-Z]+)\$[0-9]+"))</f>
        <v/>
      </c>
      <c r="H116" s="7" t="str">
        <f t="array" aca="1" ref="H116" ca="1">IFERROR(IF(OR('Raw Data'!H116="",LEN(TRIM('Raw Data'!H116))=0),"",IF(AND(LEN('Raw Data'!H116) &lt;= 50,LEN('Raw Data'!H116)&gt; 0),"",_xlfn.REGEXEXTRACT(CELL("address",'Raw Data'!H116),"\$([A-Z]+)\$[0-9]+"))),_xlfn.REGEXEXTRACT(CELL("address",'Raw Data'!H116),"\$([A-Z]+)\$[0-9]+"))</f>
        <v/>
      </c>
      <c r="I116" s="7" t="str">
        <f t="array" aca="1" ref="I116" ca="1">IFERROR(IF(OR('Raw Data'!I116="",LEN(TRIM('Raw Data'!I116))=0),"",IF(AND(LEN('Raw Data'!I116) &lt;= 50,LEN('Raw Data'!I116)&gt; 0),"",_xlfn.REGEXEXTRACT(CELL("address",'Raw Data'!I116),"\$([A-Z]+)\$[0-9]+"))),_xlfn.REGEXEXTRACT(CELL("address",'Raw Data'!I116),"\$([A-Z]+)\$[0-9]+"))</f>
        <v/>
      </c>
      <c r="J116" s="7" t="str">
        <f t="array" aca="1" ref="J116" ca="1">IFERROR(IF(OR('Raw Data'!J116="",LEN(TRIM('Raw Data'!J116))=0),"",IF(AND(ISNUMBER('Raw Data'!J116), IFERROR('Raw Data'!J116 = ROUND('Raw Data'!J116, 2),FALSE)),"",_xlfn.REGEXEXTRACT(CELL("address",J116), "\$([A-Z]+)\$[0-9]+"))),_xlfn.REGEXEXTRACT(CELL("address",J116), "\$([A-Z]+)\$[0-9]+"))</f>
        <v/>
      </c>
      <c r="K116" s="7" t="str">
        <f t="array" aca="1" ref="K116" ca="1">IFERROR(IF(OR('Raw Data'!K116="",LEN(TRIM('Raw Data'!K116))=0),"",IF(AND(ISNUMBER('Raw Data'!K116), IFERROR('Raw Data'!K116 = ROUND('Raw Data'!K116, 2),FALSE)),"",_xlfn.REGEXEXTRACT(CELL("address",K116), "\$([A-Z]+)\$[0-9]+"))),_xlfn.REGEXEXTRACT(CELL("address",K116), "\$([A-Z]+)\$[0-9]+"))</f>
        <v/>
      </c>
      <c r="L116" s="7" t="str">
        <f t="array" aca="1" ref="L116" ca="1">IFERROR(IF(OR('Raw Data'!L116="",LEN(TRIM('Raw Data'!L116))=0),"",IF(AND(ISNUMBER('Raw Data'!L116), IFERROR('Raw Data'!L116 = ROUND('Raw Data'!L116, 2),FALSE)),"",_xlfn.REGEXEXTRACT(CELL("address",L116), "\$([A-Z]+)\$[0-9]+"))),_xlfn.REGEXEXTRACT(CELL("address",L116), "\$([A-Z]+)\$[0-9]+"))</f>
        <v/>
      </c>
      <c r="M116" s="7" t="str">
        <f t="array" aca="1" ref="M116" ca="1">IFERROR(IF(OR('Raw Data'!M116="",LEN(TRIM('Raw Data'!M116))=0),"",IF(AND(ISNUMBER('Raw Data'!M116), IFERROR('Raw Data'!M116 = ROUND('Raw Data'!M116, 2),FALSE)),"",_xlfn.REGEXEXTRACT(CELL("address",M116), "\$([A-Z]+)\$[0-9]+"))),_xlfn.REGEXEXTRACT(CELL("address",M116), "\$([A-Z]+)\$[0-9]+"))</f>
        <v/>
      </c>
      <c r="N116" s="7" t="str">
        <f t="array" aca="1" ref="N116" ca="1">IFERROR(IF(OR('Raw Data'!N116="",LEN(TRIM('Raw Data'!N116))=0),"",IF(AND(ISNUMBER('Raw Data'!N116), IFERROR('Raw Data'!N116 = ROUND('Raw Data'!N116, 2),FALSE)),"",_xlfn.REGEXEXTRACT(CELL("address",N116), "\$([A-Z]+)\$[0-9]+"))),_xlfn.REGEXEXTRACT(CELL("address",N116), "\$([A-Z]+)\$[0-9]+"))</f>
        <v/>
      </c>
      <c r="O116" s="7" t="str">
        <f t="array" aca="1" ref="O116" ca="1">IFERROR(IF(OR('Raw Data'!O116="",LEN(TRIM('Raw Data'!O116))=0),"",IF(AND(ISNUMBER('Raw Data'!O116),'Raw Data'!O116&gt;=Configuration!$D$2),"",_xlfn.REGEXEXTRACT(CELL("address",'Raw Data'!O116),"\$([A-Z]+)\$[0-9]+"))),_xlfn.REGEXEXTRACT(CELL("address",O116), "\$([A-Z]+)\$[0-9]+"))</f>
        <v/>
      </c>
      <c r="P116" s="7" t="str">
        <f t="array" aca="1" ref="P116" ca="1">IFERROR(IF(OR('Raw Data'!P116="",LEN(TRIM('Raw Data'!P116))=0),"",IF(AND(ISNUMBER('Raw Data'!P116), IFERROR('Raw Data'!P116 = ROUND('Raw Data'!P116, 2),FALSE)),"",_xlfn.REGEXEXTRACT(CELL("address",P116), "\$([A-Z]+)\$[0-9]+"))),_xlfn.REGEXEXTRACT(CELL("address",P116), "\$([A-Z]+)\$[0-9]+"))</f>
        <v/>
      </c>
      <c r="Q116" s="7" t="str">
        <f t="array" aca="1" ref="Q116" ca="1">IFERROR(IF(OR('Raw Data'!Q116="",LEN(TRIM('Raw Data'!Q116))=0),"",IF(AND(ISNUMBER('Raw Data'!Q116), IFERROR('Raw Data'!Q116 = ROUND('Raw Data'!Q116, 2),FALSE)),"",_xlfn.REGEXEXTRACT(CELL("address",Q116), "\$([A-Z]+)\$[0-9]+"))),_xlfn.REGEXEXTRACT(CELL("address",Q116), "\$([A-Z]+)\$[0-9]+"))</f>
        <v/>
      </c>
      <c r="R116" s="7" t="str">
        <f t="array" aca="1" ref="R116" ca="1">IFERROR(IF(OR('Raw Data'!R116="",LEN(TRIM('Raw Data'!R116))=0),"",IF(AND(LEN('Raw Data'!R116) &lt;= 50,LEN('Raw Data'!R116)&gt; 0),"",_xlfn.REGEXEXTRACT(CELL("address",'Raw Data'!R116),"\$([A-Z]+)\$[0-9]+"))),_xlfn.REGEXEXTRACT(CELL("address",'Raw Data'!R116),"\$([A-Z]+)\$[0-9]+"))</f>
        <v/>
      </c>
      <c r="S116" s="7" t="str">
        <f t="array" aca="1" ref="S116" ca="1">IFERROR(IF(OR('Raw Data'!S116="",LEN(TRIM('Raw Data'!S116))=0),"",IF(AND(LEN('Raw Data'!S116) &lt;= 50,LEN('Raw Data'!S116)&gt; 0),"",_xlfn.REGEXEXTRACT(CELL("address",'Raw Data'!S116),"\$([A-Z]+)\$[0-9]+"))),_xlfn.REGEXEXTRACT(CELL("address",'Raw Data'!S116),"\$([A-Z]+)\$[0-9]+"))</f>
        <v/>
      </c>
      <c r="T116" s="7" t="str">
        <f t="array" aca="1" ref="T116" ca="1">IFERROR(IF(OR('Raw Data'!T116="",LEN(TRIM('Raw Data'!T116))=0),"",IF(AND(ISNUMBER('Raw Data'!T116), IFERROR('Raw Data'!T116 = ROUND('Raw Data'!T116, 2),FALSE)),"",_xlfn.REGEXEXTRACT(CELL("address",T116), "\$([A-Z]+)\$[0-9]+"))),_xlfn.REGEXEXTRACT(CELL("address",T116), "\$([A-Z]+)\$[0-9]+"))</f>
        <v/>
      </c>
      <c r="U116" s="7" t="str">
        <f t="array" aca="1" ref="U116" ca="1">IFERROR(IF(OR('Raw Data'!U116="",LEN(TRIM('Raw Data'!U116))=0),"",IF(AND(ISNUMBER('Raw Data'!U116), IFERROR('Raw Data'!U116 = ROUND('Raw Data'!U116, 2),FALSE)),"",_xlfn.REGEXEXTRACT(CELL("address",U116), "\$([A-Z]+)\$[0-9]+"))),_xlfn.REGEXEXTRACT(CELL("address",U116), "\$([A-Z]+)\$[0-9]+"))</f>
        <v/>
      </c>
      <c r="V116" s="7" t="str">
        <f t="array" aca="1" ref="V116" ca="1">IFERROR(IF(OR('Raw Data'!V116="",LEN(TRIM('Raw Data'!V116))=0),"",IF(AND(ISNUMBER('Raw Data'!V116), IFERROR('Raw Data'!V116 = ROUND('Raw Data'!V116, 2),FALSE)),"",_xlfn.REGEXEXTRACT(CELL("address",V116), "\$([A-Z]+)\$[0-9]+"))),_xlfn.REGEXEXTRACT(CELL("address",V116), "\$([A-Z]+)\$[0-9]+"))</f>
        <v/>
      </c>
      <c r="W116" s="7" t="str">
        <f t="array" aca="1" ref="W116" ca="1">IFERROR(IF(OR('Raw Data'!W116="",LEN(TRIM('Raw Data'!W116))=0),"",IF(AND(ISNUMBER('Raw Data'!W116), IFERROR('Raw Data'!W116 = ROUND('Raw Data'!W116, 2),FALSE)),"",_xlfn.REGEXEXTRACT(CELL("address",W116), "\$([A-Z]+)\$[0-9]+"))),_xlfn.REGEXEXTRACT(CELL("address",W116), "\$([A-Z]+)\$[0-9]+"))</f>
        <v/>
      </c>
      <c r="X116" s="7" t="str">
        <f t="array" aca="1" ref="X116" ca="1">IFERROR(IF(OR('Raw Data'!X116="",LEN(TRIM('Raw Data'!X116))=0),"",IF(AND(ISNUMBER('Raw Data'!X116), IFERROR('Raw Data'!X116 = ROUND('Raw Data'!X116, 2),FALSE)),"",_xlfn.REGEXEXTRACT(CELL("address",X116), "\$([A-Z]+)\$[0-9]+"))),_xlfn.REGEXEXTRACT(CELL("address",X116), "\$([A-Z]+)\$[0-9]+"))</f>
        <v/>
      </c>
      <c r="Y116" s="7" t="str">
        <f t="array" aca="1" ref="Y116" ca="1">IFERROR(IF(OR('Raw Data'!Y116="",LEN(TRIM('Raw Data'!Y116))=0),"",IF(AND(ISNUMBER('Raw Data'!Y116), IFERROR('Raw Data'!Y116 = ROUND('Raw Data'!Y116, 2),FALSE)),"",_xlfn.REGEXEXTRACT(CELL("address",Y116), "\$([A-Z]+)\$[0-9]+"))),_xlfn.REGEXEXTRACT(CELL("address",Y116), "\$([A-Z]+)\$[0-9]+"))</f>
        <v/>
      </c>
      <c r="Z116" s="7" t="str">
        <f t="array" aca="1" ref="Z116" ca="1">IFERROR(IF(OR('Raw Data'!Z116="",LEN(TRIM('Raw Data'!Z116))=0),"",IF(AND(ISNUMBER('Raw Data'!Z116), IFERROR('Raw Data'!Z116 = ROUND('Raw Data'!Z116, 2),FALSE)),"",_xlfn.REGEXEXTRACT(CELL("address",Z116), "\$([A-Z]+)\$[0-9]+"))),_xlfn.REGEXEXTRACT(CELL("address",Z116), "\$([A-Z]+)\$[0-9]+"))</f>
        <v/>
      </c>
      <c r="AA116" s="7" t="str">
        <f t="array" aca="1" ref="AA116" ca="1">IFERROR(IF(OR('Raw Data'!AA116="",LEN(TRIM('Raw Data'!AA116))=0),"",IF(AND(ISNUMBER('Raw Data'!AA116), IFERROR('Raw Data'!AA116 = ROUND('Raw Data'!AA116, 2),FALSE)),"",_xlfn.REGEXEXTRACT(CELL("address",AA116), "\$([A-Z]+)\$[0-9]+"))),_xlfn.REGEXEXTRACT(CELL("address",AA116), "\$([A-Z]+)\$[0-9]+"))</f>
        <v/>
      </c>
      <c r="AB116" s="7" t="str">
        <f t="array" aca="1" ref="AB116" ca="1">IFERROR(IF(OR('Raw Data'!AB116="",LEN(TRIM('Raw Data'!AB116))=0),"",IF(AND(ISNUMBER('Raw Data'!AB116), IFERROR('Raw Data'!AB116 = ROUND('Raw Data'!AB116, 2),FALSE)),"",_xlfn.REGEXEXTRACT(CELL("address",AB116), "\$([A-Z]+)\$[0-9]+"))),_xlfn.REGEXEXTRACT(CELL("address",AB116), "\$([A-Z]+)\$[0-9]+"))</f>
        <v/>
      </c>
      <c r="AC116" s="7" t="str">
        <f t="array" aca="1" ref="AC116" ca="1">IFERROR(IF(OR('Raw Data'!AC116="",LEN(TRIM('Raw Data'!AC116))=0),"",IF(AND(ISNUMBER('Raw Data'!AC116), IFERROR('Raw Data'!AC116 = ROUND('Raw Data'!AC116, 2),FALSE)),"",_xlfn.REGEXEXTRACT(CELL("address",AC116), "\$([A-Z]+)\$[0-9]+"))),_xlfn.REGEXEXTRACT(CELL("address",AC116), "\$([A-Z]+)\$[0-9]+"))</f>
        <v/>
      </c>
      <c r="AD116" s="7" t="str">
        <f t="array" aca="1" ref="AD116" ca="1">IFERROR(IF(OR('Raw Data'!AD116="",LEN(TRIM('Raw Data'!AD116))=0),"",IF(AND(ISNUMBER('Raw Data'!AD116), IFERROR('Raw Data'!AD116 = ROUND('Raw Data'!AD116, 2),FALSE)),"",_xlfn.REGEXEXTRACT(CELL("address",AD116), "\$([A-Z]+)\$[0-9]+"))),_xlfn.REGEXEXTRACT(CELL("address",AD116), "\$([A-Z]+)\$[0-9]+"))</f>
        <v/>
      </c>
      <c r="AE116" s="7" t="str">
        <f t="array" aca="1" ref="AE116" ca="1">IFERROR(IF(OR('Raw Data'!AE116="",LEN(TRIM('Raw Data'!AE116))=0),"",IF(AND(ISNUMBER('Raw Data'!AE116), IFERROR('Raw Data'!AE116 = ROUND('Raw Data'!AE116, 2),FALSE)),"",_xlfn.REGEXEXTRACT(CELL("address",AE116), "\$([A-Z]+)\$[0-9]+"))),_xlfn.REGEXEXTRACT(CELL("address",AE116), "\$([A-Z]+)\$[0-9]+"))</f>
        <v/>
      </c>
      <c r="AF116" s="7" t="str">
        <f t="array" aca="1" ref="AF116" ca="1">IFERROR(IF(OR('Raw Data'!AF116="",LEN(TRIM('Raw Data'!AF116))=0),"",IF(AND(ISNUMBER('Raw Data'!AF116), IFERROR('Raw Data'!AF116 = ROUND('Raw Data'!AF116, 2),FALSE)),"",_xlfn.REGEXEXTRACT(CELL("address",AF116), "\$([A-Z]+)\$[0-9]+"))),_xlfn.REGEXEXTRACT(CELL("address",AF116), "\$([A-Z]+)\$[0-9]+"))</f>
        <v/>
      </c>
      <c r="AG116" s="7" t="str">
        <f t="array" aca="1" ref="AG116" ca="1">IFERROR(IF(OR('Raw Data'!AG116="",LEN(TRIM('Raw Data'!AG116))=0),"",IF(AND(ISNUMBER('Raw Data'!AG116), IFERROR('Raw Data'!AG116 = ROUND('Raw Data'!AG116, 2),FALSE)),"",_xlfn.REGEXEXTRACT(CELL("address",AG116), "\$([A-Z]+)\$[0-9]+"))),_xlfn.REGEXEXTRACT(CELL("address",AG116), "\$([A-Z]+)\$[0-9]+"))</f>
        <v/>
      </c>
      <c r="AH116" s="7" t="str">
        <f t="array" aca="1" ref="AH116" ca="1">IFERROR(IF(OR('Raw Data'!AH116="",LEN(TRIM('Raw Data'!AH116))=0),"",IF(AND(ISNUMBER('Raw Data'!AH116), IFERROR('Raw Data'!AH116 = ROUND('Raw Data'!AH116, 2),FALSE)),"",_xlfn.REGEXEXTRACT(CELL("address",AH116), "\$([A-Z]+)\$[0-9]+"))),_xlfn.REGEXEXTRACT(CELL("address",AH116), "\$([A-Z]+)\$[0-9]+"))</f>
        <v/>
      </c>
      <c r="AI116" s="7" t="str">
        <f t="array" aca="1" ref="AI116" ca="1">IFERROR(IF(OR('Raw Data'!AI116="",LEN(TRIM('Raw Data'!AI116))=0),"",IF(AND(ISNUMBER('Raw Data'!AI116), IFERROR('Raw Data'!AI116 = ROUND('Raw Data'!AI116, 2),FALSE)),"",_xlfn.REGEXEXTRACT(CELL("address",AI116), "\$([A-Z]+)\$[0-9]+"))),_xlfn.REGEXEXTRACT(CELL("address",AI116), "\$([A-Z]+)\$[0-9]+"))</f>
        <v/>
      </c>
      <c r="AJ116" s="7" t="str">
        <f t="array" aca="1" ref="AJ116" ca="1">IFERROR(IF(OR('Raw Data'!AJ116="",LEN(TRIM('Raw Data'!AJ116))=0),"",IF(AND(ISNUMBER('Raw Data'!AJ116), IFERROR('Raw Data'!AJ116 = ROUND('Raw Data'!AJ116, 4),FALSE)),"",_xlfn.REGEXEXTRACT(CELL("address",AJ116), "\$([A-Z]+)\$[0-9]+"))),_xlfn.REGEXEXTRACT(CELL("address",AJ116), "\$([A-Z]+)\$[0-9]+"))</f>
        <v/>
      </c>
      <c r="AK116" s="7" t="str">
        <f t="array" aca="1" ref="AK116" ca="1">IFERROR(IF(OR('Raw Data'!AK116="",LEN(TRIM('Raw Data'!AK116))=0),"",IF(AND(ISNUMBER('Raw Data'!AK116), IFERROR('Raw Data'!AK116 = ROUND('Raw Data'!AK116, 2),FALSE)),"",_xlfn.REGEXEXTRACT(CELL("address",AK116), "\$([A-Z]+)\$[0-9]+"))),_xlfn.REGEXEXTRACT(CELL("address",AK116), "\$([A-Z]+)\$[0-9]+"))</f>
        <v/>
      </c>
      <c r="AL116" s="7" t="str">
        <f t="array" aca="1" ref="AL116" ca="1">IFERROR(IF(OR('Raw Data'!AL116="",LEN(TRIM('Raw Data'!AL116))=0),"",IF(AND(ISNUMBER('Raw Data'!AL116), IFERROR('Raw Data'!AL116 = ROUND('Raw Data'!AL116, 2),FALSE)),"",_xlfn.REGEXEXTRACT(CELL("address",AL116), "\$([A-Z]+)\$[0-9]+"))),_xlfn.REGEXEXTRACT(CELL("address",AL116), "\$([A-Z]+)\$[0-9]+"))</f>
        <v/>
      </c>
      <c r="AM116" s="7" t="str">
        <f t="array" aca="1" ref="AM116" ca="1">IFERROR(IF(OR('Raw Data'!AM116="",LEN(TRIM('Raw Data'!AM116))=0),"",IF(AND(ISNUMBER('Raw Data'!AM116), IFERROR('Raw Data'!AM116 = ROUND('Raw Data'!AM116, 2),FALSE)),"",_xlfn.REGEXEXTRACT(CELL("address",AM116), "\$([A-Z]+)\$[0-9]+"))),_xlfn.REGEXEXTRACT(CELL("address",AM116), "\$([A-Z]+)\$[0-9]+"))</f>
        <v/>
      </c>
      <c r="AN116" s="7" t="str">
        <f t="array" aca="1" ref="AN116" ca="1">IFERROR(IF(OR('Raw Data'!AN116="",LEN(TRIM('Raw Data'!AN116))=0),"",IF(AND(ISNUMBER('Raw Data'!AN116), IFERROR('Raw Data'!AN116 = ROUND('Raw Data'!AN116, 2),FALSE)),"",_xlfn.REGEXEXTRACT(CELL("address",AN116), "\$([A-Z]+)\$[0-9]+"))),_xlfn.REGEXEXTRACT(CELL("address",AN116), "\$([A-Z]+)\$[0-9]+"))</f>
        <v/>
      </c>
      <c r="AO116" s="7" t="str">
        <f t="array" aca="1" ref="AO116" ca="1">IFERROR(IF(OR('Raw Data'!AO116="",LEN(TRIM('Raw Data'!AO116))=0),"",IF(AND(ISNUMBER('Raw Data'!AO116), IFERROR('Raw Data'!AO116 = ROUND('Raw Data'!AO116, 2),FALSE)),"",_xlfn.REGEXEXTRACT(CELL("address",AO116), "\$([A-Z]+)\$[0-9]+"))),_xlfn.REGEXEXTRACT(CELL("address",AO116), "\$([A-Z]+)\$[0-9]+"))</f>
        <v/>
      </c>
      <c r="AP116" s="7" t="str">
        <f t="array" aca="1" ref="AP116" ca="1">IFERROR(IF(OR('Raw Data'!AP116="",LEN(TRIM('Raw Data'!AP116))=0),"",IF(AND(ISNUMBER('Raw Data'!AP116), IFERROR('Raw Data'!AP116 = ROUND('Raw Data'!AP116, 2),FALSE)),"",_xlfn.REGEXEXTRACT(CELL("address",AP116), "\$([A-Z]+)\$[0-9]+"))),_xlfn.REGEXEXTRACT(CELL("address",AP116), "\$([A-Z]+)\$[0-9]+"))</f>
        <v/>
      </c>
    </row>
    <row r="117" spans="2:42" x14ac:dyDescent="0.25">
      <c r="B117" s="7" t="str">
        <f t="array" aca="1" ref="B117" ca="1">IFERROR(IF(OR('Raw Data'!B117="",LEN(TRIM('Raw Data'!B117))=0),"",IF(AND(LEN('Raw Data'!B117) &lt;= 255,LEN('Raw Data'!B117)&gt; 0),"",_xlfn.REGEXEXTRACT(CELL("address",'Raw Data'!B117),"\$([A-Z]+)\$[0-9]+"))),_xlfn.REGEXEXTRACT(CELL("address",'Raw Data'!B117),"\$([A-Z]+)\$[0-9]+"))</f>
        <v/>
      </c>
      <c r="C117" s="7" t="str">
        <f t="array" aca="1" ref="C117" ca="1">IFERROR(IF(OR('Raw Data'!C117="",LEN(TRIM('Raw Data'!C117))=0),"",IF(AND(LEN('Raw Data'!C117) &lt;= 50,LEN('Raw Data'!C117)&gt; 0),"",_xlfn.REGEXEXTRACT(CELL("address",'Raw Data'!C117),"\$([A-Z]+)\$[0-9]+"))),_xlfn.REGEXEXTRACT(CELL("address",'Raw Data'!C117),"\$([A-Z]+)\$[0-9]+"))</f>
        <v/>
      </c>
      <c r="D117" s="7" t="str">
        <f t="array" aca="1" ref="D117" ca="1">IFERROR(IF(OR('Raw Data'!D117="",LEN(TRIM('Raw Data'!D117))=0),"",IF(AND(LEN('Raw Data'!D117) &lt;= 500,LEN('Raw Data'!D117)&gt; 0),"",_xlfn.REGEXEXTRACT(CELL("address",'Raw Data'!D117),"\$([A-Z]+)\$[0-9]+"))),_xlfn.REGEXEXTRACT(CELL("address",'Raw Data'!D117),"\$([A-Z]+)\$[0-9]+"))</f>
        <v/>
      </c>
      <c r="E117" s="7" t="str">
        <f t="array" aca="1" ref="E117" ca="1">IFERROR(IF(OR('Raw Data'!E117="",LEN(TRIM('Raw Data'!E117))=0),"",IF(AND(LEN('Raw Data'!E117) &lt;= 50,LEN('Raw Data'!E117)&gt; 0),"",_xlfn.REGEXEXTRACT(CELL("address",'Raw Data'!E117),"\$([A-Z]+)\$[0-9]+"))),_xlfn.REGEXEXTRACT(CELL("address",'Raw Data'!E117),"\$([A-Z]+)\$[0-9]+"))</f>
        <v/>
      </c>
      <c r="F117" s="7" t="str">
        <f t="array" aca="1" ref="F117" ca="1">IFERROR(IF(OR('Raw Data'!F117="",LEN(TRIM('Raw Data'!F117))=0),"",IF(AND(LEN('Raw Data'!F117) &lt;= 50,LEN('Raw Data'!F117)&gt; 0),"",_xlfn.REGEXEXTRACT(CELL("address",'Raw Data'!F117),"\$([A-Z]+)\$[0-9]+"))),_xlfn.REGEXEXTRACT(CELL("address",'Raw Data'!F117),"\$([A-Z]+)\$[0-9]+"))</f>
        <v/>
      </c>
      <c r="G117" s="7" t="str">
        <f t="array" aca="1" ref="G117" ca="1">IFERROR(IF(OR('Raw Data'!G117="",LEN(TRIM('Raw Data'!G117))=0),"",IF(AND(LEN('Raw Data'!G117) &lt;= 50,LEN('Raw Data'!G117)&gt; 0),"",_xlfn.REGEXEXTRACT(CELL("address",'Raw Data'!G117),"\$([A-Z]+)\$[0-9]+"))),_xlfn.REGEXEXTRACT(CELL("address",'Raw Data'!G117),"\$([A-Z]+)\$[0-9]+"))</f>
        <v/>
      </c>
      <c r="H117" s="7" t="str">
        <f t="array" aca="1" ref="H117" ca="1">IFERROR(IF(OR('Raw Data'!H117="",LEN(TRIM('Raw Data'!H117))=0),"",IF(AND(LEN('Raw Data'!H117) &lt;= 50,LEN('Raw Data'!H117)&gt; 0),"",_xlfn.REGEXEXTRACT(CELL("address",'Raw Data'!H117),"\$([A-Z]+)\$[0-9]+"))),_xlfn.REGEXEXTRACT(CELL("address",'Raw Data'!H117),"\$([A-Z]+)\$[0-9]+"))</f>
        <v/>
      </c>
      <c r="I117" s="7" t="str">
        <f t="array" aca="1" ref="I117" ca="1">IFERROR(IF(OR('Raw Data'!I117="",LEN(TRIM('Raw Data'!I117))=0),"",IF(AND(LEN('Raw Data'!I117) &lt;= 50,LEN('Raw Data'!I117)&gt; 0),"",_xlfn.REGEXEXTRACT(CELL("address",'Raw Data'!I117),"\$([A-Z]+)\$[0-9]+"))),_xlfn.REGEXEXTRACT(CELL("address",'Raw Data'!I117),"\$([A-Z]+)\$[0-9]+"))</f>
        <v/>
      </c>
      <c r="J117" s="7" t="str">
        <f t="array" aca="1" ref="J117" ca="1">IFERROR(IF(OR('Raw Data'!J117="",LEN(TRIM('Raw Data'!J117))=0),"",IF(AND(ISNUMBER('Raw Data'!J117), IFERROR('Raw Data'!J117 = ROUND('Raw Data'!J117, 2),FALSE)),"",_xlfn.REGEXEXTRACT(CELL("address",J117), "\$([A-Z]+)\$[0-9]+"))),_xlfn.REGEXEXTRACT(CELL("address",J117), "\$([A-Z]+)\$[0-9]+"))</f>
        <v/>
      </c>
      <c r="K117" s="7" t="str">
        <f t="array" aca="1" ref="K117" ca="1">IFERROR(IF(OR('Raw Data'!K117="",LEN(TRIM('Raw Data'!K117))=0),"",IF(AND(ISNUMBER('Raw Data'!K117), IFERROR('Raw Data'!K117 = ROUND('Raw Data'!K117, 2),FALSE)),"",_xlfn.REGEXEXTRACT(CELL("address",K117), "\$([A-Z]+)\$[0-9]+"))),_xlfn.REGEXEXTRACT(CELL("address",K117), "\$([A-Z]+)\$[0-9]+"))</f>
        <v/>
      </c>
      <c r="L117" s="7" t="str">
        <f t="array" aca="1" ref="L117" ca="1">IFERROR(IF(OR('Raw Data'!L117="",LEN(TRIM('Raw Data'!L117))=0),"",IF(AND(ISNUMBER('Raw Data'!L117), IFERROR('Raw Data'!L117 = ROUND('Raw Data'!L117, 2),FALSE)),"",_xlfn.REGEXEXTRACT(CELL("address",L117), "\$([A-Z]+)\$[0-9]+"))),_xlfn.REGEXEXTRACT(CELL("address",L117), "\$([A-Z]+)\$[0-9]+"))</f>
        <v/>
      </c>
      <c r="M117" s="7" t="str">
        <f t="array" aca="1" ref="M117" ca="1">IFERROR(IF(OR('Raw Data'!M117="",LEN(TRIM('Raw Data'!M117))=0),"",IF(AND(ISNUMBER('Raw Data'!M117), IFERROR('Raw Data'!M117 = ROUND('Raw Data'!M117, 2),FALSE)),"",_xlfn.REGEXEXTRACT(CELL("address",M117), "\$([A-Z]+)\$[0-9]+"))),_xlfn.REGEXEXTRACT(CELL("address",M117), "\$([A-Z]+)\$[0-9]+"))</f>
        <v/>
      </c>
      <c r="N117" s="7" t="str">
        <f t="array" aca="1" ref="N117" ca="1">IFERROR(IF(OR('Raw Data'!N117="",LEN(TRIM('Raw Data'!N117))=0),"",IF(AND(ISNUMBER('Raw Data'!N117), IFERROR('Raw Data'!N117 = ROUND('Raw Data'!N117, 2),FALSE)),"",_xlfn.REGEXEXTRACT(CELL("address",N117), "\$([A-Z]+)\$[0-9]+"))),_xlfn.REGEXEXTRACT(CELL("address",N117), "\$([A-Z]+)\$[0-9]+"))</f>
        <v/>
      </c>
      <c r="O117" s="7" t="str">
        <f t="array" aca="1" ref="O117" ca="1">IFERROR(IF(OR('Raw Data'!O117="",LEN(TRIM('Raw Data'!O117))=0),"",IF(AND(ISNUMBER('Raw Data'!O117),'Raw Data'!O117&gt;=Configuration!$D$2),"",_xlfn.REGEXEXTRACT(CELL("address",'Raw Data'!O117),"\$([A-Z]+)\$[0-9]+"))),_xlfn.REGEXEXTRACT(CELL("address",O117), "\$([A-Z]+)\$[0-9]+"))</f>
        <v/>
      </c>
      <c r="P117" s="7" t="str">
        <f t="array" aca="1" ref="P117" ca="1">IFERROR(IF(OR('Raw Data'!P117="",LEN(TRIM('Raw Data'!P117))=0),"",IF(AND(ISNUMBER('Raw Data'!P117), IFERROR('Raw Data'!P117 = ROUND('Raw Data'!P117, 2),FALSE)),"",_xlfn.REGEXEXTRACT(CELL("address",P117), "\$([A-Z]+)\$[0-9]+"))),_xlfn.REGEXEXTRACT(CELL("address",P117), "\$([A-Z]+)\$[0-9]+"))</f>
        <v/>
      </c>
      <c r="Q117" s="7" t="str">
        <f t="array" aca="1" ref="Q117" ca="1">IFERROR(IF(OR('Raw Data'!Q117="",LEN(TRIM('Raw Data'!Q117))=0),"",IF(AND(ISNUMBER('Raw Data'!Q117), IFERROR('Raw Data'!Q117 = ROUND('Raw Data'!Q117, 2),FALSE)),"",_xlfn.REGEXEXTRACT(CELL("address",Q117), "\$([A-Z]+)\$[0-9]+"))),_xlfn.REGEXEXTRACT(CELL("address",Q117), "\$([A-Z]+)\$[0-9]+"))</f>
        <v/>
      </c>
      <c r="R117" s="7" t="str">
        <f t="array" aca="1" ref="R117" ca="1">IFERROR(IF(OR('Raw Data'!R117="",LEN(TRIM('Raw Data'!R117))=0),"",IF(AND(LEN('Raw Data'!R117) &lt;= 50,LEN('Raw Data'!R117)&gt; 0),"",_xlfn.REGEXEXTRACT(CELL("address",'Raw Data'!R117),"\$([A-Z]+)\$[0-9]+"))),_xlfn.REGEXEXTRACT(CELL("address",'Raw Data'!R117),"\$([A-Z]+)\$[0-9]+"))</f>
        <v/>
      </c>
      <c r="S117" s="7" t="str">
        <f t="array" aca="1" ref="S117" ca="1">IFERROR(IF(OR('Raw Data'!S117="",LEN(TRIM('Raw Data'!S117))=0),"",IF(AND(LEN('Raw Data'!S117) &lt;= 50,LEN('Raw Data'!S117)&gt; 0),"",_xlfn.REGEXEXTRACT(CELL("address",'Raw Data'!S117),"\$([A-Z]+)\$[0-9]+"))),_xlfn.REGEXEXTRACT(CELL("address",'Raw Data'!S117),"\$([A-Z]+)\$[0-9]+"))</f>
        <v/>
      </c>
      <c r="T117" s="7" t="str">
        <f t="array" aca="1" ref="T117" ca="1">IFERROR(IF(OR('Raw Data'!T117="",LEN(TRIM('Raw Data'!T117))=0),"",IF(AND(ISNUMBER('Raw Data'!T117), IFERROR('Raw Data'!T117 = ROUND('Raw Data'!T117, 2),FALSE)),"",_xlfn.REGEXEXTRACT(CELL("address",T117), "\$([A-Z]+)\$[0-9]+"))),_xlfn.REGEXEXTRACT(CELL("address",T117), "\$([A-Z]+)\$[0-9]+"))</f>
        <v/>
      </c>
      <c r="U117" s="7" t="str">
        <f t="array" aca="1" ref="U117" ca="1">IFERROR(IF(OR('Raw Data'!U117="",LEN(TRIM('Raw Data'!U117))=0),"",IF(AND(ISNUMBER('Raw Data'!U117), IFERROR('Raw Data'!U117 = ROUND('Raw Data'!U117, 2),FALSE)),"",_xlfn.REGEXEXTRACT(CELL("address",U117), "\$([A-Z]+)\$[0-9]+"))),_xlfn.REGEXEXTRACT(CELL("address",U117), "\$([A-Z]+)\$[0-9]+"))</f>
        <v/>
      </c>
      <c r="V117" s="7" t="str">
        <f t="array" aca="1" ref="V117" ca="1">IFERROR(IF(OR('Raw Data'!V117="",LEN(TRIM('Raw Data'!V117))=0),"",IF(AND(ISNUMBER('Raw Data'!V117), IFERROR('Raw Data'!V117 = ROUND('Raw Data'!V117, 2),FALSE)),"",_xlfn.REGEXEXTRACT(CELL("address",V117), "\$([A-Z]+)\$[0-9]+"))),_xlfn.REGEXEXTRACT(CELL("address",V117), "\$([A-Z]+)\$[0-9]+"))</f>
        <v/>
      </c>
      <c r="W117" s="7" t="str">
        <f t="array" aca="1" ref="W117" ca="1">IFERROR(IF(OR('Raw Data'!W117="",LEN(TRIM('Raw Data'!W117))=0),"",IF(AND(ISNUMBER('Raw Data'!W117), IFERROR('Raw Data'!W117 = ROUND('Raw Data'!W117, 2),FALSE)),"",_xlfn.REGEXEXTRACT(CELL("address",W117), "\$([A-Z]+)\$[0-9]+"))),_xlfn.REGEXEXTRACT(CELL("address",W117), "\$([A-Z]+)\$[0-9]+"))</f>
        <v/>
      </c>
      <c r="X117" s="7" t="str">
        <f t="array" aca="1" ref="X117" ca="1">IFERROR(IF(OR('Raw Data'!X117="",LEN(TRIM('Raw Data'!X117))=0),"",IF(AND(ISNUMBER('Raw Data'!X117), IFERROR('Raw Data'!X117 = ROUND('Raw Data'!X117, 2),FALSE)),"",_xlfn.REGEXEXTRACT(CELL("address",X117), "\$([A-Z]+)\$[0-9]+"))),_xlfn.REGEXEXTRACT(CELL("address",X117), "\$([A-Z]+)\$[0-9]+"))</f>
        <v/>
      </c>
      <c r="Y117" s="7" t="str">
        <f t="array" aca="1" ref="Y117" ca="1">IFERROR(IF(OR('Raw Data'!Y117="",LEN(TRIM('Raw Data'!Y117))=0),"",IF(AND(ISNUMBER('Raw Data'!Y117), IFERROR('Raw Data'!Y117 = ROUND('Raw Data'!Y117, 2),FALSE)),"",_xlfn.REGEXEXTRACT(CELL("address",Y117), "\$([A-Z]+)\$[0-9]+"))),_xlfn.REGEXEXTRACT(CELL("address",Y117), "\$([A-Z]+)\$[0-9]+"))</f>
        <v/>
      </c>
      <c r="Z117" s="7" t="str">
        <f t="array" aca="1" ref="Z117" ca="1">IFERROR(IF(OR('Raw Data'!Z117="",LEN(TRIM('Raw Data'!Z117))=0),"",IF(AND(ISNUMBER('Raw Data'!Z117), IFERROR('Raw Data'!Z117 = ROUND('Raw Data'!Z117, 2),FALSE)),"",_xlfn.REGEXEXTRACT(CELL("address",Z117), "\$([A-Z]+)\$[0-9]+"))),_xlfn.REGEXEXTRACT(CELL("address",Z117), "\$([A-Z]+)\$[0-9]+"))</f>
        <v/>
      </c>
      <c r="AA117" s="7" t="str">
        <f t="array" aca="1" ref="AA117" ca="1">IFERROR(IF(OR('Raw Data'!AA117="",LEN(TRIM('Raw Data'!AA117))=0),"",IF(AND(ISNUMBER('Raw Data'!AA117), IFERROR('Raw Data'!AA117 = ROUND('Raw Data'!AA117, 2),FALSE)),"",_xlfn.REGEXEXTRACT(CELL("address",AA117), "\$([A-Z]+)\$[0-9]+"))),_xlfn.REGEXEXTRACT(CELL("address",AA117), "\$([A-Z]+)\$[0-9]+"))</f>
        <v/>
      </c>
      <c r="AB117" s="7" t="str">
        <f t="array" aca="1" ref="AB117" ca="1">IFERROR(IF(OR('Raw Data'!AB117="",LEN(TRIM('Raw Data'!AB117))=0),"",IF(AND(ISNUMBER('Raw Data'!AB117), IFERROR('Raw Data'!AB117 = ROUND('Raw Data'!AB117, 2),FALSE)),"",_xlfn.REGEXEXTRACT(CELL("address",AB117), "\$([A-Z]+)\$[0-9]+"))),_xlfn.REGEXEXTRACT(CELL("address",AB117), "\$([A-Z]+)\$[0-9]+"))</f>
        <v/>
      </c>
      <c r="AC117" s="7" t="str">
        <f t="array" aca="1" ref="AC117" ca="1">IFERROR(IF(OR('Raw Data'!AC117="",LEN(TRIM('Raw Data'!AC117))=0),"",IF(AND(ISNUMBER('Raw Data'!AC117), IFERROR('Raw Data'!AC117 = ROUND('Raw Data'!AC117, 2),FALSE)),"",_xlfn.REGEXEXTRACT(CELL("address",AC117), "\$([A-Z]+)\$[0-9]+"))),_xlfn.REGEXEXTRACT(CELL("address",AC117), "\$([A-Z]+)\$[0-9]+"))</f>
        <v/>
      </c>
      <c r="AD117" s="7" t="str">
        <f t="array" aca="1" ref="AD117" ca="1">IFERROR(IF(OR('Raw Data'!AD117="",LEN(TRIM('Raw Data'!AD117))=0),"",IF(AND(ISNUMBER('Raw Data'!AD117), IFERROR('Raw Data'!AD117 = ROUND('Raw Data'!AD117, 2),FALSE)),"",_xlfn.REGEXEXTRACT(CELL("address",AD117), "\$([A-Z]+)\$[0-9]+"))),_xlfn.REGEXEXTRACT(CELL("address",AD117), "\$([A-Z]+)\$[0-9]+"))</f>
        <v/>
      </c>
      <c r="AE117" s="7" t="str">
        <f t="array" aca="1" ref="AE117" ca="1">IFERROR(IF(OR('Raw Data'!AE117="",LEN(TRIM('Raw Data'!AE117))=0),"",IF(AND(ISNUMBER('Raw Data'!AE117), IFERROR('Raw Data'!AE117 = ROUND('Raw Data'!AE117, 2),FALSE)),"",_xlfn.REGEXEXTRACT(CELL("address",AE117), "\$([A-Z]+)\$[0-9]+"))),_xlfn.REGEXEXTRACT(CELL("address",AE117), "\$([A-Z]+)\$[0-9]+"))</f>
        <v/>
      </c>
      <c r="AF117" s="7" t="str">
        <f t="array" aca="1" ref="AF117" ca="1">IFERROR(IF(OR('Raw Data'!AF117="",LEN(TRIM('Raw Data'!AF117))=0),"",IF(AND(ISNUMBER('Raw Data'!AF117), IFERROR('Raw Data'!AF117 = ROUND('Raw Data'!AF117, 2),FALSE)),"",_xlfn.REGEXEXTRACT(CELL("address",AF117), "\$([A-Z]+)\$[0-9]+"))),_xlfn.REGEXEXTRACT(CELL("address",AF117), "\$([A-Z]+)\$[0-9]+"))</f>
        <v/>
      </c>
      <c r="AG117" s="7" t="str">
        <f t="array" aca="1" ref="AG117" ca="1">IFERROR(IF(OR('Raw Data'!AG117="",LEN(TRIM('Raw Data'!AG117))=0),"",IF(AND(ISNUMBER('Raw Data'!AG117), IFERROR('Raw Data'!AG117 = ROUND('Raw Data'!AG117, 2),FALSE)),"",_xlfn.REGEXEXTRACT(CELL("address",AG117), "\$([A-Z]+)\$[0-9]+"))),_xlfn.REGEXEXTRACT(CELL("address",AG117), "\$([A-Z]+)\$[0-9]+"))</f>
        <v/>
      </c>
      <c r="AH117" s="7" t="str">
        <f t="array" aca="1" ref="AH117" ca="1">IFERROR(IF(OR('Raw Data'!AH117="",LEN(TRIM('Raw Data'!AH117))=0),"",IF(AND(ISNUMBER('Raw Data'!AH117), IFERROR('Raw Data'!AH117 = ROUND('Raw Data'!AH117, 2),FALSE)),"",_xlfn.REGEXEXTRACT(CELL("address",AH117), "\$([A-Z]+)\$[0-9]+"))),_xlfn.REGEXEXTRACT(CELL("address",AH117), "\$([A-Z]+)\$[0-9]+"))</f>
        <v/>
      </c>
      <c r="AI117" s="7" t="str">
        <f t="array" aca="1" ref="AI117" ca="1">IFERROR(IF(OR('Raw Data'!AI117="",LEN(TRIM('Raw Data'!AI117))=0),"",IF(AND(ISNUMBER('Raw Data'!AI117), IFERROR('Raw Data'!AI117 = ROUND('Raw Data'!AI117, 2),FALSE)),"",_xlfn.REGEXEXTRACT(CELL("address",AI117), "\$([A-Z]+)\$[0-9]+"))),_xlfn.REGEXEXTRACT(CELL("address",AI117), "\$([A-Z]+)\$[0-9]+"))</f>
        <v/>
      </c>
      <c r="AJ117" s="7" t="str">
        <f t="array" aca="1" ref="AJ117" ca="1">IFERROR(IF(OR('Raw Data'!AJ117="",LEN(TRIM('Raw Data'!AJ117))=0),"",IF(AND(ISNUMBER('Raw Data'!AJ117), IFERROR('Raw Data'!AJ117 = ROUND('Raw Data'!AJ117, 4),FALSE)),"",_xlfn.REGEXEXTRACT(CELL("address",AJ117), "\$([A-Z]+)\$[0-9]+"))),_xlfn.REGEXEXTRACT(CELL("address",AJ117), "\$([A-Z]+)\$[0-9]+"))</f>
        <v/>
      </c>
      <c r="AK117" s="7" t="str">
        <f t="array" aca="1" ref="AK117" ca="1">IFERROR(IF(OR('Raw Data'!AK117="",LEN(TRIM('Raw Data'!AK117))=0),"",IF(AND(ISNUMBER('Raw Data'!AK117), IFERROR('Raw Data'!AK117 = ROUND('Raw Data'!AK117, 2),FALSE)),"",_xlfn.REGEXEXTRACT(CELL("address",AK117), "\$([A-Z]+)\$[0-9]+"))),_xlfn.REGEXEXTRACT(CELL("address",AK117), "\$([A-Z]+)\$[0-9]+"))</f>
        <v/>
      </c>
      <c r="AL117" s="7" t="str">
        <f t="array" aca="1" ref="AL117" ca="1">IFERROR(IF(OR('Raw Data'!AL117="",LEN(TRIM('Raw Data'!AL117))=0),"",IF(AND(ISNUMBER('Raw Data'!AL117), IFERROR('Raw Data'!AL117 = ROUND('Raw Data'!AL117, 2),FALSE)),"",_xlfn.REGEXEXTRACT(CELL("address",AL117), "\$([A-Z]+)\$[0-9]+"))),_xlfn.REGEXEXTRACT(CELL("address",AL117), "\$([A-Z]+)\$[0-9]+"))</f>
        <v/>
      </c>
      <c r="AM117" s="7" t="str">
        <f t="array" aca="1" ref="AM117" ca="1">IFERROR(IF(OR('Raw Data'!AM117="",LEN(TRIM('Raw Data'!AM117))=0),"",IF(AND(ISNUMBER('Raw Data'!AM117), IFERROR('Raw Data'!AM117 = ROUND('Raw Data'!AM117, 2),FALSE)),"",_xlfn.REGEXEXTRACT(CELL("address",AM117), "\$([A-Z]+)\$[0-9]+"))),_xlfn.REGEXEXTRACT(CELL("address",AM117), "\$([A-Z]+)\$[0-9]+"))</f>
        <v/>
      </c>
      <c r="AN117" s="7" t="str">
        <f t="array" aca="1" ref="AN117" ca="1">IFERROR(IF(OR('Raw Data'!AN117="",LEN(TRIM('Raw Data'!AN117))=0),"",IF(AND(ISNUMBER('Raw Data'!AN117), IFERROR('Raw Data'!AN117 = ROUND('Raw Data'!AN117, 2),FALSE)),"",_xlfn.REGEXEXTRACT(CELL("address",AN117), "\$([A-Z]+)\$[0-9]+"))),_xlfn.REGEXEXTRACT(CELL("address",AN117), "\$([A-Z]+)\$[0-9]+"))</f>
        <v/>
      </c>
      <c r="AO117" s="7" t="str">
        <f t="array" aca="1" ref="AO117" ca="1">IFERROR(IF(OR('Raw Data'!AO117="",LEN(TRIM('Raw Data'!AO117))=0),"",IF(AND(ISNUMBER('Raw Data'!AO117), IFERROR('Raw Data'!AO117 = ROUND('Raw Data'!AO117, 2),FALSE)),"",_xlfn.REGEXEXTRACT(CELL("address",AO117), "\$([A-Z]+)\$[0-9]+"))),_xlfn.REGEXEXTRACT(CELL("address",AO117), "\$([A-Z]+)\$[0-9]+"))</f>
        <v/>
      </c>
      <c r="AP117" s="7" t="str">
        <f t="array" aca="1" ref="AP117" ca="1">IFERROR(IF(OR('Raw Data'!AP117="",LEN(TRIM('Raw Data'!AP117))=0),"",IF(AND(ISNUMBER('Raw Data'!AP117), IFERROR('Raw Data'!AP117 = ROUND('Raw Data'!AP117, 2),FALSE)),"",_xlfn.REGEXEXTRACT(CELL("address",AP117), "\$([A-Z]+)\$[0-9]+"))),_xlfn.REGEXEXTRACT(CELL("address",AP117), "\$([A-Z]+)\$[0-9]+"))</f>
        <v/>
      </c>
    </row>
    <row r="118" spans="2:42" x14ac:dyDescent="0.25">
      <c r="B118" s="7" t="str">
        <f t="array" aca="1" ref="B118" ca="1">IFERROR(IF(OR('Raw Data'!B118="",LEN(TRIM('Raw Data'!B118))=0),"",IF(AND(LEN('Raw Data'!B118) &lt;= 255,LEN('Raw Data'!B118)&gt; 0),"",_xlfn.REGEXEXTRACT(CELL("address",'Raw Data'!B118),"\$([A-Z]+)\$[0-9]+"))),_xlfn.REGEXEXTRACT(CELL("address",'Raw Data'!B118),"\$([A-Z]+)\$[0-9]+"))</f>
        <v/>
      </c>
      <c r="C118" s="7" t="str">
        <f t="array" aca="1" ref="C118" ca="1">IFERROR(IF(OR('Raw Data'!C118="",LEN(TRIM('Raw Data'!C118))=0),"",IF(AND(LEN('Raw Data'!C118) &lt;= 50,LEN('Raw Data'!C118)&gt; 0),"",_xlfn.REGEXEXTRACT(CELL("address",'Raw Data'!C118),"\$([A-Z]+)\$[0-9]+"))),_xlfn.REGEXEXTRACT(CELL("address",'Raw Data'!C118),"\$([A-Z]+)\$[0-9]+"))</f>
        <v/>
      </c>
      <c r="D118" s="7" t="str">
        <f t="array" aca="1" ref="D118" ca="1">IFERROR(IF(OR('Raw Data'!D118="",LEN(TRIM('Raw Data'!D118))=0),"",IF(AND(LEN('Raw Data'!D118) &lt;= 500,LEN('Raw Data'!D118)&gt; 0),"",_xlfn.REGEXEXTRACT(CELL("address",'Raw Data'!D118),"\$([A-Z]+)\$[0-9]+"))),_xlfn.REGEXEXTRACT(CELL("address",'Raw Data'!D118),"\$([A-Z]+)\$[0-9]+"))</f>
        <v/>
      </c>
      <c r="E118" s="7" t="str">
        <f t="array" aca="1" ref="E118" ca="1">IFERROR(IF(OR('Raw Data'!E118="",LEN(TRIM('Raw Data'!E118))=0),"",IF(AND(LEN('Raw Data'!E118) &lt;= 50,LEN('Raw Data'!E118)&gt; 0),"",_xlfn.REGEXEXTRACT(CELL("address",'Raw Data'!E118),"\$([A-Z]+)\$[0-9]+"))),_xlfn.REGEXEXTRACT(CELL("address",'Raw Data'!E118),"\$([A-Z]+)\$[0-9]+"))</f>
        <v/>
      </c>
      <c r="F118" s="7" t="str">
        <f t="array" aca="1" ref="F118" ca="1">IFERROR(IF(OR('Raw Data'!F118="",LEN(TRIM('Raw Data'!F118))=0),"",IF(AND(LEN('Raw Data'!F118) &lt;= 50,LEN('Raw Data'!F118)&gt; 0),"",_xlfn.REGEXEXTRACT(CELL("address",'Raw Data'!F118),"\$([A-Z]+)\$[0-9]+"))),_xlfn.REGEXEXTRACT(CELL("address",'Raw Data'!F118),"\$([A-Z]+)\$[0-9]+"))</f>
        <v/>
      </c>
      <c r="G118" s="7" t="str">
        <f t="array" aca="1" ref="G118" ca="1">IFERROR(IF(OR('Raw Data'!G118="",LEN(TRIM('Raw Data'!G118))=0),"",IF(AND(LEN('Raw Data'!G118) &lt;= 50,LEN('Raw Data'!G118)&gt; 0),"",_xlfn.REGEXEXTRACT(CELL("address",'Raw Data'!G118),"\$([A-Z]+)\$[0-9]+"))),_xlfn.REGEXEXTRACT(CELL("address",'Raw Data'!G118),"\$([A-Z]+)\$[0-9]+"))</f>
        <v/>
      </c>
      <c r="H118" s="7" t="str">
        <f t="array" aca="1" ref="H118" ca="1">IFERROR(IF(OR('Raw Data'!H118="",LEN(TRIM('Raw Data'!H118))=0),"",IF(AND(LEN('Raw Data'!H118) &lt;= 50,LEN('Raw Data'!H118)&gt; 0),"",_xlfn.REGEXEXTRACT(CELL("address",'Raw Data'!H118),"\$([A-Z]+)\$[0-9]+"))),_xlfn.REGEXEXTRACT(CELL("address",'Raw Data'!H118),"\$([A-Z]+)\$[0-9]+"))</f>
        <v/>
      </c>
      <c r="I118" s="7" t="str">
        <f t="array" aca="1" ref="I118" ca="1">IFERROR(IF(OR('Raw Data'!I118="",LEN(TRIM('Raw Data'!I118))=0),"",IF(AND(LEN('Raw Data'!I118) &lt;= 50,LEN('Raw Data'!I118)&gt; 0),"",_xlfn.REGEXEXTRACT(CELL("address",'Raw Data'!I118),"\$([A-Z]+)\$[0-9]+"))),_xlfn.REGEXEXTRACT(CELL("address",'Raw Data'!I118),"\$([A-Z]+)\$[0-9]+"))</f>
        <v/>
      </c>
      <c r="J118" s="7" t="str">
        <f t="array" aca="1" ref="J118" ca="1">IFERROR(IF(OR('Raw Data'!J118="",LEN(TRIM('Raw Data'!J118))=0),"",IF(AND(ISNUMBER('Raw Data'!J118), IFERROR('Raw Data'!J118 = ROUND('Raw Data'!J118, 2),FALSE)),"",_xlfn.REGEXEXTRACT(CELL("address",J118), "\$([A-Z]+)\$[0-9]+"))),_xlfn.REGEXEXTRACT(CELL("address",J118), "\$([A-Z]+)\$[0-9]+"))</f>
        <v/>
      </c>
      <c r="K118" s="7" t="str">
        <f t="array" aca="1" ref="K118" ca="1">IFERROR(IF(OR('Raw Data'!K118="",LEN(TRIM('Raw Data'!K118))=0),"",IF(AND(ISNUMBER('Raw Data'!K118), IFERROR('Raw Data'!K118 = ROUND('Raw Data'!K118, 2),FALSE)),"",_xlfn.REGEXEXTRACT(CELL("address",K118), "\$([A-Z]+)\$[0-9]+"))),_xlfn.REGEXEXTRACT(CELL("address",K118), "\$([A-Z]+)\$[0-9]+"))</f>
        <v/>
      </c>
      <c r="L118" s="7" t="str">
        <f t="array" aca="1" ref="L118" ca="1">IFERROR(IF(OR('Raw Data'!L118="",LEN(TRIM('Raw Data'!L118))=0),"",IF(AND(ISNUMBER('Raw Data'!L118), IFERROR('Raw Data'!L118 = ROUND('Raw Data'!L118, 2),FALSE)),"",_xlfn.REGEXEXTRACT(CELL("address",L118), "\$([A-Z]+)\$[0-9]+"))),_xlfn.REGEXEXTRACT(CELL("address",L118), "\$([A-Z]+)\$[0-9]+"))</f>
        <v/>
      </c>
      <c r="M118" s="7" t="str">
        <f t="array" aca="1" ref="M118" ca="1">IFERROR(IF(OR('Raw Data'!M118="",LEN(TRIM('Raw Data'!M118))=0),"",IF(AND(ISNUMBER('Raw Data'!M118), IFERROR('Raw Data'!M118 = ROUND('Raw Data'!M118, 2),FALSE)),"",_xlfn.REGEXEXTRACT(CELL("address",M118), "\$([A-Z]+)\$[0-9]+"))),_xlfn.REGEXEXTRACT(CELL("address",M118), "\$([A-Z]+)\$[0-9]+"))</f>
        <v/>
      </c>
      <c r="N118" s="7" t="str">
        <f t="array" aca="1" ref="N118" ca="1">IFERROR(IF(OR('Raw Data'!N118="",LEN(TRIM('Raw Data'!N118))=0),"",IF(AND(ISNUMBER('Raw Data'!N118), IFERROR('Raw Data'!N118 = ROUND('Raw Data'!N118, 2),FALSE)),"",_xlfn.REGEXEXTRACT(CELL("address",N118), "\$([A-Z]+)\$[0-9]+"))),_xlfn.REGEXEXTRACT(CELL("address",N118), "\$([A-Z]+)\$[0-9]+"))</f>
        <v/>
      </c>
      <c r="O118" s="7" t="str">
        <f t="array" aca="1" ref="O118" ca="1">IFERROR(IF(OR('Raw Data'!O118="",LEN(TRIM('Raw Data'!O118))=0),"",IF(AND(ISNUMBER('Raw Data'!O118),'Raw Data'!O118&gt;=Configuration!$D$2),"",_xlfn.REGEXEXTRACT(CELL("address",'Raw Data'!O118),"\$([A-Z]+)\$[0-9]+"))),_xlfn.REGEXEXTRACT(CELL("address",O118), "\$([A-Z]+)\$[0-9]+"))</f>
        <v/>
      </c>
      <c r="P118" s="7" t="str">
        <f t="array" aca="1" ref="P118" ca="1">IFERROR(IF(OR('Raw Data'!P118="",LEN(TRIM('Raw Data'!P118))=0),"",IF(AND(ISNUMBER('Raw Data'!P118), IFERROR('Raw Data'!P118 = ROUND('Raw Data'!P118, 2),FALSE)),"",_xlfn.REGEXEXTRACT(CELL("address",P118), "\$([A-Z]+)\$[0-9]+"))),_xlfn.REGEXEXTRACT(CELL("address",P118), "\$([A-Z]+)\$[0-9]+"))</f>
        <v/>
      </c>
      <c r="Q118" s="7" t="str">
        <f t="array" aca="1" ref="Q118" ca="1">IFERROR(IF(OR('Raw Data'!Q118="",LEN(TRIM('Raw Data'!Q118))=0),"",IF(AND(ISNUMBER('Raw Data'!Q118), IFERROR('Raw Data'!Q118 = ROUND('Raw Data'!Q118, 2),FALSE)),"",_xlfn.REGEXEXTRACT(CELL("address",Q118), "\$([A-Z]+)\$[0-9]+"))),_xlfn.REGEXEXTRACT(CELL("address",Q118), "\$([A-Z]+)\$[0-9]+"))</f>
        <v/>
      </c>
      <c r="R118" s="7" t="str">
        <f t="array" aca="1" ref="R118" ca="1">IFERROR(IF(OR('Raw Data'!R118="",LEN(TRIM('Raw Data'!R118))=0),"",IF(AND(LEN('Raw Data'!R118) &lt;= 50,LEN('Raw Data'!R118)&gt; 0),"",_xlfn.REGEXEXTRACT(CELL("address",'Raw Data'!R118),"\$([A-Z]+)\$[0-9]+"))),_xlfn.REGEXEXTRACT(CELL("address",'Raw Data'!R118),"\$([A-Z]+)\$[0-9]+"))</f>
        <v/>
      </c>
      <c r="S118" s="7" t="str">
        <f t="array" aca="1" ref="S118" ca="1">IFERROR(IF(OR('Raw Data'!S118="",LEN(TRIM('Raw Data'!S118))=0),"",IF(AND(LEN('Raw Data'!S118) &lt;= 50,LEN('Raw Data'!S118)&gt; 0),"",_xlfn.REGEXEXTRACT(CELL("address",'Raw Data'!S118),"\$([A-Z]+)\$[0-9]+"))),_xlfn.REGEXEXTRACT(CELL("address",'Raw Data'!S118),"\$([A-Z]+)\$[0-9]+"))</f>
        <v/>
      </c>
      <c r="T118" s="7" t="str">
        <f t="array" aca="1" ref="T118" ca="1">IFERROR(IF(OR('Raw Data'!T118="",LEN(TRIM('Raw Data'!T118))=0),"",IF(AND(ISNUMBER('Raw Data'!T118), IFERROR('Raw Data'!T118 = ROUND('Raw Data'!T118, 2),FALSE)),"",_xlfn.REGEXEXTRACT(CELL("address",T118), "\$([A-Z]+)\$[0-9]+"))),_xlfn.REGEXEXTRACT(CELL("address",T118), "\$([A-Z]+)\$[0-9]+"))</f>
        <v/>
      </c>
      <c r="U118" s="7" t="str">
        <f t="array" aca="1" ref="U118" ca="1">IFERROR(IF(OR('Raw Data'!U118="",LEN(TRIM('Raw Data'!U118))=0),"",IF(AND(ISNUMBER('Raw Data'!U118), IFERROR('Raw Data'!U118 = ROUND('Raw Data'!U118, 2),FALSE)),"",_xlfn.REGEXEXTRACT(CELL("address",U118), "\$([A-Z]+)\$[0-9]+"))),_xlfn.REGEXEXTRACT(CELL("address",U118), "\$([A-Z]+)\$[0-9]+"))</f>
        <v/>
      </c>
      <c r="V118" s="7" t="str">
        <f t="array" aca="1" ref="V118" ca="1">IFERROR(IF(OR('Raw Data'!V118="",LEN(TRIM('Raw Data'!V118))=0),"",IF(AND(ISNUMBER('Raw Data'!V118), IFERROR('Raw Data'!V118 = ROUND('Raw Data'!V118, 2),FALSE)),"",_xlfn.REGEXEXTRACT(CELL("address",V118), "\$([A-Z]+)\$[0-9]+"))),_xlfn.REGEXEXTRACT(CELL("address",V118), "\$([A-Z]+)\$[0-9]+"))</f>
        <v/>
      </c>
      <c r="W118" s="7" t="str">
        <f t="array" aca="1" ref="W118" ca="1">IFERROR(IF(OR('Raw Data'!W118="",LEN(TRIM('Raw Data'!W118))=0),"",IF(AND(ISNUMBER('Raw Data'!W118), IFERROR('Raw Data'!W118 = ROUND('Raw Data'!W118, 2),FALSE)),"",_xlfn.REGEXEXTRACT(CELL("address",W118), "\$([A-Z]+)\$[0-9]+"))),_xlfn.REGEXEXTRACT(CELL("address",W118), "\$([A-Z]+)\$[0-9]+"))</f>
        <v/>
      </c>
      <c r="X118" s="7" t="str">
        <f t="array" aca="1" ref="X118" ca="1">IFERROR(IF(OR('Raw Data'!X118="",LEN(TRIM('Raw Data'!X118))=0),"",IF(AND(ISNUMBER('Raw Data'!X118), IFERROR('Raw Data'!X118 = ROUND('Raw Data'!X118, 2),FALSE)),"",_xlfn.REGEXEXTRACT(CELL("address",X118), "\$([A-Z]+)\$[0-9]+"))),_xlfn.REGEXEXTRACT(CELL("address",X118), "\$([A-Z]+)\$[0-9]+"))</f>
        <v/>
      </c>
      <c r="Y118" s="7" t="str">
        <f t="array" aca="1" ref="Y118" ca="1">IFERROR(IF(OR('Raw Data'!Y118="",LEN(TRIM('Raw Data'!Y118))=0),"",IF(AND(ISNUMBER('Raw Data'!Y118), IFERROR('Raw Data'!Y118 = ROUND('Raw Data'!Y118, 2),FALSE)),"",_xlfn.REGEXEXTRACT(CELL("address",Y118), "\$([A-Z]+)\$[0-9]+"))),_xlfn.REGEXEXTRACT(CELL("address",Y118), "\$([A-Z]+)\$[0-9]+"))</f>
        <v/>
      </c>
      <c r="Z118" s="7" t="str">
        <f t="array" aca="1" ref="Z118" ca="1">IFERROR(IF(OR('Raw Data'!Z118="",LEN(TRIM('Raw Data'!Z118))=0),"",IF(AND(ISNUMBER('Raw Data'!Z118), IFERROR('Raw Data'!Z118 = ROUND('Raw Data'!Z118, 2),FALSE)),"",_xlfn.REGEXEXTRACT(CELL("address",Z118), "\$([A-Z]+)\$[0-9]+"))),_xlfn.REGEXEXTRACT(CELL("address",Z118), "\$([A-Z]+)\$[0-9]+"))</f>
        <v/>
      </c>
      <c r="AA118" s="7" t="str">
        <f t="array" aca="1" ref="AA118" ca="1">IFERROR(IF(OR('Raw Data'!AA118="",LEN(TRIM('Raw Data'!AA118))=0),"",IF(AND(ISNUMBER('Raw Data'!AA118), IFERROR('Raw Data'!AA118 = ROUND('Raw Data'!AA118, 2),FALSE)),"",_xlfn.REGEXEXTRACT(CELL("address",AA118), "\$([A-Z]+)\$[0-9]+"))),_xlfn.REGEXEXTRACT(CELL("address",AA118), "\$([A-Z]+)\$[0-9]+"))</f>
        <v/>
      </c>
      <c r="AB118" s="7" t="str">
        <f t="array" aca="1" ref="AB118" ca="1">IFERROR(IF(OR('Raw Data'!AB118="",LEN(TRIM('Raw Data'!AB118))=0),"",IF(AND(ISNUMBER('Raw Data'!AB118), IFERROR('Raw Data'!AB118 = ROUND('Raw Data'!AB118, 2),FALSE)),"",_xlfn.REGEXEXTRACT(CELL("address",AB118), "\$([A-Z]+)\$[0-9]+"))),_xlfn.REGEXEXTRACT(CELL("address",AB118), "\$([A-Z]+)\$[0-9]+"))</f>
        <v/>
      </c>
      <c r="AC118" s="7" t="str">
        <f t="array" aca="1" ref="AC118" ca="1">IFERROR(IF(OR('Raw Data'!AC118="",LEN(TRIM('Raw Data'!AC118))=0),"",IF(AND(ISNUMBER('Raw Data'!AC118), IFERROR('Raw Data'!AC118 = ROUND('Raw Data'!AC118, 2),FALSE)),"",_xlfn.REGEXEXTRACT(CELL("address",AC118), "\$([A-Z]+)\$[0-9]+"))),_xlfn.REGEXEXTRACT(CELL("address",AC118), "\$([A-Z]+)\$[0-9]+"))</f>
        <v/>
      </c>
      <c r="AD118" s="7" t="str">
        <f t="array" aca="1" ref="AD118" ca="1">IFERROR(IF(OR('Raw Data'!AD118="",LEN(TRIM('Raw Data'!AD118))=0),"",IF(AND(ISNUMBER('Raw Data'!AD118), IFERROR('Raw Data'!AD118 = ROUND('Raw Data'!AD118, 2),FALSE)),"",_xlfn.REGEXEXTRACT(CELL("address",AD118), "\$([A-Z]+)\$[0-9]+"))),_xlfn.REGEXEXTRACT(CELL("address",AD118), "\$([A-Z]+)\$[0-9]+"))</f>
        <v/>
      </c>
      <c r="AE118" s="7" t="str">
        <f t="array" aca="1" ref="AE118" ca="1">IFERROR(IF(OR('Raw Data'!AE118="",LEN(TRIM('Raw Data'!AE118))=0),"",IF(AND(ISNUMBER('Raw Data'!AE118), IFERROR('Raw Data'!AE118 = ROUND('Raw Data'!AE118, 2),FALSE)),"",_xlfn.REGEXEXTRACT(CELL("address",AE118), "\$([A-Z]+)\$[0-9]+"))),_xlfn.REGEXEXTRACT(CELL("address",AE118), "\$([A-Z]+)\$[0-9]+"))</f>
        <v/>
      </c>
      <c r="AF118" s="7" t="str">
        <f t="array" aca="1" ref="AF118" ca="1">IFERROR(IF(OR('Raw Data'!AF118="",LEN(TRIM('Raw Data'!AF118))=0),"",IF(AND(ISNUMBER('Raw Data'!AF118), IFERROR('Raw Data'!AF118 = ROUND('Raw Data'!AF118, 2),FALSE)),"",_xlfn.REGEXEXTRACT(CELL("address",AF118), "\$([A-Z]+)\$[0-9]+"))),_xlfn.REGEXEXTRACT(CELL("address",AF118), "\$([A-Z]+)\$[0-9]+"))</f>
        <v/>
      </c>
      <c r="AG118" s="7" t="str">
        <f t="array" aca="1" ref="AG118" ca="1">IFERROR(IF(OR('Raw Data'!AG118="",LEN(TRIM('Raw Data'!AG118))=0),"",IF(AND(ISNUMBER('Raw Data'!AG118), IFERROR('Raw Data'!AG118 = ROUND('Raw Data'!AG118, 2),FALSE)),"",_xlfn.REGEXEXTRACT(CELL("address",AG118), "\$([A-Z]+)\$[0-9]+"))),_xlfn.REGEXEXTRACT(CELL("address",AG118), "\$([A-Z]+)\$[0-9]+"))</f>
        <v/>
      </c>
      <c r="AH118" s="7" t="str">
        <f t="array" aca="1" ref="AH118" ca="1">IFERROR(IF(OR('Raw Data'!AH118="",LEN(TRIM('Raw Data'!AH118))=0),"",IF(AND(ISNUMBER('Raw Data'!AH118), IFERROR('Raw Data'!AH118 = ROUND('Raw Data'!AH118, 2),FALSE)),"",_xlfn.REGEXEXTRACT(CELL("address",AH118), "\$([A-Z]+)\$[0-9]+"))),_xlfn.REGEXEXTRACT(CELL("address",AH118), "\$([A-Z]+)\$[0-9]+"))</f>
        <v/>
      </c>
      <c r="AI118" s="7" t="str">
        <f t="array" aca="1" ref="AI118" ca="1">IFERROR(IF(OR('Raw Data'!AI118="",LEN(TRIM('Raw Data'!AI118))=0),"",IF(AND(ISNUMBER('Raw Data'!AI118), IFERROR('Raw Data'!AI118 = ROUND('Raw Data'!AI118, 2),FALSE)),"",_xlfn.REGEXEXTRACT(CELL("address",AI118), "\$([A-Z]+)\$[0-9]+"))),_xlfn.REGEXEXTRACT(CELL("address",AI118), "\$([A-Z]+)\$[0-9]+"))</f>
        <v/>
      </c>
      <c r="AJ118" s="7" t="str">
        <f t="array" aca="1" ref="AJ118" ca="1">IFERROR(IF(OR('Raw Data'!AJ118="",LEN(TRIM('Raw Data'!AJ118))=0),"",IF(AND(ISNUMBER('Raw Data'!AJ118), IFERROR('Raw Data'!AJ118 = ROUND('Raw Data'!AJ118, 4),FALSE)),"",_xlfn.REGEXEXTRACT(CELL("address",AJ118), "\$([A-Z]+)\$[0-9]+"))),_xlfn.REGEXEXTRACT(CELL("address",AJ118), "\$([A-Z]+)\$[0-9]+"))</f>
        <v/>
      </c>
      <c r="AK118" s="7" t="str">
        <f t="array" aca="1" ref="AK118" ca="1">IFERROR(IF(OR('Raw Data'!AK118="",LEN(TRIM('Raw Data'!AK118))=0),"",IF(AND(ISNUMBER('Raw Data'!AK118), IFERROR('Raw Data'!AK118 = ROUND('Raw Data'!AK118, 2),FALSE)),"",_xlfn.REGEXEXTRACT(CELL("address",AK118), "\$([A-Z]+)\$[0-9]+"))),_xlfn.REGEXEXTRACT(CELL("address",AK118), "\$([A-Z]+)\$[0-9]+"))</f>
        <v/>
      </c>
      <c r="AL118" s="7" t="str">
        <f t="array" aca="1" ref="AL118" ca="1">IFERROR(IF(OR('Raw Data'!AL118="",LEN(TRIM('Raw Data'!AL118))=0),"",IF(AND(ISNUMBER('Raw Data'!AL118), IFERROR('Raw Data'!AL118 = ROUND('Raw Data'!AL118, 2),FALSE)),"",_xlfn.REGEXEXTRACT(CELL("address",AL118), "\$([A-Z]+)\$[0-9]+"))),_xlfn.REGEXEXTRACT(CELL("address",AL118), "\$([A-Z]+)\$[0-9]+"))</f>
        <v/>
      </c>
      <c r="AM118" s="7" t="str">
        <f t="array" aca="1" ref="AM118" ca="1">IFERROR(IF(OR('Raw Data'!AM118="",LEN(TRIM('Raw Data'!AM118))=0),"",IF(AND(ISNUMBER('Raw Data'!AM118), IFERROR('Raw Data'!AM118 = ROUND('Raw Data'!AM118, 2),FALSE)),"",_xlfn.REGEXEXTRACT(CELL("address",AM118), "\$([A-Z]+)\$[0-9]+"))),_xlfn.REGEXEXTRACT(CELL("address",AM118), "\$([A-Z]+)\$[0-9]+"))</f>
        <v/>
      </c>
      <c r="AN118" s="7" t="str">
        <f t="array" aca="1" ref="AN118" ca="1">IFERROR(IF(OR('Raw Data'!AN118="",LEN(TRIM('Raw Data'!AN118))=0),"",IF(AND(ISNUMBER('Raw Data'!AN118), IFERROR('Raw Data'!AN118 = ROUND('Raw Data'!AN118, 2),FALSE)),"",_xlfn.REGEXEXTRACT(CELL("address",AN118), "\$([A-Z]+)\$[0-9]+"))),_xlfn.REGEXEXTRACT(CELL("address",AN118), "\$([A-Z]+)\$[0-9]+"))</f>
        <v/>
      </c>
      <c r="AO118" s="7" t="str">
        <f t="array" aca="1" ref="AO118" ca="1">IFERROR(IF(OR('Raw Data'!AO118="",LEN(TRIM('Raw Data'!AO118))=0),"",IF(AND(ISNUMBER('Raw Data'!AO118), IFERROR('Raw Data'!AO118 = ROUND('Raw Data'!AO118, 2),FALSE)),"",_xlfn.REGEXEXTRACT(CELL("address",AO118), "\$([A-Z]+)\$[0-9]+"))),_xlfn.REGEXEXTRACT(CELL("address",AO118), "\$([A-Z]+)\$[0-9]+"))</f>
        <v/>
      </c>
      <c r="AP118" s="7" t="str">
        <f t="array" aca="1" ref="AP118" ca="1">IFERROR(IF(OR('Raw Data'!AP118="",LEN(TRIM('Raw Data'!AP118))=0),"",IF(AND(ISNUMBER('Raw Data'!AP118), IFERROR('Raw Data'!AP118 = ROUND('Raw Data'!AP118, 2),FALSE)),"",_xlfn.REGEXEXTRACT(CELL("address",AP118), "\$([A-Z]+)\$[0-9]+"))),_xlfn.REGEXEXTRACT(CELL("address",AP118), "\$([A-Z]+)\$[0-9]+"))</f>
        <v/>
      </c>
    </row>
    <row r="119" spans="2:42" x14ac:dyDescent="0.25">
      <c r="B119" s="7" t="str">
        <f t="array" aca="1" ref="B119" ca="1">IFERROR(IF(OR('Raw Data'!B119="",LEN(TRIM('Raw Data'!B119))=0),"",IF(AND(LEN('Raw Data'!B119) &lt;= 255,LEN('Raw Data'!B119)&gt; 0),"",_xlfn.REGEXEXTRACT(CELL("address",'Raw Data'!B119),"\$([A-Z]+)\$[0-9]+"))),_xlfn.REGEXEXTRACT(CELL("address",'Raw Data'!B119),"\$([A-Z]+)\$[0-9]+"))</f>
        <v/>
      </c>
      <c r="C119" s="7" t="str">
        <f t="array" aca="1" ref="C119" ca="1">IFERROR(IF(OR('Raw Data'!C119="",LEN(TRIM('Raw Data'!C119))=0),"",IF(AND(LEN('Raw Data'!C119) &lt;= 50,LEN('Raw Data'!C119)&gt; 0),"",_xlfn.REGEXEXTRACT(CELL("address",'Raw Data'!C119),"\$([A-Z]+)\$[0-9]+"))),_xlfn.REGEXEXTRACT(CELL("address",'Raw Data'!C119),"\$([A-Z]+)\$[0-9]+"))</f>
        <v/>
      </c>
      <c r="D119" s="7" t="str">
        <f t="array" aca="1" ref="D119" ca="1">IFERROR(IF(OR('Raw Data'!D119="",LEN(TRIM('Raw Data'!D119))=0),"",IF(AND(LEN('Raw Data'!D119) &lt;= 500,LEN('Raw Data'!D119)&gt; 0),"",_xlfn.REGEXEXTRACT(CELL("address",'Raw Data'!D119),"\$([A-Z]+)\$[0-9]+"))),_xlfn.REGEXEXTRACT(CELL("address",'Raw Data'!D119),"\$([A-Z]+)\$[0-9]+"))</f>
        <v/>
      </c>
      <c r="E119" s="7" t="str">
        <f t="array" aca="1" ref="E119" ca="1">IFERROR(IF(OR('Raw Data'!E119="",LEN(TRIM('Raw Data'!E119))=0),"",IF(AND(LEN('Raw Data'!E119) &lt;= 50,LEN('Raw Data'!E119)&gt; 0),"",_xlfn.REGEXEXTRACT(CELL("address",'Raw Data'!E119),"\$([A-Z]+)\$[0-9]+"))),_xlfn.REGEXEXTRACT(CELL("address",'Raw Data'!E119),"\$([A-Z]+)\$[0-9]+"))</f>
        <v/>
      </c>
      <c r="F119" s="7" t="str">
        <f t="array" aca="1" ref="F119" ca="1">IFERROR(IF(OR('Raw Data'!F119="",LEN(TRIM('Raw Data'!F119))=0),"",IF(AND(LEN('Raw Data'!F119) &lt;= 50,LEN('Raw Data'!F119)&gt; 0),"",_xlfn.REGEXEXTRACT(CELL("address",'Raw Data'!F119),"\$([A-Z]+)\$[0-9]+"))),_xlfn.REGEXEXTRACT(CELL("address",'Raw Data'!F119),"\$([A-Z]+)\$[0-9]+"))</f>
        <v/>
      </c>
      <c r="G119" s="7" t="str">
        <f t="array" aca="1" ref="G119" ca="1">IFERROR(IF(OR('Raw Data'!G119="",LEN(TRIM('Raw Data'!G119))=0),"",IF(AND(LEN('Raw Data'!G119) &lt;= 50,LEN('Raw Data'!G119)&gt; 0),"",_xlfn.REGEXEXTRACT(CELL("address",'Raw Data'!G119),"\$([A-Z]+)\$[0-9]+"))),_xlfn.REGEXEXTRACT(CELL("address",'Raw Data'!G119),"\$([A-Z]+)\$[0-9]+"))</f>
        <v/>
      </c>
      <c r="H119" s="7" t="str">
        <f t="array" aca="1" ref="H119" ca="1">IFERROR(IF(OR('Raw Data'!H119="",LEN(TRIM('Raw Data'!H119))=0),"",IF(AND(LEN('Raw Data'!H119) &lt;= 50,LEN('Raw Data'!H119)&gt; 0),"",_xlfn.REGEXEXTRACT(CELL("address",'Raw Data'!H119),"\$([A-Z]+)\$[0-9]+"))),_xlfn.REGEXEXTRACT(CELL("address",'Raw Data'!H119),"\$([A-Z]+)\$[0-9]+"))</f>
        <v/>
      </c>
      <c r="I119" s="7" t="str">
        <f t="array" aca="1" ref="I119" ca="1">IFERROR(IF(OR('Raw Data'!I119="",LEN(TRIM('Raw Data'!I119))=0),"",IF(AND(LEN('Raw Data'!I119) &lt;= 50,LEN('Raw Data'!I119)&gt; 0),"",_xlfn.REGEXEXTRACT(CELL("address",'Raw Data'!I119),"\$([A-Z]+)\$[0-9]+"))),_xlfn.REGEXEXTRACT(CELL("address",'Raw Data'!I119),"\$([A-Z]+)\$[0-9]+"))</f>
        <v/>
      </c>
      <c r="J119" s="7" t="str">
        <f t="array" aca="1" ref="J119" ca="1">IFERROR(IF(OR('Raw Data'!J119="",LEN(TRIM('Raw Data'!J119))=0),"",IF(AND(ISNUMBER('Raw Data'!J119), IFERROR('Raw Data'!J119 = ROUND('Raw Data'!J119, 2),FALSE)),"",_xlfn.REGEXEXTRACT(CELL("address",J119), "\$([A-Z]+)\$[0-9]+"))),_xlfn.REGEXEXTRACT(CELL("address",J119), "\$([A-Z]+)\$[0-9]+"))</f>
        <v/>
      </c>
      <c r="K119" s="7" t="str">
        <f t="array" aca="1" ref="K119" ca="1">IFERROR(IF(OR('Raw Data'!K119="",LEN(TRIM('Raw Data'!K119))=0),"",IF(AND(ISNUMBER('Raw Data'!K119), IFERROR('Raw Data'!K119 = ROUND('Raw Data'!K119, 2),FALSE)),"",_xlfn.REGEXEXTRACT(CELL("address",K119), "\$([A-Z]+)\$[0-9]+"))),_xlfn.REGEXEXTRACT(CELL("address",K119), "\$([A-Z]+)\$[0-9]+"))</f>
        <v/>
      </c>
      <c r="L119" s="7" t="str">
        <f t="array" aca="1" ref="L119" ca="1">IFERROR(IF(OR('Raw Data'!L119="",LEN(TRIM('Raw Data'!L119))=0),"",IF(AND(ISNUMBER('Raw Data'!L119), IFERROR('Raw Data'!L119 = ROUND('Raw Data'!L119, 2),FALSE)),"",_xlfn.REGEXEXTRACT(CELL("address",L119), "\$([A-Z]+)\$[0-9]+"))),_xlfn.REGEXEXTRACT(CELL("address",L119), "\$([A-Z]+)\$[0-9]+"))</f>
        <v/>
      </c>
      <c r="M119" s="7" t="str">
        <f t="array" aca="1" ref="M119" ca="1">IFERROR(IF(OR('Raw Data'!M119="",LEN(TRIM('Raw Data'!M119))=0),"",IF(AND(ISNUMBER('Raw Data'!M119), IFERROR('Raw Data'!M119 = ROUND('Raw Data'!M119, 2),FALSE)),"",_xlfn.REGEXEXTRACT(CELL("address",M119), "\$([A-Z]+)\$[0-9]+"))),_xlfn.REGEXEXTRACT(CELL("address",M119), "\$([A-Z]+)\$[0-9]+"))</f>
        <v/>
      </c>
      <c r="N119" s="7" t="str">
        <f t="array" aca="1" ref="N119" ca="1">IFERROR(IF(OR('Raw Data'!N119="",LEN(TRIM('Raw Data'!N119))=0),"",IF(AND(ISNUMBER('Raw Data'!N119), IFERROR('Raw Data'!N119 = ROUND('Raw Data'!N119, 2),FALSE)),"",_xlfn.REGEXEXTRACT(CELL("address",N119), "\$([A-Z]+)\$[0-9]+"))),_xlfn.REGEXEXTRACT(CELL("address",N119), "\$([A-Z]+)\$[0-9]+"))</f>
        <v/>
      </c>
      <c r="O119" s="7" t="str">
        <f t="array" aca="1" ref="O119" ca="1">IFERROR(IF(OR('Raw Data'!O119="",LEN(TRIM('Raw Data'!O119))=0),"",IF(AND(ISNUMBER('Raw Data'!O119),'Raw Data'!O119&gt;=Configuration!$D$2),"",_xlfn.REGEXEXTRACT(CELL("address",'Raw Data'!O119),"\$([A-Z]+)\$[0-9]+"))),_xlfn.REGEXEXTRACT(CELL("address",O119), "\$([A-Z]+)\$[0-9]+"))</f>
        <v/>
      </c>
      <c r="P119" s="7" t="str">
        <f t="array" aca="1" ref="P119" ca="1">IFERROR(IF(OR('Raw Data'!P119="",LEN(TRIM('Raw Data'!P119))=0),"",IF(AND(ISNUMBER('Raw Data'!P119), IFERROR('Raw Data'!P119 = ROUND('Raw Data'!P119, 2),FALSE)),"",_xlfn.REGEXEXTRACT(CELL("address",P119), "\$([A-Z]+)\$[0-9]+"))),_xlfn.REGEXEXTRACT(CELL("address",P119), "\$([A-Z]+)\$[0-9]+"))</f>
        <v/>
      </c>
      <c r="Q119" s="7" t="str">
        <f t="array" aca="1" ref="Q119" ca="1">IFERROR(IF(OR('Raw Data'!Q119="",LEN(TRIM('Raw Data'!Q119))=0),"",IF(AND(ISNUMBER('Raw Data'!Q119), IFERROR('Raw Data'!Q119 = ROUND('Raw Data'!Q119, 2),FALSE)),"",_xlfn.REGEXEXTRACT(CELL("address",Q119), "\$([A-Z]+)\$[0-9]+"))),_xlfn.REGEXEXTRACT(CELL("address",Q119), "\$([A-Z]+)\$[0-9]+"))</f>
        <v/>
      </c>
      <c r="R119" s="7" t="str">
        <f t="array" aca="1" ref="R119" ca="1">IFERROR(IF(OR('Raw Data'!R119="",LEN(TRIM('Raw Data'!R119))=0),"",IF(AND(LEN('Raw Data'!R119) &lt;= 50,LEN('Raw Data'!R119)&gt; 0),"",_xlfn.REGEXEXTRACT(CELL("address",'Raw Data'!R119),"\$([A-Z]+)\$[0-9]+"))),_xlfn.REGEXEXTRACT(CELL("address",'Raw Data'!R119),"\$([A-Z]+)\$[0-9]+"))</f>
        <v/>
      </c>
      <c r="S119" s="7" t="str">
        <f t="array" aca="1" ref="S119" ca="1">IFERROR(IF(OR('Raw Data'!S119="",LEN(TRIM('Raw Data'!S119))=0),"",IF(AND(LEN('Raw Data'!S119) &lt;= 50,LEN('Raw Data'!S119)&gt; 0),"",_xlfn.REGEXEXTRACT(CELL("address",'Raw Data'!S119),"\$([A-Z]+)\$[0-9]+"))),_xlfn.REGEXEXTRACT(CELL("address",'Raw Data'!S119),"\$([A-Z]+)\$[0-9]+"))</f>
        <v/>
      </c>
      <c r="T119" s="7" t="str">
        <f t="array" aca="1" ref="T119" ca="1">IFERROR(IF(OR('Raw Data'!T119="",LEN(TRIM('Raw Data'!T119))=0),"",IF(AND(ISNUMBER('Raw Data'!T119), IFERROR('Raw Data'!T119 = ROUND('Raw Data'!T119, 2),FALSE)),"",_xlfn.REGEXEXTRACT(CELL("address",T119), "\$([A-Z]+)\$[0-9]+"))),_xlfn.REGEXEXTRACT(CELL("address",T119), "\$([A-Z]+)\$[0-9]+"))</f>
        <v/>
      </c>
      <c r="U119" s="7" t="str">
        <f t="array" aca="1" ref="U119" ca="1">IFERROR(IF(OR('Raw Data'!U119="",LEN(TRIM('Raw Data'!U119))=0),"",IF(AND(ISNUMBER('Raw Data'!U119), IFERROR('Raw Data'!U119 = ROUND('Raw Data'!U119, 2),FALSE)),"",_xlfn.REGEXEXTRACT(CELL("address",U119), "\$([A-Z]+)\$[0-9]+"))),_xlfn.REGEXEXTRACT(CELL("address",U119), "\$([A-Z]+)\$[0-9]+"))</f>
        <v/>
      </c>
      <c r="V119" s="7" t="str">
        <f t="array" aca="1" ref="V119" ca="1">IFERROR(IF(OR('Raw Data'!V119="",LEN(TRIM('Raw Data'!V119))=0),"",IF(AND(ISNUMBER('Raw Data'!V119), IFERROR('Raw Data'!V119 = ROUND('Raw Data'!V119, 2),FALSE)),"",_xlfn.REGEXEXTRACT(CELL("address",V119), "\$([A-Z]+)\$[0-9]+"))),_xlfn.REGEXEXTRACT(CELL("address",V119), "\$([A-Z]+)\$[0-9]+"))</f>
        <v/>
      </c>
      <c r="W119" s="7" t="str">
        <f t="array" aca="1" ref="W119" ca="1">IFERROR(IF(OR('Raw Data'!W119="",LEN(TRIM('Raw Data'!W119))=0),"",IF(AND(ISNUMBER('Raw Data'!W119), IFERROR('Raw Data'!W119 = ROUND('Raw Data'!W119, 2),FALSE)),"",_xlfn.REGEXEXTRACT(CELL("address",W119), "\$([A-Z]+)\$[0-9]+"))),_xlfn.REGEXEXTRACT(CELL("address",W119), "\$([A-Z]+)\$[0-9]+"))</f>
        <v/>
      </c>
      <c r="X119" s="7" t="str">
        <f t="array" aca="1" ref="X119" ca="1">IFERROR(IF(OR('Raw Data'!X119="",LEN(TRIM('Raw Data'!X119))=0),"",IF(AND(ISNUMBER('Raw Data'!X119), IFERROR('Raw Data'!X119 = ROUND('Raw Data'!X119, 2),FALSE)),"",_xlfn.REGEXEXTRACT(CELL("address",X119), "\$([A-Z]+)\$[0-9]+"))),_xlfn.REGEXEXTRACT(CELL("address",X119), "\$([A-Z]+)\$[0-9]+"))</f>
        <v/>
      </c>
      <c r="Y119" s="7" t="str">
        <f t="array" aca="1" ref="Y119" ca="1">IFERROR(IF(OR('Raw Data'!Y119="",LEN(TRIM('Raw Data'!Y119))=0),"",IF(AND(ISNUMBER('Raw Data'!Y119), IFERROR('Raw Data'!Y119 = ROUND('Raw Data'!Y119, 2),FALSE)),"",_xlfn.REGEXEXTRACT(CELL("address",Y119), "\$([A-Z]+)\$[0-9]+"))),_xlfn.REGEXEXTRACT(CELL("address",Y119), "\$([A-Z]+)\$[0-9]+"))</f>
        <v/>
      </c>
      <c r="Z119" s="7" t="str">
        <f t="array" aca="1" ref="Z119" ca="1">IFERROR(IF(OR('Raw Data'!Z119="",LEN(TRIM('Raw Data'!Z119))=0),"",IF(AND(ISNUMBER('Raw Data'!Z119), IFERROR('Raw Data'!Z119 = ROUND('Raw Data'!Z119, 2),FALSE)),"",_xlfn.REGEXEXTRACT(CELL("address",Z119), "\$([A-Z]+)\$[0-9]+"))),_xlfn.REGEXEXTRACT(CELL("address",Z119), "\$([A-Z]+)\$[0-9]+"))</f>
        <v/>
      </c>
      <c r="AA119" s="7" t="str">
        <f t="array" aca="1" ref="AA119" ca="1">IFERROR(IF(OR('Raw Data'!AA119="",LEN(TRIM('Raw Data'!AA119))=0),"",IF(AND(ISNUMBER('Raw Data'!AA119), IFERROR('Raw Data'!AA119 = ROUND('Raw Data'!AA119, 2),FALSE)),"",_xlfn.REGEXEXTRACT(CELL("address",AA119), "\$([A-Z]+)\$[0-9]+"))),_xlfn.REGEXEXTRACT(CELL("address",AA119), "\$([A-Z]+)\$[0-9]+"))</f>
        <v/>
      </c>
      <c r="AB119" s="7" t="str">
        <f t="array" aca="1" ref="AB119" ca="1">IFERROR(IF(OR('Raw Data'!AB119="",LEN(TRIM('Raw Data'!AB119))=0),"",IF(AND(ISNUMBER('Raw Data'!AB119), IFERROR('Raw Data'!AB119 = ROUND('Raw Data'!AB119, 2),FALSE)),"",_xlfn.REGEXEXTRACT(CELL("address",AB119), "\$([A-Z]+)\$[0-9]+"))),_xlfn.REGEXEXTRACT(CELL("address",AB119), "\$([A-Z]+)\$[0-9]+"))</f>
        <v/>
      </c>
      <c r="AC119" s="7" t="str">
        <f t="array" aca="1" ref="AC119" ca="1">IFERROR(IF(OR('Raw Data'!AC119="",LEN(TRIM('Raw Data'!AC119))=0),"",IF(AND(ISNUMBER('Raw Data'!AC119), IFERROR('Raw Data'!AC119 = ROUND('Raw Data'!AC119, 2),FALSE)),"",_xlfn.REGEXEXTRACT(CELL("address",AC119), "\$([A-Z]+)\$[0-9]+"))),_xlfn.REGEXEXTRACT(CELL("address",AC119), "\$([A-Z]+)\$[0-9]+"))</f>
        <v/>
      </c>
      <c r="AD119" s="7" t="str">
        <f t="array" aca="1" ref="AD119" ca="1">IFERROR(IF(OR('Raw Data'!AD119="",LEN(TRIM('Raw Data'!AD119))=0),"",IF(AND(ISNUMBER('Raw Data'!AD119), IFERROR('Raw Data'!AD119 = ROUND('Raw Data'!AD119, 2),FALSE)),"",_xlfn.REGEXEXTRACT(CELL("address",AD119), "\$([A-Z]+)\$[0-9]+"))),_xlfn.REGEXEXTRACT(CELL("address",AD119), "\$([A-Z]+)\$[0-9]+"))</f>
        <v/>
      </c>
      <c r="AE119" s="7" t="str">
        <f t="array" aca="1" ref="AE119" ca="1">IFERROR(IF(OR('Raw Data'!AE119="",LEN(TRIM('Raw Data'!AE119))=0),"",IF(AND(ISNUMBER('Raw Data'!AE119), IFERROR('Raw Data'!AE119 = ROUND('Raw Data'!AE119, 2),FALSE)),"",_xlfn.REGEXEXTRACT(CELL("address",AE119), "\$([A-Z]+)\$[0-9]+"))),_xlfn.REGEXEXTRACT(CELL("address",AE119), "\$([A-Z]+)\$[0-9]+"))</f>
        <v/>
      </c>
      <c r="AF119" s="7" t="str">
        <f t="array" aca="1" ref="AF119" ca="1">IFERROR(IF(OR('Raw Data'!AF119="",LEN(TRIM('Raw Data'!AF119))=0),"",IF(AND(ISNUMBER('Raw Data'!AF119), IFERROR('Raw Data'!AF119 = ROUND('Raw Data'!AF119, 2),FALSE)),"",_xlfn.REGEXEXTRACT(CELL("address",AF119), "\$([A-Z]+)\$[0-9]+"))),_xlfn.REGEXEXTRACT(CELL("address",AF119), "\$([A-Z]+)\$[0-9]+"))</f>
        <v/>
      </c>
      <c r="AG119" s="7" t="str">
        <f t="array" aca="1" ref="AG119" ca="1">IFERROR(IF(OR('Raw Data'!AG119="",LEN(TRIM('Raw Data'!AG119))=0),"",IF(AND(ISNUMBER('Raw Data'!AG119), IFERROR('Raw Data'!AG119 = ROUND('Raw Data'!AG119, 2),FALSE)),"",_xlfn.REGEXEXTRACT(CELL("address",AG119), "\$([A-Z]+)\$[0-9]+"))),_xlfn.REGEXEXTRACT(CELL("address",AG119), "\$([A-Z]+)\$[0-9]+"))</f>
        <v/>
      </c>
      <c r="AH119" s="7" t="str">
        <f t="array" aca="1" ref="AH119" ca="1">IFERROR(IF(OR('Raw Data'!AH119="",LEN(TRIM('Raw Data'!AH119))=0),"",IF(AND(ISNUMBER('Raw Data'!AH119), IFERROR('Raw Data'!AH119 = ROUND('Raw Data'!AH119, 2),FALSE)),"",_xlfn.REGEXEXTRACT(CELL("address",AH119), "\$([A-Z]+)\$[0-9]+"))),_xlfn.REGEXEXTRACT(CELL("address",AH119), "\$([A-Z]+)\$[0-9]+"))</f>
        <v/>
      </c>
      <c r="AI119" s="7" t="str">
        <f t="array" aca="1" ref="AI119" ca="1">IFERROR(IF(OR('Raw Data'!AI119="",LEN(TRIM('Raw Data'!AI119))=0),"",IF(AND(ISNUMBER('Raw Data'!AI119), IFERROR('Raw Data'!AI119 = ROUND('Raw Data'!AI119, 2),FALSE)),"",_xlfn.REGEXEXTRACT(CELL("address",AI119), "\$([A-Z]+)\$[0-9]+"))),_xlfn.REGEXEXTRACT(CELL("address",AI119), "\$([A-Z]+)\$[0-9]+"))</f>
        <v/>
      </c>
      <c r="AJ119" s="7" t="str">
        <f t="array" aca="1" ref="AJ119" ca="1">IFERROR(IF(OR('Raw Data'!AJ119="",LEN(TRIM('Raw Data'!AJ119))=0),"",IF(AND(ISNUMBER('Raw Data'!AJ119), IFERROR('Raw Data'!AJ119 = ROUND('Raw Data'!AJ119, 4),FALSE)),"",_xlfn.REGEXEXTRACT(CELL("address",AJ119), "\$([A-Z]+)\$[0-9]+"))),_xlfn.REGEXEXTRACT(CELL("address",AJ119), "\$([A-Z]+)\$[0-9]+"))</f>
        <v/>
      </c>
      <c r="AK119" s="7" t="str">
        <f t="array" aca="1" ref="AK119" ca="1">IFERROR(IF(OR('Raw Data'!AK119="",LEN(TRIM('Raw Data'!AK119))=0),"",IF(AND(ISNUMBER('Raw Data'!AK119), IFERROR('Raw Data'!AK119 = ROUND('Raw Data'!AK119, 2),FALSE)),"",_xlfn.REGEXEXTRACT(CELL("address",AK119), "\$([A-Z]+)\$[0-9]+"))),_xlfn.REGEXEXTRACT(CELL("address",AK119), "\$([A-Z]+)\$[0-9]+"))</f>
        <v/>
      </c>
      <c r="AL119" s="7" t="str">
        <f t="array" aca="1" ref="AL119" ca="1">IFERROR(IF(OR('Raw Data'!AL119="",LEN(TRIM('Raw Data'!AL119))=0),"",IF(AND(ISNUMBER('Raw Data'!AL119), IFERROR('Raw Data'!AL119 = ROUND('Raw Data'!AL119, 2),FALSE)),"",_xlfn.REGEXEXTRACT(CELL("address",AL119), "\$([A-Z]+)\$[0-9]+"))),_xlfn.REGEXEXTRACT(CELL("address",AL119), "\$([A-Z]+)\$[0-9]+"))</f>
        <v/>
      </c>
      <c r="AM119" s="7" t="str">
        <f t="array" aca="1" ref="AM119" ca="1">IFERROR(IF(OR('Raw Data'!AM119="",LEN(TRIM('Raw Data'!AM119))=0),"",IF(AND(ISNUMBER('Raw Data'!AM119), IFERROR('Raw Data'!AM119 = ROUND('Raw Data'!AM119, 2),FALSE)),"",_xlfn.REGEXEXTRACT(CELL("address",AM119), "\$([A-Z]+)\$[0-9]+"))),_xlfn.REGEXEXTRACT(CELL("address",AM119), "\$([A-Z]+)\$[0-9]+"))</f>
        <v/>
      </c>
      <c r="AN119" s="7" t="str">
        <f t="array" aca="1" ref="AN119" ca="1">IFERROR(IF(OR('Raw Data'!AN119="",LEN(TRIM('Raw Data'!AN119))=0),"",IF(AND(ISNUMBER('Raw Data'!AN119), IFERROR('Raw Data'!AN119 = ROUND('Raw Data'!AN119, 2),FALSE)),"",_xlfn.REGEXEXTRACT(CELL("address",AN119), "\$([A-Z]+)\$[0-9]+"))),_xlfn.REGEXEXTRACT(CELL("address",AN119), "\$([A-Z]+)\$[0-9]+"))</f>
        <v/>
      </c>
      <c r="AO119" s="7" t="str">
        <f t="array" aca="1" ref="AO119" ca="1">IFERROR(IF(OR('Raw Data'!AO119="",LEN(TRIM('Raw Data'!AO119))=0),"",IF(AND(ISNUMBER('Raw Data'!AO119), IFERROR('Raw Data'!AO119 = ROUND('Raw Data'!AO119, 2),FALSE)),"",_xlfn.REGEXEXTRACT(CELL("address",AO119), "\$([A-Z]+)\$[0-9]+"))),_xlfn.REGEXEXTRACT(CELL("address",AO119), "\$([A-Z]+)\$[0-9]+"))</f>
        <v/>
      </c>
      <c r="AP119" s="7" t="str">
        <f t="array" aca="1" ref="AP119" ca="1">IFERROR(IF(OR('Raw Data'!AP119="",LEN(TRIM('Raw Data'!AP119))=0),"",IF(AND(ISNUMBER('Raw Data'!AP119), IFERROR('Raw Data'!AP119 = ROUND('Raw Data'!AP119, 2),FALSE)),"",_xlfn.REGEXEXTRACT(CELL("address",AP119), "\$([A-Z]+)\$[0-9]+"))),_xlfn.REGEXEXTRACT(CELL("address",AP119), "\$([A-Z]+)\$[0-9]+"))</f>
        <v/>
      </c>
    </row>
    <row r="120" spans="2:42" x14ac:dyDescent="0.25">
      <c r="B120" s="7" t="str">
        <f t="array" aca="1" ref="B120" ca="1">IFERROR(IF(OR('Raw Data'!B120="",LEN(TRIM('Raw Data'!B120))=0),"",IF(AND(LEN('Raw Data'!B120) &lt;= 255,LEN('Raw Data'!B120)&gt; 0),"",_xlfn.REGEXEXTRACT(CELL("address",'Raw Data'!B120),"\$([A-Z]+)\$[0-9]+"))),_xlfn.REGEXEXTRACT(CELL("address",'Raw Data'!B120),"\$([A-Z]+)\$[0-9]+"))</f>
        <v/>
      </c>
      <c r="C120" s="7" t="str">
        <f t="array" aca="1" ref="C120" ca="1">IFERROR(IF(OR('Raw Data'!C120="",LEN(TRIM('Raw Data'!C120))=0),"",IF(AND(LEN('Raw Data'!C120) &lt;= 50,LEN('Raw Data'!C120)&gt; 0),"",_xlfn.REGEXEXTRACT(CELL("address",'Raw Data'!C120),"\$([A-Z]+)\$[0-9]+"))),_xlfn.REGEXEXTRACT(CELL("address",'Raw Data'!C120),"\$([A-Z]+)\$[0-9]+"))</f>
        <v/>
      </c>
      <c r="D120" s="7" t="str">
        <f t="array" aca="1" ref="D120" ca="1">IFERROR(IF(OR('Raw Data'!D120="",LEN(TRIM('Raw Data'!D120))=0),"",IF(AND(LEN('Raw Data'!D120) &lt;= 500,LEN('Raw Data'!D120)&gt; 0),"",_xlfn.REGEXEXTRACT(CELL("address",'Raw Data'!D120),"\$([A-Z]+)\$[0-9]+"))),_xlfn.REGEXEXTRACT(CELL("address",'Raw Data'!D120),"\$([A-Z]+)\$[0-9]+"))</f>
        <v/>
      </c>
      <c r="E120" s="7" t="str">
        <f t="array" aca="1" ref="E120" ca="1">IFERROR(IF(OR('Raw Data'!E120="",LEN(TRIM('Raw Data'!E120))=0),"",IF(AND(LEN('Raw Data'!E120) &lt;= 50,LEN('Raw Data'!E120)&gt; 0),"",_xlfn.REGEXEXTRACT(CELL("address",'Raw Data'!E120),"\$([A-Z]+)\$[0-9]+"))),_xlfn.REGEXEXTRACT(CELL("address",'Raw Data'!E120),"\$([A-Z]+)\$[0-9]+"))</f>
        <v/>
      </c>
      <c r="F120" s="7" t="str">
        <f t="array" aca="1" ref="F120" ca="1">IFERROR(IF(OR('Raw Data'!F120="",LEN(TRIM('Raw Data'!F120))=0),"",IF(AND(LEN('Raw Data'!F120) &lt;= 50,LEN('Raw Data'!F120)&gt; 0),"",_xlfn.REGEXEXTRACT(CELL("address",'Raw Data'!F120),"\$([A-Z]+)\$[0-9]+"))),_xlfn.REGEXEXTRACT(CELL("address",'Raw Data'!F120),"\$([A-Z]+)\$[0-9]+"))</f>
        <v/>
      </c>
      <c r="G120" s="7" t="str">
        <f t="array" aca="1" ref="G120" ca="1">IFERROR(IF(OR('Raw Data'!G120="",LEN(TRIM('Raw Data'!G120))=0),"",IF(AND(LEN('Raw Data'!G120) &lt;= 50,LEN('Raw Data'!G120)&gt; 0),"",_xlfn.REGEXEXTRACT(CELL("address",'Raw Data'!G120),"\$([A-Z]+)\$[0-9]+"))),_xlfn.REGEXEXTRACT(CELL("address",'Raw Data'!G120),"\$([A-Z]+)\$[0-9]+"))</f>
        <v/>
      </c>
      <c r="H120" s="7" t="str">
        <f t="array" aca="1" ref="H120" ca="1">IFERROR(IF(OR('Raw Data'!H120="",LEN(TRIM('Raw Data'!H120))=0),"",IF(AND(LEN('Raw Data'!H120) &lt;= 50,LEN('Raw Data'!H120)&gt; 0),"",_xlfn.REGEXEXTRACT(CELL("address",'Raw Data'!H120),"\$([A-Z]+)\$[0-9]+"))),_xlfn.REGEXEXTRACT(CELL("address",'Raw Data'!H120),"\$([A-Z]+)\$[0-9]+"))</f>
        <v/>
      </c>
      <c r="I120" s="7" t="str">
        <f t="array" aca="1" ref="I120" ca="1">IFERROR(IF(OR('Raw Data'!I120="",LEN(TRIM('Raw Data'!I120))=0),"",IF(AND(LEN('Raw Data'!I120) &lt;= 50,LEN('Raw Data'!I120)&gt; 0),"",_xlfn.REGEXEXTRACT(CELL("address",'Raw Data'!I120),"\$([A-Z]+)\$[0-9]+"))),_xlfn.REGEXEXTRACT(CELL("address",'Raw Data'!I120),"\$([A-Z]+)\$[0-9]+"))</f>
        <v/>
      </c>
      <c r="J120" s="7" t="str">
        <f t="array" aca="1" ref="J120" ca="1">IFERROR(IF(OR('Raw Data'!J120="",LEN(TRIM('Raw Data'!J120))=0),"",IF(AND(ISNUMBER('Raw Data'!J120), IFERROR('Raw Data'!J120 = ROUND('Raw Data'!J120, 2),FALSE)),"",_xlfn.REGEXEXTRACT(CELL("address",J120), "\$([A-Z]+)\$[0-9]+"))),_xlfn.REGEXEXTRACT(CELL("address",J120), "\$([A-Z]+)\$[0-9]+"))</f>
        <v/>
      </c>
      <c r="K120" s="7" t="str">
        <f t="array" aca="1" ref="K120" ca="1">IFERROR(IF(OR('Raw Data'!K120="",LEN(TRIM('Raw Data'!K120))=0),"",IF(AND(ISNUMBER('Raw Data'!K120), IFERROR('Raw Data'!K120 = ROUND('Raw Data'!K120, 2),FALSE)),"",_xlfn.REGEXEXTRACT(CELL("address",K120), "\$([A-Z]+)\$[0-9]+"))),_xlfn.REGEXEXTRACT(CELL("address",K120), "\$([A-Z]+)\$[0-9]+"))</f>
        <v/>
      </c>
      <c r="L120" s="7" t="str">
        <f t="array" aca="1" ref="L120" ca="1">IFERROR(IF(OR('Raw Data'!L120="",LEN(TRIM('Raw Data'!L120))=0),"",IF(AND(ISNUMBER('Raw Data'!L120), IFERROR('Raw Data'!L120 = ROUND('Raw Data'!L120, 2),FALSE)),"",_xlfn.REGEXEXTRACT(CELL("address",L120), "\$([A-Z]+)\$[0-9]+"))),_xlfn.REGEXEXTRACT(CELL("address",L120), "\$([A-Z]+)\$[0-9]+"))</f>
        <v/>
      </c>
      <c r="M120" s="7" t="str">
        <f t="array" aca="1" ref="M120" ca="1">IFERROR(IF(OR('Raw Data'!M120="",LEN(TRIM('Raw Data'!M120))=0),"",IF(AND(ISNUMBER('Raw Data'!M120), IFERROR('Raw Data'!M120 = ROUND('Raw Data'!M120, 2),FALSE)),"",_xlfn.REGEXEXTRACT(CELL("address",M120), "\$([A-Z]+)\$[0-9]+"))),_xlfn.REGEXEXTRACT(CELL("address",M120), "\$([A-Z]+)\$[0-9]+"))</f>
        <v/>
      </c>
      <c r="N120" s="7" t="str">
        <f t="array" aca="1" ref="N120" ca="1">IFERROR(IF(OR('Raw Data'!N120="",LEN(TRIM('Raw Data'!N120))=0),"",IF(AND(ISNUMBER('Raw Data'!N120), IFERROR('Raw Data'!N120 = ROUND('Raw Data'!N120, 2),FALSE)),"",_xlfn.REGEXEXTRACT(CELL("address",N120), "\$([A-Z]+)\$[0-9]+"))),_xlfn.REGEXEXTRACT(CELL("address",N120), "\$([A-Z]+)\$[0-9]+"))</f>
        <v/>
      </c>
      <c r="O120" s="7" t="str">
        <f t="array" aca="1" ref="O120" ca="1">IFERROR(IF(OR('Raw Data'!O120="",LEN(TRIM('Raw Data'!O120))=0),"",IF(AND(ISNUMBER('Raw Data'!O120),'Raw Data'!O120&gt;=Configuration!$D$2),"",_xlfn.REGEXEXTRACT(CELL("address",'Raw Data'!O120),"\$([A-Z]+)\$[0-9]+"))),_xlfn.REGEXEXTRACT(CELL("address",O120), "\$([A-Z]+)\$[0-9]+"))</f>
        <v/>
      </c>
      <c r="P120" s="7" t="str">
        <f t="array" aca="1" ref="P120" ca="1">IFERROR(IF(OR('Raw Data'!P120="",LEN(TRIM('Raw Data'!P120))=0),"",IF(AND(ISNUMBER('Raw Data'!P120), IFERROR('Raw Data'!P120 = ROUND('Raw Data'!P120, 2),FALSE)),"",_xlfn.REGEXEXTRACT(CELL("address",P120), "\$([A-Z]+)\$[0-9]+"))),_xlfn.REGEXEXTRACT(CELL("address",P120), "\$([A-Z]+)\$[0-9]+"))</f>
        <v/>
      </c>
      <c r="Q120" s="7" t="str">
        <f t="array" aca="1" ref="Q120" ca="1">IFERROR(IF(OR('Raw Data'!Q120="",LEN(TRIM('Raw Data'!Q120))=0),"",IF(AND(ISNUMBER('Raw Data'!Q120), IFERROR('Raw Data'!Q120 = ROUND('Raw Data'!Q120, 2),FALSE)),"",_xlfn.REGEXEXTRACT(CELL("address",Q120), "\$([A-Z]+)\$[0-9]+"))),_xlfn.REGEXEXTRACT(CELL("address",Q120), "\$([A-Z]+)\$[0-9]+"))</f>
        <v/>
      </c>
      <c r="R120" s="7" t="str">
        <f t="array" aca="1" ref="R120" ca="1">IFERROR(IF(OR('Raw Data'!R120="",LEN(TRIM('Raw Data'!R120))=0),"",IF(AND(LEN('Raw Data'!R120) &lt;= 50,LEN('Raw Data'!R120)&gt; 0),"",_xlfn.REGEXEXTRACT(CELL("address",'Raw Data'!R120),"\$([A-Z]+)\$[0-9]+"))),_xlfn.REGEXEXTRACT(CELL("address",'Raw Data'!R120),"\$([A-Z]+)\$[0-9]+"))</f>
        <v/>
      </c>
      <c r="S120" s="7" t="str">
        <f t="array" aca="1" ref="S120" ca="1">IFERROR(IF(OR('Raw Data'!S120="",LEN(TRIM('Raw Data'!S120))=0),"",IF(AND(LEN('Raw Data'!S120) &lt;= 50,LEN('Raw Data'!S120)&gt; 0),"",_xlfn.REGEXEXTRACT(CELL("address",'Raw Data'!S120),"\$([A-Z]+)\$[0-9]+"))),_xlfn.REGEXEXTRACT(CELL("address",'Raw Data'!S120),"\$([A-Z]+)\$[0-9]+"))</f>
        <v/>
      </c>
      <c r="T120" s="7" t="str">
        <f t="array" aca="1" ref="T120" ca="1">IFERROR(IF(OR('Raw Data'!T120="",LEN(TRIM('Raw Data'!T120))=0),"",IF(AND(ISNUMBER('Raw Data'!T120), IFERROR('Raw Data'!T120 = ROUND('Raw Data'!T120, 2),FALSE)),"",_xlfn.REGEXEXTRACT(CELL("address",T120), "\$([A-Z]+)\$[0-9]+"))),_xlfn.REGEXEXTRACT(CELL("address",T120), "\$([A-Z]+)\$[0-9]+"))</f>
        <v/>
      </c>
      <c r="U120" s="7" t="str">
        <f t="array" aca="1" ref="U120" ca="1">IFERROR(IF(OR('Raw Data'!U120="",LEN(TRIM('Raw Data'!U120))=0),"",IF(AND(ISNUMBER('Raw Data'!U120), IFERROR('Raw Data'!U120 = ROUND('Raw Data'!U120, 2),FALSE)),"",_xlfn.REGEXEXTRACT(CELL("address",U120), "\$([A-Z]+)\$[0-9]+"))),_xlfn.REGEXEXTRACT(CELL("address",U120), "\$([A-Z]+)\$[0-9]+"))</f>
        <v/>
      </c>
      <c r="V120" s="7" t="str">
        <f t="array" aca="1" ref="V120" ca="1">IFERROR(IF(OR('Raw Data'!V120="",LEN(TRIM('Raw Data'!V120))=0),"",IF(AND(ISNUMBER('Raw Data'!V120), IFERROR('Raw Data'!V120 = ROUND('Raw Data'!V120, 2),FALSE)),"",_xlfn.REGEXEXTRACT(CELL("address",V120), "\$([A-Z]+)\$[0-9]+"))),_xlfn.REGEXEXTRACT(CELL("address",V120), "\$([A-Z]+)\$[0-9]+"))</f>
        <v/>
      </c>
      <c r="W120" s="7" t="str">
        <f t="array" aca="1" ref="W120" ca="1">IFERROR(IF(OR('Raw Data'!W120="",LEN(TRIM('Raw Data'!W120))=0),"",IF(AND(ISNUMBER('Raw Data'!W120), IFERROR('Raw Data'!W120 = ROUND('Raw Data'!W120, 2),FALSE)),"",_xlfn.REGEXEXTRACT(CELL("address",W120), "\$([A-Z]+)\$[0-9]+"))),_xlfn.REGEXEXTRACT(CELL("address",W120), "\$([A-Z]+)\$[0-9]+"))</f>
        <v/>
      </c>
      <c r="X120" s="7" t="str">
        <f t="array" aca="1" ref="X120" ca="1">IFERROR(IF(OR('Raw Data'!X120="",LEN(TRIM('Raw Data'!X120))=0),"",IF(AND(ISNUMBER('Raw Data'!X120), IFERROR('Raw Data'!X120 = ROUND('Raw Data'!X120, 2),FALSE)),"",_xlfn.REGEXEXTRACT(CELL("address",X120), "\$([A-Z]+)\$[0-9]+"))),_xlfn.REGEXEXTRACT(CELL("address",X120), "\$([A-Z]+)\$[0-9]+"))</f>
        <v/>
      </c>
      <c r="Y120" s="7" t="str">
        <f t="array" aca="1" ref="Y120" ca="1">IFERROR(IF(OR('Raw Data'!Y120="",LEN(TRIM('Raw Data'!Y120))=0),"",IF(AND(ISNUMBER('Raw Data'!Y120), IFERROR('Raw Data'!Y120 = ROUND('Raw Data'!Y120, 2),FALSE)),"",_xlfn.REGEXEXTRACT(CELL("address",Y120), "\$([A-Z]+)\$[0-9]+"))),_xlfn.REGEXEXTRACT(CELL("address",Y120), "\$([A-Z]+)\$[0-9]+"))</f>
        <v/>
      </c>
      <c r="Z120" s="7" t="str">
        <f t="array" aca="1" ref="Z120" ca="1">IFERROR(IF(OR('Raw Data'!Z120="",LEN(TRIM('Raw Data'!Z120))=0),"",IF(AND(ISNUMBER('Raw Data'!Z120), IFERROR('Raw Data'!Z120 = ROUND('Raw Data'!Z120, 2),FALSE)),"",_xlfn.REGEXEXTRACT(CELL("address",Z120), "\$([A-Z]+)\$[0-9]+"))),_xlfn.REGEXEXTRACT(CELL("address",Z120), "\$([A-Z]+)\$[0-9]+"))</f>
        <v/>
      </c>
      <c r="AA120" s="7" t="str">
        <f t="array" aca="1" ref="AA120" ca="1">IFERROR(IF(OR('Raw Data'!AA120="",LEN(TRIM('Raw Data'!AA120))=0),"",IF(AND(ISNUMBER('Raw Data'!AA120), IFERROR('Raw Data'!AA120 = ROUND('Raw Data'!AA120, 2),FALSE)),"",_xlfn.REGEXEXTRACT(CELL("address",AA120), "\$([A-Z]+)\$[0-9]+"))),_xlfn.REGEXEXTRACT(CELL("address",AA120), "\$([A-Z]+)\$[0-9]+"))</f>
        <v/>
      </c>
      <c r="AB120" s="7" t="str">
        <f t="array" aca="1" ref="AB120" ca="1">IFERROR(IF(OR('Raw Data'!AB120="",LEN(TRIM('Raw Data'!AB120))=0),"",IF(AND(ISNUMBER('Raw Data'!AB120), IFERROR('Raw Data'!AB120 = ROUND('Raw Data'!AB120, 2),FALSE)),"",_xlfn.REGEXEXTRACT(CELL("address",AB120), "\$([A-Z]+)\$[0-9]+"))),_xlfn.REGEXEXTRACT(CELL("address",AB120), "\$([A-Z]+)\$[0-9]+"))</f>
        <v/>
      </c>
      <c r="AC120" s="7" t="str">
        <f t="array" aca="1" ref="AC120" ca="1">IFERROR(IF(OR('Raw Data'!AC120="",LEN(TRIM('Raw Data'!AC120))=0),"",IF(AND(ISNUMBER('Raw Data'!AC120), IFERROR('Raw Data'!AC120 = ROUND('Raw Data'!AC120, 2),FALSE)),"",_xlfn.REGEXEXTRACT(CELL("address",AC120), "\$([A-Z]+)\$[0-9]+"))),_xlfn.REGEXEXTRACT(CELL("address",AC120), "\$([A-Z]+)\$[0-9]+"))</f>
        <v/>
      </c>
      <c r="AD120" s="7" t="str">
        <f t="array" aca="1" ref="AD120" ca="1">IFERROR(IF(OR('Raw Data'!AD120="",LEN(TRIM('Raw Data'!AD120))=0),"",IF(AND(ISNUMBER('Raw Data'!AD120), IFERROR('Raw Data'!AD120 = ROUND('Raw Data'!AD120, 2),FALSE)),"",_xlfn.REGEXEXTRACT(CELL("address",AD120), "\$([A-Z]+)\$[0-9]+"))),_xlfn.REGEXEXTRACT(CELL("address",AD120), "\$([A-Z]+)\$[0-9]+"))</f>
        <v/>
      </c>
      <c r="AE120" s="7" t="str">
        <f t="array" aca="1" ref="AE120" ca="1">IFERROR(IF(OR('Raw Data'!AE120="",LEN(TRIM('Raw Data'!AE120))=0),"",IF(AND(ISNUMBER('Raw Data'!AE120), IFERROR('Raw Data'!AE120 = ROUND('Raw Data'!AE120, 2),FALSE)),"",_xlfn.REGEXEXTRACT(CELL("address",AE120), "\$([A-Z]+)\$[0-9]+"))),_xlfn.REGEXEXTRACT(CELL("address",AE120), "\$([A-Z]+)\$[0-9]+"))</f>
        <v/>
      </c>
      <c r="AF120" s="7" t="str">
        <f t="array" aca="1" ref="AF120" ca="1">IFERROR(IF(OR('Raw Data'!AF120="",LEN(TRIM('Raw Data'!AF120))=0),"",IF(AND(ISNUMBER('Raw Data'!AF120), IFERROR('Raw Data'!AF120 = ROUND('Raw Data'!AF120, 2),FALSE)),"",_xlfn.REGEXEXTRACT(CELL("address",AF120), "\$([A-Z]+)\$[0-9]+"))),_xlfn.REGEXEXTRACT(CELL("address",AF120), "\$([A-Z]+)\$[0-9]+"))</f>
        <v/>
      </c>
      <c r="AG120" s="7" t="str">
        <f t="array" aca="1" ref="AG120" ca="1">IFERROR(IF(OR('Raw Data'!AG120="",LEN(TRIM('Raw Data'!AG120))=0),"",IF(AND(ISNUMBER('Raw Data'!AG120), IFERROR('Raw Data'!AG120 = ROUND('Raw Data'!AG120, 2),FALSE)),"",_xlfn.REGEXEXTRACT(CELL("address",AG120), "\$([A-Z]+)\$[0-9]+"))),_xlfn.REGEXEXTRACT(CELL("address",AG120), "\$([A-Z]+)\$[0-9]+"))</f>
        <v/>
      </c>
      <c r="AH120" s="7" t="str">
        <f t="array" aca="1" ref="AH120" ca="1">IFERROR(IF(OR('Raw Data'!AH120="",LEN(TRIM('Raw Data'!AH120))=0),"",IF(AND(ISNUMBER('Raw Data'!AH120), IFERROR('Raw Data'!AH120 = ROUND('Raw Data'!AH120, 2),FALSE)),"",_xlfn.REGEXEXTRACT(CELL("address",AH120), "\$([A-Z]+)\$[0-9]+"))),_xlfn.REGEXEXTRACT(CELL("address",AH120), "\$([A-Z]+)\$[0-9]+"))</f>
        <v/>
      </c>
      <c r="AI120" s="7" t="str">
        <f t="array" aca="1" ref="AI120" ca="1">IFERROR(IF(OR('Raw Data'!AI120="",LEN(TRIM('Raw Data'!AI120))=0),"",IF(AND(ISNUMBER('Raw Data'!AI120), IFERROR('Raw Data'!AI120 = ROUND('Raw Data'!AI120, 2),FALSE)),"",_xlfn.REGEXEXTRACT(CELL("address",AI120), "\$([A-Z]+)\$[0-9]+"))),_xlfn.REGEXEXTRACT(CELL("address",AI120), "\$([A-Z]+)\$[0-9]+"))</f>
        <v/>
      </c>
      <c r="AJ120" s="7" t="str">
        <f t="array" aca="1" ref="AJ120" ca="1">IFERROR(IF(OR('Raw Data'!AJ120="",LEN(TRIM('Raw Data'!AJ120))=0),"",IF(AND(ISNUMBER('Raw Data'!AJ120), IFERROR('Raw Data'!AJ120 = ROUND('Raw Data'!AJ120, 4),FALSE)),"",_xlfn.REGEXEXTRACT(CELL("address",AJ120), "\$([A-Z]+)\$[0-9]+"))),_xlfn.REGEXEXTRACT(CELL("address",AJ120), "\$([A-Z]+)\$[0-9]+"))</f>
        <v/>
      </c>
      <c r="AK120" s="7" t="str">
        <f t="array" aca="1" ref="AK120" ca="1">IFERROR(IF(OR('Raw Data'!AK120="",LEN(TRIM('Raw Data'!AK120))=0),"",IF(AND(ISNUMBER('Raw Data'!AK120), IFERROR('Raw Data'!AK120 = ROUND('Raw Data'!AK120, 2),FALSE)),"",_xlfn.REGEXEXTRACT(CELL("address",AK120), "\$([A-Z]+)\$[0-9]+"))),_xlfn.REGEXEXTRACT(CELL("address",AK120), "\$([A-Z]+)\$[0-9]+"))</f>
        <v/>
      </c>
      <c r="AL120" s="7" t="str">
        <f t="array" aca="1" ref="AL120" ca="1">IFERROR(IF(OR('Raw Data'!AL120="",LEN(TRIM('Raw Data'!AL120))=0),"",IF(AND(ISNUMBER('Raw Data'!AL120), IFERROR('Raw Data'!AL120 = ROUND('Raw Data'!AL120, 2),FALSE)),"",_xlfn.REGEXEXTRACT(CELL("address",AL120), "\$([A-Z]+)\$[0-9]+"))),_xlfn.REGEXEXTRACT(CELL("address",AL120), "\$([A-Z]+)\$[0-9]+"))</f>
        <v/>
      </c>
      <c r="AM120" s="7" t="str">
        <f t="array" aca="1" ref="AM120" ca="1">IFERROR(IF(OR('Raw Data'!AM120="",LEN(TRIM('Raw Data'!AM120))=0),"",IF(AND(ISNUMBER('Raw Data'!AM120), IFERROR('Raw Data'!AM120 = ROUND('Raw Data'!AM120, 2),FALSE)),"",_xlfn.REGEXEXTRACT(CELL("address",AM120), "\$([A-Z]+)\$[0-9]+"))),_xlfn.REGEXEXTRACT(CELL("address",AM120), "\$([A-Z]+)\$[0-9]+"))</f>
        <v/>
      </c>
      <c r="AN120" s="7" t="str">
        <f t="array" aca="1" ref="AN120" ca="1">IFERROR(IF(OR('Raw Data'!AN120="",LEN(TRIM('Raw Data'!AN120))=0),"",IF(AND(ISNUMBER('Raw Data'!AN120), IFERROR('Raw Data'!AN120 = ROUND('Raw Data'!AN120, 2),FALSE)),"",_xlfn.REGEXEXTRACT(CELL("address",AN120), "\$([A-Z]+)\$[0-9]+"))),_xlfn.REGEXEXTRACT(CELL("address",AN120), "\$([A-Z]+)\$[0-9]+"))</f>
        <v/>
      </c>
      <c r="AO120" s="7" t="str">
        <f t="array" aca="1" ref="AO120" ca="1">IFERROR(IF(OR('Raw Data'!AO120="",LEN(TRIM('Raw Data'!AO120))=0),"",IF(AND(ISNUMBER('Raw Data'!AO120), IFERROR('Raw Data'!AO120 = ROUND('Raw Data'!AO120, 2),FALSE)),"",_xlfn.REGEXEXTRACT(CELL("address",AO120), "\$([A-Z]+)\$[0-9]+"))),_xlfn.REGEXEXTRACT(CELL("address",AO120), "\$([A-Z]+)\$[0-9]+"))</f>
        <v/>
      </c>
      <c r="AP120" s="7" t="str">
        <f t="array" aca="1" ref="AP120" ca="1">IFERROR(IF(OR('Raw Data'!AP120="",LEN(TRIM('Raw Data'!AP120))=0),"",IF(AND(ISNUMBER('Raw Data'!AP120), IFERROR('Raw Data'!AP120 = ROUND('Raw Data'!AP120, 2),FALSE)),"",_xlfn.REGEXEXTRACT(CELL("address",AP120), "\$([A-Z]+)\$[0-9]+"))),_xlfn.REGEXEXTRACT(CELL("address",AP120), "\$([A-Z]+)\$[0-9]+"))</f>
        <v/>
      </c>
    </row>
    <row r="121" spans="2:42" x14ac:dyDescent="0.25">
      <c r="B121" s="7" t="str">
        <f t="array" aca="1" ref="B121" ca="1">IFERROR(IF(OR('Raw Data'!B121="",LEN(TRIM('Raw Data'!B121))=0),"",IF(AND(LEN('Raw Data'!B121) &lt;= 255,LEN('Raw Data'!B121)&gt; 0),"",_xlfn.REGEXEXTRACT(CELL("address",'Raw Data'!B121),"\$([A-Z]+)\$[0-9]+"))),_xlfn.REGEXEXTRACT(CELL("address",'Raw Data'!B121),"\$([A-Z]+)\$[0-9]+"))</f>
        <v/>
      </c>
      <c r="C121" s="7" t="str">
        <f t="array" aca="1" ref="C121" ca="1">IFERROR(IF(OR('Raw Data'!C121="",LEN(TRIM('Raw Data'!C121))=0),"",IF(AND(LEN('Raw Data'!C121) &lt;= 50,LEN('Raw Data'!C121)&gt; 0),"",_xlfn.REGEXEXTRACT(CELL("address",'Raw Data'!C121),"\$([A-Z]+)\$[0-9]+"))),_xlfn.REGEXEXTRACT(CELL("address",'Raw Data'!C121),"\$([A-Z]+)\$[0-9]+"))</f>
        <v/>
      </c>
      <c r="D121" s="7" t="str">
        <f t="array" aca="1" ref="D121" ca="1">IFERROR(IF(OR('Raw Data'!D121="",LEN(TRIM('Raw Data'!D121))=0),"",IF(AND(LEN('Raw Data'!D121) &lt;= 500,LEN('Raw Data'!D121)&gt; 0),"",_xlfn.REGEXEXTRACT(CELL("address",'Raw Data'!D121),"\$([A-Z]+)\$[0-9]+"))),_xlfn.REGEXEXTRACT(CELL("address",'Raw Data'!D121),"\$([A-Z]+)\$[0-9]+"))</f>
        <v/>
      </c>
      <c r="E121" s="7" t="str">
        <f t="array" aca="1" ref="E121" ca="1">IFERROR(IF(OR('Raw Data'!E121="",LEN(TRIM('Raw Data'!E121))=0),"",IF(AND(LEN('Raw Data'!E121) &lt;= 50,LEN('Raw Data'!E121)&gt; 0),"",_xlfn.REGEXEXTRACT(CELL("address",'Raw Data'!E121),"\$([A-Z]+)\$[0-9]+"))),_xlfn.REGEXEXTRACT(CELL("address",'Raw Data'!E121),"\$([A-Z]+)\$[0-9]+"))</f>
        <v/>
      </c>
      <c r="F121" s="7" t="str">
        <f t="array" aca="1" ref="F121" ca="1">IFERROR(IF(OR('Raw Data'!F121="",LEN(TRIM('Raw Data'!F121))=0),"",IF(AND(LEN('Raw Data'!F121) &lt;= 50,LEN('Raw Data'!F121)&gt; 0),"",_xlfn.REGEXEXTRACT(CELL("address",'Raw Data'!F121),"\$([A-Z]+)\$[0-9]+"))),_xlfn.REGEXEXTRACT(CELL("address",'Raw Data'!F121),"\$([A-Z]+)\$[0-9]+"))</f>
        <v/>
      </c>
      <c r="G121" s="7" t="str">
        <f t="array" aca="1" ref="G121" ca="1">IFERROR(IF(OR('Raw Data'!G121="",LEN(TRIM('Raw Data'!G121))=0),"",IF(AND(LEN('Raw Data'!G121) &lt;= 50,LEN('Raw Data'!G121)&gt; 0),"",_xlfn.REGEXEXTRACT(CELL("address",'Raw Data'!G121),"\$([A-Z]+)\$[0-9]+"))),_xlfn.REGEXEXTRACT(CELL("address",'Raw Data'!G121),"\$([A-Z]+)\$[0-9]+"))</f>
        <v/>
      </c>
      <c r="H121" s="7" t="str">
        <f t="array" aca="1" ref="H121" ca="1">IFERROR(IF(OR('Raw Data'!H121="",LEN(TRIM('Raw Data'!H121))=0),"",IF(AND(LEN('Raw Data'!H121) &lt;= 50,LEN('Raw Data'!H121)&gt; 0),"",_xlfn.REGEXEXTRACT(CELL("address",'Raw Data'!H121),"\$([A-Z]+)\$[0-9]+"))),_xlfn.REGEXEXTRACT(CELL("address",'Raw Data'!H121),"\$([A-Z]+)\$[0-9]+"))</f>
        <v/>
      </c>
      <c r="I121" s="7" t="str">
        <f t="array" aca="1" ref="I121" ca="1">IFERROR(IF(OR('Raw Data'!I121="",LEN(TRIM('Raw Data'!I121))=0),"",IF(AND(LEN('Raw Data'!I121) &lt;= 50,LEN('Raw Data'!I121)&gt; 0),"",_xlfn.REGEXEXTRACT(CELL("address",'Raw Data'!I121),"\$([A-Z]+)\$[0-9]+"))),_xlfn.REGEXEXTRACT(CELL("address",'Raw Data'!I121),"\$([A-Z]+)\$[0-9]+"))</f>
        <v/>
      </c>
      <c r="J121" s="7" t="str">
        <f t="array" aca="1" ref="J121" ca="1">IFERROR(IF(OR('Raw Data'!J121="",LEN(TRIM('Raw Data'!J121))=0),"",IF(AND(ISNUMBER('Raw Data'!J121), IFERROR('Raw Data'!J121 = ROUND('Raw Data'!J121, 2),FALSE)),"",_xlfn.REGEXEXTRACT(CELL("address",J121), "\$([A-Z]+)\$[0-9]+"))),_xlfn.REGEXEXTRACT(CELL("address",J121), "\$([A-Z]+)\$[0-9]+"))</f>
        <v/>
      </c>
      <c r="K121" s="7" t="str">
        <f t="array" aca="1" ref="K121" ca="1">IFERROR(IF(OR('Raw Data'!K121="",LEN(TRIM('Raw Data'!K121))=0),"",IF(AND(ISNUMBER('Raw Data'!K121), IFERROR('Raw Data'!K121 = ROUND('Raw Data'!K121, 2),FALSE)),"",_xlfn.REGEXEXTRACT(CELL("address",K121), "\$([A-Z]+)\$[0-9]+"))),_xlfn.REGEXEXTRACT(CELL("address",K121), "\$([A-Z]+)\$[0-9]+"))</f>
        <v/>
      </c>
      <c r="L121" s="7" t="str">
        <f t="array" aca="1" ref="L121" ca="1">IFERROR(IF(OR('Raw Data'!L121="",LEN(TRIM('Raw Data'!L121))=0),"",IF(AND(ISNUMBER('Raw Data'!L121), IFERROR('Raw Data'!L121 = ROUND('Raw Data'!L121, 2),FALSE)),"",_xlfn.REGEXEXTRACT(CELL("address",L121), "\$([A-Z]+)\$[0-9]+"))),_xlfn.REGEXEXTRACT(CELL("address",L121), "\$([A-Z]+)\$[0-9]+"))</f>
        <v/>
      </c>
      <c r="M121" s="7" t="str">
        <f t="array" aca="1" ref="M121" ca="1">IFERROR(IF(OR('Raw Data'!M121="",LEN(TRIM('Raw Data'!M121))=0),"",IF(AND(ISNUMBER('Raw Data'!M121), IFERROR('Raw Data'!M121 = ROUND('Raw Data'!M121, 2),FALSE)),"",_xlfn.REGEXEXTRACT(CELL("address",M121), "\$([A-Z]+)\$[0-9]+"))),_xlfn.REGEXEXTRACT(CELL("address",M121), "\$([A-Z]+)\$[0-9]+"))</f>
        <v/>
      </c>
      <c r="N121" s="7" t="str">
        <f t="array" aca="1" ref="N121" ca="1">IFERROR(IF(OR('Raw Data'!N121="",LEN(TRIM('Raw Data'!N121))=0),"",IF(AND(ISNUMBER('Raw Data'!N121), IFERROR('Raw Data'!N121 = ROUND('Raw Data'!N121, 2),FALSE)),"",_xlfn.REGEXEXTRACT(CELL("address",N121), "\$([A-Z]+)\$[0-9]+"))),_xlfn.REGEXEXTRACT(CELL("address",N121), "\$([A-Z]+)\$[0-9]+"))</f>
        <v/>
      </c>
      <c r="O121" s="7" t="str">
        <f t="array" aca="1" ref="O121" ca="1">IFERROR(IF(OR('Raw Data'!O121="",LEN(TRIM('Raw Data'!O121))=0),"",IF(AND(ISNUMBER('Raw Data'!O121),'Raw Data'!O121&gt;=Configuration!$D$2),"",_xlfn.REGEXEXTRACT(CELL("address",'Raw Data'!O121),"\$([A-Z]+)\$[0-9]+"))),_xlfn.REGEXEXTRACT(CELL("address",O121), "\$([A-Z]+)\$[0-9]+"))</f>
        <v/>
      </c>
      <c r="P121" s="7" t="str">
        <f t="array" aca="1" ref="P121" ca="1">IFERROR(IF(OR('Raw Data'!P121="",LEN(TRIM('Raw Data'!P121))=0),"",IF(AND(ISNUMBER('Raw Data'!P121), IFERROR('Raw Data'!P121 = ROUND('Raw Data'!P121, 2),FALSE)),"",_xlfn.REGEXEXTRACT(CELL("address",P121), "\$([A-Z]+)\$[0-9]+"))),_xlfn.REGEXEXTRACT(CELL("address",P121), "\$([A-Z]+)\$[0-9]+"))</f>
        <v/>
      </c>
      <c r="Q121" s="7" t="str">
        <f t="array" aca="1" ref="Q121" ca="1">IFERROR(IF(OR('Raw Data'!Q121="",LEN(TRIM('Raw Data'!Q121))=0),"",IF(AND(ISNUMBER('Raw Data'!Q121), IFERROR('Raw Data'!Q121 = ROUND('Raw Data'!Q121, 2),FALSE)),"",_xlfn.REGEXEXTRACT(CELL("address",Q121), "\$([A-Z]+)\$[0-9]+"))),_xlfn.REGEXEXTRACT(CELL("address",Q121), "\$([A-Z]+)\$[0-9]+"))</f>
        <v/>
      </c>
      <c r="R121" s="7" t="str">
        <f t="array" aca="1" ref="R121" ca="1">IFERROR(IF(OR('Raw Data'!R121="",LEN(TRIM('Raw Data'!R121))=0),"",IF(AND(LEN('Raw Data'!R121) &lt;= 50,LEN('Raw Data'!R121)&gt; 0),"",_xlfn.REGEXEXTRACT(CELL("address",'Raw Data'!R121),"\$([A-Z]+)\$[0-9]+"))),_xlfn.REGEXEXTRACT(CELL("address",'Raw Data'!R121),"\$([A-Z]+)\$[0-9]+"))</f>
        <v/>
      </c>
      <c r="S121" s="7" t="str">
        <f t="array" aca="1" ref="S121" ca="1">IFERROR(IF(OR('Raw Data'!S121="",LEN(TRIM('Raw Data'!S121))=0),"",IF(AND(LEN('Raw Data'!S121) &lt;= 50,LEN('Raw Data'!S121)&gt; 0),"",_xlfn.REGEXEXTRACT(CELL("address",'Raw Data'!S121),"\$([A-Z]+)\$[0-9]+"))),_xlfn.REGEXEXTRACT(CELL("address",'Raw Data'!S121),"\$([A-Z]+)\$[0-9]+"))</f>
        <v/>
      </c>
      <c r="T121" s="7" t="str">
        <f t="array" aca="1" ref="T121" ca="1">IFERROR(IF(OR('Raw Data'!T121="",LEN(TRIM('Raw Data'!T121))=0),"",IF(AND(ISNUMBER('Raw Data'!T121), IFERROR('Raw Data'!T121 = ROUND('Raw Data'!T121, 2),FALSE)),"",_xlfn.REGEXEXTRACT(CELL("address",T121), "\$([A-Z]+)\$[0-9]+"))),_xlfn.REGEXEXTRACT(CELL("address",T121), "\$([A-Z]+)\$[0-9]+"))</f>
        <v/>
      </c>
      <c r="U121" s="7" t="str">
        <f t="array" aca="1" ref="U121" ca="1">IFERROR(IF(OR('Raw Data'!U121="",LEN(TRIM('Raw Data'!U121))=0),"",IF(AND(ISNUMBER('Raw Data'!U121), IFERROR('Raw Data'!U121 = ROUND('Raw Data'!U121, 2),FALSE)),"",_xlfn.REGEXEXTRACT(CELL("address",U121), "\$([A-Z]+)\$[0-9]+"))),_xlfn.REGEXEXTRACT(CELL("address",U121), "\$([A-Z]+)\$[0-9]+"))</f>
        <v/>
      </c>
      <c r="V121" s="7" t="str">
        <f t="array" aca="1" ref="V121" ca="1">IFERROR(IF(OR('Raw Data'!V121="",LEN(TRIM('Raw Data'!V121))=0),"",IF(AND(ISNUMBER('Raw Data'!V121), IFERROR('Raw Data'!V121 = ROUND('Raw Data'!V121, 2),FALSE)),"",_xlfn.REGEXEXTRACT(CELL("address",V121), "\$([A-Z]+)\$[0-9]+"))),_xlfn.REGEXEXTRACT(CELL("address",V121), "\$([A-Z]+)\$[0-9]+"))</f>
        <v/>
      </c>
      <c r="W121" s="7" t="str">
        <f t="array" aca="1" ref="W121" ca="1">IFERROR(IF(OR('Raw Data'!W121="",LEN(TRIM('Raw Data'!W121))=0),"",IF(AND(ISNUMBER('Raw Data'!W121), IFERROR('Raw Data'!W121 = ROUND('Raw Data'!W121, 2),FALSE)),"",_xlfn.REGEXEXTRACT(CELL("address",W121), "\$([A-Z]+)\$[0-9]+"))),_xlfn.REGEXEXTRACT(CELL("address",W121), "\$([A-Z]+)\$[0-9]+"))</f>
        <v/>
      </c>
      <c r="X121" s="7" t="str">
        <f t="array" aca="1" ref="X121" ca="1">IFERROR(IF(OR('Raw Data'!X121="",LEN(TRIM('Raw Data'!X121))=0),"",IF(AND(ISNUMBER('Raw Data'!X121), IFERROR('Raw Data'!X121 = ROUND('Raw Data'!X121, 2),FALSE)),"",_xlfn.REGEXEXTRACT(CELL("address",X121), "\$([A-Z]+)\$[0-9]+"))),_xlfn.REGEXEXTRACT(CELL("address",X121), "\$([A-Z]+)\$[0-9]+"))</f>
        <v/>
      </c>
      <c r="Y121" s="7" t="str">
        <f t="array" aca="1" ref="Y121" ca="1">IFERROR(IF(OR('Raw Data'!Y121="",LEN(TRIM('Raw Data'!Y121))=0),"",IF(AND(ISNUMBER('Raw Data'!Y121), IFERROR('Raw Data'!Y121 = ROUND('Raw Data'!Y121, 2),FALSE)),"",_xlfn.REGEXEXTRACT(CELL("address",Y121), "\$([A-Z]+)\$[0-9]+"))),_xlfn.REGEXEXTRACT(CELL("address",Y121), "\$([A-Z]+)\$[0-9]+"))</f>
        <v/>
      </c>
      <c r="Z121" s="7" t="str">
        <f t="array" aca="1" ref="Z121" ca="1">IFERROR(IF(OR('Raw Data'!Z121="",LEN(TRIM('Raw Data'!Z121))=0),"",IF(AND(ISNUMBER('Raw Data'!Z121), IFERROR('Raw Data'!Z121 = ROUND('Raw Data'!Z121, 2),FALSE)),"",_xlfn.REGEXEXTRACT(CELL("address",Z121), "\$([A-Z]+)\$[0-9]+"))),_xlfn.REGEXEXTRACT(CELL("address",Z121), "\$([A-Z]+)\$[0-9]+"))</f>
        <v/>
      </c>
      <c r="AA121" s="7" t="str">
        <f t="array" aca="1" ref="AA121" ca="1">IFERROR(IF(OR('Raw Data'!AA121="",LEN(TRIM('Raw Data'!AA121))=0),"",IF(AND(ISNUMBER('Raw Data'!AA121), IFERROR('Raw Data'!AA121 = ROUND('Raw Data'!AA121, 2),FALSE)),"",_xlfn.REGEXEXTRACT(CELL("address",AA121), "\$([A-Z]+)\$[0-9]+"))),_xlfn.REGEXEXTRACT(CELL("address",AA121), "\$([A-Z]+)\$[0-9]+"))</f>
        <v/>
      </c>
      <c r="AB121" s="7" t="str">
        <f t="array" aca="1" ref="AB121" ca="1">IFERROR(IF(OR('Raw Data'!AB121="",LEN(TRIM('Raw Data'!AB121))=0),"",IF(AND(ISNUMBER('Raw Data'!AB121), IFERROR('Raw Data'!AB121 = ROUND('Raw Data'!AB121, 2),FALSE)),"",_xlfn.REGEXEXTRACT(CELL("address",AB121), "\$([A-Z]+)\$[0-9]+"))),_xlfn.REGEXEXTRACT(CELL("address",AB121), "\$([A-Z]+)\$[0-9]+"))</f>
        <v/>
      </c>
      <c r="AC121" s="7" t="str">
        <f t="array" aca="1" ref="AC121" ca="1">IFERROR(IF(OR('Raw Data'!AC121="",LEN(TRIM('Raw Data'!AC121))=0),"",IF(AND(ISNUMBER('Raw Data'!AC121), IFERROR('Raw Data'!AC121 = ROUND('Raw Data'!AC121, 2),FALSE)),"",_xlfn.REGEXEXTRACT(CELL("address",AC121), "\$([A-Z]+)\$[0-9]+"))),_xlfn.REGEXEXTRACT(CELL("address",AC121), "\$([A-Z]+)\$[0-9]+"))</f>
        <v/>
      </c>
      <c r="AD121" s="7" t="str">
        <f t="array" aca="1" ref="AD121" ca="1">IFERROR(IF(OR('Raw Data'!AD121="",LEN(TRIM('Raw Data'!AD121))=0),"",IF(AND(ISNUMBER('Raw Data'!AD121), IFERROR('Raw Data'!AD121 = ROUND('Raw Data'!AD121, 2),FALSE)),"",_xlfn.REGEXEXTRACT(CELL("address",AD121), "\$([A-Z]+)\$[0-9]+"))),_xlfn.REGEXEXTRACT(CELL("address",AD121), "\$([A-Z]+)\$[0-9]+"))</f>
        <v/>
      </c>
      <c r="AE121" s="7" t="str">
        <f t="array" aca="1" ref="AE121" ca="1">IFERROR(IF(OR('Raw Data'!AE121="",LEN(TRIM('Raw Data'!AE121))=0),"",IF(AND(ISNUMBER('Raw Data'!AE121), IFERROR('Raw Data'!AE121 = ROUND('Raw Data'!AE121, 2),FALSE)),"",_xlfn.REGEXEXTRACT(CELL("address",AE121), "\$([A-Z]+)\$[0-9]+"))),_xlfn.REGEXEXTRACT(CELL("address",AE121), "\$([A-Z]+)\$[0-9]+"))</f>
        <v/>
      </c>
      <c r="AF121" s="7" t="str">
        <f t="array" aca="1" ref="AF121" ca="1">IFERROR(IF(OR('Raw Data'!AF121="",LEN(TRIM('Raw Data'!AF121))=0),"",IF(AND(ISNUMBER('Raw Data'!AF121), IFERROR('Raw Data'!AF121 = ROUND('Raw Data'!AF121, 2),FALSE)),"",_xlfn.REGEXEXTRACT(CELL("address",AF121), "\$([A-Z]+)\$[0-9]+"))),_xlfn.REGEXEXTRACT(CELL("address",AF121), "\$([A-Z]+)\$[0-9]+"))</f>
        <v/>
      </c>
      <c r="AG121" s="7" t="str">
        <f t="array" aca="1" ref="AG121" ca="1">IFERROR(IF(OR('Raw Data'!AG121="",LEN(TRIM('Raw Data'!AG121))=0),"",IF(AND(ISNUMBER('Raw Data'!AG121), IFERROR('Raw Data'!AG121 = ROUND('Raw Data'!AG121, 2),FALSE)),"",_xlfn.REGEXEXTRACT(CELL("address",AG121), "\$([A-Z]+)\$[0-9]+"))),_xlfn.REGEXEXTRACT(CELL("address",AG121), "\$([A-Z]+)\$[0-9]+"))</f>
        <v/>
      </c>
      <c r="AH121" s="7" t="str">
        <f t="array" aca="1" ref="AH121" ca="1">IFERROR(IF(OR('Raw Data'!AH121="",LEN(TRIM('Raw Data'!AH121))=0),"",IF(AND(ISNUMBER('Raw Data'!AH121), IFERROR('Raw Data'!AH121 = ROUND('Raw Data'!AH121, 2),FALSE)),"",_xlfn.REGEXEXTRACT(CELL("address",AH121), "\$([A-Z]+)\$[0-9]+"))),_xlfn.REGEXEXTRACT(CELL("address",AH121), "\$([A-Z]+)\$[0-9]+"))</f>
        <v/>
      </c>
      <c r="AI121" s="7" t="str">
        <f t="array" aca="1" ref="AI121" ca="1">IFERROR(IF(OR('Raw Data'!AI121="",LEN(TRIM('Raw Data'!AI121))=0),"",IF(AND(ISNUMBER('Raw Data'!AI121), IFERROR('Raw Data'!AI121 = ROUND('Raw Data'!AI121, 2),FALSE)),"",_xlfn.REGEXEXTRACT(CELL("address",AI121), "\$([A-Z]+)\$[0-9]+"))),_xlfn.REGEXEXTRACT(CELL("address",AI121), "\$([A-Z]+)\$[0-9]+"))</f>
        <v/>
      </c>
      <c r="AJ121" s="7" t="str">
        <f t="array" aca="1" ref="AJ121" ca="1">IFERROR(IF(OR('Raw Data'!AJ121="",LEN(TRIM('Raw Data'!AJ121))=0),"",IF(AND(ISNUMBER('Raw Data'!AJ121), IFERROR('Raw Data'!AJ121 = ROUND('Raw Data'!AJ121, 4),FALSE)),"",_xlfn.REGEXEXTRACT(CELL("address",AJ121), "\$([A-Z]+)\$[0-9]+"))),_xlfn.REGEXEXTRACT(CELL("address",AJ121), "\$([A-Z]+)\$[0-9]+"))</f>
        <v/>
      </c>
      <c r="AK121" s="7" t="str">
        <f t="array" aca="1" ref="AK121" ca="1">IFERROR(IF(OR('Raw Data'!AK121="",LEN(TRIM('Raw Data'!AK121))=0),"",IF(AND(ISNUMBER('Raw Data'!AK121), IFERROR('Raw Data'!AK121 = ROUND('Raw Data'!AK121, 2),FALSE)),"",_xlfn.REGEXEXTRACT(CELL("address",AK121), "\$([A-Z]+)\$[0-9]+"))),_xlfn.REGEXEXTRACT(CELL("address",AK121), "\$([A-Z]+)\$[0-9]+"))</f>
        <v/>
      </c>
      <c r="AL121" s="7" t="str">
        <f t="array" aca="1" ref="AL121" ca="1">IFERROR(IF(OR('Raw Data'!AL121="",LEN(TRIM('Raw Data'!AL121))=0),"",IF(AND(ISNUMBER('Raw Data'!AL121), IFERROR('Raw Data'!AL121 = ROUND('Raw Data'!AL121, 2),FALSE)),"",_xlfn.REGEXEXTRACT(CELL("address",AL121), "\$([A-Z]+)\$[0-9]+"))),_xlfn.REGEXEXTRACT(CELL("address",AL121), "\$([A-Z]+)\$[0-9]+"))</f>
        <v/>
      </c>
      <c r="AM121" s="7" t="str">
        <f t="array" aca="1" ref="AM121" ca="1">IFERROR(IF(OR('Raw Data'!AM121="",LEN(TRIM('Raw Data'!AM121))=0),"",IF(AND(ISNUMBER('Raw Data'!AM121), IFERROR('Raw Data'!AM121 = ROUND('Raw Data'!AM121, 2),FALSE)),"",_xlfn.REGEXEXTRACT(CELL("address",AM121), "\$([A-Z]+)\$[0-9]+"))),_xlfn.REGEXEXTRACT(CELL("address",AM121), "\$([A-Z]+)\$[0-9]+"))</f>
        <v/>
      </c>
      <c r="AN121" s="7" t="str">
        <f t="array" aca="1" ref="AN121" ca="1">IFERROR(IF(OR('Raw Data'!AN121="",LEN(TRIM('Raw Data'!AN121))=0),"",IF(AND(ISNUMBER('Raw Data'!AN121), IFERROR('Raw Data'!AN121 = ROUND('Raw Data'!AN121, 2),FALSE)),"",_xlfn.REGEXEXTRACT(CELL("address",AN121), "\$([A-Z]+)\$[0-9]+"))),_xlfn.REGEXEXTRACT(CELL("address",AN121), "\$([A-Z]+)\$[0-9]+"))</f>
        <v/>
      </c>
      <c r="AO121" s="7" t="str">
        <f t="array" aca="1" ref="AO121" ca="1">IFERROR(IF(OR('Raw Data'!AO121="",LEN(TRIM('Raw Data'!AO121))=0),"",IF(AND(ISNUMBER('Raw Data'!AO121), IFERROR('Raw Data'!AO121 = ROUND('Raw Data'!AO121, 2),FALSE)),"",_xlfn.REGEXEXTRACT(CELL("address",AO121), "\$([A-Z]+)\$[0-9]+"))),_xlfn.REGEXEXTRACT(CELL("address",AO121), "\$([A-Z]+)\$[0-9]+"))</f>
        <v/>
      </c>
      <c r="AP121" s="7" t="str">
        <f t="array" aca="1" ref="AP121" ca="1">IFERROR(IF(OR('Raw Data'!AP121="",LEN(TRIM('Raw Data'!AP121))=0),"",IF(AND(ISNUMBER('Raw Data'!AP121), IFERROR('Raw Data'!AP121 = ROUND('Raw Data'!AP121, 2),FALSE)),"",_xlfn.REGEXEXTRACT(CELL("address",AP121), "\$([A-Z]+)\$[0-9]+"))),_xlfn.REGEXEXTRACT(CELL("address",AP121), "\$([A-Z]+)\$[0-9]+"))</f>
        <v/>
      </c>
    </row>
    <row r="122" spans="2:42" x14ac:dyDescent="0.25">
      <c r="B122" s="7" t="str">
        <f t="array" aca="1" ref="B122" ca="1">IFERROR(IF(OR('Raw Data'!B122="",LEN(TRIM('Raw Data'!B122))=0),"",IF(AND(LEN('Raw Data'!B122) &lt;= 255,LEN('Raw Data'!B122)&gt; 0),"",_xlfn.REGEXEXTRACT(CELL("address",'Raw Data'!B122),"\$([A-Z]+)\$[0-9]+"))),_xlfn.REGEXEXTRACT(CELL("address",'Raw Data'!B122),"\$([A-Z]+)\$[0-9]+"))</f>
        <v/>
      </c>
      <c r="C122" s="7" t="str">
        <f t="array" aca="1" ref="C122" ca="1">IFERROR(IF(OR('Raw Data'!C122="",LEN(TRIM('Raw Data'!C122))=0),"",IF(AND(LEN('Raw Data'!C122) &lt;= 50,LEN('Raw Data'!C122)&gt; 0),"",_xlfn.REGEXEXTRACT(CELL("address",'Raw Data'!C122),"\$([A-Z]+)\$[0-9]+"))),_xlfn.REGEXEXTRACT(CELL("address",'Raw Data'!C122),"\$([A-Z]+)\$[0-9]+"))</f>
        <v/>
      </c>
      <c r="D122" s="7" t="str">
        <f t="array" aca="1" ref="D122" ca="1">IFERROR(IF(OR('Raw Data'!D122="",LEN(TRIM('Raw Data'!D122))=0),"",IF(AND(LEN('Raw Data'!D122) &lt;= 500,LEN('Raw Data'!D122)&gt; 0),"",_xlfn.REGEXEXTRACT(CELL("address",'Raw Data'!D122),"\$([A-Z]+)\$[0-9]+"))),_xlfn.REGEXEXTRACT(CELL("address",'Raw Data'!D122),"\$([A-Z]+)\$[0-9]+"))</f>
        <v/>
      </c>
      <c r="E122" s="7" t="str">
        <f t="array" aca="1" ref="E122" ca="1">IFERROR(IF(OR('Raw Data'!E122="",LEN(TRIM('Raw Data'!E122))=0),"",IF(AND(LEN('Raw Data'!E122) &lt;= 50,LEN('Raw Data'!E122)&gt; 0),"",_xlfn.REGEXEXTRACT(CELL("address",'Raw Data'!E122),"\$([A-Z]+)\$[0-9]+"))),_xlfn.REGEXEXTRACT(CELL("address",'Raw Data'!E122),"\$([A-Z]+)\$[0-9]+"))</f>
        <v/>
      </c>
      <c r="F122" s="7" t="str">
        <f t="array" aca="1" ref="F122" ca="1">IFERROR(IF(OR('Raw Data'!F122="",LEN(TRIM('Raw Data'!F122))=0),"",IF(AND(LEN('Raw Data'!F122) &lt;= 50,LEN('Raw Data'!F122)&gt; 0),"",_xlfn.REGEXEXTRACT(CELL("address",'Raw Data'!F122),"\$([A-Z]+)\$[0-9]+"))),_xlfn.REGEXEXTRACT(CELL("address",'Raw Data'!F122),"\$([A-Z]+)\$[0-9]+"))</f>
        <v/>
      </c>
      <c r="G122" s="7" t="str">
        <f t="array" aca="1" ref="G122" ca="1">IFERROR(IF(OR('Raw Data'!G122="",LEN(TRIM('Raw Data'!G122))=0),"",IF(AND(LEN('Raw Data'!G122) &lt;= 50,LEN('Raw Data'!G122)&gt; 0),"",_xlfn.REGEXEXTRACT(CELL("address",'Raw Data'!G122),"\$([A-Z]+)\$[0-9]+"))),_xlfn.REGEXEXTRACT(CELL("address",'Raw Data'!G122),"\$([A-Z]+)\$[0-9]+"))</f>
        <v/>
      </c>
      <c r="H122" s="7" t="str">
        <f t="array" aca="1" ref="H122" ca="1">IFERROR(IF(OR('Raw Data'!H122="",LEN(TRIM('Raw Data'!H122))=0),"",IF(AND(LEN('Raw Data'!H122) &lt;= 50,LEN('Raw Data'!H122)&gt; 0),"",_xlfn.REGEXEXTRACT(CELL("address",'Raw Data'!H122),"\$([A-Z]+)\$[0-9]+"))),_xlfn.REGEXEXTRACT(CELL("address",'Raw Data'!H122),"\$([A-Z]+)\$[0-9]+"))</f>
        <v/>
      </c>
      <c r="I122" s="7" t="str">
        <f t="array" aca="1" ref="I122" ca="1">IFERROR(IF(OR('Raw Data'!I122="",LEN(TRIM('Raw Data'!I122))=0),"",IF(AND(LEN('Raw Data'!I122) &lt;= 50,LEN('Raw Data'!I122)&gt; 0),"",_xlfn.REGEXEXTRACT(CELL("address",'Raw Data'!I122),"\$([A-Z]+)\$[0-9]+"))),_xlfn.REGEXEXTRACT(CELL("address",'Raw Data'!I122),"\$([A-Z]+)\$[0-9]+"))</f>
        <v/>
      </c>
      <c r="J122" s="7" t="str">
        <f t="array" aca="1" ref="J122" ca="1">IFERROR(IF(OR('Raw Data'!J122="",LEN(TRIM('Raw Data'!J122))=0),"",IF(AND(ISNUMBER('Raw Data'!J122), IFERROR('Raw Data'!J122 = ROUND('Raw Data'!J122, 2),FALSE)),"",_xlfn.REGEXEXTRACT(CELL("address",J122), "\$([A-Z]+)\$[0-9]+"))),_xlfn.REGEXEXTRACT(CELL("address",J122), "\$([A-Z]+)\$[0-9]+"))</f>
        <v/>
      </c>
      <c r="K122" s="7" t="str">
        <f t="array" aca="1" ref="K122" ca="1">IFERROR(IF(OR('Raw Data'!K122="",LEN(TRIM('Raw Data'!K122))=0),"",IF(AND(ISNUMBER('Raw Data'!K122), IFERROR('Raw Data'!K122 = ROUND('Raw Data'!K122, 2),FALSE)),"",_xlfn.REGEXEXTRACT(CELL("address",K122), "\$([A-Z]+)\$[0-9]+"))),_xlfn.REGEXEXTRACT(CELL("address",K122), "\$([A-Z]+)\$[0-9]+"))</f>
        <v/>
      </c>
      <c r="L122" s="7" t="str">
        <f t="array" aca="1" ref="L122" ca="1">IFERROR(IF(OR('Raw Data'!L122="",LEN(TRIM('Raw Data'!L122))=0),"",IF(AND(ISNUMBER('Raw Data'!L122), IFERROR('Raw Data'!L122 = ROUND('Raw Data'!L122, 2),FALSE)),"",_xlfn.REGEXEXTRACT(CELL("address",L122), "\$([A-Z]+)\$[0-9]+"))),_xlfn.REGEXEXTRACT(CELL("address",L122), "\$([A-Z]+)\$[0-9]+"))</f>
        <v/>
      </c>
      <c r="M122" s="7" t="str">
        <f t="array" aca="1" ref="M122" ca="1">IFERROR(IF(OR('Raw Data'!M122="",LEN(TRIM('Raw Data'!M122))=0),"",IF(AND(ISNUMBER('Raw Data'!M122), IFERROR('Raw Data'!M122 = ROUND('Raw Data'!M122, 2),FALSE)),"",_xlfn.REGEXEXTRACT(CELL("address",M122), "\$([A-Z]+)\$[0-9]+"))),_xlfn.REGEXEXTRACT(CELL("address",M122), "\$([A-Z]+)\$[0-9]+"))</f>
        <v/>
      </c>
      <c r="N122" s="7" t="str">
        <f t="array" aca="1" ref="N122" ca="1">IFERROR(IF(OR('Raw Data'!N122="",LEN(TRIM('Raw Data'!N122))=0),"",IF(AND(ISNUMBER('Raw Data'!N122), IFERROR('Raw Data'!N122 = ROUND('Raw Data'!N122, 2),FALSE)),"",_xlfn.REGEXEXTRACT(CELL("address",N122), "\$([A-Z]+)\$[0-9]+"))),_xlfn.REGEXEXTRACT(CELL("address",N122), "\$([A-Z]+)\$[0-9]+"))</f>
        <v/>
      </c>
      <c r="O122" s="7" t="str">
        <f t="array" aca="1" ref="O122" ca="1">IFERROR(IF(OR('Raw Data'!O122="",LEN(TRIM('Raw Data'!O122))=0),"",IF(AND(ISNUMBER('Raw Data'!O122),'Raw Data'!O122&gt;=Configuration!$D$2),"",_xlfn.REGEXEXTRACT(CELL("address",'Raw Data'!O122),"\$([A-Z]+)\$[0-9]+"))),_xlfn.REGEXEXTRACT(CELL("address",O122), "\$([A-Z]+)\$[0-9]+"))</f>
        <v/>
      </c>
      <c r="P122" s="7" t="str">
        <f t="array" aca="1" ref="P122" ca="1">IFERROR(IF(OR('Raw Data'!P122="",LEN(TRIM('Raw Data'!P122))=0),"",IF(AND(ISNUMBER('Raw Data'!P122), IFERROR('Raw Data'!P122 = ROUND('Raw Data'!P122, 2),FALSE)),"",_xlfn.REGEXEXTRACT(CELL("address",P122), "\$([A-Z]+)\$[0-9]+"))),_xlfn.REGEXEXTRACT(CELL("address",P122), "\$([A-Z]+)\$[0-9]+"))</f>
        <v/>
      </c>
      <c r="Q122" s="7" t="str">
        <f t="array" aca="1" ref="Q122" ca="1">IFERROR(IF(OR('Raw Data'!Q122="",LEN(TRIM('Raw Data'!Q122))=0),"",IF(AND(ISNUMBER('Raw Data'!Q122), IFERROR('Raw Data'!Q122 = ROUND('Raw Data'!Q122, 2),FALSE)),"",_xlfn.REGEXEXTRACT(CELL("address",Q122), "\$([A-Z]+)\$[0-9]+"))),_xlfn.REGEXEXTRACT(CELL("address",Q122), "\$([A-Z]+)\$[0-9]+"))</f>
        <v/>
      </c>
      <c r="R122" s="7" t="str">
        <f t="array" aca="1" ref="R122" ca="1">IFERROR(IF(OR('Raw Data'!R122="",LEN(TRIM('Raw Data'!R122))=0),"",IF(AND(LEN('Raw Data'!R122) &lt;= 50,LEN('Raw Data'!R122)&gt; 0),"",_xlfn.REGEXEXTRACT(CELL("address",'Raw Data'!R122),"\$([A-Z]+)\$[0-9]+"))),_xlfn.REGEXEXTRACT(CELL("address",'Raw Data'!R122),"\$([A-Z]+)\$[0-9]+"))</f>
        <v/>
      </c>
      <c r="S122" s="7" t="str">
        <f t="array" aca="1" ref="S122" ca="1">IFERROR(IF(OR('Raw Data'!S122="",LEN(TRIM('Raw Data'!S122))=0),"",IF(AND(LEN('Raw Data'!S122) &lt;= 50,LEN('Raw Data'!S122)&gt; 0),"",_xlfn.REGEXEXTRACT(CELL("address",'Raw Data'!S122),"\$([A-Z]+)\$[0-9]+"))),_xlfn.REGEXEXTRACT(CELL("address",'Raw Data'!S122),"\$([A-Z]+)\$[0-9]+"))</f>
        <v/>
      </c>
      <c r="T122" s="7" t="str">
        <f t="array" aca="1" ref="T122" ca="1">IFERROR(IF(OR('Raw Data'!T122="",LEN(TRIM('Raw Data'!T122))=0),"",IF(AND(ISNUMBER('Raw Data'!T122), IFERROR('Raw Data'!T122 = ROUND('Raw Data'!T122, 2),FALSE)),"",_xlfn.REGEXEXTRACT(CELL("address",T122), "\$([A-Z]+)\$[0-9]+"))),_xlfn.REGEXEXTRACT(CELL("address",T122), "\$([A-Z]+)\$[0-9]+"))</f>
        <v/>
      </c>
      <c r="U122" s="7" t="str">
        <f t="array" aca="1" ref="U122" ca="1">IFERROR(IF(OR('Raw Data'!U122="",LEN(TRIM('Raw Data'!U122))=0),"",IF(AND(ISNUMBER('Raw Data'!U122), IFERROR('Raw Data'!U122 = ROUND('Raw Data'!U122, 2),FALSE)),"",_xlfn.REGEXEXTRACT(CELL("address",U122), "\$([A-Z]+)\$[0-9]+"))),_xlfn.REGEXEXTRACT(CELL("address",U122), "\$([A-Z]+)\$[0-9]+"))</f>
        <v/>
      </c>
      <c r="V122" s="7" t="str">
        <f t="array" aca="1" ref="V122" ca="1">IFERROR(IF(OR('Raw Data'!V122="",LEN(TRIM('Raw Data'!V122))=0),"",IF(AND(ISNUMBER('Raw Data'!V122), IFERROR('Raw Data'!V122 = ROUND('Raw Data'!V122, 2),FALSE)),"",_xlfn.REGEXEXTRACT(CELL("address",V122), "\$([A-Z]+)\$[0-9]+"))),_xlfn.REGEXEXTRACT(CELL("address",V122), "\$([A-Z]+)\$[0-9]+"))</f>
        <v/>
      </c>
      <c r="W122" s="7" t="str">
        <f t="array" aca="1" ref="W122" ca="1">IFERROR(IF(OR('Raw Data'!W122="",LEN(TRIM('Raw Data'!W122))=0),"",IF(AND(ISNUMBER('Raw Data'!W122), IFERROR('Raw Data'!W122 = ROUND('Raw Data'!W122, 2),FALSE)),"",_xlfn.REGEXEXTRACT(CELL("address",W122), "\$([A-Z]+)\$[0-9]+"))),_xlfn.REGEXEXTRACT(CELL("address",W122), "\$([A-Z]+)\$[0-9]+"))</f>
        <v/>
      </c>
      <c r="X122" s="7" t="str">
        <f t="array" aca="1" ref="X122" ca="1">IFERROR(IF(OR('Raw Data'!X122="",LEN(TRIM('Raw Data'!X122))=0),"",IF(AND(ISNUMBER('Raw Data'!X122), IFERROR('Raw Data'!X122 = ROUND('Raw Data'!X122, 2),FALSE)),"",_xlfn.REGEXEXTRACT(CELL("address",X122), "\$([A-Z]+)\$[0-9]+"))),_xlfn.REGEXEXTRACT(CELL("address",X122), "\$([A-Z]+)\$[0-9]+"))</f>
        <v/>
      </c>
      <c r="Y122" s="7" t="str">
        <f t="array" aca="1" ref="Y122" ca="1">IFERROR(IF(OR('Raw Data'!Y122="",LEN(TRIM('Raw Data'!Y122))=0),"",IF(AND(ISNUMBER('Raw Data'!Y122), IFERROR('Raw Data'!Y122 = ROUND('Raw Data'!Y122, 2),FALSE)),"",_xlfn.REGEXEXTRACT(CELL("address",Y122), "\$([A-Z]+)\$[0-9]+"))),_xlfn.REGEXEXTRACT(CELL("address",Y122), "\$([A-Z]+)\$[0-9]+"))</f>
        <v/>
      </c>
      <c r="Z122" s="7" t="str">
        <f t="array" aca="1" ref="Z122" ca="1">IFERROR(IF(OR('Raw Data'!Z122="",LEN(TRIM('Raw Data'!Z122))=0),"",IF(AND(ISNUMBER('Raw Data'!Z122), IFERROR('Raw Data'!Z122 = ROUND('Raw Data'!Z122, 2),FALSE)),"",_xlfn.REGEXEXTRACT(CELL("address",Z122), "\$([A-Z]+)\$[0-9]+"))),_xlfn.REGEXEXTRACT(CELL("address",Z122), "\$([A-Z]+)\$[0-9]+"))</f>
        <v/>
      </c>
      <c r="AA122" s="7" t="str">
        <f t="array" aca="1" ref="AA122" ca="1">IFERROR(IF(OR('Raw Data'!AA122="",LEN(TRIM('Raw Data'!AA122))=0),"",IF(AND(ISNUMBER('Raw Data'!AA122), IFERROR('Raw Data'!AA122 = ROUND('Raw Data'!AA122, 2),FALSE)),"",_xlfn.REGEXEXTRACT(CELL("address",AA122), "\$([A-Z]+)\$[0-9]+"))),_xlfn.REGEXEXTRACT(CELL("address",AA122), "\$([A-Z]+)\$[0-9]+"))</f>
        <v/>
      </c>
      <c r="AB122" s="7" t="str">
        <f t="array" aca="1" ref="AB122" ca="1">IFERROR(IF(OR('Raw Data'!AB122="",LEN(TRIM('Raw Data'!AB122))=0),"",IF(AND(ISNUMBER('Raw Data'!AB122), IFERROR('Raw Data'!AB122 = ROUND('Raw Data'!AB122, 2),FALSE)),"",_xlfn.REGEXEXTRACT(CELL("address",AB122), "\$([A-Z]+)\$[0-9]+"))),_xlfn.REGEXEXTRACT(CELL("address",AB122), "\$([A-Z]+)\$[0-9]+"))</f>
        <v/>
      </c>
      <c r="AC122" s="7" t="str">
        <f t="array" aca="1" ref="AC122" ca="1">IFERROR(IF(OR('Raw Data'!AC122="",LEN(TRIM('Raw Data'!AC122))=0),"",IF(AND(ISNUMBER('Raw Data'!AC122), IFERROR('Raw Data'!AC122 = ROUND('Raw Data'!AC122, 2),FALSE)),"",_xlfn.REGEXEXTRACT(CELL("address",AC122), "\$([A-Z]+)\$[0-9]+"))),_xlfn.REGEXEXTRACT(CELL("address",AC122), "\$([A-Z]+)\$[0-9]+"))</f>
        <v/>
      </c>
      <c r="AD122" s="7" t="str">
        <f t="array" aca="1" ref="AD122" ca="1">IFERROR(IF(OR('Raw Data'!AD122="",LEN(TRIM('Raw Data'!AD122))=0),"",IF(AND(ISNUMBER('Raw Data'!AD122), IFERROR('Raw Data'!AD122 = ROUND('Raw Data'!AD122, 2),FALSE)),"",_xlfn.REGEXEXTRACT(CELL("address",AD122), "\$([A-Z]+)\$[0-9]+"))),_xlfn.REGEXEXTRACT(CELL("address",AD122), "\$([A-Z]+)\$[0-9]+"))</f>
        <v/>
      </c>
      <c r="AE122" s="7" t="str">
        <f t="array" aca="1" ref="AE122" ca="1">IFERROR(IF(OR('Raw Data'!AE122="",LEN(TRIM('Raw Data'!AE122))=0),"",IF(AND(ISNUMBER('Raw Data'!AE122), IFERROR('Raw Data'!AE122 = ROUND('Raw Data'!AE122, 2),FALSE)),"",_xlfn.REGEXEXTRACT(CELL("address",AE122), "\$([A-Z]+)\$[0-9]+"))),_xlfn.REGEXEXTRACT(CELL("address",AE122), "\$([A-Z]+)\$[0-9]+"))</f>
        <v/>
      </c>
      <c r="AF122" s="7" t="str">
        <f t="array" aca="1" ref="AF122" ca="1">IFERROR(IF(OR('Raw Data'!AF122="",LEN(TRIM('Raw Data'!AF122))=0),"",IF(AND(ISNUMBER('Raw Data'!AF122), IFERROR('Raw Data'!AF122 = ROUND('Raw Data'!AF122, 2),FALSE)),"",_xlfn.REGEXEXTRACT(CELL("address",AF122), "\$([A-Z]+)\$[0-9]+"))),_xlfn.REGEXEXTRACT(CELL("address",AF122), "\$([A-Z]+)\$[0-9]+"))</f>
        <v/>
      </c>
      <c r="AG122" s="7" t="str">
        <f t="array" aca="1" ref="AG122" ca="1">IFERROR(IF(OR('Raw Data'!AG122="",LEN(TRIM('Raw Data'!AG122))=0),"",IF(AND(ISNUMBER('Raw Data'!AG122), IFERROR('Raw Data'!AG122 = ROUND('Raw Data'!AG122, 2),FALSE)),"",_xlfn.REGEXEXTRACT(CELL("address",AG122), "\$([A-Z]+)\$[0-9]+"))),_xlfn.REGEXEXTRACT(CELL("address",AG122), "\$([A-Z]+)\$[0-9]+"))</f>
        <v/>
      </c>
      <c r="AH122" s="7" t="str">
        <f t="array" aca="1" ref="AH122" ca="1">IFERROR(IF(OR('Raw Data'!AH122="",LEN(TRIM('Raw Data'!AH122))=0),"",IF(AND(ISNUMBER('Raw Data'!AH122), IFERROR('Raw Data'!AH122 = ROUND('Raw Data'!AH122, 2),FALSE)),"",_xlfn.REGEXEXTRACT(CELL("address",AH122), "\$([A-Z]+)\$[0-9]+"))),_xlfn.REGEXEXTRACT(CELL("address",AH122), "\$([A-Z]+)\$[0-9]+"))</f>
        <v/>
      </c>
      <c r="AI122" s="7" t="str">
        <f t="array" aca="1" ref="AI122" ca="1">IFERROR(IF(OR('Raw Data'!AI122="",LEN(TRIM('Raw Data'!AI122))=0),"",IF(AND(ISNUMBER('Raw Data'!AI122), IFERROR('Raw Data'!AI122 = ROUND('Raw Data'!AI122, 2),FALSE)),"",_xlfn.REGEXEXTRACT(CELL("address",AI122), "\$([A-Z]+)\$[0-9]+"))),_xlfn.REGEXEXTRACT(CELL("address",AI122), "\$([A-Z]+)\$[0-9]+"))</f>
        <v/>
      </c>
      <c r="AJ122" s="7" t="str">
        <f t="array" aca="1" ref="AJ122" ca="1">IFERROR(IF(OR('Raw Data'!AJ122="",LEN(TRIM('Raw Data'!AJ122))=0),"",IF(AND(ISNUMBER('Raw Data'!AJ122), IFERROR('Raw Data'!AJ122 = ROUND('Raw Data'!AJ122, 4),FALSE)),"",_xlfn.REGEXEXTRACT(CELL("address",AJ122), "\$([A-Z]+)\$[0-9]+"))),_xlfn.REGEXEXTRACT(CELL("address",AJ122), "\$([A-Z]+)\$[0-9]+"))</f>
        <v/>
      </c>
      <c r="AK122" s="7" t="str">
        <f t="array" aca="1" ref="AK122" ca="1">IFERROR(IF(OR('Raw Data'!AK122="",LEN(TRIM('Raw Data'!AK122))=0),"",IF(AND(ISNUMBER('Raw Data'!AK122), IFERROR('Raw Data'!AK122 = ROUND('Raw Data'!AK122, 2),FALSE)),"",_xlfn.REGEXEXTRACT(CELL("address",AK122), "\$([A-Z]+)\$[0-9]+"))),_xlfn.REGEXEXTRACT(CELL("address",AK122), "\$([A-Z]+)\$[0-9]+"))</f>
        <v/>
      </c>
      <c r="AL122" s="7" t="str">
        <f t="array" aca="1" ref="AL122" ca="1">IFERROR(IF(OR('Raw Data'!AL122="",LEN(TRIM('Raw Data'!AL122))=0),"",IF(AND(ISNUMBER('Raw Data'!AL122), IFERROR('Raw Data'!AL122 = ROUND('Raw Data'!AL122, 2),FALSE)),"",_xlfn.REGEXEXTRACT(CELL("address",AL122), "\$([A-Z]+)\$[0-9]+"))),_xlfn.REGEXEXTRACT(CELL("address",AL122), "\$([A-Z]+)\$[0-9]+"))</f>
        <v/>
      </c>
      <c r="AM122" s="7" t="str">
        <f t="array" aca="1" ref="AM122" ca="1">IFERROR(IF(OR('Raw Data'!AM122="",LEN(TRIM('Raw Data'!AM122))=0),"",IF(AND(ISNUMBER('Raw Data'!AM122), IFERROR('Raw Data'!AM122 = ROUND('Raw Data'!AM122, 2),FALSE)),"",_xlfn.REGEXEXTRACT(CELL("address",AM122), "\$([A-Z]+)\$[0-9]+"))),_xlfn.REGEXEXTRACT(CELL("address",AM122), "\$([A-Z]+)\$[0-9]+"))</f>
        <v/>
      </c>
      <c r="AN122" s="7" t="str">
        <f t="array" aca="1" ref="AN122" ca="1">IFERROR(IF(OR('Raw Data'!AN122="",LEN(TRIM('Raw Data'!AN122))=0),"",IF(AND(ISNUMBER('Raw Data'!AN122), IFERROR('Raw Data'!AN122 = ROUND('Raw Data'!AN122, 2),FALSE)),"",_xlfn.REGEXEXTRACT(CELL("address",AN122), "\$([A-Z]+)\$[0-9]+"))),_xlfn.REGEXEXTRACT(CELL("address",AN122), "\$([A-Z]+)\$[0-9]+"))</f>
        <v/>
      </c>
      <c r="AO122" s="7" t="str">
        <f t="array" aca="1" ref="AO122" ca="1">IFERROR(IF(OR('Raw Data'!AO122="",LEN(TRIM('Raw Data'!AO122))=0),"",IF(AND(ISNUMBER('Raw Data'!AO122), IFERROR('Raw Data'!AO122 = ROUND('Raw Data'!AO122, 2),FALSE)),"",_xlfn.REGEXEXTRACT(CELL("address",AO122), "\$([A-Z]+)\$[0-9]+"))),_xlfn.REGEXEXTRACT(CELL("address",AO122), "\$([A-Z]+)\$[0-9]+"))</f>
        <v/>
      </c>
      <c r="AP122" s="7" t="str">
        <f t="array" aca="1" ref="AP122" ca="1">IFERROR(IF(OR('Raw Data'!AP122="",LEN(TRIM('Raw Data'!AP122))=0),"",IF(AND(ISNUMBER('Raw Data'!AP122), IFERROR('Raw Data'!AP122 = ROUND('Raw Data'!AP122, 2),FALSE)),"",_xlfn.REGEXEXTRACT(CELL("address",AP122), "\$([A-Z]+)\$[0-9]+"))),_xlfn.REGEXEXTRACT(CELL("address",AP122), "\$([A-Z]+)\$[0-9]+"))</f>
        <v/>
      </c>
    </row>
    <row r="123" spans="2:42" x14ac:dyDescent="0.25">
      <c r="B123" s="7" t="str">
        <f t="array" aca="1" ref="B123" ca="1">IFERROR(IF(OR('Raw Data'!B123="",LEN(TRIM('Raw Data'!B123))=0),"",IF(AND(LEN('Raw Data'!B123) &lt;= 255,LEN('Raw Data'!B123)&gt; 0),"",_xlfn.REGEXEXTRACT(CELL("address",'Raw Data'!B123),"\$([A-Z]+)\$[0-9]+"))),_xlfn.REGEXEXTRACT(CELL("address",'Raw Data'!B123),"\$([A-Z]+)\$[0-9]+"))</f>
        <v/>
      </c>
      <c r="C123" s="7" t="str">
        <f t="array" aca="1" ref="C123" ca="1">IFERROR(IF(OR('Raw Data'!C123="",LEN(TRIM('Raw Data'!C123))=0),"",IF(AND(LEN('Raw Data'!C123) &lt;= 50,LEN('Raw Data'!C123)&gt; 0),"",_xlfn.REGEXEXTRACT(CELL("address",'Raw Data'!C123),"\$([A-Z]+)\$[0-9]+"))),_xlfn.REGEXEXTRACT(CELL("address",'Raw Data'!C123),"\$([A-Z]+)\$[0-9]+"))</f>
        <v/>
      </c>
      <c r="D123" s="7" t="str">
        <f t="array" aca="1" ref="D123" ca="1">IFERROR(IF(OR('Raw Data'!D123="",LEN(TRIM('Raw Data'!D123))=0),"",IF(AND(LEN('Raw Data'!D123) &lt;= 500,LEN('Raw Data'!D123)&gt; 0),"",_xlfn.REGEXEXTRACT(CELL("address",'Raw Data'!D123),"\$([A-Z]+)\$[0-9]+"))),_xlfn.REGEXEXTRACT(CELL("address",'Raw Data'!D123),"\$([A-Z]+)\$[0-9]+"))</f>
        <v/>
      </c>
      <c r="E123" s="7" t="str">
        <f t="array" aca="1" ref="E123" ca="1">IFERROR(IF(OR('Raw Data'!E123="",LEN(TRIM('Raw Data'!E123))=0),"",IF(AND(LEN('Raw Data'!E123) &lt;= 50,LEN('Raw Data'!E123)&gt; 0),"",_xlfn.REGEXEXTRACT(CELL("address",'Raw Data'!E123),"\$([A-Z]+)\$[0-9]+"))),_xlfn.REGEXEXTRACT(CELL("address",'Raw Data'!E123),"\$([A-Z]+)\$[0-9]+"))</f>
        <v/>
      </c>
      <c r="F123" s="7" t="str">
        <f t="array" aca="1" ref="F123" ca="1">IFERROR(IF(OR('Raw Data'!F123="",LEN(TRIM('Raw Data'!F123))=0),"",IF(AND(LEN('Raw Data'!F123) &lt;= 50,LEN('Raw Data'!F123)&gt; 0),"",_xlfn.REGEXEXTRACT(CELL("address",'Raw Data'!F123),"\$([A-Z]+)\$[0-9]+"))),_xlfn.REGEXEXTRACT(CELL("address",'Raw Data'!F123),"\$([A-Z]+)\$[0-9]+"))</f>
        <v/>
      </c>
      <c r="G123" s="7" t="str">
        <f t="array" aca="1" ref="G123" ca="1">IFERROR(IF(OR('Raw Data'!G123="",LEN(TRIM('Raw Data'!G123))=0),"",IF(AND(LEN('Raw Data'!G123) &lt;= 50,LEN('Raw Data'!G123)&gt; 0),"",_xlfn.REGEXEXTRACT(CELL("address",'Raw Data'!G123),"\$([A-Z]+)\$[0-9]+"))),_xlfn.REGEXEXTRACT(CELL("address",'Raw Data'!G123),"\$([A-Z]+)\$[0-9]+"))</f>
        <v/>
      </c>
      <c r="H123" s="7" t="str">
        <f t="array" aca="1" ref="H123" ca="1">IFERROR(IF(OR('Raw Data'!H123="",LEN(TRIM('Raw Data'!H123))=0),"",IF(AND(LEN('Raw Data'!H123) &lt;= 50,LEN('Raw Data'!H123)&gt; 0),"",_xlfn.REGEXEXTRACT(CELL("address",'Raw Data'!H123),"\$([A-Z]+)\$[0-9]+"))),_xlfn.REGEXEXTRACT(CELL("address",'Raw Data'!H123),"\$([A-Z]+)\$[0-9]+"))</f>
        <v/>
      </c>
      <c r="I123" s="7" t="str">
        <f t="array" aca="1" ref="I123" ca="1">IFERROR(IF(OR('Raw Data'!I123="",LEN(TRIM('Raw Data'!I123))=0),"",IF(AND(LEN('Raw Data'!I123) &lt;= 50,LEN('Raw Data'!I123)&gt; 0),"",_xlfn.REGEXEXTRACT(CELL("address",'Raw Data'!I123),"\$([A-Z]+)\$[0-9]+"))),_xlfn.REGEXEXTRACT(CELL("address",'Raw Data'!I123),"\$([A-Z]+)\$[0-9]+"))</f>
        <v/>
      </c>
      <c r="J123" s="7" t="str">
        <f t="array" aca="1" ref="J123" ca="1">IFERROR(IF(OR('Raw Data'!J123="",LEN(TRIM('Raw Data'!J123))=0),"",IF(AND(ISNUMBER('Raw Data'!J123), IFERROR('Raw Data'!J123 = ROUND('Raw Data'!J123, 2),FALSE)),"",_xlfn.REGEXEXTRACT(CELL("address",J123), "\$([A-Z]+)\$[0-9]+"))),_xlfn.REGEXEXTRACT(CELL("address",J123), "\$([A-Z]+)\$[0-9]+"))</f>
        <v/>
      </c>
      <c r="K123" s="7" t="str">
        <f t="array" aca="1" ref="K123" ca="1">IFERROR(IF(OR('Raw Data'!K123="",LEN(TRIM('Raw Data'!K123))=0),"",IF(AND(ISNUMBER('Raw Data'!K123), IFERROR('Raw Data'!K123 = ROUND('Raw Data'!K123, 2),FALSE)),"",_xlfn.REGEXEXTRACT(CELL("address",K123), "\$([A-Z]+)\$[0-9]+"))),_xlfn.REGEXEXTRACT(CELL("address",K123), "\$([A-Z]+)\$[0-9]+"))</f>
        <v/>
      </c>
      <c r="L123" s="7" t="str">
        <f t="array" aca="1" ref="L123" ca="1">IFERROR(IF(OR('Raw Data'!L123="",LEN(TRIM('Raw Data'!L123))=0),"",IF(AND(ISNUMBER('Raw Data'!L123), IFERROR('Raw Data'!L123 = ROUND('Raw Data'!L123, 2),FALSE)),"",_xlfn.REGEXEXTRACT(CELL("address",L123), "\$([A-Z]+)\$[0-9]+"))),_xlfn.REGEXEXTRACT(CELL("address",L123), "\$([A-Z]+)\$[0-9]+"))</f>
        <v/>
      </c>
      <c r="M123" s="7" t="str">
        <f t="array" aca="1" ref="M123" ca="1">IFERROR(IF(OR('Raw Data'!M123="",LEN(TRIM('Raw Data'!M123))=0),"",IF(AND(ISNUMBER('Raw Data'!M123), IFERROR('Raw Data'!M123 = ROUND('Raw Data'!M123, 2),FALSE)),"",_xlfn.REGEXEXTRACT(CELL("address",M123), "\$([A-Z]+)\$[0-9]+"))),_xlfn.REGEXEXTRACT(CELL("address",M123), "\$([A-Z]+)\$[0-9]+"))</f>
        <v/>
      </c>
      <c r="N123" s="7" t="str">
        <f t="array" aca="1" ref="N123" ca="1">IFERROR(IF(OR('Raw Data'!N123="",LEN(TRIM('Raw Data'!N123))=0),"",IF(AND(ISNUMBER('Raw Data'!N123), IFERROR('Raw Data'!N123 = ROUND('Raw Data'!N123, 2),FALSE)),"",_xlfn.REGEXEXTRACT(CELL("address",N123), "\$([A-Z]+)\$[0-9]+"))),_xlfn.REGEXEXTRACT(CELL("address",N123), "\$([A-Z]+)\$[0-9]+"))</f>
        <v/>
      </c>
      <c r="O123" s="7" t="str">
        <f t="array" aca="1" ref="O123" ca="1">IFERROR(IF(OR('Raw Data'!O123="",LEN(TRIM('Raw Data'!O123))=0),"",IF(AND(ISNUMBER('Raw Data'!O123),'Raw Data'!O123&gt;=Configuration!$D$2),"",_xlfn.REGEXEXTRACT(CELL("address",'Raw Data'!O123),"\$([A-Z]+)\$[0-9]+"))),_xlfn.REGEXEXTRACT(CELL("address",O123), "\$([A-Z]+)\$[0-9]+"))</f>
        <v/>
      </c>
      <c r="P123" s="7" t="str">
        <f t="array" aca="1" ref="P123" ca="1">IFERROR(IF(OR('Raw Data'!P123="",LEN(TRIM('Raw Data'!P123))=0),"",IF(AND(ISNUMBER('Raw Data'!P123), IFERROR('Raw Data'!P123 = ROUND('Raw Data'!P123, 2),FALSE)),"",_xlfn.REGEXEXTRACT(CELL("address",P123), "\$([A-Z]+)\$[0-9]+"))),_xlfn.REGEXEXTRACT(CELL("address",P123), "\$([A-Z]+)\$[0-9]+"))</f>
        <v/>
      </c>
      <c r="Q123" s="7" t="str">
        <f t="array" aca="1" ref="Q123" ca="1">IFERROR(IF(OR('Raw Data'!Q123="",LEN(TRIM('Raw Data'!Q123))=0),"",IF(AND(ISNUMBER('Raw Data'!Q123), IFERROR('Raw Data'!Q123 = ROUND('Raw Data'!Q123, 2),FALSE)),"",_xlfn.REGEXEXTRACT(CELL("address",Q123), "\$([A-Z]+)\$[0-9]+"))),_xlfn.REGEXEXTRACT(CELL("address",Q123), "\$([A-Z]+)\$[0-9]+"))</f>
        <v/>
      </c>
      <c r="R123" s="7" t="str">
        <f t="array" aca="1" ref="R123" ca="1">IFERROR(IF(OR('Raw Data'!R123="",LEN(TRIM('Raw Data'!R123))=0),"",IF(AND(LEN('Raw Data'!R123) &lt;= 50,LEN('Raw Data'!R123)&gt; 0),"",_xlfn.REGEXEXTRACT(CELL("address",'Raw Data'!R123),"\$([A-Z]+)\$[0-9]+"))),_xlfn.REGEXEXTRACT(CELL("address",'Raw Data'!R123),"\$([A-Z]+)\$[0-9]+"))</f>
        <v/>
      </c>
      <c r="S123" s="7" t="str">
        <f t="array" aca="1" ref="S123" ca="1">IFERROR(IF(OR('Raw Data'!S123="",LEN(TRIM('Raw Data'!S123))=0),"",IF(AND(LEN('Raw Data'!S123) &lt;= 50,LEN('Raw Data'!S123)&gt; 0),"",_xlfn.REGEXEXTRACT(CELL("address",'Raw Data'!S123),"\$([A-Z]+)\$[0-9]+"))),_xlfn.REGEXEXTRACT(CELL("address",'Raw Data'!S123),"\$([A-Z]+)\$[0-9]+"))</f>
        <v/>
      </c>
      <c r="T123" s="7" t="str">
        <f t="array" aca="1" ref="T123" ca="1">IFERROR(IF(OR('Raw Data'!T123="",LEN(TRIM('Raw Data'!T123))=0),"",IF(AND(ISNUMBER('Raw Data'!T123), IFERROR('Raw Data'!T123 = ROUND('Raw Data'!T123, 2),FALSE)),"",_xlfn.REGEXEXTRACT(CELL("address",T123), "\$([A-Z]+)\$[0-9]+"))),_xlfn.REGEXEXTRACT(CELL("address",T123), "\$([A-Z]+)\$[0-9]+"))</f>
        <v/>
      </c>
      <c r="U123" s="7" t="str">
        <f t="array" aca="1" ref="U123" ca="1">IFERROR(IF(OR('Raw Data'!U123="",LEN(TRIM('Raw Data'!U123))=0),"",IF(AND(ISNUMBER('Raw Data'!U123), IFERROR('Raw Data'!U123 = ROUND('Raw Data'!U123, 2),FALSE)),"",_xlfn.REGEXEXTRACT(CELL("address",U123), "\$([A-Z]+)\$[0-9]+"))),_xlfn.REGEXEXTRACT(CELL("address",U123), "\$([A-Z]+)\$[0-9]+"))</f>
        <v/>
      </c>
      <c r="V123" s="7" t="str">
        <f t="array" aca="1" ref="V123" ca="1">IFERROR(IF(OR('Raw Data'!V123="",LEN(TRIM('Raw Data'!V123))=0),"",IF(AND(ISNUMBER('Raw Data'!V123), IFERROR('Raw Data'!V123 = ROUND('Raw Data'!V123, 2),FALSE)),"",_xlfn.REGEXEXTRACT(CELL("address",V123), "\$([A-Z]+)\$[0-9]+"))),_xlfn.REGEXEXTRACT(CELL("address",V123), "\$([A-Z]+)\$[0-9]+"))</f>
        <v/>
      </c>
      <c r="W123" s="7" t="str">
        <f t="array" aca="1" ref="W123" ca="1">IFERROR(IF(OR('Raw Data'!W123="",LEN(TRIM('Raw Data'!W123))=0),"",IF(AND(ISNUMBER('Raw Data'!W123), IFERROR('Raw Data'!W123 = ROUND('Raw Data'!W123, 2),FALSE)),"",_xlfn.REGEXEXTRACT(CELL("address",W123), "\$([A-Z]+)\$[0-9]+"))),_xlfn.REGEXEXTRACT(CELL("address",W123), "\$([A-Z]+)\$[0-9]+"))</f>
        <v/>
      </c>
      <c r="X123" s="7" t="str">
        <f t="array" aca="1" ref="X123" ca="1">IFERROR(IF(OR('Raw Data'!X123="",LEN(TRIM('Raw Data'!X123))=0),"",IF(AND(ISNUMBER('Raw Data'!X123), IFERROR('Raw Data'!X123 = ROUND('Raw Data'!X123, 2),FALSE)),"",_xlfn.REGEXEXTRACT(CELL("address",X123), "\$([A-Z]+)\$[0-9]+"))),_xlfn.REGEXEXTRACT(CELL("address",X123), "\$([A-Z]+)\$[0-9]+"))</f>
        <v/>
      </c>
      <c r="Y123" s="7" t="str">
        <f t="array" aca="1" ref="Y123" ca="1">IFERROR(IF(OR('Raw Data'!Y123="",LEN(TRIM('Raw Data'!Y123))=0),"",IF(AND(ISNUMBER('Raw Data'!Y123), IFERROR('Raw Data'!Y123 = ROUND('Raw Data'!Y123, 2),FALSE)),"",_xlfn.REGEXEXTRACT(CELL("address",Y123), "\$([A-Z]+)\$[0-9]+"))),_xlfn.REGEXEXTRACT(CELL("address",Y123), "\$([A-Z]+)\$[0-9]+"))</f>
        <v/>
      </c>
      <c r="Z123" s="7" t="str">
        <f t="array" aca="1" ref="Z123" ca="1">IFERROR(IF(OR('Raw Data'!Z123="",LEN(TRIM('Raw Data'!Z123))=0),"",IF(AND(ISNUMBER('Raw Data'!Z123), IFERROR('Raw Data'!Z123 = ROUND('Raw Data'!Z123, 2),FALSE)),"",_xlfn.REGEXEXTRACT(CELL("address",Z123), "\$([A-Z]+)\$[0-9]+"))),_xlfn.REGEXEXTRACT(CELL("address",Z123), "\$([A-Z]+)\$[0-9]+"))</f>
        <v/>
      </c>
      <c r="AA123" s="7" t="str">
        <f t="array" aca="1" ref="AA123" ca="1">IFERROR(IF(OR('Raw Data'!AA123="",LEN(TRIM('Raw Data'!AA123))=0),"",IF(AND(ISNUMBER('Raw Data'!AA123), IFERROR('Raw Data'!AA123 = ROUND('Raw Data'!AA123, 2),FALSE)),"",_xlfn.REGEXEXTRACT(CELL("address",AA123), "\$([A-Z]+)\$[0-9]+"))),_xlfn.REGEXEXTRACT(CELL("address",AA123), "\$([A-Z]+)\$[0-9]+"))</f>
        <v/>
      </c>
      <c r="AB123" s="7" t="str">
        <f t="array" aca="1" ref="AB123" ca="1">IFERROR(IF(OR('Raw Data'!AB123="",LEN(TRIM('Raw Data'!AB123))=0),"",IF(AND(ISNUMBER('Raw Data'!AB123), IFERROR('Raw Data'!AB123 = ROUND('Raw Data'!AB123, 2),FALSE)),"",_xlfn.REGEXEXTRACT(CELL("address",AB123), "\$([A-Z]+)\$[0-9]+"))),_xlfn.REGEXEXTRACT(CELL("address",AB123), "\$([A-Z]+)\$[0-9]+"))</f>
        <v/>
      </c>
      <c r="AC123" s="7" t="str">
        <f t="array" aca="1" ref="AC123" ca="1">IFERROR(IF(OR('Raw Data'!AC123="",LEN(TRIM('Raw Data'!AC123))=0),"",IF(AND(ISNUMBER('Raw Data'!AC123), IFERROR('Raw Data'!AC123 = ROUND('Raw Data'!AC123, 2),FALSE)),"",_xlfn.REGEXEXTRACT(CELL("address",AC123), "\$([A-Z]+)\$[0-9]+"))),_xlfn.REGEXEXTRACT(CELL("address",AC123), "\$([A-Z]+)\$[0-9]+"))</f>
        <v/>
      </c>
      <c r="AD123" s="7" t="str">
        <f t="array" aca="1" ref="AD123" ca="1">IFERROR(IF(OR('Raw Data'!AD123="",LEN(TRIM('Raw Data'!AD123))=0),"",IF(AND(ISNUMBER('Raw Data'!AD123), IFERROR('Raw Data'!AD123 = ROUND('Raw Data'!AD123, 2),FALSE)),"",_xlfn.REGEXEXTRACT(CELL("address",AD123), "\$([A-Z]+)\$[0-9]+"))),_xlfn.REGEXEXTRACT(CELL("address",AD123), "\$([A-Z]+)\$[0-9]+"))</f>
        <v/>
      </c>
      <c r="AE123" s="7" t="str">
        <f t="array" aca="1" ref="AE123" ca="1">IFERROR(IF(OR('Raw Data'!AE123="",LEN(TRIM('Raw Data'!AE123))=0),"",IF(AND(ISNUMBER('Raw Data'!AE123), IFERROR('Raw Data'!AE123 = ROUND('Raw Data'!AE123, 2),FALSE)),"",_xlfn.REGEXEXTRACT(CELL("address",AE123), "\$([A-Z]+)\$[0-9]+"))),_xlfn.REGEXEXTRACT(CELL("address",AE123), "\$([A-Z]+)\$[0-9]+"))</f>
        <v/>
      </c>
      <c r="AF123" s="7" t="str">
        <f t="array" aca="1" ref="AF123" ca="1">IFERROR(IF(OR('Raw Data'!AF123="",LEN(TRIM('Raw Data'!AF123))=0),"",IF(AND(ISNUMBER('Raw Data'!AF123), IFERROR('Raw Data'!AF123 = ROUND('Raw Data'!AF123, 2),FALSE)),"",_xlfn.REGEXEXTRACT(CELL("address",AF123), "\$([A-Z]+)\$[0-9]+"))),_xlfn.REGEXEXTRACT(CELL("address",AF123), "\$([A-Z]+)\$[0-9]+"))</f>
        <v/>
      </c>
      <c r="AG123" s="7" t="str">
        <f t="array" aca="1" ref="AG123" ca="1">IFERROR(IF(OR('Raw Data'!AG123="",LEN(TRIM('Raw Data'!AG123))=0),"",IF(AND(ISNUMBER('Raw Data'!AG123), IFERROR('Raw Data'!AG123 = ROUND('Raw Data'!AG123, 2),FALSE)),"",_xlfn.REGEXEXTRACT(CELL("address",AG123), "\$([A-Z]+)\$[0-9]+"))),_xlfn.REGEXEXTRACT(CELL("address",AG123), "\$([A-Z]+)\$[0-9]+"))</f>
        <v/>
      </c>
      <c r="AH123" s="7" t="str">
        <f t="array" aca="1" ref="AH123" ca="1">IFERROR(IF(OR('Raw Data'!AH123="",LEN(TRIM('Raw Data'!AH123))=0),"",IF(AND(ISNUMBER('Raw Data'!AH123), IFERROR('Raw Data'!AH123 = ROUND('Raw Data'!AH123, 2),FALSE)),"",_xlfn.REGEXEXTRACT(CELL("address",AH123), "\$([A-Z]+)\$[0-9]+"))),_xlfn.REGEXEXTRACT(CELL("address",AH123), "\$([A-Z]+)\$[0-9]+"))</f>
        <v/>
      </c>
      <c r="AI123" s="7" t="str">
        <f t="array" aca="1" ref="AI123" ca="1">IFERROR(IF(OR('Raw Data'!AI123="",LEN(TRIM('Raw Data'!AI123))=0),"",IF(AND(ISNUMBER('Raw Data'!AI123), IFERROR('Raw Data'!AI123 = ROUND('Raw Data'!AI123, 2),FALSE)),"",_xlfn.REGEXEXTRACT(CELL("address",AI123), "\$([A-Z]+)\$[0-9]+"))),_xlfn.REGEXEXTRACT(CELL("address",AI123), "\$([A-Z]+)\$[0-9]+"))</f>
        <v/>
      </c>
      <c r="AJ123" s="7" t="str">
        <f t="array" aca="1" ref="AJ123" ca="1">IFERROR(IF(OR('Raw Data'!AJ123="",LEN(TRIM('Raw Data'!AJ123))=0),"",IF(AND(ISNUMBER('Raw Data'!AJ123), IFERROR('Raw Data'!AJ123 = ROUND('Raw Data'!AJ123, 4),FALSE)),"",_xlfn.REGEXEXTRACT(CELL("address",AJ123), "\$([A-Z]+)\$[0-9]+"))),_xlfn.REGEXEXTRACT(CELL("address",AJ123), "\$([A-Z]+)\$[0-9]+"))</f>
        <v/>
      </c>
      <c r="AK123" s="7" t="str">
        <f t="array" aca="1" ref="AK123" ca="1">IFERROR(IF(OR('Raw Data'!AK123="",LEN(TRIM('Raw Data'!AK123))=0),"",IF(AND(ISNUMBER('Raw Data'!AK123), IFERROR('Raw Data'!AK123 = ROUND('Raw Data'!AK123, 2),FALSE)),"",_xlfn.REGEXEXTRACT(CELL("address",AK123), "\$([A-Z]+)\$[0-9]+"))),_xlfn.REGEXEXTRACT(CELL("address",AK123), "\$([A-Z]+)\$[0-9]+"))</f>
        <v/>
      </c>
      <c r="AL123" s="7" t="str">
        <f t="array" aca="1" ref="AL123" ca="1">IFERROR(IF(OR('Raw Data'!AL123="",LEN(TRIM('Raw Data'!AL123))=0),"",IF(AND(ISNUMBER('Raw Data'!AL123), IFERROR('Raw Data'!AL123 = ROUND('Raw Data'!AL123, 2),FALSE)),"",_xlfn.REGEXEXTRACT(CELL("address",AL123), "\$([A-Z]+)\$[0-9]+"))),_xlfn.REGEXEXTRACT(CELL("address",AL123), "\$([A-Z]+)\$[0-9]+"))</f>
        <v/>
      </c>
      <c r="AM123" s="7" t="str">
        <f t="array" aca="1" ref="AM123" ca="1">IFERROR(IF(OR('Raw Data'!AM123="",LEN(TRIM('Raw Data'!AM123))=0),"",IF(AND(ISNUMBER('Raw Data'!AM123), IFERROR('Raw Data'!AM123 = ROUND('Raw Data'!AM123, 2),FALSE)),"",_xlfn.REGEXEXTRACT(CELL("address",AM123), "\$([A-Z]+)\$[0-9]+"))),_xlfn.REGEXEXTRACT(CELL("address",AM123), "\$([A-Z]+)\$[0-9]+"))</f>
        <v/>
      </c>
      <c r="AN123" s="7" t="str">
        <f t="array" aca="1" ref="AN123" ca="1">IFERROR(IF(OR('Raw Data'!AN123="",LEN(TRIM('Raw Data'!AN123))=0),"",IF(AND(ISNUMBER('Raw Data'!AN123), IFERROR('Raw Data'!AN123 = ROUND('Raw Data'!AN123, 2),FALSE)),"",_xlfn.REGEXEXTRACT(CELL("address",AN123), "\$([A-Z]+)\$[0-9]+"))),_xlfn.REGEXEXTRACT(CELL("address",AN123), "\$([A-Z]+)\$[0-9]+"))</f>
        <v/>
      </c>
      <c r="AO123" s="7" t="str">
        <f t="array" aca="1" ref="AO123" ca="1">IFERROR(IF(OR('Raw Data'!AO123="",LEN(TRIM('Raw Data'!AO123))=0),"",IF(AND(ISNUMBER('Raw Data'!AO123), IFERROR('Raw Data'!AO123 = ROUND('Raw Data'!AO123, 2),FALSE)),"",_xlfn.REGEXEXTRACT(CELL("address",AO123), "\$([A-Z]+)\$[0-9]+"))),_xlfn.REGEXEXTRACT(CELL("address",AO123), "\$([A-Z]+)\$[0-9]+"))</f>
        <v/>
      </c>
      <c r="AP123" s="7" t="str">
        <f t="array" aca="1" ref="AP123" ca="1">IFERROR(IF(OR('Raw Data'!AP123="",LEN(TRIM('Raw Data'!AP123))=0),"",IF(AND(ISNUMBER('Raw Data'!AP123), IFERROR('Raw Data'!AP123 = ROUND('Raw Data'!AP123, 2),FALSE)),"",_xlfn.REGEXEXTRACT(CELL("address",AP123), "\$([A-Z]+)\$[0-9]+"))),_xlfn.REGEXEXTRACT(CELL("address",AP123), "\$([A-Z]+)\$[0-9]+"))</f>
        <v/>
      </c>
    </row>
    <row r="124" spans="2:42" x14ac:dyDescent="0.25">
      <c r="B124" s="7" t="str">
        <f t="array" aca="1" ref="B124" ca="1">IFERROR(IF(OR('Raw Data'!B124="",LEN(TRIM('Raw Data'!B124))=0),"",IF(AND(LEN('Raw Data'!B124) &lt;= 255,LEN('Raw Data'!B124)&gt; 0),"",_xlfn.REGEXEXTRACT(CELL("address",'Raw Data'!B124),"\$([A-Z]+)\$[0-9]+"))),_xlfn.REGEXEXTRACT(CELL("address",'Raw Data'!B124),"\$([A-Z]+)\$[0-9]+"))</f>
        <v/>
      </c>
      <c r="C124" s="7" t="str">
        <f t="array" aca="1" ref="C124" ca="1">IFERROR(IF(OR('Raw Data'!C124="",LEN(TRIM('Raw Data'!C124))=0),"",IF(AND(LEN('Raw Data'!C124) &lt;= 50,LEN('Raw Data'!C124)&gt; 0),"",_xlfn.REGEXEXTRACT(CELL("address",'Raw Data'!C124),"\$([A-Z]+)\$[0-9]+"))),_xlfn.REGEXEXTRACT(CELL("address",'Raw Data'!C124),"\$([A-Z]+)\$[0-9]+"))</f>
        <v/>
      </c>
      <c r="D124" s="7" t="str">
        <f t="array" aca="1" ref="D124" ca="1">IFERROR(IF(OR('Raw Data'!D124="",LEN(TRIM('Raw Data'!D124))=0),"",IF(AND(LEN('Raw Data'!D124) &lt;= 500,LEN('Raw Data'!D124)&gt; 0),"",_xlfn.REGEXEXTRACT(CELL("address",'Raw Data'!D124),"\$([A-Z]+)\$[0-9]+"))),_xlfn.REGEXEXTRACT(CELL("address",'Raw Data'!D124),"\$([A-Z]+)\$[0-9]+"))</f>
        <v/>
      </c>
      <c r="E124" s="7" t="str">
        <f t="array" aca="1" ref="E124" ca="1">IFERROR(IF(OR('Raw Data'!E124="",LEN(TRIM('Raw Data'!E124))=0),"",IF(AND(LEN('Raw Data'!E124) &lt;= 50,LEN('Raw Data'!E124)&gt; 0),"",_xlfn.REGEXEXTRACT(CELL("address",'Raw Data'!E124),"\$([A-Z]+)\$[0-9]+"))),_xlfn.REGEXEXTRACT(CELL("address",'Raw Data'!E124),"\$([A-Z]+)\$[0-9]+"))</f>
        <v/>
      </c>
      <c r="F124" s="7" t="str">
        <f t="array" aca="1" ref="F124" ca="1">IFERROR(IF(OR('Raw Data'!F124="",LEN(TRIM('Raw Data'!F124))=0),"",IF(AND(LEN('Raw Data'!F124) &lt;= 50,LEN('Raw Data'!F124)&gt; 0),"",_xlfn.REGEXEXTRACT(CELL("address",'Raw Data'!F124),"\$([A-Z]+)\$[0-9]+"))),_xlfn.REGEXEXTRACT(CELL("address",'Raw Data'!F124),"\$([A-Z]+)\$[0-9]+"))</f>
        <v/>
      </c>
      <c r="G124" s="7" t="str">
        <f t="array" aca="1" ref="G124" ca="1">IFERROR(IF(OR('Raw Data'!G124="",LEN(TRIM('Raw Data'!G124))=0),"",IF(AND(LEN('Raw Data'!G124) &lt;= 50,LEN('Raw Data'!G124)&gt; 0),"",_xlfn.REGEXEXTRACT(CELL("address",'Raw Data'!G124),"\$([A-Z]+)\$[0-9]+"))),_xlfn.REGEXEXTRACT(CELL("address",'Raw Data'!G124),"\$([A-Z]+)\$[0-9]+"))</f>
        <v/>
      </c>
      <c r="H124" s="7" t="str">
        <f t="array" aca="1" ref="H124" ca="1">IFERROR(IF(OR('Raw Data'!H124="",LEN(TRIM('Raw Data'!H124))=0),"",IF(AND(LEN('Raw Data'!H124) &lt;= 50,LEN('Raw Data'!H124)&gt; 0),"",_xlfn.REGEXEXTRACT(CELL("address",'Raw Data'!H124),"\$([A-Z]+)\$[0-9]+"))),_xlfn.REGEXEXTRACT(CELL("address",'Raw Data'!H124),"\$([A-Z]+)\$[0-9]+"))</f>
        <v/>
      </c>
      <c r="I124" s="7" t="str">
        <f t="array" aca="1" ref="I124" ca="1">IFERROR(IF(OR('Raw Data'!I124="",LEN(TRIM('Raw Data'!I124))=0),"",IF(AND(LEN('Raw Data'!I124) &lt;= 50,LEN('Raw Data'!I124)&gt; 0),"",_xlfn.REGEXEXTRACT(CELL("address",'Raw Data'!I124),"\$([A-Z]+)\$[0-9]+"))),_xlfn.REGEXEXTRACT(CELL("address",'Raw Data'!I124),"\$([A-Z]+)\$[0-9]+"))</f>
        <v/>
      </c>
      <c r="J124" s="7" t="str">
        <f t="array" aca="1" ref="J124" ca="1">IFERROR(IF(OR('Raw Data'!J124="",LEN(TRIM('Raw Data'!J124))=0),"",IF(AND(ISNUMBER('Raw Data'!J124), IFERROR('Raw Data'!J124 = ROUND('Raw Data'!J124, 2),FALSE)),"",_xlfn.REGEXEXTRACT(CELL("address",J124), "\$([A-Z]+)\$[0-9]+"))),_xlfn.REGEXEXTRACT(CELL("address",J124), "\$([A-Z]+)\$[0-9]+"))</f>
        <v/>
      </c>
      <c r="K124" s="7" t="str">
        <f t="array" aca="1" ref="K124" ca="1">IFERROR(IF(OR('Raw Data'!K124="",LEN(TRIM('Raw Data'!K124))=0),"",IF(AND(ISNUMBER('Raw Data'!K124), IFERROR('Raw Data'!K124 = ROUND('Raw Data'!K124, 2),FALSE)),"",_xlfn.REGEXEXTRACT(CELL("address",K124), "\$([A-Z]+)\$[0-9]+"))),_xlfn.REGEXEXTRACT(CELL("address",K124), "\$([A-Z]+)\$[0-9]+"))</f>
        <v/>
      </c>
      <c r="L124" s="7" t="str">
        <f t="array" aca="1" ref="L124" ca="1">IFERROR(IF(OR('Raw Data'!L124="",LEN(TRIM('Raw Data'!L124))=0),"",IF(AND(ISNUMBER('Raw Data'!L124), IFERROR('Raw Data'!L124 = ROUND('Raw Data'!L124, 2),FALSE)),"",_xlfn.REGEXEXTRACT(CELL("address",L124), "\$([A-Z]+)\$[0-9]+"))),_xlfn.REGEXEXTRACT(CELL("address",L124), "\$([A-Z]+)\$[0-9]+"))</f>
        <v/>
      </c>
      <c r="M124" s="7" t="str">
        <f t="array" aca="1" ref="M124" ca="1">IFERROR(IF(OR('Raw Data'!M124="",LEN(TRIM('Raw Data'!M124))=0),"",IF(AND(ISNUMBER('Raw Data'!M124), IFERROR('Raw Data'!M124 = ROUND('Raw Data'!M124, 2),FALSE)),"",_xlfn.REGEXEXTRACT(CELL("address",M124), "\$([A-Z]+)\$[0-9]+"))),_xlfn.REGEXEXTRACT(CELL("address",M124), "\$([A-Z]+)\$[0-9]+"))</f>
        <v/>
      </c>
      <c r="N124" s="7" t="str">
        <f t="array" aca="1" ref="N124" ca="1">IFERROR(IF(OR('Raw Data'!N124="",LEN(TRIM('Raw Data'!N124))=0),"",IF(AND(ISNUMBER('Raw Data'!N124), IFERROR('Raw Data'!N124 = ROUND('Raw Data'!N124, 2),FALSE)),"",_xlfn.REGEXEXTRACT(CELL("address",N124), "\$([A-Z]+)\$[0-9]+"))),_xlfn.REGEXEXTRACT(CELL("address",N124), "\$([A-Z]+)\$[0-9]+"))</f>
        <v/>
      </c>
      <c r="O124" s="7" t="str">
        <f t="array" aca="1" ref="O124" ca="1">IFERROR(IF(OR('Raw Data'!O124="",LEN(TRIM('Raw Data'!O124))=0),"",IF(AND(ISNUMBER('Raw Data'!O124),'Raw Data'!O124&gt;=Configuration!$D$2),"",_xlfn.REGEXEXTRACT(CELL("address",'Raw Data'!O124),"\$([A-Z]+)\$[0-9]+"))),_xlfn.REGEXEXTRACT(CELL("address",O124), "\$([A-Z]+)\$[0-9]+"))</f>
        <v/>
      </c>
      <c r="P124" s="7" t="str">
        <f t="array" aca="1" ref="P124" ca="1">IFERROR(IF(OR('Raw Data'!P124="",LEN(TRIM('Raw Data'!P124))=0),"",IF(AND(ISNUMBER('Raw Data'!P124), IFERROR('Raw Data'!P124 = ROUND('Raw Data'!P124, 2),FALSE)),"",_xlfn.REGEXEXTRACT(CELL("address",P124), "\$([A-Z]+)\$[0-9]+"))),_xlfn.REGEXEXTRACT(CELL("address",P124), "\$([A-Z]+)\$[0-9]+"))</f>
        <v/>
      </c>
      <c r="Q124" s="7" t="str">
        <f t="array" aca="1" ref="Q124" ca="1">IFERROR(IF(OR('Raw Data'!Q124="",LEN(TRIM('Raw Data'!Q124))=0),"",IF(AND(ISNUMBER('Raw Data'!Q124), IFERROR('Raw Data'!Q124 = ROUND('Raw Data'!Q124, 2),FALSE)),"",_xlfn.REGEXEXTRACT(CELL("address",Q124), "\$([A-Z]+)\$[0-9]+"))),_xlfn.REGEXEXTRACT(CELL("address",Q124), "\$([A-Z]+)\$[0-9]+"))</f>
        <v/>
      </c>
      <c r="R124" s="7" t="str">
        <f t="array" aca="1" ref="R124" ca="1">IFERROR(IF(OR('Raw Data'!R124="",LEN(TRIM('Raw Data'!R124))=0),"",IF(AND(LEN('Raw Data'!R124) &lt;= 50,LEN('Raw Data'!R124)&gt; 0),"",_xlfn.REGEXEXTRACT(CELL("address",'Raw Data'!R124),"\$([A-Z]+)\$[0-9]+"))),_xlfn.REGEXEXTRACT(CELL("address",'Raw Data'!R124),"\$([A-Z]+)\$[0-9]+"))</f>
        <v/>
      </c>
      <c r="S124" s="7" t="str">
        <f t="array" aca="1" ref="S124" ca="1">IFERROR(IF(OR('Raw Data'!S124="",LEN(TRIM('Raw Data'!S124))=0),"",IF(AND(LEN('Raw Data'!S124) &lt;= 50,LEN('Raw Data'!S124)&gt; 0),"",_xlfn.REGEXEXTRACT(CELL("address",'Raw Data'!S124),"\$([A-Z]+)\$[0-9]+"))),_xlfn.REGEXEXTRACT(CELL("address",'Raw Data'!S124),"\$([A-Z]+)\$[0-9]+"))</f>
        <v/>
      </c>
      <c r="T124" s="7" t="str">
        <f t="array" aca="1" ref="T124" ca="1">IFERROR(IF(OR('Raw Data'!T124="",LEN(TRIM('Raw Data'!T124))=0),"",IF(AND(ISNUMBER('Raw Data'!T124), IFERROR('Raw Data'!T124 = ROUND('Raw Data'!T124, 2),FALSE)),"",_xlfn.REGEXEXTRACT(CELL("address",T124), "\$([A-Z]+)\$[0-9]+"))),_xlfn.REGEXEXTRACT(CELL("address",T124), "\$([A-Z]+)\$[0-9]+"))</f>
        <v/>
      </c>
      <c r="U124" s="7" t="str">
        <f t="array" aca="1" ref="U124" ca="1">IFERROR(IF(OR('Raw Data'!U124="",LEN(TRIM('Raw Data'!U124))=0),"",IF(AND(ISNUMBER('Raw Data'!U124), IFERROR('Raw Data'!U124 = ROUND('Raw Data'!U124, 2),FALSE)),"",_xlfn.REGEXEXTRACT(CELL("address",U124), "\$([A-Z]+)\$[0-9]+"))),_xlfn.REGEXEXTRACT(CELL("address",U124), "\$([A-Z]+)\$[0-9]+"))</f>
        <v/>
      </c>
      <c r="V124" s="7" t="str">
        <f t="array" aca="1" ref="V124" ca="1">IFERROR(IF(OR('Raw Data'!V124="",LEN(TRIM('Raw Data'!V124))=0),"",IF(AND(ISNUMBER('Raw Data'!V124), IFERROR('Raw Data'!V124 = ROUND('Raw Data'!V124, 2),FALSE)),"",_xlfn.REGEXEXTRACT(CELL("address",V124), "\$([A-Z]+)\$[0-9]+"))),_xlfn.REGEXEXTRACT(CELL("address",V124), "\$([A-Z]+)\$[0-9]+"))</f>
        <v/>
      </c>
      <c r="W124" s="7" t="str">
        <f t="array" aca="1" ref="W124" ca="1">IFERROR(IF(OR('Raw Data'!W124="",LEN(TRIM('Raw Data'!W124))=0),"",IF(AND(ISNUMBER('Raw Data'!W124), IFERROR('Raw Data'!W124 = ROUND('Raw Data'!W124, 2),FALSE)),"",_xlfn.REGEXEXTRACT(CELL("address",W124), "\$([A-Z]+)\$[0-9]+"))),_xlfn.REGEXEXTRACT(CELL("address",W124), "\$([A-Z]+)\$[0-9]+"))</f>
        <v/>
      </c>
      <c r="X124" s="7" t="str">
        <f t="array" aca="1" ref="X124" ca="1">IFERROR(IF(OR('Raw Data'!X124="",LEN(TRIM('Raw Data'!X124))=0),"",IF(AND(ISNUMBER('Raw Data'!X124), IFERROR('Raw Data'!X124 = ROUND('Raw Data'!X124, 2),FALSE)),"",_xlfn.REGEXEXTRACT(CELL("address",X124), "\$([A-Z]+)\$[0-9]+"))),_xlfn.REGEXEXTRACT(CELL("address",X124), "\$([A-Z]+)\$[0-9]+"))</f>
        <v/>
      </c>
      <c r="Y124" s="7" t="str">
        <f t="array" aca="1" ref="Y124" ca="1">IFERROR(IF(OR('Raw Data'!Y124="",LEN(TRIM('Raw Data'!Y124))=0),"",IF(AND(ISNUMBER('Raw Data'!Y124), IFERROR('Raw Data'!Y124 = ROUND('Raw Data'!Y124, 2),FALSE)),"",_xlfn.REGEXEXTRACT(CELL("address",Y124), "\$([A-Z]+)\$[0-9]+"))),_xlfn.REGEXEXTRACT(CELL("address",Y124), "\$([A-Z]+)\$[0-9]+"))</f>
        <v/>
      </c>
      <c r="Z124" s="7" t="str">
        <f t="array" aca="1" ref="Z124" ca="1">IFERROR(IF(OR('Raw Data'!Z124="",LEN(TRIM('Raw Data'!Z124))=0),"",IF(AND(ISNUMBER('Raw Data'!Z124), IFERROR('Raw Data'!Z124 = ROUND('Raw Data'!Z124, 2),FALSE)),"",_xlfn.REGEXEXTRACT(CELL("address",Z124), "\$([A-Z]+)\$[0-9]+"))),_xlfn.REGEXEXTRACT(CELL("address",Z124), "\$([A-Z]+)\$[0-9]+"))</f>
        <v/>
      </c>
      <c r="AA124" s="7" t="str">
        <f t="array" aca="1" ref="AA124" ca="1">IFERROR(IF(OR('Raw Data'!AA124="",LEN(TRIM('Raw Data'!AA124))=0),"",IF(AND(ISNUMBER('Raw Data'!AA124), IFERROR('Raw Data'!AA124 = ROUND('Raw Data'!AA124, 2),FALSE)),"",_xlfn.REGEXEXTRACT(CELL("address",AA124), "\$([A-Z]+)\$[0-9]+"))),_xlfn.REGEXEXTRACT(CELL("address",AA124), "\$([A-Z]+)\$[0-9]+"))</f>
        <v/>
      </c>
      <c r="AB124" s="7" t="str">
        <f t="array" aca="1" ref="AB124" ca="1">IFERROR(IF(OR('Raw Data'!AB124="",LEN(TRIM('Raw Data'!AB124))=0),"",IF(AND(ISNUMBER('Raw Data'!AB124), IFERROR('Raw Data'!AB124 = ROUND('Raw Data'!AB124, 2),FALSE)),"",_xlfn.REGEXEXTRACT(CELL("address",AB124), "\$([A-Z]+)\$[0-9]+"))),_xlfn.REGEXEXTRACT(CELL("address",AB124), "\$([A-Z]+)\$[0-9]+"))</f>
        <v/>
      </c>
      <c r="AC124" s="7" t="str">
        <f t="array" aca="1" ref="AC124" ca="1">IFERROR(IF(OR('Raw Data'!AC124="",LEN(TRIM('Raw Data'!AC124))=0),"",IF(AND(ISNUMBER('Raw Data'!AC124), IFERROR('Raw Data'!AC124 = ROUND('Raw Data'!AC124, 2),FALSE)),"",_xlfn.REGEXEXTRACT(CELL("address",AC124), "\$([A-Z]+)\$[0-9]+"))),_xlfn.REGEXEXTRACT(CELL("address",AC124), "\$([A-Z]+)\$[0-9]+"))</f>
        <v/>
      </c>
      <c r="AD124" s="7" t="str">
        <f t="array" aca="1" ref="AD124" ca="1">IFERROR(IF(OR('Raw Data'!AD124="",LEN(TRIM('Raw Data'!AD124))=0),"",IF(AND(ISNUMBER('Raw Data'!AD124), IFERROR('Raw Data'!AD124 = ROUND('Raw Data'!AD124, 2),FALSE)),"",_xlfn.REGEXEXTRACT(CELL("address",AD124), "\$([A-Z]+)\$[0-9]+"))),_xlfn.REGEXEXTRACT(CELL("address",AD124), "\$([A-Z]+)\$[0-9]+"))</f>
        <v/>
      </c>
      <c r="AE124" s="7" t="str">
        <f t="array" aca="1" ref="AE124" ca="1">IFERROR(IF(OR('Raw Data'!AE124="",LEN(TRIM('Raw Data'!AE124))=0),"",IF(AND(ISNUMBER('Raw Data'!AE124), IFERROR('Raw Data'!AE124 = ROUND('Raw Data'!AE124, 2),FALSE)),"",_xlfn.REGEXEXTRACT(CELL("address",AE124), "\$([A-Z]+)\$[0-9]+"))),_xlfn.REGEXEXTRACT(CELL("address",AE124), "\$([A-Z]+)\$[0-9]+"))</f>
        <v/>
      </c>
      <c r="AF124" s="7" t="str">
        <f t="array" aca="1" ref="AF124" ca="1">IFERROR(IF(OR('Raw Data'!AF124="",LEN(TRIM('Raw Data'!AF124))=0),"",IF(AND(ISNUMBER('Raw Data'!AF124), IFERROR('Raw Data'!AF124 = ROUND('Raw Data'!AF124, 2),FALSE)),"",_xlfn.REGEXEXTRACT(CELL("address",AF124), "\$([A-Z]+)\$[0-9]+"))),_xlfn.REGEXEXTRACT(CELL("address",AF124), "\$([A-Z]+)\$[0-9]+"))</f>
        <v/>
      </c>
      <c r="AG124" s="7" t="str">
        <f t="array" aca="1" ref="AG124" ca="1">IFERROR(IF(OR('Raw Data'!AG124="",LEN(TRIM('Raw Data'!AG124))=0),"",IF(AND(ISNUMBER('Raw Data'!AG124), IFERROR('Raw Data'!AG124 = ROUND('Raw Data'!AG124, 2),FALSE)),"",_xlfn.REGEXEXTRACT(CELL("address",AG124), "\$([A-Z]+)\$[0-9]+"))),_xlfn.REGEXEXTRACT(CELL("address",AG124), "\$([A-Z]+)\$[0-9]+"))</f>
        <v/>
      </c>
      <c r="AH124" s="7" t="str">
        <f t="array" aca="1" ref="AH124" ca="1">IFERROR(IF(OR('Raw Data'!AH124="",LEN(TRIM('Raw Data'!AH124))=0),"",IF(AND(ISNUMBER('Raw Data'!AH124), IFERROR('Raw Data'!AH124 = ROUND('Raw Data'!AH124, 2),FALSE)),"",_xlfn.REGEXEXTRACT(CELL("address",AH124), "\$([A-Z]+)\$[0-9]+"))),_xlfn.REGEXEXTRACT(CELL("address",AH124), "\$([A-Z]+)\$[0-9]+"))</f>
        <v/>
      </c>
      <c r="AI124" s="7" t="str">
        <f t="array" aca="1" ref="AI124" ca="1">IFERROR(IF(OR('Raw Data'!AI124="",LEN(TRIM('Raw Data'!AI124))=0),"",IF(AND(ISNUMBER('Raw Data'!AI124), IFERROR('Raw Data'!AI124 = ROUND('Raw Data'!AI124, 2),FALSE)),"",_xlfn.REGEXEXTRACT(CELL("address",AI124), "\$([A-Z]+)\$[0-9]+"))),_xlfn.REGEXEXTRACT(CELL("address",AI124), "\$([A-Z]+)\$[0-9]+"))</f>
        <v/>
      </c>
      <c r="AJ124" s="7" t="str">
        <f t="array" aca="1" ref="AJ124" ca="1">IFERROR(IF(OR('Raw Data'!AJ124="",LEN(TRIM('Raw Data'!AJ124))=0),"",IF(AND(ISNUMBER('Raw Data'!AJ124), IFERROR('Raw Data'!AJ124 = ROUND('Raw Data'!AJ124, 4),FALSE)),"",_xlfn.REGEXEXTRACT(CELL("address",AJ124), "\$([A-Z]+)\$[0-9]+"))),_xlfn.REGEXEXTRACT(CELL("address",AJ124), "\$([A-Z]+)\$[0-9]+"))</f>
        <v/>
      </c>
      <c r="AK124" s="7" t="str">
        <f t="array" aca="1" ref="AK124" ca="1">IFERROR(IF(OR('Raw Data'!AK124="",LEN(TRIM('Raw Data'!AK124))=0),"",IF(AND(ISNUMBER('Raw Data'!AK124), IFERROR('Raw Data'!AK124 = ROUND('Raw Data'!AK124, 2),FALSE)),"",_xlfn.REGEXEXTRACT(CELL("address",AK124), "\$([A-Z]+)\$[0-9]+"))),_xlfn.REGEXEXTRACT(CELL("address",AK124), "\$([A-Z]+)\$[0-9]+"))</f>
        <v/>
      </c>
      <c r="AL124" s="7" t="str">
        <f t="array" aca="1" ref="AL124" ca="1">IFERROR(IF(OR('Raw Data'!AL124="",LEN(TRIM('Raw Data'!AL124))=0),"",IF(AND(ISNUMBER('Raw Data'!AL124), IFERROR('Raw Data'!AL124 = ROUND('Raw Data'!AL124, 2),FALSE)),"",_xlfn.REGEXEXTRACT(CELL("address",AL124), "\$([A-Z]+)\$[0-9]+"))),_xlfn.REGEXEXTRACT(CELL("address",AL124), "\$([A-Z]+)\$[0-9]+"))</f>
        <v/>
      </c>
      <c r="AM124" s="7" t="str">
        <f t="array" aca="1" ref="AM124" ca="1">IFERROR(IF(OR('Raw Data'!AM124="",LEN(TRIM('Raw Data'!AM124))=0),"",IF(AND(ISNUMBER('Raw Data'!AM124), IFERROR('Raw Data'!AM124 = ROUND('Raw Data'!AM124, 2),FALSE)),"",_xlfn.REGEXEXTRACT(CELL("address",AM124), "\$([A-Z]+)\$[0-9]+"))),_xlfn.REGEXEXTRACT(CELL("address",AM124), "\$([A-Z]+)\$[0-9]+"))</f>
        <v/>
      </c>
      <c r="AN124" s="7" t="str">
        <f t="array" aca="1" ref="AN124" ca="1">IFERROR(IF(OR('Raw Data'!AN124="",LEN(TRIM('Raw Data'!AN124))=0),"",IF(AND(ISNUMBER('Raw Data'!AN124), IFERROR('Raw Data'!AN124 = ROUND('Raw Data'!AN124, 2),FALSE)),"",_xlfn.REGEXEXTRACT(CELL("address",AN124), "\$([A-Z]+)\$[0-9]+"))),_xlfn.REGEXEXTRACT(CELL("address",AN124), "\$([A-Z]+)\$[0-9]+"))</f>
        <v/>
      </c>
      <c r="AO124" s="7" t="str">
        <f t="array" aca="1" ref="AO124" ca="1">IFERROR(IF(OR('Raw Data'!AO124="",LEN(TRIM('Raw Data'!AO124))=0),"",IF(AND(ISNUMBER('Raw Data'!AO124), IFERROR('Raw Data'!AO124 = ROUND('Raw Data'!AO124, 2),FALSE)),"",_xlfn.REGEXEXTRACT(CELL("address",AO124), "\$([A-Z]+)\$[0-9]+"))),_xlfn.REGEXEXTRACT(CELL("address",AO124), "\$([A-Z]+)\$[0-9]+"))</f>
        <v/>
      </c>
      <c r="AP124" s="7" t="str">
        <f t="array" aca="1" ref="AP124" ca="1">IFERROR(IF(OR('Raw Data'!AP124="",LEN(TRIM('Raw Data'!AP124))=0),"",IF(AND(ISNUMBER('Raw Data'!AP124), IFERROR('Raw Data'!AP124 = ROUND('Raw Data'!AP124, 2),FALSE)),"",_xlfn.REGEXEXTRACT(CELL("address",AP124), "\$([A-Z]+)\$[0-9]+"))),_xlfn.REGEXEXTRACT(CELL("address",AP124), "\$([A-Z]+)\$[0-9]+"))</f>
        <v/>
      </c>
    </row>
    <row r="125" spans="2:42" x14ac:dyDescent="0.25">
      <c r="B125" s="7" t="str">
        <f t="array" aca="1" ref="B125" ca="1">IFERROR(IF(OR('Raw Data'!B125="",LEN(TRIM('Raw Data'!B125))=0),"",IF(AND(LEN('Raw Data'!B125) &lt;= 255,LEN('Raw Data'!B125)&gt; 0),"",_xlfn.REGEXEXTRACT(CELL("address",'Raw Data'!B125),"\$([A-Z]+)\$[0-9]+"))),_xlfn.REGEXEXTRACT(CELL("address",'Raw Data'!B125),"\$([A-Z]+)\$[0-9]+"))</f>
        <v/>
      </c>
      <c r="C125" s="7" t="str">
        <f t="array" aca="1" ref="C125" ca="1">IFERROR(IF(OR('Raw Data'!C125="",LEN(TRIM('Raw Data'!C125))=0),"",IF(AND(LEN('Raw Data'!C125) &lt;= 50,LEN('Raw Data'!C125)&gt; 0),"",_xlfn.REGEXEXTRACT(CELL("address",'Raw Data'!C125),"\$([A-Z]+)\$[0-9]+"))),_xlfn.REGEXEXTRACT(CELL("address",'Raw Data'!C125),"\$([A-Z]+)\$[0-9]+"))</f>
        <v/>
      </c>
      <c r="D125" s="7" t="str">
        <f t="array" aca="1" ref="D125" ca="1">IFERROR(IF(OR('Raw Data'!D125="",LEN(TRIM('Raw Data'!D125))=0),"",IF(AND(LEN('Raw Data'!D125) &lt;= 500,LEN('Raw Data'!D125)&gt; 0),"",_xlfn.REGEXEXTRACT(CELL("address",'Raw Data'!D125),"\$([A-Z]+)\$[0-9]+"))),_xlfn.REGEXEXTRACT(CELL("address",'Raw Data'!D125),"\$([A-Z]+)\$[0-9]+"))</f>
        <v/>
      </c>
      <c r="E125" s="7" t="str">
        <f t="array" aca="1" ref="E125" ca="1">IFERROR(IF(OR('Raw Data'!E125="",LEN(TRIM('Raw Data'!E125))=0),"",IF(AND(LEN('Raw Data'!E125) &lt;= 50,LEN('Raw Data'!E125)&gt; 0),"",_xlfn.REGEXEXTRACT(CELL("address",'Raw Data'!E125),"\$([A-Z]+)\$[0-9]+"))),_xlfn.REGEXEXTRACT(CELL("address",'Raw Data'!E125),"\$([A-Z]+)\$[0-9]+"))</f>
        <v/>
      </c>
      <c r="F125" s="7" t="str">
        <f t="array" aca="1" ref="F125" ca="1">IFERROR(IF(OR('Raw Data'!F125="",LEN(TRIM('Raw Data'!F125))=0),"",IF(AND(LEN('Raw Data'!F125) &lt;= 50,LEN('Raw Data'!F125)&gt; 0),"",_xlfn.REGEXEXTRACT(CELL("address",'Raw Data'!F125),"\$([A-Z]+)\$[0-9]+"))),_xlfn.REGEXEXTRACT(CELL("address",'Raw Data'!F125),"\$([A-Z]+)\$[0-9]+"))</f>
        <v/>
      </c>
      <c r="G125" s="7" t="str">
        <f t="array" aca="1" ref="G125" ca="1">IFERROR(IF(OR('Raw Data'!G125="",LEN(TRIM('Raw Data'!G125))=0),"",IF(AND(LEN('Raw Data'!G125) &lt;= 50,LEN('Raw Data'!G125)&gt; 0),"",_xlfn.REGEXEXTRACT(CELL("address",'Raw Data'!G125),"\$([A-Z]+)\$[0-9]+"))),_xlfn.REGEXEXTRACT(CELL("address",'Raw Data'!G125),"\$([A-Z]+)\$[0-9]+"))</f>
        <v/>
      </c>
      <c r="H125" s="7" t="str">
        <f t="array" aca="1" ref="H125" ca="1">IFERROR(IF(OR('Raw Data'!H125="",LEN(TRIM('Raw Data'!H125))=0),"",IF(AND(LEN('Raw Data'!H125) &lt;= 50,LEN('Raw Data'!H125)&gt; 0),"",_xlfn.REGEXEXTRACT(CELL("address",'Raw Data'!H125),"\$([A-Z]+)\$[0-9]+"))),_xlfn.REGEXEXTRACT(CELL("address",'Raw Data'!H125),"\$([A-Z]+)\$[0-9]+"))</f>
        <v/>
      </c>
      <c r="I125" s="7" t="str">
        <f t="array" aca="1" ref="I125" ca="1">IFERROR(IF(OR('Raw Data'!I125="",LEN(TRIM('Raw Data'!I125))=0),"",IF(AND(LEN('Raw Data'!I125) &lt;= 50,LEN('Raw Data'!I125)&gt; 0),"",_xlfn.REGEXEXTRACT(CELL("address",'Raw Data'!I125),"\$([A-Z]+)\$[0-9]+"))),_xlfn.REGEXEXTRACT(CELL("address",'Raw Data'!I125),"\$([A-Z]+)\$[0-9]+"))</f>
        <v/>
      </c>
      <c r="J125" s="7" t="str">
        <f t="array" aca="1" ref="J125" ca="1">IFERROR(IF(OR('Raw Data'!J125="",LEN(TRIM('Raw Data'!J125))=0),"",IF(AND(ISNUMBER('Raw Data'!J125), IFERROR('Raw Data'!J125 = ROUND('Raw Data'!J125, 2),FALSE)),"",_xlfn.REGEXEXTRACT(CELL("address",J125), "\$([A-Z]+)\$[0-9]+"))),_xlfn.REGEXEXTRACT(CELL("address",J125), "\$([A-Z]+)\$[0-9]+"))</f>
        <v/>
      </c>
      <c r="K125" s="7" t="str">
        <f t="array" aca="1" ref="K125" ca="1">IFERROR(IF(OR('Raw Data'!K125="",LEN(TRIM('Raw Data'!K125))=0),"",IF(AND(ISNUMBER('Raw Data'!K125), IFERROR('Raw Data'!K125 = ROUND('Raw Data'!K125, 2),FALSE)),"",_xlfn.REGEXEXTRACT(CELL("address",K125), "\$([A-Z]+)\$[0-9]+"))),_xlfn.REGEXEXTRACT(CELL("address",K125), "\$([A-Z]+)\$[0-9]+"))</f>
        <v/>
      </c>
      <c r="L125" s="7" t="str">
        <f t="array" aca="1" ref="L125" ca="1">IFERROR(IF(OR('Raw Data'!L125="",LEN(TRIM('Raw Data'!L125))=0),"",IF(AND(ISNUMBER('Raw Data'!L125), IFERROR('Raw Data'!L125 = ROUND('Raw Data'!L125, 2),FALSE)),"",_xlfn.REGEXEXTRACT(CELL("address",L125), "\$([A-Z]+)\$[0-9]+"))),_xlfn.REGEXEXTRACT(CELL("address",L125), "\$([A-Z]+)\$[0-9]+"))</f>
        <v/>
      </c>
      <c r="M125" s="7" t="str">
        <f t="array" aca="1" ref="M125" ca="1">IFERROR(IF(OR('Raw Data'!M125="",LEN(TRIM('Raw Data'!M125))=0),"",IF(AND(ISNUMBER('Raw Data'!M125), IFERROR('Raw Data'!M125 = ROUND('Raw Data'!M125, 2),FALSE)),"",_xlfn.REGEXEXTRACT(CELL("address",M125), "\$([A-Z]+)\$[0-9]+"))),_xlfn.REGEXEXTRACT(CELL("address",M125), "\$([A-Z]+)\$[0-9]+"))</f>
        <v/>
      </c>
      <c r="N125" s="7" t="str">
        <f t="array" aca="1" ref="N125" ca="1">IFERROR(IF(OR('Raw Data'!N125="",LEN(TRIM('Raw Data'!N125))=0),"",IF(AND(ISNUMBER('Raw Data'!N125), IFERROR('Raw Data'!N125 = ROUND('Raw Data'!N125, 2),FALSE)),"",_xlfn.REGEXEXTRACT(CELL("address",N125), "\$([A-Z]+)\$[0-9]+"))),_xlfn.REGEXEXTRACT(CELL("address",N125), "\$([A-Z]+)\$[0-9]+"))</f>
        <v/>
      </c>
      <c r="O125" s="7" t="str">
        <f t="array" aca="1" ref="O125" ca="1">IFERROR(IF(OR('Raw Data'!O125="",LEN(TRIM('Raw Data'!O125))=0),"",IF(AND(ISNUMBER('Raw Data'!O125),'Raw Data'!O125&gt;=Configuration!$D$2),"",_xlfn.REGEXEXTRACT(CELL("address",'Raw Data'!O125),"\$([A-Z]+)\$[0-9]+"))),_xlfn.REGEXEXTRACT(CELL("address",O125), "\$([A-Z]+)\$[0-9]+"))</f>
        <v/>
      </c>
      <c r="P125" s="7" t="str">
        <f t="array" aca="1" ref="P125" ca="1">IFERROR(IF(OR('Raw Data'!P125="",LEN(TRIM('Raw Data'!P125))=0),"",IF(AND(ISNUMBER('Raw Data'!P125), IFERROR('Raw Data'!P125 = ROUND('Raw Data'!P125, 2),FALSE)),"",_xlfn.REGEXEXTRACT(CELL("address",P125), "\$([A-Z]+)\$[0-9]+"))),_xlfn.REGEXEXTRACT(CELL("address",P125), "\$([A-Z]+)\$[0-9]+"))</f>
        <v/>
      </c>
      <c r="Q125" s="7" t="str">
        <f t="array" aca="1" ref="Q125" ca="1">IFERROR(IF(OR('Raw Data'!Q125="",LEN(TRIM('Raw Data'!Q125))=0),"",IF(AND(ISNUMBER('Raw Data'!Q125), IFERROR('Raw Data'!Q125 = ROUND('Raw Data'!Q125, 2),FALSE)),"",_xlfn.REGEXEXTRACT(CELL("address",Q125), "\$([A-Z]+)\$[0-9]+"))),_xlfn.REGEXEXTRACT(CELL("address",Q125), "\$([A-Z]+)\$[0-9]+"))</f>
        <v/>
      </c>
      <c r="R125" s="7" t="str">
        <f t="array" aca="1" ref="R125" ca="1">IFERROR(IF(OR('Raw Data'!R125="",LEN(TRIM('Raw Data'!R125))=0),"",IF(AND(LEN('Raw Data'!R125) &lt;= 50,LEN('Raw Data'!R125)&gt; 0),"",_xlfn.REGEXEXTRACT(CELL("address",'Raw Data'!R125),"\$([A-Z]+)\$[0-9]+"))),_xlfn.REGEXEXTRACT(CELL("address",'Raw Data'!R125),"\$([A-Z]+)\$[0-9]+"))</f>
        <v/>
      </c>
      <c r="S125" s="7" t="str">
        <f t="array" aca="1" ref="S125" ca="1">IFERROR(IF(OR('Raw Data'!S125="",LEN(TRIM('Raw Data'!S125))=0),"",IF(AND(LEN('Raw Data'!S125) &lt;= 50,LEN('Raw Data'!S125)&gt; 0),"",_xlfn.REGEXEXTRACT(CELL("address",'Raw Data'!S125),"\$([A-Z]+)\$[0-9]+"))),_xlfn.REGEXEXTRACT(CELL("address",'Raw Data'!S125),"\$([A-Z]+)\$[0-9]+"))</f>
        <v/>
      </c>
      <c r="T125" s="7" t="str">
        <f t="array" aca="1" ref="T125" ca="1">IFERROR(IF(OR('Raw Data'!T125="",LEN(TRIM('Raw Data'!T125))=0),"",IF(AND(ISNUMBER('Raw Data'!T125), IFERROR('Raw Data'!T125 = ROUND('Raw Data'!T125, 2),FALSE)),"",_xlfn.REGEXEXTRACT(CELL("address",T125), "\$([A-Z]+)\$[0-9]+"))),_xlfn.REGEXEXTRACT(CELL("address",T125), "\$([A-Z]+)\$[0-9]+"))</f>
        <v/>
      </c>
      <c r="U125" s="7" t="str">
        <f t="array" aca="1" ref="U125" ca="1">IFERROR(IF(OR('Raw Data'!U125="",LEN(TRIM('Raw Data'!U125))=0),"",IF(AND(ISNUMBER('Raw Data'!U125), IFERROR('Raw Data'!U125 = ROUND('Raw Data'!U125, 2),FALSE)),"",_xlfn.REGEXEXTRACT(CELL("address",U125), "\$([A-Z]+)\$[0-9]+"))),_xlfn.REGEXEXTRACT(CELL("address",U125), "\$([A-Z]+)\$[0-9]+"))</f>
        <v/>
      </c>
      <c r="V125" s="7" t="str">
        <f t="array" aca="1" ref="V125" ca="1">IFERROR(IF(OR('Raw Data'!V125="",LEN(TRIM('Raw Data'!V125))=0),"",IF(AND(ISNUMBER('Raw Data'!V125), IFERROR('Raw Data'!V125 = ROUND('Raw Data'!V125, 2),FALSE)),"",_xlfn.REGEXEXTRACT(CELL("address",V125), "\$([A-Z]+)\$[0-9]+"))),_xlfn.REGEXEXTRACT(CELL("address",V125), "\$([A-Z]+)\$[0-9]+"))</f>
        <v/>
      </c>
      <c r="W125" s="7" t="str">
        <f t="array" aca="1" ref="W125" ca="1">IFERROR(IF(OR('Raw Data'!W125="",LEN(TRIM('Raw Data'!W125))=0),"",IF(AND(ISNUMBER('Raw Data'!W125), IFERROR('Raw Data'!W125 = ROUND('Raw Data'!W125, 2),FALSE)),"",_xlfn.REGEXEXTRACT(CELL("address",W125), "\$([A-Z]+)\$[0-9]+"))),_xlfn.REGEXEXTRACT(CELL("address",W125), "\$([A-Z]+)\$[0-9]+"))</f>
        <v/>
      </c>
      <c r="X125" s="7" t="str">
        <f t="array" aca="1" ref="X125" ca="1">IFERROR(IF(OR('Raw Data'!X125="",LEN(TRIM('Raw Data'!X125))=0),"",IF(AND(ISNUMBER('Raw Data'!X125), IFERROR('Raw Data'!X125 = ROUND('Raw Data'!X125, 2),FALSE)),"",_xlfn.REGEXEXTRACT(CELL("address",X125), "\$([A-Z]+)\$[0-9]+"))),_xlfn.REGEXEXTRACT(CELL("address",X125), "\$([A-Z]+)\$[0-9]+"))</f>
        <v/>
      </c>
      <c r="Y125" s="7" t="str">
        <f t="array" aca="1" ref="Y125" ca="1">IFERROR(IF(OR('Raw Data'!Y125="",LEN(TRIM('Raw Data'!Y125))=0),"",IF(AND(ISNUMBER('Raw Data'!Y125), IFERROR('Raw Data'!Y125 = ROUND('Raw Data'!Y125, 2),FALSE)),"",_xlfn.REGEXEXTRACT(CELL("address",Y125), "\$([A-Z]+)\$[0-9]+"))),_xlfn.REGEXEXTRACT(CELL("address",Y125), "\$([A-Z]+)\$[0-9]+"))</f>
        <v/>
      </c>
      <c r="Z125" s="7" t="str">
        <f t="array" aca="1" ref="Z125" ca="1">IFERROR(IF(OR('Raw Data'!Z125="",LEN(TRIM('Raw Data'!Z125))=0),"",IF(AND(ISNUMBER('Raw Data'!Z125), IFERROR('Raw Data'!Z125 = ROUND('Raw Data'!Z125, 2),FALSE)),"",_xlfn.REGEXEXTRACT(CELL("address",Z125), "\$([A-Z]+)\$[0-9]+"))),_xlfn.REGEXEXTRACT(CELL("address",Z125), "\$([A-Z]+)\$[0-9]+"))</f>
        <v/>
      </c>
      <c r="AA125" s="7" t="str">
        <f t="array" aca="1" ref="AA125" ca="1">IFERROR(IF(OR('Raw Data'!AA125="",LEN(TRIM('Raw Data'!AA125))=0),"",IF(AND(ISNUMBER('Raw Data'!AA125), IFERROR('Raw Data'!AA125 = ROUND('Raw Data'!AA125, 2),FALSE)),"",_xlfn.REGEXEXTRACT(CELL("address",AA125), "\$([A-Z]+)\$[0-9]+"))),_xlfn.REGEXEXTRACT(CELL("address",AA125), "\$([A-Z]+)\$[0-9]+"))</f>
        <v/>
      </c>
      <c r="AB125" s="7" t="str">
        <f t="array" aca="1" ref="AB125" ca="1">IFERROR(IF(OR('Raw Data'!AB125="",LEN(TRIM('Raw Data'!AB125))=0),"",IF(AND(ISNUMBER('Raw Data'!AB125), IFERROR('Raw Data'!AB125 = ROUND('Raw Data'!AB125, 2),FALSE)),"",_xlfn.REGEXEXTRACT(CELL("address",AB125), "\$([A-Z]+)\$[0-9]+"))),_xlfn.REGEXEXTRACT(CELL("address",AB125), "\$([A-Z]+)\$[0-9]+"))</f>
        <v/>
      </c>
      <c r="AC125" s="7" t="str">
        <f t="array" aca="1" ref="AC125" ca="1">IFERROR(IF(OR('Raw Data'!AC125="",LEN(TRIM('Raw Data'!AC125))=0),"",IF(AND(ISNUMBER('Raw Data'!AC125), IFERROR('Raw Data'!AC125 = ROUND('Raw Data'!AC125, 2),FALSE)),"",_xlfn.REGEXEXTRACT(CELL("address",AC125), "\$([A-Z]+)\$[0-9]+"))),_xlfn.REGEXEXTRACT(CELL("address",AC125), "\$([A-Z]+)\$[0-9]+"))</f>
        <v/>
      </c>
      <c r="AD125" s="7" t="str">
        <f t="array" aca="1" ref="AD125" ca="1">IFERROR(IF(OR('Raw Data'!AD125="",LEN(TRIM('Raw Data'!AD125))=0),"",IF(AND(ISNUMBER('Raw Data'!AD125), IFERROR('Raw Data'!AD125 = ROUND('Raw Data'!AD125, 2),FALSE)),"",_xlfn.REGEXEXTRACT(CELL("address",AD125), "\$([A-Z]+)\$[0-9]+"))),_xlfn.REGEXEXTRACT(CELL("address",AD125), "\$([A-Z]+)\$[0-9]+"))</f>
        <v/>
      </c>
      <c r="AE125" s="7" t="str">
        <f t="array" aca="1" ref="AE125" ca="1">IFERROR(IF(OR('Raw Data'!AE125="",LEN(TRIM('Raw Data'!AE125))=0),"",IF(AND(ISNUMBER('Raw Data'!AE125), IFERROR('Raw Data'!AE125 = ROUND('Raw Data'!AE125, 2),FALSE)),"",_xlfn.REGEXEXTRACT(CELL("address",AE125), "\$([A-Z]+)\$[0-9]+"))),_xlfn.REGEXEXTRACT(CELL("address",AE125), "\$([A-Z]+)\$[0-9]+"))</f>
        <v/>
      </c>
      <c r="AF125" s="7" t="str">
        <f t="array" aca="1" ref="AF125" ca="1">IFERROR(IF(OR('Raw Data'!AF125="",LEN(TRIM('Raw Data'!AF125))=0),"",IF(AND(ISNUMBER('Raw Data'!AF125), IFERROR('Raw Data'!AF125 = ROUND('Raw Data'!AF125, 2),FALSE)),"",_xlfn.REGEXEXTRACT(CELL("address",AF125), "\$([A-Z]+)\$[0-9]+"))),_xlfn.REGEXEXTRACT(CELL("address",AF125), "\$([A-Z]+)\$[0-9]+"))</f>
        <v/>
      </c>
      <c r="AG125" s="7" t="str">
        <f t="array" aca="1" ref="AG125" ca="1">IFERROR(IF(OR('Raw Data'!AG125="",LEN(TRIM('Raw Data'!AG125))=0),"",IF(AND(ISNUMBER('Raw Data'!AG125), IFERROR('Raw Data'!AG125 = ROUND('Raw Data'!AG125, 2),FALSE)),"",_xlfn.REGEXEXTRACT(CELL("address",AG125), "\$([A-Z]+)\$[0-9]+"))),_xlfn.REGEXEXTRACT(CELL("address",AG125), "\$([A-Z]+)\$[0-9]+"))</f>
        <v/>
      </c>
      <c r="AH125" s="7" t="str">
        <f t="array" aca="1" ref="AH125" ca="1">IFERROR(IF(OR('Raw Data'!AH125="",LEN(TRIM('Raw Data'!AH125))=0),"",IF(AND(ISNUMBER('Raw Data'!AH125), IFERROR('Raw Data'!AH125 = ROUND('Raw Data'!AH125, 2),FALSE)),"",_xlfn.REGEXEXTRACT(CELL("address",AH125), "\$([A-Z]+)\$[0-9]+"))),_xlfn.REGEXEXTRACT(CELL("address",AH125), "\$([A-Z]+)\$[0-9]+"))</f>
        <v/>
      </c>
      <c r="AI125" s="7" t="str">
        <f t="array" aca="1" ref="AI125" ca="1">IFERROR(IF(OR('Raw Data'!AI125="",LEN(TRIM('Raw Data'!AI125))=0),"",IF(AND(ISNUMBER('Raw Data'!AI125), IFERROR('Raw Data'!AI125 = ROUND('Raw Data'!AI125, 2),FALSE)),"",_xlfn.REGEXEXTRACT(CELL("address",AI125), "\$([A-Z]+)\$[0-9]+"))),_xlfn.REGEXEXTRACT(CELL("address",AI125), "\$([A-Z]+)\$[0-9]+"))</f>
        <v/>
      </c>
      <c r="AJ125" s="7" t="str">
        <f t="array" aca="1" ref="AJ125" ca="1">IFERROR(IF(OR('Raw Data'!AJ125="",LEN(TRIM('Raw Data'!AJ125))=0),"",IF(AND(ISNUMBER('Raw Data'!AJ125), IFERROR('Raw Data'!AJ125 = ROUND('Raw Data'!AJ125, 4),FALSE)),"",_xlfn.REGEXEXTRACT(CELL("address",AJ125), "\$([A-Z]+)\$[0-9]+"))),_xlfn.REGEXEXTRACT(CELL("address",AJ125), "\$([A-Z]+)\$[0-9]+"))</f>
        <v/>
      </c>
      <c r="AK125" s="7" t="str">
        <f t="array" aca="1" ref="AK125" ca="1">IFERROR(IF(OR('Raw Data'!AK125="",LEN(TRIM('Raw Data'!AK125))=0),"",IF(AND(ISNUMBER('Raw Data'!AK125), IFERROR('Raw Data'!AK125 = ROUND('Raw Data'!AK125, 2),FALSE)),"",_xlfn.REGEXEXTRACT(CELL("address",AK125), "\$([A-Z]+)\$[0-9]+"))),_xlfn.REGEXEXTRACT(CELL("address",AK125), "\$([A-Z]+)\$[0-9]+"))</f>
        <v/>
      </c>
      <c r="AL125" s="7" t="str">
        <f t="array" aca="1" ref="AL125" ca="1">IFERROR(IF(OR('Raw Data'!AL125="",LEN(TRIM('Raw Data'!AL125))=0),"",IF(AND(ISNUMBER('Raw Data'!AL125), IFERROR('Raw Data'!AL125 = ROUND('Raw Data'!AL125, 2),FALSE)),"",_xlfn.REGEXEXTRACT(CELL("address",AL125), "\$([A-Z]+)\$[0-9]+"))),_xlfn.REGEXEXTRACT(CELL("address",AL125), "\$([A-Z]+)\$[0-9]+"))</f>
        <v/>
      </c>
      <c r="AM125" s="7" t="str">
        <f t="array" aca="1" ref="AM125" ca="1">IFERROR(IF(OR('Raw Data'!AM125="",LEN(TRIM('Raw Data'!AM125))=0),"",IF(AND(ISNUMBER('Raw Data'!AM125), IFERROR('Raw Data'!AM125 = ROUND('Raw Data'!AM125, 2),FALSE)),"",_xlfn.REGEXEXTRACT(CELL("address",AM125), "\$([A-Z]+)\$[0-9]+"))),_xlfn.REGEXEXTRACT(CELL("address",AM125), "\$([A-Z]+)\$[0-9]+"))</f>
        <v/>
      </c>
      <c r="AN125" s="7" t="str">
        <f t="array" aca="1" ref="AN125" ca="1">IFERROR(IF(OR('Raw Data'!AN125="",LEN(TRIM('Raw Data'!AN125))=0),"",IF(AND(ISNUMBER('Raw Data'!AN125), IFERROR('Raw Data'!AN125 = ROUND('Raw Data'!AN125, 2),FALSE)),"",_xlfn.REGEXEXTRACT(CELL("address",AN125), "\$([A-Z]+)\$[0-9]+"))),_xlfn.REGEXEXTRACT(CELL("address",AN125), "\$([A-Z]+)\$[0-9]+"))</f>
        <v/>
      </c>
      <c r="AO125" s="7" t="str">
        <f t="array" aca="1" ref="AO125" ca="1">IFERROR(IF(OR('Raw Data'!AO125="",LEN(TRIM('Raw Data'!AO125))=0),"",IF(AND(ISNUMBER('Raw Data'!AO125), IFERROR('Raw Data'!AO125 = ROUND('Raw Data'!AO125, 2),FALSE)),"",_xlfn.REGEXEXTRACT(CELL("address",AO125), "\$([A-Z]+)\$[0-9]+"))),_xlfn.REGEXEXTRACT(CELL("address",AO125), "\$([A-Z]+)\$[0-9]+"))</f>
        <v/>
      </c>
      <c r="AP125" s="7" t="str">
        <f t="array" aca="1" ref="AP125" ca="1">IFERROR(IF(OR('Raw Data'!AP125="",LEN(TRIM('Raw Data'!AP125))=0),"",IF(AND(ISNUMBER('Raw Data'!AP125), IFERROR('Raw Data'!AP125 = ROUND('Raw Data'!AP125, 2),FALSE)),"",_xlfn.REGEXEXTRACT(CELL("address",AP125), "\$([A-Z]+)\$[0-9]+"))),_xlfn.REGEXEXTRACT(CELL("address",AP125), "\$([A-Z]+)\$[0-9]+"))</f>
        <v/>
      </c>
    </row>
    <row r="126" spans="2:42" x14ac:dyDescent="0.25">
      <c r="B126" s="7" t="str">
        <f t="array" aca="1" ref="B126" ca="1">IFERROR(IF(OR('Raw Data'!B126="",LEN(TRIM('Raw Data'!B126))=0),"",IF(AND(LEN('Raw Data'!B126) &lt;= 255,LEN('Raw Data'!B126)&gt; 0),"",_xlfn.REGEXEXTRACT(CELL("address",'Raw Data'!B126),"\$([A-Z]+)\$[0-9]+"))),_xlfn.REGEXEXTRACT(CELL("address",'Raw Data'!B126),"\$([A-Z]+)\$[0-9]+"))</f>
        <v/>
      </c>
      <c r="C126" s="7" t="str">
        <f t="array" aca="1" ref="C126" ca="1">IFERROR(IF(OR('Raw Data'!C126="",LEN(TRIM('Raw Data'!C126))=0),"",IF(AND(LEN('Raw Data'!C126) &lt;= 50,LEN('Raw Data'!C126)&gt; 0),"",_xlfn.REGEXEXTRACT(CELL("address",'Raw Data'!C126),"\$([A-Z]+)\$[0-9]+"))),_xlfn.REGEXEXTRACT(CELL("address",'Raw Data'!C126),"\$([A-Z]+)\$[0-9]+"))</f>
        <v/>
      </c>
      <c r="D126" s="7" t="str">
        <f t="array" aca="1" ref="D126" ca="1">IFERROR(IF(OR('Raw Data'!D126="",LEN(TRIM('Raw Data'!D126))=0),"",IF(AND(LEN('Raw Data'!D126) &lt;= 500,LEN('Raw Data'!D126)&gt; 0),"",_xlfn.REGEXEXTRACT(CELL("address",'Raw Data'!D126),"\$([A-Z]+)\$[0-9]+"))),_xlfn.REGEXEXTRACT(CELL("address",'Raw Data'!D126),"\$([A-Z]+)\$[0-9]+"))</f>
        <v/>
      </c>
      <c r="E126" s="7" t="str">
        <f t="array" aca="1" ref="E126" ca="1">IFERROR(IF(OR('Raw Data'!E126="",LEN(TRIM('Raw Data'!E126))=0),"",IF(AND(LEN('Raw Data'!E126) &lt;= 50,LEN('Raw Data'!E126)&gt; 0),"",_xlfn.REGEXEXTRACT(CELL("address",'Raw Data'!E126),"\$([A-Z]+)\$[0-9]+"))),_xlfn.REGEXEXTRACT(CELL("address",'Raw Data'!E126),"\$([A-Z]+)\$[0-9]+"))</f>
        <v/>
      </c>
      <c r="F126" s="7" t="str">
        <f t="array" aca="1" ref="F126" ca="1">IFERROR(IF(OR('Raw Data'!F126="",LEN(TRIM('Raw Data'!F126))=0),"",IF(AND(LEN('Raw Data'!F126) &lt;= 50,LEN('Raw Data'!F126)&gt; 0),"",_xlfn.REGEXEXTRACT(CELL("address",'Raw Data'!F126),"\$([A-Z]+)\$[0-9]+"))),_xlfn.REGEXEXTRACT(CELL("address",'Raw Data'!F126),"\$([A-Z]+)\$[0-9]+"))</f>
        <v/>
      </c>
      <c r="G126" s="7" t="str">
        <f t="array" aca="1" ref="G126" ca="1">IFERROR(IF(OR('Raw Data'!G126="",LEN(TRIM('Raw Data'!G126))=0),"",IF(AND(LEN('Raw Data'!G126) &lt;= 50,LEN('Raw Data'!G126)&gt; 0),"",_xlfn.REGEXEXTRACT(CELL("address",'Raw Data'!G126),"\$([A-Z]+)\$[0-9]+"))),_xlfn.REGEXEXTRACT(CELL("address",'Raw Data'!G126),"\$([A-Z]+)\$[0-9]+"))</f>
        <v/>
      </c>
      <c r="H126" s="7" t="str">
        <f t="array" aca="1" ref="H126" ca="1">IFERROR(IF(OR('Raw Data'!H126="",LEN(TRIM('Raw Data'!H126))=0),"",IF(AND(LEN('Raw Data'!H126) &lt;= 50,LEN('Raw Data'!H126)&gt; 0),"",_xlfn.REGEXEXTRACT(CELL("address",'Raw Data'!H126),"\$([A-Z]+)\$[0-9]+"))),_xlfn.REGEXEXTRACT(CELL("address",'Raw Data'!H126),"\$([A-Z]+)\$[0-9]+"))</f>
        <v/>
      </c>
      <c r="I126" s="7" t="str">
        <f t="array" aca="1" ref="I126" ca="1">IFERROR(IF(OR('Raw Data'!I126="",LEN(TRIM('Raw Data'!I126))=0),"",IF(AND(LEN('Raw Data'!I126) &lt;= 50,LEN('Raw Data'!I126)&gt; 0),"",_xlfn.REGEXEXTRACT(CELL("address",'Raw Data'!I126),"\$([A-Z]+)\$[0-9]+"))),_xlfn.REGEXEXTRACT(CELL("address",'Raw Data'!I126),"\$([A-Z]+)\$[0-9]+"))</f>
        <v/>
      </c>
      <c r="J126" s="7" t="str">
        <f t="array" aca="1" ref="J126" ca="1">IFERROR(IF(OR('Raw Data'!J126="",LEN(TRIM('Raw Data'!J126))=0),"",IF(AND(ISNUMBER('Raw Data'!J126), IFERROR('Raw Data'!J126 = ROUND('Raw Data'!J126, 2),FALSE)),"",_xlfn.REGEXEXTRACT(CELL("address",J126), "\$([A-Z]+)\$[0-9]+"))),_xlfn.REGEXEXTRACT(CELL("address",J126), "\$([A-Z]+)\$[0-9]+"))</f>
        <v/>
      </c>
      <c r="K126" s="7" t="str">
        <f t="array" aca="1" ref="K126" ca="1">IFERROR(IF(OR('Raw Data'!K126="",LEN(TRIM('Raw Data'!K126))=0),"",IF(AND(ISNUMBER('Raw Data'!K126), IFERROR('Raw Data'!K126 = ROUND('Raw Data'!K126, 2),FALSE)),"",_xlfn.REGEXEXTRACT(CELL("address",K126), "\$([A-Z]+)\$[0-9]+"))),_xlfn.REGEXEXTRACT(CELL("address",K126), "\$([A-Z]+)\$[0-9]+"))</f>
        <v/>
      </c>
      <c r="L126" s="7" t="str">
        <f t="array" aca="1" ref="L126" ca="1">IFERROR(IF(OR('Raw Data'!L126="",LEN(TRIM('Raw Data'!L126))=0),"",IF(AND(ISNUMBER('Raw Data'!L126), IFERROR('Raw Data'!L126 = ROUND('Raw Data'!L126, 2),FALSE)),"",_xlfn.REGEXEXTRACT(CELL("address",L126), "\$([A-Z]+)\$[0-9]+"))),_xlfn.REGEXEXTRACT(CELL("address",L126), "\$([A-Z]+)\$[0-9]+"))</f>
        <v/>
      </c>
      <c r="M126" s="7" t="str">
        <f t="array" aca="1" ref="M126" ca="1">IFERROR(IF(OR('Raw Data'!M126="",LEN(TRIM('Raw Data'!M126))=0),"",IF(AND(ISNUMBER('Raw Data'!M126), IFERROR('Raw Data'!M126 = ROUND('Raw Data'!M126, 2),FALSE)),"",_xlfn.REGEXEXTRACT(CELL("address",M126), "\$([A-Z]+)\$[0-9]+"))),_xlfn.REGEXEXTRACT(CELL("address",M126), "\$([A-Z]+)\$[0-9]+"))</f>
        <v/>
      </c>
      <c r="N126" s="7" t="str">
        <f t="array" aca="1" ref="N126" ca="1">IFERROR(IF(OR('Raw Data'!N126="",LEN(TRIM('Raw Data'!N126))=0),"",IF(AND(ISNUMBER('Raw Data'!N126), IFERROR('Raw Data'!N126 = ROUND('Raw Data'!N126, 2),FALSE)),"",_xlfn.REGEXEXTRACT(CELL("address",N126), "\$([A-Z]+)\$[0-9]+"))),_xlfn.REGEXEXTRACT(CELL("address",N126), "\$([A-Z]+)\$[0-9]+"))</f>
        <v/>
      </c>
      <c r="O126" s="7" t="str">
        <f t="array" aca="1" ref="O126" ca="1">IFERROR(IF(OR('Raw Data'!O126="",LEN(TRIM('Raw Data'!O126))=0),"",IF(AND(ISNUMBER('Raw Data'!O126),'Raw Data'!O126&gt;=Configuration!$D$2),"",_xlfn.REGEXEXTRACT(CELL("address",'Raw Data'!O126),"\$([A-Z]+)\$[0-9]+"))),_xlfn.REGEXEXTRACT(CELL("address",O126), "\$([A-Z]+)\$[0-9]+"))</f>
        <v/>
      </c>
      <c r="P126" s="7" t="str">
        <f t="array" aca="1" ref="P126" ca="1">IFERROR(IF(OR('Raw Data'!P126="",LEN(TRIM('Raw Data'!P126))=0),"",IF(AND(ISNUMBER('Raw Data'!P126), IFERROR('Raw Data'!P126 = ROUND('Raw Data'!P126, 2),FALSE)),"",_xlfn.REGEXEXTRACT(CELL("address",P126), "\$([A-Z]+)\$[0-9]+"))),_xlfn.REGEXEXTRACT(CELL("address",P126), "\$([A-Z]+)\$[0-9]+"))</f>
        <v/>
      </c>
      <c r="Q126" s="7" t="str">
        <f t="array" aca="1" ref="Q126" ca="1">IFERROR(IF(OR('Raw Data'!Q126="",LEN(TRIM('Raw Data'!Q126))=0),"",IF(AND(ISNUMBER('Raw Data'!Q126), IFERROR('Raw Data'!Q126 = ROUND('Raw Data'!Q126, 2),FALSE)),"",_xlfn.REGEXEXTRACT(CELL("address",Q126), "\$([A-Z]+)\$[0-9]+"))),_xlfn.REGEXEXTRACT(CELL("address",Q126), "\$([A-Z]+)\$[0-9]+"))</f>
        <v/>
      </c>
      <c r="R126" s="7" t="str">
        <f t="array" aca="1" ref="R126" ca="1">IFERROR(IF(OR('Raw Data'!R126="",LEN(TRIM('Raw Data'!R126))=0),"",IF(AND(LEN('Raw Data'!R126) &lt;= 50,LEN('Raw Data'!R126)&gt; 0),"",_xlfn.REGEXEXTRACT(CELL("address",'Raw Data'!R126),"\$([A-Z]+)\$[0-9]+"))),_xlfn.REGEXEXTRACT(CELL("address",'Raw Data'!R126),"\$([A-Z]+)\$[0-9]+"))</f>
        <v/>
      </c>
      <c r="S126" s="7" t="str">
        <f t="array" aca="1" ref="S126" ca="1">IFERROR(IF(OR('Raw Data'!S126="",LEN(TRIM('Raw Data'!S126))=0),"",IF(AND(LEN('Raw Data'!S126) &lt;= 50,LEN('Raw Data'!S126)&gt; 0),"",_xlfn.REGEXEXTRACT(CELL("address",'Raw Data'!S126),"\$([A-Z]+)\$[0-9]+"))),_xlfn.REGEXEXTRACT(CELL("address",'Raw Data'!S126),"\$([A-Z]+)\$[0-9]+"))</f>
        <v/>
      </c>
      <c r="T126" s="7" t="str">
        <f t="array" aca="1" ref="T126" ca="1">IFERROR(IF(OR('Raw Data'!T126="",LEN(TRIM('Raw Data'!T126))=0),"",IF(AND(ISNUMBER('Raw Data'!T126), IFERROR('Raw Data'!T126 = ROUND('Raw Data'!T126, 2),FALSE)),"",_xlfn.REGEXEXTRACT(CELL("address",T126), "\$([A-Z]+)\$[0-9]+"))),_xlfn.REGEXEXTRACT(CELL("address",T126), "\$([A-Z]+)\$[0-9]+"))</f>
        <v/>
      </c>
      <c r="U126" s="7" t="str">
        <f t="array" aca="1" ref="U126" ca="1">IFERROR(IF(OR('Raw Data'!U126="",LEN(TRIM('Raw Data'!U126))=0),"",IF(AND(ISNUMBER('Raw Data'!U126), IFERROR('Raw Data'!U126 = ROUND('Raw Data'!U126, 2),FALSE)),"",_xlfn.REGEXEXTRACT(CELL("address",U126), "\$([A-Z]+)\$[0-9]+"))),_xlfn.REGEXEXTRACT(CELL("address",U126), "\$([A-Z]+)\$[0-9]+"))</f>
        <v/>
      </c>
      <c r="V126" s="7" t="str">
        <f t="array" aca="1" ref="V126" ca="1">IFERROR(IF(OR('Raw Data'!V126="",LEN(TRIM('Raw Data'!V126))=0),"",IF(AND(ISNUMBER('Raw Data'!V126), IFERROR('Raw Data'!V126 = ROUND('Raw Data'!V126, 2),FALSE)),"",_xlfn.REGEXEXTRACT(CELL("address",V126), "\$([A-Z]+)\$[0-9]+"))),_xlfn.REGEXEXTRACT(CELL("address",V126), "\$([A-Z]+)\$[0-9]+"))</f>
        <v/>
      </c>
      <c r="W126" s="7" t="str">
        <f t="array" aca="1" ref="W126" ca="1">IFERROR(IF(OR('Raw Data'!W126="",LEN(TRIM('Raw Data'!W126))=0),"",IF(AND(ISNUMBER('Raw Data'!W126), IFERROR('Raw Data'!W126 = ROUND('Raw Data'!W126, 2),FALSE)),"",_xlfn.REGEXEXTRACT(CELL("address",W126), "\$([A-Z]+)\$[0-9]+"))),_xlfn.REGEXEXTRACT(CELL("address",W126), "\$([A-Z]+)\$[0-9]+"))</f>
        <v/>
      </c>
      <c r="X126" s="7" t="str">
        <f t="array" aca="1" ref="X126" ca="1">IFERROR(IF(OR('Raw Data'!X126="",LEN(TRIM('Raw Data'!X126))=0),"",IF(AND(ISNUMBER('Raw Data'!X126), IFERROR('Raw Data'!X126 = ROUND('Raw Data'!X126, 2),FALSE)),"",_xlfn.REGEXEXTRACT(CELL("address",X126), "\$([A-Z]+)\$[0-9]+"))),_xlfn.REGEXEXTRACT(CELL("address",X126), "\$([A-Z]+)\$[0-9]+"))</f>
        <v/>
      </c>
      <c r="Y126" s="7" t="str">
        <f t="array" aca="1" ref="Y126" ca="1">IFERROR(IF(OR('Raw Data'!Y126="",LEN(TRIM('Raw Data'!Y126))=0),"",IF(AND(ISNUMBER('Raw Data'!Y126), IFERROR('Raw Data'!Y126 = ROUND('Raw Data'!Y126, 2),FALSE)),"",_xlfn.REGEXEXTRACT(CELL("address",Y126), "\$([A-Z]+)\$[0-9]+"))),_xlfn.REGEXEXTRACT(CELL("address",Y126), "\$([A-Z]+)\$[0-9]+"))</f>
        <v/>
      </c>
      <c r="Z126" s="7" t="str">
        <f t="array" aca="1" ref="Z126" ca="1">IFERROR(IF(OR('Raw Data'!Z126="",LEN(TRIM('Raw Data'!Z126))=0),"",IF(AND(ISNUMBER('Raw Data'!Z126), IFERROR('Raw Data'!Z126 = ROUND('Raw Data'!Z126, 2),FALSE)),"",_xlfn.REGEXEXTRACT(CELL("address",Z126), "\$([A-Z]+)\$[0-9]+"))),_xlfn.REGEXEXTRACT(CELL("address",Z126), "\$([A-Z]+)\$[0-9]+"))</f>
        <v/>
      </c>
      <c r="AA126" s="7" t="str">
        <f t="array" aca="1" ref="AA126" ca="1">IFERROR(IF(OR('Raw Data'!AA126="",LEN(TRIM('Raw Data'!AA126))=0),"",IF(AND(ISNUMBER('Raw Data'!AA126), IFERROR('Raw Data'!AA126 = ROUND('Raw Data'!AA126, 2),FALSE)),"",_xlfn.REGEXEXTRACT(CELL("address",AA126), "\$([A-Z]+)\$[0-9]+"))),_xlfn.REGEXEXTRACT(CELL("address",AA126), "\$([A-Z]+)\$[0-9]+"))</f>
        <v/>
      </c>
      <c r="AB126" s="7" t="str">
        <f t="array" aca="1" ref="AB126" ca="1">IFERROR(IF(OR('Raw Data'!AB126="",LEN(TRIM('Raw Data'!AB126))=0),"",IF(AND(ISNUMBER('Raw Data'!AB126), IFERROR('Raw Data'!AB126 = ROUND('Raw Data'!AB126, 2),FALSE)),"",_xlfn.REGEXEXTRACT(CELL("address",AB126), "\$([A-Z]+)\$[0-9]+"))),_xlfn.REGEXEXTRACT(CELL("address",AB126), "\$([A-Z]+)\$[0-9]+"))</f>
        <v/>
      </c>
      <c r="AC126" s="7" t="str">
        <f t="array" aca="1" ref="AC126" ca="1">IFERROR(IF(OR('Raw Data'!AC126="",LEN(TRIM('Raw Data'!AC126))=0),"",IF(AND(ISNUMBER('Raw Data'!AC126), IFERROR('Raw Data'!AC126 = ROUND('Raw Data'!AC126, 2),FALSE)),"",_xlfn.REGEXEXTRACT(CELL("address",AC126), "\$([A-Z]+)\$[0-9]+"))),_xlfn.REGEXEXTRACT(CELL("address",AC126), "\$([A-Z]+)\$[0-9]+"))</f>
        <v/>
      </c>
      <c r="AD126" s="7" t="str">
        <f t="array" aca="1" ref="AD126" ca="1">IFERROR(IF(OR('Raw Data'!AD126="",LEN(TRIM('Raw Data'!AD126))=0),"",IF(AND(ISNUMBER('Raw Data'!AD126), IFERROR('Raw Data'!AD126 = ROUND('Raw Data'!AD126, 2),FALSE)),"",_xlfn.REGEXEXTRACT(CELL("address",AD126), "\$([A-Z]+)\$[0-9]+"))),_xlfn.REGEXEXTRACT(CELL("address",AD126), "\$([A-Z]+)\$[0-9]+"))</f>
        <v/>
      </c>
      <c r="AE126" s="7" t="str">
        <f t="array" aca="1" ref="AE126" ca="1">IFERROR(IF(OR('Raw Data'!AE126="",LEN(TRIM('Raw Data'!AE126))=0),"",IF(AND(ISNUMBER('Raw Data'!AE126), IFERROR('Raw Data'!AE126 = ROUND('Raw Data'!AE126, 2),FALSE)),"",_xlfn.REGEXEXTRACT(CELL("address",AE126), "\$([A-Z]+)\$[0-9]+"))),_xlfn.REGEXEXTRACT(CELL("address",AE126), "\$([A-Z]+)\$[0-9]+"))</f>
        <v/>
      </c>
      <c r="AF126" s="7" t="str">
        <f t="array" aca="1" ref="AF126" ca="1">IFERROR(IF(OR('Raw Data'!AF126="",LEN(TRIM('Raw Data'!AF126))=0),"",IF(AND(ISNUMBER('Raw Data'!AF126), IFERROR('Raw Data'!AF126 = ROUND('Raw Data'!AF126, 2),FALSE)),"",_xlfn.REGEXEXTRACT(CELL("address",AF126), "\$([A-Z]+)\$[0-9]+"))),_xlfn.REGEXEXTRACT(CELL("address",AF126), "\$([A-Z]+)\$[0-9]+"))</f>
        <v/>
      </c>
      <c r="AG126" s="7" t="str">
        <f t="array" aca="1" ref="AG126" ca="1">IFERROR(IF(OR('Raw Data'!AG126="",LEN(TRIM('Raw Data'!AG126))=0),"",IF(AND(ISNUMBER('Raw Data'!AG126), IFERROR('Raw Data'!AG126 = ROUND('Raw Data'!AG126, 2),FALSE)),"",_xlfn.REGEXEXTRACT(CELL("address",AG126), "\$([A-Z]+)\$[0-9]+"))),_xlfn.REGEXEXTRACT(CELL("address",AG126), "\$([A-Z]+)\$[0-9]+"))</f>
        <v/>
      </c>
      <c r="AH126" s="7" t="str">
        <f t="array" aca="1" ref="AH126" ca="1">IFERROR(IF(OR('Raw Data'!AH126="",LEN(TRIM('Raw Data'!AH126))=0),"",IF(AND(ISNUMBER('Raw Data'!AH126), IFERROR('Raw Data'!AH126 = ROUND('Raw Data'!AH126, 2),FALSE)),"",_xlfn.REGEXEXTRACT(CELL("address",AH126), "\$([A-Z]+)\$[0-9]+"))),_xlfn.REGEXEXTRACT(CELL("address",AH126), "\$([A-Z]+)\$[0-9]+"))</f>
        <v/>
      </c>
      <c r="AI126" s="7" t="str">
        <f t="array" aca="1" ref="AI126" ca="1">IFERROR(IF(OR('Raw Data'!AI126="",LEN(TRIM('Raw Data'!AI126))=0),"",IF(AND(ISNUMBER('Raw Data'!AI126), IFERROR('Raw Data'!AI126 = ROUND('Raw Data'!AI126, 2),FALSE)),"",_xlfn.REGEXEXTRACT(CELL("address",AI126), "\$([A-Z]+)\$[0-9]+"))),_xlfn.REGEXEXTRACT(CELL("address",AI126), "\$([A-Z]+)\$[0-9]+"))</f>
        <v/>
      </c>
      <c r="AJ126" s="7" t="str">
        <f t="array" aca="1" ref="AJ126" ca="1">IFERROR(IF(OR('Raw Data'!AJ126="",LEN(TRIM('Raw Data'!AJ126))=0),"",IF(AND(ISNUMBER('Raw Data'!AJ126), IFERROR('Raw Data'!AJ126 = ROUND('Raw Data'!AJ126, 4),FALSE)),"",_xlfn.REGEXEXTRACT(CELL("address",AJ126), "\$([A-Z]+)\$[0-9]+"))),_xlfn.REGEXEXTRACT(CELL("address",AJ126), "\$([A-Z]+)\$[0-9]+"))</f>
        <v/>
      </c>
      <c r="AK126" s="7" t="str">
        <f t="array" aca="1" ref="AK126" ca="1">IFERROR(IF(OR('Raw Data'!AK126="",LEN(TRIM('Raw Data'!AK126))=0),"",IF(AND(ISNUMBER('Raw Data'!AK126), IFERROR('Raw Data'!AK126 = ROUND('Raw Data'!AK126, 2),FALSE)),"",_xlfn.REGEXEXTRACT(CELL("address",AK126), "\$([A-Z]+)\$[0-9]+"))),_xlfn.REGEXEXTRACT(CELL("address",AK126), "\$([A-Z]+)\$[0-9]+"))</f>
        <v/>
      </c>
      <c r="AL126" s="7" t="str">
        <f t="array" aca="1" ref="AL126" ca="1">IFERROR(IF(OR('Raw Data'!AL126="",LEN(TRIM('Raw Data'!AL126))=0),"",IF(AND(ISNUMBER('Raw Data'!AL126), IFERROR('Raw Data'!AL126 = ROUND('Raw Data'!AL126, 2),FALSE)),"",_xlfn.REGEXEXTRACT(CELL("address",AL126), "\$([A-Z]+)\$[0-9]+"))),_xlfn.REGEXEXTRACT(CELL("address",AL126), "\$([A-Z]+)\$[0-9]+"))</f>
        <v/>
      </c>
      <c r="AM126" s="7" t="str">
        <f t="array" aca="1" ref="AM126" ca="1">IFERROR(IF(OR('Raw Data'!AM126="",LEN(TRIM('Raw Data'!AM126))=0),"",IF(AND(ISNUMBER('Raw Data'!AM126), IFERROR('Raw Data'!AM126 = ROUND('Raw Data'!AM126, 2),FALSE)),"",_xlfn.REGEXEXTRACT(CELL("address",AM126), "\$([A-Z]+)\$[0-9]+"))),_xlfn.REGEXEXTRACT(CELL("address",AM126), "\$([A-Z]+)\$[0-9]+"))</f>
        <v/>
      </c>
      <c r="AN126" s="7" t="str">
        <f t="array" aca="1" ref="AN126" ca="1">IFERROR(IF(OR('Raw Data'!AN126="",LEN(TRIM('Raw Data'!AN126))=0),"",IF(AND(ISNUMBER('Raw Data'!AN126), IFERROR('Raw Data'!AN126 = ROUND('Raw Data'!AN126, 2),FALSE)),"",_xlfn.REGEXEXTRACT(CELL("address",AN126), "\$([A-Z]+)\$[0-9]+"))),_xlfn.REGEXEXTRACT(CELL("address",AN126), "\$([A-Z]+)\$[0-9]+"))</f>
        <v/>
      </c>
      <c r="AO126" s="7" t="str">
        <f t="array" aca="1" ref="AO126" ca="1">IFERROR(IF(OR('Raw Data'!AO126="",LEN(TRIM('Raw Data'!AO126))=0),"",IF(AND(ISNUMBER('Raw Data'!AO126), IFERROR('Raw Data'!AO126 = ROUND('Raw Data'!AO126, 2),FALSE)),"",_xlfn.REGEXEXTRACT(CELL("address",AO126), "\$([A-Z]+)\$[0-9]+"))),_xlfn.REGEXEXTRACT(CELL("address",AO126), "\$([A-Z]+)\$[0-9]+"))</f>
        <v/>
      </c>
      <c r="AP126" s="7" t="str">
        <f t="array" aca="1" ref="AP126" ca="1">IFERROR(IF(OR('Raw Data'!AP126="",LEN(TRIM('Raw Data'!AP126))=0),"",IF(AND(ISNUMBER('Raw Data'!AP126), IFERROR('Raw Data'!AP126 = ROUND('Raw Data'!AP126, 2),FALSE)),"",_xlfn.REGEXEXTRACT(CELL("address",AP126), "\$([A-Z]+)\$[0-9]+"))),_xlfn.REGEXEXTRACT(CELL("address",AP126), "\$([A-Z]+)\$[0-9]+"))</f>
        <v/>
      </c>
    </row>
    <row r="127" spans="2:42" x14ac:dyDescent="0.25">
      <c r="B127" s="7" t="str">
        <f t="array" aca="1" ref="B127" ca="1">IFERROR(IF(OR('Raw Data'!B127="",LEN(TRIM('Raw Data'!B127))=0),"",IF(AND(LEN('Raw Data'!B127) &lt;= 255,LEN('Raw Data'!B127)&gt; 0),"",_xlfn.REGEXEXTRACT(CELL("address",'Raw Data'!B127),"\$([A-Z]+)\$[0-9]+"))),_xlfn.REGEXEXTRACT(CELL("address",'Raw Data'!B127),"\$([A-Z]+)\$[0-9]+"))</f>
        <v/>
      </c>
      <c r="C127" s="7" t="str">
        <f t="array" aca="1" ref="C127" ca="1">IFERROR(IF(OR('Raw Data'!C127="",LEN(TRIM('Raw Data'!C127))=0),"",IF(AND(LEN('Raw Data'!C127) &lt;= 50,LEN('Raw Data'!C127)&gt; 0),"",_xlfn.REGEXEXTRACT(CELL("address",'Raw Data'!C127),"\$([A-Z]+)\$[0-9]+"))),_xlfn.REGEXEXTRACT(CELL("address",'Raw Data'!C127),"\$([A-Z]+)\$[0-9]+"))</f>
        <v/>
      </c>
      <c r="D127" s="7" t="str">
        <f t="array" aca="1" ref="D127" ca="1">IFERROR(IF(OR('Raw Data'!D127="",LEN(TRIM('Raw Data'!D127))=0),"",IF(AND(LEN('Raw Data'!D127) &lt;= 500,LEN('Raw Data'!D127)&gt; 0),"",_xlfn.REGEXEXTRACT(CELL("address",'Raw Data'!D127),"\$([A-Z]+)\$[0-9]+"))),_xlfn.REGEXEXTRACT(CELL("address",'Raw Data'!D127),"\$([A-Z]+)\$[0-9]+"))</f>
        <v/>
      </c>
      <c r="E127" s="7" t="str">
        <f t="array" aca="1" ref="E127" ca="1">IFERROR(IF(OR('Raw Data'!E127="",LEN(TRIM('Raw Data'!E127))=0),"",IF(AND(LEN('Raw Data'!E127) &lt;= 50,LEN('Raw Data'!E127)&gt; 0),"",_xlfn.REGEXEXTRACT(CELL("address",'Raw Data'!E127),"\$([A-Z]+)\$[0-9]+"))),_xlfn.REGEXEXTRACT(CELL("address",'Raw Data'!E127),"\$([A-Z]+)\$[0-9]+"))</f>
        <v/>
      </c>
      <c r="F127" s="7" t="str">
        <f t="array" aca="1" ref="F127" ca="1">IFERROR(IF(OR('Raw Data'!F127="",LEN(TRIM('Raw Data'!F127))=0),"",IF(AND(LEN('Raw Data'!F127) &lt;= 50,LEN('Raw Data'!F127)&gt; 0),"",_xlfn.REGEXEXTRACT(CELL("address",'Raw Data'!F127),"\$([A-Z]+)\$[0-9]+"))),_xlfn.REGEXEXTRACT(CELL("address",'Raw Data'!F127),"\$([A-Z]+)\$[0-9]+"))</f>
        <v/>
      </c>
      <c r="G127" s="7" t="str">
        <f t="array" aca="1" ref="G127" ca="1">IFERROR(IF(OR('Raw Data'!G127="",LEN(TRIM('Raw Data'!G127))=0),"",IF(AND(LEN('Raw Data'!G127) &lt;= 50,LEN('Raw Data'!G127)&gt; 0),"",_xlfn.REGEXEXTRACT(CELL("address",'Raw Data'!G127),"\$([A-Z]+)\$[0-9]+"))),_xlfn.REGEXEXTRACT(CELL("address",'Raw Data'!G127),"\$([A-Z]+)\$[0-9]+"))</f>
        <v/>
      </c>
      <c r="H127" s="7" t="str">
        <f t="array" aca="1" ref="H127" ca="1">IFERROR(IF(OR('Raw Data'!H127="",LEN(TRIM('Raw Data'!H127))=0),"",IF(AND(LEN('Raw Data'!H127) &lt;= 50,LEN('Raw Data'!H127)&gt; 0),"",_xlfn.REGEXEXTRACT(CELL("address",'Raw Data'!H127),"\$([A-Z]+)\$[0-9]+"))),_xlfn.REGEXEXTRACT(CELL("address",'Raw Data'!H127),"\$([A-Z]+)\$[0-9]+"))</f>
        <v/>
      </c>
      <c r="I127" s="7" t="str">
        <f t="array" aca="1" ref="I127" ca="1">IFERROR(IF(OR('Raw Data'!I127="",LEN(TRIM('Raw Data'!I127))=0),"",IF(AND(LEN('Raw Data'!I127) &lt;= 50,LEN('Raw Data'!I127)&gt; 0),"",_xlfn.REGEXEXTRACT(CELL("address",'Raw Data'!I127),"\$([A-Z]+)\$[0-9]+"))),_xlfn.REGEXEXTRACT(CELL("address",'Raw Data'!I127),"\$([A-Z]+)\$[0-9]+"))</f>
        <v/>
      </c>
      <c r="J127" s="7" t="str">
        <f t="array" aca="1" ref="J127" ca="1">IFERROR(IF(OR('Raw Data'!J127="",LEN(TRIM('Raw Data'!J127))=0),"",IF(AND(ISNUMBER('Raw Data'!J127), IFERROR('Raw Data'!J127 = ROUND('Raw Data'!J127, 2),FALSE)),"",_xlfn.REGEXEXTRACT(CELL("address",J127), "\$([A-Z]+)\$[0-9]+"))),_xlfn.REGEXEXTRACT(CELL("address",J127), "\$([A-Z]+)\$[0-9]+"))</f>
        <v/>
      </c>
      <c r="K127" s="7" t="str">
        <f t="array" aca="1" ref="K127" ca="1">IFERROR(IF(OR('Raw Data'!K127="",LEN(TRIM('Raw Data'!K127))=0),"",IF(AND(ISNUMBER('Raw Data'!K127), IFERROR('Raw Data'!K127 = ROUND('Raw Data'!K127, 2),FALSE)),"",_xlfn.REGEXEXTRACT(CELL("address",K127), "\$([A-Z]+)\$[0-9]+"))),_xlfn.REGEXEXTRACT(CELL("address",K127), "\$([A-Z]+)\$[0-9]+"))</f>
        <v/>
      </c>
      <c r="L127" s="7" t="str">
        <f t="array" aca="1" ref="L127" ca="1">IFERROR(IF(OR('Raw Data'!L127="",LEN(TRIM('Raw Data'!L127))=0),"",IF(AND(ISNUMBER('Raw Data'!L127), IFERROR('Raw Data'!L127 = ROUND('Raw Data'!L127, 2),FALSE)),"",_xlfn.REGEXEXTRACT(CELL("address",L127), "\$([A-Z]+)\$[0-9]+"))),_xlfn.REGEXEXTRACT(CELL("address",L127), "\$([A-Z]+)\$[0-9]+"))</f>
        <v/>
      </c>
      <c r="M127" s="7" t="str">
        <f t="array" aca="1" ref="M127" ca="1">IFERROR(IF(OR('Raw Data'!M127="",LEN(TRIM('Raw Data'!M127))=0),"",IF(AND(ISNUMBER('Raw Data'!M127), IFERROR('Raw Data'!M127 = ROUND('Raw Data'!M127, 2),FALSE)),"",_xlfn.REGEXEXTRACT(CELL("address",M127), "\$([A-Z]+)\$[0-9]+"))),_xlfn.REGEXEXTRACT(CELL("address",M127), "\$([A-Z]+)\$[0-9]+"))</f>
        <v/>
      </c>
      <c r="N127" s="7" t="str">
        <f t="array" aca="1" ref="N127" ca="1">IFERROR(IF(OR('Raw Data'!N127="",LEN(TRIM('Raw Data'!N127))=0),"",IF(AND(ISNUMBER('Raw Data'!N127), IFERROR('Raw Data'!N127 = ROUND('Raw Data'!N127, 2),FALSE)),"",_xlfn.REGEXEXTRACT(CELL("address",N127), "\$([A-Z]+)\$[0-9]+"))),_xlfn.REGEXEXTRACT(CELL("address",N127), "\$([A-Z]+)\$[0-9]+"))</f>
        <v/>
      </c>
      <c r="O127" s="7" t="str">
        <f t="array" aca="1" ref="O127" ca="1">IFERROR(IF(OR('Raw Data'!O127="",LEN(TRIM('Raw Data'!O127))=0),"",IF(AND(ISNUMBER('Raw Data'!O127),'Raw Data'!O127&gt;=Configuration!$D$2),"",_xlfn.REGEXEXTRACT(CELL("address",'Raw Data'!O127),"\$([A-Z]+)\$[0-9]+"))),_xlfn.REGEXEXTRACT(CELL("address",O127), "\$([A-Z]+)\$[0-9]+"))</f>
        <v/>
      </c>
      <c r="P127" s="7" t="str">
        <f t="array" aca="1" ref="P127" ca="1">IFERROR(IF(OR('Raw Data'!P127="",LEN(TRIM('Raw Data'!P127))=0),"",IF(AND(ISNUMBER('Raw Data'!P127), IFERROR('Raw Data'!P127 = ROUND('Raw Data'!P127, 2),FALSE)),"",_xlfn.REGEXEXTRACT(CELL("address",P127), "\$([A-Z]+)\$[0-9]+"))),_xlfn.REGEXEXTRACT(CELL("address",P127), "\$([A-Z]+)\$[0-9]+"))</f>
        <v/>
      </c>
      <c r="Q127" s="7" t="str">
        <f t="array" aca="1" ref="Q127" ca="1">IFERROR(IF(OR('Raw Data'!Q127="",LEN(TRIM('Raw Data'!Q127))=0),"",IF(AND(ISNUMBER('Raw Data'!Q127), IFERROR('Raw Data'!Q127 = ROUND('Raw Data'!Q127, 2),FALSE)),"",_xlfn.REGEXEXTRACT(CELL("address",Q127), "\$([A-Z]+)\$[0-9]+"))),_xlfn.REGEXEXTRACT(CELL("address",Q127), "\$([A-Z]+)\$[0-9]+"))</f>
        <v/>
      </c>
      <c r="R127" s="7" t="str">
        <f t="array" aca="1" ref="R127" ca="1">IFERROR(IF(OR('Raw Data'!R127="",LEN(TRIM('Raw Data'!R127))=0),"",IF(AND(LEN('Raw Data'!R127) &lt;= 50,LEN('Raw Data'!R127)&gt; 0),"",_xlfn.REGEXEXTRACT(CELL("address",'Raw Data'!R127),"\$([A-Z]+)\$[0-9]+"))),_xlfn.REGEXEXTRACT(CELL("address",'Raw Data'!R127),"\$([A-Z]+)\$[0-9]+"))</f>
        <v/>
      </c>
      <c r="S127" s="7" t="str">
        <f t="array" aca="1" ref="S127" ca="1">IFERROR(IF(OR('Raw Data'!S127="",LEN(TRIM('Raw Data'!S127))=0),"",IF(AND(LEN('Raw Data'!S127) &lt;= 50,LEN('Raw Data'!S127)&gt; 0),"",_xlfn.REGEXEXTRACT(CELL("address",'Raw Data'!S127),"\$([A-Z]+)\$[0-9]+"))),_xlfn.REGEXEXTRACT(CELL("address",'Raw Data'!S127),"\$([A-Z]+)\$[0-9]+"))</f>
        <v/>
      </c>
      <c r="T127" s="7" t="str">
        <f t="array" aca="1" ref="T127" ca="1">IFERROR(IF(OR('Raw Data'!T127="",LEN(TRIM('Raw Data'!T127))=0),"",IF(AND(ISNUMBER('Raw Data'!T127), IFERROR('Raw Data'!T127 = ROUND('Raw Data'!T127, 2),FALSE)),"",_xlfn.REGEXEXTRACT(CELL("address",T127), "\$([A-Z]+)\$[0-9]+"))),_xlfn.REGEXEXTRACT(CELL("address",T127), "\$([A-Z]+)\$[0-9]+"))</f>
        <v/>
      </c>
      <c r="U127" s="7" t="str">
        <f t="array" aca="1" ref="U127" ca="1">IFERROR(IF(OR('Raw Data'!U127="",LEN(TRIM('Raw Data'!U127))=0),"",IF(AND(ISNUMBER('Raw Data'!U127), IFERROR('Raw Data'!U127 = ROUND('Raw Data'!U127, 2),FALSE)),"",_xlfn.REGEXEXTRACT(CELL("address",U127), "\$([A-Z]+)\$[0-9]+"))),_xlfn.REGEXEXTRACT(CELL("address",U127), "\$([A-Z]+)\$[0-9]+"))</f>
        <v/>
      </c>
      <c r="V127" s="7" t="str">
        <f t="array" aca="1" ref="V127" ca="1">IFERROR(IF(OR('Raw Data'!V127="",LEN(TRIM('Raw Data'!V127))=0),"",IF(AND(ISNUMBER('Raw Data'!V127), IFERROR('Raw Data'!V127 = ROUND('Raw Data'!V127, 2),FALSE)),"",_xlfn.REGEXEXTRACT(CELL("address",V127), "\$([A-Z]+)\$[0-9]+"))),_xlfn.REGEXEXTRACT(CELL("address",V127), "\$([A-Z]+)\$[0-9]+"))</f>
        <v/>
      </c>
      <c r="W127" s="7" t="str">
        <f t="array" aca="1" ref="W127" ca="1">IFERROR(IF(OR('Raw Data'!W127="",LEN(TRIM('Raw Data'!W127))=0),"",IF(AND(ISNUMBER('Raw Data'!W127), IFERROR('Raw Data'!W127 = ROUND('Raw Data'!W127, 2),FALSE)),"",_xlfn.REGEXEXTRACT(CELL("address",W127), "\$([A-Z]+)\$[0-9]+"))),_xlfn.REGEXEXTRACT(CELL("address",W127), "\$([A-Z]+)\$[0-9]+"))</f>
        <v/>
      </c>
      <c r="X127" s="7" t="str">
        <f t="array" aca="1" ref="X127" ca="1">IFERROR(IF(OR('Raw Data'!X127="",LEN(TRIM('Raw Data'!X127))=0),"",IF(AND(ISNUMBER('Raw Data'!X127), IFERROR('Raw Data'!X127 = ROUND('Raw Data'!X127, 2),FALSE)),"",_xlfn.REGEXEXTRACT(CELL("address",X127), "\$([A-Z]+)\$[0-9]+"))),_xlfn.REGEXEXTRACT(CELL("address",X127), "\$([A-Z]+)\$[0-9]+"))</f>
        <v/>
      </c>
      <c r="Y127" s="7" t="str">
        <f t="array" aca="1" ref="Y127" ca="1">IFERROR(IF(OR('Raw Data'!Y127="",LEN(TRIM('Raw Data'!Y127))=0),"",IF(AND(ISNUMBER('Raw Data'!Y127), IFERROR('Raw Data'!Y127 = ROUND('Raw Data'!Y127, 2),FALSE)),"",_xlfn.REGEXEXTRACT(CELL("address",Y127), "\$([A-Z]+)\$[0-9]+"))),_xlfn.REGEXEXTRACT(CELL("address",Y127), "\$([A-Z]+)\$[0-9]+"))</f>
        <v/>
      </c>
      <c r="Z127" s="7" t="str">
        <f t="array" aca="1" ref="Z127" ca="1">IFERROR(IF(OR('Raw Data'!Z127="",LEN(TRIM('Raw Data'!Z127))=0),"",IF(AND(ISNUMBER('Raw Data'!Z127), IFERROR('Raw Data'!Z127 = ROUND('Raw Data'!Z127, 2),FALSE)),"",_xlfn.REGEXEXTRACT(CELL("address",Z127), "\$([A-Z]+)\$[0-9]+"))),_xlfn.REGEXEXTRACT(CELL("address",Z127), "\$([A-Z]+)\$[0-9]+"))</f>
        <v/>
      </c>
      <c r="AA127" s="7" t="str">
        <f t="array" aca="1" ref="AA127" ca="1">IFERROR(IF(OR('Raw Data'!AA127="",LEN(TRIM('Raw Data'!AA127))=0),"",IF(AND(ISNUMBER('Raw Data'!AA127), IFERROR('Raw Data'!AA127 = ROUND('Raw Data'!AA127, 2),FALSE)),"",_xlfn.REGEXEXTRACT(CELL("address",AA127), "\$([A-Z]+)\$[0-9]+"))),_xlfn.REGEXEXTRACT(CELL("address",AA127), "\$([A-Z]+)\$[0-9]+"))</f>
        <v/>
      </c>
      <c r="AB127" s="7" t="str">
        <f t="array" aca="1" ref="AB127" ca="1">IFERROR(IF(OR('Raw Data'!AB127="",LEN(TRIM('Raw Data'!AB127))=0),"",IF(AND(ISNUMBER('Raw Data'!AB127), IFERROR('Raw Data'!AB127 = ROUND('Raw Data'!AB127, 2),FALSE)),"",_xlfn.REGEXEXTRACT(CELL("address",AB127), "\$([A-Z]+)\$[0-9]+"))),_xlfn.REGEXEXTRACT(CELL("address",AB127), "\$([A-Z]+)\$[0-9]+"))</f>
        <v/>
      </c>
      <c r="AC127" s="7" t="str">
        <f t="array" aca="1" ref="AC127" ca="1">IFERROR(IF(OR('Raw Data'!AC127="",LEN(TRIM('Raw Data'!AC127))=0),"",IF(AND(ISNUMBER('Raw Data'!AC127), IFERROR('Raw Data'!AC127 = ROUND('Raw Data'!AC127, 2),FALSE)),"",_xlfn.REGEXEXTRACT(CELL("address",AC127), "\$([A-Z]+)\$[0-9]+"))),_xlfn.REGEXEXTRACT(CELL("address",AC127), "\$([A-Z]+)\$[0-9]+"))</f>
        <v/>
      </c>
      <c r="AD127" s="7" t="str">
        <f t="array" aca="1" ref="AD127" ca="1">IFERROR(IF(OR('Raw Data'!AD127="",LEN(TRIM('Raw Data'!AD127))=0),"",IF(AND(ISNUMBER('Raw Data'!AD127), IFERROR('Raw Data'!AD127 = ROUND('Raw Data'!AD127, 2),FALSE)),"",_xlfn.REGEXEXTRACT(CELL("address",AD127), "\$([A-Z]+)\$[0-9]+"))),_xlfn.REGEXEXTRACT(CELL("address",AD127), "\$([A-Z]+)\$[0-9]+"))</f>
        <v/>
      </c>
      <c r="AE127" s="7" t="str">
        <f t="array" aca="1" ref="AE127" ca="1">IFERROR(IF(OR('Raw Data'!AE127="",LEN(TRIM('Raw Data'!AE127))=0),"",IF(AND(ISNUMBER('Raw Data'!AE127), IFERROR('Raw Data'!AE127 = ROUND('Raw Data'!AE127, 2),FALSE)),"",_xlfn.REGEXEXTRACT(CELL("address",AE127), "\$([A-Z]+)\$[0-9]+"))),_xlfn.REGEXEXTRACT(CELL("address",AE127), "\$([A-Z]+)\$[0-9]+"))</f>
        <v/>
      </c>
      <c r="AF127" s="7" t="str">
        <f t="array" aca="1" ref="AF127" ca="1">IFERROR(IF(OR('Raw Data'!AF127="",LEN(TRIM('Raw Data'!AF127))=0),"",IF(AND(ISNUMBER('Raw Data'!AF127), IFERROR('Raw Data'!AF127 = ROUND('Raw Data'!AF127, 2),FALSE)),"",_xlfn.REGEXEXTRACT(CELL("address",AF127), "\$([A-Z]+)\$[0-9]+"))),_xlfn.REGEXEXTRACT(CELL("address",AF127), "\$([A-Z]+)\$[0-9]+"))</f>
        <v/>
      </c>
      <c r="AG127" s="7" t="str">
        <f t="array" aca="1" ref="AG127" ca="1">IFERROR(IF(OR('Raw Data'!AG127="",LEN(TRIM('Raw Data'!AG127))=0),"",IF(AND(ISNUMBER('Raw Data'!AG127), IFERROR('Raw Data'!AG127 = ROUND('Raw Data'!AG127, 2),FALSE)),"",_xlfn.REGEXEXTRACT(CELL("address",AG127), "\$([A-Z]+)\$[0-9]+"))),_xlfn.REGEXEXTRACT(CELL("address",AG127), "\$([A-Z]+)\$[0-9]+"))</f>
        <v/>
      </c>
      <c r="AH127" s="7" t="str">
        <f t="array" aca="1" ref="AH127" ca="1">IFERROR(IF(OR('Raw Data'!AH127="",LEN(TRIM('Raw Data'!AH127))=0),"",IF(AND(ISNUMBER('Raw Data'!AH127), IFERROR('Raw Data'!AH127 = ROUND('Raw Data'!AH127, 2),FALSE)),"",_xlfn.REGEXEXTRACT(CELL("address",AH127), "\$([A-Z]+)\$[0-9]+"))),_xlfn.REGEXEXTRACT(CELL("address",AH127), "\$([A-Z]+)\$[0-9]+"))</f>
        <v/>
      </c>
      <c r="AI127" s="7" t="str">
        <f t="array" aca="1" ref="AI127" ca="1">IFERROR(IF(OR('Raw Data'!AI127="",LEN(TRIM('Raw Data'!AI127))=0),"",IF(AND(ISNUMBER('Raw Data'!AI127), IFERROR('Raw Data'!AI127 = ROUND('Raw Data'!AI127, 2),FALSE)),"",_xlfn.REGEXEXTRACT(CELL("address",AI127), "\$([A-Z]+)\$[0-9]+"))),_xlfn.REGEXEXTRACT(CELL("address",AI127), "\$([A-Z]+)\$[0-9]+"))</f>
        <v/>
      </c>
      <c r="AJ127" s="7" t="str">
        <f t="array" aca="1" ref="AJ127" ca="1">IFERROR(IF(OR('Raw Data'!AJ127="",LEN(TRIM('Raw Data'!AJ127))=0),"",IF(AND(ISNUMBER('Raw Data'!AJ127), IFERROR('Raw Data'!AJ127 = ROUND('Raw Data'!AJ127, 4),FALSE)),"",_xlfn.REGEXEXTRACT(CELL("address",AJ127), "\$([A-Z]+)\$[0-9]+"))),_xlfn.REGEXEXTRACT(CELL("address",AJ127), "\$([A-Z]+)\$[0-9]+"))</f>
        <v/>
      </c>
      <c r="AK127" s="7" t="str">
        <f t="array" aca="1" ref="AK127" ca="1">IFERROR(IF(OR('Raw Data'!AK127="",LEN(TRIM('Raw Data'!AK127))=0),"",IF(AND(ISNUMBER('Raw Data'!AK127), IFERROR('Raw Data'!AK127 = ROUND('Raw Data'!AK127, 2),FALSE)),"",_xlfn.REGEXEXTRACT(CELL("address",AK127), "\$([A-Z]+)\$[0-9]+"))),_xlfn.REGEXEXTRACT(CELL("address",AK127), "\$([A-Z]+)\$[0-9]+"))</f>
        <v/>
      </c>
      <c r="AL127" s="7" t="str">
        <f t="array" aca="1" ref="AL127" ca="1">IFERROR(IF(OR('Raw Data'!AL127="",LEN(TRIM('Raw Data'!AL127))=0),"",IF(AND(ISNUMBER('Raw Data'!AL127), IFERROR('Raw Data'!AL127 = ROUND('Raw Data'!AL127, 2),FALSE)),"",_xlfn.REGEXEXTRACT(CELL("address",AL127), "\$([A-Z]+)\$[0-9]+"))),_xlfn.REGEXEXTRACT(CELL("address",AL127), "\$([A-Z]+)\$[0-9]+"))</f>
        <v/>
      </c>
      <c r="AM127" s="7" t="str">
        <f t="array" aca="1" ref="AM127" ca="1">IFERROR(IF(OR('Raw Data'!AM127="",LEN(TRIM('Raw Data'!AM127))=0),"",IF(AND(ISNUMBER('Raw Data'!AM127), IFERROR('Raw Data'!AM127 = ROUND('Raw Data'!AM127, 2),FALSE)),"",_xlfn.REGEXEXTRACT(CELL("address",AM127), "\$([A-Z]+)\$[0-9]+"))),_xlfn.REGEXEXTRACT(CELL("address",AM127), "\$([A-Z]+)\$[0-9]+"))</f>
        <v/>
      </c>
      <c r="AN127" s="7" t="str">
        <f t="array" aca="1" ref="AN127" ca="1">IFERROR(IF(OR('Raw Data'!AN127="",LEN(TRIM('Raw Data'!AN127))=0),"",IF(AND(ISNUMBER('Raw Data'!AN127), IFERROR('Raw Data'!AN127 = ROUND('Raw Data'!AN127, 2),FALSE)),"",_xlfn.REGEXEXTRACT(CELL("address",AN127), "\$([A-Z]+)\$[0-9]+"))),_xlfn.REGEXEXTRACT(CELL("address",AN127), "\$([A-Z]+)\$[0-9]+"))</f>
        <v/>
      </c>
      <c r="AO127" s="7" t="str">
        <f t="array" aca="1" ref="AO127" ca="1">IFERROR(IF(OR('Raw Data'!AO127="",LEN(TRIM('Raw Data'!AO127))=0),"",IF(AND(ISNUMBER('Raw Data'!AO127), IFERROR('Raw Data'!AO127 = ROUND('Raw Data'!AO127, 2),FALSE)),"",_xlfn.REGEXEXTRACT(CELL("address",AO127), "\$([A-Z]+)\$[0-9]+"))),_xlfn.REGEXEXTRACT(CELL("address",AO127), "\$([A-Z]+)\$[0-9]+"))</f>
        <v/>
      </c>
      <c r="AP127" s="7" t="str">
        <f t="array" aca="1" ref="AP127" ca="1">IFERROR(IF(OR('Raw Data'!AP127="",LEN(TRIM('Raw Data'!AP127))=0),"",IF(AND(ISNUMBER('Raw Data'!AP127), IFERROR('Raw Data'!AP127 = ROUND('Raw Data'!AP127, 2),FALSE)),"",_xlfn.REGEXEXTRACT(CELL("address",AP127), "\$([A-Z]+)\$[0-9]+"))),_xlfn.REGEXEXTRACT(CELL("address",AP127), "\$([A-Z]+)\$[0-9]+"))</f>
        <v/>
      </c>
    </row>
    <row r="128" spans="2:42" x14ac:dyDescent="0.25">
      <c r="B128" s="7" t="str">
        <f t="array" aca="1" ref="B128" ca="1">IFERROR(IF(OR('Raw Data'!B128="",LEN(TRIM('Raw Data'!B128))=0),"",IF(AND(LEN('Raw Data'!B128) &lt;= 255,LEN('Raw Data'!B128)&gt; 0),"",_xlfn.REGEXEXTRACT(CELL("address",'Raw Data'!B128),"\$([A-Z]+)\$[0-9]+"))),_xlfn.REGEXEXTRACT(CELL("address",'Raw Data'!B128),"\$([A-Z]+)\$[0-9]+"))</f>
        <v/>
      </c>
      <c r="C128" s="7" t="str">
        <f t="array" aca="1" ref="C128" ca="1">IFERROR(IF(OR('Raw Data'!C128="",LEN(TRIM('Raw Data'!C128))=0),"",IF(AND(LEN('Raw Data'!C128) &lt;= 50,LEN('Raw Data'!C128)&gt; 0),"",_xlfn.REGEXEXTRACT(CELL("address",'Raw Data'!C128),"\$([A-Z]+)\$[0-9]+"))),_xlfn.REGEXEXTRACT(CELL("address",'Raw Data'!C128),"\$([A-Z]+)\$[0-9]+"))</f>
        <v/>
      </c>
      <c r="D128" s="7" t="str">
        <f t="array" aca="1" ref="D128" ca="1">IFERROR(IF(OR('Raw Data'!D128="",LEN(TRIM('Raw Data'!D128))=0),"",IF(AND(LEN('Raw Data'!D128) &lt;= 500,LEN('Raw Data'!D128)&gt; 0),"",_xlfn.REGEXEXTRACT(CELL("address",'Raw Data'!D128),"\$([A-Z]+)\$[0-9]+"))),_xlfn.REGEXEXTRACT(CELL("address",'Raw Data'!D128),"\$([A-Z]+)\$[0-9]+"))</f>
        <v/>
      </c>
      <c r="E128" s="7" t="str">
        <f t="array" aca="1" ref="E128" ca="1">IFERROR(IF(OR('Raw Data'!E128="",LEN(TRIM('Raw Data'!E128))=0),"",IF(AND(LEN('Raw Data'!E128) &lt;= 50,LEN('Raw Data'!E128)&gt; 0),"",_xlfn.REGEXEXTRACT(CELL("address",'Raw Data'!E128),"\$([A-Z]+)\$[0-9]+"))),_xlfn.REGEXEXTRACT(CELL("address",'Raw Data'!E128),"\$([A-Z]+)\$[0-9]+"))</f>
        <v/>
      </c>
      <c r="F128" s="7" t="str">
        <f t="array" aca="1" ref="F128" ca="1">IFERROR(IF(OR('Raw Data'!F128="",LEN(TRIM('Raw Data'!F128))=0),"",IF(AND(LEN('Raw Data'!F128) &lt;= 50,LEN('Raw Data'!F128)&gt; 0),"",_xlfn.REGEXEXTRACT(CELL("address",'Raw Data'!F128),"\$([A-Z]+)\$[0-9]+"))),_xlfn.REGEXEXTRACT(CELL("address",'Raw Data'!F128),"\$([A-Z]+)\$[0-9]+"))</f>
        <v/>
      </c>
      <c r="G128" s="7" t="str">
        <f t="array" aca="1" ref="G128" ca="1">IFERROR(IF(OR('Raw Data'!G128="",LEN(TRIM('Raw Data'!G128))=0),"",IF(AND(LEN('Raw Data'!G128) &lt;= 50,LEN('Raw Data'!G128)&gt; 0),"",_xlfn.REGEXEXTRACT(CELL("address",'Raw Data'!G128),"\$([A-Z]+)\$[0-9]+"))),_xlfn.REGEXEXTRACT(CELL("address",'Raw Data'!G128),"\$([A-Z]+)\$[0-9]+"))</f>
        <v/>
      </c>
      <c r="H128" s="7" t="str">
        <f t="array" aca="1" ref="H128" ca="1">IFERROR(IF(OR('Raw Data'!H128="",LEN(TRIM('Raw Data'!H128))=0),"",IF(AND(LEN('Raw Data'!H128) &lt;= 50,LEN('Raw Data'!H128)&gt; 0),"",_xlfn.REGEXEXTRACT(CELL("address",'Raw Data'!H128),"\$([A-Z]+)\$[0-9]+"))),_xlfn.REGEXEXTRACT(CELL("address",'Raw Data'!H128),"\$([A-Z]+)\$[0-9]+"))</f>
        <v/>
      </c>
      <c r="I128" s="7" t="str">
        <f t="array" aca="1" ref="I128" ca="1">IFERROR(IF(OR('Raw Data'!I128="",LEN(TRIM('Raw Data'!I128))=0),"",IF(AND(LEN('Raw Data'!I128) &lt;= 50,LEN('Raw Data'!I128)&gt; 0),"",_xlfn.REGEXEXTRACT(CELL("address",'Raw Data'!I128),"\$([A-Z]+)\$[0-9]+"))),_xlfn.REGEXEXTRACT(CELL("address",'Raw Data'!I128),"\$([A-Z]+)\$[0-9]+"))</f>
        <v/>
      </c>
      <c r="J128" s="7" t="str">
        <f t="array" aca="1" ref="J128" ca="1">IFERROR(IF(OR('Raw Data'!J128="",LEN(TRIM('Raw Data'!J128))=0),"",IF(AND(ISNUMBER('Raw Data'!J128), IFERROR('Raw Data'!J128 = ROUND('Raw Data'!J128, 2),FALSE)),"",_xlfn.REGEXEXTRACT(CELL("address",J128), "\$([A-Z]+)\$[0-9]+"))),_xlfn.REGEXEXTRACT(CELL("address",J128), "\$([A-Z]+)\$[0-9]+"))</f>
        <v/>
      </c>
      <c r="K128" s="7" t="str">
        <f t="array" aca="1" ref="K128" ca="1">IFERROR(IF(OR('Raw Data'!K128="",LEN(TRIM('Raw Data'!K128))=0),"",IF(AND(ISNUMBER('Raw Data'!K128), IFERROR('Raw Data'!K128 = ROUND('Raw Data'!K128, 2),FALSE)),"",_xlfn.REGEXEXTRACT(CELL("address",K128), "\$([A-Z]+)\$[0-9]+"))),_xlfn.REGEXEXTRACT(CELL("address",K128), "\$([A-Z]+)\$[0-9]+"))</f>
        <v/>
      </c>
      <c r="L128" s="7" t="str">
        <f t="array" aca="1" ref="L128" ca="1">IFERROR(IF(OR('Raw Data'!L128="",LEN(TRIM('Raw Data'!L128))=0),"",IF(AND(ISNUMBER('Raw Data'!L128), IFERROR('Raw Data'!L128 = ROUND('Raw Data'!L128, 2),FALSE)),"",_xlfn.REGEXEXTRACT(CELL("address",L128), "\$([A-Z]+)\$[0-9]+"))),_xlfn.REGEXEXTRACT(CELL("address",L128), "\$([A-Z]+)\$[0-9]+"))</f>
        <v/>
      </c>
      <c r="M128" s="7" t="str">
        <f t="array" aca="1" ref="M128" ca="1">IFERROR(IF(OR('Raw Data'!M128="",LEN(TRIM('Raw Data'!M128))=0),"",IF(AND(ISNUMBER('Raw Data'!M128), IFERROR('Raw Data'!M128 = ROUND('Raw Data'!M128, 2),FALSE)),"",_xlfn.REGEXEXTRACT(CELL("address",M128), "\$([A-Z]+)\$[0-9]+"))),_xlfn.REGEXEXTRACT(CELL("address",M128), "\$([A-Z]+)\$[0-9]+"))</f>
        <v/>
      </c>
      <c r="N128" s="7" t="str">
        <f t="array" aca="1" ref="N128" ca="1">IFERROR(IF(OR('Raw Data'!N128="",LEN(TRIM('Raw Data'!N128))=0),"",IF(AND(ISNUMBER('Raw Data'!N128), IFERROR('Raw Data'!N128 = ROUND('Raw Data'!N128, 2),FALSE)),"",_xlfn.REGEXEXTRACT(CELL("address",N128), "\$([A-Z]+)\$[0-9]+"))),_xlfn.REGEXEXTRACT(CELL("address",N128), "\$([A-Z]+)\$[0-9]+"))</f>
        <v/>
      </c>
      <c r="O128" s="7" t="str">
        <f t="array" aca="1" ref="O128" ca="1">IFERROR(IF(OR('Raw Data'!O128="",LEN(TRIM('Raw Data'!O128))=0),"",IF(AND(ISNUMBER('Raw Data'!O128),'Raw Data'!O128&gt;=Configuration!$D$2),"",_xlfn.REGEXEXTRACT(CELL("address",'Raw Data'!O128),"\$([A-Z]+)\$[0-9]+"))),_xlfn.REGEXEXTRACT(CELL("address",O128), "\$([A-Z]+)\$[0-9]+"))</f>
        <v/>
      </c>
      <c r="P128" s="7" t="str">
        <f t="array" aca="1" ref="P128" ca="1">IFERROR(IF(OR('Raw Data'!P128="",LEN(TRIM('Raw Data'!P128))=0),"",IF(AND(ISNUMBER('Raw Data'!P128), IFERROR('Raw Data'!P128 = ROUND('Raw Data'!P128, 2),FALSE)),"",_xlfn.REGEXEXTRACT(CELL("address",P128), "\$([A-Z]+)\$[0-9]+"))),_xlfn.REGEXEXTRACT(CELL("address",P128), "\$([A-Z]+)\$[0-9]+"))</f>
        <v/>
      </c>
      <c r="Q128" s="7" t="str">
        <f t="array" aca="1" ref="Q128" ca="1">IFERROR(IF(OR('Raw Data'!Q128="",LEN(TRIM('Raw Data'!Q128))=0),"",IF(AND(ISNUMBER('Raw Data'!Q128), IFERROR('Raw Data'!Q128 = ROUND('Raw Data'!Q128, 2),FALSE)),"",_xlfn.REGEXEXTRACT(CELL("address",Q128), "\$([A-Z]+)\$[0-9]+"))),_xlfn.REGEXEXTRACT(CELL("address",Q128), "\$([A-Z]+)\$[0-9]+"))</f>
        <v/>
      </c>
      <c r="R128" s="7" t="str">
        <f t="array" aca="1" ref="R128" ca="1">IFERROR(IF(OR('Raw Data'!R128="",LEN(TRIM('Raw Data'!R128))=0),"",IF(AND(LEN('Raw Data'!R128) &lt;= 50,LEN('Raw Data'!R128)&gt; 0),"",_xlfn.REGEXEXTRACT(CELL("address",'Raw Data'!R128),"\$([A-Z]+)\$[0-9]+"))),_xlfn.REGEXEXTRACT(CELL("address",'Raw Data'!R128),"\$([A-Z]+)\$[0-9]+"))</f>
        <v/>
      </c>
      <c r="S128" s="7" t="str">
        <f t="array" aca="1" ref="S128" ca="1">IFERROR(IF(OR('Raw Data'!S128="",LEN(TRIM('Raw Data'!S128))=0),"",IF(AND(LEN('Raw Data'!S128) &lt;= 50,LEN('Raw Data'!S128)&gt; 0),"",_xlfn.REGEXEXTRACT(CELL("address",'Raw Data'!S128),"\$([A-Z]+)\$[0-9]+"))),_xlfn.REGEXEXTRACT(CELL("address",'Raw Data'!S128),"\$([A-Z]+)\$[0-9]+"))</f>
        <v/>
      </c>
      <c r="T128" s="7" t="str">
        <f t="array" aca="1" ref="T128" ca="1">IFERROR(IF(OR('Raw Data'!T128="",LEN(TRIM('Raw Data'!T128))=0),"",IF(AND(ISNUMBER('Raw Data'!T128), IFERROR('Raw Data'!T128 = ROUND('Raw Data'!T128, 2),FALSE)),"",_xlfn.REGEXEXTRACT(CELL("address",T128), "\$([A-Z]+)\$[0-9]+"))),_xlfn.REGEXEXTRACT(CELL("address",T128), "\$([A-Z]+)\$[0-9]+"))</f>
        <v/>
      </c>
      <c r="U128" s="7" t="str">
        <f t="array" aca="1" ref="U128" ca="1">IFERROR(IF(OR('Raw Data'!U128="",LEN(TRIM('Raw Data'!U128))=0),"",IF(AND(ISNUMBER('Raw Data'!U128), IFERROR('Raw Data'!U128 = ROUND('Raw Data'!U128, 2),FALSE)),"",_xlfn.REGEXEXTRACT(CELL("address",U128), "\$([A-Z]+)\$[0-9]+"))),_xlfn.REGEXEXTRACT(CELL("address",U128), "\$([A-Z]+)\$[0-9]+"))</f>
        <v/>
      </c>
      <c r="V128" s="7" t="str">
        <f t="array" aca="1" ref="V128" ca="1">IFERROR(IF(OR('Raw Data'!V128="",LEN(TRIM('Raw Data'!V128))=0),"",IF(AND(ISNUMBER('Raw Data'!V128), IFERROR('Raw Data'!V128 = ROUND('Raw Data'!V128, 2),FALSE)),"",_xlfn.REGEXEXTRACT(CELL("address",V128), "\$([A-Z]+)\$[0-9]+"))),_xlfn.REGEXEXTRACT(CELL("address",V128), "\$([A-Z]+)\$[0-9]+"))</f>
        <v/>
      </c>
      <c r="W128" s="7" t="str">
        <f t="array" aca="1" ref="W128" ca="1">IFERROR(IF(OR('Raw Data'!W128="",LEN(TRIM('Raw Data'!W128))=0),"",IF(AND(ISNUMBER('Raw Data'!W128), IFERROR('Raw Data'!W128 = ROUND('Raw Data'!W128, 2),FALSE)),"",_xlfn.REGEXEXTRACT(CELL("address",W128), "\$([A-Z]+)\$[0-9]+"))),_xlfn.REGEXEXTRACT(CELL("address",W128), "\$([A-Z]+)\$[0-9]+"))</f>
        <v/>
      </c>
      <c r="X128" s="7" t="str">
        <f t="array" aca="1" ref="X128" ca="1">IFERROR(IF(OR('Raw Data'!X128="",LEN(TRIM('Raw Data'!X128))=0),"",IF(AND(ISNUMBER('Raw Data'!X128), IFERROR('Raw Data'!X128 = ROUND('Raw Data'!X128, 2),FALSE)),"",_xlfn.REGEXEXTRACT(CELL("address",X128), "\$([A-Z]+)\$[0-9]+"))),_xlfn.REGEXEXTRACT(CELL("address",X128), "\$([A-Z]+)\$[0-9]+"))</f>
        <v/>
      </c>
      <c r="Y128" s="7" t="str">
        <f t="array" aca="1" ref="Y128" ca="1">IFERROR(IF(OR('Raw Data'!Y128="",LEN(TRIM('Raw Data'!Y128))=0),"",IF(AND(ISNUMBER('Raw Data'!Y128), IFERROR('Raw Data'!Y128 = ROUND('Raw Data'!Y128, 2),FALSE)),"",_xlfn.REGEXEXTRACT(CELL("address",Y128), "\$([A-Z]+)\$[0-9]+"))),_xlfn.REGEXEXTRACT(CELL("address",Y128), "\$([A-Z]+)\$[0-9]+"))</f>
        <v/>
      </c>
      <c r="Z128" s="7" t="str">
        <f t="array" aca="1" ref="Z128" ca="1">IFERROR(IF(OR('Raw Data'!Z128="",LEN(TRIM('Raw Data'!Z128))=0),"",IF(AND(ISNUMBER('Raw Data'!Z128), IFERROR('Raw Data'!Z128 = ROUND('Raw Data'!Z128, 2),FALSE)),"",_xlfn.REGEXEXTRACT(CELL("address",Z128), "\$([A-Z]+)\$[0-9]+"))),_xlfn.REGEXEXTRACT(CELL("address",Z128), "\$([A-Z]+)\$[0-9]+"))</f>
        <v/>
      </c>
      <c r="AA128" s="7" t="str">
        <f t="array" aca="1" ref="AA128" ca="1">IFERROR(IF(OR('Raw Data'!AA128="",LEN(TRIM('Raw Data'!AA128))=0),"",IF(AND(ISNUMBER('Raw Data'!AA128), IFERROR('Raw Data'!AA128 = ROUND('Raw Data'!AA128, 2),FALSE)),"",_xlfn.REGEXEXTRACT(CELL("address",AA128), "\$([A-Z]+)\$[0-9]+"))),_xlfn.REGEXEXTRACT(CELL("address",AA128), "\$([A-Z]+)\$[0-9]+"))</f>
        <v/>
      </c>
      <c r="AB128" s="7" t="str">
        <f t="array" aca="1" ref="AB128" ca="1">IFERROR(IF(OR('Raw Data'!AB128="",LEN(TRIM('Raw Data'!AB128))=0),"",IF(AND(ISNUMBER('Raw Data'!AB128), IFERROR('Raw Data'!AB128 = ROUND('Raw Data'!AB128, 2),FALSE)),"",_xlfn.REGEXEXTRACT(CELL("address",AB128), "\$([A-Z]+)\$[0-9]+"))),_xlfn.REGEXEXTRACT(CELL("address",AB128), "\$([A-Z]+)\$[0-9]+"))</f>
        <v/>
      </c>
      <c r="AC128" s="7" t="str">
        <f t="array" aca="1" ref="AC128" ca="1">IFERROR(IF(OR('Raw Data'!AC128="",LEN(TRIM('Raw Data'!AC128))=0),"",IF(AND(ISNUMBER('Raw Data'!AC128), IFERROR('Raw Data'!AC128 = ROUND('Raw Data'!AC128, 2),FALSE)),"",_xlfn.REGEXEXTRACT(CELL("address",AC128), "\$([A-Z]+)\$[0-9]+"))),_xlfn.REGEXEXTRACT(CELL("address",AC128), "\$([A-Z]+)\$[0-9]+"))</f>
        <v/>
      </c>
      <c r="AD128" s="7" t="str">
        <f t="array" aca="1" ref="AD128" ca="1">IFERROR(IF(OR('Raw Data'!AD128="",LEN(TRIM('Raw Data'!AD128))=0),"",IF(AND(ISNUMBER('Raw Data'!AD128), IFERROR('Raw Data'!AD128 = ROUND('Raw Data'!AD128, 2),FALSE)),"",_xlfn.REGEXEXTRACT(CELL("address",AD128), "\$([A-Z]+)\$[0-9]+"))),_xlfn.REGEXEXTRACT(CELL("address",AD128), "\$([A-Z]+)\$[0-9]+"))</f>
        <v/>
      </c>
      <c r="AE128" s="7" t="str">
        <f t="array" aca="1" ref="AE128" ca="1">IFERROR(IF(OR('Raw Data'!AE128="",LEN(TRIM('Raw Data'!AE128))=0),"",IF(AND(ISNUMBER('Raw Data'!AE128), IFERROR('Raw Data'!AE128 = ROUND('Raw Data'!AE128, 2),FALSE)),"",_xlfn.REGEXEXTRACT(CELL("address",AE128), "\$([A-Z]+)\$[0-9]+"))),_xlfn.REGEXEXTRACT(CELL("address",AE128), "\$([A-Z]+)\$[0-9]+"))</f>
        <v/>
      </c>
      <c r="AF128" s="7" t="str">
        <f t="array" aca="1" ref="AF128" ca="1">IFERROR(IF(OR('Raw Data'!AF128="",LEN(TRIM('Raw Data'!AF128))=0),"",IF(AND(ISNUMBER('Raw Data'!AF128), IFERROR('Raw Data'!AF128 = ROUND('Raw Data'!AF128, 2),FALSE)),"",_xlfn.REGEXEXTRACT(CELL("address",AF128), "\$([A-Z]+)\$[0-9]+"))),_xlfn.REGEXEXTRACT(CELL("address",AF128), "\$([A-Z]+)\$[0-9]+"))</f>
        <v/>
      </c>
      <c r="AG128" s="7" t="str">
        <f t="array" aca="1" ref="AG128" ca="1">IFERROR(IF(OR('Raw Data'!AG128="",LEN(TRIM('Raw Data'!AG128))=0),"",IF(AND(ISNUMBER('Raw Data'!AG128), IFERROR('Raw Data'!AG128 = ROUND('Raw Data'!AG128, 2),FALSE)),"",_xlfn.REGEXEXTRACT(CELL("address",AG128), "\$([A-Z]+)\$[0-9]+"))),_xlfn.REGEXEXTRACT(CELL("address",AG128), "\$([A-Z]+)\$[0-9]+"))</f>
        <v/>
      </c>
      <c r="AH128" s="7" t="str">
        <f t="array" aca="1" ref="AH128" ca="1">IFERROR(IF(OR('Raw Data'!AH128="",LEN(TRIM('Raw Data'!AH128))=0),"",IF(AND(ISNUMBER('Raw Data'!AH128), IFERROR('Raw Data'!AH128 = ROUND('Raw Data'!AH128, 2),FALSE)),"",_xlfn.REGEXEXTRACT(CELL("address",AH128), "\$([A-Z]+)\$[0-9]+"))),_xlfn.REGEXEXTRACT(CELL("address",AH128), "\$([A-Z]+)\$[0-9]+"))</f>
        <v/>
      </c>
      <c r="AI128" s="7" t="str">
        <f t="array" aca="1" ref="AI128" ca="1">IFERROR(IF(OR('Raw Data'!AI128="",LEN(TRIM('Raw Data'!AI128))=0),"",IF(AND(ISNUMBER('Raw Data'!AI128), IFERROR('Raw Data'!AI128 = ROUND('Raw Data'!AI128, 2),FALSE)),"",_xlfn.REGEXEXTRACT(CELL("address",AI128), "\$([A-Z]+)\$[0-9]+"))),_xlfn.REGEXEXTRACT(CELL("address",AI128), "\$([A-Z]+)\$[0-9]+"))</f>
        <v/>
      </c>
      <c r="AJ128" s="7" t="str">
        <f t="array" aca="1" ref="AJ128" ca="1">IFERROR(IF(OR('Raw Data'!AJ128="",LEN(TRIM('Raw Data'!AJ128))=0),"",IF(AND(ISNUMBER('Raw Data'!AJ128), IFERROR('Raw Data'!AJ128 = ROUND('Raw Data'!AJ128, 4),FALSE)),"",_xlfn.REGEXEXTRACT(CELL("address",AJ128), "\$([A-Z]+)\$[0-9]+"))),_xlfn.REGEXEXTRACT(CELL("address",AJ128), "\$([A-Z]+)\$[0-9]+"))</f>
        <v/>
      </c>
      <c r="AK128" s="7" t="str">
        <f t="array" aca="1" ref="AK128" ca="1">IFERROR(IF(OR('Raw Data'!AK128="",LEN(TRIM('Raw Data'!AK128))=0),"",IF(AND(ISNUMBER('Raw Data'!AK128), IFERROR('Raw Data'!AK128 = ROUND('Raw Data'!AK128, 2),FALSE)),"",_xlfn.REGEXEXTRACT(CELL("address",AK128), "\$([A-Z]+)\$[0-9]+"))),_xlfn.REGEXEXTRACT(CELL("address",AK128), "\$([A-Z]+)\$[0-9]+"))</f>
        <v/>
      </c>
      <c r="AL128" s="7" t="str">
        <f t="array" aca="1" ref="AL128" ca="1">IFERROR(IF(OR('Raw Data'!AL128="",LEN(TRIM('Raw Data'!AL128))=0),"",IF(AND(ISNUMBER('Raw Data'!AL128), IFERROR('Raw Data'!AL128 = ROUND('Raw Data'!AL128, 2),FALSE)),"",_xlfn.REGEXEXTRACT(CELL("address",AL128), "\$([A-Z]+)\$[0-9]+"))),_xlfn.REGEXEXTRACT(CELL("address",AL128), "\$([A-Z]+)\$[0-9]+"))</f>
        <v/>
      </c>
      <c r="AM128" s="7" t="str">
        <f t="array" aca="1" ref="AM128" ca="1">IFERROR(IF(OR('Raw Data'!AM128="",LEN(TRIM('Raw Data'!AM128))=0),"",IF(AND(ISNUMBER('Raw Data'!AM128), IFERROR('Raw Data'!AM128 = ROUND('Raw Data'!AM128, 2),FALSE)),"",_xlfn.REGEXEXTRACT(CELL("address",AM128), "\$([A-Z]+)\$[0-9]+"))),_xlfn.REGEXEXTRACT(CELL("address",AM128), "\$([A-Z]+)\$[0-9]+"))</f>
        <v/>
      </c>
      <c r="AN128" s="7" t="str">
        <f t="array" aca="1" ref="AN128" ca="1">IFERROR(IF(OR('Raw Data'!AN128="",LEN(TRIM('Raw Data'!AN128))=0),"",IF(AND(ISNUMBER('Raw Data'!AN128), IFERROR('Raw Data'!AN128 = ROUND('Raw Data'!AN128, 2),FALSE)),"",_xlfn.REGEXEXTRACT(CELL("address",AN128), "\$([A-Z]+)\$[0-9]+"))),_xlfn.REGEXEXTRACT(CELL("address",AN128), "\$([A-Z]+)\$[0-9]+"))</f>
        <v/>
      </c>
      <c r="AO128" s="7" t="str">
        <f t="array" aca="1" ref="AO128" ca="1">IFERROR(IF(OR('Raw Data'!AO128="",LEN(TRIM('Raw Data'!AO128))=0),"",IF(AND(ISNUMBER('Raw Data'!AO128), IFERROR('Raw Data'!AO128 = ROUND('Raw Data'!AO128, 2),FALSE)),"",_xlfn.REGEXEXTRACT(CELL("address",AO128), "\$([A-Z]+)\$[0-9]+"))),_xlfn.REGEXEXTRACT(CELL("address",AO128), "\$([A-Z]+)\$[0-9]+"))</f>
        <v/>
      </c>
      <c r="AP128" s="7" t="str">
        <f t="array" aca="1" ref="AP128" ca="1">IFERROR(IF(OR('Raw Data'!AP128="",LEN(TRIM('Raw Data'!AP128))=0),"",IF(AND(ISNUMBER('Raw Data'!AP128), IFERROR('Raw Data'!AP128 = ROUND('Raw Data'!AP128, 2),FALSE)),"",_xlfn.REGEXEXTRACT(CELL("address",AP128), "\$([A-Z]+)\$[0-9]+"))),_xlfn.REGEXEXTRACT(CELL("address",AP128), "\$([A-Z]+)\$[0-9]+"))</f>
        <v/>
      </c>
    </row>
    <row r="129" spans="2:42" x14ac:dyDescent="0.25">
      <c r="B129" s="7" t="str">
        <f t="array" aca="1" ref="B129" ca="1">IFERROR(IF(OR('Raw Data'!B129="",LEN(TRIM('Raw Data'!B129))=0),"",IF(AND(LEN('Raw Data'!B129) &lt;= 255,LEN('Raw Data'!B129)&gt; 0),"",_xlfn.REGEXEXTRACT(CELL("address",'Raw Data'!B129),"\$([A-Z]+)\$[0-9]+"))),_xlfn.REGEXEXTRACT(CELL("address",'Raw Data'!B129),"\$([A-Z]+)\$[0-9]+"))</f>
        <v/>
      </c>
      <c r="C129" s="7" t="str">
        <f t="array" aca="1" ref="C129" ca="1">IFERROR(IF(OR('Raw Data'!C129="",LEN(TRIM('Raw Data'!C129))=0),"",IF(AND(LEN('Raw Data'!C129) &lt;= 50,LEN('Raw Data'!C129)&gt; 0),"",_xlfn.REGEXEXTRACT(CELL("address",'Raw Data'!C129),"\$([A-Z]+)\$[0-9]+"))),_xlfn.REGEXEXTRACT(CELL("address",'Raw Data'!C129),"\$([A-Z]+)\$[0-9]+"))</f>
        <v/>
      </c>
      <c r="D129" s="7" t="str">
        <f t="array" aca="1" ref="D129" ca="1">IFERROR(IF(OR('Raw Data'!D129="",LEN(TRIM('Raw Data'!D129))=0),"",IF(AND(LEN('Raw Data'!D129) &lt;= 500,LEN('Raw Data'!D129)&gt; 0),"",_xlfn.REGEXEXTRACT(CELL("address",'Raw Data'!D129),"\$([A-Z]+)\$[0-9]+"))),_xlfn.REGEXEXTRACT(CELL("address",'Raw Data'!D129),"\$([A-Z]+)\$[0-9]+"))</f>
        <v/>
      </c>
      <c r="E129" s="7" t="str">
        <f t="array" aca="1" ref="E129" ca="1">IFERROR(IF(OR('Raw Data'!E129="",LEN(TRIM('Raw Data'!E129))=0),"",IF(AND(LEN('Raw Data'!E129) &lt;= 50,LEN('Raw Data'!E129)&gt; 0),"",_xlfn.REGEXEXTRACT(CELL("address",'Raw Data'!E129),"\$([A-Z]+)\$[0-9]+"))),_xlfn.REGEXEXTRACT(CELL("address",'Raw Data'!E129),"\$([A-Z]+)\$[0-9]+"))</f>
        <v/>
      </c>
      <c r="F129" s="7" t="str">
        <f t="array" aca="1" ref="F129" ca="1">IFERROR(IF(OR('Raw Data'!F129="",LEN(TRIM('Raw Data'!F129))=0),"",IF(AND(LEN('Raw Data'!F129) &lt;= 50,LEN('Raw Data'!F129)&gt; 0),"",_xlfn.REGEXEXTRACT(CELL("address",'Raw Data'!F129),"\$([A-Z]+)\$[0-9]+"))),_xlfn.REGEXEXTRACT(CELL("address",'Raw Data'!F129),"\$([A-Z]+)\$[0-9]+"))</f>
        <v/>
      </c>
      <c r="G129" s="7" t="str">
        <f t="array" aca="1" ref="G129" ca="1">IFERROR(IF(OR('Raw Data'!G129="",LEN(TRIM('Raw Data'!G129))=0),"",IF(AND(LEN('Raw Data'!G129) &lt;= 50,LEN('Raw Data'!G129)&gt; 0),"",_xlfn.REGEXEXTRACT(CELL("address",'Raw Data'!G129),"\$([A-Z]+)\$[0-9]+"))),_xlfn.REGEXEXTRACT(CELL("address",'Raw Data'!G129),"\$([A-Z]+)\$[0-9]+"))</f>
        <v/>
      </c>
      <c r="H129" s="7" t="str">
        <f t="array" aca="1" ref="H129" ca="1">IFERROR(IF(OR('Raw Data'!H129="",LEN(TRIM('Raw Data'!H129))=0),"",IF(AND(LEN('Raw Data'!H129) &lt;= 50,LEN('Raw Data'!H129)&gt; 0),"",_xlfn.REGEXEXTRACT(CELL("address",'Raw Data'!H129),"\$([A-Z]+)\$[0-9]+"))),_xlfn.REGEXEXTRACT(CELL("address",'Raw Data'!H129),"\$([A-Z]+)\$[0-9]+"))</f>
        <v/>
      </c>
      <c r="I129" s="7" t="str">
        <f t="array" aca="1" ref="I129" ca="1">IFERROR(IF(OR('Raw Data'!I129="",LEN(TRIM('Raw Data'!I129))=0),"",IF(AND(LEN('Raw Data'!I129) &lt;= 50,LEN('Raw Data'!I129)&gt; 0),"",_xlfn.REGEXEXTRACT(CELL("address",'Raw Data'!I129),"\$([A-Z]+)\$[0-9]+"))),_xlfn.REGEXEXTRACT(CELL("address",'Raw Data'!I129),"\$([A-Z]+)\$[0-9]+"))</f>
        <v/>
      </c>
      <c r="J129" s="7" t="str">
        <f t="array" aca="1" ref="J129" ca="1">IFERROR(IF(OR('Raw Data'!J129="",LEN(TRIM('Raw Data'!J129))=0),"",IF(AND(ISNUMBER('Raw Data'!J129), IFERROR('Raw Data'!J129 = ROUND('Raw Data'!J129, 2),FALSE)),"",_xlfn.REGEXEXTRACT(CELL("address",J129), "\$([A-Z]+)\$[0-9]+"))),_xlfn.REGEXEXTRACT(CELL("address",J129), "\$([A-Z]+)\$[0-9]+"))</f>
        <v/>
      </c>
      <c r="K129" s="7" t="str">
        <f t="array" aca="1" ref="K129" ca="1">IFERROR(IF(OR('Raw Data'!K129="",LEN(TRIM('Raw Data'!K129))=0),"",IF(AND(ISNUMBER('Raw Data'!K129), IFERROR('Raw Data'!K129 = ROUND('Raw Data'!K129, 2),FALSE)),"",_xlfn.REGEXEXTRACT(CELL("address",K129), "\$([A-Z]+)\$[0-9]+"))),_xlfn.REGEXEXTRACT(CELL("address",K129), "\$([A-Z]+)\$[0-9]+"))</f>
        <v/>
      </c>
      <c r="L129" s="7" t="str">
        <f t="array" aca="1" ref="L129" ca="1">IFERROR(IF(OR('Raw Data'!L129="",LEN(TRIM('Raw Data'!L129))=0),"",IF(AND(ISNUMBER('Raw Data'!L129), IFERROR('Raw Data'!L129 = ROUND('Raw Data'!L129, 2),FALSE)),"",_xlfn.REGEXEXTRACT(CELL("address",L129), "\$([A-Z]+)\$[0-9]+"))),_xlfn.REGEXEXTRACT(CELL("address",L129), "\$([A-Z]+)\$[0-9]+"))</f>
        <v/>
      </c>
      <c r="M129" s="7" t="str">
        <f t="array" aca="1" ref="M129" ca="1">IFERROR(IF(OR('Raw Data'!M129="",LEN(TRIM('Raw Data'!M129))=0),"",IF(AND(ISNUMBER('Raw Data'!M129), IFERROR('Raw Data'!M129 = ROUND('Raw Data'!M129, 2),FALSE)),"",_xlfn.REGEXEXTRACT(CELL("address",M129), "\$([A-Z]+)\$[0-9]+"))),_xlfn.REGEXEXTRACT(CELL("address",M129), "\$([A-Z]+)\$[0-9]+"))</f>
        <v/>
      </c>
      <c r="N129" s="7" t="str">
        <f t="array" aca="1" ref="N129" ca="1">IFERROR(IF(OR('Raw Data'!N129="",LEN(TRIM('Raw Data'!N129))=0),"",IF(AND(ISNUMBER('Raw Data'!N129), IFERROR('Raw Data'!N129 = ROUND('Raw Data'!N129, 2),FALSE)),"",_xlfn.REGEXEXTRACT(CELL("address",N129), "\$([A-Z]+)\$[0-9]+"))),_xlfn.REGEXEXTRACT(CELL("address",N129), "\$([A-Z]+)\$[0-9]+"))</f>
        <v/>
      </c>
      <c r="O129" s="7" t="str">
        <f t="array" aca="1" ref="O129" ca="1">IFERROR(IF(OR('Raw Data'!O129="",LEN(TRIM('Raw Data'!O129))=0),"",IF(AND(ISNUMBER('Raw Data'!O129),'Raw Data'!O129&gt;=Configuration!$D$2),"",_xlfn.REGEXEXTRACT(CELL("address",'Raw Data'!O129),"\$([A-Z]+)\$[0-9]+"))),_xlfn.REGEXEXTRACT(CELL("address",O129), "\$([A-Z]+)\$[0-9]+"))</f>
        <v/>
      </c>
      <c r="P129" s="7" t="str">
        <f t="array" aca="1" ref="P129" ca="1">IFERROR(IF(OR('Raw Data'!P129="",LEN(TRIM('Raw Data'!P129))=0),"",IF(AND(ISNUMBER('Raw Data'!P129), IFERROR('Raw Data'!P129 = ROUND('Raw Data'!P129, 2),FALSE)),"",_xlfn.REGEXEXTRACT(CELL("address",P129), "\$([A-Z]+)\$[0-9]+"))),_xlfn.REGEXEXTRACT(CELL("address",P129), "\$([A-Z]+)\$[0-9]+"))</f>
        <v/>
      </c>
      <c r="Q129" s="7" t="str">
        <f t="array" aca="1" ref="Q129" ca="1">IFERROR(IF(OR('Raw Data'!Q129="",LEN(TRIM('Raw Data'!Q129))=0),"",IF(AND(ISNUMBER('Raw Data'!Q129), IFERROR('Raw Data'!Q129 = ROUND('Raw Data'!Q129, 2),FALSE)),"",_xlfn.REGEXEXTRACT(CELL("address",Q129), "\$([A-Z]+)\$[0-9]+"))),_xlfn.REGEXEXTRACT(CELL("address",Q129), "\$([A-Z]+)\$[0-9]+"))</f>
        <v/>
      </c>
      <c r="R129" s="7" t="str">
        <f t="array" aca="1" ref="R129" ca="1">IFERROR(IF(OR('Raw Data'!R129="",LEN(TRIM('Raw Data'!R129))=0),"",IF(AND(LEN('Raw Data'!R129) &lt;= 50,LEN('Raw Data'!R129)&gt; 0),"",_xlfn.REGEXEXTRACT(CELL("address",'Raw Data'!R129),"\$([A-Z]+)\$[0-9]+"))),_xlfn.REGEXEXTRACT(CELL("address",'Raw Data'!R129),"\$([A-Z]+)\$[0-9]+"))</f>
        <v/>
      </c>
      <c r="S129" s="7" t="str">
        <f t="array" aca="1" ref="S129" ca="1">IFERROR(IF(OR('Raw Data'!S129="",LEN(TRIM('Raw Data'!S129))=0),"",IF(AND(LEN('Raw Data'!S129) &lt;= 50,LEN('Raw Data'!S129)&gt; 0),"",_xlfn.REGEXEXTRACT(CELL("address",'Raw Data'!S129),"\$([A-Z]+)\$[0-9]+"))),_xlfn.REGEXEXTRACT(CELL("address",'Raw Data'!S129),"\$([A-Z]+)\$[0-9]+"))</f>
        <v/>
      </c>
      <c r="T129" s="7" t="str">
        <f t="array" aca="1" ref="T129" ca="1">IFERROR(IF(OR('Raw Data'!T129="",LEN(TRIM('Raw Data'!T129))=0),"",IF(AND(ISNUMBER('Raw Data'!T129), IFERROR('Raw Data'!T129 = ROUND('Raw Data'!T129, 2),FALSE)),"",_xlfn.REGEXEXTRACT(CELL("address",T129), "\$([A-Z]+)\$[0-9]+"))),_xlfn.REGEXEXTRACT(CELL("address",T129), "\$([A-Z]+)\$[0-9]+"))</f>
        <v/>
      </c>
      <c r="U129" s="7" t="str">
        <f t="array" aca="1" ref="U129" ca="1">IFERROR(IF(OR('Raw Data'!U129="",LEN(TRIM('Raw Data'!U129))=0),"",IF(AND(ISNUMBER('Raw Data'!U129), IFERROR('Raw Data'!U129 = ROUND('Raw Data'!U129, 2),FALSE)),"",_xlfn.REGEXEXTRACT(CELL("address",U129), "\$([A-Z]+)\$[0-9]+"))),_xlfn.REGEXEXTRACT(CELL("address",U129), "\$([A-Z]+)\$[0-9]+"))</f>
        <v/>
      </c>
      <c r="V129" s="7" t="str">
        <f t="array" aca="1" ref="V129" ca="1">IFERROR(IF(OR('Raw Data'!V129="",LEN(TRIM('Raw Data'!V129))=0),"",IF(AND(ISNUMBER('Raw Data'!V129), IFERROR('Raw Data'!V129 = ROUND('Raw Data'!V129, 2),FALSE)),"",_xlfn.REGEXEXTRACT(CELL("address",V129), "\$([A-Z]+)\$[0-9]+"))),_xlfn.REGEXEXTRACT(CELL("address",V129), "\$([A-Z]+)\$[0-9]+"))</f>
        <v/>
      </c>
      <c r="W129" s="7" t="str">
        <f t="array" aca="1" ref="W129" ca="1">IFERROR(IF(OR('Raw Data'!W129="",LEN(TRIM('Raw Data'!W129))=0),"",IF(AND(ISNUMBER('Raw Data'!W129), IFERROR('Raw Data'!W129 = ROUND('Raw Data'!W129, 2),FALSE)),"",_xlfn.REGEXEXTRACT(CELL("address",W129), "\$([A-Z]+)\$[0-9]+"))),_xlfn.REGEXEXTRACT(CELL("address",W129), "\$([A-Z]+)\$[0-9]+"))</f>
        <v/>
      </c>
      <c r="X129" s="7" t="str">
        <f t="array" aca="1" ref="X129" ca="1">IFERROR(IF(OR('Raw Data'!X129="",LEN(TRIM('Raw Data'!X129))=0),"",IF(AND(ISNUMBER('Raw Data'!X129), IFERROR('Raw Data'!X129 = ROUND('Raw Data'!X129, 2),FALSE)),"",_xlfn.REGEXEXTRACT(CELL("address",X129), "\$([A-Z]+)\$[0-9]+"))),_xlfn.REGEXEXTRACT(CELL("address",X129), "\$([A-Z]+)\$[0-9]+"))</f>
        <v/>
      </c>
      <c r="Y129" s="7" t="str">
        <f t="array" aca="1" ref="Y129" ca="1">IFERROR(IF(OR('Raw Data'!Y129="",LEN(TRIM('Raw Data'!Y129))=0),"",IF(AND(ISNUMBER('Raw Data'!Y129), IFERROR('Raw Data'!Y129 = ROUND('Raw Data'!Y129, 2),FALSE)),"",_xlfn.REGEXEXTRACT(CELL("address",Y129), "\$([A-Z]+)\$[0-9]+"))),_xlfn.REGEXEXTRACT(CELL("address",Y129), "\$([A-Z]+)\$[0-9]+"))</f>
        <v/>
      </c>
      <c r="Z129" s="7" t="str">
        <f t="array" aca="1" ref="Z129" ca="1">IFERROR(IF(OR('Raw Data'!Z129="",LEN(TRIM('Raw Data'!Z129))=0),"",IF(AND(ISNUMBER('Raw Data'!Z129), IFERROR('Raw Data'!Z129 = ROUND('Raw Data'!Z129, 2),FALSE)),"",_xlfn.REGEXEXTRACT(CELL("address",Z129), "\$([A-Z]+)\$[0-9]+"))),_xlfn.REGEXEXTRACT(CELL("address",Z129), "\$([A-Z]+)\$[0-9]+"))</f>
        <v/>
      </c>
      <c r="AA129" s="7" t="str">
        <f t="array" aca="1" ref="AA129" ca="1">IFERROR(IF(OR('Raw Data'!AA129="",LEN(TRIM('Raw Data'!AA129))=0),"",IF(AND(ISNUMBER('Raw Data'!AA129), IFERROR('Raw Data'!AA129 = ROUND('Raw Data'!AA129, 2),FALSE)),"",_xlfn.REGEXEXTRACT(CELL("address",AA129), "\$([A-Z]+)\$[0-9]+"))),_xlfn.REGEXEXTRACT(CELL("address",AA129), "\$([A-Z]+)\$[0-9]+"))</f>
        <v/>
      </c>
      <c r="AB129" s="7" t="str">
        <f t="array" aca="1" ref="AB129" ca="1">IFERROR(IF(OR('Raw Data'!AB129="",LEN(TRIM('Raw Data'!AB129))=0),"",IF(AND(ISNUMBER('Raw Data'!AB129), IFERROR('Raw Data'!AB129 = ROUND('Raw Data'!AB129, 2),FALSE)),"",_xlfn.REGEXEXTRACT(CELL("address",AB129), "\$([A-Z]+)\$[0-9]+"))),_xlfn.REGEXEXTRACT(CELL("address",AB129), "\$([A-Z]+)\$[0-9]+"))</f>
        <v/>
      </c>
      <c r="AC129" s="7" t="str">
        <f t="array" aca="1" ref="AC129" ca="1">IFERROR(IF(OR('Raw Data'!AC129="",LEN(TRIM('Raw Data'!AC129))=0),"",IF(AND(ISNUMBER('Raw Data'!AC129), IFERROR('Raw Data'!AC129 = ROUND('Raw Data'!AC129, 2),FALSE)),"",_xlfn.REGEXEXTRACT(CELL("address",AC129), "\$([A-Z]+)\$[0-9]+"))),_xlfn.REGEXEXTRACT(CELL("address",AC129), "\$([A-Z]+)\$[0-9]+"))</f>
        <v/>
      </c>
      <c r="AD129" s="7" t="str">
        <f t="array" aca="1" ref="AD129" ca="1">IFERROR(IF(OR('Raw Data'!AD129="",LEN(TRIM('Raw Data'!AD129))=0),"",IF(AND(ISNUMBER('Raw Data'!AD129), IFERROR('Raw Data'!AD129 = ROUND('Raw Data'!AD129, 2),FALSE)),"",_xlfn.REGEXEXTRACT(CELL("address",AD129), "\$([A-Z]+)\$[0-9]+"))),_xlfn.REGEXEXTRACT(CELL("address",AD129), "\$([A-Z]+)\$[0-9]+"))</f>
        <v/>
      </c>
      <c r="AE129" s="7" t="str">
        <f t="array" aca="1" ref="AE129" ca="1">IFERROR(IF(OR('Raw Data'!AE129="",LEN(TRIM('Raw Data'!AE129))=0),"",IF(AND(ISNUMBER('Raw Data'!AE129), IFERROR('Raw Data'!AE129 = ROUND('Raw Data'!AE129, 2),FALSE)),"",_xlfn.REGEXEXTRACT(CELL("address",AE129), "\$([A-Z]+)\$[0-9]+"))),_xlfn.REGEXEXTRACT(CELL("address",AE129), "\$([A-Z]+)\$[0-9]+"))</f>
        <v/>
      </c>
      <c r="AF129" s="7" t="str">
        <f t="array" aca="1" ref="AF129" ca="1">IFERROR(IF(OR('Raw Data'!AF129="",LEN(TRIM('Raw Data'!AF129))=0),"",IF(AND(ISNUMBER('Raw Data'!AF129), IFERROR('Raw Data'!AF129 = ROUND('Raw Data'!AF129, 2),FALSE)),"",_xlfn.REGEXEXTRACT(CELL("address",AF129), "\$([A-Z]+)\$[0-9]+"))),_xlfn.REGEXEXTRACT(CELL("address",AF129), "\$([A-Z]+)\$[0-9]+"))</f>
        <v/>
      </c>
      <c r="AG129" s="7" t="str">
        <f t="array" aca="1" ref="AG129" ca="1">IFERROR(IF(OR('Raw Data'!AG129="",LEN(TRIM('Raw Data'!AG129))=0),"",IF(AND(ISNUMBER('Raw Data'!AG129), IFERROR('Raw Data'!AG129 = ROUND('Raw Data'!AG129, 2),FALSE)),"",_xlfn.REGEXEXTRACT(CELL("address",AG129), "\$([A-Z]+)\$[0-9]+"))),_xlfn.REGEXEXTRACT(CELL("address",AG129), "\$([A-Z]+)\$[0-9]+"))</f>
        <v/>
      </c>
      <c r="AH129" s="7" t="str">
        <f t="array" aca="1" ref="AH129" ca="1">IFERROR(IF(OR('Raw Data'!AH129="",LEN(TRIM('Raw Data'!AH129))=0),"",IF(AND(ISNUMBER('Raw Data'!AH129), IFERROR('Raw Data'!AH129 = ROUND('Raw Data'!AH129, 2),FALSE)),"",_xlfn.REGEXEXTRACT(CELL("address",AH129), "\$([A-Z]+)\$[0-9]+"))),_xlfn.REGEXEXTRACT(CELL("address",AH129), "\$([A-Z]+)\$[0-9]+"))</f>
        <v/>
      </c>
      <c r="AI129" s="7" t="str">
        <f t="array" aca="1" ref="AI129" ca="1">IFERROR(IF(OR('Raw Data'!AI129="",LEN(TRIM('Raw Data'!AI129))=0),"",IF(AND(ISNUMBER('Raw Data'!AI129), IFERROR('Raw Data'!AI129 = ROUND('Raw Data'!AI129, 2),FALSE)),"",_xlfn.REGEXEXTRACT(CELL("address",AI129), "\$([A-Z]+)\$[0-9]+"))),_xlfn.REGEXEXTRACT(CELL("address",AI129), "\$([A-Z]+)\$[0-9]+"))</f>
        <v/>
      </c>
      <c r="AJ129" s="7" t="str">
        <f t="array" aca="1" ref="AJ129" ca="1">IFERROR(IF(OR('Raw Data'!AJ129="",LEN(TRIM('Raw Data'!AJ129))=0),"",IF(AND(ISNUMBER('Raw Data'!AJ129), IFERROR('Raw Data'!AJ129 = ROUND('Raw Data'!AJ129, 4),FALSE)),"",_xlfn.REGEXEXTRACT(CELL("address",AJ129), "\$([A-Z]+)\$[0-9]+"))),_xlfn.REGEXEXTRACT(CELL("address",AJ129), "\$([A-Z]+)\$[0-9]+"))</f>
        <v/>
      </c>
      <c r="AK129" s="7" t="str">
        <f t="array" aca="1" ref="AK129" ca="1">IFERROR(IF(OR('Raw Data'!AK129="",LEN(TRIM('Raw Data'!AK129))=0),"",IF(AND(ISNUMBER('Raw Data'!AK129), IFERROR('Raw Data'!AK129 = ROUND('Raw Data'!AK129, 2),FALSE)),"",_xlfn.REGEXEXTRACT(CELL("address",AK129), "\$([A-Z]+)\$[0-9]+"))),_xlfn.REGEXEXTRACT(CELL("address",AK129), "\$([A-Z]+)\$[0-9]+"))</f>
        <v/>
      </c>
      <c r="AL129" s="7" t="str">
        <f t="array" aca="1" ref="AL129" ca="1">IFERROR(IF(OR('Raw Data'!AL129="",LEN(TRIM('Raw Data'!AL129))=0),"",IF(AND(ISNUMBER('Raw Data'!AL129), IFERROR('Raw Data'!AL129 = ROUND('Raw Data'!AL129, 2),FALSE)),"",_xlfn.REGEXEXTRACT(CELL("address",AL129), "\$([A-Z]+)\$[0-9]+"))),_xlfn.REGEXEXTRACT(CELL("address",AL129), "\$([A-Z]+)\$[0-9]+"))</f>
        <v/>
      </c>
      <c r="AM129" s="7" t="str">
        <f t="array" aca="1" ref="AM129" ca="1">IFERROR(IF(OR('Raw Data'!AM129="",LEN(TRIM('Raw Data'!AM129))=0),"",IF(AND(ISNUMBER('Raw Data'!AM129), IFERROR('Raw Data'!AM129 = ROUND('Raw Data'!AM129, 2),FALSE)),"",_xlfn.REGEXEXTRACT(CELL("address",AM129), "\$([A-Z]+)\$[0-9]+"))),_xlfn.REGEXEXTRACT(CELL("address",AM129), "\$([A-Z]+)\$[0-9]+"))</f>
        <v/>
      </c>
      <c r="AN129" s="7" t="str">
        <f t="array" aca="1" ref="AN129" ca="1">IFERROR(IF(OR('Raw Data'!AN129="",LEN(TRIM('Raw Data'!AN129))=0),"",IF(AND(ISNUMBER('Raw Data'!AN129), IFERROR('Raw Data'!AN129 = ROUND('Raw Data'!AN129, 2),FALSE)),"",_xlfn.REGEXEXTRACT(CELL("address",AN129), "\$([A-Z]+)\$[0-9]+"))),_xlfn.REGEXEXTRACT(CELL("address",AN129), "\$([A-Z]+)\$[0-9]+"))</f>
        <v/>
      </c>
      <c r="AO129" s="7" t="str">
        <f t="array" aca="1" ref="AO129" ca="1">IFERROR(IF(OR('Raw Data'!AO129="",LEN(TRIM('Raw Data'!AO129))=0),"",IF(AND(ISNUMBER('Raw Data'!AO129), IFERROR('Raw Data'!AO129 = ROUND('Raw Data'!AO129, 2),FALSE)),"",_xlfn.REGEXEXTRACT(CELL("address",AO129), "\$([A-Z]+)\$[0-9]+"))),_xlfn.REGEXEXTRACT(CELL("address",AO129), "\$([A-Z]+)\$[0-9]+"))</f>
        <v/>
      </c>
      <c r="AP129" s="7" t="str">
        <f t="array" aca="1" ref="AP129" ca="1">IFERROR(IF(OR('Raw Data'!AP129="",LEN(TRIM('Raw Data'!AP129))=0),"",IF(AND(ISNUMBER('Raw Data'!AP129), IFERROR('Raw Data'!AP129 = ROUND('Raw Data'!AP129, 2),FALSE)),"",_xlfn.REGEXEXTRACT(CELL("address",AP129), "\$([A-Z]+)\$[0-9]+"))),_xlfn.REGEXEXTRACT(CELL("address",AP129), "\$([A-Z]+)\$[0-9]+"))</f>
        <v/>
      </c>
    </row>
    <row r="130" spans="2:42" x14ac:dyDescent="0.25">
      <c r="B130" s="7" t="str">
        <f t="array" aca="1" ref="B130" ca="1">IFERROR(IF(OR('Raw Data'!B130="",LEN(TRIM('Raw Data'!B130))=0),"",IF(AND(LEN('Raw Data'!B130) &lt;= 255,LEN('Raw Data'!B130)&gt; 0),"",_xlfn.REGEXEXTRACT(CELL("address",'Raw Data'!B130),"\$([A-Z]+)\$[0-9]+"))),_xlfn.REGEXEXTRACT(CELL("address",'Raw Data'!B130),"\$([A-Z]+)\$[0-9]+"))</f>
        <v/>
      </c>
      <c r="C130" s="7" t="str">
        <f t="array" aca="1" ref="C130" ca="1">IFERROR(IF(OR('Raw Data'!C130="",LEN(TRIM('Raw Data'!C130))=0),"",IF(AND(LEN('Raw Data'!C130) &lt;= 50,LEN('Raw Data'!C130)&gt; 0),"",_xlfn.REGEXEXTRACT(CELL("address",'Raw Data'!C130),"\$([A-Z]+)\$[0-9]+"))),_xlfn.REGEXEXTRACT(CELL("address",'Raw Data'!C130),"\$([A-Z]+)\$[0-9]+"))</f>
        <v/>
      </c>
      <c r="D130" s="7" t="str">
        <f t="array" aca="1" ref="D130" ca="1">IFERROR(IF(OR('Raw Data'!D130="",LEN(TRIM('Raw Data'!D130))=0),"",IF(AND(LEN('Raw Data'!D130) &lt;= 500,LEN('Raw Data'!D130)&gt; 0),"",_xlfn.REGEXEXTRACT(CELL("address",'Raw Data'!D130),"\$([A-Z]+)\$[0-9]+"))),_xlfn.REGEXEXTRACT(CELL("address",'Raw Data'!D130),"\$([A-Z]+)\$[0-9]+"))</f>
        <v/>
      </c>
      <c r="E130" s="7" t="str">
        <f t="array" aca="1" ref="E130" ca="1">IFERROR(IF(OR('Raw Data'!E130="",LEN(TRIM('Raw Data'!E130))=0),"",IF(AND(LEN('Raw Data'!E130) &lt;= 50,LEN('Raw Data'!E130)&gt; 0),"",_xlfn.REGEXEXTRACT(CELL("address",'Raw Data'!E130),"\$([A-Z]+)\$[0-9]+"))),_xlfn.REGEXEXTRACT(CELL("address",'Raw Data'!E130),"\$([A-Z]+)\$[0-9]+"))</f>
        <v/>
      </c>
      <c r="F130" s="7" t="str">
        <f t="array" aca="1" ref="F130" ca="1">IFERROR(IF(OR('Raw Data'!F130="",LEN(TRIM('Raw Data'!F130))=0),"",IF(AND(LEN('Raw Data'!F130) &lt;= 50,LEN('Raw Data'!F130)&gt; 0),"",_xlfn.REGEXEXTRACT(CELL("address",'Raw Data'!F130),"\$([A-Z]+)\$[0-9]+"))),_xlfn.REGEXEXTRACT(CELL("address",'Raw Data'!F130),"\$([A-Z]+)\$[0-9]+"))</f>
        <v/>
      </c>
      <c r="G130" s="7" t="str">
        <f t="array" aca="1" ref="G130" ca="1">IFERROR(IF(OR('Raw Data'!G130="",LEN(TRIM('Raw Data'!G130))=0),"",IF(AND(LEN('Raw Data'!G130) &lt;= 50,LEN('Raw Data'!G130)&gt; 0),"",_xlfn.REGEXEXTRACT(CELL("address",'Raw Data'!G130),"\$([A-Z]+)\$[0-9]+"))),_xlfn.REGEXEXTRACT(CELL("address",'Raw Data'!G130),"\$([A-Z]+)\$[0-9]+"))</f>
        <v/>
      </c>
      <c r="H130" s="7" t="str">
        <f t="array" aca="1" ref="H130" ca="1">IFERROR(IF(OR('Raw Data'!H130="",LEN(TRIM('Raw Data'!H130))=0),"",IF(AND(LEN('Raw Data'!H130) &lt;= 50,LEN('Raw Data'!H130)&gt; 0),"",_xlfn.REGEXEXTRACT(CELL("address",'Raw Data'!H130),"\$([A-Z]+)\$[0-9]+"))),_xlfn.REGEXEXTRACT(CELL("address",'Raw Data'!H130),"\$([A-Z]+)\$[0-9]+"))</f>
        <v/>
      </c>
      <c r="I130" s="7" t="str">
        <f t="array" aca="1" ref="I130" ca="1">IFERROR(IF(OR('Raw Data'!I130="",LEN(TRIM('Raw Data'!I130))=0),"",IF(AND(LEN('Raw Data'!I130) &lt;= 50,LEN('Raw Data'!I130)&gt; 0),"",_xlfn.REGEXEXTRACT(CELL("address",'Raw Data'!I130),"\$([A-Z]+)\$[0-9]+"))),_xlfn.REGEXEXTRACT(CELL("address",'Raw Data'!I130),"\$([A-Z]+)\$[0-9]+"))</f>
        <v/>
      </c>
      <c r="J130" s="7" t="str">
        <f t="array" aca="1" ref="J130" ca="1">IFERROR(IF(OR('Raw Data'!J130="",LEN(TRIM('Raw Data'!J130))=0),"",IF(AND(ISNUMBER('Raw Data'!J130), IFERROR('Raw Data'!J130 = ROUND('Raw Data'!J130, 2),FALSE)),"",_xlfn.REGEXEXTRACT(CELL("address",J130), "\$([A-Z]+)\$[0-9]+"))),_xlfn.REGEXEXTRACT(CELL("address",J130), "\$([A-Z]+)\$[0-9]+"))</f>
        <v/>
      </c>
      <c r="K130" s="7" t="str">
        <f t="array" aca="1" ref="K130" ca="1">IFERROR(IF(OR('Raw Data'!K130="",LEN(TRIM('Raw Data'!K130))=0),"",IF(AND(ISNUMBER('Raw Data'!K130), IFERROR('Raw Data'!K130 = ROUND('Raw Data'!K130, 2),FALSE)),"",_xlfn.REGEXEXTRACT(CELL("address",K130), "\$([A-Z]+)\$[0-9]+"))),_xlfn.REGEXEXTRACT(CELL("address",K130), "\$([A-Z]+)\$[0-9]+"))</f>
        <v/>
      </c>
      <c r="L130" s="7" t="str">
        <f t="array" aca="1" ref="L130" ca="1">IFERROR(IF(OR('Raw Data'!L130="",LEN(TRIM('Raw Data'!L130))=0),"",IF(AND(ISNUMBER('Raw Data'!L130), IFERROR('Raw Data'!L130 = ROUND('Raw Data'!L130, 2),FALSE)),"",_xlfn.REGEXEXTRACT(CELL("address",L130), "\$([A-Z]+)\$[0-9]+"))),_xlfn.REGEXEXTRACT(CELL("address",L130), "\$([A-Z]+)\$[0-9]+"))</f>
        <v/>
      </c>
      <c r="M130" s="7" t="str">
        <f t="array" aca="1" ref="M130" ca="1">IFERROR(IF(OR('Raw Data'!M130="",LEN(TRIM('Raw Data'!M130))=0),"",IF(AND(ISNUMBER('Raw Data'!M130), IFERROR('Raw Data'!M130 = ROUND('Raw Data'!M130, 2),FALSE)),"",_xlfn.REGEXEXTRACT(CELL("address",M130), "\$([A-Z]+)\$[0-9]+"))),_xlfn.REGEXEXTRACT(CELL("address",M130), "\$([A-Z]+)\$[0-9]+"))</f>
        <v/>
      </c>
      <c r="N130" s="7" t="str">
        <f t="array" aca="1" ref="N130" ca="1">IFERROR(IF(OR('Raw Data'!N130="",LEN(TRIM('Raw Data'!N130))=0),"",IF(AND(ISNUMBER('Raw Data'!N130), IFERROR('Raw Data'!N130 = ROUND('Raw Data'!N130, 2),FALSE)),"",_xlfn.REGEXEXTRACT(CELL("address",N130), "\$([A-Z]+)\$[0-9]+"))),_xlfn.REGEXEXTRACT(CELL("address",N130), "\$([A-Z]+)\$[0-9]+"))</f>
        <v/>
      </c>
      <c r="O130" s="7" t="str">
        <f t="array" aca="1" ref="O130" ca="1">IFERROR(IF(OR('Raw Data'!O130="",LEN(TRIM('Raw Data'!O130))=0),"",IF(AND(ISNUMBER('Raw Data'!O130),'Raw Data'!O130&gt;=Configuration!$D$2),"",_xlfn.REGEXEXTRACT(CELL("address",'Raw Data'!O130),"\$([A-Z]+)\$[0-9]+"))),_xlfn.REGEXEXTRACT(CELL("address",O130), "\$([A-Z]+)\$[0-9]+"))</f>
        <v/>
      </c>
      <c r="P130" s="7" t="str">
        <f t="array" aca="1" ref="P130" ca="1">IFERROR(IF(OR('Raw Data'!P130="",LEN(TRIM('Raw Data'!P130))=0),"",IF(AND(ISNUMBER('Raw Data'!P130), IFERROR('Raw Data'!P130 = ROUND('Raw Data'!P130, 2),FALSE)),"",_xlfn.REGEXEXTRACT(CELL("address",P130), "\$([A-Z]+)\$[0-9]+"))),_xlfn.REGEXEXTRACT(CELL("address",P130), "\$([A-Z]+)\$[0-9]+"))</f>
        <v/>
      </c>
      <c r="Q130" s="7" t="str">
        <f t="array" aca="1" ref="Q130" ca="1">IFERROR(IF(OR('Raw Data'!Q130="",LEN(TRIM('Raw Data'!Q130))=0),"",IF(AND(ISNUMBER('Raw Data'!Q130), IFERROR('Raw Data'!Q130 = ROUND('Raw Data'!Q130, 2),FALSE)),"",_xlfn.REGEXEXTRACT(CELL("address",Q130), "\$([A-Z]+)\$[0-9]+"))),_xlfn.REGEXEXTRACT(CELL("address",Q130), "\$([A-Z]+)\$[0-9]+"))</f>
        <v/>
      </c>
      <c r="R130" s="7" t="str">
        <f t="array" aca="1" ref="R130" ca="1">IFERROR(IF(OR('Raw Data'!R130="",LEN(TRIM('Raw Data'!R130))=0),"",IF(AND(LEN('Raw Data'!R130) &lt;= 50,LEN('Raw Data'!R130)&gt; 0),"",_xlfn.REGEXEXTRACT(CELL("address",'Raw Data'!R130),"\$([A-Z]+)\$[0-9]+"))),_xlfn.REGEXEXTRACT(CELL("address",'Raw Data'!R130),"\$([A-Z]+)\$[0-9]+"))</f>
        <v/>
      </c>
      <c r="S130" s="7" t="str">
        <f t="array" aca="1" ref="S130" ca="1">IFERROR(IF(OR('Raw Data'!S130="",LEN(TRIM('Raw Data'!S130))=0),"",IF(AND(LEN('Raw Data'!S130) &lt;= 50,LEN('Raw Data'!S130)&gt; 0),"",_xlfn.REGEXEXTRACT(CELL("address",'Raw Data'!S130),"\$([A-Z]+)\$[0-9]+"))),_xlfn.REGEXEXTRACT(CELL("address",'Raw Data'!S130),"\$([A-Z]+)\$[0-9]+"))</f>
        <v/>
      </c>
      <c r="T130" s="7" t="str">
        <f t="array" aca="1" ref="T130" ca="1">IFERROR(IF(OR('Raw Data'!T130="",LEN(TRIM('Raw Data'!T130))=0),"",IF(AND(ISNUMBER('Raw Data'!T130), IFERROR('Raw Data'!T130 = ROUND('Raw Data'!T130, 2),FALSE)),"",_xlfn.REGEXEXTRACT(CELL("address",T130), "\$([A-Z]+)\$[0-9]+"))),_xlfn.REGEXEXTRACT(CELL("address",T130), "\$([A-Z]+)\$[0-9]+"))</f>
        <v/>
      </c>
      <c r="U130" s="7" t="str">
        <f t="array" aca="1" ref="U130" ca="1">IFERROR(IF(OR('Raw Data'!U130="",LEN(TRIM('Raw Data'!U130))=0),"",IF(AND(ISNUMBER('Raw Data'!U130), IFERROR('Raw Data'!U130 = ROUND('Raw Data'!U130, 2),FALSE)),"",_xlfn.REGEXEXTRACT(CELL("address",U130), "\$([A-Z]+)\$[0-9]+"))),_xlfn.REGEXEXTRACT(CELL("address",U130), "\$([A-Z]+)\$[0-9]+"))</f>
        <v/>
      </c>
      <c r="V130" s="7" t="str">
        <f t="array" aca="1" ref="V130" ca="1">IFERROR(IF(OR('Raw Data'!V130="",LEN(TRIM('Raw Data'!V130))=0),"",IF(AND(ISNUMBER('Raw Data'!V130), IFERROR('Raw Data'!V130 = ROUND('Raw Data'!V130, 2),FALSE)),"",_xlfn.REGEXEXTRACT(CELL("address",V130), "\$([A-Z]+)\$[0-9]+"))),_xlfn.REGEXEXTRACT(CELL("address",V130), "\$([A-Z]+)\$[0-9]+"))</f>
        <v/>
      </c>
      <c r="W130" s="7" t="str">
        <f t="array" aca="1" ref="W130" ca="1">IFERROR(IF(OR('Raw Data'!W130="",LEN(TRIM('Raw Data'!W130))=0),"",IF(AND(ISNUMBER('Raw Data'!W130), IFERROR('Raw Data'!W130 = ROUND('Raw Data'!W130, 2),FALSE)),"",_xlfn.REGEXEXTRACT(CELL("address",W130), "\$([A-Z]+)\$[0-9]+"))),_xlfn.REGEXEXTRACT(CELL("address",W130), "\$([A-Z]+)\$[0-9]+"))</f>
        <v/>
      </c>
      <c r="X130" s="7" t="str">
        <f t="array" aca="1" ref="X130" ca="1">IFERROR(IF(OR('Raw Data'!X130="",LEN(TRIM('Raw Data'!X130))=0),"",IF(AND(ISNUMBER('Raw Data'!X130), IFERROR('Raw Data'!X130 = ROUND('Raw Data'!X130, 2),FALSE)),"",_xlfn.REGEXEXTRACT(CELL("address",X130), "\$([A-Z]+)\$[0-9]+"))),_xlfn.REGEXEXTRACT(CELL("address",X130), "\$([A-Z]+)\$[0-9]+"))</f>
        <v/>
      </c>
      <c r="Y130" s="7" t="str">
        <f t="array" aca="1" ref="Y130" ca="1">IFERROR(IF(OR('Raw Data'!Y130="",LEN(TRIM('Raw Data'!Y130))=0),"",IF(AND(ISNUMBER('Raw Data'!Y130), IFERROR('Raw Data'!Y130 = ROUND('Raw Data'!Y130, 2),FALSE)),"",_xlfn.REGEXEXTRACT(CELL("address",Y130), "\$([A-Z]+)\$[0-9]+"))),_xlfn.REGEXEXTRACT(CELL("address",Y130), "\$([A-Z]+)\$[0-9]+"))</f>
        <v/>
      </c>
      <c r="Z130" s="7" t="str">
        <f t="array" aca="1" ref="Z130" ca="1">IFERROR(IF(OR('Raw Data'!Z130="",LEN(TRIM('Raw Data'!Z130))=0),"",IF(AND(ISNUMBER('Raw Data'!Z130), IFERROR('Raw Data'!Z130 = ROUND('Raw Data'!Z130, 2),FALSE)),"",_xlfn.REGEXEXTRACT(CELL("address",Z130), "\$([A-Z]+)\$[0-9]+"))),_xlfn.REGEXEXTRACT(CELL("address",Z130), "\$([A-Z]+)\$[0-9]+"))</f>
        <v/>
      </c>
      <c r="AA130" s="7" t="str">
        <f t="array" aca="1" ref="AA130" ca="1">IFERROR(IF(OR('Raw Data'!AA130="",LEN(TRIM('Raw Data'!AA130))=0),"",IF(AND(ISNUMBER('Raw Data'!AA130), IFERROR('Raw Data'!AA130 = ROUND('Raw Data'!AA130, 2),FALSE)),"",_xlfn.REGEXEXTRACT(CELL("address",AA130), "\$([A-Z]+)\$[0-9]+"))),_xlfn.REGEXEXTRACT(CELL("address",AA130), "\$([A-Z]+)\$[0-9]+"))</f>
        <v/>
      </c>
      <c r="AB130" s="7" t="str">
        <f t="array" aca="1" ref="AB130" ca="1">IFERROR(IF(OR('Raw Data'!AB130="",LEN(TRIM('Raw Data'!AB130))=0),"",IF(AND(ISNUMBER('Raw Data'!AB130), IFERROR('Raw Data'!AB130 = ROUND('Raw Data'!AB130, 2),FALSE)),"",_xlfn.REGEXEXTRACT(CELL("address",AB130), "\$([A-Z]+)\$[0-9]+"))),_xlfn.REGEXEXTRACT(CELL("address",AB130), "\$([A-Z]+)\$[0-9]+"))</f>
        <v/>
      </c>
      <c r="AC130" s="7" t="str">
        <f t="array" aca="1" ref="AC130" ca="1">IFERROR(IF(OR('Raw Data'!AC130="",LEN(TRIM('Raw Data'!AC130))=0),"",IF(AND(ISNUMBER('Raw Data'!AC130), IFERROR('Raw Data'!AC130 = ROUND('Raw Data'!AC130, 2),FALSE)),"",_xlfn.REGEXEXTRACT(CELL("address",AC130), "\$([A-Z]+)\$[0-9]+"))),_xlfn.REGEXEXTRACT(CELL("address",AC130), "\$([A-Z]+)\$[0-9]+"))</f>
        <v/>
      </c>
      <c r="AD130" s="7" t="str">
        <f t="array" aca="1" ref="AD130" ca="1">IFERROR(IF(OR('Raw Data'!AD130="",LEN(TRIM('Raw Data'!AD130))=0),"",IF(AND(ISNUMBER('Raw Data'!AD130), IFERROR('Raw Data'!AD130 = ROUND('Raw Data'!AD130, 2),FALSE)),"",_xlfn.REGEXEXTRACT(CELL("address",AD130), "\$([A-Z]+)\$[0-9]+"))),_xlfn.REGEXEXTRACT(CELL("address",AD130), "\$([A-Z]+)\$[0-9]+"))</f>
        <v/>
      </c>
      <c r="AE130" s="7" t="str">
        <f t="array" aca="1" ref="AE130" ca="1">IFERROR(IF(OR('Raw Data'!AE130="",LEN(TRIM('Raw Data'!AE130))=0),"",IF(AND(ISNUMBER('Raw Data'!AE130), IFERROR('Raw Data'!AE130 = ROUND('Raw Data'!AE130, 2),FALSE)),"",_xlfn.REGEXEXTRACT(CELL("address",AE130), "\$([A-Z]+)\$[0-9]+"))),_xlfn.REGEXEXTRACT(CELL("address",AE130), "\$([A-Z]+)\$[0-9]+"))</f>
        <v/>
      </c>
      <c r="AF130" s="7" t="str">
        <f t="array" aca="1" ref="AF130" ca="1">IFERROR(IF(OR('Raw Data'!AF130="",LEN(TRIM('Raw Data'!AF130))=0),"",IF(AND(ISNUMBER('Raw Data'!AF130), IFERROR('Raw Data'!AF130 = ROUND('Raw Data'!AF130, 2),FALSE)),"",_xlfn.REGEXEXTRACT(CELL("address",AF130), "\$([A-Z]+)\$[0-9]+"))),_xlfn.REGEXEXTRACT(CELL("address",AF130), "\$([A-Z]+)\$[0-9]+"))</f>
        <v/>
      </c>
      <c r="AG130" s="7" t="str">
        <f t="array" aca="1" ref="AG130" ca="1">IFERROR(IF(OR('Raw Data'!AG130="",LEN(TRIM('Raw Data'!AG130))=0),"",IF(AND(ISNUMBER('Raw Data'!AG130), IFERROR('Raw Data'!AG130 = ROUND('Raw Data'!AG130, 2),FALSE)),"",_xlfn.REGEXEXTRACT(CELL("address",AG130), "\$([A-Z]+)\$[0-9]+"))),_xlfn.REGEXEXTRACT(CELL("address",AG130), "\$([A-Z]+)\$[0-9]+"))</f>
        <v/>
      </c>
      <c r="AH130" s="7" t="str">
        <f t="array" aca="1" ref="AH130" ca="1">IFERROR(IF(OR('Raw Data'!AH130="",LEN(TRIM('Raw Data'!AH130))=0),"",IF(AND(ISNUMBER('Raw Data'!AH130), IFERROR('Raw Data'!AH130 = ROUND('Raw Data'!AH130, 2),FALSE)),"",_xlfn.REGEXEXTRACT(CELL("address",AH130), "\$([A-Z]+)\$[0-9]+"))),_xlfn.REGEXEXTRACT(CELL("address",AH130), "\$([A-Z]+)\$[0-9]+"))</f>
        <v/>
      </c>
      <c r="AI130" s="7" t="str">
        <f t="array" aca="1" ref="AI130" ca="1">IFERROR(IF(OR('Raw Data'!AI130="",LEN(TRIM('Raw Data'!AI130))=0),"",IF(AND(ISNUMBER('Raw Data'!AI130), IFERROR('Raw Data'!AI130 = ROUND('Raw Data'!AI130, 2),FALSE)),"",_xlfn.REGEXEXTRACT(CELL("address",AI130), "\$([A-Z]+)\$[0-9]+"))),_xlfn.REGEXEXTRACT(CELL("address",AI130), "\$([A-Z]+)\$[0-9]+"))</f>
        <v/>
      </c>
      <c r="AJ130" s="7" t="str">
        <f t="array" aca="1" ref="AJ130" ca="1">IFERROR(IF(OR('Raw Data'!AJ130="",LEN(TRIM('Raw Data'!AJ130))=0),"",IF(AND(ISNUMBER('Raw Data'!AJ130), IFERROR('Raw Data'!AJ130 = ROUND('Raw Data'!AJ130, 4),FALSE)),"",_xlfn.REGEXEXTRACT(CELL("address",AJ130), "\$([A-Z]+)\$[0-9]+"))),_xlfn.REGEXEXTRACT(CELL("address",AJ130), "\$([A-Z]+)\$[0-9]+"))</f>
        <v/>
      </c>
      <c r="AK130" s="7" t="str">
        <f t="array" aca="1" ref="AK130" ca="1">IFERROR(IF(OR('Raw Data'!AK130="",LEN(TRIM('Raw Data'!AK130))=0),"",IF(AND(ISNUMBER('Raw Data'!AK130), IFERROR('Raw Data'!AK130 = ROUND('Raw Data'!AK130, 2),FALSE)),"",_xlfn.REGEXEXTRACT(CELL("address",AK130), "\$([A-Z]+)\$[0-9]+"))),_xlfn.REGEXEXTRACT(CELL("address",AK130), "\$([A-Z]+)\$[0-9]+"))</f>
        <v/>
      </c>
      <c r="AL130" s="7" t="str">
        <f t="array" aca="1" ref="AL130" ca="1">IFERROR(IF(OR('Raw Data'!AL130="",LEN(TRIM('Raw Data'!AL130))=0),"",IF(AND(ISNUMBER('Raw Data'!AL130), IFERROR('Raw Data'!AL130 = ROUND('Raw Data'!AL130, 2),FALSE)),"",_xlfn.REGEXEXTRACT(CELL("address",AL130), "\$([A-Z]+)\$[0-9]+"))),_xlfn.REGEXEXTRACT(CELL("address",AL130), "\$([A-Z]+)\$[0-9]+"))</f>
        <v/>
      </c>
      <c r="AM130" s="7" t="str">
        <f t="array" aca="1" ref="AM130" ca="1">IFERROR(IF(OR('Raw Data'!AM130="",LEN(TRIM('Raw Data'!AM130))=0),"",IF(AND(ISNUMBER('Raw Data'!AM130), IFERROR('Raw Data'!AM130 = ROUND('Raw Data'!AM130, 2),FALSE)),"",_xlfn.REGEXEXTRACT(CELL("address",AM130), "\$([A-Z]+)\$[0-9]+"))),_xlfn.REGEXEXTRACT(CELL("address",AM130), "\$([A-Z]+)\$[0-9]+"))</f>
        <v/>
      </c>
      <c r="AN130" s="7" t="str">
        <f t="array" aca="1" ref="AN130" ca="1">IFERROR(IF(OR('Raw Data'!AN130="",LEN(TRIM('Raw Data'!AN130))=0),"",IF(AND(ISNUMBER('Raw Data'!AN130), IFERROR('Raw Data'!AN130 = ROUND('Raw Data'!AN130, 2),FALSE)),"",_xlfn.REGEXEXTRACT(CELL("address",AN130), "\$([A-Z]+)\$[0-9]+"))),_xlfn.REGEXEXTRACT(CELL("address",AN130), "\$([A-Z]+)\$[0-9]+"))</f>
        <v/>
      </c>
      <c r="AO130" s="7" t="str">
        <f t="array" aca="1" ref="AO130" ca="1">IFERROR(IF(OR('Raw Data'!AO130="",LEN(TRIM('Raw Data'!AO130))=0),"",IF(AND(ISNUMBER('Raw Data'!AO130), IFERROR('Raw Data'!AO130 = ROUND('Raw Data'!AO130, 2),FALSE)),"",_xlfn.REGEXEXTRACT(CELL("address",AO130), "\$([A-Z]+)\$[0-9]+"))),_xlfn.REGEXEXTRACT(CELL("address",AO130), "\$([A-Z]+)\$[0-9]+"))</f>
        <v/>
      </c>
      <c r="AP130" s="7" t="str">
        <f t="array" aca="1" ref="AP130" ca="1">IFERROR(IF(OR('Raw Data'!AP130="",LEN(TRIM('Raw Data'!AP130))=0),"",IF(AND(ISNUMBER('Raw Data'!AP130), IFERROR('Raw Data'!AP130 = ROUND('Raw Data'!AP130, 2),FALSE)),"",_xlfn.REGEXEXTRACT(CELL("address",AP130), "\$([A-Z]+)\$[0-9]+"))),_xlfn.REGEXEXTRACT(CELL("address",AP130), "\$([A-Z]+)\$[0-9]+"))</f>
        <v/>
      </c>
    </row>
    <row r="131" spans="2:42" x14ac:dyDescent="0.25">
      <c r="B131" s="7" t="str">
        <f t="array" aca="1" ref="B131" ca="1">IFERROR(IF(OR('Raw Data'!B131="",LEN(TRIM('Raw Data'!B131))=0),"",IF(AND(LEN('Raw Data'!B131) &lt;= 255,LEN('Raw Data'!B131)&gt; 0),"",_xlfn.REGEXEXTRACT(CELL("address",'Raw Data'!B131),"\$([A-Z]+)\$[0-9]+"))),_xlfn.REGEXEXTRACT(CELL("address",'Raw Data'!B131),"\$([A-Z]+)\$[0-9]+"))</f>
        <v/>
      </c>
      <c r="C131" s="7" t="str">
        <f t="array" aca="1" ref="C131" ca="1">IFERROR(IF(OR('Raw Data'!C131="",LEN(TRIM('Raw Data'!C131))=0),"",IF(AND(LEN('Raw Data'!C131) &lt;= 50,LEN('Raw Data'!C131)&gt; 0),"",_xlfn.REGEXEXTRACT(CELL("address",'Raw Data'!C131),"\$([A-Z]+)\$[0-9]+"))),_xlfn.REGEXEXTRACT(CELL("address",'Raw Data'!C131),"\$([A-Z]+)\$[0-9]+"))</f>
        <v/>
      </c>
      <c r="D131" s="7" t="str">
        <f t="array" aca="1" ref="D131" ca="1">IFERROR(IF(OR('Raw Data'!D131="",LEN(TRIM('Raw Data'!D131))=0),"",IF(AND(LEN('Raw Data'!D131) &lt;= 500,LEN('Raw Data'!D131)&gt; 0),"",_xlfn.REGEXEXTRACT(CELL("address",'Raw Data'!D131),"\$([A-Z]+)\$[0-9]+"))),_xlfn.REGEXEXTRACT(CELL("address",'Raw Data'!D131),"\$([A-Z]+)\$[0-9]+"))</f>
        <v/>
      </c>
      <c r="E131" s="7" t="str">
        <f t="array" aca="1" ref="E131" ca="1">IFERROR(IF(OR('Raw Data'!E131="",LEN(TRIM('Raw Data'!E131))=0),"",IF(AND(LEN('Raw Data'!E131) &lt;= 50,LEN('Raw Data'!E131)&gt; 0),"",_xlfn.REGEXEXTRACT(CELL("address",'Raw Data'!E131),"\$([A-Z]+)\$[0-9]+"))),_xlfn.REGEXEXTRACT(CELL("address",'Raw Data'!E131),"\$([A-Z]+)\$[0-9]+"))</f>
        <v/>
      </c>
      <c r="F131" s="7" t="str">
        <f t="array" aca="1" ref="F131" ca="1">IFERROR(IF(OR('Raw Data'!F131="",LEN(TRIM('Raw Data'!F131))=0),"",IF(AND(LEN('Raw Data'!F131) &lt;= 50,LEN('Raw Data'!F131)&gt; 0),"",_xlfn.REGEXEXTRACT(CELL("address",'Raw Data'!F131),"\$([A-Z]+)\$[0-9]+"))),_xlfn.REGEXEXTRACT(CELL("address",'Raw Data'!F131),"\$([A-Z]+)\$[0-9]+"))</f>
        <v/>
      </c>
      <c r="G131" s="7" t="str">
        <f t="array" aca="1" ref="G131" ca="1">IFERROR(IF(OR('Raw Data'!G131="",LEN(TRIM('Raw Data'!G131))=0),"",IF(AND(LEN('Raw Data'!G131) &lt;= 50,LEN('Raw Data'!G131)&gt; 0),"",_xlfn.REGEXEXTRACT(CELL("address",'Raw Data'!G131),"\$([A-Z]+)\$[0-9]+"))),_xlfn.REGEXEXTRACT(CELL("address",'Raw Data'!G131),"\$([A-Z]+)\$[0-9]+"))</f>
        <v/>
      </c>
      <c r="H131" s="7" t="str">
        <f t="array" aca="1" ref="H131" ca="1">IFERROR(IF(OR('Raw Data'!H131="",LEN(TRIM('Raw Data'!H131))=0),"",IF(AND(LEN('Raw Data'!H131) &lt;= 50,LEN('Raw Data'!H131)&gt; 0),"",_xlfn.REGEXEXTRACT(CELL("address",'Raw Data'!H131),"\$([A-Z]+)\$[0-9]+"))),_xlfn.REGEXEXTRACT(CELL("address",'Raw Data'!H131),"\$([A-Z]+)\$[0-9]+"))</f>
        <v/>
      </c>
      <c r="I131" s="7" t="str">
        <f t="array" aca="1" ref="I131" ca="1">IFERROR(IF(OR('Raw Data'!I131="",LEN(TRIM('Raw Data'!I131))=0),"",IF(AND(LEN('Raw Data'!I131) &lt;= 50,LEN('Raw Data'!I131)&gt; 0),"",_xlfn.REGEXEXTRACT(CELL("address",'Raw Data'!I131),"\$([A-Z]+)\$[0-9]+"))),_xlfn.REGEXEXTRACT(CELL("address",'Raw Data'!I131),"\$([A-Z]+)\$[0-9]+"))</f>
        <v/>
      </c>
      <c r="J131" s="7" t="str">
        <f t="array" aca="1" ref="J131" ca="1">IFERROR(IF(OR('Raw Data'!J131="",LEN(TRIM('Raw Data'!J131))=0),"",IF(AND(ISNUMBER('Raw Data'!J131), IFERROR('Raw Data'!J131 = ROUND('Raw Data'!J131, 2),FALSE)),"",_xlfn.REGEXEXTRACT(CELL("address",J131), "\$([A-Z]+)\$[0-9]+"))),_xlfn.REGEXEXTRACT(CELL("address",J131), "\$([A-Z]+)\$[0-9]+"))</f>
        <v/>
      </c>
      <c r="K131" s="7" t="str">
        <f t="array" aca="1" ref="K131" ca="1">IFERROR(IF(OR('Raw Data'!K131="",LEN(TRIM('Raw Data'!K131))=0),"",IF(AND(ISNUMBER('Raw Data'!K131), IFERROR('Raw Data'!K131 = ROUND('Raw Data'!K131, 2),FALSE)),"",_xlfn.REGEXEXTRACT(CELL("address",K131), "\$([A-Z]+)\$[0-9]+"))),_xlfn.REGEXEXTRACT(CELL("address",K131), "\$([A-Z]+)\$[0-9]+"))</f>
        <v/>
      </c>
      <c r="L131" s="7" t="str">
        <f t="array" aca="1" ref="L131" ca="1">IFERROR(IF(OR('Raw Data'!L131="",LEN(TRIM('Raw Data'!L131))=0),"",IF(AND(ISNUMBER('Raw Data'!L131), IFERROR('Raw Data'!L131 = ROUND('Raw Data'!L131, 2),FALSE)),"",_xlfn.REGEXEXTRACT(CELL("address",L131), "\$([A-Z]+)\$[0-9]+"))),_xlfn.REGEXEXTRACT(CELL("address",L131), "\$([A-Z]+)\$[0-9]+"))</f>
        <v/>
      </c>
      <c r="M131" s="7" t="str">
        <f t="array" aca="1" ref="M131" ca="1">IFERROR(IF(OR('Raw Data'!M131="",LEN(TRIM('Raw Data'!M131))=0),"",IF(AND(ISNUMBER('Raw Data'!M131), IFERROR('Raw Data'!M131 = ROUND('Raw Data'!M131, 2),FALSE)),"",_xlfn.REGEXEXTRACT(CELL("address",M131), "\$([A-Z]+)\$[0-9]+"))),_xlfn.REGEXEXTRACT(CELL("address",M131), "\$([A-Z]+)\$[0-9]+"))</f>
        <v/>
      </c>
      <c r="N131" s="7" t="str">
        <f t="array" aca="1" ref="N131" ca="1">IFERROR(IF(OR('Raw Data'!N131="",LEN(TRIM('Raw Data'!N131))=0),"",IF(AND(ISNUMBER('Raw Data'!N131), IFERROR('Raw Data'!N131 = ROUND('Raw Data'!N131, 2),FALSE)),"",_xlfn.REGEXEXTRACT(CELL("address",N131), "\$([A-Z]+)\$[0-9]+"))),_xlfn.REGEXEXTRACT(CELL("address",N131), "\$([A-Z]+)\$[0-9]+"))</f>
        <v/>
      </c>
      <c r="O131" s="7" t="str">
        <f t="array" aca="1" ref="O131" ca="1">IFERROR(IF(OR('Raw Data'!O131="",LEN(TRIM('Raw Data'!O131))=0),"",IF(AND(ISNUMBER('Raw Data'!O131),'Raw Data'!O131&gt;=Configuration!$D$2),"",_xlfn.REGEXEXTRACT(CELL("address",'Raw Data'!O131),"\$([A-Z]+)\$[0-9]+"))),_xlfn.REGEXEXTRACT(CELL("address",O131), "\$([A-Z]+)\$[0-9]+"))</f>
        <v/>
      </c>
      <c r="P131" s="7" t="str">
        <f t="array" aca="1" ref="P131" ca="1">IFERROR(IF(OR('Raw Data'!P131="",LEN(TRIM('Raw Data'!P131))=0),"",IF(AND(ISNUMBER('Raw Data'!P131), IFERROR('Raw Data'!P131 = ROUND('Raw Data'!P131, 2),FALSE)),"",_xlfn.REGEXEXTRACT(CELL("address",P131), "\$([A-Z]+)\$[0-9]+"))),_xlfn.REGEXEXTRACT(CELL("address",P131), "\$([A-Z]+)\$[0-9]+"))</f>
        <v/>
      </c>
      <c r="Q131" s="7" t="str">
        <f t="array" aca="1" ref="Q131" ca="1">IFERROR(IF(OR('Raw Data'!Q131="",LEN(TRIM('Raw Data'!Q131))=0),"",IF(AND(ISNUMBER('Raw Data'!Q131), IFERROR('Raw Data'!Q131 = ROUND('Raw Data'!Q131, 2),FALSE)),"",_xlfn.REGEXEXTRACT(CELL("address",Q131), "\$([A-Z]+)\$[0-9]+"))),_xlfn.REGEXEXTRACT(CELL("address",Q131), "\$([A-Z]+)\$[0-9]+"))</f>
        <v/>
      </c>
      <c r="R131" s="7" t="str">
        <f t="array" aca="1" ref="R131" ca="1">IFERROR(IF(OR('Raw Data'!R131="",LEN(TRIM('Raw Data'!R131))=0),"",IF(AND(LEN('Raw Data'!R131) &lt;= 50,LEN('Raw Data'!R131)&gt; 0),"",_xlfn.REGEXEXTRACT(CELL("address",'Raw Data'!R131),"\$([A-Z]+)\$[0-9]+"))),_xlfn.REGEXEXTRACT(CELL("address",'Raw Data'!R131),"\$([A-Z]+)\$[0-9]+"))</f>
        <v/>
      </c>
      <c r="S131" s="7" t="str">
        <f t="array" aca="1" ref="S131" ca="1">IFERROR(IF(OR('Raw Data'!S131="",LEN(TRIM('Raw Data'!S131))=0),"",IF(AND(LEN('Raw Data'!S131) &lt;= 50,LEN('Raw Data'!S131)&gt; 0),"",_xlfn.REGEXEXTRACT(CELL("address",'Raw Data'!S131),"\$([A-Z]+)\$[0-9]+"))),_xlfn.REGEXEXTRACT(CELL("address",'Raw Data'!S131),"\$([A-Z]+)\$[0-9]+"))</f>
        <v/>
      </c>
      <c r="T131" s="7" t="str">
        <f t="array" aca="1" ref="T131" ca="1">IFERROR(IF(OR('Raw Data'!T131="",LEN(TRIM('Raw Data'!T131))=0),"",IF(AND(ISNUMBER('Raw Data'!T131), IFERROR('Raw Data'!T131 = ROUND('Raw Data'!T131, 2),FALSE)),"",_xlfn.REGEXEXTRACT(CELL("address",T131), "\$([A-Z]+)\$[0-9]+"))),_xlfn.REGEXEXTRACT(CELL("address",T131), "\$([A-Z]+)\$[0-9]+"))</f>
        <v/>
      </c>
      <c r="U131" s="7" t="str">
        <f t="array" aca="1" ref="U131" ca="1">IFERROR(IF(OR('Raw Data'!U131="",LEN(TRIM('Raw Data'!U131))=0),"",IF(AND(ISNUMBER('Raw Data'!U131), IFERROR('Raw Data'!U131 = ROUND('Raw Data'!U131, 2),FALSE)),"",_xlfn.REGEXEXTRACT(CELL("address",U131), "\$([A-Z]+)\$[0-9]+"))),_xlfn.REGEXEXTRACT(CELL("address",U131), "\$([A-Z]+)\$[0-9]+"))</f>
        <v/>
      </c>
      <c r="V131" s="7" t="str">
        <f t="array" aca="1" ref="V131" ca="1">IFERROR(IF(OR('Raw Data'!V131="",LEN(TRIM('Raw Data'!V131))=0),"",IF(AND(ISNUMBER('Raw Data'!V131), IFERROR('Raw Data'!V131 = ROUND('Raw Data'!V131, 2),FALSE)),"",_xlfn.REGEXEXTRACT(CELL("address",V131), "\$([A-Z]+)\$[0-9]+"))),_xlfn.REGEXEXTRACT(CELL("address",V131), "\$([A-Z]+)\$[0-9]+"))</f>
        <v/>
      </c>
      <c r="W131" s="7" t="str">
        <f t="array" aca="1" ref="W131" ca="1">IFERROR(IF(OR('Raw Data'!W131="",LEN(TRIM('Raw Data'!W131))=0),"",IF(AND(ISNUMBER('Raw Data'!W131), IFERROR('Raw Data'!W131 = ROUND('Raw Data'!W131, 2),FALSE)),"",_xlfn.REGEXEXTRACT(CELL("address",W131), "\$([A-Z]+)\$[0-9]+"))),_xlfn.REGEXEXTRACT(CELL("address",W131), "\$([A-Z]+)\$[0-9]+"))</f>
        <v/>
      </c>
      <c r="X131" s="7" t="str">
        <f t="array" aca="1" ref="X131" ca="1">IFERROR(IF(OR('Raw Data'!X131="",LEN(TRIM('Raw Data'!X131))=0),"",IF(AND(ISNUMBER('Raw Data'!X131), IFERROR('Raw Data'!X131 = ROUND('Raw Data'!X131, 2),FALSE)),"",_xlfn.REGEXEXTRACT(CELL("address",X131), "\$([A-Z]+)\$[0-9]+"))),_xlfn.REGEXEXTRACT(CELL("address",X131), "\$([A-Z]+)\$[0-9]+"))</f>
        <v/>
      </c>
      <c r="Y131" s="7" t="str">
        <f t="array" aca="1" ref="Y131" ca="1">IFERROR(IF(OR('Raw Data'!Y131="",LEN(TRIM('Raw Data'!Y131))=0),"",IF(AND(ISNUMBER('Raw Data'!Y131), IFERROR('Raw Data'!Y131 = ROUND('Raw Data'!Y131, 2),FALSE)),"",_xlfn.REGEXEXTRACT(CELL("address",Y131), "\$([A-Z]+)\$[0-9]+"))),_xlfn.REGEXEXTRACT(CELL("address",Y131), "\$([A-Z]+)\$[0-9]+"))</f>
        <v/>
      </c>
      <c r="Z131" s="7" t="str">
        <f t="array" aca="1" ref="Z131" ca="1">IFERROR(IF(OR('Raw Data'!Z131="",LEN(TRIM('Raw Data'!Z131))=0),"",IF(AND(ISNUMBER('Raw Data'!Z131), IFERROR('Raw Data'!Z131 = ROUND('Raw Data'!Z131, 2),FALSE)),"",_xlfn.REGEXEXTRACT(CELL("address",Z131), "\$([A-Z]+)\$[0-9]+"))),_xlfn.REGEXEXTRACT(CELL("address",Z131), "\$([A-Z]+)\$[0-9]+"))</f>
        <v/>
      </c>
      <c r="AA131" s="7" t="str">
        <f t="array" aca="1" ref="AA131" ca="1">IFERROR(IF(OR('Raw Data'!AA131="",LEN(TRIM('Raw Data'!AA131))=0),"",IF(AND(ISNUMBER('Raw Data'!AA131), IFERROR('Raw Data'!AA131 = ROUND('Raw Data'!AA131, 2),FALSE)),"",_xlfn.REGEXEXTRACT(CELL("address",AA131), "\$([A-Z]+)\$[0-9]+"))),_xlfn.REGEXEXTRACT(CELL("address",AA131), "\$([A-Z]+)\$[0-9]+"))</f>
        <v/>
      </c>
      <c r="AB131" s="7" t="str">
        <f t="array" aca="1" ref="AB131" ca="1">IFERROR(IF(OR('Raw Data'!AB131="",LEN(TRIM('Raw Data'!AB131))=0),"",IF(AND(ISNUMBER('Raw Data'!AB131), IFERROR('Raw Data'!AB131 = ROUND('Raw Data'!AB131, 2),FALSE)),"",_xlfn.REGEXEXTRACT(CELL("address",AB131), "\$([A-Z]+)\$[0-9]+"))),_xlfn.REGEXEXTRACT(CELL("address",AB131), "\$([A-Z]+)\$[0-9]+"))</f>
        <v/>
      </c>
      <c r="AC131" s="7" t="str">
        <f t="array" aca="1" ref="AC131" ca="1">IFERROR(IF(OR('Raw Data'!AC131="",LEN(TRIM('Raw Data'!AC131))=0),"",IF(AND(ISNUMBER('Raw Data'!AC131), IFERROR('Raw Data'!AC131 = ROUND('Raw Data'!AC131, 2),FALSE)),"",_xlfn.REGEXEXTRACT(CELL("address",AC131), "\$([A-Z]+)\$[0-9]+"))),_xlfn.REGEXEXTRACT(CELL("address",AC131), "\$([A-Z]+)\$[0-9]+"))</f>
        <v/>
      </c>
      <c r="AD131" s="7" t="str">
        <f t="array" aca="1" ref="AD131" ca="1">IFERROR(IF(OR('Raw Data'!AD131="",LEN(TRIM('Raw Data'!AD131))=0),"",IF(AND(ISNUMBER('Raw Data'!AD131), IFERROR('Raw Data'!AD131 = ROUND('Raw Data'!AD131, 2),FALSE)),"",_xlfn.REGEXEXTRACT(CELL("address",AD131), "\$([A-Z]+)\$[0-9]+"))),_xlfn.REGEXEXTRACT(CELL("address",AD131), "\$([A-Z]+)\$[0-9]+"))</f>
        <v/>
      </c>
      <c r="AE131" s="7" t="str">
        <f t="array" aca="1" ref="AE131" ca="1">IFERROR(IF(OR('Raw Data'!AE131="",LEN(TRIM('Raw Data'!AE131))=0),"",IF(AND(ISNUMBER('Raw Data'!AE131), IFERROR('Raw Data'!AE131 = ROUND('Raw Data'!AE131, 2),FALSE)),"",_xlfn.REGEXEXTRACT(CELL("address",AE131), "\$([A-Z]+)\$[0-9]+"))),_xlfn.REGEXEXTRACT(CELL("address",AE131), "\$([A-Z]+)\$[0-9]+"))</f>
        <v/>
      </c>
      <c r="AF131" s="7" t="str">
        <f t="array" aca="1" ref="AF131" ca="1">IFERROR(IF(OR('Raw Data'!AF131="",LEN(TRIM('Raw Data'!AF131))=0),"",IF(AND(ISNUMBER('Raw Data'!AF131), IFERROR('Raw Data'!AF131 = ROUND('Raw Data'!AF131, 2),FALSE)),"",_xlfn.REGEXEXTRACT(CELL("address",AF131), "\$([A-Z]+)\$[0-9]+"))),_xlfn.REGEXEXTRACT(CELL("address",AF131), "\$([A-Z]+)\$[0-9]+"))</f>
        <v/>
      </c>
      <c r="AG131" s="7" t="str">
        <f t="array" aca="1" ref="AG131" ca="1">IFERROR(IF(OR('Raw Data'!AG131="",LEN(TRIM('Raw Data'!AG131))=0),"",IF(AND(ISNUMBER('Raw Data'!AG131), IFERROR('Raw Data'!AG131 = ROUND('Raw Data'!AG131, 2),FALSE)),"",_xlfn.REGEXEXTRACT(CELL("address",AG131), "\$([A-Z]+)\$[0-9]+"))),_xlfn.REGEXEXTRACT(CELL("address",AG131), "\$([A-Z]+)\$[0-9]+"))</f>
        <v/>
      </c>
      <c r="AH131" s="7" t="str">
        <f t="array" aca="1" ref="AH131" ca="1">IFERROR(IF(OR('Raw Data'!AH131="",LEN(TRIM('Raw Data'!AH131))=0),"",IF(AND(ISNUMBER('Raw Data'!AH131), IFERROR('Raw Data'!AH131 = ROUND('Raw Data'!AH131, 2),FALSE)),"",_xlfn.REGEXEXTRACT(CELL("address",AH131), "\$([A-Z]+)\$[0-9]+"))),_xlfn.REGEXEXTRACT(CELL("address",AH131), "\$([A-Z]+)\$[0-9]+"))</f>
        <v/>
      </c>
      <c r="AI131" s="7" t="str">
        <f t="array" aca="1" ref="AI131" ca="1">IFERROR(IF(OR('Raw Data'!AI131="",LEN(TRIM('Raw Data'!AI131))=0),"",IF(AND(ISNUMBER('Raw Data'!AI131), IFERROR('Raw Data'!AI131 = ROUND('Raw Data'!AI131, 2),FALSE)),"",_xlfn.REGEXEXTRACT(CELL("address",AI131), "\$([A-Z]+)\$[0-9]+"))),_xlfn.REGEXEXTRACT(CELL("address",AI131), "\$([A-Z]+)\$[0-9]+"))</f>
        <v/>
      </c>
      <c r="AJ131" s="7" t="str">
        <f t="array" aca="1" ref="AJ131" ca="1">IFERROR(IF(OR('Raw Data'!AJ131="",LEN(TRIM('Raw Data'!AJ131))=0),"",IF(AND(ISNUMBER('Raw Data'!AJ131), IFERROR('Raw Data'!AJ131 = ROUND('Raw Data'!AJ131, 4),FALSE)),"",_xlfn.REGEXEXTRACT(CELL("address",AJ131), "\$([A-Z]+)\$[0-9]+"))),_xlfn.REGEXEXTRACT(CELL("address",AJ131), "\$([A-Z]+)\$[0-9]+"))</f>
        <v/>
      </c>
      <c r="AK131" s="7" t="str">
        <f t="array" aca="1" ref="AK131" ca="1">IFERROR(IF(OR('Raw Data'!AK131="",LEN(TRIM('Raw Data'!AK131))=0),"",IF(AND(ISNUMBER('Raw Data'!AK131), IFERROR('Raw Data'!AK131 = ROUND('Raw Data'!AK131, 2),FALSE)),"",_xlfn.REGEXEXTRACT(CELL("address",AK131), "\$([A-Z]+)\$[0-9]+"))),_xlfn.REGEXEXTRACT(CELL("address",AK131), "\$([A-Z]+)\$[0-9]+"))</f>
        <v/>
      </c>
      <c r="AL131" s="7" t="str">
        <f t="array" aca="1" ref="AL131" ca="1">IFERROR(IF(OR('Raw Data'!AL131="",LEN(TRIM('Raw Data'!AL131))=0),"",IF(AND(ISNUMBER('Raw Data'!AL131), IFERROR('Raw Data'!AL131 = ROUND('Raw Data'!AL131, 2),FALSE)),"",_xlfn.REGEXEXTRACT(CELL("address",AL131), "\$([A-Z]+)\$[0-9]+"))),_xlfn.REGEXEXTRACT(CELL("address",AL131), "\$([A-Z]+)\$[0-9]+"))</f>
        <v/>
      </c>
      <c r="AM131" s="7" t="str">
        <f t="array" aca="1" ref="AM131" ca="1">IFERROR(IF(OR('Raw Data'!AM131="",LEN(TRIM('Raw Data'!AM131))=0),"",IF(AND(ISNUMBER('Raw Data'!AM131), IFERROR('Raw Data'!AM131 = ROUND('Raw Data'!AM131, 2),FALSE)),"",_xlfn.REGEXEXTRACT(CELL("address",AM131), "\$([A-Z]+)\$[0-9]+"))),_xlfn.REGEXEXTRACT(CELL("address",AM131), "\$([A-Z]+)\$[0-9]+"))</f>
        <v/>
      </c>
      <c r="AN131" s="7" t="str">
        <f t="array" aca="1" ref="AN131" ca="1">IFERROR(IF(OR('Raw Data'!AN131="",LEN(TRIM('Raw Data'!AN131))=0),"",IF(AND(ISNUMBER('Raw Data'!AN131), IFERROR('Raw Data'!AN131 = ROUND('Raw Data'!AN131, 2),FALSE)),"",_xlfn.REGEXEXTRACT(CELL("address",AN131), "\$([A-Z]+)\$[0-9]+"))),_xlfn.REGEXEXTRACT(CELL("address",AN131), "\$([A-Z]+)\$[0-9]+"))</f>
        <v/>
      </c>
      <c r="AO131" s="7" t="str">
        <f t="array" aca="1" ref="AO131" ca="1">IFERROR(IF(OR('Raw Data'!AO131="",LEN(TRIM('Raw Data'!AO131))=0),"",IF(AND(ISNUMBER('Raw Data'!AO131), IFERROR('Raw Data'!AO131 = ROUND('Raw Data'!AO131, 2),FALSE)),"",_xlfn.REGEXEXTRACT(CELL("address",AO131), "\$([A-Z]+)\$[0-9]+"))),_xlfn.REGEXEXTRACT(CELL("address",AO131), "\$([A-Z]+)\$[0-9]+"))</f>
        <v/>
      </c>
      <c r="AP131" s="7" t="str">
        <f t="array" aca="1" ref="AP131" ca="1">IFERROR(IF(OR('Raw Data'!AP131="",LEN(TRIM('Raw Data'!AP131))=0),"",IF(AND(ISNUMBER('Raw Data'!AP131), IFERROR('Raw Data'!AP131 = ROUND('Raw Data'!AP131, 2),FALSE)),"",_xlfn.REGEXEXTRACT(CELL("address",AP131), "\$([A-Z]+)\$[0-9]+"))),_xlfn.REGEXEXTRACT(CELL("address",AP131), "\$([A-Z]+)\$[0-9]+"))</f>
        <v/>
      </c>
    </row>
    <row r="132" spans="2:42" x14ac:dyDescent="0.25">
      <c r="B132" s="7" t="str">
        <f t="array" aca="1" ref="B132" ca="1">IFERROR(IF(OR('Raw Data'!B132="",LEN(TRIM('Raw Data'!B132))=0),"",IF(AND(LEN('Raw Data'!B132) &lt;= 255,LEN('Raw Data'!B132)&gt; 0),"",_xlfn.REGEXEXTRACT(CELL("address",'Raw Data'!B132),"\$([A-Z]+)\$[0-9]+"))),_xlfn.REGEXEXTRACT(CELL("address",'Raw Data'!B132),"\$([A-Z]+)\$[0-9]+"))</f>
        <v/>
      </c>
      <c r="C132" s="7" t="str">
        <f t="array" aca="1" ref="C132" ca="1">IFERROR(IF(OR('Raw Data'!C132="",LEN(TRIM('Raw Data'!C132))=0),"",IF(AND(LEN('Raw Data'!C132) &lt;= 50,LEN('Raw Data'!C132)&gt; 0),"",_xlfn.REGEXEXTRACT(CELL("address",'Raw Data'!C132),"\$([A-Z]+)\$[0-9]+"))),_xlfn.REGEXEXTRACT(CELL("address",'Raw Data'!C132),"\$([A-Z]+)\$[0-9]+"))</f>
        <v/>
      </c>
      <c r="D132" s="7" t="str">
        <f t="array" aca="1" ref="D132" ca="1">IFERROR(IF(OR('Raw Data'!D132="",LEN(TRIM('Raw Data'!D132))=0),"",IF(AND(LEN('Raw Data'!D132) &lt;= 500,LEN('Raw Data'!D132)&gt; 0),"",_xlfn.REGEXEXTRACT(CELL("address",'Raw Data'!D132),"\$([A-Z]+)\$[0-9]+"))),_xlfn.REGEXEXTRACT(CELL("address",'Raw Data'!D132),"\$([A-Z]+)\$[0-9]+"))</f>
        <v/>
      </c>
      <c r="E132" s="7" t="str">
        <f t="array" aca="1" ref="E132" ca="1">IFERROR(IF(OR('Raw Data'!E132="",LEN(TRIM('Raw Data'!E132))=0),"",IF(AND(LEN('Raw Data'!E132) &lt;= 50,LEN('Raw Data'!E132)&gt; 0),"",_xlfn.REGEXEXTRACT(CELL("address",'Raw Data'!E132),"\$([A-Z]+)\$[0-9]+"))),_xlfn.REGEXEXTRACT(CELL("address",'Raw Data'!E132),"\$([A-Z]+)\$[0-9]+"))</f>
        <v/>
      </c>
      <c r="F132" s="7" t="str">
        <f t="array" aca="1" ref="F132" ca="1">IFERROR(IF(OR('Raw Data'!F132="",LEN(TRIM('Raw Data'!F132))=0),"",IF(AND(LEN('Raw Data'!F132) &lt;= 50,LEN('Raw Data'!F132)&gt; 0),"",_xlfn.REGEXEXTRACT(CELL("address",'Raw Data'!F132),"\$([A-Z]+)\$[0-9]+"))),_xlfn.REGEXEXTRACT(CELL("address",'Raw Data'!F132),"\$([A-Z]+)\$[0-9]+"))</f>
        <v/>
      </c>
      <c r="G132" s="7" t="str">
        <f t="array" aca="1" ref="G132" ca="1">IFERROR(IF(OR('Raw Data'!G132="",LEN(TRIM('Raw Data'!G132))=0),"",IF(AND(LEN('Raw Data'!G132) &lt;= 50,LEN('Raw Data'!G132)&gt; 0),"",_xlfn.REGEXEXTRACT(CELL("address",'Raw Data'!G132),"\$([A-Z]+)\$[0-9]+"))),_xlfn.REGEXEXTRACT(CELL("address",'Raw Data'!G132),"\$([A-Z]+)\$[0-9]+"))</f>
        <v/>
      </c>
      <c r="H132" s="7" t="str">
        <f t="array" aca="1" ref="H132" ca="1">IFERROR(IF(OR('Raw Data'!H132="",LEN(TRIM('Raw Data'!H132))=0),"",IF(AND(LEN('Raw Data'!H132) &lt;= 50,LEN('Raw Data'!H132)&gt; 0),"",_xlfn.REGEXEXTRACT(CELL("address",'Raw Data'!H132),"\$([A-Z]+)\$[0-9]+"))),_xlfn.REGEXEXTRACT(CELL("address",'Raw Data'!H132),"\$([A-Z]+)\$[0-9]+"))</f>
        <v/>
      </c>
      <c r="I132" s="7" t="str">
        <f t="array" aca="1" ref="I132" ca="1">IFERROR(IF(OR('Raw Data'!I132="",LEN(TRIM('Raw Data'!I132))=0),"",IF(AND(LEN('Raw Data'!I132) &lt;= 50,LEN('Raw Data'!I132)&gt; 0),"",_xlfn.REGEXEXTRACT(CELL("address",'Raw Data'!I132),"\$([A-Z]+)\$[0-9]+"))),_xlfn.REGEXEXTRACT(CELL("address",'Raw Data'!I132),"\$([A-Z]+)\$[0-9]+"))</f>
        <v/>
      </c>
      <c r="J132" s="7" t="str">
        <f t="array" aca="1" ref="J132" ca="1">IFERROR(IF(OR('Raw Data'!J132="",LEN(TRIM('Raw Data'!J132))=0),"",IF(AND(ISNUMBER('Raw Data'!J132), IFERROR('Raw Data'!J132 = ROUND('Raw Data'!J132, 2),FALSE)),"",_xlfn.REGEXEXTRACT(CELL("address",J132), "\$([A-Z]+)\$[0-9]+"))),_xlfn.REGEXEXTRACT(CELL("address",J132), "\$([A-Z]+)\$[0-9]+"))</f>
        <v/>
      </c>
      <c r="K132" s="7" t="str">
        <f t="array" aca="1" ref="K132" ca="1">IFERROR(IF(OR('Raw Data'!K132="",LEN(TRIM('Raw Data'!K132))=0),"",IF(AND(ISNUMBER('Raw Data'!K132), IFERROR('Raw Data'!K132 = ROUND('Raw Data'!K132, 2),FALSE)),"",_xlfn.REGEXEXTRACT(CELL("address",K132), "\$([A-Z]+)\$[0-9]+"))),_xlfn.REGEXEXTRACT(CELL("address",K132), "\$([A-Z]+)\$[0-9]+"))</f>
        <v/>
      </c>
      <c r="L132" s="7" t="str">
        <f t="array" aca="1" ref="L132" ca="1">IFERROR(IF(OR('Raw Data'!L132="",LEN(TRIM('Raw Data'!L132))=0),"",IF(AND(ISNUMBER('Raw Data'!L132), IFERROR('Raw Data'!L132 = ROUND('Raw Data'!L132, 2),FALSE)),"",_xlfn.REGEXEXTRACT(CELL("address",L132), "\$([A-Z]+)\$[0-9]+"))),_xlfn.REGEXEXTRACT(CELL("address",L132), "\$([A-Z]+)\$[0-9]+"))</f>
        <v/>
      </c>
      <c r="M132" s="7" t="str">
        <f t="array" aca="1" ref="M132" ca="1">IFERROR(IF(OR('Raw Data'!M132="",LEN(TRIM('Raw Data'!M132))=0),"",IF(AND(ISNUMBER('Raw Data'!M132), IFERROR('Raw Data'!M132 = ROUND('Raw Data'!M132, 2),FALSE)),"",_xlfn.REGEXEXTRACT(CELL("address",M132), "\$([A-Z]+)\$[0-9]+"))),_xlfn.REGEXEXTRACT(CELL("address",M132), "\$([A-Z]+)\$[0-9]+"))</f>
        <v/>
      </c>
      <c r="N132" s="7" t="str">
        <f t="array" aca="1" ref="N132" ca="1">IFERROR(IF(OR('Raw Data'!N132="",LEN(TRIM('Raw Data'!N132))=0),"",IF(AND(ISNUMBER('Raw Data'!N132), IFERROR('Raw Data'!N132 = ROUND('Raw Data'!N132, 2),FALSE)),"",_xlfn.REGEXEXTRACT(CELL("address",N132), "\$([A-Z]+)\$[0-9]+"))),_xlfn.REGEXEXTRACT(CELL("address",N132), "\$([A-Z]+)\$[0-9]+"))</f>
        <v/>
      </c>
      <c r="O132" s="7" t="str">
        <f t="array" aca="1" ref="O132" ca="1">IFERROR(IF(OR('Raw Data'!O132="",LEN(TRIM('Raw Data'!O132))=0),"",IF(AND(ISNUMBER('Raw Data'!O132),'Raw Data'!O132&gt;=Configuration!$D$2),"",_xlfn.REGEXEXTRACT(CELL("address",'Raw Data'!O132),"\$([A-Z]+)\$[0-9]+"))),_xlfn.REGEXEXTRACT(CELL("address",O132), "\$([A-Z]+)\$[0-9]+"))</f>
        <v/>
      </c>
      <c r="P132" s="7" t="str">
        <f t="array" aca="1" ref="P132" ca="1">IFERROR(IF(OR('Raw Data'!P132="",LEN(TRIM('Raw Data'!P132))=0),"",IF(AND(ISNUMBER('Raw Data'!P132), IFERROR('Raw Data'!P132 = ROUND('Raw Data'!P132, 2),FALSE)),"",_xlfn.REGEXEXTRACT(CELL("address",P132), "\$([A-Z]+)\$[0-9]+"))),_xlfn.REGEXEXTRACT(CELL("address",P132), "\$([A-Z]+)\$[0-9]+"))</f>
        <v/>
      </c>
      <c r="Q132" s="7" t="str">
        <f t="array" aca="1" ref="Q132" ca="1">IFERROR(IF(OR('Raw Data'!Q132="",LEN(TRIM('Raw Data'!Q132))=0),"",IF(AND(ISNUMBER('Raw Data'!Q132), IFERROR('Raw Data'!Q132 = ROUND('Raw Data'!Q132, 2),FALSE)),"",_xlfn.REGEXEXTRACT(CELL("address",Q132), "\$([A-Z]+)\$[0-9]+"))),_xlfn.REGEXEXTRACT(CELL("address",Q132), "\$([A-Z]+)\$[0-9]+"))</f>
        <v/>
      </c>
      <c r="R132" s="7" t="str">
        <f t="array" aca="1" ref="R132" ca="1">IFERROR(IF(OR('Raw Data'!R132="",LEN(TRIM('Raw Data'!R132))=0),"",IF(AND(LEN('Raw Data'!R132) &lt;= 50,LEN('Raw Data'!R132)&gt; 0),"",_xlfn.REGEXEXTRACT(CELL("address",'Raw Data'!R132),"\$([A-Z]+)\$[0-9]+"))),_xlfn.REGEXEXTRACT(CELL("address",'Raw Data'!R132),"\$([A-Z]+)\$[0-9]+"))</f>
        <v/>
      </c>
      <c r="S132" s="7" t="str">
        <f t="array" aca="1" ref="S132" ca="1">IFERROR(IF(OR('Raw Data'!S132="",LEN(TRIM('Raw Data'!S132))=0),"",IF(AND(LEN('Raw Data'!S132) &lt;= 50,LEN('Raw Data'!S132)&gt; 0),"",_xlfn.REGEXEXTRACT(CELL("address",'Raw Data'!S132),"\$([A-Z]+)\$[0-9]+"))),_xlfn.REGEXEXTRACT(CELL("address",'Raw Data'!S132),"\$([A-Z]+)\$[0-9]+"))</f>
        <v/>
      </c>
      <c r="T132" s="7" t="str">
        <f t="array" aca="1" ref="T132" ca="1">IFERROR(IF(OR('Raw Data'!T132="",LEN(TRIM('Raw Data'!T132))=0),"",IF(AND(ISNUMBER('Raw Data'!T132), IFERROR('Raw Data'!T132 = ROUND('Raw Data'!T132, 2),FALSE)),"",_xlfn.REGEXEXTRACT(CELL("address",T132), "\$([A-Z]+)\$[0-9]+"))),_xlfn.REGEXEXTRACT(CELL("address",T132), "\$([A-Z]+)\$[0-9]+"))</f>
        <v/>
      </c>
      <c r="U132" s="7" t="str">
        <f t="array" aca="1" ref="U132" ca="1">IFERROR(IF(OR('Raw Data'!U132="",LEN(TRIM('Raw Data'!U132))=0),"",IF(AND(ISNUMBER('Raw Data'!U132), IFERROR('Raw Data'!U132 = ROUND('Raw Data'!U132, 2),FALSE)),"",_xlfn.REGEXEXTRACT(CELL("address",U132), "\$([A-Z]+)\$[0-9]+"))),_xlfn.REGEXEXTRACT(CELL("address",U132), "\$([A-Z]+)\$[0-9]+"))</f>
        <v/>
      </c>
      <c r="V132" s="7" t="str">
        <f t="array" aca="1" ref="V132" ca="1">IFERROR(IF(OR('Raw Data'!V132="",LEN(TRIM('Raw Data'!V132))=0),"",IF(AND(ISNUMBER('Raw Data'!V132), IFERROR('Raw Data'!V132 = ROUND('Raw Data'!V132, 2),FALSE)),"",_xlfn.REGEXEXTRACT(CELL("address",V132), "\$([A-Z]+)\$[0-9]+"))),_xlfn.REGEXEXTRACT(CELL("address",V132), "\$([A-Z]+)\$[0-9]+"))</f>
        <v/>
      </c>
      <c r="W132" s="7" t="str">
        <f t="array" aca="1" ref="W132" ca="1">IFERROR(IF(OR('Raw Data'!W132="",LEN(TRIM('Raw Data'!W132))=0),"",IF(AND(ISNUMBER('Raw Data'!W132), IFERROR('Raw Data'!W132 = ROUND('Raw Data'!W132, 2),FALSE)),"",_xlfn.REGEXEXTRACT(CELL("address",W132), "\$([A-Z]+)\$[0-9]+"))),_xlfn.REGEXEXTRACT(CELL("address",W132), "\$([A-Z]+)\$[0-9]+"))</f>
        <v/>
      </c>
      <c r="X132" s="7" t="str">
        <f t="array" aca="1" ref="X132" ca="1">IFERROR(IF(OR('Raw Data'!X132="",LEN(TRIM('Raw Data'!X132))=0),"",IF(AND(ISNUMBER('Raw Data'!X132), IFERROR('Raw Data'!X132 = ROUND('Raw Data'!X132, 2),FALSE)),"",_xlfn.REGEXEXTRACT(CELL("address",X132), "\$([A-Z]+)\$[0-9]+"))),_xlfn.REGEXEXTRACT(CELL("address",X132), "\$([A-Z]+)\$[0-9]+"))</f>
        <v/>
      </c>
      <c r="Y132" s="7" t="str">
        <f t="array" aca="1" ref="Y132" ca="1">IFERROR(IF(OR('Raw Data'!Y132="",LEN(TRIM('Raw Data'!Y132))=0),"",IF(AND(ISNUMBER('Raw Data'!Y132), IFERROR('Raw Data'!Y132 = ROUND('Raw Data'!Y132, 2),FALSE)),"",_xlfn.REGEXEXTRACT(CELL("address",Y132), "\$([A-Z]+)\$[0-9]+"))),_xlfn.REGEXEXTRACT(CELL("address",Y132), "\$([A-Z]+)\$[0-9]+"))</f>
        <v/>
      </c>
      <c r="Z132" s="7" t="str">
        <f t="array" aca="1" ref="Z132" ca="1">IFERROR(IF(OR('Raw Data'!Z132="",LEN(TRIM('Raw Data'!Z132))=0),"",IF(AND(ISNUMBER('Raw Data'!Z132), IFERROR('Raw Data'!Z132 = ROUND('Raw Data'!Z132, 2),FALSE)),"",_xlfn.REGEXEXTRACT(CELL("address",Z132), "\$([A-Z]+)\$[0-9]+"))),_xlfn.REGEXEXTRACT(CELL("address",Z132), "\$([A-Z]+)\$[0-9]+"))</f>
        <v/>
      </c>
      <c r="AA132" s="7" t="str">
        <f t="array" aca="1" ref="AA132" ca="1">IFERROR(IF(OR('Raw Data'!AA132="",LEN(TRIM('Raw Data'!AA132))=0),"",IF(AND(ISNUMBER('Raw Data'!AA132), IFERROR('Raw Data'!AA132 = ROUND('Raw Data'!AA132, 2),FALSE)),"",_xlfn.REGEXEXTRACT(CELL("address",AA132), "\$([A-Z]+)\$[0-9]+"))),_xlfn.REGEXEXTRACT(CELL("address",AA132), "\$([A-Z]+)\$[0-9]+"))</f>
        <v/>
      </c>
      <c r="AB132" s="7" t="str">
        <f t="array" aca="1" ref="AB132" ca="1">IFERROR(IF(OR('Raw Data'!AB132="",LEN(TRIM('Raw Data'!AB132))=0),"",IF(AND(ISNUMBER('Raw Data'!AB132), IFERROR('Raw Data'!AB132 = ROUND('Raw Data'!AB132, 2),FALSE)),"",_xlfn.REGEXEXTRACT(CELL("address",AB132), "\$([A-Z]+)\$[0-9]+"))),_xlfn.REGEXEXTRACT(CELL("address",AB132), "\$([A-Z]+)\$[0-9]+"))</f>
        <v/>
      </c>
      <c r="AC132" s="7" t="str">
        <f t="array" aca="1" ref="AC132" ca="1">IFERROR(IF(OR('Raw Data'!AC132="",LEN(TRIM('Raw Data'!AC132))=0),"",IF(AND(ISNUMBER('Raw Data'!AC132), IFERROR('Raw Data'!AC132 = ROUND('Raw Data'!AC132, 2),FALSE)),"",_xlfn.REGEXEXTRACT(CELL("address",AC132), "\$([A-Z]+)\$[0-9]+"))),_xlfn.REGEXEXTRACT(CELL("address",AC132), "\$([A-Z]+)\$[0-9]+"))</f>
        <v/>
      </c>
      <c r="AD132" s="7" t="str">
        <f t="array" aca="1" ref="AD132" ca="1">IFERROR(IF(OR('Raw Data'!AD132="",LEN(TRIM('Raw Data'!AD132))=0),"",IF(AND(ISNUMBER('Raw Data'!AD132), IFERROR('Raw Data'!AD132 = ROUND('Raw Data'!AD132, 2),FALSE)),"",_xlfn.REGEXEXTRACT(CELL("address",AD132), "\$([A-Z]+)\$[0-9]+"))),_xlfn.REGEXEXTRACT(CELL("address",AD132), "\$([A-Z]+)\$[0-9]+"))</f>
        <v/>
      </c>
      <c r="AE132" s="7" t="str">
        <f t="array" aca="1" ref="AE132" ca="1">IFERROR(IF(OR('Raw Data'!AE132="",LEN(TRIM('Raw Data'!AE132))=0),"",IF(AND(ISNUMBER('Raw Data'!AE132), IFERROR('Raw Data'!AE132 = ROUND('Raw Data'!AE132, 2),FALSE)),"",_xlfn.REGEXEXTRACT(CELL("address",AE132), "\$([A-Z]+)\$[0-9]+"))),_xlfn.REGEXEXTRACT(CELL("address",AE132), "\$([A-Z]+)\$[0-9]+"))</f>
        <v/>
      </c>
      <c r="AF132" s="7" t="str">
        <f t="array" aca="1" ref="AF132" ca="1">IFERROR(IF(OR('Raw Data'!AF132="",LEN(TRIM('Raw Data'!AF132))=0),"",IF(AND(ISNUMBER('Raw Data'!AF132), IFERROR('Raw Data'!AF132 = ROUND('Raw Data'!AF132, 2),FALSE)),"",_xlfn.REGEXEXTRACT(CELL("address",AF132), "\$([A-Z]+)\$[0-9]+"))),_xlfn.REGEXEXTRACT(CELL("address",AF132), "\$([A-Z]+)\$[0-9]+"))</f>
        <v/>
      </c>
      <c r="AG132" s="7" t="str">
        <f t="array" aca="1" ref="AG132" ca="1">IFERROR(IF(OR('Raw Data'!AG132="",LEN(TRIM('Raw Data'!AG132))=0),"",IF(AND(ISNUMBER('Raw Data'!AG132), IFERROR('Raw Data'!AG132 = ROUND('Raw Data'!AG132, 2),FALSE)),"",_xlfn.REGEXEXTRACT(CELL("address",AG132), "\$([A-Z]+)\$[0-9]+"))),_xlfn.REGEXEXTRACT(CELL("address",AG132), "\$([A-Z]+)\$[0-9]+"))</f>
        <v/>
      </c>
      <c r="AH132" s="7" t="str">
        <f t="array" aca="1" ref="AH132" ca="1">IFERROR(IF(OR('Raw Data'!AH132="",LEN(TRIM('Raw Data'!AH132))=0),"",IF(AND(ISNUMBER('Raw Data'!AH132), IFERROR('Raw Data'!AH132 = ROUND('Raw Data'!AH132, 2),FALSE)),"",_xlfn.REGEXEXTRACT(CELL("address",AH132), "\$([A-Z]+)\$[0-9]+"))),_xlfn.REGEXEXTRACT(CELL("address",AH132), "\$([A-Z]+)\$[0-9]+"))</f>
        <v/>
      </c>
      <c r="AI132" s="7" t="str">
        <f t="array" aca="1" ref="AI132" ca="1">IFERROR(IF(OR('Raw Data'!AI132="",LEN(TRIM('Raw Data'!AI132))=0),"",IF(AND(ISNUMBER('Raw Data'!AI132), IFERROR('Raw Data'!AI132 = ROUND('Raw Data'!AI132, 2),FALSE)),"",_xlfn.REGEXEXTRACT(CELL("address",AI132), "\$([A-Z]+)\$[0-9]+"))),_xlfn.REGEXEXTRACT(CELL("address",AI132), "\$([A-Z]+)\$[0-9]+"))</f>
        <v/>
      </c>
      <c r="AJ132" s="7" t="str">
        <f t="array" aca="1" ref="AJ132" ca="1">IFERROR(IF(OR('Raw Data'!AJ132="",LEN(TRIM('Raw Data'!AJ132))=0),"",IF(AND(ISNUMBER('Raw Data'!AJ132), IFERROR('Raw Data'!AJ132 = ROUND('Raw Data'!AJ132, 4),FALSE)),"",_xlfn.REGEXEXTRACT(CELL("address",AJ132), "\$([A-Z]+)\$[0-9]+"))),_xlfn.REGEXEXTRACT(CELL("address",AJ132), "\$([A-Z]+)\$[0-9]+"))</f>
        <v/>
      </c>
      <c r="AK132" s="7" t="str">
        <f t="array" aca="1" ref="AK132" ca="1">IFERROR(IF(OR('Raw Data'!AK132="",LEN(TRIM('Raw Data'!AK132))=0),"",IF(AND(ISNUMBER('Raw Data'!AK132), IFERROR('Raw Data'!AK132 = ROUND('Raw Data'!AK132, 2),FALSE)),"",_xlfn.REGEXEXTRACT(CELL("address",AK132), "\$([A-Z]+)\$[0-9]+"))),_xlfn.REGEXEXTRACT(CELL("address",AK132), "\$([A-Z]+)\$[0-9]+"))</f>
        <v/>
      </c>
      <c r="AL132" s="7" t="str">
        <f t="array" aca="1" ref="AL132" ca="1">IFERROR(IF(OR('Raw Data'!AL132="",LEN(TRIM('Raw Data'!AL132))=0),"",IF(AND(ISNUMBER('Raw Data'!AL132), IFERROR('Raw Data'!AL132 = ROUND('Raw Data'!AL132, 2),FALSE)),"",_xlfn.REGEXEXTRACT(CELL("address",AL132), "\$([A-Z]+)\$[0-9]+"))),_xlfn.REGEXEXTRACT(CELL("address",AL132), "\$([A-Z]+)\$[0-9]+"))</f>
        <v/>
      </c>
      <c r="AM132" s="7" t="str">
        <f t="array" aca="1" ref="AM132" ca="1">IFERROR(IF(OR('Raw Data'!AM132="",LEN(TRIM('Raw Data'!AM132))=0),"",IF(AND(ISNUMBER('Raw Data'!AM132), IFERROR('Raw Data'!AM132 = ROUND('Raw Data'!AM132, 2),FALSE)),"",_xlfn.REGEXEXTRACT(CELL("address",AM132), "\$([A-Z]+)\$[0-9]+"))),_xlfn.REGEXEXTRACT(CELL("address",AM132), "\$([A-Z]+)\$[0-9]+"))</f>
        <v/>
      </c>
      <c r="AN132" s="7" t="str">
        <f t="array" aca="1" ref="AN132" ca="1">IFERROR(IF(OR('Raw Data'!AN132="",LEN(TRIM('Raw Data'!AN132))=0),"",IF(AND(ISNUMBER('Raw Data'!AN132), IFERROR('Raw Data'!AN132 = ROUND('Raw Data'!AN132, 2),FALSE)),"",_xlfn.REGEXEXTRACT(CELL("address",AN132), "\$([A-Z]+)\$[0-9]+"))),_xlfn.REGEXEXTRACT(CELL("address",AN132), "\$([A-Z]+)\$[0-9]+"))</f>
        <v/>
      </c>
      <c r="AO132" s="7" t="str">
        <f t="array" aca="1" ref="AO132" ca="1">IFERROR(IF(OR('Raw Data'!AO132="",LEN(TRIM('Raw Data'!AO132))=0),"",IF(AND(ISNUMBER('Raw Data'!AO132), IFERROR('Raw Data'!AO132 = ROUND('Raw Data'!AO132, 2),FALSE)),"",_xlfn.REGEXEXTRACT(CELL("address",AO132), "\$([A-Z]+)\$[0-9]+"))),_xlfn.REGEXEXTRACT(CELL("address",AO132), "\$([A-Z]+)\$[0-9]+"))</f>
        <v/>
      </c>
      <c r="AP132" s="7" t="str">
        <f t="array" aca="1" ref="AP132" ca="1">IFERROR(IF(OR('Raw Data'!AP132="",LEN(TRIM('Raw Data'!AP132))=0),"",IF(AND(ISNUMBER('Raw Data'!AP132), IFERROR('Raw Data'!AP132 = ROUND('Raw Data'!AP132, 2),FALSE)),"",_xlfn.REGEXEXTRACT(CELL("address",AP132), "\$([A-Z]+)\$[0-9]+"))),_xlfn.REGEXEXTRACT(CELL("address",AP132), "\$([A-Z]+)\$[0-9]+"))</f>
        <v/>
      </c>
    </row>
    <row r="133" spans="2:42" x14ac:dyDescent="0.25">
      <c r="B133" s="7" t="str">
        <f t="array" aca="1" ref="B133" ca="1">IFERROR(IF(OR('Raw Data'!B133="",LEN(TRIM('Raw Data'!B133))=0),"",IF(AND(LEN('Raw Data'!B133) &lt;= 255,LEN('Raw Data'!B133)&gt; 0),"",_xlfn.REGEXEXTRACT(CELL("address",'Raw Data'!B133),"\$([A-Z]+)\$[0-9]+"))),_xlfn.REGEXEXTRACT(CELL("address",'Raw Data'!B133),"\$([A-Z]+)\$[0-9]+"))</f>
        <v/>
      </c>
      <c r="C133" s="7" t="str">
        <f t="array" aca="1" ref="C133" ca="1">IFERROR(IF(OR('Raw Data'!C133="",LEN(TRIM('Raw Data'!C133))=0),"",IF(AND(LEN('Raw Data'!C133) &lt;= 50,LEN('Raw Data'!C133)&gt; 0),"",_xlfn.REGEXEXTRACT(CELL("address",'Raw Data'!C133),"\$([A-Z]+)\$[0-9]+"))),_xlfn.REGEXEXTRACT(CELL("address",'Raw Data'!C133),"\$([A-Z]+)\$[0-9]+"))</f>
        <v/>
      </c>
      <c r="D133" s="7" t="str">
        <f t="array" aca="1" ref="D133" ca="1">IFERROR(IF(OR('Raw Data'!D133="",LEN(TRIM('Raw Data'!D133))=0),"",IF(AND(LEN('Raw Data'!D133) &lt;= 500,LEN('Raw Data'!D133)&gt; 0),"",_xlfn.REGEXEXTRACT(CELL("address",'Raw Data'!D133),"\$([A-Z]+)\$[0-9]+"))),_xlfn.REGEXEXTRACT(CELL("address",'Raw Data'!D133),"\$([A-Z]+)\$[0-9]+"))</f>
        <v/>
      </c>
      <c r="E133" s="7" t="str">
        <f t="array" aca="1" ref="E133" ca="1">IFERROR(IF(OR('Raw Data'!E133="",LEN(TRIM('Raw Data'!E133))=0),"",IF(AND(LEN('Raw Data'!E133) &lt;= 50,LEN('Raw Data'!E133)&gt; 0),"",_xlfn.REGEXEXTRACT(CELL("address",'Raw Data'!E133),"\$([A-Z]+)\$[0-9]+"))),_xlfn.REGEXEXTRACT(CELL("address",'Raw Data'!E133),"\$([A-Z]+)\$[0-9]+"))</f>
        <v/>
      </c>
      <c r="F133" s="7" t="str">
        <f t="array" aca="1" ref="F133" ca="1">IFERROR(IF(OR('Raw Data'!F133="",LEN(TRIM('Raw Data'!F133))=0),"",IF(AND(LEN('Raw Data'!F133) &lt;= 50,LEN('Raw Data'!F133)&gt; 0),"",_xlfn.REGEXEXTRACT(CELL("address",'Raw Data'!F133),"\$([A-Z]+)\$[0-9]+"))),_xlfn.REGEXEXTRACT(CELL("address",'Raw Data'!F133),"\$([A-Z]+)\$[0-9]+"))</f>
        <v/>
      </c>
      <c r="G133" s="7" t="str">
        <f t="array" aca="1" ref="G133" ca="1">IFERROR(IF(OR('Raw Data'!G133="",LEN(TRIM('Raw Data'!G133))=0),"",IF(AND(LEN('Raw Data'!G133) &lt;= 50,LEN('Raw Data'!G133)&gt; 0),"",_xlfn.REGEXEXTRACT(CELL("address",'Raw Data'!G133),"\$([A-Z]+)\$[0-9]+"))),_xlfn.REGEXEXTRACT(CELL("address",'Raw Data'!G133),"\$([A-Z]+)\$[0-9]+"))</f>
        <v/>
      </c>
      <c r="H133" s="7" t="str">
        <f t="array" aca="1" ref="H133" ca="1">IFERROR(IF(OR('Raw Data'!H133="",LEN(TRIM('Raw Data'!H133))=0),"",IF(AND(LEN('Raw Data'!H133) &lt;= 50,LEN('Raw Data'!H133)&gt; 0),"",_xlfn.REGEXEXTRACT(CELL("address",'Raw Data'!H133),"\$([A-Z]+)\$[0-9]+"))),_xlfn.REGEXEXTRACT(CELL("address",'Raw Data'!H133),"\$([A-Z]+)\$[0-9]+"))</f>
        <v/>
      </c>
      <c r="I133" s="7" t="str">
        <f t="array" aca="1" ref="I133" ca="1">IFERROR(IF(OR('Raw Data'!I133="",LEN(TRIM('Raw Data'!I133))=0),"",IF(AND(LEN('Raw Data'!I133) &lt;= 50,LEN('Raw Data'!I133)&gt; 0),"",_xlfn.REGEXEXTRACT(CELL("address",'Raw Data'!I133),"\$([A-Z]+)\$[0-9]+"))),_xlfn.REGEXEXTRACT(CELL("address",'Raw Data'!I133),"\$([A-Z]+)\$[0-9]+"))</f>
        <v/>
      </c>
      <c r="J133" s="7" t="str">
        <f t="array" aca="1" ref="J133" ca="1">IFERROR(IF(OR('Raw Data'!J133="",LEN(TRIM('Raw Data'!J133))=0),"",IF(AND(ISNUMBER('Raw Data'!J133), IFERROR('Raw Data'!J133 = ROUND('Raw Data'!J133, 2),FALSE)),"",_xlfn.REGEXEXTRACT(CELL("address",J133), "\$([A-Z]+)\$[0-9]+"))),_xlfn.REGEXEXTRACT(CELL("address",J133), "\$([A-Z]+)\$[0-9]+"))</f>
        <v/>
      </c>
      <c r="K133" s="7" t="str">
        <f t="array" aca="1" ref="K133" ca="1">IFERROR(IF(OR('Raw Data'!K133="",LEN(TRIM('Raw Data'!K133))=0),"",IF(AND(ISNUMBER('Raw Data'!K133), IFERROR('Raw Data'!K133 = ROUND('Raw Data'!K133, 2),FALSE)),"",_xlfn.REGEXEXTRACT(CELL("address",K133), "\$([A-Z]+)\$[0-9]+"))),_xlfn.REGEXEXTRACT(CELL("address",K133), "\$([A-Z]+)\$[0-9]+"))</f>
        <v/>
      </c>
      <c r="L133" s="7" t="str">
        <f t="array" aca="1" ref="L133" ca="1">IFERROR(IF(OR('Raw Data'!L133="",LEN(TRIM('Raw Data'!L133))=0),"",IF(AND(ISNUMBER('Raw Data'!L133), IFERROR('Raw Data'!L133 = ROUND('Raw Data'!L133, 2),FALSE)),"",_xlfn.REGEXEXTRACT(CELL("address",L133), "\$([A-Z]+)\$[0-9]+"))),_xlfn.REGEXEXTRACT(CELL("address",L133), "\$([A-Z]+)\$[0-9]+"))</f>
        <v/>
      </c>
      <c r="M133" s="7" t="str">
        <f t="array" aca="1" ref="M133" ca="1">IFERROR(IF(OR('Raw Data'!M133="",LEN(TRIM('Raw Data'!M133))=0),"",IF(AND(ISNUMBER('Raw Data'!M133), IFERROR('Raw Data'!M133 = ROUND('Raw Data'!M133, 2),FALSE)),"",_xlfn.REGEXEXTRACT(CELL("address",M133), "\$([A-Z]+)\$[0-9]+"))),_xlfn.REGEXEXTRACT(CELL("address",M133), "\$([A-Z]+)\$[0-9]+"))</f>
        <v/>
      </c>
      <c r="N133" s="7" t="str">
        <f t="array" aca="1" ref="N133" ca="1">IFERROR(IF(OR('Raw Data'!N133="",LEN(TRIM('Raw Data'!N133))=0),"",IF(AND(ISNUMBER('Raw Data'!N133), IFERROR('Raw Data'!N133 = ROUND('Raw Data'!N133, 2),FALSE)),"",_xlfn.REGEXEXTRACT(CELL("address",N133), "\$([A-Z]+)\$[0-9]+"))),_xlfn.REGEXEXTRACT(CELL("address",N133), "\$([A-Z]+)\$[0-9]+"))</f>
        <v/>
      </c>
      <c r="O133" s="7" t="str">
        <f t="array" aca="1" ref="O133" ca="1">IFERROR(IF(OR('Raw Data'!O133="",LEN(TRIM('Raw Data'!O133))=0),"",IF(AND(ISNUMBER('Raw Data'!O133),'Raw Data'!O133&gt;=Configuration!$D$2),"",_xlfn.REGEXEXTRACT(CELL("address",'Raw Data'!O133),"\$([A-Z]+)\$[0-9]+"))),_xlfn.REGEXEXTRACT(CELL("address",O133), "\$([A-Z]+)\$[0-9]+"))</f>
        <v/>
      </c>
      <c r="P133" s="7" t="str">
        <f t="array" aca="1" ref="P133" ca="1">IFERROR(IF(OR('Raw Data'!P133="",LEN(TRIM('Raw Data'!P133))=0),"",IF(AND(ISNUMBER('Raw Data'!P133), IFERROR('Raw Data'!P133 = ROUND('Raw Data'!P133, 2),FALSE)),"",_xlfn.REGEXEXTRACT(CELL("address",P133), "\$([A-Z]+)\$[0-9]+"))),_xlfn.REGEXEXTRACT(CELL("address",P133), "\$([A-Z]+)\$[0-9]+"))</f>
        <v/>
      </c>
      <c r="Q133" s="7" t="str">
        <f t="array" aca="1" ref="Q133" ca="1">IFERROR(IF(OR('Raw Data'!Q133="",LEN(TRIM('Raw Data'!Q133))=0),"",IF(AND(ISNUMBER('Raw Data'!Q133), IFERROR('Raw Data'!Q133 = ROUND('Raw Data'!Q133, 2),FALSE)),"",_xlfn.REGEXEXTRACT(CELL("address",Q133), "\$([A-Z]+)\$[0-9]+"))),_xlfn.REGEXEXTRACT(CELL("address",Q133), "\$([A-Z]+)\$[0-9]+"))</f>
        <v/>
      </c>
      <c r="R133" s="7" t="str">
        <f t="array" aca="1" ref="R133" ca="1">IFERROR(IF(OR('Raw Data'!R133="",LEN(TRIM('Raw Data'!R133))=0),"",IF(AND(LEN('Raw Data'!R133) &lt;= 50,LEN('Raw Data'!R133)&gt; 0),"",_xlfn.REGEXEXTRACT(CELL("address",'Raw Data'!R133),"\$([A-Z]+)\$[0-9]+"))),_xlfn.REGEXEXTRACT(CELL("address",'Raw Data'!R133),"\$([A-Z]+)\$[0-9]+"))</f>
        <v/>
      </c>
      <c r="S133" s="7" t="str">
        <f t="array" aca="1" ref="S133" ca="1">IFERROR(IF(OR('Raw Data'!S133="",LEN(TRIM('Raw Data'!S133))=0),"",IF(AND(LEN('Raw Data'!S133) &lt;= 50,LEN('Raw Data'!S133)&gt; 0),"",_xlfn.REGEXEXTRACT(CELL("address",'Raw Data'!S133),"\$([A-Z]+)\$[0-9]+"))),_xlfn.REGEXEXTRACT(CELL("address",'Raw Data'!S133),"\$([A-Z]+)\$[0-9]+"))</f>
        <v/>
      </c>
      <c r="T133" s="7" t="str">
        <f t="array" aca="1" ref="T133" ca="1">IFERROR(IF(OR('Raw Data'!T133="",LEN(TRIM('Raw Data'!T133))=0),"",IF(AND(ISNUMBER('Raw Data'!T133), IFERROR('Raw Data'!T133 = ROUND('Raw Data'!T133, 2),FALSE)),"",_xlfn.REGEXEXTRACT(CELL("address",T133), "\$([A-Z]+)\$[0-9]+"))),_xlfn.REGEXEXTRACT(CELL("address",T133), "\$([A-Z]+)\$[0-9]+"))</f>
        <v/>
      </c>
      <c r="U133" s="7" t="str">
        <f t="array" aca="1" ref="U133" ca="1">IFERROR(IF(OR('Raw Data'!U133="",LEN(TRIM('Raw Data'!U133))=0),"",IF(AND(ISNUMBER('Raw Data'!U133), IFERROR('Raw Data'!U133 = ROUND('Raw Data'!U133, 2),FALSE)),"",_xlfn.REGEXEXTRACT(CELL("address",U133), "\$([A-Z]+)\$[0-9]+"))),_xlfn.REGEXEXTRACT(CELL("address",U133), "\$([A-Z]+)\$[0-9]+"))</f>
        <v/>
      </c>
      <c r="V133" s="7" t="str">
        <f t="array" aca="1" ref="V133" ca="1">IFERROR(IF(OR('Raw Data'!V133="",LEN(TRIM('Raw Data'!V133))=0),"",IF(AND(ISNUMBER('Raw Data'!V133), IFERROR('Raw Data'!V133 = ROUND('Raw Data'!V133, 2),FALSE)),"",_xlfn.REGEXEXTRACT(CELL("address",V133), "\$([A-Z]+)\$[0-9]+"))),_xlfn.REGEXEXTRACT(CELL("address",V133), "\$([A-Z]+)\$[0-9]+"))</f>
        <v/>
      </c>
      <c r="W133" s="7" t="str">
        <f t="array" aca="1" ref="W133" ca="1">IFERROR(IF(OR('Raw Data'!W133="",LEN(TRIM('Raw Data'!W133))=0),"",IF(AND(ISNUMBER('Raw Data'!W133), IFERROR('Raw Data'!W133 = ROUND('Raw Data'!W133, 2),FALSE)),"",_xlfn.REGEXEXTRACT(CELL("address",W133), "\$([A-Z]+)\$[0-9]+"))),_xlfn.REGEXEXTRACT(CELL("address",W133), "\$([A-Z]+)\$[0-9]+"))</f>
        <v/>
      </c>
      <c r="X133" s="7" t="str">
        <f t="array" aca="1" ref="X133" ca="1">IFERROR(IF(OR('Raw Data'!X133="",LEN(TRIM('Raw Data'!X133))=0),"",IF(AND(ISNUMBER('Raw Data'!X133), IFERROR('Raw Data'!X133 = ROUND('Raw Data'!X133, 2),FALSE)),"",_xlfn.REGEXEXTRACT(CELL("address",X133), "\$([A-Z]+)\$[0-9]+"))),_xlfn.REGEXEXTRACT(CELL("address",X133), "\$([A-Z]+)\$[0-9]+"))</f>
        <v/>
      </c>
      <c r="Y133" s="7" t="str">
        <f t="array" aca="1" ref="Y133" ca="1">IFERROR(IF(OR('Raw Data'!Y133="",LEN(TRIM('Raw Data'!Y133))=0),"",IF(AND(ISNUMBER('Raw Data'!Y133), IFERROR('Raw Data'!Y133 = ROUND('Raw Data'!Y133, 2),FALSE)),"",_xlfn.REGEXEXTRACT(CELL("address",Y133), "\$([A-Z]+)\$[0-9]+"))),_xlfn.REGEXEXTRACT(CELL("address",Y133), "\$([A-Z]+)\$[0-9]+"))</f>
        <v/>
      </c>
      <c r="Z133" s="7" t="str">
        <f t="array" aca="1" ref="Z133" ca="1">IFERROR(IF(OR('Raw Data'!Z133="",LEN(TRIM('Raw Data'!Z133))=0),"",IF(AND(ISNUMBER('Raw Data'!Z133), IFERROR('Raw Data'!Z133 = ROUND('Raw Data'!Z133, 2),FALSE)),"",_xlfn.REGEXEXTRACT(CELL("address",Z133), "\$([A-Z]+)\$[0-9]+"))),_xlfn.REGEXEXTRACT(CELL("address",Z133), "\$([A-Z]+)\$[0-9]+"))</f>
        <v/>
      </c>
      <c r="AA133" s="7" t="str">
        <f t="array" aca="1" ref="AA133" ca="1">IFERROR(IF(OR('Raw Data'!AA133="",LEN(TRIM('Raw Data'!AA133))=0),"",IF(AND(ISNUMBER('Raw Data'!AA133), IFERROR('Raw Data'!AA133 = ROUND('Raw Data'!AA133, 2),FALSE)),"",_xlfn.REGEXEXTRACT(CELL("address",AA133), "\$([A-Z]+)\$[0-9]+"))),_xlfn.REGEXEXTRACT(CELL("address",AA133), "\$([A-Z]+)\$[0-9]+"))</f>
        <v/>
      </c>
      <c r="AB133" s="7" t="str">
        <f t="array" aca="1" ref="AB133" ca="1">IFERROR(IF(OR('Raw Data'!AB133="",LEN(TRIM('Raw Data'!AB133))=0),"",IF(AND(ISNUMBER('Raw Data'!AB133), IFERROR('Raw Data'!AB133 = ROUND('Raw Data'!AB133, 2),FALSE)),"",_xlfn.REGEXEXTRACT(CELL("address",AB133), "\$([A-Z]+)\$[0-9]+"))),_xlfn.REGEXEXTRACT(CELL("address",AB133), "\$([A-Z]+)\$[0-9]+"))</f>
        <v/>
      </c>
      <c r="AC133" s="7" t="str">
        <f t="array" aca="1" ref="AC133" ca="1">IFERROR(IF(OR('Raw Data'!AC133="",LEN(TRIM('Raw Data'!AC133))=0),"",IF(AND(ISNUMBER('Raw Data'!AC133), IFERROR('Raw Data'!AC133 = ROUND('Raw Data'!AC133, 2),FALSE)),"",_xlfn.REGEXEXTRACT(CELL("address",AC133), "\$([A-Z]+)\$[0-9]+"))),_xlfn.REGEXEXTRACT(CELL("address",AC133), "\$([A-Z]+)\$[0-9]+"))</f>
        <v/>
      </c>
      <c r="AD133" s="7" t="str">
        <f t="array" aca="1" ref="AD133" ca="1">IFERROR(IF(OR('Raw Data'!AD133="",LEN(TRIM('Raw Data'!AD133))=0),"",IF(AND(ISNUMBER('Raw Data'!AD133), IFERROR('Raw Data'!AD133 = ROUND('Raw Data'!AD133, 2),FALSE)),"",_xlfn.REGEXEXTRACT(CELL("address",AD133), "\$([A-Z]+)\$[0-9]+"))),_xlfn.REGEXEXTRACT(CELL("address",AD133), "\$([A-Z]+)\$[0-9]+"))</f>
        <v/>
      </c>
      <c r="AE133" s="7" t="str">
        <f t="array" aca="1" ref="AE133" ca="1">IFERROR(IF(OR('Raw Data'!AE133="",LEN(TRIM('Raw Data'!AE133))=0),"",IF(AND(ISNUMBER('Raw Data'!AE133), IFERROR('Raw Data'!AE133 = ROUND('Raw Data'!AE133, 2),FALSE)),"",_xlfn.REGEXEXTRACT(CELL("address",AE133), "\$([A-Z]+)\$[0-9]+"))),_xlfn.REGEXEXTRACT(CELL("address",AE133), "\$([A-Z]+)\$[0-9]+"))</f>
        <v/>
      </c>
      <c r="AF133" s="7" t="str">
        <f t="array" aca="1" ref="AF133" ca="1">IFERROR(IF(OR('Raw Data'!AF133="",LEN(TRIM('Raw Data'!AF133))=0),"",IF(AND(ISNUMBER('Raw Data'!AF133), IFERROR('Raw Data'!AF133 = ROUND('Raw Data'!AF133, 2),FALSE)),"",_xlfn.REGEXEXTRACT(CELL("address",AF133), "\$([A-Z]+)\$[0-9]+"))),_xlfn.REGEXEXTRACT(CELL("address",AF133), "\$([A-Z]+)\$[0-9]+"))</f>
        <v/>
      </c>
      <c r="AG133" s="7" t="str">
        <f t="array" aca="1" ref="AG133" ca="1">IFERROR(IF(OR('Raw Data'!AG133="",LEN(TRIM('Raw Data'!AG133))=0),"",IF(AND(ISNUMBER('Raw Data'!AG133), IFERROR('Raw Data'!AG133 = ROUND('Raw Data'!AG133, 2),FALSE)),"",_xlfn.REGEXEXTRACT(CELL("address",AG133), "\$([A-Z]+)\$[0-9]+"))),_xlfn.REGEXEXTRACT(CELL("address",AG133), "\$([A-Z]+)\$[0-9]+"))</f>
        <v/>
      </c>
      <c r="AH133" s="7" t="str">
        <f t="array" aca="1" ref="AH133" ca="1">IFERROR(IF(OR('Raw Data'!AH133="",LEN(TRIM('Raw Data'!AH133))=0),"",IF(AND(ISNUMBER('Raw Data'!AH133), IFERROR('Raw Data'!AH133 = ROUND('Raw Data'!AH133, 2),FALSE)),"",_xlfn.REGEXEXTRACT(CELL("address",AH133), "\$([A-Z]+)\$[0-9]+"))),_xlfn.REGEXEXTRACT(CELL("address",AH133), "\$([A-Z]+)\$[0-9]+"))</f>
        <v/>
      </c>
      <c r="AI133" s="7" t="str">
        <f t="array" aca="1" ref="AI133" ca="1">IFERROR(IF(OR('Raw Data'!AI133="",LEN(TRIM('Raw Data'!AI133))=0),"",IF(AND(ISNUMBER('Raw Data'!AI133), IFERROR('Raw Data'!AI133 = ROUND('Raw Data'!AI133, 2),FALSE)),"",_xlfn.REGEXEXTRACT(CELL("address",AI133), "\$([A-Z]+)\$[0-9]+"))),_xlfn.REGEXEXTRACT(CELL("address",AI133), "\$([A-Z]+)\$[0-9]+"))</f>
        <v/>
      </c>
      <c r="AJ133" s="7" t="str">
        <f t="array" aca="1" ref="AJ133" ca="1">IFERROR(IF(OR('Raw Data'!AJ133="",LEN(TRIM('Raw Data'!AJ133))=0),"",IF(AND(ISNUMBER('Raw Data'!AJ133), IFERROR('Raw Data'!AJ133 = ROUND('Raw Data'!AJ133, 4),FALSE)),"",_xlfn.REGEXEXTRACT(CELL("address",AJ133), "\$([A-Z]+)\$[0-9]+"))),_xlfn.REGEXEXTRACT(CELL("address",AJ133), "\$([A-Z]+)\$[0-9]+"))</f>
        <v/>
      </c>
      <c r="AK133" s="7" t="str">
        <f t="array" aca="1" ref="AK133" ca="1">IFERROR(IF(OR('Raw Data'!AK133="",LEN(TRIM('Raw Data'!AK133))=0),"",IF(AND(ISNUMBER('Raw Data'!AK133), IFERROR('Raw Data'!AK133 = ROUND('Raw Data'!AK133, 2),FALSE)),"",_xlfn.REGEXEXTRACT(CELL("address",AK133), "\$([A-Z]+)\$[0-9]+"))),_xlfn.REGEXEXTRACT(CELL("address",AK133), "\$([A-Z]+)\$[0-9]+"))</f>
        <v/>
      </c>
      <c r="AL133" s="7" t="str">
        <f t="array" aca="1" ref="AL133" ca="1">IFERROR(IF(OR('Raw Data'!AL133="",LEN(TRIM('Raw Data'!AL133))=0),"",IF(AND(ISNUMBER('Raw Data'!AL133), IFERROR('Raw Data'!AL133 = ROUND('Raw Data'!AL133, 2),FALSE)),"",_xlfn.REGEXEXTRACT(CELL("address",AL133), "\$([A-Z]+)\$[0-9]+"))),_xlfn.REGEXEXTRACT(CELL("address",AL133), "\$([A-Z]+)\$[0-9]+"))</f>
        <v/>
      </c>
      <c r="AM133" s="7" t="str">
        <f t="array" aca="1" ref="AM133" ca="1">IFERROR(IF(OR('Raw Data'!AM133="",LEN(TRIM('Raw Data'!AM133))=0),"",IF(AND(ISNUMBER('Raw Data'!AM133), IFERROR('Raw Data'!AM133 = ROUND('Raw Data'!AM133, 2),FALSE)),"",_xlfn.REGEXEXTRACT(CELL("address",AM133), "\$([A-Z]+)\$[0-9]+"))),_xlfn.REGEXEXTRACT(CELL("address",AM133), "\$([A-Z]+)\$[0-9]+"))</f>
        <v/>
      </c>
      <c r="AN133" s="7" t="str">
        <f t="array" aca="1" ref="AN133" ca="1">IFERROR(IF(OR('Raw Data'!AN133="",LEN(TRIM('Raw Data'!AN133))=0),"",IF(AND(ISNUMBER('Raw Data'!AN133), IFERROR('Raw Data'!AN133 = ROUND('Raw Data'!AN133, 2),FALSE)),"",_xlfn.REGEXEXTRACT(CELL("address",AN133), "\$([A-Z]+)\$[0-9]+"))),_xlfn.REGEXEXTRACT(CELL("address",AN133), "\$([A-Z]+)\$[0-9]+"))</f>
        <v/>
      </c>
      <c r="AO133" s="7" t="str">
        <f t="array" aca="1" ref="AO133" ca="1">IFERROR(IF(OR('Raw Data'!AO133="",LEN(TRIM('Raw Data'!AO133))=0),"",IF(AND(ISNUMBER('Raw Data'!AO133), IFERROR('Raw Data'!AO133 = ROUND('Raw Data'!AO133, 2),FALSE)),"",_xlfn.REGEXEXTRACT(CELL("address",AO133), "\$([A-Z]+)\$[0-9]+"))),_xlfn.REGEXEXTRACT(CELL("address",AO133), "\$([A-Z]+)\$[0-9]+"))</f>
        <v/>
      </c>
      <c r="AP133" s="7" t="str">
        <f t="array" aca="1" ref="AP133" ca="1">IFERROR(IF(OR('Raw Data'!AP133="",LEN(TRIM('Raw Data'!AP133))=0),"",IF(AND(ISNUMBER('Raw Data'!AP133), IFERROR('Raw Data'!AP133 = ROUND('Raw Data'!AP133, 2),FALSE)),"",_xlfn.REGEXEXTRACT(CELL("address",AP133), "\$([A-Z]+)\$[0-9]+"))),_xlfn.REGEXEXTRACT(CELL("address",AP133), "\$([A-Z]+)\$[0-9]+"))</f>
        <v/>
      </c>
    </row>
    <row r="134" spans="2:42" x14ac:dyDescent="0.25">
      <c r="B134" s="7" t="str">
        <f t="array" aca="1" ref="B134" ca="1">IFERROR(IF(OR('Raw Data'!B134="",LEN(TRIM('Raw Data'!B134))=0),"",IF(AND(LEN('Raw Data'!B134) &lt;= 255,LEN('Raw Data'!B134)&gt; 0),"",_xlfn.REGEXEXTRACT(CELL("address",'Raw Data'!B134),"\$([A-Z]+)\$[0-9]+"))),_xlfn.REGEXEXTRACT(CELL("address",'Raw Data'!B134),"\$([A-Z]+)\$[0-9]+"))</f>
        <v/>
      </c>
      <c r="C134" s="7" t="str">
        <f t="array" aca="1" ref="C134" ca="1">IFERROR(IF(OR('Raw Data'!C134="",LEN(TRIM('Raw Data'!C134))=0),"",IF(AND(LEN('Raw Data'!C134) &lt;= 50,LEN('Raw Data'!C134)&gt; 0),"",_xlfn.REGEXEXTRACT(CELL("address",'Raw Data'!C134),"\$([A-Z]+)\$[0-9]+"))),_xlfn.REGEXEXTRACT(CELL("address",'Raw Data'!C134),"\$([A-Z]+)\$[0-9]+"))</f>
        <v/>
      </c>
      <c r="D134" s="7" t="str">
        <f t="array" aca="1" ref="D134" ca="1">IFERROR(IF(OR('Raw Data'!D134="",LEN(TRIM('Raw Data'!D134))=0),"",IF(AND(LEN('Raw Data'!D134) &lt;= 500,LEN('Raw Data'!D134)&gt; 0),"",_xlfn.REGEXEXTRACT(CELL("address",'Raw Data'!D134),"\$([A-Z]+)\$[0-9]+"))),_xlfn.REGEXEXTRACT(CELL("address",'Raw Data'!D134),"\$([A-Z]+)\$[0-9]+"))</f>
        <v/>
      </c>
      <c r="E134" s="7" t="str">
        <f t="array" aca="1" ref="E134" ca="1">IFERROR(IF(OR('Raw Data'!E134="",LEN(TRIM('Raw Data'!E134))=0),"",IF(AND(LEN('Raw Data'!E134) &lt;= 50,LEN('Raw Data'!E134)&gt; 0),"",_xlfn.REGEXEXTRACT(CELL("address",'Raw Data'!E134),"\$([A-Z]+)\$[0-9]+"))),_xlfn.REGEXEXTRACT(CELL("address",'Raw Data'!E134),"\$([A-Z]+)\$[0-9]+"))</f>
        <v/>
      </c>
      <c r="F134" s="7" t="str">
        <f t="array" aca="1" ref="F134" ca="1">IFERROR(IF(OR('Raw Data'!F134="",LEN(TRIM('Raw Data'!F134))=0),"",IF(AND(LEN('Raw Data'!F134) &lt;= 50,LEN('Raw Data'!F134)&gt; 0),"",_xlfn.REGEXEXTRACT(CELL("address",'Raw Data'!F134),"\$([A-Z]+)\$[0-9]+"))),_xlfn.REGEXEXTRACT(CELL("address",'Raw Data'!F134),"\$([A-Z]+)\$[0-9]+"))</f>
        <v/>
      </c>
      <c r="G134" s="7" t="str">
        <f t="array" aca="1" ref="G134" ca="1">IFERROR(IF(OR('Raw Data'!G134="",LEN(TRIM('Raw Data'!G134))=0),"",IF(AND(LEN('Raw Data'!G134) &lt;= 50,LEN('Raw Data'!G134)&gt; 0),"",_xlfn.REGEXEXTRACT(CELL("address",'Raw Data'!G134),"\$([A-Z]+)\$[0-9]+"))),_xlfn.REGEXEXTRACT(CELL("address",'Raw Data'!G134),"\$([A-Z]+)\$[0-9]+"))</f>
        <v/>
      </c>
      <c r="H134" s="7" t="str">
        <f t="array" aca="1" ref="H134" ca="1">IFERROR(IF(OR('Raw Data'!H134="",LEN(TRIM('Raw Data'!H134))=0),"",IF(AND(LEN('Raw Data'!H134) &lt;= 50,LEN('Raw Data'!H134)&gt; 0),"",_xlfn.REGEXEXTRACT(CELL("address",'Raw Data'!H134),"\$([A-Z]+)\$[0-9]+"))),_xlfn.REGEXEXTRACT(CELL("address",'Raw Data'!H134),"\$([A-Z]+)\$[0-9]+"))</f>
        <v/>
      </c>
      <c r="I134" s="7" t="str">
        <f t="array" aca="1" ref="I134" ca="1">IFERROR(IF(OR('Raw Data'!I134="",LEN(TRIM('Raw Data'!I134))=0),"",IF(AND(LEN('Raw Data'!I134) &lt;= 50,LEN('Raw Data'!I134)&gt; 0),"",_xlfn.REGEXEXTRACT(CELL("address",'Raw Data'!I134),"\$([A-Z]+)\$[0-9]+"))),_xlfn.REGEXEXTRACT(CELL("address",'Raw Data'!I134),"\$([A-Z]+)\$[0-9]+"))</f>
        <v/>
      </c>
      <c r="J134" s="7" t="str">
        <f t="array" aca="1" ref="J134" ca="1">IFERROR(IF(OR('Raw Data'!J134="",LEN(TRIM('Raw Data'!J134))=0),"",IF(AND(ISNUMBER('Raw Data'!J134), IFERROR('Raw Data'!J134 = ROUND('Raw Data'!J134, 2),FALSE)),"",_xlfn.REGEXEXTRACT(CELL("address",J134), "\$([A-Z]+)\$[0-9]+"))),_xlfn.REGEXEXTRACT(CELL("address",J134), "\$([A-Z]+)\$[0-9]+"))</f>
        <v/>
      </c>
      <c r="K134" s="7" t="str">
        <f t="array" aca="1" ref="K134" ca="1">IFERROR(IF(OR('Raw Data'!K134="",LEN(TRIM('Raw Data'!K134))=0),"",IF(AND(ISNUMBER('Raw Data'!K134), IFERROR('Raw Data'!K134 = ROUND('Raw Data'!K134, 2),FALSE)),"",_xlfn.REGEXEXTRACT(CELL("address",K134), "\$([A-Z]+)\$[0-9]+"))),_xlfn.REGEXEXTRACT(CELL("address",K134), "\$([A-Z]+)\$[0-9]+"))</f>
        <v/>
      </c>
      <c r="L134" s="7" t="str">
        <f t="array" aca="1" ref="L134" ca="1">IFERROR(IF(OR('Raw Data'!L134="",LEN(TRIM('Raw Data'!L134))=0),"",IF(AND(ISNUMBER('Raw Data'!L134), IFERROR('Raw Data'!L134 = ROUND('Raw Data'!L134, 2),FALSE)),"",_xlfn.REGEXEXTRACT(CELL("address",L134), "\$([A-Z]+)\$[0-9]+"))),_xlfn.REGEXEXTRACT(CELL("address",L134), "\$([A-Z]+)\$[0-9]+"))</f>
        <v/>
      </c>
      <c r="M134" s="7" t="str">
        <f t="array" aca="1" ref="M134" ca="1">IFERROR(IF(OR('Raw Data'!M134="",LEN(TRIM('Raw Data'!M134))=0),"",IF(AND(ISNUMBER('Raw Data'!M134), IFERROR('Raw Data'!M134 = ROUND('Raw Data'!M134, 2),FALSE)),"",_xlfn.REGEXEXTRACT(CELL("address",M134), "\$([A-Z]+)\$[0-9]+"))),_xlfn.REGEXEXTRACT(CELL("address",M134), "\$([A-Z]+)\$[0-9]+"))</f>
        <v/>
      </c>
      <c r="N134" s="7" t="str">
        <f t="array" aca="1" ref="N134" ca="1">IFERROR(IF(OR('Raw Data'!N134="",LEN(TRIM('Raw Data'!N134))=0),"",IF(AND(ISNUMBER('Raw Data'!N134), IFERROR('Raw Data'!N134 = ROUND('Raw Data'!N134, 2),FALSE)),"",_xlfn.REGEXEXTRACT(CELL("address",N134), "\$([A-Z]+)\$[0-9]+"))),_xlfn.REGEXEXTRACT(CELL("address",N134), "\$([A-Z]+)\$[0-9]+"))</f>
        <v/>
      </c>
      <c r="O134" s="7" t="str">
        <f t="array" aca="1" ref="O134" ca="1">IFERROR(IF(OR('Raw Data'!O134="",LEN(TRIM('Raw Data'!O134))=0),"",IF(AND(ISNUMBER('Raw Data'!O134),'Raw Data'!O134&gt;=Configuration!$D$2),"",_xlfn.REGEXEXTRACT(CELL("address",'Raw Data'!O134),"\$([A-Z]+)\$[0-9]+"))),_xlfn.REGEXEXTRACT(CELL("address",O134), "\$([A-Z]+)\$[0-9]+"))</f>
        <v/>
      </c>
      <c r="P134" s="7" t="str">
        <f t="array" aca="1" ref="P134" ca="1">IFERROR(IF(OR('Raw Data'!P134="",LEN(TRIM('Raw Data'!P134))=0),"",IF(AND(ISNUMBER('Raw Data'!P134), IFERROR('Raw Data'!P134 = ROUND('Raw Data'!P134, 2),FALSE)),"",_xlfn.REGEXEXTRACT(CELL("address",P134), "\$([A-Z]+)\$[0-9]+"))),_xlfn.REGEXEXTRACT(CELL("address",P134), "\$([A-Z]+)\$[0-9]+"))</f>
        <v/>
      </c>
      <c r="Q134" s="7" t="str">
        <f t="array" aca="1" ref="Q134" ca="1">IFERROR(IF(OR('Raw Data'!Q134="",LEN(TRIM('Raw Data'!Q134))=0),"",IF(AND(ISNUMBER('Raw Data'!Q134), IFERROR('Raw Data'!Q134 = ROUND('Raw Data'!Q134, 2),FALSE)),"",_xlfn.REGEXEXTRACT(CELL("address",Q134), "\$([A-Z]+)\$[0-9]+"))),_xlfn.REGEXEXTRACT(CELL("address",Q134), "\$([A-Z]+)\$[0-9]+"))</f>
        <v/>
      </c>
      <c r="R134" s="7" t="str">
        <f t="array" aca="1" ref="R134" ca="1">IFERROR(IF(OR('Raw Data'!R134="",LEN(TRIM('Raw Data'!R134))=0),"",IF(AND(LEN('Raw Data'!R134) &lt;= 50,LEN('Raw Data'!R134)&gt; 0),"",_xlfn.REGEXEXTRACT(CELL("address",'Raw Data'!R134),"\$([A-Z]+)\$[0-9]+"))),_xlfn.REGEXEXTRACT(CELL("address",'Raw Data'!R134),"\$([A-Z]+)\$[0-9]+"))</f>
        <v/>
      </c>
      <c r="S134" s="7" t="str">
        <f t="array" aca="1" ref="S134" ca="1">IFERROR(IF(OR('Raw Data'!S134="",LEN(TRIM('Raw Data'!S134))=0),"",IF(AND(LEN('Raw Data'!S134) &lt;= 50,LEN('Raw Data'!S134)&gt; 0),"",_xlfn.REGEXEXTRACT(CELL("address",'Raw Data'!S134),"\$([A-Z]+)\$[0-9]+"))),_xlfn.REGEXEXTRACT(CELL("address",'Raw Data'!S134),"\$([A-Z]+)\$[0-9]+"))</f>
        <v/>
      </c>
      <c r="T134" s="7" t="str">
        <f t="array" aca="1" ref="T134" ca="1">IFERROR(IF(OR('Raw Data'!T134="",LEN(TRIM('Raw Data'!T134))=0),"",IF(AND(ISNUMBER('Raw Data'!T134), IFERROR('Raw Data'!T134 = ROUND('Raw Data'!T134, 2),FALSE)),"",_xlfn.REGEXEXTRACT(CELL("address",T134), "\$([A-Z]+)\$[0-9]+"))),_xlfn.REGEXEXTRACT(CELL("address",T134), "\$([A-Z]+)\$[0-9]+"))</f>
        <v/>
      </c>
      <c r="U134" s="7" t="str">
        <f t="array" aca="1" ref="U134" ca="1">IFERROR(IF(OR('Raw Data'!U134="",LEN(TRIM('Raw Data'!U134))=0),"",IF(AND(ISNUMBER('Raw Data'!U134), IFERROR('Raw Data'!U134 = ROUND('Raw Data'!U134, 2),FALSE)),"",_xlfn.REGEXEXTRACT(CELL("address",U134), "\$([A-Z]+)\$[0-9]+"))),_xlfn.REGEXEXTRACT(CELL("address",U134), "\$([A-Z]+)\$[0-9]+"))</f>
        <v/>
      </c>
      <c r="V134" s="7" t="str">
        <f t="array" aca="1" ref="V134" ca="1">IFERROR(IF(OR('Raw Data'!V134="",LEN(TRIM('Raw Data'!V134))=0),"",IF(AND(ISNUMBER('Raw Data'!V134), IFERROR('Raw Data'!V134 = ROUND('Raw Data'!V134, 2),FALSE)),"",_xlfn.REGEXEXTRACT(CELL("address",V134), "\$([A-Z]+)\$[0-9]+"))),_xlfn.REGEXEXTRACT(CELL("address",V134), "\$([A-Z]+)\$[0-9]+"))</f>
        <v/>
      </c>
      <c r="W134" s="7" t="str">
        <f t="array" aca="1" ref="W134" ca="1">IFERROR(IF(OR('Raw Data'!W134="",LEN(TRIM('Raw Data'!W134))=0),"",IF(AND(ISNUMBER('Raw Data'!W134), IFERROR('Raw Data'!W134 = ROUND('Raw Data'!W134, 2),FALSE)),"",_xlfn.REGEXEXTRACT(CELL("address",W134), "\$([A-Z]+)\$[0-9]+"))),_xlfn.REGEXEXTRACT(CELL("address",W134), "\$([A-Z]+)\$[0-9]+"))</f>
        <v/>
      </c>
      <c r="X134" s="7" t="str">
        <f t="array" aca="1" ref="X134" ca="1">IFERROR(IF(OR('Raw Data'!X134="",LEN(TRIM('Raw Data'!X134))=0),"",IF(AND(ISNUMBER('Raw Data'!X134), IFERROR('Raw Data'!X134 = ROUND('Raw Data'!X134, 2),FALSE)),"",_xlfn.REGEXEXTRACT(CELL("address",X134), "\$([A-Z]+)\$[0-9]+"))),_xlfn.REGEXEXTRACT(CELL("address",X134), "\$([A-Z]+)\$[0-9]+"))</f>
        <v/>
      </c>
      <c r="Y134" s="7" t="str">
        <f t="array" aca="1" ref="Y134" ca="1">IFERROR(IF(OR('Raw Data'!Y134="",LEN(TRIM('Raw Data'!Y134))=0),"",IF(AND(ISNUMBER('Raw Data'!Y134), IFERROR('Raw Data'!Y134 = ROUND('Raw Data'!Y134, 2),FALSE)),"",_xlfn.REGEXEXTRACT(CELL("address",Y134), "\$([A-Z]+)\$[0-9]+"))),_xlfn.REGEXEXTRACT(CELL("address",Y134), "\$([A-Z]+)\$[0-9]+"))</f>
        <v/>
      </c>
      <c r="Z134" s="7" t="str">
        <f t="array" aca="1" ref="Z134" ca="1">IFERROR(IF(OR('Raw Data'!Z134="",LEN(TRIM('Raw Data'!Z134))=0),"",IF(AND(ISNUMBER('Raw Data'!Z134), IFERROR('Raw Data'!Z134 = ROUND('Raw Data'!Z134, 2),FALSE)),"",_xlfn.REGEXEXTRACT(CELL("address",Z134), "\$([A-Z]+)\$[0-9]+"))),_xlfn.REGEXEXTRACT(CELL("address",Z134), "\$([A-Z]+)\$[0-9]+"))</f>
        <v/>
      </c>
      <c r="AA134" s="7" t="str">
        <f t="array" aca="1" ref="AA134" ca="1">IFERROR(IF(OR('Raw Data'!AA134="",LEN(TRIM('Raw Data'!AA134))=0),"",IF(AND(ISNUMBER('Raw Data'!AA134), IFERROR('Raw Data'!AA134 = ROUND('Raw Data'!AA134, 2),FALSE)),"",_xlfn.REGEXEXTRACT(CELL("address",AA134), "\$([A-Z]+)\$[0-9]+"))),_xlfn.REGEXEXTRACT(CELL("address",AA134), "\$([A-Z]+)\$[0-9]+"))</f>
        <v/>
      </c>
      <c r="AB134" s="7" t="str">
        <f t="array" aca="1" ref="AB134" ca="1">IFERROR(IF(OR('Raw Data'!AB134="",LEN(TRIM('Raw Data'!AB134))=0),"",IF(AND(ISNUMBER('Raw Data'!AB134), IFERROR('Raw Data'!AB134 = ROUND('Raw Data'!AB134, 2),FALSE)),"",_xlfn.REGEXEXTRACT(CELL("address",AB134), "\$([A-Z]+)\$[0-9]+"))),_xlfn.REGEXEXTRACT(CELL("address",AB134), "\$([A-Z]+)\$[0-9]+"))</f>
        <v/>
      </c>
      <c r="AC134" s="7" t="str">
        <f t="array" aca="1" ref="AC134" ca="1">IFERROR(IF(OR('Raw Data'!AC134="",LEN(TRIM('Raw Data'!AC134))=0),"",IF(AND(ISNUMBER('Raw Data'!AC134), IFERROR('Raw Data'!AC134 = ROUND('Raw Data'!AC134, 2),FALSE)),"",_xlfn.REGEXEXTRACT(CELL("address",AC134), "\$([A-Z]+)\$[0-9]+"))),_xlfn.REGEXEXTRACT(CELL("address",AC134), "\$([A-Z]+)\$[0-9]+"))</f>
        <v/>
      </c>
      <c r="AD134" s="7" t="str">
        <f t="array" aca="1" ref="AD134" ca="1">IFERROR(IF(OR('Raw Data'!AD134="",LEN(TRIM('Raw Data'!AD134))=0),"",IF(AND(ISNUMBER('Raw Data'!AD134), IFERROR('Raw Data'!AD134 = ROUND('Raw Data'!AD134, 2),FALSE)),"",_xlfn.REGEXEXTRACT(CELL("address",AD134), "\$([A-Z]+)\$[0-9]+"))),_xlfn.REGEXEXTRACT(CELL("address",AD134), "\$([A-Z]+)\$[0-9]+"))</f>
        <v/>
      </c>
      <c r="AE134" s="7" t="str">
        <f t="array" aca="1" ref="AE134" ca="1">IFERROR(IF(OR('Raw Data'!AE134="",LEN(TRIM('Raw Data'!AE134))=0),"",IF(AND(ISNUMBER('Raw Data'!AE134), IFERROR('Raw Data'!AE134 = ROUND('Raw Data'!AE134, 2),FALSE)),"",_xlfn.REGEXEXTRACT(CELL("address",AE134), "\$([A-Z]+)\$[0-9]+"))),_xlfn.REGEXEXTRACT(CELL("address",AE134), "\$([A-Z]+)\$[0-9]+"))</f>
        <v/>
      </c>
      <c r="AF134" s="7" t="str">
        <f t="array" aca="1" ref="AF134" ca="1">IFERROR(IF(OR('Raw Data'!AF134="",LEN(TRIM('Raw Data'!AF134))=0),"",IF(AND(ISNUMBER('Raw Data'!AF134), IFERROR('Raw Data'!AF134 = ROUND('Raw Data'!AF134, 2),FALSE)),"",_xlfn.REGEXEXTRACT(CELL("address",AF134), "\$([A-Z]+)\$[0-9]+"))),_xlfn.REGEXEXTRACT(CELL("address",AF134), "\$([A-Z]+)\$[0-9]+"))</f>
        <v/>
      </c>
      <c r="AG134" s="7" t="str">
        <f t="array" aca="1" ref="AG134" ca="1">IFERROR(IF(OR('Raw Data'!AG134="",LEN(TRIM('Raw Data'!AG134))=0),"",IF(AND(ISNUMBER('Raw Data'!AG134), IFERROR('Raw Data'!AG134 = ROUND('Raw Data'!AG134, 2),FALSE)),"",_xlfn.REGEXEXTRACT(CELL("address",AG134), "\$([A-Z]+)\$[0-9]+"))),_xlfn.REGEXEXTRACT(CELL("address",AG134), "\$([A-Z]+)\$[0-9]+"))</f>
        <v/>
      </c>
      <c r="AH134" s="7" t="str">
        <f t="array" aca="1" ref="AH134" ca="1">IFERROR(IF(OR('Raw Data'!AH134="",LEN(TRIM('Raw Data'!AH134))=0),"",IF(AND(ISNUMBER('Raw Data'!AH134), IFERROR('Raw Data'!AH134 = ROUND('Raw Data'!AH134, 2),FALSE)),"",_xlfn.REGEXEXTRACT(CELL("address",AH134), "\$([A-Z]+)\$[0-9]+"))),_xlfn.REGEXEXTRACT(CELL("address",AH134), "\$([A-Z]+)\$[0-9]+"))</f>
        <v/>
      </c>
      <c r="AI134" s="7" t="str">
        <f t="array" aca="1" ref="AI134" ca="1">IFERROR(IF(OR('Raw Data'!AI134="",LEN(TRIM('Raw Data'!AI134))=0),"",IF(AND(ISNUMBER('Raw Data'!AI134), IFERROR('Raw Data'!AI134 = ROUND('Raw Data'!AI134, 2),FALSE)),"",_xlfn.REGEXEXTRACT(CELL("address",AI134), "\$([A-Z]+)\$[0-9]+"))),_xlfn.REGEXEXTRACT(CELL("address",AI134), "\$([A-Z]+)\$[0-9]+"))</f>
        <v/>
      </c>
      <c r="AJ134" s="7" t="str">
        <f t="array" aca="1" ref="AJ134" ca="1">IFERROR(IF(OR('Raw Data'!AJ134="",LEN(TRIM('Raw Data'!AJ134))=0),"",IF(AND(ISNUMBER('Raw Data'!AJ134), IFERROR('Raw Data'!AJ134 = ROUND('Raw Data'!AJ134, 4),FALSE)),"",_xlfn.REGEXEXTRACT(CELL("address",AJ134), "\$([A-Z]+)\$[0-9]+"))),_xlfn.REGEXEXTRACT(CELL("address",AJ134), "\$([A-Z]+)\$[0-9]+"))</f>
        <v/>
      </c>
      <c r="AK134" s="7" t="str">
        <f t="array" aca="1" ref="AK134" ca="1">IFERROR(IF(OR('Raw Data'!AK134="",LEN(TRIM('Raw Data'!AK134))=0),"",IF(AND(ISNUMBER('Raw Data'!AK134), IFERROR('Raw Data'!AK134 = ROUND('Raw Data'!AK134, 2),FALSE)),"",_xlfn.REGEXEXTRACT(CELL("address",AK134), "\$([A-Z]+)\$[0-9]+"))),_xlfn.REGEXEXTRACT(CELL("address",AK134), "\$([A-Z]+)\$[0-9]+"))</f>
        <v/>
      </c>
      <c r="AL134" s="7" t="str">
        <f t="array" aca="1" ref="AL134" ca="1">IFERROR(IF(OR('Raw Data'!AL134="",LEN(TRIM('Raw Data'!AL134))=0),"",IF(AND(ISNUMBER('Raw Data'!AL134), IFERROR('Raw Data'!AL134 = ROUND('Raw Data'!AL134, 2),FALSE)),"",_xlfn.REGEXEXTRACT(CELL("address",AL134), "\$([A-Z]+)\$[0-9]+"))),_xlfn.REGEXEXTRACT(CELL("address",AL134), "\$([A-Z]+)\$[0-9]+"))</f>
        <v/>
      </c>
      <c r="AM134" s="7" t="str">
        <f t="array" aca="1" ref="AM134" ca="1">IFERROR(IF(OR('Raw Data'!AM134="",LEN(TRIM('Raw Data'!AM134))=0),"",IF(AND(ISNUMBER('Raw Data'!AM134), IFERROR('Raw Data'!AM134 = ROUND('Raw Data'!AM134, 2),FALSE)),"",_xlfn.REGEXEXTRACT(CELL("address",AM134), "\$([A-Z]+)\$[0-9]+"))),_xlfn.REGEXEXTRACT(CELL("address",AM134), "\$([A-Z]+)\$[0-9]+"))</f>
        <v/>
      </c>
      <c r="AN134" s="7" t="str">
        <f t="array" aca="1" ref="AN134" ca="1">IFERROR(IF(OR('Raw Data'!AN134="",LEN(TRIM('Raw Data'!AN134))=0),"",IF(AND(ISNUMBER('Raw Data'!AN134), IFERROR('Raw Data'!AN134 = ROUND('Raw Data'!AN134, 2),FALSE)),"",_xlfn.REGEXEXTRACT(CELL("address",AN134), "\$([A-Z]+)\$[0-9]+"))),_xlfn.REGEXEXTRACT(CELL("address",AN134), "\$([A-Z]+)\$[0-9]+"))</f>
        <v/>
      </c>
      <c r="AO134" s="7" t="str">
        <f t="array" aca="1" ref="AO134" ca="1">IFERROR(IF(OR('Raw Data'!AO134="",LEN(TRIM('Raw Data'!AO134))=0),"",IF(AND(ISNUMBER('Raw Data'!AO134), IFERROR('Raw Data'!AO134 = ROUND('Raw Data'!AO134, 2),FALSE)),"",_xlfn.REGEXEXTRACT(CELL("address",AO134), "\$([A-Z]+)\$[0-9]+"))),_xlfn.REGEXEXTRACT(CELL("address",AO134), "\$([A-Z]+)\$[0-9]+"))</f>
        <v/>
      </c>
      <c r="AP134" s="7" t="str">
        <f t="array" aca="1" ref="AP134" ca="1">IFERROR(IF(OR('Raw Data'!AP134="",LEN(TRIM('Raw Data'!AP134))=0),"",IF(AND(ISNUMBER('Raw Data'!AP134), IFERROR('Raw Data'!AP134 = ROUND('Raw Data'!AP134, 2),FALSE)),"",_xlfn.REGEXEXTRACT(CELL("address",AP134), "\$([A-Z]+)\$[0-9]+"))),_xlfn.REGEXEXTRACT(CELL("address",AP134), "\$([A-Z]+)\$[0-9]+"))</f>
        <v/>
      </c>
    </row>
    <row r="135" spans="2:42" x14ac:dyDescent="0.25">
      <c r="B135" s="7" t="str">
        <f t="array" aca="1" ref="B135" ca="1">IFERROR(IF(OR('Raw Data'!B135="",LEN(TRIM('Raw Data'!B135))=0),"",IF(AND(LEN('Raw Data'!B135) &lt;= 255,LEN('Raw Data'!B135)&gt; 0),"",_xlfn.REGEXEXTRACT(CELL("address",'Raw Data'!B135),"\$([A-Z]+)\$[0-9]+"))),_xlfn.REGEXEXTRACT(CELL("address",'Raw Data'!B135),"\$([A-Z]+)\$[0-9]+"))</f>
        <v/>
      </c>
      <c r="C135" s="7" t="str">
        <f t="array" aca="1" ref="C135" ca="1">IFERROR(IF(OR('Raw Data'!C135="",LEN(TRIM('Raw Data'!C135))=0),"",IF(AND(LEN('Raw Data'!C135) &lt;= 50,LEN('Raw Data'!C135)&gt; 0),"",_xlfn.REGEXEXTRACT(CELL("address",'Raw Data'!C135),"\$([A-Z]+)\$[0-9]+"))),_xlfn.REGEXEXTRACT(CELL("address",'Raw Data'!C135),"\$([A-Z]+)\$[0-9]+"))</f>
        <v/>
      </c>
      <c r="D135" s="7" t="str">
        <f t="array" aca="1" ref="D135" ca="1">IFERROR(IF(OR('Raw Data'!D135="",LEN(TRIM('Raw Data'!D135))=0),"",IF(AND(LEN('Raw Data'!D135) &lt;= 500,LEN('Raw Data'!D135)&gt; 0),"",_xlfn.REGEXEXTRACT(CELL("address",'Raw Data'!D135),"\$([A-Z]+)\$[0-9]+"))),_xlfn.REGEXEXTRACT(CELL("address",'Raw Data'!D135),"\$([A-Z]+)\$[0-9]+"))</f>
        <v/>
      </c>
      <c r="E135" s="7" t="str">
        <f t="array" aca="1" ref="E135" ca="1">IFERROR(IF(OR('Raw Data'!E135="",LEN(TRIM('Raw Data'!E135))=0),"",IF(AND(LEN('Raw Data'!E135) &lt;= 50,LEN('Raw Data'!E135)&gt; 0),"",_xlfn.REGEXEXTRACT(CELL("address",'Raw Data'!E135),"\$([A-Z]+)\$[0-9]+"))),_xlfn.REGEXEXTRACT(CELL("address",'Raw Data'!E135),"\$([A-Z]+)\$[0-9]+"))</f>
        <v/>
      </c>
      <c r="F135" s="7" t="str">
        <f t="array" aca="1" ref="F135" ca="1">IFERROR(IF(OR('Raw Data'!F135="",LEN(TRIM('Raw Data'!F135))=0),"",IF(AND(LEN('Raw Data'!F135) &lt;= 50,LEN('Raw Data'!F135)&gt; 0),"",_xlfn.REGEXEXTRACT(CELL("address",'Raw Data'!F135),"\$([A-Z]+)\$[0-9]+"))),_xlfn.REGEXEXTRACT(CELL("address",'Raw Data'!F135),"\$([A-Z]+)\$[0-9]+"))</f>
        <v/>
      </c>
      <c r="G135" s="7" t="str">
        <f t="array" aca="1" ref="G135" ca="1">IFERROR(IF(OR('Raw Data'!G135="",LEN(TRIM('Raw Data'!G135))=0),"",IF(AND(LEN('Raw Data'!G135) &lt;= 50,LEN('Raw Data'!G135)&gt; 0),"",_xlfn.REGEXEXTRACT(CELL("address",'Raw Data'!G135),"\$([A-Z]+)\$[0-9]+"))),_xlfn.REGEXEXTRACT(CELL("address",'Raw Data'!G135),"\$([A-Z]+)\$[0-9]+"))</f>
        <v/>
      </c>
      <c r="H135" s="7" t="str">
        <f t="array" aca="1" ref="H135" ca="1">IFERROR(IF(OR('Raw Data'!H135="",LEN(TRIM('Raw Data'!H135))=0),"",IF(AND(LEN('Raw Data'!H135) &lt;= 50,LEN('Raw Data'!H135)&gt; 0),"",_xlfn.REGEXEXTRACT(CELL("address",'Raw Data'!H135),"\$([A-Z]+)\$[0-9]+"))),_xlfn.REGEXEXTRACT(CELL("address",'Raw Data'!H135),"\$([A-Z]+)\$[0-9]+"))</f>
        <v/>
      </c>
      <c r="I135" s="7" t="str">
        <f t="array" aca="1" ref="I135" ca="1">IFERROR(IF(OR('Raw Data'!I135="",LEN(TRIM('Raw Data'!I135))=0),"",IF(AND(LEN('Raw Data'!I135) &lt;= 50,LEN('Raw Data'!I135)&gt; 0),"",_xlfn.REGEXEXTRACT(CELL("address",'Raw Data'!I135),"\$([A-Z]+)\$[0-9]+"))),_xlfn.REGEXEXTRACT(CELL("address",'Raw Data'!I135),"\$([A-Z]+)\$[0-9]+"))</f>
        <v/>
      </c>
      <c r="J135" s="7" t="str">
        <f t="array" aca="1" ref="J135" ca="1">IFERROR(IF(OR('Raw Data'!J135="",LEN(TRIM('Raw Data'!J135))=0),"",IF(AND(ISNUMBER('Raw Data'!J135), IFERROR('Raw Data'!J135 = ROUND('Raw Data'!J135, 2),FALSE)),"",_xlfn.REGEXEXTRACT(CELL("address",J135), "\$([A-Z]+)\$[0-9]+"))),_xlfn.REGEXEXTRACT(CELL("address",J135), "\$([A-Z]+)\$[0-9]+"))</f>
        <v/>
      </c>
      <c r="K135" s="7" t="str">
        <f t="array" aca="1" ref="K135" ca="1">IFERROR(IF(OR('Raw Data'!K135="",LEN(TRIM('Raw Data'!K135))=0),"",IF(AND(ISNUMBER('Raw Data'!K135), IFERROR('Raw Data'!K135 = ROUND('Raw Data'!K135, 2),FALSE)),"",_xlfn.REGEXEXTRACT(CELL("address",K135), "\$([A-Z]+)\$[0-9]+"))),_xlfn.REGEXEXTRACT(CELL("address",K135), "\$([A-Z]+)\$[0-9]+"))</f>
        <v/>
      </c>
      <c r="L135" s="7" t="str">
        <f t="array" aca="1" ref="L135" ca="1">IFERROR(IF(OR('Raw Data'!L135="",LEN(TRIM('Raw Data'!L135))=0),"",IF(AND(ISNUMBER('Raw Data'!L135), IFERROR('Raw Data'!L135 = ROUND('Raw Data'!L135, 2),FALSE)),"",_xlfn.REGEXEXTRACT(CELL("address",L135), "\$([A-Z]+)\$[0-9]+"))),_xlfn.REGEXEXTRACT(CELL("address",L135), "\$([A-Z]+)\$[0-9]+"))</f>
        <v/>
      </c>
      <c r="M135" s="7" t="str">
        <f t="array" aca="1" ref="M135" ca="1">IFERROR(IF(OR('Raw Data'!M135="",LEN(TRIM('Raw Data'!M135))=0),"",IF(AND(ISNUMBER('Raw Data'!M135), IFERROR('Raw Data'!M135 = ROUND('Raw Data'!M135, 2),FALSE)),"",_xlfn.REGEXEXTRACT(CELL("address",M135), "\$([A-Z]+)\$[0-9]+"))),_xlfn.REGEXEXTRACT(CELL("address",M135), "\$([A-Z]+)\$[0-9]+"))</f>
        <v/>
      </c>
      <c r="N135" s="7" t="str">
        <f t="array" aca="1" ref="N135" ca="1">IFERROR(IF(OR('Raw Data'!N135="",LEN(TRIM('Raw Data'!N135))=0),"",IF(AND(ISNUMBER('Raw Data'!N135), IFERROR('Raw Data'!N135 = ROUND('Raw Data'!N135, 2),FALSE)),"",_xlfn.REGEXEXTRACT(CELL("address",N135), "\$([A-Z]+)\$[0-9]+"))),_xlfn.REGEXEXTRACT(CELL("address",N135), "\$([A-Z]+)\$[0-9]+"))</f>
        <v/>
      </c>
      <c r="O135" s="7" t="str">
        <f t="array" aca="1" ref="O135" ca="1">IFERROR(IF(OR('Raw Data'!O135="",LEN(TRIM('Raw Data'!O135))=0),"",IF(AND(ISNUMBER('Raw Data'!O135),'Raw Data'!O135&gt;=Configuration!$D$2),"",_xlfn.REGEXEXTRACT(CELL("address",'Raw Data'!O135),"\$([A-Z]+)\$[0-9]+"))),_xlfn.REGEXEXTRACT(CELL("address",O135), "\$([A-Z]+)\$[0-9]+"))</f>
        <v/>
      </c>
      <c r="P135" s="7" t="str">
        <f t="array" aca="1" ref="P135" ca="1">IFERROR(IF(OR('Raw Data'!P135="",LEN(TRIM('Raw Data'!P135))=0),"",IF(AND(ISNUMBER('Raw Data'!P135), IFERROR('Raw Data'!P135 = ROUND('Raw Data'!P135, 2),FALSE)),"",_xlfn.REGEXEXTRACT(CELL("address",P135), "\$([A-Z]+)\$[0-9]+"))),_xlfn.REGEXEXTRACT(CELL("address",P135), "\$([A-Z]+)\$[0-9]+"))</f>
        <v/>
      </c>
      <c r="Q135" s="7" t="str">
        <f t="array" aca="1" ref="Q135" ca="1">IFERROR(IF(OR('Raw Data'!Q135="",LEN(TRIM('Raw Data'!Q135))=0),"",IF(AND(ISNUMBER('Raw Data'!Q135), IFERROR('Raw Data'!Q135 = ROUND('Raw Data'!Q135, 2),FALSE)),"",_xlfn.REGEXEXTRACT(CELL("address",Q135), "\$([A-Z]+)\$[0-9]+"))),_xlfn.REGEXEXTRACT(CELL("address",Q135), "\$([A-Z]+)\$[0-9]+"))</f>
        <v/>
      </c>
      <c r="R135" s="7" t="str">
        <f t="array" aca="1" ref="R135" ca="1">IFERROR(IF(OR('Raw Data'!R135="",LEN(TRIM('Raw Data'!R135))=0),"",IF(AND(LEN('Raw Data'!R135) &lt;= 50,LEN('Raw Data'!R135)&gt; 0),"",_xlfn.REGEXEXTRACT(CELL("address",'Raw Data'!R135),"\$([A-Z]+)\$[0-9]+"))),_xlfn.REGEXEXTRACT(CELL("address",'Raw Data'!R135),"\$([A-Z]+)\$[0-9]+"))</f>
        <v/>
      </c>
      <c r="S135" s="7" t="str">
        <f t="array" aca="1" ref="S135" ca="1">IFERROR(IF(OR('Raw Data'!S135="",LEN(TRIM('Raw Data'!S135))=0),"",IF(AND(LEN('Raw Data'!S135) &lt;= 50,LEN('Raw Data'!S135)&gt; 0),"",_xlfn.REGEXEXTRACT(CELL("address",'Raw Data'!S135),"\$([A-Z]+)\$[0-9]+"))),_xlfn.REGEXEXTRACT(CELL("address",'Raw Data'!S135),"\$([A-Z]+)\$[0-9]+"))</f>
        <v/>
      </c>
      <c r="T135" s="7" t="str">
        <f t="array" aca="1" ref="T135" ca="1">IFERROR(IF(OR('Raw Data'!T135="",LEN(TRIM('Raw Data'!T135))=0),"",IF(AND(ISNUMBER('Raw Data'!T135), IFERROR('Raw Data'!T135 = ROUND('Raw Data'!T135, 2),FALSE)),"",_xlfn.REGEXEXTRACT(CELL("address",T135), "\$([A-Z]+)\$[0-9]+"))),_xlfn.REGEXEXTRACT(CELL("address",T135), "\$([A-Z]+)\$[0-9]+"))</f>
        <v/>
      </c>
      <c r="U135" s="7" t="str">
        <f t="array" aca="1" ref="U135" ca="1">IFERROR(IF(OR('Raw Data'!U135="",LEN(TRIM('Raw Data'!U135))=0),"",IF(AND(ISNUMBER('Raw Data'!U135), IFERROR('Raw Data'!U135 = ROUND('Raw Data'!U135, 2),FALSE)),"",_xlfn.REGEXEXTRACT(CELL("address",U135), "\$([A-Z]+)\$[0-9]+"))),_xlfn.REGEXEXTRACT(CELL("address",U135), "\$([A-Z]+)\$[0-9]+"))</f>
        <v/>
      </c>
      <c r="V135" s="7" t="str">
        <f t="array" aca="1" ref="V135" ca="1">IFERROR(IF(OR('Raw Data'!V135="",LEN(TRIM('Raw Data'!V135))=0),"",IF(AND(ISNUMBER('Raw Data'!V135), IFERROR('Raw Data'!V135 = ROUND('Raw Data'!V135, 2),FALSE)),"",_xlfn.REGEXEXTRACT(CELL("address",V135), "\$([A-Z]+)\$[0-9]+"))),_xlfn.REGEXEXTRACT(CELL("address",V135), "\$([A-Z]+)\$[0-9]+"))</f>
        <v/>
      </c>
      <c r="W135" s="7" t="str">
        <f t="array" aca="1" ref="W135" ca="1">IFERROR(IF(OR('Raw Data'!W135="",LEN(TRIM('Raw Data'!W135))=0),"",IF(AND(ISNUMBER('Raw Data'!W135), IFERROR('Raw Data'!W135 = ROUND('Raw Data'!W135, 2),FALSE)),"",_xlfn.REGEXEXTRACT(CELL("address",W135), "\$([A-Z]+)\$[0-9]+"))),_xlfn.REGEXEXTRACT(CELL("address",W135), "\$([A-Z]+)\$[0-9]+"))</f>
        <v/>
      </c>
      <c r="X135" s="7" t="str">
        <f t="array" aca="1" ref="X135" ca="1">IFERROR(IF(OR('Raw Data'!X135="",LEN(TRIM('Raw Data'!X135))=0),"",IF(AND(ISNUMBER('Raw Data'!X135), IFERROR('Raw Data'!X135 = ROUND('Raw Data'!X135, 2),FALSE)),"",_xlfn.REGEXEXTRACT(CELL("address",X135), "\$([A-Z]+)\$[0-9]+"))),_xlfn.REGEXEXTRACT(CELL("address",X135), "\$([A-Z]+)\$[0-9]+"))</f>
        <v/>
      </c>
      <c r="Y135" s="7" t="str">
        <f t="array" aca="1" ref="Y135" ca="1">IFERROR(IF(OR('Raw Data'!Y135="",LEN(TRIM('Raw Data'!Y135))=0),"",IF(AND(ISNUMBER('Raw Data'!Y135), IFERROR('Raw Data'!Y135 = ROUND('Raw Data'!Y135, 2),FALSE)),"",_xlfn.REGEXEXTRACT(CELL("address",Y135), "\$([A-Z]+)\$[0-9]+"))),_xlfn.REGEXEXTRACT(CELL("address",Y135), "\$([A-Z]+)\$[0-9]+"))</f>
        <v/>
      </c>
      <c r="Z135" s="7" t="str">
        <f t="array" aca="1" ref="Z135" ca="1">IFERROR(IF(OR('Raw Data'!Z135="",LEN(TRIM('Raw Data'!Z135))=0),"",IF(AND(ISNUMBER('Raw Data'!Z135), IFERROR('Raw Data'!Z135 = ROUND('Raw Data'!Z135, 2),FALSE)),"",_xlfn.REGEXEXTRACT(CELL("address",Z135), "\$([A-Z]+)\$[0-9]+"))),_xlfn.REGEXEXTRACT(CELL("address",Z135), "\$([A-Z]+)\$[0-9]+"))</f>
        <v/>
      </c>
      <c r="AA135" s="7" t="str">
        <f t="array" aca="1" ref="AA135" ca="1">IFERROR(IF(OR('Raw Data'!AA135="",LEN(TRIM('Raw Data'!AA135))=0),"",IF(AND(ISNUMBER('Raw Data'!AA135), IFERROR('Raw Data'!AA135 = ROUND('Raw Data'!AA135, 2),FALSE)),"",_xlfn.REGEXEXTRACT(CELL("address",AA135), "\$([A-Z]+)\$[0-9]+"))),_xlfn.REGEXEXTRACT(CELL("address",AA135), "\$([A-Z]+)\$[0-9]+"))</f>
        <v/>
      </c>
      <c r="AB135" s="7" t="str">
        <f t="array" aca="1" ref="AB135" ca="1">IFERROR(IF(OR('Raw Data'!AB135="",LEN(TRIM('Raw Data'!AB135))=0),"",IF(AND(ISNUMBER('Raw Data'!AB135), IFERROR('Raw Data'!AB135 = ROUND('Raw Data'!AB135, 2),FALSE)),"",_xlfn.REGEXEXTRACT(CELL("address",AB135), "\$([A-Z]+)\$[0-9]+"))),_xlfn.REGEXEXTRACT(CELL("address",AB135), "\$([A-Z]+)\$[0-9]+"))</f>
        <v/>
      </c>
      <c r="AC135" s="7" t="str">
        <f t="array" aca="1" ref="AC135" ca="1">IFERROR(IF(OR('Raw Data'!AC135="",LEN(TRIM('Raw Data'!AC135))=0),"",IF(AND(ISNUMBER('Raw Data'!AC135), IFERROR('Raw Data'!AC135 = ROUND('Raw Data'!AC135, 2),FALSE)),"",_xlfn.REGEXEXTRACT(CELL("address",AC135), "\$([A-Z]+)\$[0-9]+"))),_xlfn.REGEXEXTRACT(CELL("address",AC135), "\$([A-Z]+)\$[0-9]+"))</f>
        <v/>
      </c>
      <c r="AD135" s="7" t="str">
        <f t="array" aca="1" ref="AD135" ca="1">IFERROR(IF(OR('Raw Data'!AD135="",LEN(TRIM('Raw Data'!AD135))=0),"",IF(AND(ISNUMBER('Raw Data'!AD135), IFERROR('Raw Data'!AD135 = ROUND('Raw Data'!AD135, 2),FALSE)),"",_xlfn.REGEXEXTRACT(CELL("address",AD135), "\$([A-Z]+)\$[0-9]+"))),_xlfn.REGEXEXTRACT(CELL("address",AD135), "\$([A-Z]+)\$[0-9]+"))</f>
        <v/>
      </c>
      <c r="AE135" s="7" t="str">
        <f t="array" aca="1" ref="AE135" ca="1">IFERROR(IF(OR('Raw Data'!AE135="",LEN(TRIM('Raw Data'!AE135))=0),"",IF(AND(ISNUMBER('Raw Data'!AE135), IFERROR('Raw Data'!AE135 = ROUND('Raw Data'!AE135, 2),FALSE)),"",_xlfn.REGEXEXTRACT(CELL("address",AE135), "\$([A-Z]+)\$[0-9]+"))),_xlfn.REGEXEXTRACT(CELL("address",AE135), "\$([A-Z]+)\$[0-9]+"))</f>
        <v/>
      </c>
      <c r="AF135" s="7" t="str">
        <f t="array" aca="1" ref="AF135" ca="1">IFERROR(IF(OR('Raw Data'!AF135="",LEN(TRIM('Raw Data'!AF135))=0),"",IF(AND(ISNUMBER('Raw Data'!AF135), IFERROR('Raw Data'!AF135 = ROUND('Raw Data'!AF135, 2),FALSE)),"",_xlfn.REGEXEXTRACT(CELL("address",AF135), "\$([A-Z]+)\$[0-9]+"))),_xlfn.REGEXEXTRACT(CELL("address",AF135), "\$([A-Z]+)\$[0-9]+"))</f>
        <v/>
      </c>
      <c r="AG135" s="7" t="str">
        <f t="array" aca="1" ref="AG135" ca="1">IFERROR(IF(OR('Raw Data'!AG135="",LEN(TRIM('Raw Data'!AG135))=0),"",IF(AND(ISNUMBER('Raw Data'!AG135), IFERROR('Raw Data'!AG135 = ROUND('Raw Data'!AG135, 2),FALSE)),"",_xlfn.REGEXEXTRACT(CELL("address",AG135), "\$([A-Z]+)\$[0-9]+"))),_xlfn.REGEXEXTRACT(CELL("address",AG135), "\$([A-Z]+)\$[0-9]+"))</f>
        <v/>
      </c>
      <c r="AH135" s="7" t="str">
        <f t="array" aca="1" ref="AH135" ca="1">IFERROR(IF(OR('Raw Data'!AH135="",LEN(TRIM('Raw Data'!AH135))=0),"",IF(AND(ISNUMBER('Raw Data'!AH135), IFERROR('Raw Data'!AH135 = ROUND('Raw Data'!AH135, 2),FALSE)),"",_xlfn.REGEXEXTRACT(CELL("address",AH135), "\$([A-Z]+)\$[0-9]+"))),_xlfn.REGEXEXTRACT(CELL("address",AH135), "\$([A-Z]+)\$[0-9]+"))</f>
        <v/>
      </c>
      <c r="AI135" s="7" t="str">
        <f t="array" aca="1" ref="AI135" ca="1">IFERROR(IF(OR('Raw Data'!AI135="",LEN(TRIM('Raw Data'!AI135))=0),"",IF(AND(ISNUMBER('Raw Data'!AI135), IFERROR('Raw Data'!AI135 = ROUND('Raw Data'!AI135, 2),FALSE)),"",_xlfn.REGEXEXTRACT(CELL("address",AI135), "\$([A-Z]+)\$[0-9]+"))),_xlfn.REGEXEXTRACT(CELL("address",AI135), "\$([A-Z]+)\$[0-9]+"))</f>
        <v/>
      </c>
      <c r="AJ135" s="7" t="str">
        <f t="array" aca="1" ref="AJ135" ca="1">IFERROR(IF(OR('Raw Data'!AJ135="",LEN(TRIM('Raw Data'!AJ135))=0),"",IF(AND(ISNUMBER('Raw Data'!AJ135), IFERROR('Raw Data'!AJ135 = ROUND('Raw Data'!AJ135, 4),FALSE)),"",_xlfn.REGEXEXTRACT(CELL("address",AJ135), "\$([A-Z]+)\$[0-9]+"))),_xlfn.REGEXEXTRACT(CELL("address",AJ135), "\$([A-Z]+)\$[0-9]+"))</f>
        <v/>
      </c>
      <c r="AK135" s="7" t="str">
        <f t="array" aca="1" ref="AK135" ca="1">IFERROR(IF(OR('Raw Data'!AK135="",LEN(TRIM('Raw Data'!AK135))=0),"",IF(AND(ISNUMBER('Raw Data'!AK135), IFERROR('Raw Data'!AK135 = ROUND('Raw Data'!AK135, 2),FALSE)),"",_xlfn.REGEXEXTRACT(CELL("address",AK135), "\$([A-Z]+)\$[0-9]+"))),_xlfn.REGEXEXTRACT(CELL("address",AK135), "\$([A-Z]+)\$[0-9]+"))</f>
        <v/>
      </c>
      <c r="AL135" s="7" t="str">
        <f t="array" aca="1" ref="AL135" ca="1">IFERROR(IF(OR('Raw Data'!AL135="",LEN(TRIM('Raw Data'!AL135))=0),"",IF(AND(ISNUMBER('Raw Data'!AL135), IFERROR('Raw Data'!AL135 = ROUND('Raw Data'!AL135, 2),FALSE)),"",_xlfn.REGEXEXTRACT(CELL("address",AL135), "\$([A-Z]+)\$[0-9]+"))),_xlfn.REGEXEXTRACT(CELL("address",AL135), "\$([A-Z]+)\$[0-9]+"))</f>
        <v/>
      </c>
      <c r="AM135" s="7" t="str">
        <f t="array" aca="1" ref="AM135" ca="1">IFERROR(IF(OR('Raw Data'!AM135="",LEN(TRIM('Raw Data'!AM135))=0),"",IF(AND(ISNUMBER('Raw Data'!AM135), IFERROR('Raw Data'!AM135 = ROUND('Raw Data'!AM135, 2),FALSE)),"",_xlfn.REGEXEXTRACT(CELL("address",AM135), "\$([A-Z]+)\$[0-9]+"))),_xlfn.REGEXEXTRACT(CELL("address",AM135), "\$([A-Z]+)\$[0-9]+"))</f>
        <v/>
      </c>
      <c r="AN135" s="7" t="str">
        <f t="array" aca="1" ref="AN135" ca="1">IFERROR(IF(OR('Raw Data'!AN135="",LEN(TRIM('Raw Data'!AN135))=0),"",IF(AND(ISNUMBER('Raw Data'!AN135), IFERROR('Raw Data'!AN135 = ROUND('Raw Data'!AN135, 2),FALSE)),"",_xlfn.REGEXEXTRACT(CELL("address",AN135), "\$([A-Z]+)\$[0-9]+"))),_xlfn.REGEXEXTRACT(CELL("address",AN135), "\$([A-Z]+)\$[0-9]+"))</f>
        <v/>
      </c>
      <c r="AO135" s="7" t="str">
        <f t="array" aca="1" ref="AO135" ca="1">IFERROR(IF(OR('Raw Data'!AO135="",LEN(TRIM('Raw Data'!AO135))=0),"",IF(AND(ISNUMBER('Raw Data'!AO135), IFERROR('Raw Data'!AO135 = ROUND('Raw Data'!AO135, 2),FALSE)),"",_xlfn.REGEXEXTRACT(CELL("address",AO135), "\$([A-Z]+)\$[0-9]+"))),_xlfn.REGEXEXTRACT(CELL("address",AO135), "\$([A-Z]+)\$[0-9]+"))</f>
        <v/>
      </c>
      <c r="AP135" s="7" t="str">
        <f t="array" aca="1" ref="AP135" ca="1">IFERROR(IF(OR('Raw Data'!AP135="",LEN(TRIM('Raw Data'!AP135))=0),"",IF(AND(ISNUMBER('Raw Data'!AP135), IFERROR('Raw Data'!AP135 = ROUND('Raw Data'!AP135, 2),FALSE)),"",_xlfn.REGEXEXTRACT(CELL("address",AP135), "\$([A-Z]+)\$[0-9]+"))),_xlfn.REGEXEXTRACT(CELL("address",AP135), "\$([A-Z]+)\$[0-9]+"))</f>
        <v/>
      </c>
    </row>
    <row r="136" spans="2:42" x14ac:dyDescent="0.25">
      <c r="B136" s="7" t="str">
        <f t="array" aca="1" ref="B136" ca="1">IFERROR(IF(OR('Raw Data'!B136="",LEN(TRIM('Raw Data'!B136))=0),"",IF(AND(LEN('Raw Data'!B136) &lt;= 255,LEN('Raw Data'!B136)&gt; 0),"",_xlfn.REGEXEXTRACT(CELL("address",'Raw Data'!B136),"\$([A-Z]+)\$[0-9]+"))),_xlfn.REGEXEXTRACT(CELL("address",'Raw Data'!B136),"\$([A-Z]+)\$[0-9]+"))</f>
        <v/>
      </c>
      <c r="C136" s="7" t="str">
        <f t="array" aca="1" ref="C136" ca="1">IFERROR(IF(OR('Raw Data'!C136="",LEN(TRIM('Raw Data'!C136))=0),"",IF(AND(LEN('Raw Data'!C136) &lt;= 50,LEN('Raw Data'!C136)&gt; 0),"",_xlfn.REGEXEXTRACT(CELL("address",'Raw Data'!C136),"\$([A-Z]+)\$[0-9]+"))),_xlfn.REGEXEXTRACT(CELL("address",'Raw Data'!C136),"\$([A-Z]+)\$[0-9]+"))</f>
        <v/>
      </c>
      <c r="D136" s="7" t="str">
        <f t="array" aca="1" ref="D136" ca="1">IFERROR(IF(OR('Raw Data'!D136="",LEN(TRIM('Raw Data'!D136))=0),"",IF(AND(LEN('Raw Data'!D136) &lt;= 500,LEN('Raw Data'!D136)&gt; 0),"",_xlfn.REGEXEXTRACT(CELL("address",'Raw Data'!D136),"\$([A-Z]+)\$[0-9]+"))),_xlfn.REGEXEXTRACT(CELL("address",'Raw Data'!D136),"\$([A-Z]+)\$[0-9]+"))</f>
        <v/>
      </c>
      <c r="E136" s="7" t="str">
        <f t="array" aca="1" ref="E136" ca="1">IFERROR(IF(OR('Raw Data'!E136="",LEN(TRIM('Raw Data'!E136))=0),"",IF(AND(LEN('Raw Data'!E136) &lt;= 50,LEN('Raw Data'!E136)&gt; 0),"",_xlfn.REGEXEXTRACT(CELL("address",'Raw Data'!E136),"\$([A-Z]+)\$[0-9]+"))),_xlfn.REGEXEXTRACT(CELL("address",'Raw Data'!E136),"\$([A-Z]+)\$[0-9]+"))</f>
        <v/>
      </c>
      <c r="F136" s="7" t="str">
        <f t="array" aca="1" ref="F136" ca="1">IFERROR(IF(OR('Raw Data'!F136="",LEN(TRIM('Raw Data'!F136))=0),"",IF(AND(LEN('Raw Data'!F136) &lt;= 50,LEN('Raw Data'!F136)&gt; 0),"",_xlfn.REGEXEXTRACT(CELL("address",'Raw Data'!F136),"\$([A-Z]+)\$[0-9]+"))),_xlfn.REGEXEXTRACT(CELL("address",'Raw Data'!F136),"\$([A-Z]+)\$[0-9]+"))</f>
        <v/>
      </c>
      <c r="G136" s="7" t="str">
        <f t="array" aca="1" ref="G136" ca="1">IFERROR(IF(OR('Raw Data'!G136="",LEN(TRIM('Raw Data'!G136))=0),"",IF(AND(LEN('Raw Data'!G136) &lt;= 50,LEN('Raw Data'!G136)&gt; 0),"",_xlfn.REGEXEXTRACT(CELL("address",'Raw Data'!G136),"\$([A-Z]+)\$[0-9]+"))),_xlfn.REGEXEXTRACT(CELL("address",'Raw Data'!G136),"\$([A-Z]+)\$[0-9]+"))</f>
        <v/>
      </c>
      <c r="H136" s="7" t="str">
        <f t="array" aca="1" ref="H136" ca="1">IFERROR(IF(OR('Raw Data'!H136="",LEN(TRIM('Raw Data'!H136))=0),"",IF(AND(LEN('Raw Data'!H136) &lt;= 50,LEN('Raw Data'!H136)&gt; 0),"",_xlfn.REGEXEXTRACT(CELL("address",'Raw Data'!H136),"\$([A-Z]+)\$[0-9]+"))),_xlfn.REGEXEXTRACT(CELL("address",'Raw Data'!H136),"\$([A-Z]+)\$[0-9]+"))</f>
        <v/>
      </c>
      <c r="I136" s="7" t="str">
        <f t="array" aca="1" ref="I136" ca="1">IFERROR(IF(OR('Raw Data'!I136="",LEN(TRIM('Raw Data'!I136))=0),"",IF(AND(LEN('Raw Data'!I136) &lt;= 50,LEN('Raw Data'!I136)&gt; 0),"",_xlfn.REGEXEXTRACT(CELL("address",'Raw Data'!I136),"\$([A-Z]+)\$[0-9]+"))),_xlfn.REGEXEXTRACT(CELL("address",'Raw Data'!I136),"\$([A-Z]+)\$[0-9]+"))</f>
        <v/>
      </c>
      <c r="J136" s="7" t="str">
        <f t="array" aca="1" ref="J136" ca="1">IFERROR(IF(OR('Raw Data'!J136="",LEN(TRIM('Raw Data'!J136))=0),"",IF(AND(ISNUMBER('Raw Data'!J136), IFERROR('Raw Data'!J136 = ROUND('Raw Data'!J136, 2),FALSE)),"",_xlfn.REGEXEXTRACT(CELL("address",J136), "\$([A-Z]+)\$[0-9]+"))),_xlfn.REGEXEXTRACT(CELL("address",J136), "\$([A-Z]+)\$[0-9]+"))</f>
        <v/>
      </c>
      <c r="K136" s="7" t="str">
        <f t="array" aca="1" ref="K136" ca="1">IFERROR(IF(OR('Raw Data'!K136="",LEN(TRIM('Raw Data'!K136))=0),"",IF(AND(ISNUMBER('Raw Data'!K136), IFERROR('Raw Data'!K136 = ROUND('Raw Data'!K136, 2),FALSE)),"",_xlfn.REGEXEXTRACT(CELL("address",K136), "\$([A-Z]+)\$[0-9]+"))),_xlfn.REGEXEXTRACT(CELL("address",K136), "\$([A-Z]+)\$[0-9]+"))</f>
        <v/>
      </c>
      <c r="L136" s="7" t="str">
        <f t="array" aca="1" ref="L136" ca="1">IFERROR(IF(OR('Raw Data'!L136="",LEN(TRIM('Raw Data'!L136))=0),"",IF(AND(ISNUMBER('Raw Data'!L136), IFERROR('Raw Data'!L136 = ROUND('Raw Data'!L136, 2),FALSE)),"",_xlfn.REGEXEXTRACT(CELL("address",L136), "\$([A-Z]+)\$[0-9]+"))),_xlfn.REGEXEXTRACT(CELL("address",L136), "\$([A-Z]+)\$[0-9]+"))</f>
        <v/>
      </c>
      <c r="M136" s="7" t="str">
        <f t="array" aca="1" ref="M136" ca="1">IFERROR(IF(OR('Raw Data'!M136="",LEN(TRIM('Raw Data'!M136))=0),"",IF(AND(ISNUMBER('Raw Data'!M136), IFERROR('Raw Data'!M136 = ROUND('Raw Data'!M136, 2),FALSE)),"",_xlfn.REGEXEXTRACT(CELL("address",M136), "\$([A-Z]+)\$[0-9]+"))),_xlfn.REGEXEXTRACT(CELL("address",M136), "\$([A-Z]+)\$[0-9]+"))</f>
        <v/>
      </c>
      <c r="N136" s="7" t="str">
        <f t="array" aca="1" ref="N136" ca="1">IFERROR(IF(OR('Raw Data'!N136="",LEN(TRIM('Raw Data'!N136))=0),"",IF(AND(ISNUMBER('Raw Data'!N136), IFERROR('Raw Data'!N136 = ROUND('Raw Data'!N136, 2),FALSE)),"",_xlfn.REGEXEXTRACT(CELL("address",N136), "\$([A-Z]+)\$[0-9]+"))),_xlfn.REGEXEXTRACT(CELL("address",N136), "\$([A-Z]+)\$[0-9]+"))</f>
        <v/>
      </c>
      <c r="O136" s="7" t="str">
        <f t="array" aca="1" ref="O136" ca="1">IFERROR(IF(OR('Raw Data'!O136="",LEN(TRIM('Raw Data'!O136))=0),"",IF(AND(ISNUMBER('Raw Data'!O136),'Raw Data'!O136&gt;=Configuration!$D$2),"",_xlfn.REGEXEXTRACT(CELL("address",'Raw Data'!O136),"\$([A-Z]+)\$[0-9]+"))),_xlfn.REGEXEXTRACT(CELL("address",O136), "\$([A-Z]+)\$[0-9]+"))</f>
        <v/>
      </c>
      <c r="P136" s="7" t="str">
        <f t="array" aca="1" ref="P136" ca="1">IFERROR(IF(OR('Raw Data'!P136="",LEN(TRIM('Raw Data'!P136))=0),"",IF(AND(ISNUMBER('Raw Data'!P136), IFERROR('Raw Data'!P136 = ROUND('Raw Data'!P136, 2),FALSE)),"",_xlfn.REGEXEXTRACT(CELL("address",P136), "\$([A-Z]+)\$[0-9]+"))),_xlfn.REGEXEXTRACT(CELL("address",P136), "\$([A-Z]+)\$[0-9]+"))</f>
        <v/>
      </c>
      <c r="Q136" s="7" t="str">
        <f t="array" aca="1" ref="Q136" ca="1">IFERROR(IF(OR('Raw Data'!Q136="",LEN(TRIM('Raw Data'!Q136))=0),"",IF(AND(ISNUMBER('Raw Data'!Q136), IFERROR('Raw Data'!Q136 = ROUND('Raw Data'!Q136, 2),FALSE)),"",_xlfn.REGEXEXTRACT(CELL("address",Q136), "\$([A-Z]+)\$[0-9]+"))),_xlfn.REGEXEXTRACT(CELL("address",Q136), "\$([A-Z]+)\$[0-9]+"))</f>
        <v/>
      </c>
      <c r="R136" s="7" t="str">
        <f t="array" aca="1" ref="R136" ca="1">IFERROR(IF(OR('Raw Data'!R136="",LEN(TRIM('Raw Data'!R136))=0),"",IF(AND(LEN('Raw Data'!R136) &lt;= 50,LEN('Raw Data'!R136)&gt; 0),"",_xlfn.REGEXEXTRACT(CELL("address",'Raw Data'!R136),"\$([A-Z]+)\$[0-9]+"))),_xlfn.REGEXEXTRACT(CELL("address",'Raw Data'!R136),"\$([A-Z]+)\$[0-9]+"))</f>
        <v/>
      </c>
      <c r="S136" s="7" t="str">
        <f t="array" aca="1" ref="S136" ca="1">IFERROR(IF(OR('Raw Data'!S136="",LEN(TRIM('Raw Data'!S136))=0),"",IF(AND(LEN('Raw Data'!S136) &lt;= 50,LEN('Raw Data'!S136)&gt; 0),"",_xlfn.REGEXEXTRACT(CELL("address",'Raw Data'!S136),"\$([A-Z]+)\$[0-9]+"))),_xlfn.REGEXEXTRACT(CELL("address",'Raw Data'!S136),"\$([A-Z]+)\$[0-9]+"))</f>
        <v/>
      </c>
      <c r="T136" s="7" t="str">
        <f t="array" aca="1" ref="T136" ca="1">IFERROR(IF(OR('Raw Data'!T136="",LEN(TRIM('Raw Data'!T136))=0),"",IF(AND(ISNUMBER('Raw Data'!T136), IFERROR('Raw Data'!T136 = ROUND('Raw Data'!T136, 2),FALSE)),"",_xlfn.REGEXEXTRACT(CELL("address",T136), "\$([A-Z]+)\$[0-9]+"))),_xlfn.REGEXEXTRACT(CELL("address",T136), "\$([A-Z]+)\$[0-9]+"))</f>
        <v/>
      </c>
      <c r="U136" s="7" t="str">
        <f t="array" aca="1" ref="U136" ca="1">IFERROR(IF(OR('Raw Data'!U136="",LEN(TRIM('Raw Data'!U136))=0),"",IF(AND(ISNUMBER('Raw Data'!U136), IFERROR('Raw Data'!U136 = ROUND('Raw Data'!U136, 2),FALSE)),"",_xlfn.REGEXEXTRACT(CELL("address",U136), "\$([A-Z]+)\$[0-9]+"))),_xlfn.REGEXEXTRACT(CELL("address",U136), "\$([A-Z]+)\$[0-9]+"))</f>
        <v/>
      </c>
      <c r="V136" s="7" t="str">
        <f t="array" aca="1" ref="V136" ca="1">IFERROR(IF(OR('Raw Data'!V136="",LEN(TRIM('Raw Data'!V136))=0),"",IF(AND(ISNUMBER('Raw Data'!V136), IFERROR('Raw Data'!V136 = ROUND('Raw Data'!V136, 2),FALSE)),"",_xlfn.REGEXEXTRACT(CELL("address",V136), "\$([A-Z]+)\$[0-9]+"))),_xlfn.REGEXEXTRACT(CELL("address",V136), "\$([A-Z]+)\$[0-9]+"))</f>
        <v/>
      </c>
      <c r="W136" s="7" t="str">
        <f t="array" aca="1" ref="W136" ca="1">IFERROR(IF(OR('Raw Data'!W136="",LEN(TRIM('Raw Data'!W136))=0),"",IF(AND(ISNUMBER('Raw Data'!W136), IFERROR('Raw Data'!W136 = ROUND('Raw Data'!W136, 2),FALSE)),"",_xlfn.REGEXEXTRACT(CELL("address",W136), "\$([A-Z]+)\$[0-9]+"))),_xlfn.REGEXEXTRACT(CELL("address",W136), "\$([A-Z]+)\$[0-9]+"))</f>
        <v/>
      </c>
      <c r="X136" s="7" t="str">
        <f t="array" aca="1" ref="X136" ca="1">IFERROR(IF(OR('Raw Data'!X136="",LEN(TRIM('Raw Data'!X136))=0),"",IF(AND(ISNUMBER('Raw Data'!X136), IFERROR('Raw Data'!X136 = ROUND('Raw Data'!X136, 2),FALSE)),"",_xlfn.REGEXEXTRACT(CELL("address",X136), "\$([A-Z]+)\$[0-9]+"))),_xlfn.REGEXEXTRACT(CELL("address",X136), "\$([A-Z]+)\$[0-9]+"))</f>
        <v/>
      </c>
      <c r="Y136" s="7" t="str">
        <f t="array" aca="1" ref="Y136" ca="1">IFERROR(IF(OR('Raw Data'!Y136="",LEN(TRIM('Raw Data'!Y136))=0),"",IF(AND(ISNUMBER('Raw Data'!Y136), IFERROR('Raw Data'!Y136 = ROUND('Raw Data'!Y136, 2),FALSE)),"",_xlfn.REGEXEXTRACT(CELL("address",Y136), "\$([A-Z]+)\$[0-9]+"))),_xlfn.REGEXEXTRACT(CELL("address",Y136), "\$([A-Z]+)\$[0-9]+"))</f>
        <v/>
      </c>
      <c r="Z136" s="7" t="str">
        <f t="array" aca="1" ref="Z136" ca="1">IFERROR(IF(OR('Raw Data'!Z136="",LEN(TRIM('Raw Data'!Z136))=0),"",IF(AND(ISNUMBER('Raw Data'!Z136), IFERROR('Raw Data'!Z136 = ROUND('Raw Data'!Z136, 2),FALSE)),"",_xlfn.REGEXEXTRACT(CELL("address",Z136), "\$([A-Z]+)\$[0-9]+"))),_xlfn.REGEXEXTRACT(CELL("address",Z136), "\$([A-Z]+)\$[0-9]+"))</f>
        <v/>
      </c>
      <c r="AA136" s="7" t="str">
        <f t="array" aca="1" ref="AA136" ca="1">IFERROR(IF(OR('Raw Data'!AA136="",LEN(TRIM('Raw Data'!AA136))=0),"",IF(AND(ISNUMBER('Raw Data'!AA136), IFERROR('Raw Data'!AA136 = ROUND('Raw Data'!AA136, 2),FALSE)),"",_xlfn.REGEXEXTRACT(CELL("address",AA136), "\$([A-Z]+)\$[0-9]+"))),_xlfn.REGEXEXTRACT(CELL("address",AA136), "\$([A-Z]+)\$[0-9]+"))</f>
        <v/>
      </c>
      <c r="AB136" s="7" t="str">
        <f t="array" aca="1" ref="AB136" ca="1">IFERROR(IF(OR('Raw Data'!AB136="",LEN(TRIM('Raw Data'!AB136))=0),"",IF(AND(ISNUMBER('Raw Data'!AB136), IFERROR('Raw Data'!AB136 = ROUND('Raw Data'!AB136, 2),FALSE)),"",_xlfn.REGEXEXTRACT(CELL("address",AB136), "\$([A-Z]+)\$[0-9]+"))),_xlfn.REGEXEXTRACT(CELL("address",AB136), "\$([A-Z]+)\$[0-9]+"))</f>
        <v/>
      </c>
      <c r="AC136" s="7" t="str">
        <f t="array" aca="1" ref="AC136" ca="1">IFERROR(IF(OR('Raw Data'!AC136="",LEN(TRIM('Raw Data'!AC136))=0),"",IF(AND(ISNUMBER('Raw Data'!AC136), IFERROR('Raw Data'!AC136 = ROUND('Raw Data'!AC136, 2),FALSE)),"",_xlfn.REGEXEXTRACT(CELL("address",AC136), "\$([A-Z]+)\$[0-9]+"))),_xlfn.REGEXEXTRACT(CELL("address",AC136), "\$([A-Z]+)\$[0-9]+"))</f>
        <v/>
      </c>
      <c r="AD136" s="7" t="str">
        <f t="array" aca="1" ref="AD136" ca="1">IFERROR(IF(OR('Raw Data'!AD136="",LEN(TRIM('Raw Data'!AD136))=0),"",IF(AND(ISNUMBER('Raw Data'!AD136), IFERROR('Raw Data'!AD136 = ROUND('Raw Data'!AD136, 2),FALSE)),"",_xlfn.REGEXEXTRACT(CELL("address",AD136), "\$([A-Z]+)\$[0-9]+"))),_xlfn.REGEXEXTRACT(CELL("address",AD136), "\$([A-Z]+)\$[0-9]+"))</f>
        <v/>
      </c>
      <c r="AE136" s="7" t="str">
        <f t="array" aca="1" ref="AE136" ca="1">IFERROR(IF(OR('Raw Data'!AE136="",LEN(TRIM('Raw Data'!AE136))=0),"",IF(AND(ISNUMBER('Raw Data'!AE136), IFERROR('Raw Data'!AE136 = ROUND('Raw Data'!AE136, 2),FALSE)),"",_xlfn.REGEXEXTRACT(CELL("address",AE136), "\$([A-Z]+)\$[0-9]+"))),_xlfn.REGEXEXTRACT(CELL("address",AE136), "\$([A-Z]+)\$[0-9]+"))</f>
        <v/>
      </c>
      <c r="AF136" s="7" t="str">
        <f t="array" aca="1" ref="AF136" ca="1">IFERROR(IF(OR('Raw Data'!AF136="",LEN(TRIM('Raw Data'!AF136))=0),"",IF(AND(ISNUMBER('Raw Data'!AF136), IFERROR('Raw Data'!AF136 = ROUND('Raw Data'!AF136, 2),FALSE)),"",_xlfn.REGEXEXTRACT(CELL("address",AF136), "\$([A-Z]+)\$[0-9]+"))),_xlfn.REGEXEXTRACT(CELL("address",AF136), "\$([A-Z]+)\$[0-9]+"))</f>
        <v/>
      </c>
      <c r="AG136" s="7" t="str">
        <f t="array" aca="1" ref="AG136" ca="1">IFERROR(IF(OR('Raw Data'!AG136="",LEN(TRIM('Raw Data'!AG136))=0),"",IF(AND(ISNUMBER('Raw Data'!AG136), IFERROR('Raw Data'!AG136 = ROUND('Raw Data'!AG136, 2),FALSE)),"",_xlfn.REGEXEXTRACT(CELL("address",AG136), "\$([A-Z]+)\$[0-9]+"))),_xlfn.REGEXEXTRACT(CELL("address",AG136), "\$([A-Z]+)\$[0-9]+"))</f>
        <v/>
      </c>
      <c r="AH136" s="7" t="str">
        <f t="array" aca="1" ref="AH136" ca="1">IFERROR(IF(OR('Raw Data'!AH136="",LEN(TRIM('Raw Data'!AH136))=0),"",IF(AND(ISNUMBER('Raw Data'!AH136), IFERROR('Raw Data'!AH136 = ROUND('Raw Data'!AH136, 2),FALSE)),"",_xlfn.REGEXEXTRACT(CELL("address",AH136), "\$([A-Z]+)\$[0-9]+"))),_xlfn.REGEXEXTRACT(CELL("address",AH136), "\$([A-Z]+)\$[0-9]+"))</f>
        <v/>
      </c>
      <c r="AI136" s="7" t="str">
        <f t="array" aca="1" ref="AI136" ca="1">IFERROR(IF(OR('Raw Data'!AI136="",LEN(TRIM('Raw Data'!AI136))=0),"",IF(AND(ISNUMBER('Raw Data'!AI136), IFERROR('Raw Data'!AI136 = ROUND('Raw Data'!AI136, 2),FALSE)),"",_xlfn.REGEXEXTRACT(CELL("address",AI136), "\$([A-Z]+)\$[0-9]+"))),_xlfn.REGEXEXTRACT(CELL("address",AI136), "\$([A-Z]+)\$[0-9]+"))</f>
        <v/>
      </c>
      <c r="AJ136" s="7" t="str">
        <f t="array" aca="1" ref="AJ136" ca="1">IFERROR(IF(OR('Raw Data'!AJ136="",LEN(TRIM('Raw Data'!AJ136))=0),"",IF(AND(ISNUMBER('Raw Data'!AJ136), IFERROR('Raw Data'!AJ136 = ROUND('Raw Data'!AJ136, 4),FALSE)),"",_xlfn.REGEXEXTRACT(CELL("address",AJ136), "\$([A-Z]+)\$[0-9]+"))),_xlfn.REGEXEXTRACT(CELL("address",AJ136), "\$([A-Z]+)\$[0-9]+"))</f>
        <v/>
      </c>
      <c r="AK136" s="7" t="str">
        <f t="array" aca="1" ref="AK136" ca="1">IFERROR(IF(OR('Raw Data'!AK136="",LEN(TRIM('Raw Data'!AK136))=0),"",IF(AND(ISNUMBER('Raw Data'!AK136), IFERROR('Raw Data'!AK136 = ROUND('Raw Data'!AK136, 2),FALSE)),"",_xlfn.REGEXEXTRACT(CELL("address",AK136), "\$([A-Z]+)\$[0-9]+"))),_xlfn.REGEXEXTRACT(CELL("address",AK136), "\$([A-Z]+)\$[0-9]+"))</f>
        <v/>
      </c>
      <c r="AL136" s="7" t="str">
        <f t="array" aca="1" ref="AL136" ca="1">IFERROR(IF(OR('Raw Data'!AL136="",LEN(TRIM('Raw Data'!AL136))=0),"",IF(AND(ISNUMBER('Raw Data'!AL136), IFERROR('Raw Data'!AL136 = ROUND('Raw Data'!AL136, 2),FALSE)),"",_xlfn.REGEXEXTRACT(CELL("address",AL136), "\$([A-Z]+)\$[0-9]+"))),_xlfn.REGEXEXTRACT(CELL("address",AL136), "\$([A-Z]+)\$[0-9]+"))</f>
        <v/>
      </c>
      <c r="AM136" s="7" t="str">
        <f t="array" aca="1" ref="AM136" ca="1">IFERROR(IF(OR('Raw Data'!AM136="",LEN(TRIM('Raw Data'!AM136))=0),"",IF(AND(ISNUMBER('Raw Data'!AM136), IFERROR('Raw Data'!AM136 = ROUND('Raw Data'!AM136, 2),FALSE)),"",_xlfn.REGEXEXTRACT(CELL("address",AM136), "\$([A-Z]+)\$[0-9]+"))),_xlfn.REGEXEXTRACT(CELL("address",AM136), "\$([A-Z]+)\$[0-9]+"))</f>
        <v/>
      </c>
      <c r="AN136" s="7" t="str">
        <f t="array" aca="1" ref="AN136" ca="1">IFERROR(IF(OR('Raw Data'!AN136="",LEN(TRIM('Raw Data'!AN136))=0),"",IF(AND(ISNUMBER('Raw Data'!AN136), IFERROR('Raw Data'!AN136 = ROUND('Raw Data'!AN136, 2),FALSE)),"",_xlfn.REGEXEXTRACT(CELL("address",AN136), "\$([A-Z]+)\$[0-9]+"))),_xlfn.REGEXEXTRACT(CELL("address",AN136), "\$([A-Z]+)\$[0-9]+"))</f>
        <v/>
      </c>
      <c r="AO136" s="7" t="str">
        <f t="array" aca="1" ref="AO136" ca="1">IFERROR(IF(OR('Raw Data'!AO136="",LEN(TRIM('Raw Data'!AO136))=0),"",IF(AND(ISNUMBER('Raw Data'!AO136), IFERROR('Raw Data'!AO136 = ROUND('Raw Data'!AO136, 2),FALSE)),"",_xlfn.REGEXEXTRACT(CELL("address",AO136), "\$([A-Z]+)\$[0-9]+"))),_xlfn.REGEXEXTRACT(CELL("address",AO136), "\$([A-Z]+)\$[0-9]+"))</f>
        <v/>
      </c>
      <c r="AP136" s="7" t="str">
        <f t="array" aca="1" ref="AP136" ca="1">IFERROR(IF(OR('Raw Data'!AP136="",LEN(TRIM('Raw Data'!AP136))=0),"",IF(AND(ISNUMBER('Raw Data'!AP136), IFERROR('Raw Data'!AP136 = ROUND('Raw Data'!AP136, 2),FALSE)),"",_xlfn.REGEXEXTRACT(CELL("address",AP136), "\$([A-Z]+)\$[0-9]+"))),_xlfn.REGEXEXTRACT(CELL("address",AP136), "\$([A-Z]+)\$[0-9]+"))</f>
        <v/>
      </c>
    </row>
    <row r="137" spans="2:42" x14ac:dyDescent="0.25">
      <c r="B137" s="7" t="str">
        <f t="array" aca="1" ref="B137" ca="1">IFERROR(IF(OR('Raw Data'!B137="",LEN(TRIM('Raw Data'!B137))=0),"",IF(AND(LEN('Raw Data'!B137) &lt;= 255,LEN('Raw Data'!B137)&gt; 0),"",_xlfn.REGEXEXTRACT(CELL("address",'Raw Data'!B137),"\$([A-Z]+)\$[0-9]+"))),_xlfn.REGEXEXTRACT(CELL("address",'Raw Data'!B137),"\$([A-Z]+)\$[0-9]+"))</f>
        <v/>
      </c>
      <c r="C137" s="7" t="str">
        <f t="array" aca="1" ref="C137" ca="1">IFERROR(IF(OR('Raw Data'!C137="",LEN(TRIM('Raw Data'!C137))=0),"",IF(AND(LEN('Raw Data'!C137) &lt;= 50,LEN('Raw Data'!C137)&gt; 0),"",_xlfn.REGEXEXTRACT(CELL("address",'Raw Data'!C137),"\$([A-Z]+)\$[0-9]+"))),_xlfn.REGEXEXTRACT(CELL("address",'Raw Data'!C137),"\$([A-Z]+)\$[0-9]+"))</f>
        <v/>
      </c>
      <c r="D137" s="7" t="str">
        <f t="array" aca="1" ref="D137" ca="1">IFERROR(IF(OR('Raw Data'!D137="",LEN(TRIM('Raw Data'!D137))=0),"",IF(AND(LEN('Raw Data'!D137) &lt;= 500,LEN('Raw Data'!D137)&gt; 0),"",_xlfn.REGEXEXTRACT(CELL("address",'Raw Data'!D137),"\$([A-Z]+)\$[0-9]+"))),_xlfn.REGEXEXTRACT(CELL("address",'Raw Data'!D137),"\$([A-Z]+)\$[0-9]+"))</f>
        <v/>
      </c>
      <c r="E137" s="7" t="str">
        <f t="array" aca="1" ref="E137" ca="1">IFERROR(IF(OR('Raw Data'!E137="",LEN(TRIM('Raw Data'!E137))=0),"",IF(AND(LEN('Raw Data'!E137) &lt;= 50,LEN('Raw Data'!E137)&gt; 0),"",_xlfn.REGEXEXTRACT(CELL("address",'Raw Data'!E137),"\$([A-Z]+)\$[0-9]+"))),_xlfn.REGEXEXTRACT(CELL("address",'Raw Data'!E137),"\$([A-Z]+)\$[0-9]+"))</f>
        <v/>
      </c>
      <c r="F137" s="7" t="str">
        <f t="array" aca="1" ref="F137" ca="1">IFERROR(IF(OR('Raw Data'!F137="",LEN(TRIM('Raw Data'!F137))=0),"",IF(AND(LEN('Raw Data'!F137) &lt;= 50,LEN('Raw Data'!F137)&gt; 0),"",_xlfn.REGEXEXTRACT(CELL("address",'Raw Data'!F137),"\$([A-Z]+)\$[0-9]+"))),_xlfn.REGEXEXTRACT(CELL("address",'Raw Data'!F137),"\$([A-Z]+)\$[0-9]+"))</f>
        <v/>
      </c>
      <c r="G137" s="7" t="str">
        <f t="array" aca="1" ref="G137" ca="1">IFERROR(IF(OR('Raw Data'!G137="",LEN(TRIM('Raw Data'!G137))=0),"",IF(AND(LEN('Raw Data'!G137) &lt;= 50,LEN('Raw Data'!G137)&gt; 0),"",_xlfn.REGEXEXTRACT(CELL("address",'Raw Data'!G137),"\$([A-Z]+)\$[0-9]+"))),_xlfn.REGEXEXTRACT(CELL("address",'Raw Data'!G137),"\$([A-Z]+)\$[0-9]+"))</f>
        <v/>
      </c>
      <c r="H137" s="7" t="str">
        <f t="array" aca="1" ref="H137" ca="1">IFERROR(IF(OR('Raw Data'!H137="",LEN(TRIM('Raw Data'!H137))=0),"",IF(AND(LEN('Raw Data'!H137) &lt;= 50,LEN('Raw Data'!H137)&gt; 0),"",_xlfn.REGEXEXTRACT(CELL("address",'Raw Data'!H137),"\$([A-Z]+)\$[0-9]+"))),_xlfn.REGEXEXTRACT(CELL("address",'Raw Data'!H137),"\$([A-Z]+)\$[0-9]+"))</f>
        <v/>
      </c>
      <c r="I137" s="7" t="str">
        <f t="array" aca="1" ref="I137" ca="1">IFERROR(IF(OR('Raw Data'!I137="",LEN(TRIM('Raw Data'!I137))=0),"",IF(AND(LEN('Raw Data'!I137) &lt;= 50,LEN('Raw Data'!I137)&gt; 0),"",_xlfn.REGEXEXTRACT(CELL("address",'Raw Data'!I137),"\$([A-Z]+)\$[0-9]+"))),_xlfn.REGEXEXTRACT(CELL("address",'Raw Data'!I137),"\$([A-Z]+)\$[0-9]+"))</f>
        <v/>
      </c>
      <c r="J137" s="7" t="str">
        <f t="array" aca="1" ref="J137" ca="1">IFERROR(IF(OR('Raw Data'!J137="",LEN(TRIM('Raw Data'!J137))=0),"",IF(AND(ISNUMBER('Raw Data'!J137), IFERROR('Raw Data'!J137 = ROUND('Raw Data'!J137, 2),FALSE)),"",_xlfn.REGEXEXTRACT(CELL("address",J137), "\$([A-Z]+)\$[0-9]+"))),_xlfn.REGEXEXTRACT(CELL("address",J137), "\$([A-Z]+)\$[0-9]+"))</f>
        <v/>
      </c>
      <c r="K137" s="7" t="str">
        <f t="array" aca="1" ref="K137" ca="1">IFERROR(IF(OR('Raw Data'!K137="",LEN(TRIM('Raw Data'!K137))=0),"",IF(AND(ISNUMBER('Raw Data'!K137), IFERROR('Raw Data'!K137 = ROUND('Raw Data'!K137, 2),FALSE)),"",_xlfn.REGEXEXTRACT(CELL("address",K137), "\$([A-Z]+)\$[0-9]+"))),_xlfn.REGEXEXTRACT(CELL("address",K137), "\$([A-Z]+)\$[0-9]+"))</f>
        <v/>
      </c>
      <c r="L137" s="7" t="str">
        <f t="array" aca="1" ref="L137" ca="1">IFERROR(IF(OR('Raw Data'!L137="",LEN(TRIM('Raw Data'!L137))=0),"",IF(AND(ISNUMBER('Raw Data'!L137), IFERROR('Raw Data'!L137 = ROUND('Raw Data'!L137, 2),FALSE)),"",_xlfn.REGEXEXTRACT(CELL("address",L137), "\$([A-Z]+)\$[0-9]+"))),_xlfn.REGEXEXTRACT(CELL("address",L137), "\$([A-Z]+)\$[0-9]+"))</f>
        <v/>
      </c>
      <c r="M137" s="7" t="str">
        <f t="array" aca="1" ref="M137" ca="1">IFERROR(IF(OR('Raw Data'!M137="",LEN(TRIM('Raw Data'!M137))=0),"",IF(AND(ISNUMBER('Raw Data'!M137), IFERROR('Raw Data'!M137 = ROUND('Raw Data'!M137, 2),FALSE)),"",_xlfn.REGEXEXTRACT(CELL("address",M137), "\$([A-Z]+)\$[0-9]+"))),_xlfn.REGEXEXTRACT(CELL("address",M137), "\$([A-Z]+)\$[0-9]+"))</f>
        <v/>
      </c>
      <c r="N137" s="7" t="str">
        <f t="array" aca="1" ref="N137" ca="1">IFERROR(IF(OR('Raw Data'!N137="",LEN(TRIM('Raw Data'!N137))=0),"",IF(AND(ISNUMBER('Raw Data'!N137), IFERROR('Raw Data'!N137 = ROUND('Raw Data'!N137, 2),FALSE)),"",_xlfn.REGEXEXTRACT(CELL("address",N137), "\$([A-Z]+)\$[0-9]+"))),_xlfn.REGEXEXTRACT(CELL("address",N137), "\$([A-Z]+)\$[0-9]+"))</f>
        <v/>
      </c>
      <c r="O137" s="7" t="str">
        <f t="array" aca="1" ref="O137" ca="1">IFERROR(IF(OR('Raw Data'!O137="",LEN(TRIM('Raw Data'!O137))=0),"",IF(AND(ISNUMBER('Raw Data'!O137),'Raw Data'!O137&gt;=Configuration!$D$2),"",_xlfn.REGEXEXTRACT(CELL("address",'Raw Data'!O137),"\$([A-Z]+)\$[0-9]+"))),_xlfn.REGEXEXTRACT(CELL("address",O137), "\$([A-Z]+)\$[0-9]+"))</f>
        <v/>
      </c>
      <c r="P137" s="7" t="str">
        <f t="array" aca="1" ref="P137" ca="1">IFERROR(IF(OR('Raw Data'!P137="",LEN(TRIM('Raw Data'!P137))=0),"",IF(AND(ISNUMBER('Raw Data'!P137), IFERROR('Raw Data'!P137 = ROUND('Raw Data'!P137, 2),FALSE)),"",_xlfn.REGEXEXTRACT(CELL("address",P137), "\$([A-Z]+)\$[0-9]+"))),_xlfn.REGEXEXTRACT(CELL("address",P137), "\$([A-Z]+)\$[0-9]+"))</f>
        <v/>
      </c>
      <c r="Q137" s="7" t="str">
        <f t="array" aca="1" ref="Q137" ca="1">IFERROR(IF(OR('Raw Data'!Q137="",LEN(TRIM('Raw Data'!Q137))=0),"",IF(AND(ISNUMBER('Raw Data'!Q137), IFERROR('Raw Data'!Q137 = ROUND('Raw Data'!Q137, 2),FALSE)),"",_xlfn.REGEXEXTRACT(CELL("address",Q137), "\$([A-Z]+)\$[0-9]+"))),_xlfn.REGEXEXTRACT(CELL("address",Q137), "\$([A-Z]+)\$[0-9]+"))</f>
        <v/>
      </c>
      <c r="R137" s="7" t="str">
        <f t="array" aca="1" ref="R137" ca="1">IFERROR(IF(OR('Raw Data'!R137="",LEN(TRIM('Raw Data'!R137))=0),"",IF(AND(LEN('Raw Data'!R137) &lt;= 50,LEN('Raw Data'!R137)&gt; 0),"",_xlfn.REGEXEXTRACT(CELL("address",'Raw Data'!R137),"\$([A-Z]+)\$[0-9]+"))),_xlfn.REGEXEXTRACT(CELL("address",'Raw Data'!R137),"\$([A-Z]+)\$[0-9]+"))</f>
        <v/>
      </c>
      <c r="S137" s="7" t="str">
        <f t="array" aca="1" ref="S137" ca="1">IFERROR(IF(OR('Raw Data'!S137="",LEN(TRIM('Raw Data'!S137))=0),"",IF(AND(LEN('Raw Data'!S137) &lt;= 50,LEN('Raw Data'!S137)&gt; 0),"",_xlfn.REGEXEXTRACT(CELL("address",'Raw Data'!S137),"\$([A-Z]+)\$[0-9]+"))),_xlfn.REGEXEXTRACT(CELL("address",'Raw Data'!S137),"\$([A-Z]+)\$[0-9]+"))</f>
        <v/>
      </c>
      <c r="T137" s="7" t="str">
        <f t="array" aca="1" ref="T137" ca="1">IFERROR(IF(OR('Raw Data'!T137="",LEN(TRIM('Raw Data'!T137))=0),"",IF(AND(ISNUMBER('Raw Data'!T137), IFERROR('Raw Data'!T137 = ROUND('Raw Data'!T137, 2),FALSE)),"",_xlfn.REGEXEXTRACT(CELL("address",T137), "\$([A-Z]+)\$[0-9]+"))),_xlfn.REGEXEXTRACT(CELL("address",T137), "\$([A-Z]+)\$[0-9]+"))</f>
        <v/>
      </c>
      <c r="U137" s="7" t="str">
        <f t="array" aca="1" ref="U137" ca="1">IFERROR(IF(OR('Raw Data'!U137="",LEN(TRIM('Raw Data'!U137))=0),"",IF(AND(ISNUMBER('Raw Data'!U137), IFERROR('Raw Data'!U137 = ROUND('Raw Data'!U137, 2),FALSE)),"",_xlfn.REGEXEXTRACT(CELL("address",U137), "\$([A-Z]+)\$[0-9]+"))),_xlfn.REGEXEXTRACT(CELL("address",U137), "\$([A-Z]+)\$[0-9]+"))</f>
        <v/>
      </c>
      <c r="V137" s="7" t="str">
        <f t="array" aca="1" ref="V137" ca="1">IFERROR(IF(OR('Raw Data'!V137="",LEN(TRIM('Raw Data'!V137))=0),"",IF(AND(ISNUMBER('Raw Data'!V137), IFERROR('Raw Data'!V137 = ROUND('Raw Data'!V137, 2),FALSE)),"",_xlfn.REGEXEXTRACT(CELL("address",V137), "\$([A-Z]+)\$[0-9]+"))),_xlfn.REGEXEXTRACT(CELL("address",V137), "\$([A-Z]+)\$[0-9]+"))</f>
        <v/>
      </c>
      <c r="W137" s="7" t="str">
        <f t="array" aca="1" ref="W137" ca="1">IFERROR(IF(OR('Raw Data'!W137="",LEN(TRIM('Raw Data'!W137))=0),"",IF(AND(ISNUMBER('Raw Data'!W137), IFERROR('Raw Data'!W137 = ROUND('Raw Data'!W137, 2),FALSE)),"",_xlfn.REGEXEXTRACT(CELL("address",W137), "\$([A-Z]+)\$[0-9]+"))),_xlfn.REGEXEXTRACT(CELL("address",W137), "\$([A-Z]+)\$[0-9]+"))</f>
        <v/>
      </c>
      <c r="X137" s="7" t="str">
        <f t="array" aca="1" ref="X137" ca="1">IFERROR(IF(OR('Raw Data'!X137="",LEN(TRIM('Raw Data'!X137))=0),"",IF(AND(ISNUMBER('Raw Data'!X137), IFERROR('Raw Data'!X137 = ROUND('Raw Data'!X137, 2),FALSE)),"",_xlfn.REGEXEXTRACT(CELL("address",X137), "\$([A-Z]+)\$[0-9]+"))),_xlfn.REGEXEXTRACT(CELL("address",X137), "\$([A-Z]+)\$[0-9]+"))</f>
        <v/>
      </c>
      <c r="Y137" s="7" t="str">
        <f t="array" aca="1" ref="Y137" ca="1">IFERROR(IF(OR('Raw Data'!Y137="",LEN(TRIM('Raw Data'!Y137))=0),"",IF(AND(ISNUMBER('Raw Data'!Y137), IFERROR('Raw Data'!Y137 = ROUND('Raw Data'!Y137, 2),FALSE)),"",_xlfn.REGEXEXTRACT(CELL("address",Y137), "\$([A-Z]+)\$[0-9]+"))),_xlfn.REGEXEXTRACT(CELL("address",Y137), "\$([A-Z]+)\$[0-9]+"))</f>
        <v/>
      </c>
      <c r="Z137" s="7" t="str">
        <f t="array" aca="1" ref="Z137" ca="1">IFERROR(IF(OR('Raw Data'!Z137="",LEN(TRIM('Raw Data'!Z137))=0),"",IF(AND(ISNUMBER('Raw Data'!Z137), IFERROR('Raw Data'!Z137 = ROUND('Raw Data'!Z137, 2),FALSE)),"",_xlfn.REGEXEXTRACT(CELL("address",Z137), "\$([A-Z]+)\$[0-9]+"))),_xlfn.REGEXEXTRACT(CELL("address",Z137), "\$([A-Z]+)\$[0-9]+"))</f>
        <v/>
      </c>
      <c r="AA137" s="7" t="str">
        <f t="array" aca="1" ref="AA137" ca="1">IFERROR(IF(OR('Raw Data'!AA137="",LEN(TRIM('Raw Data'!AA137))=0),"",IF(AND(ISNUMBER('Raw Data'!AA137), IFERROR('Raw Data'!AA137 = ROUND('Raw Data'!AA137, 2),FALSE)),"",_xlfn.REGEXEXTRACT(CELL("address",AA137), "\$([A-Z]+)\$[0-9]+"))),_xlfn.REGEXEXTRACT(CELL("address",AA137), "\$([A-Z]+)\$[0-9]+"))</f>
        <v/>
      </c>
      <c r="AB137" s="7" t="str">
        <f t="array" aca="1" ref="AB137" ca="1">IFERROR(IF(OR('Raw Data'!AB137="",LEN(TRIM('Raw Data'!AB137))=0),"",IF(AND(ISNUMBER('Raw Data'!AB137), IFERROR('Raw Data'!AB137 = ROUND('Raw Data'!AB137, 2),FALSE)),"",_xlfn.REGEXEXTRACT(CELL("address",AB137), "\$([A-Z]+)\$[0-9]+"))),_xlfn.REGEXEXTRACT(CELL("address",AB137), "\$([A-Z]+)\$[0-9]+"))</f>
        <v/>
      </c>
      <c r="AC137" s="7" t="str">
        <f t="array" aca="1" ref="AC137" ca="1">IFERROR(IF(OR('Raw Data'!AC137="",LEN(TRIM('Raw Data'!AC137))=0),"",IF(AND(ISNUMBER('Raw Data'!AC137), IFERROR('Raw Data'!AC137 = ROUND('Raw Data'!AC137, 2),FALSE)),"",_xlfn.REGEXEXTRACT(CELL("address",AC137), "\$([A-Z]+)\$[0-9]+"))),_xlfn.REGEXEXTRACT(CELL("address",AC137), "\$([A-Z]+)\$[0-9]+"))</f>
        <v/>
      </c>
      <c r="AD137" s="7" t="str">
        <f t="array" aca="1" ref="AD137" ca="1">IFERROR(IF(OR('Raw Data'!AD137="",LEN(TRIM('Raw Data'!AD137))=0),"",IF(AND(ISNUMBER('Raw Data'!AD137), IFERROR('Raw Data'!AD137 = ROUND('Raw Data'!AD137, 2),FALSE)),"",_xlfn.REGEXEXTRACT(CELL("address",AD137), "\$([A-Z]+)\$[0-9]+"))),_xlfn.REGEXEXTRACT(CELL("address",AD137), "\$([A-Z]+)\$[0-9]+"))</f>
        <v/>
      </c>
      <c r="AE137" s="7" t="str">
        <f t="array" aca="1" ref="AE137" ca="1">IFERROR(IF(OR('Raw Data'!AE137="",LEN(TRIM('Raw Data'!AE137))=0),"",IF(AND(ISNUMBER('Raw Data'!AE137), IFERROR('Raw Data'!AE137 = ROUND('Raw Data'!AE137, 2),FALSE)),"",_xlfn.REGEXEXTRACT(CELL("address",AE137), "\$([A-Z]+)\$[0-9]+"))),_xlfn.REGEXEXTRACT(CELL("address",AE137), "\$([A-Z]+)\$[0-9]+"))</f>
        <v/>
      </c>
      <c r="AF137" s="7" t="str">
        <f t="array" aca="1" ref="AF137" ca="1">IFERROR(IF(OR('Raw Data'!AF137="",LEN(TRIM('Raw Data'!AF137))=0),"",IF(AND(ISNUMBER('Raw Data'!AF137), IFERROR('Raw Data'!AF137 = ROUND('Raw Data'!AF137, 2),FALSE)),"",_xlfn.REGEXEXTRACT(CELL("address",AF137), "\$([A-Z]+)\$[0-9]+"))),_xlfn.REGEXEXTRACT(CELL("address",AF137), "\$([A-Z]+)\$[0-9]+"))</f>
        <v/>
      </c>
      <c r="AG137" s="7" t="str">
        <f t="array" aca="1" ref="AG137" ca="1">IFERROR(IF(OR('Raw Data'!AG137="",LEN(TRIM('Raw Data'!AG137))=0),"",IF(AND(ISNUMBER('Raw Data'!AG137), IFERROR('Raw Data'!AG137 = ROUND('Raw Data'!AG137, 2),FALSE)),"",_xlfn.REGEXEXTRACT(CELL("address",AG137), "\$([A-Z]+)\$[0-9]+"))),_xlfn.REGEXEXTRACT(CELL("address",AG137), "\$([A-Z]+)\$[0-9]+"))</f>
        <v/>
      </c>
      <c r="AH137" s="7" t="str">
        <f t="array" aca="1" ref="AH137" ca="1">IFERROR(IF(OR('Raw Data'!AH137="",LEN(TRIM('Raw Data'!AH137))=0),"",IF(AND(ISNUMBER('Raw Data'!AH137), IFERROR('Raw Data'!AH137 = ROUND('Raw Data'!AH137, 2),FALSE)),"",_xlfn.REGEXEXTRACT(CELL("address",AH137), "\$([A-Z]+)\$[0-9]+"))),_xlfn.REGEXEXTRACT(CELL("address",AH137), "\$([A-Z]+)\$[0-9]+"))</f>
        <v/>
      </c>
      <c r="AI137" s="7" t="str">
        <f t="array" aca="1" ref="AI137" ca="1">IFERROR(IF(OR('Raw Data'!AI137="",LEN(TRIM('Raw Data'!AI137))=0),"",IF(AND(ISNUMBER('Raw Data'!AI137), IFERROR('Raw Data'!AI137 = ROUND('Raw Data'!AI137, 2),FALSE)),"",_xlfn.REGEXEXTRACT(CELL("address",AI137), "\$([A-Z]+)\$[0-9]+"))),_xlfn.REGEXEXTRACT(CELL("address",AI137), "\$([A-Z]+)\$[0-9]+"))</f>
        <v/>
      </c>
      <c r="AJ137" s="7" t="str">
        <f t="array" aca="1" ref="AJ137" ca="1">IFERROR(IF(OR('Raw Data'!AJ137="",LEN(TRIM('Raw Data'!AJ137))=0),"",IF(AND(ISNUMBER('Raw Data'!AJ137), IFERROR('Raw Data'!AJ137 = ROUND('Raw Data'!AJ137, 4),FALSE)),"",_xlfn.REGEXEXTRACT(CELL("address",AJ137), "\$([A-Z]+)\$[0-9]+"))),_xlfn.REGEXEXTRACT(CELL("address",AJ137), "\$([A-Z]+)\$[0-9]+"))</f>
        <v/>
      </c>
      <c r="AK137" s="7" t="str">
        <f t="array" aca="1" ref="AK137" ca="1">IFERROR(IF(OR('Raw Data'!AK137="",LEN(TRIM('Raw Data'!AK137))=0),"",IF(AND(ISNUMBER('Raw Data'!AK137), IFERROR('Raw Data'!AK137 = ROUND('Raw Data'!AK137, 2),FALSE)),"",_xlfn.REGEXEXTRACT(CELL("address",AK137), "\$([A-Z]+)\$[0-9]+"))),_xlfn.REGEXEXTRACT(CELL("address",AK137), "\$([A-Z]+)\$[0-9]+"))</f>
        <v/>
      </c>
      <c r="AL137" s="7" t="str">
        <f t="array" aca="1" ref="AL137" ca="1">IFERROR(IF(OR('Raw Data'!AL137="",LEN(TRIM('Raw Data'!AL137))=0),"",IF(AND(ISNUMBER('Raw Data'!AL137), IFERROR('Raw Data'!AL137 = ROUND('Raw Data'!AL137, 2),FALSE)),"",_xlfn.REGEXEXTRACT(CELL("address",AL137), "\$([A-Z]+)\$[0-9]+"))),_xlfn.REGEXEXTRACT(CELL("address",AL137), "\$([A-Z]+)\$[0-9]+"))</f>
        <v/>
      </c>
      <c r="AM137" s="7" t="str">
        <f t="array" aca="1" ref="AM137" ca="1">IFERROR(IF(OR('Raw Data'!AM137="",LEN(TRIM('Raw Data'!AM137))=0),"",IF(AND(ISNUMBER('Raw Data'!AM137), IFERROR('Raw Data'!AM137 = ROUND('Raw Data'!AM137, 2),FALSE)),"",_xlfn.REGEXEXTRACT(CELL("address",AM137), "\$([A-Z]+)\$[0-9]+"))),_xlfn.REGEXEXTRACT(CELL("address",AM137), "\$([A-Z]+)\$[0-9]+"))</f>
        <v/>
      </c>
      <c r="AN137" s="7" t="str">
        <f t="array" aca="1" ref="AN137" ca="1">IFERROR(IF(OR('Raw Data'!AN137="",LEN(TRIM('Raw Data'!AN137))=0),"",IF(AND(ISNUMBER('Raw Data'!AN137), IFERROR('Raw Data'!AN137 = ROUND('Raw Data'!AN137, 2),FALSE)),"",_xlfn.REGEXEXTRACT(CELL("address",AN137), "\$([A-Z]+)\$[0-9]+"))),_xlfn.REGEXEXTRACT(CELL("address",AN137), "\$([A-Z]+)\$[0-9]+"))</f>
        <v/>
      </c>
      <c r="AO137" s="7" t="str">
        <f t="array" aca="1" ref="AO137" ca="1">IFERROR(IF(OR('Raw Data'!AO137="",LEN(TRIM('Raw Data'!AO137))=0),"",IF(AND(ISNUMBER('Raw Data'!AO137), IFERROR('Raw Data'!AO137 = ROUND('Raw Data'!AO137, 2),FALSE)),"",_xlfn.REGEXEXTRACT(CELL("address",AO137), "\$([A-Z]+)\$[0-9]+"))),_xlfn.REGEXEXTRACT(CELL("address",AO137), "\$([A-Z]+)\$[0-9]+"))</f>
        <v/>
      </c>
      <c r="AP137" s="7" t="str">
        <f t="array" aca="1" ref="AP137" ca="1">IFERROR(IF(OR('Raw Data'!AP137="",LEN(TRIM('Raw Data'!AP137))=0),"",IF(AND(ISNUMBER('Raw Data'!AP137), IFERROR('Raw Data'!AP137 = ROUND('Raw Data'!AP137, 2),FALSE)),"",_xlfn.REGEXEXTRACT(CELL("address",AP137), "\$([A-Z]+)\$[0-9]+"))),_xlfn.REGEXEXTRACT(CELL("address",AP137), "\$([A-Z]+)\$[0-9]+"))</f>
        <v/>
      </c>
    </row>
    <row r="138" spans="2:42" x14ac:dyDescent="0.25">
      <c r="B138" s="7" t="str">
        <f t="array" aca="1" ref="B138" ca="1">IFERROR(IF(OR('Raw Data'!B138="",LEN(TRIM('Raw Data'!B138))=0),"",IF(AND(LEN('Raw Data'!B138) &lt;= 255,LEN('Raw Data'!B138)&gt; 0),"",_xlfn.REGEXEXTRACT(CELL("address",'Raw Data'!B138),"\$([A-Z]+)\$[0-9]+"))),_xlfn.REGEXEXTRACT(CELL("address",'Raw Data'!B138),"\$([A-Z]+)\$[0-9]+"))</f>
        <v/>
      </c>
      <c r="C138" s="7" t="str">
        <f t="array" aca="1" ref="C138" ca="1">IFERROR(IF(OR('Raw Data'!C138="",LEN(TRIM('Raw Data'!C138))=0),"",IF(AND(LEN('Raw Data'!C138) &lt;= 50,LEN('Raw Data'!C138)&gt; 0),"",_xlfn.REGEXEXTRACT(CELL("address",'Raw Data'!C138),"\$([A-Z]+)\$[0-9]+"))),_xlfn.REGEXEXTRACT(CELL("address",'Raw Data'!C138),"\$([A-Z]+)\$[0-9]+"))</f>
        <v/>
      </c>
      <c r="D138" s="7" t="str">
        <f t="array" aca="1" ref="D138" ca="1">IFERROR(IF(OR('Raw Data'!D138="",LEN(TRIM('Raw Data'!D138))=0),"",IF(AND(LEN('Raw Data'!D138) &lt;= 500,LEN('Raw Data'!D138)&gt; 0),"",_xlfn.REGEXEXTRACT(CELL("address",'Raw Data'!D138),"\$([A-Z]+)\$[0-9]+"))),_xlfn.REGEXEXTRACT(CELL("address",'Raw Data'!D138),"\$([A-Z]+)\$[0-9]+"))</f>
        <v/>
      </c>
      <c r="E138" s="7" t="str">
        <f t="array" aca="1" ref="E138" ca="1">IFERROR(IF(OR('Raw Data'!E138="",LEN(TRIM('Raw Data'!E138))=0),"",IF(AND(LEN('Raw Data'!E138) &lt;= 50,LEN('Raw Data'!E138)&gt; 0),"",_xlfn.REGEXEXTRACT(CELL("address",'Raw Data'!E138),"\$([A-Z]+)\$[0-9]+"))),_xlfn.REGEXEXTRACT(CELL("address",'Raw Data'!E138),"\$([A-Z]+)\$[0-9]+"))</f>
        <v/>
      </c>
      <c r="F138" s="7" t="str">
        <f t="array" aca="1" ref="F138" ca="1">IFERROR(IF(OR('Raw Data'!F138="",LEN(TRIM('Raw Data'!F138))=0),"",IF(AND(LEN('Raw Data'!F138) &lt;= 50,LEN('Raw Data'!F138)&gt; 0),"",_xlfn.REGEXEXTRACT(CELL("address",'Raw Data'!F138),"\$([A-Z]+)\$[0-9]+"))),_xlfn.REGEXEXTRACT(CELL("address",'Raw Data'!F138),"\$([A-Z]+)\$[0-9]+"))</f>
        <v/>
      </c>
      <c r="G138" s="7" t="str">
        <f t="array" aca="1" ref="G138" ca="1">IFERROR(IF(OR('Raw Data'!G138="",LEN(TRIM('Raw Data'!G138))=0),"",IF(AND(LEN('Raw Data'!G138) &lt;= 50,LEN('Raw Data'!G138)&gt; 0),"",_xlfn.REGEXEXTRACT(CELL("address",'Raw Data'!G138),"\$([A-Z]+)\$[0-9]+"))),_xlfn.REGEXEXTRACT(CELL("address",'Raw Data'!G138),"\$([A-Z]+)\$[0-9]+"))</f>
        <v/>
      </c>
      <c r="H138" s="7" t="str">
        <f t="array" aca="1" ref="H138" ca="1">IFERROR(IF(OR('Raw Data'!H138="",LEN(TRIM('Raw Data'!H138))=0),"",IF(AND(LEN('Raw Data'!H138) &lt;= 50,LEN('Raw Data'!H138)&gt; 0),"",_xlfn.REGEXEXTRACT(CELL("address",'Raw Data'!H138),"\$([A-Z]+)\$[0-9]+"))),_xlfn.REGEXEXTRACT(CELL("address",'Raw Data'!H138),"\$([A-Z]+)\$[0-9]+"))</f>
        <v/>
      </c>
      <c r="I138" s="7" t="str">
        <f t="array" aca="1" ref="I138" ca="1">IFERROR(IF(OR('Raw Data'!I138="",LEN(TRIM('Raw Data'!I138))=0),"",IF(AND(LEN('Raw Data'!I138) &lt;= 50,LEN('Raw Data'!I138)&gt; 0),"",_xlfn.REGEXEXTRACT(CELL("address",'Raw Data'!I138),"\$([A-Z]+)\$[0-9]+"))),_xlfn.REGEXEXTRACT(CELL("address",'Raw Data'!I138),"\$([A-Z]+)\$[0-9]+"))</f>
        <v/>
      </c>
      <c r="J138" s="7" t="str">
        <f t="array" aca="1" ref="J138" ca="1">IFERROR(IF(OR('Raw Data'!J138="",LEN(TRIM('Raw Data'!J138))=0),"",IF(AND(ISNUMBER('Raw Data'!J138), IFERROR('Raw Data'!J138 = ROUND('Raw Data'!J138, 2),FALSE)),"",_xlfn.REGEXEXTRACT(CELL("address",J138), "\$([A-Z]+)\$[0-9]+"))),_xlfn.REGEXEXTRACT(CELL("address",J138), "\$([A-Z]+)\$[0-9]+"))</f>
        <v/>
      </c>
      <c r="K138" s="7" t="str">
        <f t="array" aca="1" ref="K138" ca="1">IFERROR(IF(OR('Raw Data'!K138="",LEN(TRIM('Raw Data'!K138))=0),"",IF(AND(ISNUMBER('Raw Data'!K138), IFERROR('Raw Data'!K138 = ROUND('Raw Data'!K138, 2),FALSE)),"",_xlfn.REGEXEXTRACT(CELL("address",K138), "\$([A-Z]+)\$[0-9]+"))),_xlfn.REGEXEXTRACT(CELL("address",K138), "\$([A-Z]+)\$[0-9]+"))</f>
        <v/>
      </c>
      <c r="L138" s="7" t="str">
        <f t="array" aca="1" ref="L138" ca="1">IFERROR(IF(OR('Raw Data'!L138="",LEN(TRIM('Raw Data'!L138))=0),"",IF(AND(ISNUMBER('Raw Data'!L138), IFERROR('Raw Data'!L138 = ROUND('Raw Data'!L138, 2),FALSE)),"",_xlfn.REGEXEXTRACT(CELL("address",L138), "\$([A-Z]+)\$[0-9]+"))),_xlfn.REGEXEXTRACT(CELL("address",L138), "\$([A-Z]+)\$[0-9]+"))</f>
        <v/>
      </c>
      <c r="M138" s="7" t="str">
        <f t="array" aca="1" ref="M138" ca="1">IFERROR(IF(OR('Raw Data'!M138="",LEN(TRIM('Raw Data'!M138))=0),"",IF(AND(ISNUMBER('Raw Data'!M138), IFERROR('Raw Data'!M138 = ROUND('Raw Data'!M138, 2),FALSE)),"",_xlfn.REGEXEXTRACT(CELL("address",M138), "\$([A-Z]+)\$[0-9]+"))),_xlfn.REGEXEXTRACT(CELL("address",M138), "\$([A-Z]+)\$[0-9]+"))</f>
        <v/>
      </c>
      <c r="N138" s="7" t="str">
        <f t="array" aca="1" ref="N138" ca="1">IFERROR(IF(OR('Raw Data'!N138="",LEN(TRIM('Raw Data'!N138))=0),"",IF(AND(ISNUMBER('Raw Data'!N138), IFERROR('Raw Data'!N138 = ROUND('Raw Data'!N138, 2),FALSE)),"",_xlfn.REGEXEXTRACT(CELL("address",N138), "\$([A-Z]+)\$[0-9]+"))),_xlfn.REGEXEXTRACT(CELL("address",N138), "\$([A-Z]+)\$[0-9]+"))</f>
        <v/>
      </c>
      <c r="O138" s="7" t="str">
        <f t="array" aca="1" ref="O138" ca="1">IFERROR(IF(OR('Raw Data'!O138="",LEN(TRIM('Raw Data'!O138))=0),"",IF(AND(ISNUMBER('Raw Data'!O138),'Raw Data'!O138&gt;=Configuration!$D$2),"",_xlfn.REGEXEXTRACT(CELL("address",'Raw Data'!O138),"\$([A-Z]+)\$[0-9]+"))),_xlfn.REGEXEXTRACT(CELL("address",O138), "\$([A-Z]+)\$[0-9]+"))</f>
        <v/>
      </c>
      <c r="P138" s="7" t="str">
        <f t="array" aca="1" ref="P138" ca="1">IFERROR(IF(OR('Raw Data'!P138="",LEN(TRIM('Raw Data'!P138))=0),"",IF(AND(ISNUMBER('Raw Data'!P138), IFERROR('Raw Data'!P138 = ROUND('Raw Data'!P138, 2),FALSE)),"",_xlfn.REGEXEXTRACT(CELL("address",P138), "\$([A-Z]+)\$[0-9]+"))),_xlfn.REGEXEXTRACT(CELL("address",P138), "\$([A-Z]+)\$[0-9]+"))</f>
        <v/>
      </c>
      <c r="Q138" s="7" t="str">
        <f t="array" aca="1" ref="Q138" ca="1">IFERROR(IF(OR('Raw Data'!Q138="",LEN(TRIM('Raw Data'!Q138))=0),"",IF(AND(ISNUMBER('Raw Data'!Q138), IFERROR('Raw Data'!Q138 = ROUND('Raw Data'!Q138, 2),FALSE)),"",_xlfn.REGEXEXTRACT(CELL("address",Q138), "\$([A-Z]+)\$[0-9]+"))),_xlfn.REGEXEXTRACT(CELL("address",Q138), "\$([A-Z]+)\$[0-9]+"))</f>
        <v/>
      </c>
      <c r="R138" s="7" t="str">
        <f t="array" aca="1" ref="R138" ca="1">IFERROR(IF(OR('Raw Data'!R138="",LEN(TRIM('Raw Data'!R138))=0),"",IF(AND(LEN('Raw Data'!R138) &lt;= 50,LEN('Raw Data'!R138)&gt; 0),"",_xlfn.REGEXEXTRACT(CELL("address",'Raw Data'!R138),"\$([A-Z]+)\$[0-9]+"))),_xlfn.REGEXEXTRACT(CELL("address",'Raw Data'!R138),"\$([A-Z]+)\$[0-9]+"))</f>
        <v/>
      </c>
      <c r="S138" s="7" t="str">
        <f t="array" aca="1" ref="S138" ca="1">IFERROR(IF(OR('Raw Data'!S138="",LEN(TRIM('Raw Data'!S138))=0),"",IF(AND(LEN('Raw Data'!S138) &lt;= 50,LEN('Raw Data'!S138)&gt; 0),"",_xlfn.REGEXEXTRACT(CELL("address",'Raw Data'!S138),"\$([A-Z]+)\$[0-9]+"))),_xlfn.REGEXEXTRACT(CELL("address",'Raw Data'!S138),"\$([A-Z]+)\$[0-9]+"))</f>
        <v/>
      </c>
      <c r="T138" s="7" t="str">
        <f t="array" aca="1" ref="T138" ca="1">IFERROR(IF(OR('Raw Data'!T138="",LEN(TRIM('Raw Data'!T138))=0),"",IF(AND(ISNUMBER('Raw Data'!T138), IFERROR('Raw Data'!T138 = ROUND('Raw Data'!T138, 2),FALSE)),"",_xlfn.REGEXEXTRACT(CELL("address",T138), "\$([A-Z]+)\$[0-9]+"))),_xlfn.REGEXEXTRACT(CELL("address",T138), "\$([A-Z]+)\$[0-9]+"))</f>
        <v/>
      </c>
      <c r="U138" s="7" t="str">
        <f t="array" aca="1" ref="U138" ca="1">IFERROR(IF(OR('Raw Data'!U138="",LEN(TRIM('Raw Data'!U138))=0),"",IF(AND(ISNUMBER('Raw Data'!U138), IFERROR('Raw Data'!U138 = ROUND('Raw Data'!U138, 2),FALSE)),"",_xlfn.REGEXEXTRACT(CELL("address",U138), "\$([A-Z]+)\$[0-9]+"))),_xlfn.REGEXEXTRACT(CELL("address",U138), "\$([A-Z]+)\$[0-9]+"))</f>
        <v/>
      </c>
      <c r="V138" s="7" t="str">
        <f t="array" aca="1" ref="V138" ca="1">IFERROR(IF(OR('Raw Data'!V138="",LEN(TRIM('Raw Data'!V138))=0),"",IF(AND(ISNUMBER('Raw Data'!V138), IFERROR('Raw Data'!V138 = ROUND('Raw Data'!V138, 2),FALSE)),"",_xlfn.REGEXEXTRACT(CELL("address",V138), "\$([A-Z]+)\$[0-9]+"))),_xlfn.REGEXEXTRACT(CELL("address",V138), "\$([A-Z]+)\$[0-9]+"))</f>
        <v/>
      </c>
      <c r="W138" s="7" t="str">
        <f t="array" aca="1" ref="W138" ca="1">IFERROR(IF(OR('Raw Data'!W138="",LEN(TRIM('Raw Data'!W138))=0),"",IF(AND(ISNUMBER('Raw Data'!W138), IFERROR('Raw Data'!W138 = ROUND('Raw Data'!W138, 2),FALSE)),"",_xlfn.REGEXEXTRACT(CELL("address",W138), "\$([A-Z]+)\$[0-9]+"))),_xlfn.REGEXEXTRACT(CELL("address",W138), "\$([A-Z]+)\$[0-9]+"))</f>
        <v/>
      </c>
      <c r="X138" s="7" t="str">
        <f t="array" aca="1" ref="X138" ca="1">IFERROR(IF(OR('Raw Data'!X138="",LEN(TRIM('Raw Data'!X138))=0),"",IF(AND(ISNUMBER('Raw Data'!X138), IFERROR('Raw Data'!X138 = ROUND('Raw Data'!X138, 2),FALSE)),"",_xlfn.REGEXEXTRACT(CELL("address",X138), "\$([A-Z]+)\$[0-9]+"))),_xlfn.REGEXEXTRACT(CELL("address",X138), "\$([A-Z]+)\$[0-9]+"))</f>
        <v/>
      </c>
      <c r="Y138" s="7" t="str">
        <f t="array" aca="1" ref="Y138" ca="1">IFERROR(IF(OR('Raw Data'!Y138="",LEN(TRIM('Raw Data'!Y138))=0),"",IF(AND(ISNUMBER('Raw Data'!Y138), IFERROR('Raw Data'!Y138 = ROUND('Raw Data'!Y138, 2),FALSE)),"",_xlfn.REGEXEXTRACT(CELL("address",Y138), "\$([A-Z]+)\$[0-9]+"))),_xlfn.REGEXEXTRACT(CELL("address",Y138), "\$([A-Z]+)\$[0-9]+"))</f>
        <v/>
      </c>
      <c r="Z138" s="7" t="str">
        <f t="array" aca="1" ref="Z138" ca="1">IFERROR(IF(OR('Raw Data'!Z138="",LEN(TRIM('Raw Data'!Z138))=0),"",IF(AND(ISNUMBER('Raw Data'!Z138), IFERROR('Raw Data'!Z138 = ROUND('Raw Data'!Z138, 2),FALSE)),"",_xlfn.REGEXEXTRACT(CELL("address",Z138), "\$([A-Z]+)\$[0-9]+"))),_xlfn.REGEXEXTRACT(CELL("address",Z138), "\$([A-Z]+)\$[0-9]+"))</f>
        <v/>
      </c>
      <c r="AA138" s="7" t="str">
        <f t="array" aca="1" ref="AA138" ca="1">IFERROR(IF(OR('Raw Data'!AA138="",LEN(TRIM('Raw Data'!AA138))=0),"",IF(AND(ISNUMBER('Raw Data'!AA138), IFERROR('Raw Data'!AA138 = ROUND('Raw Data'!AA138, 2),FALSE)),"",_xlfn.REGEXEXTRACT(CELL("address",AA138), "\$([A-Z]+)\$[0-9]+"))),_xlfn.REGEXEXTRACT(CELL("address",AA138), "\$([A-Z]+)\$[0-9]+"))</f>
        <v/>
      </c>
      <c r="AB138" s="7" t="str">
        <f t="array" aca="1" ref="AB138" ca="1">IFERROR(IF(OR('Raw Data'!AB138="",LEN(TRIM('Raw Data'!AB138))=0),"",IF(AND(ISNUMBER('Raw Data'!AB138), IFERROR('Raw Data'!AB138 = ROUND('Raw Data'!AB138, 2),FALSE)),"",_xlfn.REGEXEXTRACT(CELL("address",AB138), "\$([A-Z]+)\$[0-9]+"))),_xlfn.REGEXEXTRACT(CELL("address",AB138), "\$([A-Z]+)\$[0-9]+"))</f>
        <v/>
      </c>
      <c r="AC138" s="7" t="str">
        <f t="array" aca="1" ref="AC138" ca="1">IFERROR(IF(OR('Raw Data'!AC138="",LEN(TRIM('Raw Data'!AC138))=0),"",IF(AND(ISNUMBER('Raw Data'!AC138), IFERROR('Raw Data'!AC138 = ROUND('Raw Data'!AC138, 2),FALSE)),"",_xlfn.REGEXEXTRACT(CELL("address",AC138), "\$([A-Z]+)\$[0-9]+"))),_xlfn.REGEXEXTRACT(CELL("address",AC138), "\$([A-Z]+)\$[0-9]+"))</f>
        <v/>
      </c>
      <c r="AD138" s="7" t="str">
        <f t="array" aca="1" ref="AD138" ca="1">IFERROR(IF(OR('Raw Data'!AD138="",LEN(TRIM('Raw Data'!AD138))=0),"",IF(AND(ISNUMBER('Raw Data'!AD138), IFERROR('Raw Data'!AD138 = ROUND('Raw Data'!AD138, 2),FALSE)),"",_xlfn.REGEXEXTRACT(CELL("address",AD138), "\$([A-Z]+)\$[0-9]+"))),_xlfn.REGEXEXTRACT(CELL("address",AD138), "\$([A-Z]+)\$[0-9]+"))</f>
        <v/>
      </c>
      <c r="AE138" s="7" t="str">
        <f t="array" aca="1" ref="AE138" ca="1">IFERROR(IF(OR('Raw Data'!AE138="",LEN(TRIM('Raw Data'!AE138))=0),"",IF(AND(ISNUMBER('Raw Data'!AE138), IFERROR('Raw Data'!AE138 = ROUND('Raw Data'!AE138, 2),FALSE)),"",_xlfn.REGEXEXTRACT(CELL("address",AE138), "\$([A-Z]+)\$[0-9]+"))),_xlfn.REGEXEXTRACT(CELL("address",AE138), "\$([A-Z]+)\$[0-9]+"))</f>
        <v/>
      </c>
      <c r="AF138" s="7" t="str">
        <f t="array" aca="1" ref="AF138" ca="1">IFERROR(IF(OR('Raw Data'!AF138="",LEN(TRIM('Raw Data'!AF138))=0),"",IF(AND(ISNUMBER('Raw Data'!AF138), IFERROR('Raw Data'!AF138 = ROUND('Raw Data'!AF138, 2),FALSE)),"",_xlfn.REGEXEXTRACT(CELL("address",AF138), "\$([A-Z]+)\$[0-9]+"))),_xlfn.REGEXEXTRACT(CELL("address",AF138), "\$([A-Z]+)\$[0-9]+"))</f>
        <v/>
      </c>
      <c r="AG138" s="7" t="str">
        <f t="array" aca="1" ref="AG138" ca="1">IFERROR(IF(OR('Raw Data'!AG138="",LEN(TRIM('Raw Data'!AG138))=0),"",IF(AND(ISNUMBER('Raw Data'!AG138), IFERROR('Raw Data'!AG138 = ROUND('Raw Data'!AG138, 2),FALSE)),"",_xlfn.REGEXEXTRACT(CELL("address",AG138), "\$([A-Z]+)\$[0-9]+"))),_xlfn.REGEXEXTRACT(CELL("address",AG138), "\$([A-Z]+)\$[0-9]+"))</f>
        <v/>
      </c>
      <c r="AH138" s="7" t="str">
        <f t="array" aca="1" ref="AH138" ca="1">IFERROR(IF(OR('Raw Data'!AH138="",LEN(TRIM('Raw Data'!AH138))=0),"",IF(AND(ISNUMBER('Raw Data'!AH138), IFERROR('Raw Data'!AH138 = ROUND('Raw Data'!AH138, 2),FALSE)),"",_xlfn.REGEXEXTRACT(CELL("address",AH138), "\$([A-Z]+)\$[0-9]+"))),_xlfn.REGEXEXTRACT(CELL("address",AH138), "\$([A-Z]+)\$[0-9]+"))</f>
        <v/>
      </c>
      <c r="AI138" s="7" t="str">
        <f t="array" aca="1" ref="AI138" ca="1">IFERROR(IF(OR('Raw Data'!AI138="",LEN(TRIM('Raw Data'!AI138))=0),"",IF(AND(ISNUMBER('Raw Data'!AI138), IFERROR('Raw Data'!AI138 = ROUND('Raw Data'!AI138, 2),FALSE)),"",_xlfn.REGEXEXTRACT(CELL("address",AI138), "\$([A-Z]+)\$[0-9]+"))),_xlfn.REGEXEXTRACT(CELL("address",AI138), "\$([A-Z]+)\$[0-9]+"))</f>
        <v/>
      </c>
      <c r="AJ138" s="7" t="str">
        <f t="array" aca="1" ref="AJ138" ca="1">IFERROR(IF(OR('Raw Data'!AJ138="",LEN(TRIM('Raw Data'!AJ138))=0),"",IF(AND(ISNUMBER('Raw Data'!AJ138), IFERROR('Raw Data'!AJ138 = ROUND('Raw Data'!AJ138, 4),FALSE)),"",_xlfn.REGEXEXTRACT(CELL("address",AJ138), "\$([A-Z]+)\$[0-9]+"))),_xlfn.REGEXEXTRACT(CELL("address",AJ138), "\$([A-Z]+)\$[0-9]+"))</f>
        <v/>
      </c>
      <c r="AK138" s="7" t="str">
        <f t="array" aca="1" ref="AK138" ca="1">IFERROR(IF(OR('Raw Data'!AK138="",LEN(TRIM('Raw Data'!AK138))=0),"",IF(AND(ISNUMBER('Raw Data'!AK138), IFERROR('Raw Data'!AK138 = ROUND('Raw Data'!AK138, 2),FALSE)),"",_xlfn.REGEXEXTRACT(CELL("address",AK138), "\$([A-Z]+)\$[0-9]+"))),_xlfn.REGEXEXTRACT(CELL("address",AK138), "\$([A-Z]+)\$[0-9]+"))</f>
        <v/>
      </c>
      <c r="AL138" s="7" t="str">
        <f t="array" aca="1" ref="AL138" ca="1">IFERROR(IF(OR('Raw Data'!AL138="",LEN(TRIM('Raw Data'!AL138))=0),"",IF(AND(ISNUMBER('Raw Data'!AL138), IFERROR('Raw Data'!AL138 = ROUND('Raw Data'!AL138, 2),FALSE)),"",_xlfn.REGEXEXTRACT(CELL("address",AL138), "\$([A-Z]+)\$[0-9]+"))),_xlfn.REGEXEXTRACT(CELL("address",AL138), "\$([A-Z]+)\$[0-9]+"))</f>
        <v/>
      </c>
      <c r="AM138" s="7" t="str">
        <f t="array" aca="1" ref="AM138" ca="1">IFERROR(IF(OR('Raw Data'!AM138="",LEN(TRIM('Raw Data'!AM138))=0),"",IF(AND(ISNUMBER('Raw Data'!AM138), IFERROR('Raw Data'!AM138 = ROUND('Raw Data'!AM138, 2),FALSE)),"",_xlfn.REGEXEXTRACT(CELL("address",AM138), "\$([A-Z]+)\$[0-9]+"))),_xlfn.REGEXEXTRACT(CELL("address",AM138), "\$([A-Z]+)\$[0-9]+"))</f>
        <v/>
      </c>
      <c r="AN138" s="7" t="str">
        <f t="array" aca="1" ref="AN138" ca="1">IFERROR(IF(OR('Raw Data'!AN138="",LEN(TRIM('Raw Data'!AN138))=0),"",IF(AND(ISNUMBER('Raw Data'!AN138), IFERROR('Raw Data'!AN138 = ROUND('Raw Data'!AN138, 2),FALSE)),"",_xlfn.REGEXEXTRACT(CELL("address",AN138), "\$([A-Z]+)\$[0-9]+"))),_xlfn.REGEXEXTRACT(CELL("address",AN138), "\$([A-Z]+)\$[0-9]+"))</f>
        <v/>
      </c>
      <c r="AO138" s="7" t="str">
        <f t="array" aca="1" ref="AO138" ca="1">IFERROR(IF(OR('Raw Data'!AO138="",LEN(TRIM('Raw Data'!AO138))=0),"",IF(AND(ISNUMBER('Raw Data'!AO138), IFERROR('Raw Data'!AO138 = ROUND('Raw Data'!AO138, 2),FALSE)),"",_xlfn.REGEXEXTRACT(CELL("address",AO138), "\$([A-Z]+)\$[0-9]+"))),_xlfn.REGEXEXTRACT(CELL("address",AO138), "\$([A-Z]+)\$[0-9]+"))</f>
        <v/>
      </c>
      <c r="AP138" s="7" t="str">
        <f t="array" aca="1" ref="AP138" ca="1">IFERROR(IF(OR('Raw Data'!AP138="",LEN(TRIM('Raw Data'!AP138))=0),"",IF(AND(ISNUMBER('Raw Data'!AP138), IFERROR('Raw Data'!AP138 = ROUND('Raw Data'!AP138, 2),FALSE)),"",_xlfn.REGEXEXTRACT(CELL("address",AP138), "\$([A-Z]+)\$[0-9]+"))),_xlfn.REGEXEXTRACT(CELL("address",AP138), "\$([A-Z]+)\$[0-9]+"))</f>
        <v/>
      </c>
    </row>
    <row r="139" spans="2:42" x14ac:dyDescent="0.25">
      <c r="B139" s="7" t="str">
        <f t="array" aca="1" ref="B139" ca="1">IFERROR(IF(OR('Raw Data'!B139="",LEN(TRIM('Raw Data'!B139))=0),"",IF(AND(LEN('Raw Data'!B139) &lt;= 255,LEN('Raw Data'!B139)&gt; 0),"",_xlfn.REGEXEXTRACT(CELL("address",'Raw Data'!B139),"\$([A-Z]+)\$[0-9]+"))),_xlfn.REGEXEXTRACT(CELL("address",'Raw Data'!B139),"\$([A-Z]+)\$[0-9]+"))</f>
        <v/>
      </c>
      <c r="C139" s="7" t="str">
        <f t="array" aca="1" ref="C139" ca="1">IFERROR(IF(OR('Raw Data'!C139="",LEN(TRIM('Raw Data'!C139))=0),"",IF(AND(LEN('Raw Data'!C139) &lt;= 50,LEN('Raw Data'!C139)&gt; 0),"",_xlfn.REGEXEXTRACT(CELL("address",'Raw Data'!C139),"\$([A-Z]+)\$[0-9]+"))),_xlfn.REGEXEXTRACT(CELL("address",'Raw Data'!C139),"\$([A-Z]+)\$[0-9]+"))</f>
        <v/>
      </c>
      <c r="D139" s="7" t="str">
        <f t="array" aca="1" ref="D139" ca="1">IFERROR(IF(OR('Raw Data'!D139="",LEN(TRIM('Raw Data'!D139))=0),"",IF(AND(LEN('Raw Data'!D139) &lt;= 500,LEN('Raw Data'!D139)&gt; 0),"",_xlfn.REGEXEXTRACT(CELL("address",'Raw Data'!D139),"\$([A-Z]+)\$[0-9]+"))),_xlfn.REGEXEXTRACT(CELL("address",'Raw Data'!D139),"\$([A-Z]+)\$[0-9]+"))</f>
        <v/>
      </c>
      <c r="E139" s="7" t="str">
        <f t="array" aca="1" ref="E139" ca="1">IFERROR(IF(OR('Raw Data'!E139="",LEN(TRIM('Raw Data'!E139))=0),"",IF(AND(LEN('Raw Data'!E139) &lt;= 50,LEN('Raw Data'!E139)&gt; 0),"",_xlfn.REGEXEXTRACT(CELL("address",'Raw Data'!E139),"\$([A-Z]+)\$[0-9]+"))),_xlfn.REGEXEXTRACT(CELL("address",'Raw Data'!E139),"\$([A-Z]+)\$[0-9]+"))</f>
        <v/>
      </c>
      <c r="F139" s="7" t="str">
        <f t="array" aca="1" ref="F139" ca="1">IFERROR(IF(OR('Raw Data'!F139="",LEN(TRIM('Raw Data'!F139))=0),"",IF(AND(LEN('Raw Data'!F139) &lt;= 50,LEN('Raw Data'!F139)&gt; 0),"",_xlfn.REGEXEXTRACT(CELL("address",'Raw Data'!F139),"\$([A-Z]+)\$[0-9]+"))),_xlfn.REGEXEXTRACT(CELL("address",'Raw Data'!F139),"\$([A-Z]+)\$[0-9]+"))</f>
        <v/>
      </c>
      <c r="G139" s="7" t="str">
        <f t="array" aca="1" ref="G139" ca="1">IFERROR(IF(OR('Raw Data'!G139="",LEN(TRIM('Raw Data'!G139))=0),"",IF(AND(LEN('Raw Data'!G139) &lt;= 50,LEN('Raw Data'!G139)&gt; 0),"",_xlfn.REGEXEXTRACT(CELL("address",'Raw Data'!G139),"\$([A-Z]+)\$[0-9]+"))),_xlfn.REGEXEXTRACT(CELL("address",'Raw Data'!G139),"\$([A-Z]+)\$[0-9]+"))</f>
        <v/>
      </c>
      <c r="H139" s="7" t="str">
        <f t="array" aca="1" ref="H139" ca="1">IFERROR(IF(OR('Raw Data'!H139="",LEN(TRIM('Raw Data'!H139))=0),"",IF(AND(LEN('Raw Data'!H139) &lt;= 50,LEN('Raw Data'!H139)&gt; 0),"",_xlfn.REGEXEXTRACT(CELL("address",'Raw Data'!H139),"\$([A-Z]+)\$[0-9]+"))),_xlfn.REGEXEXTRACT(CELL("address",'Raw Data'!H139),"\$([A-Z]+)\$[0-9]+"))</f>
        <v/>
      </c>
      <c r="I139" s="7" t="str">
        <f t="array" aca="1" ref="I139" ca="1">IFERROR(IF(OR('Raw Data'!I139="",LEN(TRIM('Raw Data'!I139))=0),"",IF(AND(LEN('Raw Data'!I139) &lt;= 50,LEN('Raw Data'!I139)&gt; 0),"",_xlfn.REGEXEXTRACT(CELL("address",'Raw Data'!I139),"\$([A-Z]+)\$[0-9]+"))),_xlfn.REGEXEXTRACT(CELL("address",'Raw Data'!I139),"\$([A-Z]+)\$[0-9]+"))</f>
        <v/>
      </c>
      <c r="J139" s="7" t="str">
        <f t="array" aca="1" ref="J139" ca="1">IFERROR(IF(OR('Raw Data'!J139="",LEN(TRIM('Raw Data'!J139))=0),"",IF(AND(ISNUMBER('Raw Data'!J139), IFERROR('Raw Data'!J139 = ROUND('Raw Data'!J139, 2),FALSE)),"",_xlfn.REGEXEXTRACT(CELL("address",J139), "\$([A-Z]+)\$[0-9]+"))),_xlfn.REGEXEXTRACT(CELL("address",J139), "\$([A-Z]+)\$[0-9]+"))</f>
        <v/>
      </c>
      <c r="K139" s="7" t="str">
        <f t="array" aca="1" ref="K139" ca="1">IFERROR(IF(OR('Raw Data'!K139="",LEN(TRIM('Raw Data'!K139))=0),"",IF(AND(ISNUMBER('Raw Data'!K139), IFERROR('Raw Data'!K139 = ROUND('Raw Data'!K139, 2),FALSE)),"",_xlfn.REGEXEXTRACT(CELL("address",K139), "\$([A-Z]+)\$[0-9]+"))),_xlfn.REGEXEXTRACT(CELL("address",K139), "\$([A-Z]+)\$[0-9]+"))</f>
        <v/>
      </c>
      <c r="L139" s="7" t="str">
        <f t="array" aca="1" ref="L139" ca="1">IFERROR(IF(OR('Raw Data'!L139="",LEN(TRIM('Raw Data'!L139))=0),"",IF(AND(ISNUMBER('Raw Data'!L139), IFERROR('Raw Data'!L139 = ROUND('Raw Data'!L139, 2),FALSE)),"",_xlfn.REGEXEXTRACT(CELL("address",L139), "\$([A-Z]+)\$[0-9]+"))),_xlfn.REGEXEXTRACT(CELL("address",L139), "\$([A-Z]+)\$[0-9]+"))</f>
        <v/>
      </c>
      <c r="M139" s="7" t="str">
        <f t="array" aca="1" ref="M139" ca="1">IFERROR(IF(OR('Raw Data'!M139="",LEN(TRIM('Raw Data'!M139))=0),"",IF(AND(ISNUMBER('Raw Data'!M139), IFERROR('Raw Data'!M139 = ROUND('Raw Data'!M139, 2),FALSE)),"",_xlfn.REGEXEXTRACT(CELL("address",M139), "\$([A-Z]+)\$[0-9]+"))),_xlfn.REGEXEXTRACT(CELL("address",M139), "\$([A-Z]+)\$[0-9]+"))</f>
        <v/>
      </c>
      <c r="N139" s="7" t="str">
        <f t="array" aca="1" ref="N139" ca="1">IFERROR(IF(OR('Raw Data'!N139="",LEN(TRIM('Raw Data'!N139))=0),"",IF(AND(ISNUMBER('Raw Data'!N139), IFERROR('Raw Data'!N139 = ROUND('Raw Data'!N139, 2),FALSE)),"",_xlfn.REGEXEXTRACT(CELL("address",N139), "\$([A-Z]+)\$[0-9]+"))),_xlfn.REGEXEXTRACT(CELL("address",N139), "\$([A-Z]+)\$[0-9]+"))</f>
        <v/>
      </c>
      <c r="O139" s="7" t="str">
        <f t="array" aca="1" ref="O139" ca="1">IFERROR(IF(OR('Raw Data'!O139="",LEN(TRIM('Raw Data'!O139))=0),"",IF(AND(ISNUMBER('Raw Data'!O139),'Raw Data'!O139&gt;=Configuration!$D$2),"",_xlfn.REGEXEXTRACT(CELL("address",'Raw Data'!O139),"\$([A-Z]+)\$[0-9]+"))),_xlfn.REGEXEXTRACT(CELL("address",O139), "\$([A-Z]+)\$[0-9]+"))</f>
        <v/>
      </c>
      <c r="P139" s="7" t="str">
        <f t="array" aca="1" ref="P139" ca="1">IFERROR(IF(OR('Raw Data'!P139="",LEN(TRIM('Raw Data'!P139))=0),"",IF(AND(ISNUMBER('Raw Data'!P139), IFERROR('Raw Data'!P139 = ROUND('Raw Data'!P139, 2),FALSE)),"",_xlfn.REGEXEXTRACT(CELL("address",P139), "\$([A-Z]+)\$[0-9]+"))),_xlfn.REGEXEXTRACT(CELL("address",P139), "\$([A-Z]+)\$[0-9]+"))</f>
        <v/>
      </c>
      <c r="Q139" s="7" t="str">
        <f t="array" aca="1" ref="Q139" ca="1">IFERROR(IF(OR('Raw Data'!Q139="",LEN(TRIM('Raw Data'!Q139))=0),"",IF(AND(ISNUMBER('Raw Data'!Q139), IFERROR('Raw Data'!Q139 = ROUND('Raw Data'!Q139, 2),FALSE)),"",_xlfn.REGEXEXTRACT(CELL("address",Q139), "\$([A-Z]+)\$[0-9]+"))),_xlfn.REGEXEXTRACT(CELL("address",Q139), "\$([A-Z]+)\$[0-9]+"))</f>
        <v/>
      </c>
      <c r="R139" s="7" t="str">
        <f t="array" aca="1" ref="R139" ca="1">IFERROR(IF(OR('Raw Data'!R139="",LEN(TRIM('Raw Data'!R139))=0),"",IF(AND(LEN('Raw Data'!R139) &lt;= 50,LEN('Raw Data'!R139)&gt; 0),"",_xlfn.REGEXEXTRACT(CELL("address",'Raw Data'!R139),"\$([A-Z]+)\$[0-9]+"))),_xlfn.REGEXEXTRACT(CELL("address",'Raw Data'!R139),"\$([A-Z]+)\$[0-9]+"))</f>
        <v/>
      </c>
      <c r="S139" s="7" t="str">
        <f t="array" aca="1" ref="S139" ca="1">IFERROR(IF(OR('Raw Data'!S139="",LEN(TRIM('Raw Data'!S139))=0),"",IF(AND(LEN('Raw Data'!S139) &lt;= 50,LEN('Raw Data'!S139)&gt; 0),"",_xlfn.REGEXEXTRACT(CELL("address",'Raw Data'!S139),"\$([A-Z]+)\$[0-9]+"))),_xlfn.REGEXEXTRACT(CELL("address",'Raw Data'!S139),"\$([A-Z]+)\$[0-9]+"))</f>
        <v/>
      </c>
      <c r="T139" s="7" t="str">
        <f t="array" aca="1" ref="T139" ca="1">IFERROR(IF(OR('Raw Data'!T139="",LEN(TRIM('Raw Data'!T139))=0),"",IF(AND(ISNUMBER('Raw Data'!T139), IFERROR('Raw Data'!T139 = ROUND('Raw Data'!T139, 2),FALSE)),"",_xlfn.REGEXEXTRACT(CELL("address",T139), "\$([A-Z]+)\$[0-9]+"))),_xlfn.REGEXEXTRACT(CELL("address",T139), "\$([A-Z]+)\$[0-9]+"))</f>
        <v/>
      </c>
      <c r="U139" s="7" t="str">
        <f t="array" aca="1" ref="U139" ca="1">IFERROR(IF(OR('Raw Data'!U139="",LEN(TRIM('Raw Data'!U139))=0),"",IF(AND(ISNUMBER('Raw Data'!U139), IFERROR('Raw Data'!U139 = ROUND('Raw Data'!U139, 2),FALSE)),"",_xlfn.REGEXEXTRACT(CELL("address",U139), "\$([A-Z]+)\$[0-9]+"))),_xlfn.REGEXEXTRACT(CELL("address",U139), "\$([A-Z]+)\$[0-9]+"))</f>
        <v/>
      </c>
      <c r="V139" s="7" t="str">
        <f t="array" aca="1" ref="V139" ca="1">IFERROR(IF(OR('Raw Data'!V139="",LEN(TRIM('Raw Data'!V139))=0),"",IF(AND(ISNUMBER('Raw Data'!V139), IFERROR('Raw Data'!V139 = ROUND('Raw Data'!V139, 2),FALSE)),"",_xlfn.REGEXEXTRACT(CELL("address",V139), "\$([A-Z]+)\$[0-9]+"))),_xlfn.REGEXEXTRACT(CELL("address",V139), "\$([A-Z]+)\$[0-9]+"))</f>
        <v/>
      </c>
      <c r="W139" s="7" t="str">
        <f t="array" aca="1" ref="W139" ca="1">IFERROR(IF(OR('Raw Data'!W139="",LEN(TRIM('Raw Data'!W139))=0),"",IF(AND(ISNUMBER('Raw Data'!W139), IFERROR('Raw Data'!W139 = ROUND('Raw Data'!W139, 2),FALSE)),"",_xlfn.REGEXEXTRACT(CELL("address",W139), "\$([A-Z]+)\$[0-9]+"))),_xlfn.REGEXEXTRACT(CELL("address",W139), "\$([A-Z]+)\$[0-9]+"))</f>
        <v/>
      </c>
      <c r="X139" s="7" t="str">
        <f t="array" aca="1" ref="X139" ca="1">IFERROR(IF(OR('Raw Data'!X139="",LEN(TRIM('Raw Data'!X139))=0),"",IF(AND(ISNUMBER('Raw Data'!X139), IFERROR('Raw Data'!X139 = ROUND('Raw Data'!X139, 2),FALSE)),"",_xlfn.REGEXEXTRACT(CELL("address",X139), "\$([A-Z]+)\$[0-9]+"))),_xlfn.REGEXEXTRACT(CELL("address",X139), "\$([A-Z]+)\$[0-9]+"))</f>
        <v/>
      </c>
      <c r="Y139" s="7" t="str">
        <f t="array" aca="1" ref="Y139" ca="1">IFERROR(IF(OR('Raw Data'!Y139="",LEN(TRIM('Raw Data'!Y139))=0),"",IF(AND(ISNUMBER('Raw Data'!Y139), IFERROR('Raw Data'!Y139 = ROUND('Raw Data'!Y139, 2),FALSE)),"",_xlfn.REGEXEXTRACT(CELL("address",Y139), "\$([A-Z]+)\$[0-9]+"))),_xlfn.REGEXEXTRACT(CELL("address",Y139), "\$([A-Z]+)\$[0-9]+"))</f>
        <v/>
      </c>
      <c r="Z139" s="7" t="str">
        <f t="array" aca="1" ref="Z139" ca="1">IFERROR(IF(OR('Raw Data'!Z139="",LEN(TRIM('Raw Data'!Z139))=0),"",IF(AND(ISNUMBER('Raw Data'!Z139), IFERROR('Raw Data'!Z139 = ROUND('Raw Data'!Z139, 2),FALSE)),"",_xlfn.REGEXEXTRACT(CELL("address",Z139), "\$([A-Z]+)\$[0-9]+"))),_xlfn.REGEXEXTRACT(CELL("address",Z139), "\$([A-Z]+)\$[0-9]+"))</f>
        <v/>
      </c>
      <c r="AA139" s="7" t="str">
        <f t="array" aca="1" ref="AA139" ca="1">IFERROR(IF(OR('Raw Data'!AA139="",LEN(TRIM('Raw Data'!AA139))=0),"",IF(AND(ISNUMBER('Raw Data'!AA139), IFERROR('Raw Data'!AA139 = ROUND('Raw Data'!AA139, 2),FALSE)),"",_xlfn.REGEXEXTRACT(CELL("address",AA139), "\$([A-Z]+)\$[0-9]+"))),_xlfn.REGEXEXTRACT(CELL("address",AA139), "\$([A-Z]+)\$[0-9]+"))</f>
        <v/>
      </c>
      <c r="AB139" s="7" t="str">
        <f t="array" aca="1" ref="AB139" ca="1">IFERROR(IF(OR('Raw Data'!AB139="",LEN(TRIM('Raw Data'!AB139))=0),"",IF(AND(ISNUMBER('Raw Data'!AB139), IFERROR('Raw Data'!AB139 = ROUND('Raw Data'!AB139, 2),FALSE)),"",_xlfn.REGEXEXTRACT(CELL("address",AB139), "\$([A-Z]+)\$[0-9]+"))),_xlfn.REGEXEXTRACT(CELL("address",AB139), "\$([A-Z]+)\$[0-9]+"))</f>
        <v/>
      </c>
      <c r="AC139" s="7" t="str">
        <f t="array" aca="1" ref="AC139" ca="1">IFERROR(IF(OR('Raw Data'!AC139="",LEN(TRIM('Raw Data'!AC139))=0),"",IF(AND(ISNUMBER('Raw Data'!AC139), IFERROR('Raw Data'!AC139 = ROUND('Raw Data'!AC139, 2),FALSE)),"",_xlfn.REGEXEXTRACT(CELL("address",AC139), "\$([A-Z]+)\$[0-9]+"))),_xlfn.REGEXEXTRACT(CELL("address",AC139), "\$([A-Z]+)\$[0-9]+"))</f>
        <v/>
      </c>
      <c r="AD139" s="7" t="str">
        <f t="array" aca="1" ref="AD139" ca="1">IFERROR(IF(OR('Raw Data'!AD139="",LEN(TRIM('Raw Data'!AD139))=0),"",IF(AND(ISNUMBER('Raw Data'!AD139), IFERROR('Raw Data'!AD139 = ROUND('Raw Data'!AD139, 2),FALSE)),"",_xlfn.REGEXEXTRACT(CELL("address",AD139), "\$([A-Z]+)\$[0-9]+"))),_xlfn.REGEXEXTRACT(CELL("address",AD139), "\$([A-Z]+)\$[0-9]+"))</f>
        <v/>
      </c>
      <c r="AE139" s="7" t="str">
        <f t="array" aca="1" ref="AE139" ca="1">IFERROR(IF(OR('Raw Data'!AE139="",LEN(TRIM('Raw Data'!AE139))=0),"",IF(AND(ISNUMBER('Raw Data'!AE139), IFERROR('Raw Data'!AE139 = ROUND('Raw Data'!AE139, 2),FALSE)),"",_xlfn.REGEXEXTRACT(CELL("address",AE139), "\$([A-Z]+)\$[0-9]+"))),_xlfn.REGEXEXTRACT(CELL("address",AE139), "\$([A-Z]+)\$[0-9]+"))</f>
        <v/>
      </c>
      <c r="AF139" s="7" t="str">
        <f t="array" aca="1" ref="AF139" ca="1">IFERROR(IF(OR('Raw Data'!AF139="",LEN(TRIM('Raw Data'!AF139))=0),"",IF(AND(ISNUMBER('Raw Data'!AF139), IFERROR('Raw Data'!AF139 = ROUND('Raw Data'!AF139, 2),FALSE)),"",_xlfn.REGEXEXTRACT(CELL("address",AF139), "\$([A-Z]+)\$[0-9]+"))),_xlfn.REGEXEXTRACT(CELL("address",AF139), "\$([A-Z]+)\$[0-9]+"))</f>
        <v/>
      </c>
      <c r="AG139" s="7" t="str">
        <f t="array" aca="1" ref="AG139" ca="1">IFERROR(IF(OR('Raw Data'!AG139="",LEN(TRIM('Raw Data'!AG139))=0),"",IF(AND(ISNUMBER('Raw Data'!AG139), IFERROR('Raw Data'!AG139 = ROUND('Raw Data'!AG139, 2),FALSE)),"",_xlfn.REGEXEXTRACT(CELL("address",AG139), "\$([A-Z]+)\$[0-9]+"))),_xlfn.REGEXEXTRACT(CELL("address",AG139), "\$([A-Z]+)\$[0-9]+"))</f>
        <v/>
      </c>
      <c r="AH139" s="7" t="str">
        <f t="array" aca="1" ref="AH139" ca="1">IFERROR(IF(OR('Raw Data'!AH139="",LEN(TRIM('Raw Data'!AH139))=0),"",IF(AND(ISNUMBER('Raw Data'!AH139), IFERROR('Raw Data'!AH139 = ROUND('Raw Data'!AH139, 2),FALSE)),"",_xlfn.REGEXEXTRACT(CELL("address",AH139), "\$([A-Z]+)\$[0-9]+"))),_xlfn.REGEXEXTRACT(CELL("address",AH139), "\$([A-Z]+)\$[0-9]+"))</f>
        <v/>
      </c>
      <c r="AI139" s="7" t="str">
        <f t="array" aca="1" ref="AI139" ca="1">IFERROR(IF(OR('Raw Data'!AI139="",LEN(TRIM('Raw Data'!AI139))=0),"",IF(AND(ISNUMBER('Raw Data'!AI139), IFERROR('Raw Data'!AI139 = ROUND('Raw Data'!AI139, 2),FALSE)),"",_xlfn.REGEXEXTRACT(CELL("address",AI139), "\$([A-Z]+)\$[0-9]+"))),_xlfn.REGEXEXTRACT(CELL("address",AI139), "\$([A-Z]+)\$[0-9]+"))</f>
        <v/>
      </c>
      <c r="AJ139" s="7" t="str">
        <f t="array" aca="1" ref="AJ139" ca="1">IFERROR(IF(OR('Raw Data'!AJ139="",LEN(TRIM('Raw Data'!AJ139))=0),"",IF(AND(ISNUMBER('Raw Data'!AJ139), IFERROR('Raw Data'!AJ139 = ROUND('Raw Data'!AJ139, 4),FALSE)),"",_xlfn.REGEXEXTRACT(CELL("address",AJ139), "\$([A-Z]+)\$[0-9]+"))),_xlfn.REGEXEXTRACT(CELL("address",AJ139), "\$([A-Z]+)\$[0-9]+"))</f>
        <v/>
      </c>
      <c r="AK139" s="7" t="str">
        <f t="array" aca="1" ref="AK139" ca="1">IFERROR(IF(OR('Raw Data'!AK139="",LEN(TRIM('Raw Data'!AK139))=0),"",IF(AND(ISNUMBER('Raw Data'!AK139), IFERROR('Raw Data'!AK139 = ROUND('Raw Data'!AK139, 2),FALSE)),"",_xlfn.REGEXEXTRACT(CELL("address",AK139), "\$([A-Z]+)\$[0-9]+"))),_xlfn.REGEXEXTRACT(CELL("address",AK139), "\$([A-Z]+)\$[0-9]+"))</f>
        <v/>
      </c>
      <c r="AL139" s="7" t="str">
        <f t="array" aca="1" ref="AL139" ca="1">IFERROR(IF(OR('Raw Data'!AL139="",LEN(TRIM('Raw Data'!AL139))=0),"",IF(AND(ISNUMBER('Raw Data'!AL139), IFERROR('Raw Data'!AL139 = ROUND('Raw Data'!AL139, 2),FALSE)),"",_xlfn.REGEXEXTRACT(CELL("address",AL139), "\$([A-Z]+)\$[0-9]+"))),_xlfn.REGEXEXTRACT(CELL("address",AL139), "\$([A-Z]+)\$[0-9]+"))</f>
        <v/>
      </c>
      <c r="AM139" s="7" t="str">
        <f t="array" aca="1" ref="AM139" ca="1">IFERROR(IF(OR('Raw Data'!AM139="",LEN(TRIM('Raw Data'!AM139))=0),"",IF(AND(ISNUMBER('Raw Data'!AM139), IFERROR('Raw Data'!AM139 = ROUND('Raw Data'!AM139, 2),FALSE)),"",_xlfn.REGEXEXTRACT(CELL("address",AM139), "\$([A-Z]+)\$[0-9]+"))),_xlfn.REGEXEXTRACT(CELL("address",AM139), "\$([A-Z]+)\$[0-9]+"))</f>
        <v/>
      </c>
      <c r="AN139" s="7" t="str">
        <f t="array" aca="1" ref="AN139" ca="1">IFERROR(IF(OR('Raw Data'!AN139="",LEN(TRIM('Raw Data'!AN139))=0),"",IF(AND(ISNUMBER('Raw Data'!AN139), IFERROR('Raw Data'!AN139 = ROUND('Raw Data'!AN139, 2),FALSE)),"",_xlfn.REGEXEXTRACT(CELL("address",AN139), "\$([A-Z]+)\$[0-9]+"))),_xlfn.REGEXEXTRACT(CELL("address",AN139), "\$([A-Z]+)\$[0-9]+"))</f>
        <v/>
      </c>
      <c r="AO139" s="7" t="str">
        <f t="array" aca="1" ref="AO139" ca="1">IFERROR(IF(OR('Raw Data'!AO139="",LEN(TRIM('Raw Data'!AO139))=0),"",IF(AND(ISNUMBER('Raw Data'!AO139), IFERROR('Raw Data'!AO139 = ROUND('Raw Data'!AO139, 2),FALSE)),"",_xlfn.REGEXEXTRACT(CELL("address",AO139), "\$([A-Z]+)\$[0-9]+"))),_xlfn.REGEXEXTRACT(CELL("address",AO139), "\$([A-Z]+)\$[0-9]+"))</f>
        <v/>
      </c>
      <c r="AP139" s="7" t="str">
        <f t="array" aca="1" ref="AP139" ca="1">IFERROR(IF(OR('Raw Data'!AP139="",LEN(TRIM('Raw Data'!AP139))=0),"",IF(AND(ISNUMBER('Raw Data'!AP139), IFERROR('Raw Data'!AP139 = ROUND('Raw Data'!AP139, 2),FALSE)),"",_xlfn.REGEXEXTRACT(CELL("address",AP139), "\$([A-Z]+)\$[0-9]+"))),_xlfn.REGEXEXTRACT(CELL("address",AP139), "\$([A-Z]+)\$[0-9]+"))</f>
        <v/>
      </c>
    </row>
    <row r="140" spans="2:42" x14ac:dyDescent="0.25">
      <c r="B140" s="7" t="str">
        <f t="array" aca="1" ref="B140" ca="1">IFERROR(IF(OR('Raw Data'!B140="",LEN(TRIM('Raw Data'!B140))=0),"",IF(AND(LEN('Raw Data'!B140) &lt;= 255,LEN('Raw Data'!B140)&gt; 0),"",_xlfn.REGEXEXTRACT(CELL("address",'Raw Data'!B140),"\$([A-Z]+)\$[0-9]+"))),_xlfn.REGEXEXTRACT(CELL("address",'Raw Data'!B140),"\$([A-Z]+)\$[0-9]+"))</f>
        <v/>
      </c>
      <c r="C140" s="7" t="str">
        <f t="array" aca="1" ref="C140" ca="1">IFERROR(IF(OR('Raw Data'!C140="",LEN(TRIM('Raw Data'!C140))=0),"",IF(AND(LEN('Raw Data'!C140) &lt;= 50,LEN('Raw Data'!C140)&gt; 0),"",_xlfn.REGEXEXTRACT(CELL("address",'Raw Data'!C140),"\$([A-Z]+)\$[0-9]+"))),_xlfn.REGEXEXTRACT(CELL("address",'Raw Data'!C140),"\$([A-Z]+)\$[0-9]+"))</f>
        <v/>
      </c>
      <c r="D140" s="7" t="str">
        <f t="array" aca="1" ref="D140" ca="1">IFERROR(IF(OR('Raw Data'!D140="",LEN(TRIM('Raw Data'!D140))=0),"",IF(AND(LEN('Raw Data'!D140) &lt;= 500,LEN('Raw Data'!D140)&gt; 0),"",_xlfn.REGEXEXTRACT(CELL("address",'Raw Data'!D140),"\$([A-Z]+)\$[0-9]+"))),_xlfn.REGEXEXTRACT(CELL("address",'Raw Data'!D140),"\$([A-Z]+)\$[0-9]+"))</f>
        <v/>
      </c>
      <c r="E140" s="7" t="str">
        <f t="array" aca="1" ref="E140" ca="1">IFERROR(IF(OR('Raw Data'!E140="",LEN(TRIM('Raw Data'!E140))=0),"",IF(AND(LEN('Raw Data'!E140) &lt;= 50,LEN('Raw Data'!E140)&gt; 0),"",_xlfn.REGEXEXTRACT(CELL("address",'Raw Data'!E140),"\$([A-Z]+)\$[0-9]+"))),_xlfn.REGEXEXTRACT(CELL("address",'Raw Data'!E140),"\$([A-Z]+)\$[0-9]+"))</f>
        <v/>
      </c>
      <c r="F140" s="7" t="str">
        <f t="array" aca="1" ref="F140" ca="1">IFERROR(IF(OR('Raw Data'!F140="",LEN(TRIM('Raw Data'!F140))=0),"",IF(AND(LEN('Raw Data'!F140) &lt;= 50,LEN('Raw Data'!F140)&gt; 0),"",_xlfn.REGEXEXTRACT(CELL("address",'Raw Data'!F140),"\$([A-Z]+)\$[0-9]+"))),_xlfn.REGEXEXTRACT(CELL("address",'Raw Data'!F140),"\$([A-Z]+)\$[0-9]+"))</f>
        <v/>
      </c>
      <c r="G140" s="7" t="str">
        <f t="array" aca="1" ref="G140" ca="1">IFERROR(IF(OR('Raw Data'!G140="",LEN(TRIM('Raw Data'!G140))=0),"",IF(AND(LEN('Raw Data'!G140) &lt;= 50,LEN('Raw Data'!G140)&gt; 0),"",_xlfn.REGEXEXTRACT(CELL("address",'Raw Data'!G140),"\$([A-Z]+)\$[0-9]+"))),_xlfn.REGEXEXTRACT(CELL("address",'Raw Data'!G140),"\$([A-Z]+)\$[0-9]+"))</f>
        <v/>
      </c>
      <c r="H140" s="7" t="str">
        <f t="array" aca="1" ref="H140" ca="1">IFERROR(IF(OR('Raw Data'!H140="",LEN(TRIM('Raw Data'!H140))=0),"",IF(AND(LEN('Raw Data'!H140) &lt;= 50,LEN('Raw Data'!H140)&gt; 0),"",_xlfn.REGEXEXTRACT(CELL("address",'Raw Data'!H140),"\$([A-Z]+)\$[0-9]+"))),_xlfn.REGEXEXTRACT(CELL("address",'Raw Data'!H140),"\$([A-Z]+)\$[0-9]+"))</f>
        <v/>
      </c>
      <c r="I140" s="7" t="str">
        <f t="array" aca="1" ref="I140" ca="1">IFERROR(IF(OR('Raw Data'!I140="",LEN(TRIM('Raw Data'!I140))=0),"",IF(AND(LEN('Raw Data'!I140) &lt;= 50,LEN('Raw Data'!I140)&gt; 0),"",_xlfn.REGEXEXTRACT(CELL("address",'Raw Data'!I140),"\$([A-Z]+)\$[0-9]+"))),_xlfn.REGEXEXTRACT(CELL("address",'Raw Data'!I140),"\$([A-Z]+)\$[0-9]+"))</f>
        <v/>
      </c>
      <c r="J140" s="7" t="str">
        <f t="array" aca="1" ref="J140" ca="1">IFERROR(IF(OR('Raw Data'!J140="",LEN(TRIM('Raw Data'!J140))=0),"",IF(AND(ISNUMBER('Raw Data'!J140), IFERROR('Raw Data'!J140 = ROUND('Raw Data'!J140, 2),FALSE)),"",_xlfn.REGEXEXTRACT(CELL("address",J140), "\$([A-Z]+)\$[0-9]+"))),_xlfn.REGEXEXTRACT(CELL("address",J140), "\$([A-Z]+)\$[0-9]+"))</f>
        <v/>
      </c>
      <c r="K140" s="7" t="str">
        <f t="array" aca="1" ref="K140" ca="1">IFERROR(IF(OR('Raw Data'!K140="",LEN(TRIM('Raw Data'!K140))=0),"",IF(AND(ISNUMBER('Raw Data'!K140), IFERROR('Raw Data'!K140 = ROUND('Raw Data'!K140, 2),FALSE)),"",_xlfn.REGEXEXTRACT(CELL("address",K140), "\$([A-Z]+)\$[0-9]+"))),_xlfn.REGEXEXTRACT(CELL("address",K140), "\$([A-Z]+)\$[0-9]+"))</f>
        <v/>
      </c>
      <c r="L140" s="7" t="str">
        <f t="array" aca="1" ref="L140" ca="1">IFERROR(IF(OR('Raw Data'!L140="",LEN(TRIM('Raw Data'!L140))=0),"",IF(AND(ISNUMBER('Raw Data'!L140), IFERROR('Raw Data'!L140 = ROUND('Raw Data'!L140, 2),FALSE)),"",_xlfn.REGEXEXTRACT(CELL("address",L140), "\$([A-Z]+)\$[0-9]+"))),_xlfn.REGEXEXTRACT(CELL("address",L140), "\$([A-Z]+)\$[0-9]+"))</f>
        <v/>
      </c>
      <c r="M140" s="7" t="str">
        <f t="array" aca="1" ref="M140" ca="1">IFERROR(IF(OR('Raw Data'!M140="",LEN(TRIM('Raw Data'!M140))=0),"",IF(AND(ISNUMBER('Raw Data'!M140), IFERROR('Raw Data'!M140 = ROUND('Raw Data'!M140, 2),FALSE)),"",_xlfn.REGEXEXTRACT(CELL("address",M140), "\$([A-Z]+)\$[0-9]+"))),_xlfn.REGEXEXTRACT(CELL("address",M140), "\$([A-Z]+)\$[0-9]+"))</f>
        <v/>
      </c>
      <c r="N140" s="7" t="str">
        <f t="array" aca="1" ref="N140" ca="1">IFERROR(IF(OR('Raw Data'!N140="",LEN(TRIM('Raw Data'!N140))=0),"",IF(AND(ISNUMBER('Raw Data'!N140), IFERROR('Raw Data'!N140 = ROUND('Raw Data'!N140, 2),FALSE)),"",_xlfn.REGEXEXTRACT(CELL("address",N140), "\$([A-Z]+)\$[0-9]+"))),_xlfn.REGEXEXTRACT(CELL("address",N140), "\$([A-Z]+)\$[0-9]+"))</f>
        <v/>
      </c>
      <c r="O140" s="7" t="str">
        <f t="array" aca="1" ref="O140" ca="1">IFERROR(IF(OR('Raw Data'!O140="",LEN(TRIM('Raw Data'!O140))=0),"",IF(AND(ISNUMBER('Raw Data'!O140),'Raw Data'!O140&gt;=Configuration!$D$2),"",_xlfn.REGEXEXTRACT(CELL("address",'Raw Data'!O140),"\$([A-Z]+)\$[0-9]+"))),_xlfn.REGEXEXTRACT(CELL("address",O140), "\$([A-Z]+)\$[0-9]+"))</f>
        <v/>
      </c>
      <c r="P140" s="7" t="str">
        <f t="array" aca="1" ref="P140" ca="1">IFERROR(IF(OR('Raw Data'!P140="",LEN(TRIM('Raw Data'!P140))=0),"",IF(AND(ISNUMBER('Raw Data'!P140), IFERROR('Raw Data'!P140 = ROUND('Raw Data'!P140, 2),FALSE)),"",_xlfn.REGEXEXTRACT(CELL("address",P140), "\$([A-Z]+)\$[0-9]+"))),_xlfn.REGEXEXTRACT(CELL("address",P140), "\$([A-Z]+)\$[0-9]+"))</f>
        <v/>
      </c>
      <c r="Q140" s="7" t="str">
        <f t="array" aca="1" ref="Q140" ca="1">IFERROR(IF(OR('Raw Data'!Q140="",LEN(TRIM('Raw Data'!Q140))=0),"",IF(AND(ISNUMBER('Raw Data'!Q140), IFERROR('Raw Data'!Q140 = ROUND('Raw Data'!Q140, 2),FALSE)),"",_xlfn.REGEXEXTRACT(CELL("address",Q140), "\$([A-Z]+)\$[0-9]+"))),_xlfn.REGEXEXTRACT(CELL("address",Q140), "\$([A-Z]+)\$[0-9]+"))</f>
        <v/>
      </c>
      <c r="R140" s="7" t="str">
        <f t="array" aca="1" ref="R140" ca="1">IFERROR(IF(OR('Raw Data'!R140="",LEN(TRIM('Raw Data'!R140))=0),"",IF(AND(LEN('Raw Data'!R140) &lt;= 50,LEN('Raw Data'!R140)&gt; 0),"",_xlfn.REGEXEXTRACT(CELL("address",'Raw Data'!R140),"\$([A-Z]+)\$[0-9]+"))),_xlfn.REGEXEXTRACT(CELL("address",'Raw Data'!R140),"\$([A-Z]+)\$[0-9]+"))</f>
        <v/>
      </c>
      <c r="S140" s="7" t="str">
        <f t="array" aca="1" ref="S140" ca="1">IFERROR(IF(OR('Raw Data'!S140="",LEN(TRIM('Raw Data'!S140))=0),"",IF(AND(LEN('Raw Data'!S140) &lt;= 50,LEN('Raw Data'!S140)&gt; 0),"",_xlfn.REGEXEXTRACT(CELL("address",'Raw Data'!S140),"\$([A-Z]+)\$[0-9]+"))),_xlfn.REGEXEXTRACT(CELL("address",'Raw Data'!S140),"\$([A-Z]+)\$[0-9]+"))</f>
        <v/>
      </c>
      <c r="T140" s="7" t="str">
        <f t="array" aca="1" ref="T140" ca="1">IFERROR(IF(OR('Raw Data'!T140="",LEN(TRIM('Raw Data'!T140))=0),"",IF(AND(ISNUMBER('Raw Data'!T140), IFERROR('Raw Data'!T140 = ROUND('Raw Data'!T140, 2),FALSE)),"",_xlfn.REGEXEXTRACT(CELL("address",T140), "\$([A-Z]+)\$[0-9]+"))),_xlfn.REGEXEXTRACT(CELL("address",T140), "\$([A-Z]+)\$[0-9]+"))</f>
        <v/>
      </c>
      <c r="U140" s="7" t="str">
        <f t="array" aca="1" ref="U140" ca="1">IFERROR(IF(OR('Raw Data'!U140="",LEN(TRIM('Raw Data'!U140))=0),"",IF(AND(ISNUMBER('Raw Data'!U140), IFERROR('Raw Data'!U140 = ROUND('Raw Data'!U140, 2),FALSE)),"",_xlfn.REGEXEXTRACT(CELL("address",U140), "\$([A-Z]+)\$[0-9]+"))),_xlfn.REGEXEXTRACT(CELL("address",U140), "\$([A-Z]+)\$[0-9]+"))</f>
        <v/>
      </c>
      <c r="V140" s="7" t="str">
        <f t="array" aca="1" ref="V140" ca="1">IFERROR(IF(OR('Raw Data'!V140="",LEN(TRIM('Raw Data'!V140))=0),"",IF(AND(ISNUMBER('Raw Data'!V140), IFERROR('Raw Data'!V140 = ROUND('Raw Data'!V140, 2),FALSE)),"",_xlfn.REGEXEXTRACT(CELL("address",V140), "\$([A-Z]+)\$[0-9]+"))),_xlfn.REGEXEXTRACT(CELL("address",V140), "\$([A-Z]+)\$[0-9]+"))</f>
        <v/>
      </c>
      <c r="W140" s="7" t="str">
        <f t="array" aca="1" ref="W140" ca="1">IFERROR(IF(OR('Raw Data'!W140="",LEN(TRIM('Raw Data'!W140))=0),"",IF(AND(ISNUMBER('Raw Data'!W140), IFERROR('Raw Data'!W140 = ROUND('Raw Data'!W140, 2),FALSE)),"",_xlfn.REGEXEXTRACT(CELL("address",W140), "\$([A-Z]+)\$[0-9]+"))),_xlfn.REGEXEXTRACT(CELL("address",W140), "\$([A-Z]+)\$[0-9]+"))</f>
        <v/>
      </c>
      <c r="X140" s="7" t="str">
        <f t="array" aca="1" ref="X140" ca="1">IFERROR(IF(OR('Raw Data'!X140="",LEN(TRIM('Raw Data'!X140))=0),"",IF(AND(ISNUMBER('Raw Data'!X140), IFERROR('Raw Data'!X140 = ROUND('Raw Data'!X140, 2),FALSE)),"",_xlfn.REGEXEXTRACT(CELL("address",X140), "\$([A-Z]+)\$[0-9]+"))),_xlfn.REGEXEXTRACT(CELL("address",X140), "\$([A-Z]+)\$[0-9]+"))</f>
        <v/>
      </c>
      <c r="Y140" s="7" t="str">
        <f t="array" aca="1" ref="Y140" ca="1">IFERROR(IF(OR('Raw Data'!Y140="",LEN(TRIM('Raw Data'!Y140))=0),"",IF(AND(ISNUMBER('Raw Data'!Y140), IFERROR('Raw Data'!Y140 = ROUND('Raw Data'!Y140, 2),FALSE)),"",_xlfn.REGEXEXTRACT(CELL("address",Y140), "\$([A-Z]+)\$[0-9]+"))),_xlfn.REGEXEXTRACT(CELL("address",Y140), "\$([A-Z]+)\$[0-9]+"))</f>
        <v/>
      </c>
      <c r="Z140" s="7" t="str">
        <f t="array" aca="1" ref="Z140" ca="1">IFERROR(IF(OR('Raw Data'!Z140="",LEN(TRIM('Raw Data'!Z140))=0),"",IF(AND(ISNUMBER('Raw Data'!Z140), IFERROR('Raw Data'!Z140 = ROUND('Raw Data'!Z140, 2),FALSE)),"",_xlfn.REGEXEXTRACT(CELL("address",Z140), "\$([A-Z]+)\$[0-9]+"))),_xlfn.REGEXEXTRACT(CELL("address",Z140), "\$([A-Z]+)\$[0-9]+"))</f>
        <v/>
      </c>
      <c r="AA140" s="7" t="str">
        <f t="array" aca="1" ref="AA140" ca="1">IFERROR(IF(OR('Raw Data'!AA140="",LEN(TRIM('Raw Data'!AA140))=0),"",IF(AND(ISNUMBER('Raw Data'!AA140), IFERROR('Raw Data'!AA140 = ROUND('Raw Data'!AA140, 2),FALSE)),"",_xlfn.REGEXEXTRACT(CELL("address",AA140), "\$([A-Z]+)\$[0-9]+"))),_xlfn.REGEXEXTRACT(CELL("address",AA140), "\$([A-Z]+)\$[0-9]+"))</f>
        <v/>
      </c>
      <c r="AB140" s="7" t="str">
        <f t="array" aca="1" ref="AB140" ca="1">IFERROR(IF(OR('Raw Data'!AB140="",LEN(TRIM('Raw Data'!AB140))=0),"",IF(AND(ISNUMBER('Raw Data'!AB140), IFERROR('Raw Data'!AB140 = ROUND('Raw Data'!AB140, 2),FALSE)),"",_xlfn.REGEXEXTRACT(CELL("address",AB140), "\$([A-Z]+)\$[0-9]+"))),_xlfn.REGEXEXTRACT(CELL("address",AB140), "\$([A-Z]+)\$[0-9]+"))</f>
        <v/>
      </c>
      <c r="AC140" s="7" t="str">
        <f t="array" aca="1" ref="AC140" ca="1">IFERROR(IF(OR('Raw Data'!AC140="",LEN(TRIM('Raw Data'!AC140))=0),"",IF(AND(ISNUMBER('Raw Data'!AC140), IFERROR('Raw Data'!AC140 = ROUND('Raw Data'!AC140, 2),FALSE)),"",_xlfn.REGEXEXTRACT(CELL("address",AC140), "\$([A-Z]+)\$[0-9]+"))),_xlfn.REGEXEXTRACT(CELL("address",AC140), "\$([A-Z]+)\$[0-9]+"))</f>
        <v/>
      </c>
      <c r="AD140" s="7" t="str">
        <f t="array" aca="1" ref="AD140" ca="1">IFERROR(IF(OR('Raw Data'!AD140="",LEN(TRIM('Raw Data'!AD140))=0),"",IF(AND(ISNUMBER('Raw Data'!AD140), IFERROR('Raw Data'!AD140 = ROUND('Raw Data'!AD140, 2),FALSE)),"",_xlfn.REGEXEXTRACT(CELL("address",AD140), "\$([A-Z]+)\$[0-9]+"))),_xlfn.REGEXEXTRACT(CELL("address",AD140), "\$([A-Z]+)\$[0-9]+"))</f>
        <v/>
      </c>
      <c r="AE140" s="7" t="str">
        <f t="array" aca="1" ref="AE140" ca="1">IFERROR(IF(OR('Raw Data'!AE140="",LEN(TRIM('Raw Data'!AE140))=0),"",IF(AND(ISNUMBER('Raw Data'!AE140), IFERROR('Raw Data'!AE140 = ROUND('Raw Data'!AE140, 2),FALSE)),"",_xlfn.REGEXEXTRACT(CELL("address",AE140), "\$([A-Z]+)\$[0-9]+"))),_xlfn.REGEXEXTRACT(CELL("address",AE140), "\$([A-Z]+)\$[0-9]+"))</f>
        <v/>
      </c>
      <c r="AF140" s="7" t="str">
        <f t="array" aca="1" ref="AF140" ca="1">IFERROR(IF(OR('Raw Data'!AF140="",LEN(TRIM('Raw Data'!AF140))=0),"",IF(AND(ISNUMBER('Raw Data'!AF140), IFERROR('Raw Data'!AF140 = ROUND('Raw Data'!AF140, 2),FALSE)),"",_xlfn.REGEXEXTRACT(CELL("address",AF140), "\$([A-Z]+)\$[0-9]+"))),_xlfn.REGEXEXTRACT(CELL("address",AF140), "\$([A-Z]+)\$[0-9]+"))</f>
        <v/>
      </c>
      <c r="AG140" s="7" t="str">
        <f t="array" aca="1" ref="AG140" ca="1">IFERROR(IF(OR('Raw Data'!AG140="",LEN(TRIM('Raw Data'!AG140))=0),"",IF(AND(ISNUMBER('Raw Data'!AG140), IFERROR('Raw Data'!AG140 = ROUND('Raw Data'!AG140, 2),FALSE)),"",_xlfn.REGEXEXTRACT(CELL("address",AG140), "\$([A-Z]+)\$[0-9]+"))),_xlfn.REGEXEXTRACT(CELL("address",AG140), "\$([A-Z]+)\$[0-9]+"))</f>
        <v/>
      </c>
      <c r="AH140" s="7" t="str">
        <f t="array" aca="1" ref="AH140" ca="1">IFERROR(IF(OR('Raw Data'!AH140="",LEN(TRIM('Raw Data'!AH140))=0),"",IF(AND(ISNUMBER('Raw Data'!AH140), IFERROR('Raw Data'!AH140 = ROUND('Raw Data'!AH140, 2),FALSE)),"",_xlfn.REGEXEXTRACT(CELL("address",AH140), "\$([A-Z]+)\$[0-9]+"))),_xlfn.REGEXEXTRACT(CELL("address",AH140), "\$([A-Z]+)\$[0-9]+"))</f>
        <v/>
      </c>
      <c r="AI140" s="7" t="str">
        <f t="array" aca="1" ref="AI140" ca="1">IFERROR(IF(OR('Raw Data'!AI140="",LEN(TRIM('Raw Data'!AI140))=0),"",IF(AND(ISNUMBER('Raw Data'!AI140), IFERROR('Raw Data'!AI140 = ROUND('Raw Data'!AI140, 2),FALSE)),"",_xlfn.REGEXEXTRACT(CELL("address",AI140), "\$([A-Z]+)\$[0-9]+"))),_xlfn.REGEXEXTRACT(CELL("address",AI140), "\$([A-Z]+)\$[0-9]+"))</f>
        <v/>
      </c>
      <c r="AJ140" s="7" t="str">
        <f t="array" aca="1" ref="AJ140" ca="1">IFERROR(IF(OR('Raw Data'!AJ140="",LEN(TRIM('Raw Data'!AJ140))=0),"",IF(AND(ISNUMBER('Raw Data'!AJ140), IFERROR('Raw Data'!AJ140 = ROUND('Raw Data'!AJ140, 4),FALSE)),"",_xlfn.REGEXEXTRACT(CELL("address",AJ140), "\$([A-Z]+)\$[0-9]+"))),_xlfn.REGEXEXTRACT(CELL("address",AJ140), "\$([A-Z]+)\$[0-9]+"))</f>
        <v/>
      </c>
      <c r="AK140" s="7" t="str">
        <f t="array" aca="1" ref="AK140" ca="1">IFERROR(IF(OR('Raw Data'!AK140="",LEN(TRIM('Raw Data'!AK140))=0),"",IF(AND(ISNUMBER('Raw Data'!AK140), IFERROR('Raw Data'!AK140 = ROUND('Raw Data'!AK140, 2),FALSE)),"",_xlfn.REGEXEXTRACT(CELL("address",AK140), "\$([A-Z]+)\$[0-9]+"))),_xlfn.REGEXEXTRACT(CELL("address",AK140), "\$([A-Z]+)\$[0-9]+"))</f>
        <v/>
      </c>
      <c r="AL140" s="7" t="str">
        <f t="array" aca="1" ref="AL140" ca="1">IFERROR(IF(OR('Raw Data'!AL140="",LEN(TRIM('Raw Data'!AL140))=0),"",IF(AND(ISNUMBER('Raw Data'!AL140), IFERROR('Raw Data'!AL140 = ROUND('Raw Data'!AL140, 2),FALSE)),"",_xlfn.REGEXEXTRACT(CELL("address",AL140), "\$([A-Z]+)\$[0-9]+"))),_xlfn.REGEXEXTRACT(CELL("address",AL140), "\$([A-Z]+)\$[0-9]+"))</f>
        <v/>
      </c>
      <c r="AM140" s="7" t="str">
        <f t="array" aca="1" ref="AM140" ca="1">IFERROR(IF(OR('Raw Data'!AM140="",LEN(TRIM('Raw Data'!AM140))=0),"",IF(AND(ISNUMBER('Raw Data'!AM140), IFERROR('Raw Data'!AM140 = ROUND('Raw Data'!AM140, 2),FALSE)),"",_xlfn.REGEXEXTRACT(CELL("address",AM140), "\$([A-Z]+)\$[0-9]+"))),_xlfn.REGEXEXTRACT(CELL("address",AM140), "\$([A-Z]+)\$[0-9]+"))</f>
        <v/>
      </c>
      <c r="AN140" s="7" t="str">
        <f t="array" aca="1" ref="AN140" ca="1">IFERROR(IF(OR('Raw Data'!AN140="",LEN(TRIM('Raw Data'!AN140))=0),"",IF(AND(ISNUMBER('Raw Data'!AN140), IFERROR('Raw Data'!AN140 = ROUND('Raw Data'!AN140, 2),FALSE)),"",_xlfn.REGEXEXTRACT(CELL("address",AN140), "\$([A-Z]+)\$[0-9]+"))),_xlfn.REGEXEXTRACT(CELL("address",AN140), "\$([A-Z]+)\$[0-9]+"))</f>
        <v/>
      </c>
      <c r="AO140" s="7" t="str">
        <f t="array" aca="1" ref="AO140" ca="1">IFERROR(IF(OR('Raw Data'!AO140="",LEN(TRIM('Raw Data'!AO140))=0),"",IF(AND(ISNUMBER('Raw Data'!AO140), IFERROR('Raw Data'!AO140 = ROUND('Raw Data'!AO140, 2),FALSE)),"",_xlfn.REGEXEXTRACT(CELL("address",AO140), "\$([A-Z]+)\$[0-9]+"))),_xlfn.REGEXEXTRACT(CELL("address",AO140), "\$([A-Z]+)\$[0-9]+"))</f>
        <v/>
      </c>
      <c r="AP140" s="7" t="str">
        <f t="array" aca="1" ref="AP140" ca="1">IFERROR(IF(OR('Raw Data'!AP140="",LEN(TRIM('Raw Data'!AP140))=0),"",IF(AND(ISNUMBER('Raw Data'!AP140), IFERROR('Raw Data'!AP140 = ROUND('Raw Data'!AP140, 2),FALSE)),"",_xlfn.REGEXEXTRACT(CELL("address",AP140), "\$([A-Z]+)\$[0-9]+"))),_xlfn.REGEXEXTRACT(CELL("address",AP140), "\$([A-Z]+)\$[0-9]+"))</f>
        <v/>
      </c>
    </row>
    <row r="141" spans="2:42" x14ac:dyDescent="0.25">
      <c r="B141" s="7" t="str">
        <f t="array" aca="1" ref="B141" ca="1">IFERROR(IF(OR('Raw Data'!B141="",LEN(TRIM('Raw Data'!B141))=0),"",IF(AND(LEN('Raw Data'!B141) &lt;= 255,LEN('Raw Data'!B141)&gt; 0),"",_xlfn.REGEXEXTRACT(CELL("address",'Raw Data'!B141),"\$([A-Z]+)\$[0-9]+"))),_xlfn.REGEXEXTRACT(CELL("address",'Raw Data'!B141),"\$([A-Z]+)\$[0-9]+"))</f>
        <v/>
      </c>
      <c r="C141" s="7" t="str">
        <f t="array" aca="1" ref="C141" ca="1">IFERROR(IF(OR('Raw Data'!C141="",LEN(TRIM('Raw Data'!C141))=0),"",IF(AND(LEN('Raw Data'!C141) &lt;= 50,LEN('Raw Data'!C141)&gt; 0),"",_xlfn.REGEXEXTRACT(CELL("address",'Raw Data'!C141),"\$([A-Z]+)\$[0-9]+"))),_xlfn.REGEXEXTRACT(CELL("address",'Raw Data'!C141),"\$([A-Z]+)\$[0-9]+"))</f>
        <v/>
      </c>
      <c r="D141" s="7" t="str">
        <f t="array" aca="1" ref="D141" ca="1">IFERROR(IF(OR('Raw Data'!D141="",LEN(TRIM('Raw Data'!D141))=0),"",IF(AND(LEN('Raw Data'!D141) &lt;= 500,LEN('Raw Data'!D141)&gt; 0),"",_xlfn.REGEXEXTRACT(CELL("address",'Raw Data'!D141),"\$([A-Z]+)\$[0-9]+"))),_xlfn.REGEXEXTRACT(CELL("address",'Raw Data'!D141),"\$([A-Z]+)\$[0-9]+"))</f>
        <v/>
      </c>
      <c r="E141" s="7" t="str">
        <f t="array" aca="1" ref="E141" ca="1">IFERROR(IF(OR('Raw Data'!E141="",LEN(TRIM('Raw Data'!E141))=0),"",IF(AND(LEN('Raw Data'!E141) &lt;= 50,LEN('Raw Data'!E141)&gt; 0),"",_xlfn.REGEXEXTRACT(CELL("address",'Raw Data'!E141),"\$([A-Z]+)\$[0-9]+"))),_xlfn.REGEXEXTRACT(CELL("address",'Raw Data'!E141),"\$([A-Z]+)\$[0-9]+"))</f>
        <v/>
      </c>
      <c r="F141" s="7" t="str">
        <f t="array" aca="1" ref="F141" ca="1">IFERROR(IF(OR('Raw Data'!F141="",LEN(TRIM('Raw Data'!F141))=0),"",IF(AND(LEN('Raw Data'!F141) &lt;= 50,LEN('Raw Data'!F141)&gt; 0),"",_xlfn.REGEXEXTRACT(CELL("address",'Raw Data'!F141),"\$([A-Z]+)\$[0-9]+"))),_xlfn.REGEXEXTRACT(CELL("address",'Raw Data'!F141),"\$([A-Z]+)\$[0-9]+"))</f>
        <v/>
      </c>
      <c r="G141" s="7" t="str">
        <f t="array" aca="1" ref="G141" ca="1">IFERROR(IF(OR('Raw Data'!G141="",LEN(TRIM('Raw Data'!G141))=0),"",IF(AND(LEN('Raw Data'!G141) &lt;= 50,LEN('Raw Data'!G141)&gt; 0),"",_xlfn.REGEXEXTRACT(CELL("address",'Raw Data'!G141),"\$([A-Z]+)\$[0-9]+"))),_xlfn.REGEXEXTRACT(CELL("address",'Raw Data'!G141),"\$([A-Z]+)\$[0-9]+"))</f>
        <v/>
      </c>
      <c r="H141" s="7" t="str">
        <f t="array" aca="1" ref="H141" ca="1">IFERROR(IF(OR('Raw Data'!H141="",LEN(TRIM('Raw Data'!H141))=0),"",IF(AND(LEN('Raw Data'!H141) &lt;= 50,LEN('Raw Data'!H141)&gt; 0),"",_xlfn.REGEXEXTRACT(CELL("address",'Raw Data'!H141),"\$([A-Z]+)\$[0-9]+"))),_xlfn.REGEXEXTRACT(CELL("address",'Raw Data'!H141),"\$([A-Z]+)\$[0-9]+"))</f>
        <v/>
      </c>
      <c r="I141" s="7" t="str">
        <f t="array" aca="1" ref="I141" ca="1">IFERROR(IF(OR('Raw Data'!I141="",LEN(TRIM('Raw Data'!I141))=0),"",IF(AND(LEN('Raw Data'!I141) &lt;= 50,LEN('Raw Data'!I141)&gt; 0),"",_xlfn.REGEXEXTRACT(CELL("address",'Raw Data'!I141),"\$([A-Z]+)\$[0-9]+"))),_xlfn.REGEXEXTRACT(CELL("address",'Raw Data'!I141),"\$([A-Z]+)\$[0-9]+"))</f>
        <v/>
      </c>
      <c r="J141" s="7" t="str">
        <f t="array" aca="1" ref="J141" ca="1">IFERROR(IF(OR('Raw Data'!J141="",LEN(TRIM('Raw Data'!J141))=0),"",IF(AND(ISNUMBER('Raw Data'!J141), IFERROR('Raw Data'!J141 = ROUND('Raw Data'!J141, 2),FALSE)),"",_xlfn.REGEXEXTRACT(CELL("address",J141), "\$([A-Z]+)\$[0-9]+"))),_xlfn.REGEXEXTRACT(CELL("address",J141), "\$([A-Z]+)\$[0-9]+"))</f>
        <v/>
      </c>
      <c r="K141" s="7" t="str">
        <f t="array" aca="1" ref="K141" ca="1">IFERROR(IF(OR('Raw Data'!K141="",LEN(TRIM('Raw Data'!K141))=0),"",IF(AND(ISNUMBER('Raw Data'!K141), IFERROR('Raw Data'!K141 = ROUND('Raw Data'!K141, 2),FALSE)),"",_xlfn.REGEXEXTRACT(CELL("address",K141), "\$([A-Z]+)\$[0-9]+"))),_xlfn.REGEXEXTRACT(CELL("address",K141), "\$([A-Z]+)\$[0-9]+"))</f>
        <v/>
      </c>
      <c r="L141" s="7" t="str">
        <f t="array" aca="1" ref="L141" ca="1">IFERROR(IF(OR('Raw Data'!L141="",LEN(TRIM('Raw Data'!L141))=0),"",IF(AND(ISNUMBER('Raw Data'!L141), IFERROR('Raw Data'!L141 = ROUND('Raw Data'!L141, 2),FALSE)),"",_xlfn.REGEXEXTRACT(CELL("address",L141), "\$([A-Z]+)\$[0-9]+"))),_xlfn.REGEXEXTRACT(CELL("address",L141), "\$([A-Z]+)\$[0-9]+"))</f>
        <v/>
      </c>
      <c r="M141" s="7" t="str">
        <f t="array" aca="1" ref="M141" ca="1">IFERROR(IF(OR('Raw Data'!M141="",LEN(TRIM('Raw Data'!M141))=0),"",IF(AND(ISNUMBER('Raw Data'!M141), IFERROR('Raw Data'!M141 = ROUND('Raw Data'!M141, 2),FALSE)),"",_xlfn.REGEXEXTRACT(CELL("address",M141), "\$([A-Z]+)\$[0-9]+"))),_xlfn.REGEXEXTRACT(CELL("address",M141), "\$([A-Z]+)\$[0-9]+"))</f>
        <v/>
      </c>
      <c r="N141" s="7" t="str">
        <f t="array" aca="1" ref="N141" ca="1">IFERROR(IF(OR('Raw Data'!N141="",LEN(TRIM('Raw Data'!N141))=0),"",IF(AND(ISNUMBER('Raw Data'!N141), IFERROR('Raw Data'!N141 = ROUND('Raw Data'!N141, 2),FALSE)),"",_xlfn.REGEXEXTRACT(CELL("address",N141), "\$([A-Z]+)\$[0-9]+"))),_xlfn.REGEXEXTRACT(CELL("address",N141), "\$([A-Z]+)\$[0-9]+"))</f>
        <v/>
      </c>
      <c r="O141" s="7" t="str">
        <f t="array" aca="1" ref="O141" ca="1">IFERROR(IF(OR('Raw Data'!O141="",LEN(TRIM('Raw Data'!O141))=0),"",IF(AND(ISNUMBER('Raw Data'!O141),'Raw Data'!O141&gt;=Configuration!$D$2),"",_xlfn.REGEXEXTRACT(CELL("address",'Raw Data'!O141),"\$([A-Z]+)\$[0-9]+"))),_xlfn.REGEXEXTRACT(CELL("address",O141), "\$([A-Z]+)\$[0-9]+"))</f>
        <v/>
      </c>
      <c r="P141" s="7" t="str">
        <f t="array" aca="1" ref="P141" ca="1">IFERROR(IF(OR('Raw Data'!P141="",LEN(TRIM('Raw Data'!P141))=0),"",IF(AND(ISNUMBER('Raw Data'!P141), IFERROR('Raw Data'!P141 = ROUND('Raw Data'!P141, 2),FALSE)),"",_xlfn.REGEXEXTRACT(CELL("address",P141), "\$([A-Z]+)\$[0-9]+"))),_xlfn.REGEXEXTRACT(CELL("address",P141), "\$([A-Z]+)\$[0-9]+"))</f>
        <v/>
      </c>
      <c r="Q141" s="7" t="str">
        <f t="array" aca="1" ref="Q141" ca="1">IFERROR(IF(OR('Raw Data'!Q141="",LEN(TRIM('Raw Data'!Q141))=0),"",IF(AND(ISNUMBER('Raw Data'!Q141), IFERROR('Raw Data'!Q141 = ROUND('Raw Data'!Q141, 2),FALSE)),"",_xlfn.REGEXEXTRACT(CELL("address",Q141), "\$([A-Z]+)\$[0-9]+"))),_xlfn.REGEXEXTRACT(CELL("address",Q141), "\$([A-Z]+)\$[0-9]+"))</f>
        <v/>
      </c>
      <c r="R141" s="7" t="str">
        <f t="array" aca="1" ref="R141" ca="1">IFERROR(IF(OR('Raw Data'!R141="",LEN(TRIM('Raw Data'!R141))=0),"",IF(AND(LEN('Raw Data'!R141) &lt;= 50,LEN('Raw Data'!R141)&gt; 0),"",_xlfn.REGEXEXTRACT(CELL("address",'Raw Data'!R141),"\$([A-Z]+)\$[0-9]+"))),_xlfn.REGEXEXTRACT(CELL("address",'Raw Data'!R141),"\$([A-Z]+)\$[0-9]+"))</f>
        <v/>
      </c>
      <c r="S141" s="7" t="str">
        <f t="array" aca="1" ref="S141" ca="1">IFERROR(IF(OR('Raw Data'!S141="",LEN(TRIM('Raw Data'!S141))=0),"",IF(AND(LEN('Raw Data'!S141) &lt;= 50,LEN('Raw Data'!S141)&gt; 0),"",_xlfn.REGEXEXTRACT(CELL("address",'Raw Data'!S141),"\$([A-Z]+)\$[0-9]+"))),_xlfn.REGEXEXTRACT(CELL("address",'Raw Data'!S141),"\$([A-Z]+)\$[0-9]+"))</f>
        <v/>
      </c>
      <c r="T141" s="7" t="str">
        <f t="array" aca="1" ref="T141" ca="1">IFERROR(IF(OR('Raw Data'!T141="",LEN(TRIM('Raw Data'!T141))=0),"",IF(AND(ISNUMBER('Raw Data'!T141), IFERROR('Raw Data'!T141 = ROUND('Raw Data'!T141, 2),FALSE)),"",_xlfn.REGEXEXTRACT(CELL("address",T141), "\$([A-Z]+)\$[0-9]+"))),_xlfn.REGEXEXTRACT(CELL("address",T141), "\$([A-Z]+)\$[0-9]+"))</f>
        <v/>
      </c>
      <c r="U141" s="7" t="str">
        <f t="array" aca="1" ref="U141" ca="1">IFERROR(IF(OR('Raw Data'!U141="",LEN(TRIM('Raw Data'!U141))=0),"",IF(AND(ISNUMBER('Raw Data'!U141), IFERROR('Raw Data'!U141 = ROUND('Raw Data'!U141, 2),FALSE)),"",_xlfn.REGEXEXTRACT(CELL("address",U141), "\$([A-Z]+)\$[0-9]+"))),_xlfn.REGEXEXTRACT(CELL("address",U141), "\$([A-Z]+)\$[0-9]+"))</f>
        <v/>
      </c>
      <c r="V141" s="7" t="str">
        <f t="array" aca="1" ref="V141" ca="1">IFERROR(IF(OR('Raw Data'!V141="",LEN(TRIM('Raw Data'!V141))=0),"",IF(AND(ISNUMBER('Raw Data'!V141), IFERROR('Raw Data'!V141 = ROUND('Raw Data'!V141, 2),FALSE)),"",_xlfn.REGEXEXTRACT(CELL("address",V141), "\$([A-Z]+)\$[0-9]+"))),_xlfn.REGEXEXTRACT(CELL("address",V141), "\$([A-Z]+)\$[0-9]+"))</f>
        <v/>
      </c>
      <c r="W141" s="7" t="str">
        <f t="array" aca="1" ref="W141" ca="1">IFERROR(IF(OR('Raw Data'!W141="",LEN(TRIM('Raw Data'!W141))=0),"",IF(AND(ISNUMBER('Raw Data'!W141), IFERROR('Raw Data'!W141 = ROUND('Raw Data'!W141, 2),FALSE)),"",_xlfn.REGEXEXTRACT(CELL("address",W141), "\$([A-Z]+)\$[0-9]+"))),_xlfn.REGEXEXTRACT(CELL("address",W141), "\$([A-Z]+)\$[0-9]+"))</f>
        <v/>
      </c>
      <c r="X141" s="7" t="str">
        <f t="array" aca="1" ref="X141" ca="1">IFERROR(IF(OR('Raw Data'!X141="",LEN(TRIM('Raw Data'!X141))=0),"",IF(AND(ISNUMBER('Raw Data'!X141), IFERROR('Raw Data'!X141 = ROUND('Raw Data'!X141, 2),FALSE)),"",_xlfn.REGEXEXTRACT(CELL("address",X141), "\$([A-Z]+)\$[0-9]+"))),_xlfn.REGEXEXTRACT(CELL("address",X141), "\$([A-Z]+)\$[0-9]+"))</f>
        <v/>
      </c>
      <c r="Y141" s="7" t="str">
        <f t="array" aca="1" ref="Y141" ca="1">IFERROR(IF(OR('Raw Data'!Y141="",LEN(TRIM('Raw Data'!Y141))=0),"",IF(AND(ISNUMBER('Raw Data'!Y141), IFERROR('Raw Data'!Y141 = ROUND('Raw Data'!Y141, 2),FALSE)),"",_xlfn.REGEXEXTRACT(CELL("address",Y141), "\$([A-Z]+)\$[0-9]+"))),_xlfn.REGEXEXTRACT(CELL("address",Y141), "\$([A-Z]+)\$[0-9]+"))</f>
        <v/>
      </c>
      <c r="Z141" s="7" t="str">
        <f t="array" aca="1" ref="Z141" ca="1">IFERROR(IF(OR('Raw Data'!Z141="",LEN(TRIM('Raw Data'!Z141))=0),"",IF(AND(ISNUMBER('Raw Data'!Z141), IFERROR('Raw Data'!Z141 = ROUND('Raw Data'!Z141, 2),FALSE)),"",_xlfn.REGEXEXTRACT(CELL("address",Z141), "\$([A-Z]+)\$[0-9]+"))),_xlfn.REGEXEXTRACT(CELL("address",Z141), "\$([A-Z]+)\$[0-9]+"))</f>
        <v/>
      </c>
      <c r="AA141" s="7" t="str">
        <f t="array" aca="1" ref="AA141" ca="1">IFERROR(IF(OR('Raw Data'!AA141="",LEN(TRIM('Raw Data'!AA141))=0),"",IF(AND(ISNUMBER('Raw Data'!AA141), IFERROR('Raw Data'!AA141 = ROUND('Raw Data'!AA141, 2),FALSE)),"",_xlfn.REGEXEXTRACT(CELL("address",AA141), "\$([A-Z]+)\$[0-9]+"))),_xlfn.REGEXEXTRACT(CELL("address",AA141), "\$([A-Z]+)\$[0-9]+"))</f>
        <v/>
      </c>
      <c r="AB141" s="7" t="str">
        <f t="array" aca="1" ref="AB141" ca="1">IFERROR(IF(OR('Raw Data'!AB141="",LEN(TRIM('Raw Data'!AB141))=0),"",IF(AND(ISNUMBER('Raw Data'!AB141), IFERROR('Raw Data'!AB141 = ROUND('Raw Data'!AB141, 2),FALSE)),"",_xlfn.REGEXEXTRACT(CELL("address",AB141), "\$([A-Z]+)\$[0-9]+"))),_xlfn.REGEXEXTRACT(CELL("address",AB141), "\$([A-Z]+)\$[0-9]+"))</f>
        <v/>
      </c>
      <c r="AC141" s="7" t="str">
        <f t="array" aca="1" ref="AC141" ca="1">IFERROR(IF(OR('Raw Data'!AC141="",LEN(TRIM('Raw Data'!AC141))=0),"",IF(AND(ISNUMBER('Raw Data'!AC141), IFERROR('Raw Data'!AC141 = ROUND('Raw Data'!AC141, 2),FALSE)),"",_xlfn.REGEXEXTRACT(CELL("address",AC141), "\$([A-Z]+)\$[0-9]+"))),_xlfn.REGEXEXTRACT(CELL("address",AC141), "\$([A-Z]+)\$[0-9]+"))</f>
        <v/>
      </c>
      <c r="AD141" s="7" t="str">
        <f t="array" aca="1" ref="AD141" ca="1">IFERROR(IF(OR('Raw Data'!AD141="",LEN(TRIM('Raw Data'!AD141))=0),"",IF(AND(ISNUMBER('Raw Data'!AD141), IFERROR('Raw Data'!AD141 = ROUND('Raw Data'!AD141, 2),FALSE)),"",_xlfn.REGEXEXTRACT(CELL("address",AD141), "\$([A-Z]+)\$[0-9]+"))),_xlfn.REGEXEXTRACT(CELL("address",AD141), "\$([A-Z]+)\$[0-9]+"))</f>
        <v/>
      </c>
      <c r="AE141" s="7" t="str">
        <f t="array" aca="1" ref="AE141" ca="1">IFERROR(IF(OR('Raw Data'!AE141="",LEN(TRIM('Raw Data'!AE141))=0),"",IF(AND(ISNUMBER('Raw Data'!AE141), IFERROR('Raw Data'!AE141 = ROUND('Raw Data'!AE141, 2),FALSE)),"",_xlfn.REGEXEXTRACT(CELL("address",AE141), "\$([A-Z]+)\$[0-9]+"))),_xlfn.REGEXEXTRACT(CELL("address",AE141), "\$([A-Z]+)\$[0-9]+"))</f>
        <v/>
      </c>
      <c r="AF141" s="7" t="str">
        <f t="array" aca="1" ref="AF141" ca="1">IFERROR(IF(OR('Raw Data'!AF141="",LEN(TRIM('Raw Data'!AF141))=0),"",IF(AND(ISNUMBER('Raw Data'!AF141), IFERROR('Raw Data'!AF141 = ROUND('Raw Data'!AF141, 2),FALSE)),"",_xlfn.REGEXEXTRACT(CELL("address",AF141), "\$([A-Z]+)\$[0-9]+"))),_xlfn.REGEXEXTRACT(CELL("address",AF141), "\$([A-Z]+)\$[0-9]+"))</f>
        <v/>
      </c>
      <c r="AG141" s="7" t="str">
        <f t="array" aca="1" ref="AG141" ca="1">IFERROR(IF(OR('Raw Data'!AG141="",LEN(TRIM('Raw Data'!AG141))=0),"",IF(AND(ISNUMBER('Raw Data'!AG141), IFERROR('Raw Data'!AG141 = ROUND('Raw Data'!AG141, 2),FALSE)),"",_xlfn.REGEXEXTRACT(CELL("address",AG141), "\$([A-Z]+)\$[0-9]+"))),_xlfn.REGEXEXTRACT(CELL("address",AG141), "\$([A-Z]+)\$[0-9]+"))</f>
        <v/>
      </c>
      <c r="AH141" s="7" t="str">
        <f t="array" aca="1" ref="AH141" ca="1">IFERROR(IF(OR('Raw Data'!AH141="",LEN(TRIM('Raw Data'!AH141))=0),"",IF(AND(ISNUMBER('Raw Data'!AH141), IFERROR('Raw Data'!AH141 = ROUND('Raw Data'!AH141, 2),FALSE)),"",_xlfn.REGEXEXTRACT(CELL("address",AH141), "\$([A-Z]+)\$[0-9]+"))),_xlfn.REGEXEXTRACT(CELL("address",AH141), "\$([A-Z]+)\$[0-9]+"))</f>
        <v/>
      </c>
      <c r="AI141" s="7" t="str">
        <f t="array" aca="1" ref="AI141" ca="1">IFERROR(IF(OR('Raw Data'!AI141="",LEN(TRIM('Raw Data'!AI141))=0),"",IF(AND(ISNUMBER('Raw Data'!AI141), IFERROR('Raw Data'!AI141 = ROUND('Raw Data'!AI141, 2),FALSE)),"",_xlfn.REGEXEXTRACT(CELL("address",AI141), "\$([A-Z]+)\$[0-9]+"))),_xlfn.REGEXEXTRACT(CELL("address",AI141), "\$([A-Z]+)\$[0-9]+"))</f>
        <v/>
      </c>
      <c r="AJ141" s="7" t="str">
        <f t="array" aca="1" ref="AJ141" ca="1">IFERROR(IF(OR('Raw Data'!AJ141="",LEN(TRIM('Raw Data'!AJ141))=0),"",IF(AND(ISNUMBER('Raw Data'!AJ141), IFERROR('Raw Data'!AJ141 = ROUND('Raw Data'!AJ141, 4),FALSE)),"",_xlfn.REGEXEXTRACT(CELL("address",AJ141), "\$([A-Z]+)\$[0-9]+"))),_xlfn.REGEXEXTRACT(CELL("address",AJ141), "\$([A-Z]+)\$[0-9]+"))</f>
        <v/>
      </c>
      <c r="AK141" s="7" t="str">
        <f t="array" aca="1" ref="AK141" ca="1">IFERROR(IF(OR('Raw Data'!AK141="",LEN(TRIM('Raw Data'!AK141))=0),"",IF(AND(ISNUMBER('Raw Data'!AK141), IFERROR('Raw Data'!AK141 = ROUND('Raw Data'!AK141, 2),FALSE)),"",_xlfn.REGEXEXTRACT(CELL("address",AK141), "\$([A-Z]+)\$[0-9]+"))),_xlfn.REGEXEXTRACT(CELL("address",AK141), "\$([A-Z]+)\$[0-9]+"))</f>
        <v/>
      </c>
      <c r="AL141" s="7" t="str">
        <f t="array" aca="1" ref="AL141" ca="1">IFERROR(IF(OR('Raw Data'!AL141="",LEN(TRIM('Raw Data'!AL141))=0),"",IF(AND(ISNUMBER('Raw Data'!AL141), IFERROR('Raw Data'!AL141 = ROUND('Raw Data'!AL141, 2),FALSE)),"",_xlfn.REGEXEXTRACT(CELL("address",AL141), "\$([A-Z]+)\$[0-9]+"))),_xlfn.REGEXEXTRACT(CELL("address",AL141), "\$([A-Z]+)\$[0-9]+"))</f>
        <v/>
      </c>
      <c r="AM141" s="7" t="str">
        <f t="array" aca="1" ref="AM141" ca="1">IFERROR(IF(OR('Raw Data'!AM141="",LEN(TRIM('Raw Data'!AM141))=0),"",IF(AND(ISNUMBER('Raw Data'!AM141), IFERROR('Raw Data'!AM141 = ROUND('Raw Data'!AM141, 2),FALSE)),"",_xlfn.REGEXEXTRACT(CELL("address",AM141), "\$([A-Z]+)\$[0-9]+"))),_xlfn.REGEXEXTRACT(CELL("address",AM141), "\$([A-Z]+)\$[0-9]+"))</f>
        <v/>
      </c>
      <c r="AN141" s="7" t="str">
        <f t="array" aca="1" ref="AN141" ca="1">IFERROR(IF(OR('Raw Data'!AN141="",LEN(TRIM('Raw Data'!AN141))=0),"",IF(AND(ISNUMBER('Raw Data'!AN141), IFERROR('Raw Data'!AN141 = ROUND('Raw Data'!AN141, 2),FALSE)),"",_xlfn.REGEXEXTRACT(CELL("address",AN141), "\$([A-Z]+)\$[0-9]+"))),_xlfn.REGEXEXTRACT(CELL("address",AN141), "\$([A-Z]+)\$[0-9]+"))</f>
        <v/>
      </c>
      <c r="AO141" s="7" t="str">
        <f t="array" aca="1" ref="AO141" ca="1">IFERROR(IF(OR('Raw Data'!AO141="",LEN(TRIM('Raw Data'!AO141))=0),"",IF(AND(ISNUMBER('Raw Data'!AO141), IFERROR('Raw Data'!AO141 = ROUND('Raw Data'!AO141, 2),FALSE)),"",_xlfn.REGEXEXTRACT(CELL("address",AO141), "\$([A-Z]+)\$[0-9]+"))),_xlfn.REGEXEXTRACT(CELL("address",AO141), "\$([A-Z]+)\$[0-9]+"))</f>
        <v/>
      </c>
      <c r="AP141" s="7" t="str">
        <f t="array" aca="1" ref="AP141" ca="1">IFERROR(IF(OR('Raw Data'!AP141="",LEN(TRIM('Raw Data'!AP141))=0),"",IF(AND(ISNUMBER('Raw Data'!AP141), IFERROR('Raw Data'!AP141 = ROUND('Raw Data'!AP141, 2),FALSE)),"",_xlfn.REGEXEXTRACT(CELL("address",AP141), "\$([A-Z]+)\$[0-9]+"))),_xlfn.REGEXEXTRACT(CELL("address",AP141), "\$([A-Z]+)\$[0-9]+"))</f>
        <v/>
      </c>
    </row>
    <row r="142" spans="2:42" x14ac:dyDescent="0.25">
      <c r="B142" s="7" t="str">
        <f t="array" aca="1" ref="B142" ca="1">IFERROR(IF(OR('Raw Data'!B142="",LEN(TRIM('Raw Data'!B142))=0),"",IF(AND(LEN('Raw Data'!B142) &lt;= 255,LEN('Raw Data'!B142)&gt; 0),"",_xlfn.REGEXEXTRACT(CELL("address",'Raw Data'!B142),"\$([A-Z]+)\$[0-9]+"))),_xlfn.REGEXEXTRACT(CELL("address",'Raw Data'!B142),"\$([A-Z]+)\$[0-9]+"))</f>
        <v/>
      </c>
      <c r="C142" s="7" t="str">
        <f t="array" aca="1" ref="C142" ca="1">IFERROR(IF(OR('Raw Data'!C142="",LEN(TRIM('Raw Data'!C142))=0),"",IF(AND(LEN('Raw Data'!C142) &lt;= 50,LEN('Raw Data'!C142)&gt; 0),"",_xlfn.REGEXEXTRACT(CELL("address",'Raw Data'!C142),"\$([A-Z]+)\$[0-9]+"))),_xlfn.REGEXEXTRACT(CELL("address",'Raw Data'!C142),"\$([A-Z]+)\$[0-9]+"))</f>
        <v/>
      </c>
      <c r="D142" s="7" t="str">
        <f t="array" aca="1" ref="D142" ca="1">IFERROR(IF(OR('Raw Data'!D142="",LEN(TRIM('Raw Data'!D142))=0),"",IF(AND(LEN('Raw Data'!D142) &lt;= 500,LEN('Raw Data'!D142)&gt; 0),"",_xlfn.REGEXEXTRACT(CELL("address",'Raw Data'!D142),"\$([A-Z]+)\$[0-9]+"))),_xlfn.REGEXEXTRACT(CELL("address",'Raw Data'!D142),"\$([A-Z]+)\$[0-9]+"))</f>
        <v/>
      </c>
      <c r="E142" s="7" t="str">
        <f t="array" aca="1" ref="E142" ca="1">IFERROR(IF(OR('Raw Data'!E142="",LEN(TRIM('Raw Data'!E142))=0),"",IF(AND(LEN('Raw Data'!E142) &lt;= 50,LEN('Raw Data'!E142)&gt; 0),"",_xlfn.REGEXEXTRACT(CELL("address",'Raw Data'!E142),"\$([A-Z]+)\$[0-9]+"))),_xlfn.REGEXEXTRACT(CELL("address",'Raw Data'!E142),"\$([A-Z]+)\$[0-9]+"))</f>
        <v/>
      </c>
      <c r="F142" s="7" t="str">
        <f t="array" aca="1" ref="F142" ca="1">IFERROR(IF(OR('Raw Data'!F142="",LEN(TRIM('Raw Data'!F142))=0),"",IF(AND(LEN('Raw Data'!F142) &lt;= 50,LEN('Raw Data'!F142)&gt; 0),"",_xlfn.REGEXEXTRACT(CELL("address",'Raw Data'!F142),"\$([A-Z]+)\$[0-9]+"))),_xlfn.REGEXEXTRACT(CELL("address",'Raw Data'!F142),"\$([A-Z]+)\$[0-9]+"))</f>
        <v/>
      </c>
      <c r="G142" s="7" t="str">
        <f t="array" aca="1" ref="G142" ca="1">IFERROR(IF(OR('Raw Data'!G142="",LEN(TRIM('Raw Data'!G142))=0),"",IF(AND(LEN('Raw Data'!G142) &lt;= 50,LEN('Raw Data'!G142)&gt; 0),"",_xlfn.REGEXEXTRACT(CELL("address",'Raw Data'!G142),"\$([A-Z]+)\$[0-9]+"))),_xlfn.REGEXEXTRACT(CELL("address",'Raw Data'!G142),"\$([A-Z]+)\$[0-9]+"))</f>
        <v/>
      </c>
      <c r="H142" s="7" t="str">
        <f t="array" aca="1" ref="H142" ca="1">IFERROR(IF(OR('Raw Data'!H142="",LEN(TRIM('Raw Data'!H142))=0),"",IF(AND(LEN('Raw Data'!H142) &lt;= 50,LEN('Raw Data'!H142)&gt; 0),"",_xlfn.REGEXEXTRACT(CELL("address",'Raw Data'!H142),"\$([A-Z]+)\$[0-9]+"))),_xlfn.REGEXEXTRACT(CELL("address",'Raw Data'!H142),"\$([A-Z]+)\$[0-9]+"))</f>
        <v/>
      </c>
      <c r="I142" s="7" t="str">
        <f t="array" aca="1" ref="I142" ca="1">IFERROR(IF(OR('Raw Data'!I142="",LEN(TRIM('Raw Data'!I142))=0),"",IF(AND(LEN('Raw Data'!I142) &lt;= 50,LEN('Raw Data'!I142)&gt; 0),"",_xlfn.REGEXEXTRACT(CELL("address",'Raw Data'!I142),"\$([A-Z]+)\$[0-9]+"))),_xlfn.REGEXEXTRACT(CELL("address",'Raw Data'!I142),"\$([A-Z]+)\$[0-9]+"))</f>
        <v/>
      </c>
      <c r="J142" s="7" t="str">
        <f t="array" aca="1" ref="J142" ca="1">IFERROR(IF(OR('Raw Data'!J142="",LEN(TRIM('Raw Data'!J142))=0),"",IF(AND(ISNUMBER('Raw Data'!J142), IFERROR('Raw Data'!J142 = ROUND('Raw Data'!J142, 2),FALSE)),"",_xlfn.REGEXEXTRACT(CELL("address",J142), "\$([A-Z]+)\$[0-9]+"))),_xlfn.REGEXEXTRACT(CELL("address",J142), "\$([A-Z]+)\$[0-9]+"))</f>
        <v/>
      </c>
      <c r="K142" s="7" t="str">
        <f t="array" aca="1" ref="K142" ca="1">IFERROR(IF(OR('Raw Data'!K142="",LEN(TRIM('Raw Data'!K142))=0),"",IF(AND(ISNUMBER('Raw Data'!K142), IFERROR('Raw Data'!K142 = ROUND('Raw Data'!K142, 2),FALSE)),"",_xlfn.REGEXEXTRACT(CELL("address",K142), "\$([A-Z]+)\$[0-9]+"))),_xlfn.REGEXEXTRACT(CELL("address",K142), "\$([A-Z]+)\$[0-9]+"))</f>
        <v/>
      </c>
      <c r="L142" s="7" t="str">
        <f t="array" aca="1" ref="L142" ca="1">IFERROR(IF(OR('Raw Data'!L142="",LEN(TRIM('Raw Data'!L142))=0),"",IF(AND(ISNUMBER('Raw Data'!L142), IFERROR('Raw Data'!L142 = ROUND('Raw Data'!L142, 2),FALSE)),"",_xlfn.REGEXEXTRACT(CELL("address",L142), "\$([A-Z]+)\$[0-9]+"))),_xlfn.REGEXEXTRACT(CELL("address",L142), "\$([A-Z]+)\$[0-9]+"))</f>
        <v/>
      </c>
      <c r="M142" s="7" t="str">
        <f t="array" aca="1" ref="M142" ca="1">IFERROR(IF(OR('Raw Data'!M142="",LEN(TRIM('Raw Data'!M142))=0),"",IF(AND(ISNUMBER('Raw Data'!M142), IFERROR('Raw Data'!M142 = ROUND('Raw Data'!M142, 2),FALSE)),"",_xlfn.REGEXEXTRACT(CELL("address",M142), "\$([A-Z]+)\$[0-9]+"))),_xlfn.REGEXEXTRACT(CELL("address",M142), "\$([A-Z]+)\$[0-9]+"))</f>
        <v/>
      </c>
      <c r="N142" s="7" t="str">
        <f t="array" aca="1" ref="N142" ca="1">IFERROR(IF(OR('Raw Data'!N142="",LEN(TRIM('Raw Data'!N142))=0),"",IF(AND(ISNUMBER('Raw Data'!N142), IFERROR('Raw Data'!N142 = ROUND('Raw Data'!N142, 2),FALSE)),"",_xlfn.REGEXEXTRACT(CELL("address",N142), "\$([A-Z]+)\$[0-9]+"))),_xlfn.REGEXEXTRACT(CELL("address",N142), "\$([A-Z]+)\$[0-9]+"))</f>
        <v/>
      </c>
      <c r="O142" s="7" t="str">
        <f t="array" aca="1" ref="O142" ca="1">IFERROR(IF(OR('Raw Data'!O142="",LEN(TRIM('Raw Data'!O142))=0),"",IF(AND(ISNUMBER('Raw Data'!O142),'Raw Data'!O142&gt;=Configuration!$D$2),"",_xlfn.REGEXEXTRACT(CELL("address",'Raw Data'!O142),"\$([A-Z]+)\$[0-9]+"))),_xlfn.REGEXEXTRACT(CELL("address",O142), "\$([A-Z]+)\$[0-9]+"))</f>
        <v/>
      </c>
      <c r="P142" s="7" t="str">
        <f t="array" aca="1" ref="P142" ca="1">IFERROR(IF(OR('Raw Data'!P142="",LEN(TRIM('Raw Data'!P142))=0),"",IF(AND(ISNUMBER('Raw Data'!P142), IFERROR('Raw Data'!P142 = ROUND('Raw Data'!P142, 2),FALSE)),"",_xlfn.REGEXEXTRACT(CELL("address",P142), "\$([A-Z]+)\$[0-9]+"))),_xlfn.REGEXEXTRACT(CELL("address",P142), "\$([A-Z]+)\$[0-9]+"))</f>
        <v/>
      </c>
      <c r="Q142" s="7" t="str">
        <f t="array" aca="1" ref="Q142" ca="1">IFERROR(IF(OR('Raw Data'!Q142="",LEN(TRIM('Raw Data'!Q142))=0),"",IF(AND(ISNUMBER('Raw Data'!Q142), IFERROR('Raw Data'!Q142 = ROUND('Raw Data'!Q142, 2),FALSE)),"",_xlfn.REGEXEXTRACT(CELL("address",Q142), "\$([A-Z]+)\$[0-9]+"))),_xlfn.REGEXEXTRACT(CELL("address",Q142), "\$([A-Z]+)\$[0-9]+"))</f>
        <v/>
      </c>
      <c r="R142" s="7" t="str">
        <f t="array" aca="1" ref="R142" ca="1">IFERROR(IF(OR('Raw Data'!R142="",LEN(TRIM('Raw Data'!R142))=0),"",IF(AND(LEN('Raw Data'!R142) &lt;= 50,LEN('Raw Data'!R142)&gt; 0),"",_xlfn.REGEXEXTRACT(CELL("address",'Raw Data'!R142),"\$([A-Z]+)\$[0-9]+"))),_xlfn.REGEXEXTRACT(CELL("address",'Raw Data'!R142),"\$([A-Z]+)\$[0-9]+"))</f>
        <v/>
      </c>
      <c r="S142" s="7" t="str">
        <f t="array" aca="1" ref="S142" ca="1">IFERROR(IF(OR('Raw Data'!S142="",LEN(TRIM('Raw Data'!S142))=0),"",IF(AND(LEN('Raw Data'!S142) &lt;= 50,LEN('Raw Data'!S142)&gt; 0),"",_xlfn.REGEXEXTRACT(CELL("address",'Raw Data'!S142),"\$([A-Z]+)\$[0-9]+"))),_xlfn.REGEXEXTRACT(CELL("address",'Raw Data'!S142),"\$([A-Z]+)\$[0-9]+"))</f>
        <v/>
      </c>
      <c r="T142" s="7" t="str">
        <f t="array" aca="1" ref="T142" ca="1">IFERROR(IF(OR('Raw Data'!T142="",LEN(TRIM('Raw Data'!T142))=0),"",IF(AND(ISNUMBER('Raw Data'!T142), IFERROR('Raw Data'!T142 = ROUND('Raw Data'!T142, 2),FALSE)),"",_xlfn.REGEXEXTRACT(CELL("address",T142), "\$([A-Z]+)\$[0-9]+"))),_xlfn.REGEXEXTRACT(CELL("address",T142), "\$([A-Z]+)\$[0-9]+"))</f>
        <v/>
      </c>
      <c r="U142" s="7" t="str">
        <f t="array" aca="1" ref="U142" ca="1">IFERROR(IF(OR('Raw Data'!U142="",LEN(TRIM('Raw Data'!U142))=0),"",IF(AND(ISNUMBER('Raw Data'!U142), IFERROR('Raw Data'!U142 = ROUND('Raw Data'!U142, 2),FALSE)),"",_xlfn.REGEXEXTRACT(CELL("address",U142), "\$([A-Z]+)\$[0-9]+"))),_xlfn.REGEXEXTRACT(CELL("address",U142), "\$([A-Z]+)\$[0-9]+"))</f>
        <v/>
      </c>
      <c r="V142" s="7" t="str">
        <f t="array" aca="1" ref="V142" ca="1">IFERROR(IF(OR('Raw Data'!V142="",LEN(TRIM('Raw Data'!V142))=0),"",IF(AND(ISNUMBER('Raw Data'!V142), IFERROR('Raw Data'!V142 = ROUND('Raw Data'!V142, 2),FALSE)),"",_xlfn.REGEXEXTRACT(CELL("address",V142), "\$([A-Z]+)\$[0-9]+"))),_xlfn.REGEXEXTRACT(CELL("address",V142), "\$([A-Z]+)\$[0-9]+"))</f>
        <v/>
      </c>
      <c r="W142" s="7" t="str">
        <f t="array" aca="1" ref="W142" ca="1">IFERROR(IF(OR('Raw Data'!W142="",LEN(TRIM('Raw Data'!W142))=0),"",IF(AND(ISNUMBER('Raw Data'!W142), IFERROR('Raw Data'!W142 = ROUND('Raw Data'!W142, 2),FALSE)),"",_xlfn.REGEXEXTRACT(CELL("address",W142), "\$([A-Z]+)\$[0-9]+"))),_xlfn.REGEXEXTRACT(CELL("address",W142), "\$([A-Z]+)\$[0-9]+"))</f>
        <v/>
      </c>
      <c r="X142" s="7" t="str">
        <f t="array" aca="1" ref="X142" ca="1">IFERROR(IF(OR('Raw Data'!X142="",LEN(TRIM('Raw Data'!X142))=0),"",IF(AND(ISNUMBER('Raw Data'!X142), IFERROR('Raw Data'!X142 = ROUND('Raw Data'!X142, 2),FALSE)),"",_xlfn.REGEXEXTRACT(CELL("address",X142), "\$([A-Z]+)\$[0-9]+"))),_xlfn.REGEXEXTRACT(CELL("address",X142), "\$([A-Z]+)\$[0-9]+"))</f>
        <v/>
      </c>
      <c r="Y142" s="7" t="str">
        <f t="array" aca="1" ref="Y142" ca="1">IFERROR(IF(OR('Raw Data'!Y142="",LEN(TRIM('Raw Data'!Y142))=0),"",IF(AND(ISNUMBER('Raw Data'!Y142), IFERROR('Raw Data'!Y142 = ROUND('Raw Data'!Y142, 2),FALSE)),"",_xlfn.REGEXEXTRACT(CELL("address",Y142), "\$([A-Z]+)\$[0-9]+"))),_xlfn.REGEXEXTRACT(CELL("address",Y142), "\$([A-Z]+)\$[0-9]+"))</f>
        <v/>
      </c>
      <c r="Z142" s="7" t="str">
        <f t="array" aca="1" ref="Z142" ca="1">IFERROR(IF(OR('Raw Data'!Z142="",LEN(TRIM('Raw Data'!Z142))=0),"",IF(AND(ISNUMBER('Raw Data'!Z142), IFERROR('Raw Data'!Z142 = ROUND('Raw Data'!Z142, 2),FALSE)),"",_xlfn.REGEXEXTRACT(CELL("address",Z142), "\$([A-Z]+)\$[0-9]+"))),_xlfn.REGEXEXTRACT(CELL("address",Z142), "\$([A-Z]+)\$[0-9]+"))</f>
        <v/>
      </c>
      <c r="AA142" s="7" t="str">
        <f t="array" aca="1" ref="AA142" ca="1">IFERROR(IF(OR('Raw Data'!AA142="",LEN(TRIM('Raw Data'!AA142))=0),"",IF(AND(ISNUMBER('Raw Data'!AA142), IFERROR('Raw Data'!AA142 = ROUND('Raw Data'!AA142, 2),FALSE)),"",_xlfn.REGEXEXTRACT(CELL("address",AA142), "\$([A-Z]+)\$[0-9]+"))),_xlfn.REGEXEXTRACT(CELL("address",AA142), "\$([A-Z]+)\$[0-9]+"))</f>
        <v/>
      </c>
      <c r="AB142" s="7" t="str">
        <f t="array" aca="1" ref="AB142" ca="1">IFERROR(IF(OR('Raw Data'!AB142="",LEN(TRIM('Raw Data'!AB142))=0),"",IF(AND(ISNUMBER('Raw Data'!AB142), IFERROR('Raw Data'!AB142 = ROUND('Raw Data'!AB142, 2),FALSE)),"",_xlfn.REGEXEXTRACT(CELL("address",AB142), "\$([A-Z]+)\$[0-9]+"))),_xlfn.REGEXEXTRACT(CELL("address",AB142), "\$([A-Z]+)\$[0-9]+"))</f>
        <v/>
      </c>
      <c r="AC142" s="7" t="str">
        <f t="array" aca="1" ref="AC142" ca="1">IFERROR(IF(OR('Raw Data'!AC142="",LEN(TRIM('Raw Data'!AC142))=0),"",IF(AND(ISNUMBER('Raw Data'!AC142), IFERROR('Raw Data'!AC142 = ROUND('Raw Data'!AC142, 2),FALSE)),"",_xlfn.REGEXEXTRACT(CELL("address",AC142), "\$([A-Z]+)\$[0-9]+"))),_xlfn.REGEXEXTRACT(CELL("address",AC142), "\$([A-Z]+)\$[0-9]+"))</f>
        <v/>
      </c>
      <c r="AD142" s="7" t="str">
        <f t="array" aca="1" ref="AD142" ca="1">IFERROR(IF(OR('Raw Data'!AD142="",LEN(TRIM('Raw Data'!AD142))=0),"",IF(AND(ISNUMBER('Raw Data'!AD142), IFERROR('Raw Data'!AD142 = ROUND('Raw Data'!AD142, 2),FALSE)),"",_xlfn.REGEXEXTRACT(CELL("address",AD142), "\$([A-Z]+)\$[0-9]+"))),_xlfn.REGEXEXTRACT(CELL("address",AD142), "\$([A-Z]+)\$[0-9]+"))</f>
        <v/>
      </c>
      <c r="AE142" s="7" t="str">
        <f t="array" aca="1" ref="AE142" ca="1">IFERROR(IF(OR('Raw Data'!AE142="",LEN(TRIM('Raw Data'!AE142))=0),"",IF(AND(ISNUMBER('Raw Data'!AE142), IFERROR('Raw Data'!AE142 = ROUND('Raw Data'!AE142, 2),FALSE)),"",_xlfn.REGEXEXTRACT(CELL("address",AE142), "\$([A-Z]+)\$[0-9]+"))),_xlfn.REGEXEXTRACT(CELL("address",AE142), "\$([A-Z]+)\$[0-9]+"))</f>
        <v/>
      </c>
      <c r="AF142" s="7" t="str">
        <f t="array" aca="1" ref="AF142" ca="1">IFERROR(IF(OR('Raw Data'!AF142="",LEN(TRIM('Raw Data'!AF142))=0),"",IF(AND(ISNUMBER('Raw Data'!AF142), IFERROR('Raw Data'!AF142 = ROUND('Raw Data'!AF142, 2),FALSE)),"",_xlfn.REGEXEXTRACT(CELL("address",AF142), "\$([A-Z]+)\$[0-9]+"))),_xlfn.REGEXEXTRACT(CELL("address",AF142), "\$([A-Z]+)\$[0-9]+"))</f>
        <v/>
      </c>
      <c r="AG142" s="7" t="str">
        <f t="array" aca="1" ref="AG142" ca="1">IFERROR(IF(OR('Raw Data'!AG142="",LEN(TRIM('Raw Data'!AG142))=0),"",IF(AND(ISNUMBER('Raw Data'!AG142), IFERROR('Raw Data'!AG142 = ROUND('Raw Data'!AG142, 2),FALSE)),"",_xlfn.REGEXEXTRACT(CELL("address",AG142), "\$([A-Z]+)\$[0-9]+"))),_xlfn.REGEXEXTRACT(CELL("address",AG142), "\$([A-Z]+)\$[0-9]+"))</f>
        <v/>
      </c>
      <c r="AH142" s="7" t="str">
        <f t="array" aca="1" ref="AH142" ca="1">IFERROR(IF(OR('Raw Data'!AH142="",LEN(TRIM('Raw Data'!AH142))=0),"",IF(AND(ISNUMBER('Raw Data'!AH142), IFERROR('Raw Data'!AH142 = ROUND('Raw Data'!AH142, 2),FALSE)),"",_xlfn.REGEXEXTRACT(CELL("address",AH142), "\$([A-Z]+)\$[0-9]+"))),_xlfn.REGEXEXTRACT(CELL("address",AH142), "\$([A-Z]+)\$[0-9]+"))</f>
        <v/>
      </c>
      <c r="AI142" s="7" t="str">
        <f t="array" aca="1" ref="AI142" ca="1">IFERROR(IF(OR('Raw Data'!AI142="",LEN(TRIM('Raw Data'!AI142))=0),"",IF(AND(ISNUMBER('Raw Data'!AI142), IFERROR('Raw Data'!AI142 = ROUND('Raw Data'!AI142, 2),FALSE)),"",_xlfn.REGEXEXTRACT(CELL("address",AI142), "\$([A-Z]+)\$[0-9]+"))),_xlfn.REGEXEXTRACT(CELL("address",AI142), "\$([A-Z]+)\$[0-9]+"))</f>
        <v/>
      </c>
      <c r="AJ142" s="7" t="str">
        <f t="array" aca="1" ref="AJ142" ca="1">IFERROR(IF(OR('Raw Data'!AJ142="",LEN(TRIM('Raw Data'!AJ142))=0),"",IF(AND(ISNUMBER('Raw Data'!AJ142), IFERROR('Raw Data'!AJ142 = ROUND('Raw Data'!AJ142, 4),FALSE)),"",_xlfn.REGEXEXTRACT(CELL("address",AJ142), "\$([A-Z]+)\$[0-9]+"))),_xlfn.REGEXEXTRACT(CELL("address",AJ142), "\$([A-Z]+)\$[0-9]+"))</f>
        <v/>
      </c>
      <c r="AK142" s="7" t="str">
        <f t="array" aca="1" ref="AK142" ca="1">IFERROR(IF(OR('Raw Data'!AK142="",LEN(TRIM('Raw Data'!AK142))=0),"",IF(AND(ISNUMBER('Raw Data'!AK142), IFERROR('Raw Data'!AK142 = ROUND('Raw Data'!AK142, 2),FALSE)),"",_xlfn.REGEXEXTRACT(CELL("address",AK142), "\$([A-Z]+)\$[0-9]+"))),_xlfn.REGEXEXTRACT(CELL("address",AK142), "\$([A-Z]+)\$[0-9]+"))</f>
        <v/>
      </c>
      <c r="AL142" s="7" t="str">
        <f t="array" aca="1" ref="AL142" ca="1">IFERROR(IF(OR('Raw Data'!AL142="",LEN(TRIM('Raw Data'!AL142))=0),"",IF(AND(ISNUMBER('Raw Data'!AL142), IFERROR('Raw Data'!AL142 = ROUND('Raw Data'!AL142, 2),FALSE)),"",_xlfn.REGEXEXTRACT(CELL("address",AL142), "\$([A-Z]+)\$[0-9]+"))),_xlfn.REGEXEXTRACT(CELL("address",AL142), "\$([A-Z]+)\$[0-9]+"))</f>
        <v/>
      </c>
      <c r="AM142" s="7" t="str">
        <f t="array" aca="1" ref="AM142" ca="1">IFERROR(IF(OR('Raw Data'!AM142="",LEN(TRIM('Raw Data'!AM142))=0),"",IF(AND(ISNUMBER('Raw Data'!AM142), IFERROR('Raw Data'!AM142 = ROUND('Raw Data'!AM142, 2),FALSE)),"",_xlfn.REGEXEXTRACT(CELL("address",AM142), "\$([A-Z]+)\$[0-9]+"))),_xlfn.REGEXEXTRACT(CELL("address",AM142), "\$([A-Z]+)\$[0-9]+"))</f>
        <v/>
      </c>
      <c r="AN142" s="7" t="str">
        <f t="array" aca="1" ref="AN142" ca="1">IFERROR(IF(OR('Raw Data'!AN142="",LEN(TRIM('Raw Data'!AN142))=0),"",IF(AND(ISNUMBER('Raw Data'!AN142), IFERROR('Raw Data'!AN142 = ROUND('Raw Data'!AN142, 2),FALSE)),"",_xlfn.REGEXEXTRACT(CELL("address",AN142), "\$([A-Z]+)\$[0-9]+"))),_xlfn.REGEXEXTRACT(CELL("address",AN142), "\$([A-Z]+)\$[0-9]+"))</f>
        <v/>
      </c>
      <c r="AO142" s="7" t="str">
        <f t="array" aca="1" ref="AO142" ca="1">IFERROR(IF(OR('Raw Data'!AO142="",LEN(TRIM('Raw Data'!AO142))=0),"",IF(AND(ISNUMBER('Raw Data'!AO142), IFERROR('Raw Data'!AO142 = ROUND('Raw Data'!AO142, 2),FALSE)),"",_xlfn.REGEXEXTRACT(CELL("address",AO142), "\$([A-Z]+)\$[0-9]+"))),_xlfn.REGEXEXTRACT(CELL("address",AO142), "\$([A-Z]+)\$[0-9]+"))</f>
        <v/>
      </c>
      <c r="AP142" s="7" t="str">
        <f t="array" aca="1" ref="AP142" ca="1">IFERROR(IF(OR('Raw Data'!AP142="",LEN(TRIM('Raw Data'!AP142))=0),"",IF(AND(ISNUMBER('Raw Data'!AP142), IFERROR('Raw Data'!AP142 = ROUND('Raw Data'!AP142, 2),FALSE)),"",_xlfn.REGEXEXTRACT(CELL("address",AP142), "\$([A-Z]+)\$[0-9]+"))),_xlfn.REGEXEXTRACT(CELL("address",AP142), "\$([A-Z]+)\$[0-9]+"))</f>
        <v/>
      </c>
    </row>
    <row r="143" spans="2:42" x14ac:dyDescent="0.25">
      <c r="B143" s="7" t="str">
        <f t="array" aca="1" ref="B143" ca="1">IFERROR(IF(OR('Raw Data'!B143="",LEN(TRIM('Raw Data'!B143))=0),"",IF(AND(LEN('Raw Data'!B143) &lt;= 255,LEN('Raw Data'!B143)&gt; 0),"",_xlfn.REGEXEXTRACT(CELL("address",'Raw Data'!B143),"\$([A-Z]+)\$[0-9]+"))),_xlfn.REGEXEXTRACT(CELL("address",'Raw Data'!B143),"\$([A-Z]+)\$[0-9]+"))</f>
        <v/>
      </c>
      <c r="C143" s="7" t="str">
        <f t="array" aca="1" ref="C143" ca="1">IFERROR(IF(OR('Raw Data'!C143="",LEN(TRIM('Raw Data'!C143))=0),"",IF(AND(LEN('Raw Data'!C143) &lt;= 50,LEN('Raw Data'!C143)&gt; 0),"",_xlfn.REGEXEXTRACT(CELL("address",'Raw Data'!C143),"\$([A-Z]+)\$[0-9]+"))),_xlfn.REGEXEXTRACT(CELL("address",'Raw Data'!C143),"\$([A-Z]+)\$[0-9]+"))</f>
        <v/>
      </c>
      <c r="D143" s="7" t="str">
        <f t="array" aca="1" ref="D143" ca="1">IFERROR(IF(OR('Raw Data'!D143="",LEN(TRIM('Raw Data'!D143))=0),"",IF(AND(LEN('Raw Data'!D143) &lt;= 500,LEN('Raw Data'!D143)&gt; 0),"",_xlfn.REGEXEXTRACT(CELL("address",'Raw Data'!D143),"\$([A-Z]+)\$[0-9]+"))),_xlfn.REGEXEXTRACT(CELL("address",'Raw Data'!D143),"\$([A-Z]+)\$[0-9]+"))</f>
        <v/>
      </c>
      <c r="E143" s="7" t="str">
        <f t="array" aca="1" ref="E143" ca="1">IFERROR(IF(OR('Raw Data'!E143="",LEN(TRIM('Raw Data'!E143))=0),"",IF(AND(LEN('Raw Data'!E143) &lt;= 50,LEN('Raw Data'!E143)&gt; 0),"",_xlfn.REGEXEXTRACT(CELL("address",'Raw Data'!E143),"\$([A-Z]+)\$[0-9]+"))),_xlfn.REGEXEXTRACT(CELL("address",'Raw Data'!E143),"\$([A-Z]+)\$[0-9]+"))</f>
        <v/>
      </c>
      <c r="F143" s="7" t="str">
        <f t="array" aca="1" ref="F143" ca="1">IFERROR(IF(OR('Raw Data'!F143="",LEN(TRIM('Raw Data'!F143))=0),"",IF(AND(LEN('Raw Data'!F143) &lt;= 50,LEN('Raw Data'!F143)&gt; 0),"",_xlfn.REGEXEXTRACT(CELL("address",'Raw Data'!F143),"\$([A-Z]+)\$[0-9]+"))),_xlfn.REGEXEXTRACT(CELL("address",'Raw Data'!F143),"\$([A-Z]+)\$[0-9]+"))</f>
        <v/>
      </c>
      <c r="G143" s="7" t="str">
        <f t="array" aca="1" ref="G143" ca="1">IFERROR(IF(OR('Raw Data'!G143="",LEN(TRIM('Raw Data'!G143))=0),"",IF(AND(LEN('Raw Data'!G143) &lt;= 50,LEN('Raw Data'!G143)&gt; 0),"",_xlfn.REGEXEXTRACT(CELL("address",'Raw Data'!G143),"\$([A-Z]+)\$[0-9]+"))),_xlfn.REGEXEXTRACT(CELL("address",'Raw Data'!G143),"\$([A-Z]+)\$[0-9]+"))</f>
        <v/>
      </c>
      <c r="H143" s="7" t="str">
        <f t="array" aca="1" ref="H143" ca="1">IFERROR(IF(OR('Raw Data'!H143="",LEN(TRIM('Raw Data'!H143))=0),"",IF(AND(LEN('Raw Data'!H143) &lt;= 50,LEN('Raw Data'!H143)&gt; 0),"",_xlfn.REGEXEXTRACT(CELL("address",'Raw Data'!H143),"\$([A-Z]+)\$[0-9]+"))),_xlfn.REGEXEXTRACT(CELL("address",'Raw Data'!H143),"\$([A-Z]+)\$[0-9]+"))</f>
        <v/>
      </c>
      <c r="I143" s="7" t="str">
        <f t="array" aca="1" ref="I143" ca="1">IFERROR(IF(OR('Raw Data'!I143="",LEN(TRIM('Raw Data'!I143))=0),"",IF(AND(LEN('Raw Data'!I143) &lt;= 50,LEN('Raw Data'!I143)&gt; 0),"",_xlfn.REGEXEXTRACT(CELL("address",'Raw Data'!I143),"\$([A-Z]+)\$[0-9]+"))),_xlfn.REGEXEXTRACT(CELL("address",'Raw Data'!I143),"\$([A-Z]+)\$[0-9]+"))</f>
        <v/>
      </c>
      <c r="J143" s="7" t="str">
        <f t="array" aca="1" ref="J143" ca="1">IFERROR(IF(OR('Raw Data'!J143="",LEN(TRIM('Raw Data'!J143))=0),"",IF(AND(ISNUMBER('Raw Data'!J143), IFERROR('Raw Data'!J143 = ROUND('Raw Data'!J143, 2),FALSE)),"",_xlfn.REGEXEXTRACT(CELL("address",J143), "\$([A-Z]+)\$[0-9]+"))),_xlfn.REGEXEXTRACT(CELL("address",J143), "\$([A-Z]+)\$[0-9]+"))</f>
        <v/>
      </c>
      <c r="K143" s="7" t="str">
        <f t="array" aca="1" ref="K143" ca="1">IFERROR(IF(OR('Raw Data'!K143="",LEN(TRIM('Raw Data'!K143))=0),"",IF(AND(ISNUMBER('Raw Data'!K143), IFERROR('Raw Data'!K143 = ROUND('Raw Data'!K143, 2),FALSE)),"",_xlfn.REGEXEXTRACT(CELL("address",K143), "\$([A-Z]+)\$[0-9]+"))),_xlfn.REGEXEXTRACT(CELL("address",K143), "\$([A-Z]+)\$[0-9]+"))</f>
        <v/>
      </c>
      <c r="L143" s="7" t="str">
        <f t="array" aca="1" ref="L143" ca="1">IFERROR(IF(OR('Raw Data'!L143="",LEN(TRIM('Raw Data'!L143))=0),"",IF(AND(ISNUMBER('Raw Data'!L143), IFERROR('Raw Data'!L143 = ROUND('Raw Data'!L143, 2),FALSE)),"",_xlfn.REGEXEXTRACT(CELL("address",L143), "\$([A-Z]+)\$[0-9]+"))),_xlfn.REGEXEXTRACT(CELL("address",L143), "\$([A-Z]+)\$[0-9]+"))</f>
        <v/>
      </c>
      <c r="M143" s="7" t="str">
        <f t="array" aca="1" ref="M143" ca="1">IFERROR(IF(OR('Raw Data'!M143="",LEN(TRIM('Raw Data'!M143))=0),"",IF(AND(ISNUMBER('Raw Data'!M143), IFERROR('Raw Data'!M143 = ROUND('Raw Data'!M143, 2),FALSE)),"",_xlfn.REGEXEXTRACT(CELL("address",M143), "\$([A-Z]+)\$[0-9]+"))),_xlfn.REGEXEXTRACT(CELL("address",M143), "\$([A-Z]+)\$[0-9]+"))</f>
        <v/>
      </c>
      <c r="N143" s="7" t="str">
        <f t="array" aca="1" ref="N143" ca="1">IFERROR(IF(OR('Raw Data'!N143="",LEN(TRIM('Raw Data'!N143))=0),"",IF(AND(ISNUMBER('Raw Data'!N143), IFERROR('Raw Data'!N143 = ROUND('Raw Data'!N143, 2),FALSE)),"",_xlfn.REGEXEXTRACT(CELL("address",N143), "\$([A-Z]+)\$[0-9]+"))),_xlfn.REGEXEXTRACT(CELL("address",N143), "\$([A-Z]+)\$[0-9]+"))</f>
        <v/>
      </c>
      <c r="O143" s="7" t="str">
        <f t="array" aca="1" ref="O143" ca="1">IFERROR(IF(OR('Raw Data'!O143="",LEN(TRIM('Raw Data'!O143))=0),"",IF(AND(ISNUMBER('Raw Data'!O143),'Raw Data'!O143&gt;=Configuration!$D$2),"",_xlfn.REGEXEXTRACT(CELL("address",'Raw Data'!O143),"\$([A-Z]+)\$[0-9]+"))),_xlfn.REGEXEXTRACT(CELL("address",O143), "\$([A-Z]+)\$[0-9]+"))</f>
        <v/>
      </c>
      <c r="P143" s="7" t="str">
        <f t="array" aca="1" ref="P143" ca="1">IFERROR(IF(OR('Raw Data'!P143="",LEN(TRIM('Raw Data'!P143))=0),"",IF(AND(ISNUMBER('Raw Data'!P143), IFERROR('Raw Data'!P143 = ROUND('Raw Data'!P143, 2),FALSE)),"",_xlfn.REGEXEXTRACT(CELL("address",P143), "\$([A-Z]+)\$[0-9]+"))),_xlfn.REGEXEXTRACT(CELL("address",P143), "\$([A-Z]+)\$[0-9]+"))</f>
        <v/>
      </c>
      <c r="Q143" s="7" t="str">
        <f t="array" aca="1" ref="Q143" ca="1">IFERROR(IF(OR('Raw Data'!Q143="",LEN(TRIM('Raw Data'!Q143))=0),"",IF(AND(ISNUMBER('Raw Data'!Q143), IFERROR('Raw Data'!Q143 = ROUND('Raw Data'!Q143, 2),FALSE)),"",_xlfn.REGEXEXTRACT(CELL("address",Q143), "\$([A-Z]+)\$[0-9]+"))),_xlfn.REGEXEXTRACT(CELL("address",Q143), "\$([A-Z]+)\$[0-9]+"))</f>
        <v/>
      </c>
      <c r="R143" s="7" t="str">
        <f t="array" aca="1" ref="R143" ca="1">IFERROR(IF(OR('Raw Data'!R143="",LEN(TRIM('Raw Data'!R143))=0),"",IF(AND(LEN('Raw Data'!R143) &lt;= 50,LEN('Raw Data'!R143)&gt; 0),"",_xlfn.REGEXEXTRACT(CELL("address",'Raw Data'!R143),"\$([A-Z]+)\$[0-9]+"))),_xlfn.REGEXEXTRACT(CELL("address",'Raw Data'!R143),"\$([A-Z]+)\$[0-9]+"))</f>
        <v/>
      </c>
      <c r="S143" s="7" t="str">
        <f t="array" aca="1" ref="S143" ca="1">IFERROR(IF(OR('Raw Data'!S143="",LEN(TRIM('Raw Data'!S143))=0),"",IF(AND(LEN('Raw Data'!S143) &lt;= 50,LEN('Raw Data'!S143)&gt; 0),"",_xlfn.REGEXEXTRACT(CELL("address",'Raw Data'!S143),"\$([A-Z]+)\$[0-9]+"))),_xlfn.REGEXEXTRACT(CELL("address",'Raw Data'!S143),"\$([A-Z]+)\$[0-9]+"))</f>
        <v/>
      </c>
      <c r="T143" s="7" t="str">
        <f t="array" aca="1" ref="T143" ca="1">IFERROR(IF(OR('Raw Data'!T143="",LEN(TRIM('Raw Data'!T143))=0),"",IF(AND(ISNUMBER('Raw Data'!T143), IFERROR('Raw Data'!T143 = ROUND('Raw Data'!T143, 2),FALSE)),"",_xlfn.REGEXEXTRACT(CELL("address",T143), "\$([A-Z]+)\$[0-9]+"))),_xlfn.REGEXEXTRACT(CELL("address",T143), "\$([A-Z]+)\$[0-9]+"))</f>
        <v/>
      </c>
      <c r="U143" s="7" t="str">
        <f t="array" aca="1" ref="U143" ca="1">IFERROR(IF(OR('Raw Data'!U143="",LEN(TRIM('Raw Data'!U143))=0),"",IF(AND(ISNUMBER('Raw Data'!U143), IFERROR('Raw Data'!U143 = ROUND('Raw Data'!U143, 2),FALSE)),"",_xlfn.REGEXEXTRACT(CELL("address",U143), "\$([A-Z]+)\$[0-9]+"))),_xlfn.REGEXEXTRACT(CELL("address",U143), "\$([A-Z]+)\$[0-9]+"))</f>
        <v/>
      </c>
      <c r="V143" s="7" t="str">
        <f t="array" aca="1" ref="V143" ca="1">IFERROR(IF(OR('Raw Data'!V143="",LEN(TRIM('Raw Data'!V143))=0),"",IF(AND(ISNUMBER('Raw Data'!V143), IFERROR('Raw Data'!V143 = ROUND('Raw Data'!V143, 2),FALSE)),"",_xlfn.REGEXEXTRACT(CELL("address",V143), "\$([A-Z]+)\$[0-9]+"))),_xlfn.REGEXEXTRACT(CELL("address",V143), "\$([A-Z]+)\$[0-9]+"))</f>
        <v/>
      </c>
      <c r="W143" s="7" t="str">
        <f t="array" aca="1" ref="W143" ca="1">IFERROR(IF(OR('Raw Data'!W143="",LEN(TRIM('Raw Data'!W143))=0),"",IF(AND(ISNUMBER('Raw Data'!W143), IFERROR('Raw Data'!W143 = ROUND('Raw Data'!W143, 2),FALSE)),"",_xlfn.REGEXEXTRACT(CELL("address",W143), "\$([A-Z]+)\$[0-9]+"))),_xlfn.REGEXEXTRACT(CELL("address",W143), "\$([A-Z]+)\$[0-9]+"))</f>
        <v/>
      </c>
      <c r="X143" s="7" t="str">
        <f t="array" aca="1" ref="X143" ca="1">IFERROR(IF(OR('Raw Data'!X143="",LEN(TRIM('Raw Data'!X143))=0),"",IF(AND(ISNUMBER('Raw Data'!X143), IFERROR('Raw Data'!X143 = ROUND('Raw Data'!X143, 2),FALSE)),"",_xlfn.REGEXEXTRACT(CELL("address",X143), "\$([A-Z]+)\$[0-9]+"))),_xlfn.REGEXEXTRACT(CELL("address",X143), "\$([A-Z]+)\$[0-9]+"))</f>
        <v/>
      </c>
      <c r="Y143" s="7" t="str">
        <f t="array" aca="1" ref="Y143" ca="1">IFERROR(IF(OR('Raw Data'!Y143="",LEN(TRIM('Raw Data'!Y143))=0),"",IF(AND(ISNUMBER('Raw Data'!Y143), IFERROR('Raw Data'!Y143 = ROUND('Raw Data'!Y143, 2),FALSE)),"",_xlfn.REGEXEXTRACT(CELL("address",Y143), "\$([A-Z]+)\$[0-9]+"))),_xlfn.REGEXEXTRACT(CELL("address",Y143), "\$([A-Z]+)\$[0-9]+"))</f>
        <v/>
      </c>
      <c r="Z143" s="7" t="str">
        <f t="array" aca="1" ref="Z143" ca="1">IFERROR(IF(OR('Raw Data'!Z143="",LEN(TRIM('Raw Data'!Z143))=0),"",IF(AND(ISNUMBER('Raw Data'!Z143), IFERROR('Raw Data'!Z143 = ROUND('Raw Data'!Z143, 2),FALSE)),"",_xlfn.REGEXEXTRACT(CELL("address",Z143), "\$([A-Z]+)\$[0-9]+"))),_xlfn.REGEXEXTRACT(CELL("address",Z143), "\$([A-Z]+)\$[0-9]+"))</f>
        <v/>
      </c>
      <c r="AA143" s="7" t="str">
        <f t="array" aca="1" ref="AA143" ca="1">IFERROR(IF(OR('Raw Data'!AA143="",LEN(TRIM('Raw Data'!AA143))=0),"",IF(AND(ISNUMBER('Raw Data'!AA143), IFERROR('Raw Data'!AA143 = ROUND('Raw Data'!AA143, 2),FALSE)),"",_xlfn.REGEXEXTRACT(CELL("address",AA143), "\$([A-Z]+)\$[0-9]+"))),_xlfn.REGEXEXTRACT(CELL("address",AA143), "\$([A-Z]+)\$[0-9]+"))</f>
        <v/>
      </c>
      <c r="AB143" s="7" t="str">
        <f t="array" aca="1" ref="AB143" ca="1">IFERROR(IF(OR('Raw Data'!AB143="",LEN(TRIM('Raw Data'!AB143))=0),"",IF(AND(ISNUMBER('Raw Data'!AB143), IFERROR('Raw Data'!AB143 = ROUND('Raw Data'!AB143, 2),FALSE)),"",_xlfn.REGEXEXTRACT(CELL("address",AB143), "\$([A-Z]+)\$[0-9]+"))),_xlfn.REGEXEXTRACT(CELL("address",AB143), "\$([A-Z]+)\$[0-9]+"))</f>
        <v/>
      </c>
      <c r="AC143" s="7" t="str">
        <f t="array" aca="1" ref="AC143" ca="1">IFERROR(IF(OR('Raw Data'!AC143="",LEN(TRIM('Raw Data'!AC143))=0),"",IF(AND(ISNUMBER('Raw Data'!AC143), IFERROR('Raw Data'!AC143 = ROUND('Raw Data'!AC143, 2),FALSE)),"",_xlfn.REGEXEXTRACT(CELL("address",AC143), "\$([A-Z]+)\$[0-9]+"))),_xlfn.REGEXEXTRACT(CELL("address",AC143), "\$([A-Z]+)\$[0-9]+"))</f>
        <v/>
      </c>
      <c r="AD143" s="7" t="str">
        <f t="array" aca="1" ref="AD143" ca="1">IFERROR(IF(OR('Raw Data'!AD143="",LEN(TRIM('Raw Data'!AD143))=0),"",IF(AND(ISNUMBER('Raw Data'!AD143), IFERROR('Raw Data'!AD143 = ROUND('Raw Data'!AD143, 2),FALSE)),"",_xlfn.REGEXEXTRACT(CELL("address",AD143), "\$([A-Z]+)\$[0-9]+"))),_xlfn.REGEXEXTRACT(CELL("address",AD143), "\$([A-Z]+)\$[0-9]+"))</f>
        <v/>
      </c>
      <c r="AE143" s="7" t="str">
        <f t="array" aca="1" ref="AE143" ca="1">IFERROR(IF(OR('Raw Data'!AE143="",LEN(TRIM('Raw Data'!AE143))=0),"",IF(AND(ISNUMBER('Raw Data'!AE143), IFERROR('Raw Data'!AE143 = ROUND('Raw Data'!AE143, 2),FALSE)),"",_xlfn.REGEXEXTRACT(CELL("address",AE143), "\$([A-Z]+)\$[0-9]+"))),_xlfn.REGEXEXTRACT(CELL("address",AE143), "\$([A-Z]+)\$[0-9]+"))</f>
        <v/>
      </c>
      <c r="AF143" s="7" t="str">
        <f t="array" aca="1" ref="AF143" ca="1">IFERROR(IF(OR('Raw Data'!AF143="",LEN(TRIM('Raw Data'!AF143))=0),"",IF(AND(ISNUMBER('Raw Data'!AF143), IFERROR('Raw Data'!AF143 = ROUND('Raw Data'!AF143, 2),FALSE)),"",_xlfn.REGEXEXTRACT(CELL("address",AF143), "\$([A-Z]+)\$[0-9]+"))),_xlfn.REGEXEXTRACT(CELL("address",AF143), "\$([A-Z]+)\$[0-9]+"))</f>
        <v/>
      </c>
      <c r="AG143" s="7" t="str">
        <f t="array" aca="1" ref="AG143" ca="1">IFERROR(IF(OR('Raw Data'!AG143="",LEN(TRIM('Raw Data'!AG143))=0),"",IF(AND(ISNUMBER('Raw Data'!AG143), IFERROR('Raw Data'!AG143 = ROUND('Raw Data'!AG143, 2),FALSE)),"",_xlfn.REGEXEXTRACT(CELL("address",AG143), "\$([A-Z]+)\$[0-9]+"))),_xlfn.REGEXEXTRACT(CELL("address",AG143), "\$([A-Z]+)\$[0-9]+"))</f>
        <v/>
      </c>
      <c r="AH143" s="7" t="str">
        <f t="array" aca="1" ref="AH143" ca="1">IFERROR(IF(OR('Raw Data'!AH143="",LEN(TRIM('Raw Data'!AH143))=0),"",IF(AND(ISNUMBER('Raw Data'!AH143), IFERROR('Raw Data'!AH143 = ROUND('Raw Data'!AH143, 2),FALSE)),"",_xlfn.REGEXEXTRACT(CELL("address",AH143), "\$([A-Z]+)\$[0-9]+"))),_xlfn.REGEXEXTRACT(CELL("address",AH143), "\$([A-Z]+)\$[0-9]+"))</f>
        <v/>
      </c>
      <c r="AI143" s="7" t="str">
        <f t="array" aca="1" ref="AI143" ca="1">IFERROR(IF(OR('Raw Data'!AI143="",LEN(TRIM('Raw Data'!AI143))=0),"",IF(AND(ISNUMBER('Raw Data'!AI143), IFERROR('Raw Data'!AI143 = ROUND('Raw Data'!AI143, 2),FALSE)),"",_xlfn.REGEXEXTRACT(CELL("address",AI143), "\$([A-Z]+)\$[0-9]+"))),_xlfn.REGEXEXTRACT(CELL("address",AI143), "\$([A-Z]+)\$[0-9]+"))</f>
        <v/>
      </c>
      <c r="AJ143" s="7" t="str">
        <f t="array" aca="1" ref="AJ143" ca="1">IFERROR(IF(OR('Raw Data'!AJ143="",LEN(TRIM('Raw Data'!AJ143))=0),"",IF(AND(ISNUMBER('Raw Data'!AJ143), IFERROR('Raw Data'!AJ143 = ROUND('Raw Data'!AJ143, 4),FALSE)),"",_xlfn.REGEXEXTRACT(CELL("address",AJ143), "\$([A-Z]+)\$[0-9]+"))),_xlfn.REGEXEXTRACT(CELL("address",AJ143), "\$([A-Z]+)\$[0-9]+"))</f>
        <v/>
      </c>
      <c r="AK143" s="7" t="str">
        <f t="array" aca="1" ref="AK143" ca="1">IFERROR(IF(OR('Raw Data'!AK143="",LEN(TRIM('Raw Data'!AK143))=0),"",IF(AND(ISNUMBER('Raw Data'!AK143), IFERROR('Raw Data'!AK143 = ROUND('Raw Data'!AK143, 2),FALSE)),"",_xlfn.REGEXEXTRACT(CELL("address",AK143), "\$([A-Z]+)\$[0-9]+"))),_xlfn.REGEXEXTRACT(CELL("address",AK143), "\$([A-Z]+)\$[0-9]+"))</f>
        <v/>
      </c>
      <c r="AL143" s="7" t="str">
        <f t="array" aca="1" ref="AL143" ca="1">IFERROR(IF(OR('Raw Data'!AL143="",LEN(TRIM('Raw Data'!AL143))=0),"",IF(AND(ISNUMBER('Raw Data'!AL143), IFERROR('Raw Data'!AL143 = ROUND('Raw Data'!AL143, 2),FALSE)),"",_xlfn.REGEXEXTRACT(CELL("address",AL143), "\$([A-Z]+)\$[0-9]+"))),_xlfn.REGEXEXTRACT(CELL("address",AL143), "\$([A-Z]+)\$[0-9]+"))</f>
        <v/>
      </c>
      <c r="AM143" s="7" t="str">
        <f t="array" aca="1" ref="AM143" ca="1">IFERROR(IF(OR('Raw Data'!AM143="",LEN(TRIM('Raw Data'!AM143))=0),"",IF(AND(ISNUMBER('Raw Data'!AM143), IFERROR('Raw Data'!AM143 = ROUND('Raw Data'!AM143, 2),FALSE)),"",_xlfn.REGEXEXTRACT(CELL("address",AM143), "\$([A-Z]+)\$[0-9]+"))),_xlfn.REGEXEXTRACT(CELL("address",AM143), "\$([A-Z]+)\$[0-9]+"))</f>
        <v/>
      </c>
      <c r="AN143" s="7" t="str">
        <f t="array" aca="1" ref="AN143" ca="1">IFERROR(IF(OR('Raw Data'!AN143="",LEN(TRIM('Raw Data'!AN143))=0),"",IF(AND(ISNUMBER('Raw Data'!AN143), IFERROR('Raw Data'!AN143 = ROUND('Raw Data'!AN143, 2),FALSE)),"",_xlfn.REGEXEXTRACT(CELL("address",AN143), "\$([A-Z]+)\$[0-9]+"))),_xlfn.REGEXEXTRACT(CELL("address",AN143), "\$([A-Z]+)\$[0-9]+"))</f>
        <v/>
      </c>
      <c r="AO143" s="7" t="str">
        <f t="array" aca="1" ref="AO143" ca="1">IFERROR(IF(OR('Raw Data'!AO143="",LEN(TRIM('Raw Data'!AO143))=0),"",IF(AND(ISNUMBER('Raw Data'!AO143), IFERROR('Raw Data'!AO143 = ROUND('Raw Data'!AO143, 2),FALSE)),"",_xlfn.REGEXEXTRACT(CELL("address",AO143), "\$([A-Z]+)\$[0-9]+"))),_xlfn.REGEXEXTRACT(CELL("address",AO143), "\$([A-Z]+)\$[0-9]+"))</f>
        <v/>
      </c>
      <c r="AP143" s="7" t="str">
        <f t="array" aca="1" ref="AP143" ca="1">IFERROR(IF(OR('Raw Data'!AP143="",LEN(TRIM('Raw Data'!AP143))=0),"",IF(AND(ISNUMBER('Raw Data'!AP143), IFERROR('Raw Data'!AP143 = ROUND('Raw Data'!AP143, 2),FALSE)),"",_xlfn.REGEXEXTRACT(CELL("address",AP143), "\$([A-Z]+)\$[0-9]+"))),_xlfn.REGEXEXTRACT(CELL("address",AP143), "\$([A-Z]+)\$[0-9]+"))</f>
        <v/>
      </c>
    </row>
    <row r="144" spans="2:42" x14ac:dyDescent="0.25">
      <c r="B144" s="7" t="str">
        <f t="array" aca="1" ref="B144" ca="1">IFERROR(IF(OR('Raw Data'!B144="",LEN(TRIM('Raw Data'!B144))=0),"",IF(AND(LEN('Raw Data'!B144) &lt;= 255,LEN('Raw Data'!B144)&gt; 0),"",_xlfn.REGEXEXTRACT(CELL("address",'Raw Data'!B144),"\$([A-Z]+)\$[0-9]+"))),_xlfn.REGEXEXTRACT(CELL("address",'Raw Data'!B144),"\$([A-Z]+)\$[0-9]+"))</f>
        <v/>
      </c>
      <c r="C144" s="7" t="str">
        <f t="array" aca="1" ref="C144" ca="1">IFERROR(IF(OR('Raw Data'!C144="",LEN(TRIM('Raw Data'!C144))=0),"",IF(AND(LEN('Raw Data'!C144) &lt;= 50,LEN('Raw Data'!C144)&gt; 0),"",_xlfn.REGEXEXTRACT(CELL("address",'Raw Data'!C144),"\$([A-Z]+)\$[0-9]+"))),_xlfn.REGEXEXTRACT(CELL("address",'Raw Data'!C144),"\$([A-Z]+)\$[0-9]+"))</f>
        <v/>
      </c>
      <c r="D144" s="7" t="str">
        <f t="array" aca="1" ref="D144" ca="1">IFERROR(IF(OR('Raw Data'!D144="",LEN(TRIM('Raw Data'!D144))=0),"",IF(AND(LEN('Raw Data'!D144) &lt;= 500,LEN('Raw Data'!D144)&gt; 0),"",_xlfn.REGEXEXTRACT(CELL("address",'Raw Data'!D144),"\$([A-Z]+)\$[0-9]+"))),_xlfn.REGEXEXTRACT(CELL("address",'Raw Data'!D144),"\$([A-Z]+)\$[0-9]+"))</f>
        <v/>
      </c>
      <c r="E144" s="7" t="str">
        <f t="array" aca="1" ref="E144" ca="1">IFERROR(IF(OR('Raw Data'!E144="",LEN(TRIM('Raw Data'!E144))=0),"",IF(AND(LEN('Raw Data'!E144) &lt;= 50,LEN('Raw Data'!E144)&gt; 0),"",_xlfn.REGEXEXTRACT(CELL("address",'Raw Data'!E144),"\$([A-Z]+)\$[0-9]+"))),_xlfn.REGEXEXTRACT(CELL("address",'Raw Data'!E144),"\$([A-Z]+)\$[0-9]+"))</f>
        <v/>
      </c>
      <c r="F144" s="7" t="str">
        <f t="array" aca="1" ref="F144" ca="1">IFERROR(IF(OR('Raw Data'!F144="",LEN(TRIM('Raw Data'!F144))=0),"",IF(AND(LEN('Raw Data'!F144) &lt;= 50,LEN('Raw Data'!F144)&gt; 0),"",_xlfn.REGEXEXTRACT(CELL("address",'Raw Data'!F144),"\$([A-Z]+)\$[0-9]+"))),_xlfn.REGEXEXTRACT(CELL("address",'Raw Data'!F144),"\$([A-Z]+)\$[0-9]+"))</f>
        <v/>
      </c>
      <c r="G144" s="7" t="str">
        <f t="array" aca="1" ref="G144" ca="1">IFERROR(IF(OR('Raw Data'!G144="",LEN(TRIM('Raw Data'!G144))=0),"",IF(AND(LEN('Raw Data'!G144) &lt;= 50,LEN('Raw Data'!G144)&gt; 0),"",_xlfn.REGEXEXTRACT(CELL("address",'Raw Data'!G144),"\$([A-Z]+)\$[0-9]+"))),_xlfn.REGEXEXTRACT(CELL("address",'Raw Data'!G144),"\$([A-Z]+)\$[0-9]+"))</f>
        <v/>
      </c>
      <c r="H144" s="7" t="str">
        <f t="array" aca="1" ref="H144" ca="1">IFERROR(IF(OR('Raw Data'!H144="",LEN(TRIM('Raw Data'!H144))=0),"",IF(AND(LEN('Raw Data'!H144) &lt;= 50,LEN('Raw Data'!H144)&gt; 0),"",_xlfn.REGEXEXTRACT(CELL("address",'Raw Data'!H144),"\$([A-Z]+)\$[0-9]+"))),_xlfn.REGEXEXTRACT(CELL("address",'Raw Data'!H144),"\$([A-Z]+)\$[0-9]+"))</f>
        <v/>
      </c>
      <c r="I144" s="7" t="str">
        <f t="array" aca="1" ref="I144" ca="1">IFERROR(IF(OR('Raw Data'!I144="",LEN(TRIM('Raw Data'!I144))=0),"",IF(AND(LEN('Raw Data'!I144) &lt;= 50,LEN('Raw Data'!I144)&gt; 0),"",_xlfn.REGEXEXTRACT(CELL("address",'Raw Data'!I144),"\$([A-Z]+)\$[0-9]+"))),_xlfn.REGEXEXTRACT(CELL("address",'Raw Data'!I144),"\$([A-Z]+)\$[0-9]+"))</f>
        <v/>
      </c>
      <c r="J144" s="7" t="str">
        <f t="array" aca="1" ref="J144" ca="1">IFERROR(IF(OR('Raw Data'!J144="",LEN(TRIM('Raw Data'!J144))=0),"",IF(AND(ISNUMBER('Raw Data'!J144), IFERROR('Raw Data'!J144 = ROUND('Raw Data'!J144, 2),FALSE)),"",_xlfn.REGEXEXTRACT(CELL("address",J144), "\$([A-Z]+)\$[0-9]+"))),_xlfn.REGEXEXTRACT(CELL("address",J144), "\$([A-Z]+)\$[0-9]+"))</f>
        <v/>
      </c>
      <c r="K144" s="7" t="str">
        <f t="array" aca="1" ref="K144" ca="1">IFERROR(IF(OR('Raw Data'!K144="",LEN(TRIM('Raw Data'!K144))=0),"",IF(AND(ISNUMBER('Raw Data'!K144), IFERROR('Raw Data'!K144 = ROUND('Raw Data'!K144, 2),FALSE)),"",_xlfn.REGEXEXTRACT(CELL("address",K144), "\$([A-Z]+)\$[0-9]+"))),_xlfn.REGEXEXTRACT(CELL("address",K144), "\$([A-Z]+)\$[0-9]+"))</f>
        <v/>
      </c>
      <c r="L144" s="7" t="str">
        <f t="array" aca="1" ref="L144" ca="1">IFERROR(IF(OR('Raw Data'!L144="",LEN(TRIM('Raw Data'!L144))=0),"",IF(AND(ISNUMBER('Raw Data'!L144), IFERROR('Raw Data'!L144 = ROUND('Raw Data'!L144, 2),FALSE)),"",_xlfn.REGEXEXTRACT(CELL("address",L144), "\$([A-Z]+)\$[0-9]+"))),_xlfn.REGEXEXTRACT(CELL("address",L144), "\$([A-Z]+)\$[0-9]+"))</f>
        <v/>
      </c>
      <c r="M144" s="7" t="str">
        <f t="array" aca="1" ref="M144" ca="1">IFERROR(IF(OR('Raw Data'!M144="",LEN(TRIM('Raw Data'!M144))=0),"",IF(AND(ISNUMBER('Raw Data'!M144), IFERROR('Raw Data'!M144 = ROUND('Raw Data'!M144, 2),FALSE)),"",_xlfn.REGEXEXTRACT(CELL("address",M144), "\$([A-Z]+)\$[0-9]+"))),_xlfn.REGEXEXTRACT(CELL("address",M144), "\$([A-Z]+)\$[0-9]+"))</f>
        <v/>
      </c>
      <c r="N144" s="7" t="str">
        <f t="array" aca="1" ref="N144" ca="1">IFERROR(IF(OR('Raw Data'!N144="",LEN(TRIM('Raw Data'!N144))=0),"",IF(AND(ISNUMBER('Raw Data'!N144), IFERROR('Raw Data'!N144 = ROUND('Raw Data'!N144, 2),FALSE)),"",_xlfn.REGEXEXTRACT(CELL("address",N144), "\$([A-Z]+)\$[0-9]+"))),_xlfn.REGEXEXTRACT(CELL("address",N144), "\$([A-Z]+)\$[0-9]+"))</f>
        <v/>
      </c>
      <c r="O144" s="7" t="str">
        <f t="array" aca="1" ref="O144" ca="1">IFERROR(IF(OR('Raw Data'!O144="",LEN(TRIM('Raw Data'!O144))=0),"",IF(AND(ISNUMBER('Raw Data'!O144),'Raw Data'!O144&gt;=Configuration!$D$2),"",_xlfn.REGEXEXTRACT(CELL("address",'Raw Data'!O144),"\$([A-Z]+)\$[0-9]+"))),_xlfn.REGEXEXTRACT(CELL("address",O144), "\$([A-Z]+)\$[0-9]+"))</f>
        <v/>
      </c>
      <c r="P144" s="7" t="str">
        <f t="array" aca="1" ref="P144" ca="1">IFERROR(IF(OR('Raw Data'!P144="",LEN(TRIM('Raw Data'!P144))=0),"",IF(AND(ISNUMBER('Raw Data'!P144), IFERROR('Raw Data'!P144 = ROUND('Raw Data'!P144, 2),FALSE)),"",_xlfn.REGEXEXTRACT(CELL("address",P144), "\$([A-Z]+)\$[0-9]+"))),_xlfn.REGEXEXTRACT(CELL("address",P144), "\$([A-Z]+)\$[0-9]+"))</f>
        <v/>
      </c>
      <c r="Q144" s="7" t="str">
        <f t="array" aca="1" ref="Q144" ca="1">IFERROR(IF(OR('Raw Data'!Q144="",LEN(TRIM('Raw Data'!Q144))=0),"",IF(AND(ISNUMBER('Raw Data'!Q144), IFERROR('Raw Data'!Q144 = ROUND('Raw Data'!Q144, 2),FALSE)),"",_xlfn.REGEXEXTRACT(CELL("address",Q144), "\$([A-Z]+)\$[0-9]+"))),_xlfn.REGEXEXTRACT(CELL("address",Q144), "\$([A-Z]+)\$[0-9]+"))</f>
        <v/>
      </c>
      <c r="R144" s="7" t="str">
        <f t="array" aca="1" ref="R144" ca="1">IFERROR(IF(OR('Raw Data'!R144="",LEN(TRIM('Raw Data'!R144))=0),"",IF(AND(LEN('Raw Data'!R144) &lt;= 50,LEN('Raw Data'!R144)&gt; 0),"",_xlfn.REGEXEXTRACT(CELL("address",'Raw Data'!R144),"\$([A-Z]+)\$[0-9]+"))),_xlfn.REGEXEXTRACT(CELL("address",'Raw Data'!R144),"\$([A-Z]+)\$[0-9]+"))</f>
        <v/>
      </c>
      <c r="S144" s="7" t="str">
        <f t="array" aca="1" ref="S144" ca="1">IFERROR(IF(OR('Raw Data'!S144="",LEN(TRIM('Raw Data'!S144))=0),"",IF(AND(LEN('Raw Data'!S144) &lt;= 50,LEN('Raw Data'!S144)&gt; 0),"",_xlfn.REGEXEXTRACT(CELL("address",'Raw Data'!S144),"\$([A-Z]+)\$[0-9]+"))),_xlfn.REGEXEXTRACT(CELL("address",'Raw Data'!S144),"\$([A-Z]+)\$[0-9]+"))</f>
        <v/>
      </c>
      <c r="T144" s="7" t="str">
        <f t="array" aca="1" ref="T144" ca="1">IFERROR(IF(OR('Raw Data'!T144="",LEN(TRIM('Raw Data'!T144))=0),"",IF(AND(ISNUMBER('Raw Data'!T144), IFERROR('Raw Data'!T144 = ROUND('Raw Data'!T144, 2),FALSE)),"",_xlfn.REGEXEXTRACT(CELL("address",T144), "\$([A-Z]+)\$[0-9]+"))),_xlfn.REGEXEXTRACT(CELL("address",T144), "\$([A-Z]+)\$[0-9]+"))</f>
        <v/>
      </c>
      <c r="U144" s="7" t="str">
        <f t="array" aca="1" ref="U144" ca="1">IFERROR(IF(OR('Raw Data'!U144="",LEN(TRIM('Raw Data'!U144))=0),"",IF(AND(ISNUMBER('Raw Data'!U144), IFERROR('Raw Data'!U144 = ROUND('Raw Data'!U144, 2),FALSE)),"",_xlfn.REGEXEXTRACT(CELL("address",U144), "\$([A-Z]+)\$[0-9]+"))),_xlfn.REGEXEXTRACT(CELL("address",U144), "\$([A-Z]+)\$[0-9]+"))</f>
        <v/>
      </c>
      <c r="V144" s="7" t="str">
        <f t="array" aca="1" ref="V144" ca="1">IFERROR(IF(OR('Raw Data'!V144="",LEN(TRIM('Raw Data'!V144))=0),"",IF(AND(ISNUMBER('Raw Data'!V144), IFERROR('Raw Data'!V144 = ROUND('Raw Data'!V144, 2),FALSE)),"",_xlfn.REGEXEXTRACT(CELL("address",V144), "\$([A-Z]+)\$[0-9]+"))),_xlfn.REGEXEXTRACT(CELL("address",V144), "\$([A-Z]+)\$[0-9]+"))</f>
        <v/>
      </c>
      <c r="W144" s="7" t="str">
        <f t="array" aca="1" ref="W144" ca="1">IFERROR(IF(OR('Raw Data'!W144="",LEN(TRIM('Raw Data'!W144))=0),"",IF(AND(ISNUMBER('Raw Data'!W144), IFERROR('Raw Data'!W144 = ROUND('Raw Data'!W144, 2),FALSE)),"",_xlfn.REGEXEXTRACT(CELL("address",W144), "\$([A-Z]+)\$[0-9]+"))),_xlfn.REGEXEXTRACT(CELL("address",W144), "\$([A-Z]+)\$[0-9]+"))</f>
        <v/>
      </c>
      <c r="X144" s="7" t="str">
        <f t="array" aca="1" ref="X144" ca="1">IFERROR(IF(OR('Raw Data'!X144="",LEN(TRIM('Raw Data'!X144))=0),"",IF(AND(ISNUMBER('Raw Data'!X144), IFERROR('Raw Data'!X144 = ROUND('Raw Data'!X144, 2),FALSE)),"",_xlfn.REGEXEXTRACT(CELL("address",X144), "\$([A-Z]+)\$[0-9]+"))),_xlfn.REGEXEXTRACT(CELL("address",X144), "\$([A-Z]+)\$[0-9]+"))</f>
        <v/>
      </c>
      <c r="Y144" s="7" t="str">
        <f t="array" aca="1" ref="Y144" ca="1">IFERROR(IF(OR('Raw Data'!Y144="",LEN(TRIM('Raw Data'!Y144))=0),"",IF(AND(ISNUMBER('Raw Data'!Y144), IFERROR('Raw Data'!Y144 = ROUND('Raw Data'!Y144, 2),FALSE)),"",_xlfn.REGEXEXTRACT(CELL("address",Y144), "\$([A-Z]+)\$[0-9]+"))),_xlfn.REGEXEXTRACT(CELL("address",Y144), "\$([A-Z]+)\$[0-9]+"))</f>
        <v/>
      </c>
      <c r="Z144" s="7" t="str">
        <f t="array" aca="1" ref="Z144" ca="1">IFERROR(IF(OR('Raw Data'!Z144="",LEN(TRIM('Raw Data'!Z144))=0),"",IF(AND(ISNUMBER('Raw Data'!Z144), IFERROR('Raw Data'!Z144 = ROUND('Raw Data'!Z144, 2),FALSE)),"",_xlfn.REGEXEXTRACT(CELL("address",Z144), "\$([A-Z]+)\$[0-9]+"))),_xlfn.REGEXEXTRACT(CELL("address",Z144), "\$([A-Z]+)\$[0-9]+"))</f>
        <v/>
      </c>
      <c r="AA144" s="7" t="str">
        <f t="array" aca="1" ref="AA144" ca="1">IFERROR(IF(OR('Raw Data'!AA144="",LEN(TRIM('Raw Data'!AA144))=0),"",IF(AND(ISNUMBER('Raw Data'!AA144), IFERROR('Raw Data'!AA144 = ROUND('Raw Data'!AA144, 2),FALSE)),"",_xlfn.REGEXEXTRACT(CELL("address",AA144), "\$([A-Z]+)\$[0-9]+"))),_xlfn.REGEXEXTRACT(CELL("address",AA144), "\$([A-Z]+)\$[0-9]+"))</f>
        <v/>
      </c>
      <c r="AB144" s="7" t="str">
        <f t="array" aca="1" ref="AB144" ca="1">IFERROR(IF(OR('Raw Data'!AB144="",LEN(TRIM('Raw Data'!AB144))=0),"",IF(AND(ISNUMBER('Raw Data'!AB144), IFERROR('Raw Data'!AB144 = ROUND('Raw Data'!AB144, 2),FALSE)),"",_xlfn.REGEXEXTRACT(CELL("address",AB144), "\$([A-Z]+)\$[0-9]+"))),_xlfn.REGEXEXTRACT(CELL("address",AB144), "\$([A-Z]+)\$[0-9]+"))</f>
        <v/>
      </c>
      <c r="AC144" s="7" t="str">
        <f t="array" aca="1" ref="AC144" ca="1">IFERROR(IF(OR('Raw Data'!AC144="",LEN(TRIM('Raw Data'!AC144))=0),"",IF(AND(ISNUMBER('Raw Data'!AC144), IFERROR('Raw Data'!AC144 = ROUND('Raw Data'!AC144, 2),FALSE)),"",_xlfn.REGEXEXTRACT(CELL("address",AC144), "\$([A-Z]+)\$[0-9]+"))),_xlfn.REGEXEXTRACT(CELL("address",AC144), "\$([A-Z]+)\$[0-9]+"))</f>
        <v/>
      </c>
      <c r="AD144" s="7" t="str">
        <f t="array" aca="1" ref="AD144" ca="1">IFERROR(IF(OR('Raw Data'!AD144="",LEN(TRIM('Raw Data'!AD144))=0),"",IF(AND(ISNUMBER('Raw Data'!AD144), IFERROR('Raw Data'!AD144 = ROUND('Raw Data'!AD144, 2),FALSE)),"",_xlfn.REGEXEXTRACT(CELL("address",AD144), "\$([A-Z]+)\$[0-9]+"))),_xlfn.REGEXEXTRACT(CELL("address",AD144), "\$([A-Z]+)\$[0-9]+"))</f>
        <v/>
      </c>
      <c r="AE144" s="7" t="str">
        <f t="array" aca="1" ref="AE144" ca="1">IFERROR(IF(OR('Raw Data'!AE144="",LEN(TRIM('Raw Data'!AE144))=0),"",IF(AND(ISNUMBER('Raw Data'!AE144), IFERROR('Raw Data'!AE144 = ROUND('Raw Data'!AE144, 2),FALSE)),"",_xlfn.REGEXEXTRACT(CELL("address",AE144), "\$([A-Z]+)\$[0-9]+"))),_xlfn.REGEXEXTRACT(CELL("address",AE144), "\$([A-Z]+)\$[0-9]+"))</f>
        <v/>
      </c>
      <c r="AF144" s="7" t="str">
        <f t="array" aca="1" ref="AF144" ca="1">IFERROR(IF(OR('Raw Data'!AF144="",LEN(TRIM('Raw Data'!AF144))=0),"",IF(AND(ISNUMBER('Raw Data'!AF144), IFERROR('Raw Data'!AF144 = ROUND('Raw Data'!AF144, 2),FALSE)),"",_xlfn.REGEXEXTRACT(CELL("address",AF144), "\$([A-Z]+)\$[0-9]+"))),_xlfn.REGEXEXTRACT(CELL("address",AF144), "\$([A-Z]+)\$[0-9]+"))</f>
        <v/>
      </c>
      <c r="AG144" s="7" t="str">
        <f t="array" aca="1" ref="AG144" ca="1">IFERROR(IF(OR('Raw Data'!AG144="",LEN(TRIM('Raw Data'!AG144))=0),"",IF(AND(ISNUMBER('Raw Data'!AG144), IFERROR('Raw Data'!AG144 = ROUND('Raw Data'!AG144, 2),FALSE)),"",_xlfn.REGEXEXTRACT(CELL("address",AG144), "\$([A-Z]+)\$[0-9]+"))),_xlfn.REGEXEXTRACT(CELL("address",AG144), "\$([A-Z]+)\$[0-9]+"))</f>
        <v/>
      </c>
      <c r="AH144" s="7" t="str">
        <f t="array" aca="1" ref="AH144" ca="1">IFERROR(IF(OR('Raw Data'!AH144="",LEN(TRIM('Raw Data'!AH144))=0),"",IF(AND(ISNUMBER('Raw Data'!AH144), IFERROR('Raw Data'!AH144 = ROUND('Raw Data'!AH144, 2),FALSE)),"",_xlfn.REGEXEXTRACT(CELL("address",AH144), "\$([A-Z]+)\$[0-9]+"))),_xlfn.REGEXEXTRACT(CELL("address",AH144), "\$([A-Z]+)\$[0-9]+"))</f>
        <v/>
      </c>
      <c r="AI144" s="7" t="str">
        <f t="array" aca="1" ref="AI144" ca="1">IFERROR(IF(OR('Raw Data'!AI144="",LEN(TRIM('Raw Data'!AI144))=0),"",IF(AND(ISNUMBER('Raw Data'!AI144), IFERROR('Raw Data'!AI144 = ROUND('Raw Data'!AI144, 2),FALSE)),"",_xlfn.REGEXEXTRACT(CELL("address",AI144), "\$([A-Z]+)\$[0-9]+"))),_xlfn.REGEXEXTRACT(CELL("address",AI144), "\$([A-Z]+)\$[0-9]+"))</f>
        <v/>
      </c>
      <c r="AJ144" s="7" t="str">
        <f t="array" aca="1" ref="AJ144" ca="1">IFERROR(IF(OR('Raw Data'!AJ144="",LEN(TRIM('Raw Data'!AJ144))=0),"",IF(AND(ISNUMBER('Raw Data'!AJ144), IFERROR('Raw Data'!AJ144 = ROUND('Raw Data'!AJ144, 4),FALSE)),"",_xlfn.REGEXEXTRACT(CELL("address",AJ144), "\$([A-Z]+)\$[0-9]+"))),_xlfn.REGEXEXTRACT(CELL("address",AJ144), "\$([A-Z]+)\$[0-9]+"))</f>
        <v/>
      </c>
      <c r="AK144" s="7" t="str">
        <f t="array" aca="1" ref="AK144" ca="1">IFERROR(IF(OR('Raw Data'!AK144="",LEN(TRIM('Raw Data'!AK144))=0),"",IF(AND(ISNUMBER('Raw Data'!AK144), IFERROR('Raw Data'!AK144 = ROUND('Raw Data'!AK144, 2),FALSE)),"",_xlfn.REGEXEXTRACT(CELL("address",AK144), "\$([A-Z]+)\$[0-9]+"))),_xlfn.REGEXEXTRACT(CELL("address",AK144), "\$([A-Z]+)\$[0-9]+"))</f>
        <v/>
      </c>
      <c r="AL144" s="7" t="str">
        <f t="array" aca="1" ref="AL144" ca="1">IFERROR(IF(OR('Raw Data'!AL144="",LEN(TRIM('Raw Data'!AL144))=0),"",IF(AND(ISNUMBER('Raw Data'!AL144), IFERROR('Raw Data'!AL144 = ROUND('Raw Data'!AL144, 2),FALSE)),"",_xlfn.REGEXEXTRACT(CELL("address",AL144), "\$([A-Z]+)\$[0-9]+"))),_xlfn.REGEXEXTRACT(CELL("address",AL144), "\$([A-Z]+)\$[0-9]+"))</f>
        <v/>
      </c>
      <c r="AM144" s="7" t="str">
        <f t="array" aca="1" ref="AM144" ca="1">IFERROR(IF(OR('Raw Data'!AM144="",LEN(TRIM('Raw Data'!AM144))=0),"",IF(AND(ISNUMBER('Raw Data'!AM144), IFERROR('Raw Data'!AM144 = ROUND('Raw Data'!AM144, 2),FALSE)),"",_xlfn.REGEXEXTRACT(CELL("address",AM144), "\$([A-Z]+)\$[0-9]+"))),_xlfn.REGEXEXTRACT(CELL("address",AM144), "\$([A-Z]+)\$[0-9]+"))</f>
        <v/>
      </c>
      <c r="AN144" s="7" t="str">
        <f t="array" aca="1" ref="AN144" ca="1">IFERROR(IF(OR('Raw Data'!AN144="",LEN(TRIM('Raw Data'!AN144))=0),"",IF(AND(ISNUMBER('Raw Data'!AN144), IFERROR('Raw Data'!AN144 = ROUND('Raw Data'!AN144, 2),FALSE)),"",_xlfn.REGEXEXTRACT(CELL("address",AN144), "\$([A-Z]+)\$[0-9]+"))),_xlfn.REGEXEXTRACT(CELL("address",AN144), "\$([A-Z]+)\$[0-9]+"))</f>
        <v/>
      </c>
      <c r="AO144" s="7" t="str">
        <f t="array" aca="1" ref="AO144" ca="1">IFERROR(IF(OR('Raw Data'!AO144="",LEN(TRIM('Raw Data'!AO144))=0),"",IF(AND(ISNUMBER('Raw Data'!AO144), IFERROR('Raw Data'!AO144 = ROUND('Raw Data'!AO144, 2),FALSE)),"",_xlfn.REGEXEXTRACT(CELL("address",AO144), "\$([A-Z]+)\$[0-9]+"))),_xlfn.REGEXEXTRACT(CELL("address",AO144), "\$([A-Z]+)\$[0-9]+"))</f>
        <v/>
      </c>
      <c r="AP144" s="7" t="str">
        <f t="array" aca="1" ref="AP144" ca="1">IFERROR(IF(OR('Raw Data'!AP144="",LEN(TRIM('Raw Data'!AP144))=0),"",IF(AND(ISNUMBER('Raw Data'!AP144), IFERROR('Raw Data'!AP144 = ROUND('Raw Data'!AP144, 2),FALSE)),"",_xlfn.REGEXEXTRACT(CELL("address",AP144), "\$([A-Z]+)\$[0-9]+"))),_xlfn.REGEXEXTRACT(CELL("address",AP144), "\$([A-Z]+)\$[0-9]+"))</f>
        <v/>
      </c>
    </row>
    <row r="145" spans="2:42" x14ac:dyDescent="0.25">
      <c r="B145" s="7" t="str">
        <f t="array" aca="1" ref="B145" ca="1">IFERROR(IF(OR('Raw Data'!B145="",LEN(TRIM('Raw Data'!B145))=0),"",IF(AND(LEN('Raw Data'!B145) &lt;= 255,LEN('Raw Data'!B145)&gt; 0),"",_xlfn.REGEXEXTRACT(CELL("address",'Raw Data'!B145),"\$([A-Z]+)\$[0-9]+"))),_xlfn.REGEXEXTRACT(CELL("address",'Raw Data'!B145),"\$([A-Z]+)\$[0-9]+"))</f>
        <v/>
      </c>
      <c r="C145" s="7" t="str">
        <f t="array" aca="1" ref="C145" ca="1">IFERROR(IF(OR('Raw Data'!C145="",LEN(TRIM('Raw Data'!C145))=0),"",IF(AND(LEN('Raw Data'!C145) &lt;= 50,LEN('Raw Data'!C145)&gt; 0),"",_xlfn.REGEXEXTRACT(CELL("address",'Raw Data'!C145),"\$([A-Z]+)\$[0-9]+"))),_xlfn.REGEXEXTRACT(CELL("address",'Raw Data'!C145),"\$([A-Z]+)\$[0-9]+"))</f>
        <v/>
      </c>
      <c r="D145" s="7" t="str">
        <f t="array" aca="1" ref="D145" ca="1">IFERROR(IF(OR('Raw Data'!D145="",LEN(TRIM('Raw Data'!D145))=0),"",IF(AND(LEN('Raw Data'!D145) &lt;= 500,LEN('Raw Data'!D145)&gt; 0),"",_xlfn.REGEXEXTRACT(CELL("address",'Raw Data'!D145),"\$([A-Z]+)\$[0-9]+"))),_xlfn.REGEXEXTRACT(CELL("address",'Raw Data'!D145),"\$([A-Z]+)\$[0-9]+"))</f>
        <v/>
      </c>
      <c r="E145" s="7" t="str">
        <f t="array" aca="1" ref="E145" ca="1">IFERROR(IF(OR('Raw Data'!E145="",LEN(TRIM('Raw Data'!E145))=0),"",IF(AND(LEN('Raw Data'!E145) &lt;= 50,LEN('Raw Data'!E145)&gt; 0),"",_xlfn.REGEXEXTRACT(CELL("address",'Raw Data'!E145),"\$([A-Z]+)\$[0-9]+"))),_xlfn.REGEXEXTRACT(CELL("address",'Raw Data'!E145),"\$([A-Z]+)\$[0-9]+"))</f>
        <v/>
      </c>
      <c r="F145" s="7" t="str">
        <f t="array" aca="1" ref="F145" ca="1">IFERROR(IF(OR('Raw Data'!F145="",LEN(TRIM('Raw Data'!F145))=0),"",IF(AND(LEN('Raw Data'!F145) &lt;= 50,LEN('Raw Data'!F145)&gt; 0),"",_xlfn.REGEXEXTRACT(CELL("address",'Raw Data'!F145),"\$([A-Z]+)\$[0-9]+"))),_xlfn.REGEXEXTRACT(CELL("address",'Raw Data'!F145),"\$([A-Z]+)\$[0-9]+"))</f>
        <v/>
      </c>
      <c r="G145" s="7" t="str">
        <f t="array" aca="1" ref="G145" ca="1">IFERROR(IF(OR('Raw Data'!G145="",LEN(TRIM('Raw Data'!G145))=0),"",IF(AND(LEN('Raw Data'!G145) &lt;= 50,LEN('Raw Data'!G145)&gt; 0),"",_xlfn.REGEXEXTRACT(CELL("address",'Raw Data'!G145),"\$([A-Z]+)\$[0-9]+"))),_xlfn.REGEXEXTRACT(CELL("address",'Raw Data'!G145),"\$([A-Z]+)\$[0-9]+"))</f>
        <v/>
      </c>
      <c r="H145" s="7" t="str">
        <f t="array" aca="1" ref="H145" ca="1">IFERROR(IF(OR('Raw Data'!H145="",LEN(TRIM('Raw Data'!H145))=0),"",IF(AND(LEN('Raw Data'!H145) &lt;= 50,LEN('Raw Data'!H145)&gt; 0),"",_xlfn.REGEXEXTRACT(CELL("address",'Raw Data'!H145),"\$([A-Z]+)\$[0-9]+"))),_xlfn.REGEXEXTRACT(CELL("address",'Raw Data'!H145),"\$([A-Z]+)\$[0-9]+"))</f>
        <v/>
      </c>
      <c r="I145" s="7" t="str">
        <f t="array" aca="1" ref="I145" ca="1">IFERROR(IF(OR('Raw Data'!I145="",LEN(TRIM('Raw Data'!I145))=0),"",IF(AND(LEN('Raw Data'!I145) &lt;= 50,LEN('Raw Data'!I145)&gt; 0),"",_xlfn.REGEXEXTRACT(CELL("address",'Raw Data'!I145),"\$([A-Z]+)\$[0-9]+"))),_xlfn.REGEXEXTRACT(CELL("address",'Raw Data'!I145),"\$([A-Z]+)\$[0-9]+"))</f>
        <v/>
      </c>
      <c r="J145" s="7" t="str">
        <f t="array" aca="1" ref="J145" ca="1">IFERROR(IF(OR('Raw Data'!J145="",LEN(TRIM('Raw Data'!J145))=0),"",IF(AND(ISNUMBER('Raw Data'!J145), IFERROR('Raw Data'!J145 = ROUND('Raw Data'!J145, 2),FALSE)),"",_xlfn.REGEXEXTRACT(CELL("address",J145), "\$([A-Z]+)\$[0-9]+"))),_xlfn.REGEXEXTRACT(CELL("address",J145), "\$([A-Z]+)\$[0-9]+"))</f>
        <v/>
      </c>
      <c r="K145" s="7" t="str">
        <f t="array" aca="1" ref="K145" ca="1">IFERROR(IF(OR('Raw Data'!K145="",LEN(TRIM('Raw Data'!K145))=0),"",IF(AND(ISNUMBER('Raw Data'!K145), IFERROR('Raw Data'!K145 = ROUND('Raw Data'!K145, 2),FALSE)),"",_xlfn.REGEXEXTRACT(CELL("address",K145), "\$([A-Z]+)\$[0-9]+"))),_xlfn.REGEXEXTRACT(CELL("address",K145), "\$([A-Z]+)\$[0-9]+"))</f>
        <v/>
      </c>
      <c r="L145" s="7" t="str">
        <f t="array" aca="1" ref="L145" ca="1">IFERROR(IF(OR('Raw Data'!L145="",LEN(TRIM('Raw Data'!L145))=0),"",IF(AND(ISNUMBER('Raw Data'!L145), IFERROR('Raw Data'!L145 = ROUND('Raw Data'!L145, 2),FALSE)),"",_xlfn.REGEXEXTRACT(CELL("address",L145), "\$([A-Z]+)\$[0-9]+"))),_xlfn.REGEXEXTRACT(CELL("address",L145), "\$([A-Z]+)\$[0-9]+"))</f>
        <v/>
      </c>
      <c r="M145" s="7" t="str">
        <f t="array" aca="1" ref="M145" ca="1">IFERROR(IF(OR('Raw Data'!M145="",LEN(TRIM('Raw Data'!M145))=0),"",IF(AND(ISNUMBER('Raw Data'!M145), IFERROR('Raw Data'!M145 = ROUND('Raw Data'!M145, 2),FALSE)),"",_xlfn.REGEXEXTRACT(CELL("address",M145), "\$([A-Z]+)\$[0-9]+"))),_xlfn.REGEXEXTRACT(CELL("address",M145), "\$([A-Z]+)\$[0-9]+"))</f>
        <v/>
      </c>
      <c r="N145" s="7" t="str">
        <f t="array" aca="1" ref="N145" ca="1">IFERROR(IF(OR('Raw Data'!N145="",LEN(TRIM('Raw Data'!N145))=0),"",IF(AND(ISNUMBER('Raw Data'!N145), IFERROR('Raw Data'!N145 = ROUND('Raw Data'!N145, 2),FALSE)),"",_xlfn.REGEXEXTRACT(CELL("address",N145), "\$([A-Z]+)\$[0-9]+"))),_xlfn.REGEXEXTRACT(CELL("address",N145), "\$([A-Z]+)\$[0-9]+"))</f>
        <v/>
      </c>
      <c r="O145" s="7" t="str">
        <f t="array" aca="1" ref="O145" ca="1">IFERROR(IF(OR('Raw Data'!O145="",LEN(TRIM('Raw Data'!O145))=0),"",IF(AND(ISNUMBER('Raw Data'!O145),'Raw Data'!O145&gt;=Configuration!$D$2),"",_xlfn.REGEXEXTRACT(CELL("address",'Raw Data'!O145),"\$([A-Z]+)\$[0-9]+"))),_xlfn.REGEXEXTRACT(CELL("address",O145), "\$([A-Z]+)\$[0-9]+"))</f>
        <v/>
      </c>
      <c r="P145" s="7" t="str">
        <f t="array" aca="1" ref="P145" ca="1">IFERROR(IF(OR('Raw Data'!P145="",LEN(TRIM('Raw Data'!P145))=0),"",IF(AND(ISNUMBER('Raw Data'!P145), IFERROR('Raw Data'!P145 = ROUND('Raw Data'!P145, 2),FALSE)),"",_xlfn.REGEXEXTRACT(CELL("address",P145), "\$([A-Z]+)\$[0-9]+"))),_xlfn.REGEXEXTRACT(CELL("address",P145), "\$([A-Z]+)\$[0-9]+"))</f>
        <v/>
      </c>
      <c r="Q145" s="7" t="str">
        <f t="array" aca="1" ref="Q145" ca="1">IFERROR(IF(OR('Raw Data'!Q145="",LEN(TRIM('Raw Data'!Q145))=0),"",IF(AND(ISNUMBER('Raw Data'!Q145), IFERROR('Raw Data'!Q145 = ROUND('Raw Data'!Q145, 2),FALSE)),"",_xlfn.REGEXEXTRACT(CELL("address",Q145), "\$([A-Z]+)\$[0-9]+"))),_xlfn.REGEXEXTRACT(CELL("address",Q145), "\$([A-Z]+)\$[0-9]+"))</f>
        <v/>
      </c>
      <c r="R145" s="7" t="str">
        <f t="array" aca="1" ref="R145" ca="1">IFERROR(IF(OR('Raw Data'!R145="",LEN(TRIM('Raw Data'!R145))=0),"",IF(AND(LEN('Raw Data'!R145) &lt;= 50,LEN('Raw Data'!R145)&gt; 0),"",_xlfn.REGEXEXTRACT(CELL("address",'Raw Data'!R145),"\$([A-Z]+)\$[0-9]+"))),_xlfn.REGEXEXTRACT(CELL("address",'Raw Data'!R145),"\$([A-Z]+)\$[0-9]+"))</f>
        <v/>
      </c>
      <c r="S145" s="7" t="str">
        <f t="array" aca="1" ref="S145" ca="1">IFERROR(IF(OR('Raw Data'!S145="",LEN(TRIM('Raw Data'!S145))=0),"",IF(AND(LEN('Raw Data'!S145) &lt;= 50,LEN('Raw Data'!S145)&gt; 0),"",_xlfn.REGEXEXTRACT(CELL("address",'Raw Data'!S145),"\$([A-Z]+)\$[0-9]+"))),_xlfn.REGEXEXTRACT(CELL("address",'Raw Data'!S145),"\$([A-Z]+)\$[0-9]+"))</f>
        <v/>
      </c>
      <c r="T145" s="7" t="str">
        <f t="array" aca="1" ref="T145" ca="1">IFERROR(IF(OR('Raw Data'!T145="",LEN(TRIM('Raw Data'!T145))=0),"",IF(AND(ISNUMBER('Raw Data'!T145), IFERROR('Raw Data'!T145 = ROUND('Raw Data'!T145, 2),FALSE)),"",_xlfn.REGEXEXTRACT(CELL("address",T145), "\$([A-Z]+)\$[0-9]+"))),_xlfn.REGEXEXTRACT(CELL("address",T145), "\$([A-Z]+)\$[0-9]+"))</f>
        <v/>
      </c>
      <c r="U145" s="7" t="str">
        <f t="array" aca="1" ref="U145" ca="1">IFERROR(IF(OR('Raw Data'!U145="",LEN(TRIM('Raw Data'!U145))=0),"",IF(AND(ISNUMBER('Raw Data'!U145), IFERROR('Raw Data'!U145 = ROUND('Raw Data'!U145, 2),FALSE)),"",_xlfn.REGEXEXTRACT(CELL("address",U145), "\$([A-Z]+)\$[0-9]+"))),_xlfn.REGEXEXTRACT(CELL("address",U145), "\$([A-Z]+)\$[0-9]+"))</f>
        <v/>
      </c>
      <c r="V145" s="7" t="str">
        <f t="array" aca="1" ref="V145" ca="1">IFERROR(IF(OR('Raw Data'!V145="",LEN(TRIM('Raw Data'!V145))=0),"",IF(AND(ISNUMBER('Raw Data'!V145), IFERROR('Raw Data'!V145 = ROUND('Raw Data'!V145, 2),FALSE)),"",_xlfn.REGEXEXTRACT(CELL("address",V145), "\$([A-Z]+)\$[0-9]+"))),_xlfn.REGEXEXTRACT(CELL("address",V145), "\$([A-Z]+)\$[0-9]+"))</f>
        <v/>
      </c>
      <c r="W145" s="7" t="str">
        <f t="array" aca="1" ref="W145" ca="1">IFERROR(IF(OR('Raw Data'!W145="",LEN(TRIM('Raw Data'!W145))=0),"",IF(AND(ISNUMBER('Raw Data'!W145), IFERROR('Raw Data'!W145 = ROUND('Raw Data'!W145, 2),FALSE)),"",_xlfn.REGEXEXTRACT(CELL("address",W145), "\$([A-Z]+)\$[0-9]+"))),_xlfn.REGEXEXTRACT(CELL("address",W145), "\$([A-Z]+)\$[0-9]+"))</f>
        <v/>
      </c>
      <c r="X145" s="7" t="str">
        <f t="array" aca="1" ref="X145" ca="1">IFERROR(IF(OR('Raw Data'!X145="",LEN(TRIM('Raw Data'!X145))=0),"",IF(AND(ISNUMBER('Raw Data'!X145), IFERROR('Raw Data'!X145 = ROUND('Raw Data'!X145, 2),FALSE)),"",_xlfn.REGEXEXTRACT(CELL("address",X145), "\$([A-Z]+)\$[0-9]+"))),_xlfn.REGEXEXTRACT(CELL("address",X145), "\$([A-Z]+)\$[0-9]+"))</f>
        <v/>
      </c>
      <c r="Y145" s="7" t="str">
        <f t="array" aca="1" ref="Y145" ca="1">IFERROR(IF(OR('Raw Data'!Y145="",LEN(TRIM('Raw Data'!Y145))=0),"",IF(AND(ISNUMBER('Raw Data'!Y145), IFERROR('Raw Data'!Y145 = ROUND('Raw Data'!Y145, 2),FALSE)),"",_xlfn.REGEXEXTRACT(CELL("address",Y145), "\$([A-Z]+)\$[0-9]+"))),_xlfn.REGEXEXTRACT(CELL("address",Y145), "\$([A-Z]+)\$[0-9]+"))</f>
        <v/>
      </c>
      <c r="Z145" s="7" t="str">
        <f t="array" aca="1" ref="Z145" ca="1">IFERROR(IF(OR('Raw Data'!Z145="",LEN(TRIM('Raw Data'!Z145))=0),"",IF(AND(ISNUMBER('Raw Data'!Z145), IFERROR('Raw Data'!Z145 = ROUND('Raw Data'!Z145, 2),FALSE)),"",_xlfn.REGEXEXTRACT(CELL("address",Z145), "\$([A-Z]+)\$[0-9]+"))),_xlfn.REGEXEXTRACT(CELL("address",Z145), "\$([A-Z]+)\$[0-9]+"))</f>
        <v/>
      </c>
      <c r="AA145" s="7" t="str">
        <f t="array" aca="1" ref="AA145" ca="1">IFERROR(IF(OR('Raw Data'!AA145="",LEN(TRIM('Raw Data'!AA145))=0),"",IF(AND(ISNUMBER('Raw Data'!AA145), IFERROR('Raw Data'!AA145 = ROUND('Raw Data'!AA145, 2),FALSE)),"",_xlfn.REGEXEXTRACT(CELL("address",AA145), "\$([A-Z]+)\$[0-9]+"))),_xlfn.REGEXEXTRACT(CELL("address",AA145), "\$([A-Z]+)\$[0-9]+"))</f>
        <v/>
      </c>
      <c r="AB145" s="7" t="str">
        <f t="array" aca="1" ref="AB145" ca="1">IFERROR(IF(OR('Raw Data'!AB145="",LEN(TRIM('Raw Data'!AB145))=0),"",IF(AND(ISNUMBER('Raw Data'!AB145), IFERROR('Raw Data'!AB145 = ROUND('Raw Data'!AB145, 2),FALSE)),"",_xlfn.REGEXEXTRACT(CELL("address",AB145), "\$([A-Z]+)\$[0-9]+"))),_xlfn.REGEXEXTRACT(CELL("address",AB145), "\$([A-Z]+)\$[0-9]+"))</f>
        <v/>
      </c>
      <c r="AC145" s="7" t="str">
        <f t="array" aca="1" ref="AC145" ca="1">IFERROR(IF(OR('Raw Data'!AC145="",LEN(TRIM('Raw Data'!AC145))=0),"",IF(AND(ISNUMBER('Raw Data'!AC145), IFERROR('Raw Data'!AC145 = ROUND('Raw Data'!AC145, 2),FALSE)),"",_xlfn.REGEXEXTRACT(CELL("address",AC145), "\$([A-Z]+)\$[0-9]+"))),_xlfn.REGEXEXTRACT(CELL("address",AC145), "\$([A-Z]+)\$[0-9]+"))</f>
        <v/>
      </c>
      <c r="AD145" s="7" t="str">
        <f t="array" aca="1" ref="AD145" ca="1">IFERROR(IF(OR('Raw Data'!AD145="",LEN(TRIM('Raw Data'!AD145))=0),"",IF(AND(ISNUMBER('Raw Data'!AD145), IFERROR('Raw Data'!AD145 = ROUND('Raw Data'!AD145, 2),FALSE)),"",_xlfn.REGEXEXTRACT(CELL("address",AD145), "\$([A-Z]+)\$[0-9]+"))),_xlfn.REGEXEXTRACT(CELL("address",AD145), "\$([A-Z]+)\$[0-9]+"))</f>
        <v/>
      </c>
      <c r="AE145" s="7" t="str">
        <f t="array" aca="1" ref="AE145" ca="1">IFERROR(IF(OR('Raw Data'!AE145="",LEN(TRIM('Raw Data'!AE145))=0),"",IF(AND(ISNUMBER('Raw Data'!AE145), IFERROR('Raw Data'!AE145 = ROUND('Raw Data'!AE145, 2),FALSE)),"",_xlfn.REGEXEXTRACT(CELL("address",AE145), "\$([A-Z]+)\$[0-9]+"))),_xlfn.REGEXEXTRACT(CELL("address",AE145), "\$([A-Z]+)\$[0-9]+"))</f>
        <v/>
      </c>
      <c r="AF145" s="7" t="str">
        <f t="array" aca="1" ref="AF145" ca="1">IFERROR(IF(OR('Raw Data'!AF145="",LEN(TRIM('Raw Data'!AF145))=0),"",IF(AND(ISNUMBER('Raw Data'!AF145), IFERROR('Raw Data'!AF145 = ROUND('Raw Data'!AF145, 2),FALSE)),"",_xlfn.REGEXEXTRACT(CELL("address",AF145), "\$([A-Z]+)\$[0-9]+"))),_xlfn.REGEXEXTRACT(CELL("address",AF145), "\$([A-Z]+)\$[0-9]+"))</f>
        <v/>
      </c>
      <c r="AG145" s="7" t="str">
        <f t="array" aca="1" ref="AG145" ca="1">IFERROR(IF(OR('Raw Data'!AG145="",LEN(TRIM('Raw Data'!AG145))=0),"",IF(AND(ISNUMBER('Raw Data'!AG145), IFERROR('Raw Data'!AG145 = ROUND('Raw Data'!AG145, 2),FALSE)),"",_xlfn.REGEXEXTRACT(CELL("address",AG145), "\$([A-Z]+)\$[0-9]+"))),_xlfn.REGEXEXTRACT(CELL("address",AG145), "\$([A-Z]+)\$[0-9]+"))</f>
        <v/>
      </c>
      <c r="AH145" s="7" t="str">
        <f t="array" aca="1" ref="AH145" ca="1">IFERROR(IF(OR('Raw Data'!AH145="",LEN(TRIM('Raw Data'!AH145))=0),"",IF(AND(ISNUMBER('Raw Data'!AH145), IFERROR('Raw Data'!AH145 = ROUND('Raw Data'!AH145, 2),FALSE)),"",_xlfn.REGEXEXTRACT(CELL("address",AH145), "\$([A-Z]+)\$[0-9]+"))),_xlfn.REGEXEXTRACT(CELL("address",AH145), "\$([A-Z]+)\$[0-9]+"))</f>
        <v/>
      </c>
      <c r="AI145" s="7" t="str">
        <f t="array" aca="1" ref="AI145" ca="1">IFERROR(IF(OR('Raw Data'!AI145="",LEN(TRIM('Raw Data'!AI145))=0),"",IF(AND(ISNUMBER('Raw Data'!AI145), IFERROR('Raw Data'!AI145 = ROUND('Raw Data'!AI145, 2),FALSE)),"",_xlfn.REGEXEXTRACT(CELL("address",AI145), "\$([A-Z]+)\$[0-9]+"))),_xlfn.REGEXEXTRACT(CELL("address",AI145), "\$([A-Z]+)\$[0-9]+"))</f>
        <v/>
      </c>
      <c r="AJ145" s="7" t="str">
        <f t="array" aca="1" ref="AJ145" ca="1">IFERROR(IF(OR('Raw Data'!AJ145="",LEN(TRIM('Raw Data'!AJ145))=0),"",IF(AND(ISNUMBER('Raw Data'!AJ145), IFERROR('Raw Data'!AJ145 = ROUND('Raw Data'!AJ145, 4),FALSE)),"",_xlfn.REGEXEXTRACT(CELL("address",AJ145), "\$([A-Z]+)\$[0-9]+"))),_xlfn.REGEXEXTRACT(CELL("address",AJ145), "\$([A-Z]+)\$[0-9]+"))</f>
        <v/>
      </c>
      <c r="AK145" s="7" t="str">
        <f t="array" aca="1" ref="AK145" ca="1">IFERROR(IF(OR('Raw Data'!AK145="",LEN(TRIM('Raw Data'!AK145))=0),"",IF(AND(ISNUMBER('Raw Data'!AK145), IFERROR('Raw Data'!AK145 = ROUND('Raw Data'!AK145, 2),FALSE)),"",_xlfn.REGEXEXTRACT(CELL("address",AK145), "\$([A-Z]+)\$[0-9]+"))),_xlfn.REGEXEXTRACT(CELL("address",AK145), "\$([A-Z]+)\$[0-9]+"))</f>
        <v/>
      </c>
      <c r="AL145" s="7" t="str">
        <f t="array" aca="1" ref="AL145" ca="1">IFERROR(IF(OR('Raw Data'!AL145="",LEN(TRIM('Raw Data'!AL145))=0),"",IF(AND(ISNUMBER('Raw Data'!AL145), IFERROR('Raw Data'!AL145 = ROUND('Raw Data'!AL145, 2),FALSE)),"",_xlfn.REGEXEXTRACT(CELL("address",AL145), "\$([A-Z]+)\$[0-9]+"))),_xlfn.REGEXEXTRACT(CELL("address",AL145), "\$([A-Z]+)\$[0-9]+"))</f>
        <v/>
      </c>
      <c r="AM145" s="7" t="str">
        <f t="array" aca="1" ref="AM145" ca="1">IFERROR(IF(OR('Raw Data'!AM145="",LEN(TRIM('Raw Data'!AM145))=0),"",IF(AND(ISNUMBER('Raw Data'!AM145), IFERROR('Raw Data'!AM145 = ROUND('Raw Data'!AM145, 2),FALSE)),"",_xlfn.REGEXEXTRACT(CELL("address",AM145), "\$([A-Z]+)\$[0-9]+"))),_xlfn.REGEXEXTRACT(CELL("address",AM145), "\$([A-Z]+)\$[0-9]+"))</f>
        <v/>
      </c>
      <c r="AN145" s="7" t="str">
        <f t="array" aca="1" ref="AN145" ca="1">IFERROR(IF(OR('Raw Data'!AN145="",LEN(TRIM('Raw Data'!AN145))=0),"",IF(AND(ISNUMBER('Raw Data'!AN145), IFERROR('Raw Data'!AN145 = ROUND('Raw Data'!AN145, 2),FALSE)),"",_xlfn.REGEXEXTRACT(CELL("address",AN145), "\$([A-Z]+)\$[0-9]+"))),_xlfn.REGEXEXTRACT(CELL("address",AN145), "\$([A-Z]+)\$[0-9]+"))</f>
        <v/>
      </c>
      <c r="AO145" s="7" t="str">
        <f t="array" aca="1" ref="AO145" ca="1">IFERROR(IF(OR('Raw Data'!AO145="",LEN(TRIM('Raw Data'!AO145))=0),"",IF(AND(ISNUMBER('Raw Data'!AO145), IFERROR('Raw Data'!AO145 = ROUND('Raw Data'!AO145, 2),FALSE)),"",_xlfn.REGEXEXTRACT(CELL("address",AO145), "\$([A-Z]+)\$[0-9]+"))),_xlfn.REGEXEXTRACT(CELL("address",AO145), "\$([A-Z]+)\$[0-9]+"))</f>
        <v/>
      </c>
      <c r="AP145" s="7" t="str">
        <f t="array" aca="1" ref="AP145" ca="1">IFERROR(IF(OR('Raw Data'!AP145="",LEN(TRIM('Raw Data'!AP145))=0),"",IF(AND(ISNUMBER('Raw Data'!AP145), IFERROR('Raw Data'!AP145 = ROUND('Raw Data'!AP145, 2),FALSE)),"",_xlfn.REGEXEXTRACT(CELL("address",AP145), "\$([A-Z]+)\$[0-9]+"))),_xlfn.REGEXEXTRACT(CELL("address",AP145), "\$([A-Z]+)\$[0-9]+"))</f>
        <v/>
      </c>
    </row>
    <row r="146" spans="2:42" x14ac:dyDescent="0.25">
      <c r="B146" s="7" t="str">
        <f t="array" aca="1" ref="B146" ca="1">IFERROR(IF(OR('Raw Data'!B146="",LEN(TRIM('Raw Data'!B146))=0),"",IF(AND(LEN('Raw Data'!B146) &lt;= 255,LEN('Raw Data'!B146)&gt; 0),"",_xlfn.REGEXEXTRACT(CELL("address",'Raw Data'!B146),"\$([A-Z]+)\$[0-9]+"))),_xlfn.REGEXEXTRACT(CELL("address",'Raw Data'!B146),"\$([A-Z]+)\$[0-9]+"))</f>
        <v/>
      </c>
      <c r="C146" s="7" t="str">
        <f t="array" aca="1" ref="C146" ca="1">IFERROR(IF(OR('Raw Data'!C146="",LEN(TRIM('Raw Data'!C146))=0),"",IF(AND(LEN('Raw Data'!C146) &lt;= 50,LEN('Raw Data'!C146)&gt; 0),"",_xlfn.REGEXEXTRACT(CELL("address",'Raw Data'!C146),"\$([A-Z]+)\$[0-9]+"))),_xlfn.REGEXEXTRACT(CELL("address",'Raw Data'!C146),"\$([A-Z]+)\$[0-9]+"))</f>
        <v/>
      </c>
      <c r="D146" s="7" t="str">
        <f t="array" aca="1" ref="D146" ca="1">IFERROR(IF(OR('Raw Data'!D146="",LEN(TRIM('Raw Data'!D146))=0),"",IF(AND(LEN('Raw Data'!D146) &lt;= 500,LEN('Raw Data'!D146)&gt; 0),"",_xlfn.REGEXEXTRACT(CELL("address",'Raw Data'!D146),"\$([A-Z]+)\$[0-9]+"))),_xlfn.REGEXEXTRACT(CELL("address",'Raw Data'!D146),"\$([A-Z]+)\$[0-9]+"))</f>
        <v/>
      </c>
      <c r="E146" s="7" t="str">
        <f t="array" aca="1" ref="E146" ca="1">IFERROR(IF(OR('Raw Data'!E146="",LEN(TRIM('Raw Data'!E146))=0),"",IF(AND(LEN('Raw Data'!E146) &lt;= 50,LEN('Raw Data'!E146)&gt; 0),"",_xlfn.REGEXEXTRACT(CELL("address",'Raw Data'!E146),"\$([A-Z]+)\$[0-9]+"))),_xlfn.REGEXEXTRACT(CELL("address",'Raw Data'!E146),"\$([A-Z]+)\$[0-9]+"))</f>
        <v/>
      </c>
      <c r="F146" s="7" t="str">
        <f t="array" aca="1" ref="F146" ca="1">IFERROR(IF(OR('Raw Data'!F146="",LEN(TRIM('Raw Data'!F146))=0),"",IF(AND(LEN('Raw Data'!F146) &lt;= 50,LEN('Raw Data'!F146)&gt; 0),"",_xlfn.REGEXEXTRACT(CELL("address",'Raw Data'!F146),"\$([A-Z]+)\$[0-9]+"))),_xlfn.REGEXEXTRACT(CELL("address",'Raw Data'!F146),"\$([A-Z]+)\$[0-9]+"))</f>
        <v/>
      </c>
      <c r="G146" s="7" t="str">
        <f t="array" aca="1" ref="G146" ca="1">IFERROR(IF(OR('Raw Data'!G146="",LEN(TRIM('Raw Data'!G146))=0),"",IF(AND(LEN('Raw Data'!G146) &lt;= 50,LEN('Raw Data'!G146)&gt; 0),"",_xlfn.REGEXEXTRACT(CELL("address",'Raw Data'!G146),"\$([A-Z]+)\$[0-9]+"))),_xlfn.REGEXEXTRACT(CELL("address",'Raw Data'!G146),"\$([A-Z]+)\$[0-9]+"))</f>
        <v/>
      </c>
      <c r="H146" s="7" t="str">
        <f t="array" aca="1" ref="H146" ca="1">IFERROR(IF(OR('Raw Data'!H146="",LEN(TRIM('Raw Data'!H146))=0),"",IF(AND(LEN('Raw Data'!H146) &lt;= 50,LEN('Raw Data'!H146)&gt; 0),"",_xlfn.REGEXEXTRACT(CELL("address",'Raw Data'!H146),"\$([A-Z]+)\$[0-9]+"))),_xlfn.REGEXEXTRACT(CELL("address",'Raw Data'!H146),"\$([A-Z]+)\$[0-9]+"))</f>
        <v/>
      </c>
      <c r="I146" s="7" t="str">
        <f t="array" aca="1" ref="I146" ca="1">IFERROR(IF(OR('Raw Data'!I146="",LEN(TRIM('Raw Data'!I146))=0),"",IF(AND(LEN('Raw Data'!I146) &lt;= 50,LEN('Raw Data'!I146)&gt; 0),"",_xlfn.REGEXEXTRACT(CELL("address",'Raw Data'!I146),"\$([A-Z]+)\$[0-9]+"))),_xlfn.REGEXEXTRACT(CELL("address",'Raw Data'!I146),"\$([A-Z]+)\$[0-9]+"))</f>
        <v/>
      </c>
      <c r="J146" s="7" t="str">
        <f t="array" aca="1" ref="J146" ca="1">IFERROR(IF(OR('Raw Data'!J146="",LEN(TRIM('Raw Data'!J146))=0),"",IF(AND(ISNUMBER('Raw Data'!J146), IFERROR('Raw Data'!J146 = ROUND('Raw Data'!J146, 2),FALSE)),"",_xlfn.REGEXEXTRACT(CELL("address",J146), "\$([A-Z]+)\$[0-9]+"))),_xlfn.REGEXEXTRACT(CELL("address",J146), "\$([A-Z]+)\$[0-9]+"))</f>
        <v/>
      </c>
      <c r="K146" s="7" t="str">
        <f t="array" aca="1" ref="K146" ca="1">IFERROR(IF(OR('Raw Data'!K146="",LEN(TRIM('Raw Data'!K146))=0),"",IF(AND(ISNUMBER('Raw Data'!K146), IFERROR('Raw Data'!K146 = ROUND('Raw Data'!K146, 2),FALSE)),"",_xlfn.REGEXEXTRACT(CELL("address",K146), "\$([A-Z]+)\$[0-9]+"))),_xlfn.REGEXEXTRACT(CELL("address",K146), "\$([A-Z]+)\$[0-9]+"))</f>
        <v/>
      </c>
      <c r="L146" s="7" t="str">
        <f t="array" aca="1" ref="L146" ca="1">IFERROR(IF(OR('Raw Data'!L146="",LEN(TRIM('Raw Data'!L146))=0),"",IF(AND(ISNUMBER('Raw Data'!L146), IFERROR('Raw Data'!L146 = ROUND('Raw Data'!L146, 2),FALSE)),"",_xlfn.REGEXEXTRACT(CELL("address",L146), "\$([A-Z]+)\$[0-9]+"))),_xlfn.REGEXEXTRACT(CELL("address",L146), "\$([A-Z]+)\$[0-9]+"))</f>
        <v/>
      </c>
      <c r="M146" s="7" t="str">
        <f t="array" aca="1" ref="M146" ca="1">IFERROR(IF(OR('Raw Data'!M146="",LEN(TRIM('Raw Data'!M146))=0),"",IF(AND(ISNUMBER('Raw Data'!M146), IFERROR('Raw Data'!M146 = ROUND('Raw Data'!M146, 2),FALSE)),"",_xlfn.REGEXEXTRACT(CELL("address",M146), "\$([A-Z]+)\$[0-9]+"))),_xlfn.REGEXEXTRACT(CELL("address",M146), "\$([A-Z]+)\$[0-9]+"))</f>
        <v/>
      </c>
      <c r="N146" s="7" t="str">
        <f t="array" aca="1" ref="N146" ca="1">IFERROR(IF(OR('Raw Data'!N146="",LEN(TRIM('Raw Data'!N146))=0),"",IF(AND(ISNUMBER('Raw Data'!N146), IFERROR('Raw Data'!N146 = ROUND('Raw Data'!N146, 2),FALSE)),"",_xlfn.REGEXEXTRACT(CELL("address",N146), "\$([A-Z]+)\$[0-9]+"))),_xlfn.REGEXEXTRACT(CELL("address",N146), "\$([A-Z]+)\$[0-9]+"))</f>
        <v/>
      </c>
      <c r="O146" s="7" t="str">
        <f t="array" aca="1" ref="O146" ca="1">IFERROR(IF(OR('Raw Data'!O146="",LEN(TRIM('Raw Data'!O146))=0),"",IF(AND(ISNUMBER('Raw Data'!O146),'Raw Data'!O146&gt;=Configuration!$D$2),"",_xlfn.REGEXEXTRACT(CELL("address",'Raw Data'!O146),"\$([A-Z]+)\$[0-9]+"))),_xlfn.REGEXEXTRACT(CELL("address",O146), "\$([A-Z]+)\$[0-9]+"))</f>
        <v/>
      </c>
      <c r="P146" s="7" t="str">
        <f t="array" aca="1" ref="P146" ca="1">IFERROR(IF(OR('Raw Data'!P146="",LEN(TRIM('Raw Data'!P146))=0),"",IF(AND(ISNUMBER('Raw Data'!P146), IFERROR('Raw Data'!P146 = ROUND('Raw Data'!P146, 2),FALSE)),"",_xlfn.REGEXEXTRACT(CELL("address",P146), "\$([A-Z]+)\$[0-9]+"))),_xlfn.REGEXEXTRACT(CELL("address",P146), "\$([A-Z]+)\$[0-9]+"))</f>
        <v/>
      </c>
      <c r="Q146" s="7" t="str">
        <f t="array" aca="1" ref="Q146" ca="1">IFERROR(IF(OR('Raw Data'!Q146="",LEN(TRIM('Raw Data'!Q146))=0),"",IF(AND(ISNUMBER('Raw Data'!Q146), IFERROR('Raw Data'!Q146 = ROUND('Raw Data'!Q146, 2),FALSE)),"",_xlfn.REGEXEXTRACT(CELL("address",Q146), "\$([A-Z]+)\$[0-9]+"))),_xlfn.REGEXEXTRACT(CELL("address",Q146), "\$([A-Z]+)\$[0-9]+"))</f>
        <v/>
      </c>
      <c r="R146" s="7" t="str">
        <f t="array" aca="1" ref="R146" ca="1">IFERROR(IF(OR('Raw Data'!R146="",LEN(TRIM('Raw Data'!R146))=0),"",IF(AND(LEN('Raw Data'!R146) &lt;= 50,LEN('Raw Data'!R146)&gt; 0),"",_xlfn.REGEXEXTRACT(CELL("address",'Raw Data'!R146),"\$([A-Z]+)\$[0-9]+"))),_xlfn.REGEXEXTRACT(CELL("address",'Raw Data'!R146),"\$([A-Z]+)\$[0-9]+"))</f>
        <v/>
      </c>
      <c r="S146" s="7" t="str">
        <f t="array" aca="1" ref="S146" ca="1">IFERROR(IF(OR('Raw Data'!S146="",LEN(TRIM('Raw Data'!S146))=0),"",IF(AND(LEN('Raw Data'!S146) &lt;= 50,LEN('Raw Data'!S146)&gt; 0),"",_xlfn.REGEXEXTRACT(CELL("address",'Raw Data'!S146),"\$([A-Z]+)\$[0-9]+"))),_xlfn.REGEXEXTRACT(CELL("address",'Raw Data'!S146),"\$([A-Z]+)\$[0-9]+"))</f>
        <v/>
      </c>
      <c r="T146" s="7" t="str">
        <f t="array" aca="1" ref="T146" ca="1">IFERROR(IF(OR('Raw Data'!T146="",LEN(TRIM('Raw Data'!T146))=0),"",IF(AND(ISNUMBER('Raw Data'!T146), IFERROR('Raw Data'!T146 = ROUND('Raw Data'!T146, 2),FALSE)),"",_xlfn.REGEXEXTRACT(CELL("address",T146), "\$([A-Z]+)\$[0-9]+"))),_xlfn.REGEXEXTRACT(CELL("address",T146), "\$([A-Z]+)\$[0-9]+"))</f>
        <v/>
      </c>
      <c r="U146" s="7" t="str">
        <f t="array" aca="1" ref="U146" ca="1">IFERROR(IF(OR('Raw Data'!U146="",LEN(TRIM('Raw Data'!U146))=0),"",IF(AND(ISNUMBER('Raw Data'!U146), IFERROR('Raw Data'!U146 = ROUND('Raw Data'!U146, 2),FALSE)),"",_xlfn.REGEXEXTRACT(CELL("address",U146), "\$([A-Z]+)\$[0-9]+"))),_xlfn.REGEXEXTRACT(CELL("address",U146), "\$([A-Z]+)\$[0-9]+"))</f>
        <v/>
      </c>
      <c r="V146" s="7" t="str">
        <f t="array" aca="1" ref="V146" ca="1">IFERROR(IF(OR('Raw Data'!V146="",LEN(TRIM('Raw Data'!V146))=0),"",IF(AND(ISNUMBER('Raw Data'!V146), IFERROR('Raw Data'!V146 = ROUND('Raw Data'!V146, 2),FALSE)),"",_xlfn.REGEXEXTRACT(CELL("address",V146), "\$([A-Z]+)\$[0-9]+"))),_xlfn.REGEXEXTRACT(CELL("address",V146), "\$([A-Z]+)\$[0-9]+"))</f>
        <v/>
      </c>
      <c r="W146" s="7" t="str">
        <f t="array" aca="1" ref="W146" ca="1">IFERROR(IF(OR('Raw Data'!W146="",LEN(TRIM('Raw Data'!W146))=0),"",IF(AND(ISNUMBER('Raw Data'!W146), IFERROR('Raw Data'!W146 = ROUND('Raw Data'!W146, 2),FALSE)),"",_xlfn.REGEXEXTRACT(CELL("address",W146), "\$([A-Z]+)\$[0-9]+"))),_xlfn.REGEXEXTRACT(CELL("address",W146), "\$([A-Z]+)\$[0-9]+"))</f>
        <v/>
      </c>
      <c r="X146" s="7" t="str">
        <f t="array" aca="1" ref="X146" ca="1">IFERROR(IF(OR('Raw Data'!X146="",LEN(TRIM('Raw Data'!X146))=0),"",IF(AND(ISNUMBER('Raw Data'!X146), IFERROR('Raw Data'!X146 = ROUND('Raw Data'!X146, 2),FALSE)),"",_xlfn.REGEXEXTRACT(CELL("address",X146), "\$([A-Z]+)\$[0-9]+"))),_xlfn.REGEXEXTRACT(CELL("address",X146), "\$([A-Z]+)\$[0-9]+"))</f>
        <v/>
      </c>
      <c r="Y146" s="7" t="str">
        <f t="array" aca="1" ref="Y146" ca="1">IFERROR(IF(OR('Raw Data'!Y146="",LEN(TRIM('Raw Data'!Y146))=0),"",IF(AND(ISNUMBER('Raw Data'!Y146), IFERROR('Raw Data'!Y146 = ROUND('Raw Data'!Y146, 2),FALSE)),"",_xlfn.REGEXEXTRACT(CELL("address",Y146), "\$([A-Z]+)\$[0-9]+"))),_xlfn.REGEXEXTRACT(CELL("address",Y146), "\$([A-Z]+)\$[0-9]+"))</f>
        <v/>
      </c>
      <c r="Z146" s="7" t="str">
        <f t="array" aca="1" ref="Z146" ca="1">IFERROR(IF(OR('Raw Data'!Z146="",LEN(TRIM('Raw Data'!Z146))=0),"",IF(AND(ISNUMBER('Raw Data'!Z146), IFERROR('Raw Data'!Z146 = ROUND('Raw Data'!Z146, 2),FALSE)),"",_xlfn.REGEXEXTRACT(CELL("address",Z146), "\$([A-Z]+)\$[0-9]+"))),_xlfn.REGEXEXTRACT(CELL("address",Z146), "\$([A-Z]+)\$[0-9]+"))</f>
        <v/>
      </c>
      <c r="AA146" s="7" t="str">
        <f t="array" aca="1" ref="AA146" ca="1">IFERROR(IF(OR('Raw Data'!AA146="",LEN(TRIM('Raw Data'!AA146))=0),"",IF(AND(ISNUMBER('Raw Data'!AA146), IFERROR('Raw Data'!AA146 = ROUND('Raw Data'!AA146, 2),FALSE)),"",_xlfn.REGEXEXTRACT(CELL("address",AA146), "\$([A-Z]+)\$[0-9]+"))),_xlfn.REGEXEXTRACT(CELL("address",AA146), "\$([A-Z]+)\$[0-9]+"))</f>
        <v/>
      </c>
      <c r="AB146" s="7" t="str">
        <f t="array" aca="1" ref="AB146" ca="1">IFERROR(IF(OR('Raw Data'!AB146="",LEN(TRIM('Raw Data'!AB146))=0),"",IF(AND(ISNUMBER('Raw Data'!AB146), IFERROR('Raw Data'!AB146 = ROUND('Raw Data'!AB146, 2),FALSE)),"",_xlfn.REGEXEXTRACT(CELL("address",AB146), "\$([A-Z]+)\$[0-9]+"))),_xlfn.REGEXEXTRACT(CELL("address",AB146), "\$([A-Z]+)\$[0-9]+"))</f>
        <v/>
      </c>
      <c r="AC146" s="7" t="str">
        <f t="array" aca="1" ref="AC146" ca="1">IFERROR(IF(OR('Raw Data'!AC146="",LEN(TRIM('Raw Data'!AC146))=0),"",IF(AND(ISNUMBER('Raw Data'!AC146), IFERROR('Raw Data'!AC146 = ROUND('Raw Data'!AC146, 2),FALSE)),"",_xlfn.REGEXEXTRACT(CELL("address",AC146), "\$([A-Z]+)\$[0-9]+"))),_xlfn.REGEXEXTRACT(CELL("address",AC146), "\$([A-Z]+)\$[0-9]+"))</f>
        <v/>
      </c>
      <c r="AD146" s="7" t="str">
        <f t="array" aca="1" ref="AD146" ca="1">IFERROR(IF(OR('Raw Data'!AD146="",LEN(TRIM('Raw Data'!AD146))=0),"",IF(AND(ISNUMBER('Raw Data'!AD146), IFERROR('Raw Data'!AD146 = ROUND('Raw Data'!AD146, 2),FALSE)),"",_xlfn.REGEXEXTRACT(CELL("address",AD146), "\$([A-Z]+)\$[0-9]+"))),_xlfn.REGEXEXTRACT(CELL("address",AD146), "\$([A-Z]+)\$[0-9]+"))</f>
        <v/>
      </c>
      <c r="AE146" s="7" t="str">
        <f t="array" aca="1" ref="AE146" ca="1">IFERROR(IF(OR('Raw Data'!AE146="",LEN(TRIM('Raw Data'!AE146))=0),"",IF(AND(ISNUMBER('Raw Data'!AE146), IFERROR('Raw Data'!AE146 = ROUND('Raw Data'!AE146, 2),FALSE)),"",_xlfn.REGEXEXTRACT(CELL("address",AE146), "\$([A-Z]+)\$[0-9]+"))),_xlfn.REGEXEXTRACT(CELL("address",AE146), "\$([A-Z]+)\$[0-9]+"))</f>
        <v/>
      </c>
      <c r="AF146" s="7" t="str">
        <f t="array" aca="1" ref="AF146" ca="1">IFERROR(IF(OR('Raw Data'!AF146="",LEN(TRIM('Raw Data'!AF146))=0),"",IF(AND(ISNUMBER('Raw Data'!AF146), IFERROR('Raw Data'!AF146 = ROUND('Raw Data'!AF146, 2),FALSE)),"",_xlfn.REGEXEXTRACT(CELL("address",AF146), "\$([A-Z]+)\$[0-9]+"))),_xlfn.REGEXEXTRACT(CELL("address",AF146), "\$([A-Z]+)\$[0-9]+"))</f>
        <v/>
      </c>
      <c r="AG146" s="7" t="str">
        <f t="array" aca="1" ref="AG146" ca="1">IFERROR(IF(OR('Raw Data'!AG146="",LEN(TRIM('Raw Data'!AG146))=0),"",IF(AND(ISNUMBER('Raw Data'!AG146), IFERROR('Raw Data'!AG146 = ROUND('Raw Data'!AG146, 2),FALSE)),"",_xlfn.REGEXEXTRACT(CELL("address",AG146), "\$([A-Z]+)\$[0-9]+"))),_xlfn.REGEXEXTRACT(CELL("address",AG146), "\$([A-Z]+)\$[0-9]+"))</f>
        <v/>
      </c>
      <c r="AH146" s="7" t="str">
        <f t="array" aca="1" ref="AH146" ca="1">IFERROR(IF(OR('Raw Data'!AH146="",LEN(TRIM('Raw Data'!AH146))=0),"",IF(AND(ISNUMBER('Raw Data'!AH146), IFERROR('Raw Data'!AH146 = ROUND('Raw Data'!AH146, 2),FALSE)),"",_xlfn.REGEXEXTRACT(CELL("address",AH146), "\$([A-Z]+)\$[0-9]+"))),_xlfn.REGEXEXTRACT(CELL("address",AH146), "\$([A-Z]+)\$[0-9]+"))</f>
        <v/>
      </c>
      <c r="AI146" s="7" t="str">
        <f t="array" aca="1" ref="AI146" ca="1">IFERROR(IF(OR('Raw Data'!AI146="",LEN(TRIM('Raw Data'!AI146))=0),"",IF(AND(ISNUMBER('Raw Data'!AI146), IFERROR('Raw Data'!AI146 = ROUND('Raw Data'!AI146, 2),FALSE)),"",_xlfn.REGEXEXTRACT(CELL("address",AI146), "\$([A-Z]+)\$[0-9]+"))),_xlfn.REGEXEXTRACT(CELL("address",AI146), "\$([A-Z]+)\$[0-9]+"))</f>
        <v/>
      </c>
      <c r="AJ146" s="7" t="str">
        <f t="array" aca="1" ref="AJ146" ca="1">IFERROR(IF(OR('Raw Data'!AJ146="",LEN(TRIM('Raw Data'!AJ146))=0),"",IF(AND(ISNUMBER('Raw Data'!AJ146), IFERROR('Raw Data'!AJ146 = ROUND('Raw Data'!AJ146, 4),FALSE)),"",_xlfn.REGEXEXTRACT(CELL("address",AJ146), "\$([A-Z]+)\$[0-9]+"))),_xlfn.REGEXEXTRACT(CELL("address",AJ146), "\$([A-Z]+)\$[0-9]+"))</f>
        <v/>
      </c>
      <c r="AK146" s="7" t="str">
        <f t="array" aca="1" ref="AK146" ca="1">IFERROR(IF(OR('Raw Data'!AK146="",LEN(TRIM('Raw Data'!AK146))=0),"",IF(AND(ISNUMBER('Raw Data'!AK146), IFERROR('Raw Data'!AK146 = ROUND('Raw Data'!AK146, 2),FALSE)),"",_xlfn.REGEXEXTRACT(CELL("address",AK146), "\$([A-Z]+)\$[0-9]+"))),_xlfn.REGEXEXTRACT(CELL("address",AK146), "\$([A-Z]+)\$[0-9]+"))</f>
        <v/>
      </c>
      <c r="AL146" s="7" t="str">
        <f t="array" aca="1" ref="AL146" ca="1">IFERROR(IF(OR('Raw Data'!AL146="",LEN(TRIM('Raw Data'!AL146))=0),"",IF(AND(ISNUMBER('Raw Data'!AL146), IFERROR('Raw Data'!AL146 = ROUND('Raw Data'!AL146, 2),FALSE)),"",_xlfn.REGEXEXTRACT(CELL("address",AL146), "\$([A-Z]+)\$[0-9]+"))),_xlfn.REGEXEXTRACT(CELL("address",AL146), "\$([A-Z]+)\$[0-9]+"))</f>
        <v/>
      </c>
      <c r="AM146" s="7" t="str">
        <f t="array" aca="1" ref="AM146" ca="1">IFERROR(IF(OR('Raw Data'!AM146="",LEN(TRIM('Raw Data'!AM146))=0),"",IF(AND(ISNUMBER('Raw Data'!AM146), IFERROR('Raw Data'!AM146 = ROUND('Raw Data'!AM146, 2),FALSE)),"",_xlfn.REGEXEXTRACT(CELL("address",AM146), "\$([A-Z]+)\$[0-9]+"))),_xlfn.REGEXEXTRACT(CELL("address",AM146), "\$([A-Z]+)\$[0-9]+"))</f>
        <v/>
      </c>
      <c r="AN146" s="7" t="str">
        <f t="array" aca="1" ref="AN146" ca="1">IFERROR(IF(OR('Raw Data'!AN146="",LEN(TRIM('Raw Data'!AN146))=0),"",IF(AND(ISNUMBER('Raw Data'!AN146), IFERROR('Raw Data'!AN146 = ROUND('Raw Data'!AN146, 2),FALSE)),"",_xlfn.REGEXEXTRACT(CELL("address",AN146), "\$([A-Z]+)\$[0-9]+"))),_xlfn.REGEXEXTRACT(CELL("address",AN146), "\$([A-Z]+)\$[0-9]+"))</f>
        <v/>
      </c>
      <c r="AO146" s="7" t="str">
        <f t="array" aca="1" ref="AO146" ca="1">IFERROR(IF(OR('Raw Data'!AO146="",LEN(TRIM('Raw Data'!AO146))=0),"",IF(AND(ISNUMBER('Raw Data'!AO146), IFERROR('Raw Data'!AO146 = ROUND('Raw Data'!AO146, 2),FALSE)),"",_xlfn.REGEXEXTRACT(CELL("address",AO146), "\$([A-Z]+)\$[0-9]+"))),_xlfn.REGEXEXTRACT(CELL("address",AO146), "\$([A-Z]+)\$[0-9]+"))</f>
        <v/>
      </c>
      <c r="AP146" s="7" t="str">
        <f t="array" aca="1" ref="AP146" ca="1">IFERROR(IF(OR('Raw Data'!AP146="",LEN(TRIM('Raw Data'!AP146))=0),"",IF(AND(ISNUMBER('Raw Data'!AP146), IFERROR('Raw Data'!AP146 = ROUND('Raw Data'!AP146, 2),FALSE)),"",_xlfn.REGEXEXTRACT(CELL("address",AP146), "\$([A-Z]+)\$[0-9]+"))),_xlfn.REGEXEXTRACT(CELL("address",AP146), "\$([A-Z]+)\$[0-9]+"))</f>
        <v/>
      </c>
    </row>
    <row r="147" spans="2:42" x14ac:dyDescent="0.25">
      <c r="B147" s="7" t="str">
        <f t="array" aca="1" ref="B147" ca="1">IFERROR(IF(OR('Raw Data'!B147="",LEN(TRIM('Raw Data'!B147))=0),"",IF(AND(LEN('Raw Data'!B147) &lt;= 255,LEN('Raw Data'!B147)&gt; 0),"",_xlfn.REGEXEXTRACT(CELL("address",'Raw Data'!B147),"\$([A-Z]+)\$[0-9]+"))),_xlfn.REGEXEXTRACT(CELL("address",'Raw Data'!B147),"\$([A-Z]+)\$[0-9]+"))</f>
        <v/>
      </c>
      <c r="C147" s="7" t="str">
        <f t="array" aca="1" ref="C147" ca="1">IFERROR(IF(OR('Raw Data'!C147="",LEN(TRIM('Raw Data'!C147))=0),"",IF(AND(LEN('Raw Data'!C147) &lt;= 50,LEN('Raw Data'!C147)&gt; 0),"",_xlfn.REGEXEXTRACT(CELL("address",'Raw Data'!C147),"\$([A-Z]+)\$[0-9]+"))),_xlfn.REGEXEXTRACT(CELL("address",'Raw Data'!C147),"\$([A-Z]+)\$[0-9]+"))</f>
        <v/>
      </c>
      <c r="D147" s="7" t="str">
        <f t="array" aca="1" ref="D147" ca="1">IFERROR(IF(OR('Raw Data'!D147="",LEN(TRIM('Raw Data'!D147))=0),"",IF(AND(LEN('Raw Data'!D147) &lt;= 500,LEN('Raw Data'!D147)&gt; 0),"",_xlfn.REGEXEXTRACT(CELL("address",'Raw Data'!D147),"\$([A-Z]+)\$[0-9]+"))),_xlfn.REGEXEXTRACT(CELL("address",'Raw Data'!D147),"\$([A-Z]+)\$[0-9]+"))</f>
        <v/>
      </c>
      <c r="E147" s="7" t="str">
        <f t="array" aca="1" ref="E147" ca="1">IFERROR(IF(OR('Raw Data'!E147="",LEN(TRIM('Raw Data'!E147))=0),"",IF(AND(LEN('Raw Data'!E147) &lt;= 50,LEN('Raw Data'!E147)&gt; 0),"",_xlfn.REGEXEXTRACT(CELL("address",'Raw Data'!E147),"\$([A-Z]+)\$[0-9]+"))),_xlfn.REGEXEXTRACT(CELL("address",'Raw Data'!E147),"\$([A-Z]+)\$[0-9]+"))</f>
        <v/>
      </c>
      <c r="F147" s="7" t="str">
        <f t="array" aca="1" ref="F147" ca="1">IFERROR(IF(OR('Raw Data'!F147="",LEN(TRIM('Raw Data'!F147))=0),"",IF(AND(LEN('Raw Data'!F147) &lt;= 50,LEN('Raw Data'!F147)&gt; 0),"",_xlfn.REGEXEXTRACT(CELL("address",'Raw Data'!F147),"\$([A-Z]+)\$[0-9]+"))),_xlfn.REGEXEXTRACT(CELL("address",'Raw Data'!F147),"\$([A-Z]+)\$[0-9]+"))</f>
        <v/>
      </c>
      <c r="G147" s="7" t="str">
        <f t="array" aca="1" ref="G147" ca="1">IFERROR(IF(OR('Raw Data'!G147="",LEN(TRIM('Raw Data'!G147))=0),"",IF(AND(LEN('Raw Data'!G147) &lt;= 50,LEN('Raw Data'!G147)&gt; 0),"",_xlfn.REGEXEXTRACT(CELL("address",'Raw Data'!G147),"\$([A-Z]+)\$[0-9]+"))),_xlfn.REGEXEXTRACT(CELL("address",'Raw Data'!G147),"\$([A-Z]+)\$[0-9]+"))</f>
        <v/>
      </c>
      <c r="H147" s="7" t="str">
        <f t="array" aca="1" ref="H147" ca="1">IFERROR(IF(OR('Raw Data'!H147="",LEN(TRIM('Raw Data'!H147))=0),"",IF(AND(LEN('Raw Data'!H147) &lt;= 50,LEN('Raw Data'!H147)&gt; 0),"",_xlfn.REGEXEXTRACT(CELL("address",'Raw Data'!H147),"\$([A-Z]+)\$[0-9]+"))),_xlfn.REGEXEXTRACT(CELL("address",'Raw Data'!H147),"\$([A-Z]+)\$[0-9]+"))</f>
        <v/>
      </c>
      <c r="I147" s="7" t="str">
        <f t="array" aca="1" ref="I147" ca="1">IFERROR(IF(OR('Raw Data'!I147="",LEN(TRIM('Raw Data'!I147))=0),"",IF(AND(LEN('Raw Data'!I147) &lt;= 50,LEN('Raw Data'!I147)&gt; 0),"",_xlfn.REGEXEXTRACT(CELL("address",'Raw Data'!I147),"\$([A-Z]+)\$[0-9]+"))),_xlfn.REGEXEXTRACT(CELL("address",'Raw Data'!I147),"\$([A-Z]+)\$[0-9]+"))</f>
        <v/>
      </c>
      <c r="J147" s="7" t="str">
        <f t="array" aca="1" ref="J147" ca="1">IFERROR(IF(OR('Raw Data'!J147="",LEN(TRIM('Raw Data'!J147))=0),"",IF(AND(ISNUMBER('Raw Data'!J147), IFERROR('Raw Data'!J147 = ROUND('Raw Data'!J147, 2),FALSE)),"",_xlfn.REGEXEXTRACT(CELL("address",J147), "\$([A-Z]+)\$[0-9]+"))),_xlfn.REGEXEXTRACT(CELL("address",J147), "\$([A-Z]+)\$[0-9]+"))</f>
        <v/>
      </c>
      <c r="K147" s="7" t="str">
        <f t="array" aca="1" ref="K147" ca="1">IFERROR(IF(OR('Raw Data'!K147="",LEN(TRIM('Raw Data'!K147))=0),"",IF(AND(ISNUMBER('Raw Data'!K147), IFERROR('Raw Data'!K147 = ROUND('Raw Data'!K147, 2),FALSE)),"",_xlfn.REGEXEXTRACT(CELL("address",K147), "\$([A-Z]+)\$[0-9]+"))),_xlfn.REGEXEXTRACT(CELL("address",K147), "\$([A-Z]+)\$[0-9]+"))</f>
        <v/>
      </c>
      <c r="L147" s="7" t="str">
        <f t="array" aca="1" ref="L147" ca="1">IFERROR(IF(OR('Raw Data'!L147="",LEN(TRIM('Raw Data'!L147))=0),"",IF(AND(ISNUMBER('Raw Data'!L147), IFERROR('Raw Data'!L147 = ROUND('Raw Data'!L147, 2),FALSE)),"",_xlfn.REGEXEXTRACT(CELL("address",L147), "\$([A-Z]+)\$[0-9]+"))),_xlfn.REGEXEXTRACT(CELL("address",L147), "\$([A-Z]+)\$[0-9]+"))</f>
        <v/>
      </c>
      <c r="M147" s="7" t="str">
        <f t="array" aca="1" ref="M147" ca="1">IFERROR(IF(OR('Raw Data'!M147="",LEN(TRIM('Raw Data'!M147))=0),"",IF(AND(ISNUMBER('Raw Data'!M147), IFERROR('Raw Data'!M147 = ROUND('Raw Data'!M147, 2),FALSE)),"",_xlfn.REGEXEXTRACT(CELL("address",M147), "\$([A-Z]+)\$[0-9]+"))),_xlfn.REGEXEXTRACT(CELL("address",M147), "\$([A-Z]+)\$[0-9]+"))</f>
        <v/>
      </c>
      <c r="N147" s="7" t="str">
        <f t="array" aca="1" ref="N147" ca="1">IFERROR(IF(OR('Raw Data'!N147="",LEN(TRIM('Raw Data'!N147))=0),"",IF(AND(ISNUMBER('Raw Data'!N147), IFERROR('Raw Data'!N147 = ROUND('Raw Data'!N147, 2),FALSE)),"",_xlfn.REGEXEXTRACT(CELL("address",N147), "\$([A-Z]+)\$[0-9]+"))),_xlfn.REGEXEXTRACT(CELL("address",N147), "\$([A-Z]+)\$[0-9]+"))</f>
        <v/>
      </c>
      <c r="O147" s="7" t="str">
        <f t="array" aca="1" ref="O147" ca="1">IFERROR(IF(OR('Raw Data'!O147="",LEN(TRIM('Raw Data'!O147))=0),"",IF(AND(ISNUMBER('Raw Data'!O147),'Raw Data'!O147&gt;=Configuration!$D$2),"",_xlfn.REGEXEXTRACT(CELL("address",'Raw Data'!O147),"\$([A-Z]+)\$[0-9]+"))),_xlfn.REGEXEXTRACT(CELL("address",O147), "\$([A-Z]+)\$[0-9]+"))</f>
        <v/>
      </c>
      <c r="P147" s="7" t="str">
        <f t="array" aca="1" ref="P147" ca="1">IFERROR(IF(OR('Raw Data'!P147="",LEN(TRIM('Raw Data'!P147))=0),"",IF(AND(ISNUMBER('Raw Data'!P147), IFERROR('Raw Data'!P147 = ROUND('Raw Data'!P147, 2),FALSE)),"",_xlfn.REGEXEXTRACT(CELL("address",P147), "\$([A-Z]+)\$[0-9]+"))),_xlfn.REGEXEXTRACT(CELL("address",P147), "\$([A-Z]+)\$[0-9]+"))</f>
        <v/>
      </c>
      <c r="Q147" s="7" t="str">
        <f t="array" aca="1" ref="Q147" ca="1">IFERROR(IF(OR('Raw Data'!Q147="",LEN(TRIM('Raw Data'!Q147))=0),"",IF(AND(ISNUMBER('Raw Data'!Q147), IFERROR('Raw Data'!Q147 = ROUND('Raw Data'!Q147, 2),FALSE)),"",_xlfn.REGEXEXTRACT(CELL("address",Q147), "\$([A-Z]+)\$[0-9]+"))),_xlfn.REGEXEXTRACT(CELL("address",Q147), "\$([A-Z]+)\$[0-9]+"))</f>
        <v/>
      </c>
      <c r="R147" s="7" t="str">
        <f t="array" aca="1" ref="R147" ca="1">IFERROR(IF(OR('Raw Data'!R147="",LEN(TRIM('Raw Data'!R147))=0),"",IF(AND(LEN('Raw Data'!R147) &lt;= 50,LEN('Raw Data'!R147)&gt; 0),"",_xlfn.REGEXEXTRACT(CELL("address",'Raw Data'!R147),"\$([A-Z]+)\$[0-9]+"))),_xlfn.REGEXEXTRACT(CELL("address",'Raw Data'!R147),"\$([A-Z]+)\$[0-9]+"))</f>
        <v/>
      </c>
      <c r="S147" s="7" t="str">
        <f t="array" aca="1" ref="S147" ca="1">IFERROR(IF(OR('Raw Data'!S147="",LEN(TRIM('Raw Data'!S147))=0),"",IF(AND(LEN('Raw Data'!S147) &lt;= 50,LEN('Raw Data'!S147)&gt; 0),"",_xlfn.REGEXEXTRACT(CELL("address",'Raw Data'!S147),"\$([A-Z]+)\$[0-9]+"))),_xlfn.REGEXEXTRACT(CELL("address",'Raw Data'!S147),"\$([A-Z]+)\$[0-9]+"))</f>
        <v/>
      </c>
      <c r="T147" s="7" t="str">
        <f t="array" aca="1" ref="T147" ca="1">IFERROR(IF(OR('Raw Data'!T147="",LEN(TRIM('Raw Data'!T147))=0),"",IF(AND(ISNUMBER('Raw Data'!T147), IFERROR('Raw Data'!T147 = ROUND('Raw Data'!T147, 2),FALSE)),"",_xlfn.REGEXEXTRACT(CELL("address",T147), "\$([A-Z]+)\$[0-9]+"))),_xlfn.REGEXEXTRACT(CELL("address",T147), "\$([A-Z]+)\$[0-9]+"))</f>
        <v/>
      </c>
      <c r="U147" s="7" t="str">
        <f t="array" aca="1" ref="U147" ca="1">IFERROR(IF(OR('Raw Data'!U147="",LEN(TRIM('Raw Data'!U147))=0),"",IF(AND(ISNUMBER('Raw Data'!U147), IFERROR('Raw Data'!U147 = ROUND('Raw Data'!U147, 2),FALSE)),"",_xlfn.REGEXEXTRACT(CELL("address",U147), "\$([A-Z]+)\$[0-9]+"))),_xlfn.REGEXEXTRACT(CELL("address",U147), "\$([A-Z]+)\$[0-9]+"))</f>
        <v/>
      </c>
      <c r="V147" s="7" t="str">
        <f t="array" aca="1" ref="V147" ca="1">IFERROR(IF(OR('Raw Data'!V147="",LEN(TRIM('Raw Data'!V147))=0),"",IF(AND(ISNUMBER('Raw Data'!V147), IFERROR('Raw Data'!V147 = ROUND('Raw Data'!V147, 2),FALSE)),"",_xlfn.REGEXEXTRACT(CELL("address",V147), "\$([A-Z]+)\$[0-9]+"))),_xlfn.REGEXEXTRACT(CELL("address",V147), "\$([A-Z]+)\$[0-9]+"))</f>
        <v/>
      </c>
      <c r="W147" s="7" t="str">
        <f t="array" aca="1" ref="W147" ca="1">IFERROR(IF(OR('Raw Data'!W147="",LEN(TRIM('Raw Data'!W147))=0),"",IF(AND(ISNUMBER('Raw Data'!W147), IFERROR('Raw Data'!W147 = ROUND('Raw Data'!W147, 2),FALSE)),"",_xlfn.REGEXEXTRACT(CELL("address",W147), "\$([A-Z]+)\$[0-9]+"))),_xlfn.REGEXEXTRACT(CELL("address",W147), "\$([A-Z]+)\$[0-9]+"))</f>
        <v/>
      </c>
      <c r="X147" s="7" t="str">
        <f t="array" aca="1" ref="X147" ca="1">IFERROR(IF(OR('Raw Data'!X147="",LEN(TRIM('Raw Data'!X147))=0),"",IF(AND(ISNUMBER('Raw Data'!X147), IFERROR('Raw Data'!X147 = ROUND('Raw Data'!X147, 2),FALSE)),"",_xlfn.REGEXEXTRACT(CELL("address",X147), "\$([A-Z]+)\$[0-9]+"))),_xlfn.REGEXEXTRACT(CELL("address",X147), "\$([A-Z]+)\$[0-9]+"))</f>
        <v/>
      </c>
      <c r="Y147" s="7" t="str">
        <f t="array" aca="1" ref="Y147" ca="1">IFERROR(IF(OR('Raw Data'!Y147="",LEN(TRIM('Raw Data'!Y147))=0),"",IF(AND(ISNUMBER('Raw Data'!Y147), IFERROR('Raw Data'!Y147 = ROUND('Raw Data'!Y147, 2),FALSE)),"",_xlfn.REGEXEXTRACT(CELL("address",Y147), "\$([A-Z]+)\$[0-9]+"))),_xlfn.REGEXEXTRACT(CELL("address",Y147), "\$([A-Z]+)\$[0-9]+"))</f>
        <v/>
      </c>
      <c r="Z147" s="7" t="str">
        <f t="array" aca="1" ref="Z147" ca="1">IFERROR(IF(OR('Raw Data'!Z147="",LEN(TRIM('Raw Data'!Z147))=0),"",IF(AND(ISNUMBER('Raw Data'!Z147), IFERROR('Raw Data'!Z147 = ROUND('Raw Data'!Z147, 2),FALSE)),"",_xlfn.REGEXEXTRACT(CELL("address",Z147), "\$([A-Z]+)\$[0-9]+"))),_xlfn.REGEXEXTRACT(CELL("address",Z147), "\$([A-Z]+)\$[0-9]+"))</f>
        <v/>
      </c>
      <c r="AA147" s="7" t="str">
        <f t="array" aca="1" ref="AA147" ca="1">IFERROR(IF(OR('Raw Data'!AA147="",LEN(TRIM('Raw Data'!AA147))=0),"",IF(AND(ISNUMBER('Raw Data'!AA147), IFERROR('Raw Data'!AA147 = ROUND('Raw Data'!AA147, 2),FALSE)),"",_xlfn.REGEXEXTRACT(CELL("address",AA147), "\$([A-Z]+)\$[0-9]+"))),_xlfn.REGEXEXTRACT(CELL("address",AA147), "\$([A-Z]+)\$[0-9]+"))</f>
        <v/>
      </c>
      <c r="AB147" s="7" t="str">
        <f t="array" aca="1" ref="AB147" ca="1">IFERROR(IF(OR('Raw Data'!AB147="",LEN(TRIM('Raw Data'!AB147))=0),"",IF(AND(ISNUMBER('Raw Data'!AB147), IFERROR('Raw Data'!AB147 = ROUND('Raw Data'!AB147, 2),FALSE)),"",_xlfn.REGEXEXTRACT(CELL("address",AB147), "\$([A-Z]+)\$[0-9]+"))),_xlfn.REGEXEXTRACT(CELL("address",AB147), "\$([A-Z]+)\$[0-9]+"))</f>
        <v/>
      </c>
      <c r="AC147" s="7" t="str">
        <f t="array" aca="1" ref="AC147" ca="1">IFERROR(IF(OR('Raw Data'!AC147="",LEN(TRIM('Raw Data'!AC147))=0),"",IF(AND(ISNUMBER('Raw Data'!AC147), IFERROR('Raw Data'!AC147 = ROUND('Raw Data'!AC147, 2),FALSE)),"",_xlfn.REGEXEXTRACT(CELL("address",AC147), "\$([A-Z]+)\$[0-9]+"))),_xlfn.REGEXEXTRACT(CELL("address",AC147), "\$([A-Z]+)\$[0-9]+"))</f>
        <v/>
      </c>
      <c r="AD147" s="7" t="str">
        <f t="array" aca="1" ref="AD147" ca="1">IFERROR(IF(OR('Raw Data'!AD147="",LEN(TRIM('Raw Data'!AD147))=0),"",IF(AND(ISNUMBER('Raw Data'!AD147), IFERROR('Raw Data'!AD147 = ROUND('Raw Data'!AD147, 2),FALSE)),"",_xlfn.REGEXEXTRACT(CELL("address",AD147), "\$([A-Z]+)\$[0-9]+"))),_xlfn.REGEXEXTRACT(CELL("address",AD147), "\$([A-Z]+)\$[0-9]+"))</f>
        <v/>
      </c>
      <c r="AE147" s="7" t="str">
        <f t="array" aca="1" ref="AE147" ca="1">IFERROR(IF(OR('Raw Data'!AE147="",LEN(TRIM('Raw Data'!AE147))=0),"",IF(AND(ISNUMBER('Raw Data'!AE147), IFERROR('Raw Data'!AE147 = ROUND('Raw Data'!AE147, 2),FALSE)),"",_xlfn.REGEXEXTRACT(CELL("address",AE147), "\$([A-Z]+)\$[0-9]+"))),_xlfn.REGEXEXTRACT(CELL("address",AE147), "\$([A-Z]+)\$[0-9]+"))</f>
        <v/>
      </c>
      <c r="AF147" s="7" t="str">
        <f t="array" aca="1" ref="AF147" ca="1">IFERROR(IF(OR('Raw Data'!AF147="",LEN(TRIM('Raw Data'!AF147))=0),"",IF(AND(ISNUMBER('Raw Data'!AF147), IFERROR('Raw Data'!AF147 = ROUND('Raw Data'!AF147, 2),FALSE)),"",_xlfn.REGEXEXTRACT(CELL("address",AF147), "\$([A-Z]+)\$[0-9]+"))),_xlfn.REGEXEXTRACT(CELL("address",AF147), "\$([A-Z]+)\$[0-9]+"))</f>
        <v/>
      </c>
      <c r="AG147" s="7" t="str">
        <f t="array" aca="1" ref="AG147" ca="1">IFERROR(IF(OR('Raw Data'!AG147="",LEN(TRIM('Raw Data'!AG147))=0),"",IF(AND(ISNUMBER('Raw Data'!AG147), IFERROR('Raw Data'!AG147 = ROUND('Raw Data'!AG147, 2),FALSE)),"",_xlfn.REGEXEXTRACT(CELL("address",AG147), "\$([A-Z]+)\$[0-9]+"))),_xlfn.REGEXEXTRACT(CELL("address",AG147), "\$([A-Z]+)\$[0-9]+"))</f>
        <v/>
      </c>
      <c r="AH147" s="7" t="str">
        <f t="array" aca="1" ref="AH147" ca="1">IFERROR(IF(OR('Raw Data'!AH147="",LEN(TRIM('Raw Data'!AH147))=0),"",IF(AND(ISNUMBER('Raw Data'!AH147), IFERROR('Raw Data'!AH147 = ROUND('Raw Data'!AH147, 2),FALSE)),"",_xlfn.REGEXEXTRACT(CELL("address",AH147), "\$([A-Z]+)\$[0-9]+"))),_xlfn.REGEXEXTRACT(CELL("address",AH147), "\$([A-Z]+)\$[0-9]+"))</f>
        <v/>
      </c>
      <c r="AI147" s="7" t="str">
        <f t="array" aca="1" ref="AI147" ca="1">IFERROR(IF(OR('Raw Data'!AI147="",LEN(TRIM('Raw Data'!AI147))=0),"",IF(AND(ISNUMBER('Raw Data'!AI147), IFERROR('Raw Data'!AI147 = ROUND('Raw Data'!AI147, 2),FALSE)),"",_xlfn.REGEXEXTRACT(CELL("address",AI147), "\$([A-Z]+)\$[0-9]+"))),_xlfn.REGEXEXTRACT(CELL("address",AI147), "\$([A-Z]+)\$[0-9]+"))</f>
        <v/>
      </c>
      <c r="AJ147" s="7" t="str">
        <f t="array" aca="1" ref="AJ147" ca="1">IFERROR(IF(OR('Raw Data'!AJ147="",LEN(TRIM('Raw Data'!AJ147))=0),"",IF(AND(ISNUMBER('Raw Data'!AJ147), IFERROR('Raw Data'!AJ147 = ROUND('Raw Data'!AJ147, 4),FALSE)),"",_xlfn.REGEXEXTRACT(CELL("address",AJ147), "\$([A-Z]+)\$[0-9]+"))),_xlfn.REGEXEXTRACT(CELL("address",AJ147), "\$([A-Z]+)\$[0-9]+"))</f>
        <v/>
      </c>
      <c r="AK147" s="7" t="str">
        <f t="array" aca="1" ref="AK147" ca="1">IFERROR(IF(OR('Raw Data'!AK147="",LEN(TRIM('Raw Data'!AK147))=0),"",IF(AND(ISNUMBER('Raw Data'!AK147), IFERROR('Raw Data'!AK147 = ROUND('Raw Data'!AK147, 2),FALSE)),"",_xlfn.REGEXEXTRACT(CELL("address",AK147), "\$([A-Z]+)\$[0-9]+"))),_xlfn.REGEXEXTRACT(CELL("address",AK147), "\$([A-Z]+)\$[0-9]+"))</f>
        <v/>
      </c>
      <c r="AL147" s="7" t="str">
        <f t="array" aca="1" ref="AL147" ca="1">IFERROR(IF(OR('Raw Data'!AL147="",LEN(TRIM('Raw Data'!AL147))=0),"",IF(AND(ISNUMBER('Raw Data'!AL147), IFERROR('Raw Data'!AL147 = ROUND('Raw Data'!AL147, 2),FALSE)),"",_xlfn.REGEXEXTRACT(CELL("address",AL147), "\$([A-Z]+)\$[0-9]+"))),_xlfn.REGEXEXTRACT(CELL("address",AL147), "\$([A-Z]+)\$[0-9]+"))</f>
        <v/>
      </c>
      <c r="AM147" s="7" t="str">
        <f t="array" aca="1" ref="AM147" ca="1">IFERROR(IF(OR('Raw Data'!AM147="",LEN(TRIM('Raw Data'!AM147))=0),"",IF(AND(ISNUMBER('Raw Data'!AM147), IFERROR('Raw Data'!AM147 = ROUND('Raw Data'!AM147, 2),FALSE)),"",_xlfn.REGEXEXTRACT(CELL("address",AM147), "\$([A-Z]+)\$[0-9]+"))),_xlfn.REGEXEXTRACT(CELL("address",AM147), "\$([A-Z]+)\$[0-9]+"))</f>
        <v/>
      </c>
      <c r="AN147" s="7" t="str">
        <f t="array" aca="1" ref="AN147" ca="1">IFERROR(IF(OR('Raw Data'!AN147="",LEN(TRIM('Raw Data'!AN147))=0),"",IF(AND(ISNUMBER('Raw Data'!AN147), IFERROR('Raw Data'!AN147 = ROUND('Raw Data'!AN147, 2),FALSE)),"",_xlfn.REGEXEXTRACT(CELL("address",AN147), "\$([A-Z]+)\$[0-9]+"))),_xlfn.REGEXEXTRACT(CELL("address",AN147), "\$([A-Z]+)\$[0-9]+"))</f>
        <v/>
      </c>
      <c r="AO147" s="7" t="str">
        <f t="array" aca="1" ref="AO147" ca="1">IFERROR(IF(OR('Raw Data'!AO147="",LEN(TRIM('Raw Data'!AO147))=0),"",IF(AND(ISNUMBER('Raw Data'!AO147), IFERROR('Raw Data'!AO147 = ROUND('Raw Data'!AO147, 2),FALSE)),"",_xlfn.REGEXEXTRACT(CELL("address",AO147), "\$([A-Z]+)\$[0-9]+"))),_xlfn.REGEXEXTRACT(CELL("address",AO147), "\$([A-Z]+)\$[0-9]+"))</f>
        <v/>
      </c>
      <c r="AP147" s="7" t="str">
        <f t="array" aca="1" ref="AP147" ca="1">IFERROR(IF(OR('Raw Data'!AP147="",LEN(TRIM('Raw Data'!AP147))=0),"",IF(AND(ISNUMBER('Raw Data'!AP147), IFERROR('Raw Data'!AP147 = ROUND('Raw Data'!AP147, 2),FALSE)),"",_xlfn.REGEXEXTRACT(CELL("address",AP147), "\$([A-Z]+)\$[0-9]+"))),_xlfn.REGEXEXTRACT(CELL("address",AP147), "\$([A-Z]+)\$[0-9]+"))</f>
        <v/>
      </c>
    </row>
    <row r="148" spans="2:42" x14ac:dyDescent="0.25">
      <c r="B148" s="7" t="str">
        <f t="array" aca="1" ref="B148" ca="1">IFERROR(IF(OR('Raw Data'!B148="",LEN(TRIM('Raw Data'!B148))=0),"",IF(AND(LEN('Raw Data'!B148) &lt;= 255,LEN('Raw Data'!B148)&gt; 0),"",_xlfn.REGEXEXTRACT(CELL("address",'Raw Data'!B148),"\$([A-Z]+)\$[0-9]+"))),_xlfn.REGEXEXTRACT(CELL("address",'Raw Data'!B148),"\$([A-Z]+)\$[0-9]+"))</f>
        <v/>
      </c>
      <c r="C148" s="7" t="str">
        <f t="array" aca="1" ref="C148" ca="1">IFERROR(IF(OR('Raw Data'!C148="",LEN(TRIM('Raw Data'!C148))=0),"",IF(AND(LEN('Raw Data'!C148) &lt;= 50,LEN('Raw Data'!C148)&gt; 0),"",_xlfn.REGEXEXTRACT(CELL("address",'Raw Data'!C148),"\$([A-Z]+)\$[0-9]+"))),_xlfn.REGEXEXTRACT(CELL("address",'Raw Data'!C148),"\$([A-Z]+)\$[0-9]+"))</f>
        <v/>
      </c>
      <c r="D148" s="7" t="str">
        <f t="array" aca="1" ref="D148" ca="1">IFERROR(IF(OR('Raw Data'!D148="",LEN(TRIM('Raw Data'!D148))=0),"",IF(AND(LEN('Raw Data'!D148) &lt;= 500,LEN('Raw Data'!D148)&gt; 0),"",_xlfn.REGEXEXTRACT(CELL("address",'Raw Data'!D148),"\$([A-Z]+)\$[0-9]+"))),_xlfn.REGEXEXTRACT(CELL("address",'Raw Data'!D148),"\$([A-Z]+)\$[0-9]+"))</f>
        <v/>
      </c>
      <c r="E148" s="7" t="str">
        <f t="array" aca="1" ref="E148" ca="1">IFERROR(IF(OR('Raw Data'!E148="",LEN(TRIM('Raw Data'!E148))=0),"",IF(AND(LEN('Raw Data'!E148) &lt;= 50,LEN('Raw Data'!E148)&gt; 0),"",_xlfn.REGEXEXTRACT(CELL("address",'Raw Data'!E148),"\$([A-Z]+)\$[0-9]+"))),_xlfn.REGEXEXTRACT(CELL("address",'Raw Data'!E148),"\$([A-Z]+)\$[0-9]+"))</f>
        <v/>
      </c>
      <c r="F148" s="7" t="str">
        <f t="array" aca="1" ref="F148" ca="1">IFERROR(IF(OR('Raw Data'!F148="",LEN(TRIM('Raw Data'!F148))=0),"",IF(AND(LEN('Raw Data'!F148) &lt;= 50,LEN('Raw Data'!F148)&gt; 0),"",_xlfn.REGEXEXTRACT(CELL("address",'Raw Data'!F148),"\$([A-Z]+)\$[0-9]+"))),_xlfn.REGEXEXTRACT(CELL("address",'Raw Data'!F148),"\$([A-Z]+)\$[0-9]+"))</f>
        <v/>
      </c>
      <c r="G148" s="7" t="str">
        <f t="array" aca="1" ref="G148" ca="1">IFERROR(IF(OR('Raw Data'!G148="",LEN(TRIM('Raw Data'!G148))=0),"",IF(AND(LEN('Raw Data'!G148) &lt;= 50,LEN('Raw Data'!G148)&gt; 0),"",_xlfn.REGEXEXTRACT(CELL("address",'Raw Data'!G148),"\$([A-Z]+)\$[0-9]+"))),_xlfn.REGEXEXTRACT(CELL("address",'Raw Data'!G148),"\$([A-Z]+)\$[0-9]+"))</f>
        <v/>
      </c>
      <c r="H148" s="7" t="str">
        <f t="array" aca="1" ref="H148" ca="1">IFERROR(IF(OR('Raw Data'!H148="",LEN(TRIM('Raw Data'!H148))=0),"",IF(AND(LEN('Raw Data'!H148) &lt;= 50,LEN('Raw Data'!H148)&gt; 0),"",_xlfn.REGEXEXTRACT(CELL("address",'Raw Data'!H148),"\$([A-Z]+)\$[0-9]+"))),_xlfn.REGEXEXTRACT(CELL("address",'Raw Data'!H148),"\$([A-Z]+)\$[0-9]+"))</f>
        <v/>
      </c>
      <c r="I148" s="7" t="str">
        <f t="array" aca="1" ref="I148" ca="1">IFERROR(IF(OR('Raw Data'!I148="",LEN(TRIM('Raw Data'!I148))=0),"",IF(AND(LEN('Raw Data'!I148) &lt;= 50,LEN('Raw Data'!I148)&gt; 0),"",_xlfn.REGEXEXTRACT(CELL("address",'Raw Data'!I148),"\$([A-Z]+)\$[0-9]+"))),_xlfn.REGEXEXTRACT(CELL("address",'Raw Data'!I148),"\$([A-Z]+)\$[0-9]+"))</f>
        <v/>
      </c>
      <c r="J148" s="7" t="str">
        <f t="array" aca="1" ref="J148" ca="1">IFERROR(IF(OR('Raw Data'!J148="",LEN(TRIM('Raw Data'!J148))=0),"",IF(AND(ISNUMBER('Raw Data'!J148), IFERROR('Raw Data'!J148 = ROUND('Raw Data'!J148, 2),FALSE)),"",_xlfn.REGEXEXTRACT(CELL("address",J148), "\$([A-Z]+)\$[0-9]+"))),_xlfn.REGEXEXTRACT(CELL("address",J148), "\$([A-Z]+)\$[0-9]+"))</f>
        <v/>
      </c>
      <c r="K148" s="7" t="str">
        <f t="array" aca="1" ref="K148" ca="1">IFERROR(IF(OR('Raw Data'!K148="",LEN(TRIM('Raw Data'!K148))=0),"",IF(AND(ISNUMBER('Raw Data'!K148), IFERROR('Raw Data'!K148 = ROUND('Raw Data'!K148, 2),FALSE)),"",_xlfn.REGEXEXTRACT(CELL("address",K148), "\$([A-Z]+)\$[0-9]+"))),_xlfn.REGEXEXTRACT(CELL("address",K148), "\$([A-Z]+)\$[0-9]+"))</f>
        <v/>
      </c>
      <c r="L148" s="7" t="str">
        <f t="array" aca="1" ref="L148" ca="1">IFERROR(IF(OR('Raw Data'!L148="",LEN(TRIM('Raw Data'!L148))=0),"",IF(AND(ISNUMBER('Raw Data'!L148), IFERROR('Raw Data'!L148 = ROUND('Raw Data'!L148, 2),FALSE)),"",_xlfn.REGEXEXTRACT(CELL("address",L148), "\$([A-Z]+)\$[0-9]+"))),_xlfn.REGEXEXTRACT(CELL("address",L148), "\$([A-Z]+)\$[0-9]+"))</f>
        <v/>
      </c>
      <c r="M148" s="7" t="str">
        <f t="array" aca="1" ref="M148" ca="1">IFERROR(IF(OR('Raw Data'!M148="",LEN(TRIM('Raw Data'!M148))=0),"",IF(AND(ISNUMBER('Raw Data'!M148), IFERROR('Raw Data'!M148 = ROUND('Raw Data'!M148, 2),FALSE)),"",_xlfn.REGEXEXTRACT(CELL("address",M148), "\$([A-Z]+)\$[0-9]+"))),_xlfn.REGEXEXTRACT(CELL("address",M148), "\$([A-Z]+)\$[0-9]+"))</f>
        <v/>
      </c>
      <c r="N148" s="7" t="str">
        <f t="array" aca="1" ref="N148" ca="1">IFERROR(IF(OR('Raw Data'!N148="",LEN(TRIM('Raw Data'!N148))=0),"",IF(AND(ISNUMBER('Raw Data'!N148), IFERROR('Raw Data'!N148 = ROUND('Raw Data'!N148, 2),FALSE)),"",_xlfn.REGEXEXTRACT(CELL("address",N148), "\$([A-Z]+)\$[0-9]+"))),_xlfn.REGEXEXTRACT(CELL("address",N148), "\$([A-Z]+)\$[0-9]+"))</f>
        <v/>
      </c>
      <c r="O148" s="7" t="str">
        <f t="array" aca="1" ref="O148" ca="1">IFERROR(IF(OR('Raw Data'!O148="",LEN(TRIM('Raw Data'!O148))=0),"",IF(AND(ISNUMBER('Raw Data'!O148),'Raw Data'!O148&gt;=Configuration!$D$2),"",_xlfn.REGEXEXTRACT(CELL("address",'Raw Data'!O148),"\$([A-Z]+)\$[0-9]+"))),_xlfn.REGEXEXTRACT(CELL("address",O148), "\$([A-Z]+)\$[0-9]+"))</f>
        <v/>
      </c>
      <c r="P148" s="7" t="str">
        <f t="array" aca="1" ref="P148" ca="1">IFERROR(IF(OR('Raw Data'!P148="",LEN(TRIM('Raw Data'!P148))=0),"",IF(AND(ISNUMBER('Raw Data'!P148), IFERROR('Raw Data'!P148 = ROUND('Raw Data'!P148, 2),FALSE)),"",_xlfn.REGEXEXTRACT(CELL("address",P148), "\$([A-Z]+)\$[0-9]+"))),_xlfn.REGEXEXTRACT(CELL("address",P148), "\$([A-Z]+)\$[0-9]+"))</f>
        <v/>
      </c>
      <c r="Q148" s="7" t="str">
        <f t="array" aca="1" ref="Q148" ca="1">IFERROR(IF(OR('Raw Data'!Q148="",LEN(TRIM('Raw Data'!Q148))=0),"",IF(AND(ISNUMBER('Raw Data'!Q148), IFERROR('Raw Data'!Q148 = ROUND('Raw Data'!Q148, 2),FALSE)),"",_xlfn.REGEXEXTRACT(CELL("address",Q148), "\$([A-Z]+)\$[0-9]+"))),_xlfn.REGEXEXTRACT(CELL("address",Q148), "\$([A-Z]+)\$[0-9]+"))</f>
        <v/>
      </c>
      <c r="R148" s="7" t="str">
        <f t="array" aca="1" ref="R148" ca="1">IFERROR(IF(OR('Raw Data'!R148="",LEN(TRIM('Raw Data'!R148))=0),"",IF(AND(LEN('Raw Data'!R148) &lt;= 50,LEN('Raw Data'!R148)&gt; 0),"",_xlfn.REGEXEXTRACT(CELL("address",'Raw Data'!R148),"\$([A-Z]+)\$[0-9]+"))),_xlfn.REGEXEXTRACT(CELL("address",'Raw Data'!R148),"\$([A-Z]+)\$[0-9]+"))</f>
        <v/>
      </c>
      <c r="S148" s="7" t="str">
        <f t="array" aca="1" ref="S148" ca="1">IFERROR(IF(OR('Raw Data'!S148="",LEN(TRIM('Raw Data'!S148))=0),"",IF(AND(LEN('Raw Data'!S148) &lt;= 50,LEN('Raw Data'!S148)&gt; 0),"",_xlfn.REGEXEXTRACT(CELL("address",'Raw Data'!S148),"\$([A-Z]+)\$[0-9]+"))),_xlfn.REGEXEXTRACT(CELL("address",'Raw Data'!S148),"\$([A-Z]+)\$[0-9]+"))</f>
        <v/>
      </c>
      <c r="T148" s="7" t="str">
        <f t="array" aca="1" ref="T148" ca="1">IFERROR(IF(OR('Raw Data'!T148="",LEN(TRIM('Raw Data'!T148))=0),"",IF(AND(ISNUMBER('Raw Data'!T148), IFERROR('Raw Data'!T148 = ROUND('Raw Data'!T148, 2),FALSE)),"",_xlfn.REGEXEXTRACT(CELL("address",T148), "\$([A-Z]+)\$[0-9]+"))),_xlfn.REGEXEXTRACT(CELL("address",T148), "\$([A-Z]+)\$[0-9]+"))</f>
        <v/>
      </c>
      <c r="U148" s="7" t="str">
        <f t="array" aca="1" ref="U148" ca="1">IFERROR(IF(OR('Raw Data'!U148="",LEN(TRIM('Raw Data'!U148))=0),"",IF(AND(ISNUMBER('Raw Data'!U148), IFERROR('Raw Data'!U148 = ROUND('Raw Data'!U148, 2),FALSE)),"",_xlfn.REGEXEXTRACT(CELL("address",U148), "\$([A-Z]+)\$[0-9]+"))),_xlfn.REGEXEXTRACT(CELL("address",U148), "\$([A-Z]+)\$[0-9]+"))</f>
        <v/>
      </c>
      <c r="V148" s="7" t="str">
        <f t="array" aca="1" ref="V148" ca="1">IFERROR(IF(OR('Raw Data'!V148="",LEN(TRIM('Raw Data'!V148))=0),"",IF(AND(ISNUMBER('Raw Data'!V148), IFERROR('Raw Data'!V148 = ROUND('Raw Data'!V148, 2),FALSE)),"",_xlfn.REGEXEXTRACT(CELL("address",V148), "\$([A-Z]+)\$[0-9]+"))),_xlfn.REGEXEXTRACT(CELL("address",V148), "\$([A-Z]+)\$[0-9]+"))</f>
        <v/>
      </c>
      <c r="W148" s="7" t="str">
        <f t="array" aca="1" ref="W148" ca="1">IFERROR(IF(OR('Raw Data'!W148="",LEN(TRIM('Raw Data'!W148))=0),"",IF(AND(ISNUMBER('Raw Data'!W148), IFERROR('Raw Data'!W148 = ROUND('Raw Data'!W148, 2),FALSE)),"",_xlfn.REGEXEXTRACT(CELL("address",W148), "\$([A-Z]+)\$[0-9]+"))),_xlfn.REGEXEXTRACT(CELL("address",W148), "\$([A-Z]+)\$[0-9]+"))</f>
        <v/>
      </c>
      <c r="X148" s="7" t="str">
        <f t="array" aca="1" ref="X148" ca="1">IFERROR(IF(OR('Raw Data'!X148="",LEN(TRIM('Raw Data'!X148))=0),"",IF(AND(ISNUMBER('Raw Data'!X148), IFERROR('Raw Data'!X148 = ROUND('Raw Data'!X148, 2),FALSE)),"",_xlfn.REGEXEXTRACT(CELL("address",X148), "\$([A-Z]+)\$[0-9]+"))),_xlfn.REGEXEXTRACT(CELL("address",X148), "\$([A-Z]+)\$[0-9]+"))</f>
        <v/>
      </c>
      <c r="Y148" s="7" t="str">
        <f t="array" aca="1" ref="Y148" ca="1">IFERROR(IF(OR('Raw Data'!Y148="",LEN(TRIM('Raw Data'!Y148))=0),"",IF(AND(ISNUMBER('Raw Data'!Y148), IFERROR('Raw Data'!Y148 = ROUND('Raw Data'!Y148, 2),FALSE)),"",_xlfn.REGEXEXTRACT(CELL("address",Y148), "\$([A-Z]+)\$[0-9]+"))),_xlfn.REGEXEXTRACT(CELL("address",Y148), "\$([A-Z]+)\$[0-9]+"))</f>
        <v/>
      </c>
      <c r="Z148" s="7" t="str">
        <f t="array" aca="1" ref="Z148" ca="1">IFERROR(IF(OR('Raw Data'!Z148="",LEN(TRIM('Raw Data'!Z148))=0),"",IF(AND(ISNUMBER('Raw Data'!Z148), IFERROR('Raw Data'!Z148 = ROUND('Raw Data'!Z148, 2),FALSE)),"",_xlfn.REGEXEXTRACT(CELL("address",Z148), "\$([A-Z]+)\$[0-9]+"))),_xlfn.REGEXEXTRACT(CELL("address",Z148), "\$([A-Z]+)\$[0-9]+"))</f>
        <v/>
      </c>
      <c r="AA148" s="7" t="str">
        <f t="array" aca="1" ref="AA148" ca="1">IFERROR(IF(OR('Raw Data'!AA148="",LEN(TRIM('Raw Data'!AA148))=0),"",IF(AND(ISNUMBER('Raw Data'!AA148), IFERROR('Raw Data'!AA148 = ROUND('Raw Data'!AA148, 2),FALSE)),"",_xlfn.REGEXEXTRACT(CELL("address",AA148), "\$([A-Z]+)\$[0-9]+"))),_xlfn.REGEXEXTRACT(CELL("address",AA148), "\$([A-Z]+)\$[0-9]+"))</f>
        <v/>
      </c>
      <c r="AB148" s="7" t="str">
        <f t="array" aca="1" ref="AB148" ca="1">IFERROR(IF(OR('Raw Data'!AB148="",LEN(TRIM('Raw Data'!AB148))=0),"",IF(AND(ISNUMBER('Raw Data'!AB148), IFERROR('Raw Data'!AB148 = ROUND('Raw Data'!AB148, 2),FALSE)),"",_xlfn.REGEXEXTRACT(CELL("address",AB148), "\$([A-Z]+)\$[0-9]+"))),_xlfn.REGEXEXTRACT(CELL("address",AB148), "\$([A-Z]+)\$[0-9]+"))</f>
        <v/>
      </c>
      <c r="AC148" s="7" t="str">
        <f t="array" aca="1" ref="AC148" ca="1">IFERROR(IF(OR('Raw Data'!AC148="",LEN(TRIM('Raw Data'!AC148))=0),"",IF(AND(ISNUMBER('Raw Data'!AC148), IFERROR('Raw Data'!AC148 = ROUND('Raw Data'!AC148, 2),FALSE)),"",_xlfn.REGEXEXTRACT(CELL("address",AC148), "\$([A-Z]+)\$[0-9]+"))),_xlfn.REGEXEXTRACT(CELL("address",AC148), "\$([A-Z]+)\$[0-9]+"))</f>
        <v/>
      </c>
      <c r="AD148" s="7" t="str">
        <f t="array" aca="1" ref="AD148" ca="1">IFERROR(IF(OR('Raw Data'!AD148="",LEN(TRIM('Raw Data'!AD148))=0),"",IF(AND(ISNUMBER('Raw Data'!AD148), IFERROR('Raw Data'!AD148 = ROUND('Raw Data'!AD148, 2),FALSE)),"",_xlfn.REGEXEXTRACT(CELL("address",AD148), "\$([A-Z]+)\$[0-9]+"))),_xlfn.REGEXEXTRACT(CELL("address",AD148), "\$([A-Z]+)\$[0-9]+"))</f>
        <v/>
      </c>
      <c r="AE148" s="7" t="str">
        <f t="array" aca="1" ref="AE148" ca="1">IFERROR(IF(OR('Raw Data'!AE148="",LEN(TRIM('Raw Data'!AE148))=0),"",IF(AND(ISNUMBER('Raw Data'!AE148), IFERROR('Raw Data'!AE148 = ROUND('Raw Data'!AE148, 2),FALSE)),"",_xlfn.REGEXEXTRACT(CELL("address",AE148), "\$([A-Z]+)\$[0-9]+"))),_xlfn.REGEXEXTRACT(CELL("address",AE148), "\$([A-Z]+)\$[0-9]+"))</f>
        <v/>
      </c>
      <c r="AF148" s="7" t="str">
        <f t="array" aca="1" ref="AF148" ca="1">IFERROR(IF(OR('Raw Data'!AF148="",LEN(TRIM('Raw Data'!AF148))=0),"",IF(AND(ISNUMBER('Raw Data'!AF148), IFERROR('Raw Data'!AF148 = ROUND('Raw Data'!AF148, 2),FALSE)),"",_xlfn.REGEXEXTRACT(CELL("address",AF148), "\$([A-Z]+)\$[0-9]+"))),_xlfn.REGEXEXTRACT(CELL("address",AF148), "\$([A-Z]+)\$[0-9]+"))</f>
        <v/>
      </c>
      <c r="AG148" s="7" t="str">
        <f t="array" aca="1" ref="AG148" ca="1">IFERROR(IF(OR('Raw Data'!AG148="",LEN(TRIM('Raw Data'!AG148))=0),"",IF(AND(ISNUMBER('Raw Data'!AG148), IFERROR('Raw Data'!AG148 = ROUND('Raw Data'!AG148, 2),FALSE)),"",_xlfn.REGEXEXTRACT(CELL("address",AG148), "\$([A-Z]+)\$[0-9]+"))),_xlfn.REGEXEXTRACT(CELL("address",AG148), "\$([A-Z]+)\$[0-9]+"))</f>
        <v/>
      </c>
      <c r="AH148" s="7" t="str">
        <f t="array" aca="1" ref="AH148" ca="1">IFERROR(IF(OR('Raw Data'!AH148="",LEN(TRIM('Raw Data'!AH148))=0),"",IF(AND(ISNUMBER('Raw Data'!AH148), IFERROR('Raw Data'!AH148 = ROUND('Raw Data'!AH148, 2),FALSE)),"",_xlfn.REGEXEXTRACT(CELL("address",AH148), "\$([A-Z]+)\$[0-9]+"))),_xlfn.REGEXEXTRACT(CELL("address",AH148), "\$([A-Z]+)\$[0-9]+"))</f>
        <v/>
      </c>
      <c r="AI148" s="7" t="str">
        <f t="array" aca="1" ref="AI148" ca="1">IFERROR(IF(OR('Raw Data'!AI148="",LEN(TRIM('Raw Data'!AI148))=0),"",IF(AND(ISNUMBER('Raw Data'!AI148), IFERROR('Raw Data'!AI148 = ROUND('Raw Data'!AI148, 2),FALSE)),"",_xlfn.REGEXEXTRACT(CELL("address",AI148), "\$([A-Z]+)\$[0-9]+"))),_xlfn.REGEXEXTRACT(CELL("address",AI148), "\$([A-Z]+)\$[0-9]+"))</f>
        <v/>
      </c>
      <c r="AJ148" s="7" t="str">
        <f t="array" aca="1" ref="AJ148" ca="1">IFERROR(IF(OR('Raw Data'!AJ148="",LEN(TRIM('Raw Data'!AJ148))=0),"",IF(AND(ISNUMBER('Raw Data'!AJ148), IFERROR('Raw Data'!AJ148 = ROUND('Raw Data'!AJ148, 4),FALSE)),"",_xlfn.REGEXEXTRACT(CELL("address",AJ148), "\$([A-Z]+)\$[0-9]+"))),_xlfn.REGEXEXTRACT(CELL("address",AJ148), "\$([A-Z]+)\$[0-9]+"))</f>
        <v/>
      </c>
      <c r="AK148" s="7" t="str">
        <f t="array" aca="1" ref="AK148" ca="1">IFERROR(IF(OR('Raw Data'!AK148="",LEN(TRIM('Raw Data'!AK148))=0),"",IF(AND(ISNUMBER('Raw Data'!AK148), IFERROR('Raw Data'!AK148 = ROUND('Raw Data'!AK148, 2),FALSE)),"",_xlfn.REGEXEXTRACT(CELL("address",AK148), "\$([A-Z]+)\$[0-9]+"))),_xlfn.REGEXEXTRACT(CELL("address",AK148), "\$([A-Z]+)\$[0-9]+"))</f>
        <v/>
      </c>
      <c r="AL148" s="7" t="str">
        <f t="array" aca="1" ref="AL148" ca="1">IFERROR(IF(OR('Raw Data'!AL148="",LEN(TRIM('Raw Data'!AL148))=0),"",IF(AND(ISNUMBER('Raw Data'!AL148), IFERROR('Raw Data'!AL148 = ROUND('Raw Data'!AL148, 2),FALSE)),"",_xlfn.REGEXEXTRACT(CELL("address",AL148), "\$([A-Z]+)\$[0-9]+"))),_xlfn.REGEXEXTRACT(CELL("address",AL148), "\$([A-Z]+)\$[0-9]+"))</f>
        <v/>
      </c>
      <c r="AM148" s="7" t="str">
        <f t="array" aca="1" ref="AM148" ca="1">IFERROR(IF(OR('Raw Data'!AM148="",LEN(TRIM('Raw Data'!AM148))=0),"",IF(AND(ISNUMBER('Raw Data'!AM148), IFERROR('Raw Data'!AM148 = ROUND('Raw Data'!AM148, 2),FALSE)),"",_xlfn.REGEXEXTRACT(CELL("address",AM148), "\$([A-Z]+)\$[0-9]+"))),_xlfn.REGEXEXTRACT(CELL("address",AM148), "\$([A-Z]+)\$[0-9]+"))</f>
        <v/>
      </c>
      <c r="AN148" s="7" t="str">
        <f t="array" aca="1" ref="AN148" ca="1">IFERROR(IF(OR('Raw Data'!AN148="",LEN(TRIM('Raw Data'!AN148))=0),"",IF(AND(ISNUMBER('Raw Data'!AN148), IFERROR('Raw Data'!AN148 = ROUND('Raw Data'!AN148, 2),FALSE)),"",_xlfn.REGEXEXTRACT(CELL("address",AN148), "\$([A-Z]+)\$[0-9]+"))),_xlfn.REGEXEXTRACT(CELL("address",AN148), "\$([A-Z]+)\$[0-9]+"))</f>
        <v/>
      </c>
      <c r="AO148" s="7" t="str">
        <f t="array" aca="1" ref="AO148" ca="1">IFERROR(IF(OR('Raw Data'!AO148="",LEN(TRIM('Raw Data'!AO148))=0),"",IF(AND(ISNUMBER('Raw Data'!AO148), IFERROR('Raw Data'!AO148 = ROUND('Raw Data'!AO148, 2),FALSE)),"",_xlfn.REGEXEXTRACT(CELL("address",AO148), "\$([A-Z]+)\$[0-9]+"))),_xlfn.REGEXEXTRACT(CELL("address",AO148), "\$([A-Z]+)\$[0-9]+"))</f>
        <v/>
      </c>
      <c r="AP148" s="7" t="str">
        <f t="array" aca="1" ref="AP148" ca="1">IFERROR(IF(OR('Raw Data'!AP148="",LEN(TRIM('Raw Data'!AP148))=0),"",IF(AND(ISNUMBER('Raw Data'!AP148), IFERROR('Raw Data'!AP148 = ROUND('Raw Data'!AP148, 2),FALSE)),"",_xlfn.REGEXEXTRACT(CELL("address",AP148), "\$([A-Z]+)\$[0-9]+"))),_xlfn.REGEXEXTRACT(CELL("address",AP148), "\$([A-Z]+)\$[0-9]+"))</f>
        <v/>
      </c>
    </row>
    <row r="149" spans="2:42" x14ac:dyDescent="0.25">
      <c r="B149" s="7" t="str">
        <f t="array" aca="1" ref="B149" ca="1">IFERROR(IF(OR('Raw Data'!B149="",LEN(TRIM('Raw Data'!B149))=0),"",IF(AND(LEN('Raw Data'!B149) &lt;= 255,LEN('Raw Data'!B149)&gt; 0),"",_xlfn.REGEXEXTRACT(CELL("address",'Raw Data'!B149),"\$([A-Z]+)\$[0-9]+"))),_xlfn.REGEXEXTRACT(CELL("address",'Raw Data'!B149),"\$([A-Z]+)\$[0-9]+"))</f>
        <v/>
      </c>
      <c r="C149" s="7" t="str">
        <f t="array" aca="1" ref="C149" ca="1">IFERROR(IF(OR('Raw Data'!C149="",LEN(TRIM('Raw Data'!C149))=0),"",IF(AND(LEN('Raw Data'!C149) &lt;= 50,LEN('Raw Data'!C149)&gt; 0),"",_xlfn.REGEXEXTRACT(CELL("address",'Raw Data'!C149),"\$([A-Z]+)\$[0-9]+"))),_xlfn.REGEXEXTRACT(CELL("address",'Raw Data'!C149),"\$([A-Z]+)\$[0-9]+"))</f>
        <v/>
      </c>
      <c r="D149" s="7" t="str">
        <f t="array" aca="1" ref="D149" ca="1">IFERROR(IF(OR('Raw Data'!D149="",LEN(TRIM('Raw Data'!D149))=0),"",IF(AND(LEN('Raw Data'!D149) &lt;= 500,LEN('Raw Data'!D149)&gt; 0),"",_xlfn.REGEXEXTRACT(CELL("address",'Raw Data'!D149),"\$([A-Z]+)\$[0-9]+"))),_xlfn.REGEXEXTRACT(CELL("address",'Raw Data'!D149),"\$([A-Z]+)\$[0-9]+"))</f>
        <v/>
      </c>
      <c r="E149" s="7" t="str">
        <f t="array" aca="1" ref="E149" ca="1">IFERROR(IF(OR('Raw Data'!E149="",LEN(TRIM('Raw Data'!E149))=0),"",IF(AND(LEN('Raw Data'!E149) &lt;= 50,LEN('Raw Data'!E149)&gt; 0),"",_xlfn.REGEXEXTRACT(CELL("address",'Raw Data'!E149),"\$([A-Z]+)\$[0-9]+"))),_xlfn.REGEXEXTRACT(CELL("address",'Raw Data'!E149),"\$([A-Z]+)\$[0-9]+"))</f>
        <v/>
      </c>
      <c r="F149" s="7" t="str">
        <f t="array" aca="1" ref="F149" ca="1">IFERROR(IF(OR('Raw Data'!F149="",LEN(TRIM('Raw Data'!F149))=0),"",IF(AND(LEN('Raw Data'!F149) &lt;= 50,LEN('Raw Data'!F149)&gt; 0),"",_xlfn.REGEXEXTRACT(CELL("address",'Raw Data'!F149),"\$([A-Z]+)\$[0-9]+"))),_xlfn.REGEXEXTRACT(CELL("address",'Raw Data'!F149),"\$([A-Z]+)\$[0-9]+"))</f>
        <v/>
      </c>
      <c r="G149" s="7" t="str">
        <f t="array" aca="1" ref="G149" ca="1">IFERROR(IF(OR('Raw Data'!G149="",LEN(TRIM('Raw Data'!G149))=0),"",IF(AND(LEN('Raw Data'!G149) &lt;= 50,LEN('Raw Data'!G149)&gt; 0),"",_xlfn.REGEXEXTRACT(CELL("address",'Raw Data'!G149),"\$([A-Z]+)\$[0-9]+"))),_xlfn.REGEXEXTRACT(CELL("address",'Raw Data'!G149),"\$([A-Z]+)\$[0-9]+"))</f>
        <v/>
      </c>
      <c r="H149" s="7" t="str">
        <f t="array" aca="1" ref="H149" ca="1">IFERROR(IF(OR('Raw Data'!H149="",LEN(TRIM('Raw Data'!H149))=0),"",IF(AND(LEN('Raw Data'!H149) &lt;= 50,LEN('Raw Data'!H149)&gt; 0),"",_xlfn.REGEXEXTRACT(CELL("address",'Raw Data'!H149),"\$([A-Z]+)\$[0-9]+"))),_xlfn.REGEXEXTRACT(CELL("address",'Raw Data'!H149),"\$([A-Z]+)\$[0-9]+"))</f>
        <v/>
      </c>
      <c r="I149" s="7" t="str">
        <f t="array" aca="1" ref="I149" ca="1">IFERROR(IF(OR('Raw Data'!I149="",LEN(TRIM('Raw Data'!I149))=0),"",IF(AND(LEN('Raw Data'!I149) &lt;= 50,LEN('Raw Data'!I149)&gt; 0),"",_xlfn.REGEXEXTRACT(CELL("address",'Raw Data'!I149),"\$([A-Z]+)\$[0-9]+"))),_xlfn.REGEXEXTRACT(CELL("address",'Raw Data'!I149),"\$([A-Z]+)\$[0-9]+"))</f>
        <v/>
      </c>
      <c r="J149" s="7" t="str">
        <f t="array" aca="1" ref="J149" ca="1">IFERROR(IF(OR('Raw Data'!J149="",LEN(TRIM('Raw Data'!J149))=0),"",IF(AND(ISNUMBER('Raw Data'!J149), IFERROR('Raw Data'!J149 = ROUND('Raw Data'!J149, 2),FALSE)),"",_xlfn.REGEXEXTRACT(CELL("address",J149), "\$([A-Z]+)\$[0-9]+"))),_xlfn.REGEXEXTRACT(CELL("address",J149), "\$([A-Z]+)\$[0-9]+"))</f>
        <v/>
      </c>
      <c r="K149" s="7" t="str">
        <f t="array" aca="1" ref="K149" ca="1">IFERROR(IF(OR('Raw Data'!K149="",LEN(TRIM('Raw Data'!K149))=0),"",IF(AND(ISNUMBER('Raw Data'!K149), IFERROR('Raw Data'!K149 = ROUND('Raw Data'!K149, 2),FALSE)),"",_xlfn.REGEXEXTRACT(CELL("address",K149), "\$([A-Z]+)\$[0-9]+"))),_xlfn.REGEXEXTRACT(CELL("address",K149), "\$([A-Z]+)\$[0-9]+"))</f>
        <v/>
      </c>
      <c r="L149" s="7" t="str">
        <f t="array" aca="1" ref="L149" ca="1">IFERROR(IF(OR('Raw Data'!L149="",LEN(TRIM('Raw Data'!L149))=0),"",IF(AND(ISNUMBER('Raw Data'!L149), IFERROR('Raw Data'!L149 = ROUND('Raw Data'!L149, 2),FALSE)),"",_xlfn.REGEXEXTRACT(CELL("address",L149), "\$([A-Z]+)\$[0-9]+"))),_xlfn.REGEXEXTRACT(CELL("address",L149), "\$([A-Z]+)\$[0-9]+"))</f>
        <v/>
      </c>
      <c r="M149" s="7" t="str">
        <f t="array" aca="1" ref="M149" ca="1">IFERROR(IF(OR('Raw Data'!M149="",LEN(TRIM('Raw Data'!M149))=0),"",IF(AND(ISNUMBER('Raw Data'!M149), IFERROR('Raw Data'!M149 = ROUND('Raw Data'!M149, 2),FALSE)),"",_xlfn.REGEXEXTRACT(CELL("address",M149), "\$([A-Z]+)\$[0-9]+"))),_xlfn.REGEXEXTRACT(CELL("address",M149), "\$([A-Z]+)\$[0-9]+"))</f>
        <v/>
      </c>
      <c r="N149" s="7" t="str">
        <f t="array" aca="1" ref="N149" ca="1">IFERROR(IF(OR('Raw Data'!N149="",LEN(TRIM('Raw Data'!N149))=0),"",IF(AND(ISNUMBER('Raw Data'!N149), IFERROR('Raw Data'!N149 = ROUND('Raw Data'!N149, 2),FALSE)),"",_xlfn.REGEXEXTRACT(CELL("address",N149), "\$([A-Z]+)\$[0-9]+"))),_xlfn.REGEXEXTRACT(CELL("address",N149), "\$([A-Z]+)\$[0-9]+"))</f>
        <v/>
      </c>
      <c r="O149" s="7" t="str">
        <f t="array" aca="1" ref="O149" ca="1">IFERROR(IF(OR('Raw Data'!O149="",LEN(TRIM('Raw Data'!O149))=0),"",IF(AND(ISNUMBER('Raw Data'!O149),'Raw Data'!O149&gt;=Configuration!$D$2),"",_xlfn.REGEXEXTRACT(CELL("address",'Raw Data'!O149),"\$([A-Z]+)\$[0-9]+"))),_xlfn.REGEXEXTRACT(CELL("address",O149), "\$([A-Z]+)\$[0-9]+"))</f>
        <v/>
      </c>
      <c r="P149" s="7" t="str">
        <f t="array" aca="1" ref="P149" ca="1">IFERROR(IF(OR('Raw Data'!P149="",LEN(TRIM('Raw Data'!P149))=0),"",IF(AND(ISNUMBER('Raw Data'!P149), IFERROR('Raw Data'!P149 = ROUND('Raw Data'!P149, 2),FALSE)),"",_xlfn.REGEXEXTRACT(CELL("address",P149), "\$([A-Z]+)\$[0-9]+"))),_xlfn.REGEXEXTRACT(CELL("address",P149), "\$([A-Z]+)\$[0-9]+"))</f>
        <v/>
      </c>
      <c r="Q149" s="7" t="str">
        <f t="array" aca="1" ref="Q149" ca="1">IFERROR(IF(OR('Raw Data'!Q149="",LEN(TRIM('Raw Data'!Q149))=0),"",IF(AND(ISNUMBER('Raw Data'!Q149), IFERROR('Raw Data'!Q149 = ROUND('Raw Data'!Q149, 2),FALSE)),"",_xlfn.REGEXEXTRACT(CELL("address",Q149), "\$([A-Z]+)\$[0-9]+"))),_xlfn.REGEXEXTRACT(CELL("address",Q149), "\$([A-Z]+)\$[0-9]+"))</f>
        <v/>
      </c>
      <c r="R149" s="7" t="str">
        <f t="array" aca="1" ref="R149" ca="1">IFERROR(IF(OR('Raw Data'!R149="",LEN(TRIM('Raw Data'!R149))=0),"",IF(AND(LEN('Raw Data'!R149) &lt;= 50,LEN('Raw Data'!R149)&gt; 0),"",_xlfn.REGEXEXTRACT(CELL("address",'Raw Data'!R149),"\$([A-Z]+)\$[0-9]+"))),_xlfn.REGEXEXTRACT(CELL("address",'Raw Data'!R149),"\$([A-Z]+)\$[0-9]+"))</f>
        <v/>
      </c>
      <c r="S149" s="7" t="str">
        <f t="array" aca="1" ref="S149" ca="1">IFERROR(IF(OR('Raw Data'!S149="",LEN(TRIM('Raw Data'!S149))=0),"",IF(AND(LEN('Raw Data'!S149) &lt;= 50,LEN('Raw Data'!S149)&gt; 0),"",_xlfn.REGEXEXTRACT(CELL("address",'Raw Data'!S149),"\$([A-Z]+)\$[0-9]+"))),_xlfn.REGEXEXTRACT(CELL("address",'Raw Data'!S149),"\$([A-Z]+)\$[0-9]+"))</f>
        <v/>
      </c>
      <c r="T149" s="7" t="str">
        <f t="array" aca="1" ref="T149" ca="1">IFERROR(IF(OR('Raw Data'!T149="",LEN(TRIM('Raw Data'!T149))=0),"",IF(AND(ISNUMBER('Raw Data'!T149), IFERROR('Raw Data'!T149 = ROUND('Raw Data'!T149, 2),FALSE)),"",_xlfn.REGEXEXTRACT(CELL("address",T149), "\$([A-Z]+)\$[0-9]+"))),_xlfn.REGEXEXTRACT(CELL("address",T149), "\$([A-Z]+)\$[0-9]+"))</f>
        <v/>
      </c>
      <c r="U149" s="7" t="str">
        <f t="array" aca="1" ref="U149" ca="1">IFERROR(IF(OR('Raw Data'!U149="",LEN(TRIM('Raw Data'!U149))=0),"",IF(AND(ISNUMBER('Raw Data'!U149), IFERROR('Raw Data'!U149 = ROUND('Raw Data'!U149, 2),FALSE)),"",_xlfn.REGEXEXTRACT(CELL("address",U149), "\$([A-Z]+)\$[0-9]+"))),_xlfn.REGEXEXTRACT(CELL("address",U149), "\$([A-Z]+)\$[0-9]+"))</f>
        <v/>
      </c>
      <c r="V149" s="7" t="str">
        <f t="array" aca="1" ref="V149" ca="1">IFERROR(IF(OR('Raw Data'!V149="",LEN(TRIM('Raw Data'!V149))=0),"",IF(AND(ISNUMBER('Raw Data'!V149), IFERROR('Raw Data'!V149 = ROUND('Raw Data'!V149, 2),FALSE)),"",_xlfn.REGEXEXTRACT(CELL("address",V149), "\$([A-Z]+)\$[0-9]+"))),_xlfn.REGEXEXTRACT(CELL("address",V149), "\$([A-Z]+)\$[0-9]+"))</f>
        <v/>
      </c>
      <c r="W149" s="7" t="str">
        <f t="array" aca="1" ref="W149" ca="1">IFERROR(IF(OR('Raw Data'!W149="",LEN(TRIM('Raw Data'!W149))=0),"",IF(AND(ISNUMBER('Raw Data'!W149), IFERROR('Raw Data'!W149 = ROUND('Raw Data'!W149, 2),FALSE)),"",_xlfn.REGEXEXTRACT(CELL("address",W149), "\$([A-Z]+)\$[0-9]+"))),_xlfn.REGEXEXTRACT(CELL("address",W149), "\$([A-Z]+)\$[0-9]+"))</f>
        <v/>
      </c>
      <c r="X149" s="7" t="str">
        <f t="array" aca="1" ref="X149" ca="1">IFERROR(IF(OR('Raw Data'!X149="",LEN(TRIM('Raw Data'!X149))=0),"",IF(AND(ISNUMBER('Raw Data'!X149), IFERROR('Raw Data'!X149 = ROUND('Raw Data'!X149, 2),FALSE)),"",_xlfn.REGEXEXTRACT(CELL("address",X149), "\$([A-Z]+)\$[0-9]+"))),_xlfn.REGEXEXTRACT(CELL("address",X149), "\$([A-Z]+)\$[0-9]+"))</f>
        <v/>
      </c>
      <c r="Y149" s="7" t="str">
        <f t="array" aca="1" ref="Y149" ca="1">IFERROR(IF(OR('Raw Data'!Y149="",LEN(TRIM('Raw Data'!Y149))=0),"",IF(AND(ISNUMBER('Raw Data'!Y149), IFERROR('Raw Data'!Y149 = ROUND('Raw Data'!Y149, 2),FALSE)),"",_xlfn.REGEXEXTRACT(CELL("address",Y149), "\$([A-Z]+)\$[0-9]+"))),_xlfn.REGEXEXTRACT(CELL("address",Y149), "\$([A-Z]+)\$[0-9]+"))</f>
        <v/>
      </c>
      <c r="Z149" s="7" t="str">
        <f t="array" aca="1" ref="Z149" ca="1">IFERROR(IF(OR('Raw Data'!Z149="",LEN(TRIM('Raw Data'!Z149))=0),"",IF(AND(ISNUMBER('Raw Data'!Z149), IFERROR('Raw Data'!Z149 = ROUND('Raw Data'!Z149, 2),FALSE)),"",_xlfn.REGEXEXTRACT(CELL("address",Z149), "\$([A-Z]+)\$[0-9]+"))),_xlfn.REGEXEXTRACT(CELL("address",Z149), "\$([A-Z]+)\$[0-9]+"))</f>
        <v/>
      </c>
      <c r="AA149" s="7" t="str">
        <f t="array" aca="1" ref="AA149" ca="1">IFERROR(IF(OR('Raw Data'!AA149="",LEN(TRIM('Raw Data'!AA149))=0),"",IF(AND(ISNUMBER('Raw Data'!AA149), IFERROR('Raw Data'!AA149 = ROUND('Raw Data'!AA149, 2),FALSE)),"",_xlfn.REGEXEXTRACT(CELL("address",AA149), "\$([A-Z]+)\$[0-9]+"))),_xlfn.REGEXEXTRACT(CELL("address",AA149), "\$([A-Z]+)\$[0-9]+"))</f>
        <v/>
      </c>
      <c r="AB149" s="7" t="str">
        <f t="array" aca="1" ref="AB149" ca="1">IFERROR(IF(OR('Raw Data'!AB149="",LEN(TRIM('Raw Data'!AB149))=0),"",IF(AND(ISNUMBER('Raw Data'!AB149), IFERROR('Raw Data'!AB149 = ROUND('Raw Data'!AB149, 2),FALSE)),"",_xlfn.REGEXEXTRACT(CELL("address",AB149), "\$([A-Z]+)\$[0-9]+"))),_xlfn.REGEXEXTRACT(CELL("address",AB149), "\$([A-Z]+)\$[0-9]+"))</f>
        <v/>
      </c>
      <c r="AC149" s="7" t="str">
        <f t="array" aca="1" ref="AC149" ca="1">IFERROR(IF(OR('Raw Data'!AC149="",LEN(TRIM('Raw Data'!AC149))=0),"",IF(AND(ISNUMBER('Raw Data'!AC149), IFERROR('Raw Data'!AC149 = ROUND('Raw Data'!AC149, 2),FALSE)),"",_xlfn.REGEXEXTRACT(CELL("address",AC149), "\$([A-Z]+)\$[0-9]+"))),_xlfn.REGEXEXTRACT(CELL("address",AC149), "\$([A-Z]+)\$[0-9]+"))</f>
        <v/>
      </c>
      <c r="AD149" s="7" t="str">
        <f t="array" aca="1" ref="AD149" ca="1">IFERROR(IF(OR('Raw Data'!AD149="",LEN(TRIM('Raw Data'!AD149))=0),"",IF(AND(ISNUMBER('Raw Data'!AD149), IFERROR('Raw Data'!AD149 = ROUND('Raw Data'!AD149, 2),FALSE)),"",_xlfn.REGEXEXTRACT(CELL("address",AD149), "\$([A-Z]+)\$[0-9]+"))),_xlfn.REGEXEXTRACT(CELL("address",AD149), "\$([A-Z]+)\$[0-9]+"))</f>
        <v/>
      </c>
      <c r="AE149" s="7" t="str">
        <f t="array" aca="1" ref="AE149" ca="1">IFERROR(IF(OR('Raw Data'!AE149="",LEN(TRIM('Raw Data'!AE149))=0),"",IF(AND(ISNUMBER('Raw Data'!AE149), IFERROR('Raw Data'!AE149 = ROUND('Raw Data'!AE149, 2),FALSE)),"",_xlfn.REGEXEXTRACT(CELL("address",AE149), "\$([A-Z]+)\$[0-9]+"))),_xlfn.REGEXEXTRACT(CELL("address",AE149), "\$([A-Z]+)\$[0-9]+"))</f>
        <v/>
      </c>
      <c r="AF149" s="7" t="str">
        <f t="array" aca="1" ref="AF149" ca="1">IFERROR(IF(OR('Raw Data'!AF149="",LEN(TRIM('Raw Data'!AF149))=0),"",IF(AND(ISNUMBER('Raw Data'!AF149), IFERROR('Raw Data'!AF149 = ROUND('Raw Data'!AF149, 2),FALSE)),"",_xlfn.REGEXEXTRACT(CELL("address",AF149), "\$([A-Z]+)\$[0-9]+"))),_xlfn.REGEXEXTRACT(CELL("address",AF149), "\$([A-Z]+)\$[0-9]+"))</f>
        <v/>
      </c>
      <c r="AG149" s="7" t="str">
        <f t="array" aca="1" ref="AG149" ca="1">IFERROR(IF(OR('Raw Data'!AG149="",LEN(TRIM('Raw Data'!AG149))=0),"",IF(AND(ISNUMBER('Raw Data'!AG149), IFERROR('Raw Data'!AG149 = ROUND('Raw Data'!AG149, 2),FALSE)),"",_xlfn.REGEXEXTRACT(CELL("address",AG149), "\$([A-Z]+)\$[0-9]+"))),_xlfn.REGEXEXTRACT(CELL("address",AG149), "\$([A-Z]+)\$[0-9]+"))</f>
        <v/>
      </c>
      <c r="AH149" s="7" t="str">
        <f t="array" aca="1" ref="AH149" ca="1">IFERROR(IF(OR('Raw Data'!AH149="",LEN(TRIM('Raw Data'!AH149))=0),"",IF(AND(ISNUMBER('Raw Data'!AH149), IFERROR('Raw Data'!AH149 = ROUND('Raw Data'!AH149, 2),FALSE)),"",_xlfn.REGEXEXTRACT(CELL("address",AH149), "\$([A-Z]+)\$[0-9]+"))),_xlfn.REGEXEXTRACT(CELL("address",AH149), "\$([A-Z]+)\$[0-9]+"))</f>
        <v/>
      </c>
      <c r="AI149" s="7" t="str">
        <f t="array" aca="1" ref="AI149" ca="1">IFERROR(IF(OR('Raw Data'!AI149="",LEN(TRIM('Raw Data'!AI149))=0),"",IF(AND(ISNUMBER('Raw Data'!AI149), IFERROR('Raw Data'!AI149 = ROUND('Raw Data'!AI149, 2),FALSE)),"",_xlfn.REGEXEXTRACT(CELL("address",AI149), "\$([A-Z]+)\$[0-9]+"))),_xlfn.REGEXEXTRACT(CELL("address",AI149), "\$([A-Z]+)\$[0-9]+"))</f>
        <v/>
      </c>
      <c r="AJ149" s="7" t="str">
        <f t="array" aca="1" ref="AJ149" ca="1">IFERROR(IF(OR('Raw Data'!AJ149="",LEN(TRIM('Raw Data'!AJ149))=0),"",IF(AND(ISNUMBER('Raw Data'!AJ149), IFERROR('Raw Data'!AJ149 = ROUND('Raw Data'!AJ149, 4),FALSE)),"",_xlfn.REGEXEXTRACT(CELL("address",AJ149), "\$([A-Z]+)\$[0-9]+"))),_xlfn.REGEXEXTRACT(CELL("address",AJ149), "\$([A-Z]+)\$[0-9]+"))</f>
        <v/>
      </c>
      <c r="AK149" s="7" t="str">
        <f t="array" aca="1" ref="AK149" ca="1">IFERROR(IF(OR('Raw Data'!AK149="",LEN(TRIM('Raw Data'!AK149))=0),"",IF(AND(ISNUMBER('Raw Data'!AK149), IFERROR('Raw Data'!AK149 = ROUND('Raw Data'!AK149, 2),FALSE)),"",_xlfn.REGEXEXTRACT(CELL("address",AK149), "\$([A-Z]+)\$[0-9]+"))),_xlfn.REGEXEXTRACT(CELL("address",AK149), "\$([A-Z]+)\$[0-9]+"))</f>
        <v/>
      </c>
      <c r="AL149" s="7" t="str">
        <f t="array" aca="1" ref="AL149" ca="1">IFERROR(IF(OR('Raw Data'!AL149="",LEN(TRIM('Raw Data'!AL149))=0),"",IF(AND(ISNUMBER('Raw Data'!AL149), IFERROR('Raw Data'!AL149 = ROUND('Raw Data'!AL149, 2),FALSE)),"",_xlfn.REGEXEXTRACT(CELL("address",AL149), "\$([A-Z]+)\$[0-9]+"))),_xlfn.REGEXEXTRACT(CELL("address",AL149), "\$([A-Z]+)\$[0-9]+"))</f>
        <v/>
      </c>
      <c r="AM149" s="7" t="str">
        <f t="array" aca="1" ref="AM149" ca="1">IFERROR(IF(OR('Raw Data'!AM149="",LEN(TRIM('Raw Data'!AM149))=0),"",IF(AND(ISNUMBER('Raw Data'!AM149), IFERROR('Raw Data'!AM149 = ROUND('Raw Data'!AM149, 2),FALSE)),"",_xlfn.REGEXEXTRACT(CELL("address",AM149), "\$([A-Z]+)\$[0-9]+"))),_xlfn.REGEXEXTRACT(CELL("address",AM149), "\$([A-Z]+)\$[0-9]+"))</f>
        <v/>
      </c>
      <c r="AN149" s="7" t="str">
        <f t="array" aca="1" ref="AN149" ca="1">IFERROR(IF(OR('Raw Data'!AN149="",LEN(TRIM('Raw Data'!AN149))=0),"",IF(AND(ISNUMBER('Raw Data'!AN149), IFERROR('Raw Data'!AN149 = ROUND('Raw Data'!AN149, 2),FALSE)),"",_xlfn.REGEXEXTRACT(CELL("address",AN149), "\$([A-Z]+)\$[0-9]+"))),_xlfn.REGEXEXTRACT(CELL("address",AN149), "\$([A-Z]+)\$[0-9]+"))</f>
        <v/>
      </c>
      <c r="AO149" s="7" t="str">
        <f t="array" aca="1" ref="AO149" ca="1">IFERROR(IF(OR('Raw Data'!AO149="",LEN(TRIM('Raw Data'!AO149))=0),"",IF(AND(ISNUMBER('Raw Data'!AO149), IFERROR('Raw Data'!AO149 = ROUND('Raw Data'!AO149, 2),FALSE)),"",_xlfn.REGEXEXTRACT(CELL("address",AO149), "\$([A-Z]+)\$[0-9]+"))),_xlfn.REGEXEXTRACT(CELL("address",AO149), "\$([A-Z]+)\$[0-9]+"))</f>
        <v/>
      </c>
      <c r="AP149" s="7" t="str">
        <f t="array" aca="1" ref="AP149" ca="1">IFERROR(IF(OR('Raw Data'!AP149="",LEN(TRIM('Raw Data'!AP149))=0),"",IF(AND(ISNUMBER('Raw Data'!AP149), IFERROR('Raw Data'!AP149 = ROUND('Raw Data'!AP149, 2),FALSE)),"",_xlfn.REGEXEXTRACT(CELL("address",AP149), "\$([A-Z]+)\$[0-9]+"))),_xlfn.REGEXEXTRACT(CELL("address",AP149), "\$([A-Z]+)\$[0-9]+"))</f>
        <v/>
      </c>
    </row>
    <row r="150" spans="2:42" x14ac:dyDescent="0.25">
      <c r="B150" s="7" t="str">
        <f t="array" aca="1" ref="B150" ca="1">IFERROR(IF(OR('Raw Data'!B150="",LEN(TRIM('Raw Data'!B150))=0),"",IF(AND(LEN('Raw Data'!B150) &lt;= 255,LEN('Raw Data'!B150)&gt; 0),"",_xlfn.REGEXEXTRACT(CELL("address",'Raw Data'!B150),"\$([A-Z]+)\$[0-9]+"))),_xlfn.REGEXEXTRACT(CELL("address",'Raw Data'!B150),"\$([A-Z]+)\$[0-9]+"))</f>
        <v/>
      </c>
      <c r="C150" s="7" t="str">
        <f t="array" aca="1" ref="C150" ca="1">IFERROR(IF(OR('Raw Data'!C150="",LEN(TRIM('Raw Data'!C150))=0),"",IF(AND(LEN('Raw Data'!C150) &lt;= 50,LEN('Raw Data'!C150)&gt; 0),"",_xlfn.REGEXEXTRACT(CELL("address",'Raw Data'!C150),"\$([A-Z]+)\$[0-9]+"))),_xlfn.REGEXEXTRACT(CELL("address",'Raw Data'!C150),"\$([A-Z]+)\$[0-9]+"))</f>
        <v/>
      </c>
      <c r="D150" s="7" t="str">
        <f t="array" aca="1" ref="D150" ca="1">IFERROR(IF(OR('Raw Data'!D150="",LEN(TRIM('Raw Data'!D150))=0),"",IF(AND(LEN('Raw Data'!D150) &lt;= 500,LEN('Raw Data'!D150)&gt; 0),"",_xlfn.REGEXEXTRACT(CELL("address",'Raw Data'!D150),"\$([A-Z]+)\$[0-9]+"))),_xlfn.REGEXEXTRACT(CELL("address",'Raw Data'!D150),"\$([A-Z]+)\$[0-9]+"))</f>
        <v/>
      </c>
      <c r="E150" s="7" t="str">
        <f t="array" aca="1" ref="E150" ca="1">IFERROR(IF(OR('Raw Data'!E150="",LEN(TRIM('Raw Data'!E150))=0),"",IF(AND(LEN('Raw Data'!E150) &lt;= 50,LEN('Raw Data'!E150)&gt; 0),"",_xlfn.REGEXEXTRACT(CELL("address",'Raw Data'!E150),"\$([A-Z]+)\$[0-9]+"))),_xlfn.REGEXEXTRACT(CELL("address",'Raw Data'!E150),"\$([A-Z]+)\$[0-9]+"))</f>
        <v/>
      </c>
      <c r="F150" s="7" t="str">
        <f t="array" aca="1" ref="F150" ca="1">IFERROR(IF(OR('Raw Data'!F150="",LEN(TRIM('Raw Data'!F150))=0),"",IF(AND(LEN('Raw Data'!F150) &lt;= 50,LEN('Raw Data'!F150)&gt; 0),"",_xlfn.REGEXEXTRACT(CELL("address",'Raw Data'!F150),"\$([A-Z]+)\$[0-9]+"))),_xlfn.REGEXEXTRACT(CELL("address",'Raw Data'!F150),"\$([A-Z]+)\$[0-9]+"))</f>
        <v/>
      </c>
      <c r="G150" s="7" t="str">
        <f t="array" aca="1" ref="G150" ca="1">IFERROR(IF(OR('Raw Data'!G150="",LEN(TRIM('Raw Data'!G150))=0),"",IF(AND(LEN('Raw Data'!G150) &lt;= 50,LEN('Raw Data'!G150)&gt; 0),"",_xlfn.REGEXEXTRACT(CELL("address",'Raw Data'!G150),"\$([A-Z]+)\$[0-9]+"))),_xlfn.REGEXEXTRACT(CELL("address",'Raw Data'!G150),"\$([A-Z]+)\$[0-9]+"))</f>
        <v/>
      </c>
      <c r="H150" s="7" t="str">
        <f t="array" aca="1" ref="H150" ca="1">IFERROR(IF(OR('Raw Data'!H150="",LEN(TRIM('Raw Data'!H150))=0),"",IF(AND(LEN('Raw Data'!H150) &lt;= 50,LEN('Raw Data'!H150)&gt; 0),"",_xlfn.REGEXEXTRACT(CELL("address",'Raw Data'!H150),"\$([A-Z]+)\$[0-9]+"))),_xlfn.REGEXEXTRACT(CELL("address",'Raw Data'!H150),"\$([A-Z]+)\$[0-9]+"))</f>
        <v/>
      </c>
      <c r="I150" s="7" t="str">
        <f t="array" aca="1" ref="I150" ca="1">IFERROR(IF(OR('Raw Data'!I150="",LEN(TRIM('Raw Data'!I150))=0),"",IF(AND(LEN('Raw Data'!I150) &lt;= 50,LEN('Raw Data'!I150)&gt; 0),"",_xlfn.REGEXEXTRACT(CELL("address",'Raw Data'!I150),"\$([A-Z]+)\$[0-9]+"))),_xlfn.REGEXEXTRACT(CELL("address",'Raw Data'!I150),"\$([A-Z]+)\$[0-9]+"))</f>
        <v/>
      </c>
      <c r="J150" s="7" t="str">
        <f t="array" aca="1" ref="J150" ca="1">IFERROR(IF(OR('Raw Data'!J150="",LEN(TRIM('Raw Data'!J150))=0),"",IF(AND(ISNUMBER('Raw Data'!J150), IFERROR('Raw Data'!J150 = ROUND('Raw Data'!J150, 2),FALSE)),"",_xlfn.REGEXEXTRACT(CELL("address",J150), "\$([A-Z]+)\$[0-9]+"))),_xlfn.REGEXEXTRACT(CELL("address",J150), "\$([A-Z]+)\$[0-9]+"))</f>
        <v/>
      </c>
      <c r="K150" s="7" t="str">
        <f t="array" aca="1" ref="K150" ca="1">IFERROR(IF(OR('Raw Data'!K150="",LEN(TRIM('Raw Data'!K150))=0),"",IF(AND(ISNUMBER('Raw Data'!K150), IFERROR('Raw Data'!K150 = ROUND('Raw Data'!K150, 2),FALSE)),"",_xlfn.REGEXEXTRACT(CELL("address",K150), "\$([A-Z]+)\$[0-9]+"))),_xlfn.REGEXEXTRACT(CELL("address",K150), "\$([A-Z]+)\$[0-9]+"))</f>
        <v/>
      </c>
      <c r="L150" s="7" t="str">
        <f t="array" aca="1" ref="L150" ca="1">IFERROR(IF(OR('Raw Data'!L150="",LEN(TRIM('Raw Data'!L150))=0),"",IF(AND(ISNUMBER('Raw Data'!L150), IFERROR('Raw Data'!L150 = ROUND('Raw Data'!L150, 2),FALSE)),"",_xlfn.REGEXEXTRACT(CELL("address",L150), "\$([A-Z]+)\$[0-9]+"))),_xlfn.REGEXEXTRACT(CELL("address",L150), "\$([A-Z]+)\$[0-9]+"))</f>
        <v/>
      </c>
      <c r="M150" s="7" t="str">
        <f t="array" aca="1" ref="M150" ca="1">IFERROR(IF(OR('Raw Data'!M150="",LEN(TRIM('Raw Data'!M150))=0),"",IF(AND(ISNUMBER('Raw Data'!M150), IFERROR('Raw Data'!M150 = ROUND('Raw Data'!M150, 2),FALSE)),"",_xlfn.REGEXEXTRACT(CELL("address",M150), "\$([A-Z]+)\$[0-9]+"))),_xlfn.REGEXEXTRACT(CELL("address",M150), "\$([A-Z]+)\$[0-9]+"))</f>
        <v/>
      </c>
      <c r="N150" s="7" t="str">
        <f t="array" aca="1" ref="N150" ca="1">IFERROR(IF(OR('Raw Data'!N150="",LEN(TRIM('Raw Data'!N150))=0),"",IF(AND(ISNUMBER('Raw Data'!N150), IFERROR('Raw Data'!N150 = ROUND('Raw Data'!N150, 2),FALSE)),"",_xlfn.REGEXEXTRACT(CELL("address",N150), "\$([A-Z]+)\$[0-9]+"))),_xlfn.REGEXEXTRACT(CELL("address",N150), "\$([A-Z]+)\$[0-9]+"))</f>
        <v/>
      </c>
      <c r="O150" s="7" t="str">
        <f t="array" aca="1" ref="O150" ca="1">IFERROR(IF(OR('Raw Data'!O150="",LEN(TRIM('Raw Data'!O150))=0),"",IF(AND(ISNUMBER('Raw Data'!O150),'Raw Data'!O150&gt;=Configuration!$D$2),"",_xlfn.REGEXEXTRACT(CELL("address",'Raw Data'!O150),"\$([A-Z]+)\$[0-9]+"))),_xlfn.REGEXEXTRACT(CELL("address",O150), "\$([A-Z]+)\$[0-9]+"))</f>
        <v/>
      </c>
      <c r="P150" s="7" t="str">
        <f t="array" aca="1" ref="P150" ca="1">IFERROR(IF(OR('Raw Data'!P150="",LEN(TRIM('Raw Data'!P150))=0),"",IF(AND(ISNUMBER('Raw Data'!P150), IFERROR('Raw Data'!P150 = ROUND('Raw Data'!P150, 2),FALSE)),"",_xlfn.REGEXEXTRACT(CELL("address",P150), "\$([A-Z]+)\$[0-9]+"))),_xlfn.REGEXEXTRACT(CELL("address",P150), "\$([A-Z]+)\$[0-9]+"))</f>
        <v/>
      </c>
      <c r="Q150" s="7" t="str">
        <f t="array" aca="1" ref="Q150" ca="1">IFERROR(IF(OR('Raw Data'!Q150="",LEN(TRIM('Raw Data'!Q150))=0),"",IF(AND(ISNUMBER('Raw Data'!Q150), IFERROR('Raw Data'!Q150 = ROUND('Raw Data'!Q150, 2),FALSE)),"",_xlfn.REGEXEXTRACT(CELL("address",Q150), "\$([A-Z]+)\$[0-9]+"))),_xlfn.REGEXEXTRACT(CELL("address",Q150), "\$([A-Z]+)\$[0-9]+"))</f>
        <v/>
      </c>
      <c r="R150" s="7" t="str">
        <f t="array" aca="1" ref="R150" ca="1">IFERROR(IF(OR('Raw Data'!R150="",LEN(TRIM('Raw Data'!R150))=0),"",IF(AND(LEN('Raw Data'!R150) &lt;= 50,LEN('Raw Data'!R150)&gt; 0),"",_xlfn.REGEXEXTRACT(CELL("address",'Raw Data'!R150),"\$([A-Z]+)\$[0-9]+"))),_xlfn.REGEXEXTRACT(CELL("address",'Raw Data'!R150),"\$([A-Z]+)\$[0-9]+"))</f>
        <v/>
      </c>
      <c r="S150" s="7" t="str">
        <f t="array" aca="1" ref="S150" ca="1">IFERROR(IF(OR('Raw Data'!S150="",LEN(TRIM('Raw Data'!S150))=0),"",IF(AND(LEN('Raw Data'!S150) &lt;= 50,LEN('Raw Data'!S150)&gt; 0),"",_xlfn.REGEXEXTRACT(CELL("address",'Raw Data'!S150),"\$([A-Z]+)\$[0-9]+"))),_xlfn.REGEXEXTRACT(CELL("address",'Raw Data'!S150),"\$([A-Z]+)\$[0-9]+"))</f>
        <v/>
      </c>
      <c r="T150" s="7" t="str">
        <f t="array" aca="1" ref="T150" ca="1">IFERROR(IF(OR('Raw Data'!T150="",LEN(TRIM('Raw Data'!T150))=0),"",IF(AND(ISNUMBER('Raw Data'!T150), IFERROR('Raw Data'!T150 = ROUND('Raw Data'!T150, 2),FALSE)),"",_xlfn.REGEXEXTRACT(CELL("address",T150), "\$([A-Z]+)\$[0-9]+"))),_xlfn.REGEXEXTRACT(CELL("address",T150), "\$([A-Z]+)\$[0-9]+"))</f>
        <v/>
      </c>
      <c r="U150" s="7" t="str">
        <f t="array" aca="1" ref="U150" ca="1">IFERROR(IF(OR('Raw Data'!U150="",LEN(TRIM('Raw Data'!U150))=0),"",IF(AND(ISNUMBER('Raw Data'!U150), IFERROR('Raw Data'!U150 = ROUND('Raw Data'!U150, 2),FALSE)),"",_xlfn.REGEXEXTRACT(CELL("address",U150), "\$([A-Z]+)\$[0-9]+"))),_xlfn.REGEXEXTRACT(CELL("address",U150), "\$([A-Z]+)\$[0-9]+"))</f>
        <v/>
      </c>
      <c r="V150" s="7" t="str">
        <f t="array" aca="1" ref="V150" ca="1">IFERROR(IF(OR('Raw Data'!V150="",LEN(TRIM('Raw Data'!V150))=0),"",IF(AND(ISNUMBER('Raw Data'!V150), IFERROR('Raw Data'!V150 = ROUND('Raw Data'!V150, 2),FALSE)),"",_xlfn.REGEXEXTRACT(CELL("address",V150), "\$([A-Z]+)\$[0-9]+"))),_xlfn.REGEXEXTRACT(CELL("address",V150), "\$([A-Z]+)\$[0-9]+"))</f>
        <v/>
      </c>
      <c r="W150" s="7" t="str">
        <f t="array" aca="1" ref="W150" ca="1">IFERROR(IF(OR('Raw Data'!W150="",LEN(TRIM('Raw Data'!W150))=0),"",IF(AND(ISNUMBER('Raw Data'!W150), IFERROR('Raw Data'!W150 = ROUND('Raw Data'!W150, 2),FALSE)),"",_xlfn.REGEXEXTRACT(CELL("address",W150), "\$([A-Z]+)\$[0-9]+"))),_xlfn.REGEXEXTRACT(CELL("address",W150), "\$([A-Z]+)\$[0-9]+"))</f>
        <v/>
      </c>
      <c r="X150" s="7" t="str">
        <f t="array" aca="1" ref="X150" ca="1">IFERROR(IF(OR('Raw Data'!X150="",LEN(TRIM('Raw Data'!X150))=0),"",IF(AND(ISNUMBER('Raw Data'!X150), IFERROR('Raw Data'!X150 = ROUND('Raw Data'!X150, 2),FALSE)),"",_xlfn.REGEXEXTRACT(CELL("address",X150), "\$([A-Z]+)\$[0-9]+"))),_xlfn.REGEXEXTRACT(CELL("address",X150), "\$([A-Z]+)\$[0-9]+"))</f>
        <v/>
      </c>
      <c r="Y150" s="7" t="str">
        <f t="array" aca="1" ref="Y150" ca="1">IFERROR(IF(OR('Raw Data'!Y150="",LEN(TRIM('Raw Data'!Y150))=0),"",IF(AND(ISNUMBER('Raw Data'!Y150), IFERROR('Raw Data'!Y150 = ROUND('Raw Data'!Y150, 2),FALSE)),"",_xlfn.REGEXEXTRACT(CELL("address",Y150), "\$([A-Z]+)\$[0-9]+"))),_xlfn.REGEXEXTRACT(CELL("address",Y150), "\$([A-Z]+)\$[0-9]+"))</f>
        <v/>
      </c>
      <c r="Z150" s="7" t="str">
        <f t="array" aca="1" ref="Z150" ca="1">IFERROR(IF(OR('Raw Data'!Z150="",LEN(TRIM('Raw Data'!Z150))=0),"",IF(AND(ISNUMBER('Raw Data'!Z150), IFERROR('Raw Data'!Z150 = ROUND('Raw Data'!Z150, 2),FALSE)),"",_xlfn.REGEXEXTRACT(CELL("address",Z150), "\$([A-Z]+)\$[0-9]+"))),_xlfn.REGEXEXTRACT(CELL("address",Z150), "\$([A-Z]+)\$[0-9]+"))</f>
        <v/>
      </c>
      <c r="AA150" s="7" t="str">
        <f t="array" aca="1" ref="AA150" ca="1">IFERROR(IF(OR('Raw Data'!AA150="",LEN(TRIM('Raw Data'!AA150))=0),"",IF(AND(ISNUMBER('Raw Data'!AA150), IFERROR('Raw Data'!AA150 = ROUND('Raw Data'!AA150, 2),FALSE)),"",_xlfn.REGEXEXTRACT(CELL("address",AA150), "\$([A-Z]+)\$[0-9]+"))),_xlfn.REGEXEXTRACT(CELL("address",AA150), "\$([A-Z]+)\$[0-9]+"))</f>
        <v/>
      </c>
      <c r="AB150" s="7" t="str">
        <f t="array" aca="1" ref="AB150" ca="1">IFERROR(IF(OR('Raw Data'!AB150="",LEN(TRIM('Raw Data'!AB150))=0),"",IF(AND(ISNUMBER('Raw Data'!AB150), IFERROR('Raw Data'!AB150 = ROUND('Raw Data'!AB150, 2),FALSE)),"",_xlfn.REGEXEXTRACT(CELL("address",AB150), "\$([A-Z]+)\$[0-9]+"))),_xlfn.REGEXEXTRACT(CELL("address",AB150), "\$([A-Z]+)\$[0-9]+"))</f>
        <v/>
      </c>
      <c r="AC150" s="7" t="str">
        <f t="array" aca="1" ref="AC150" ca="1">IFERROR(IF(OR('Raw Data'!AC150="",LEN(TRIM('Raw Data'!AC150))=0),"",IF(AND(ISNUMBER('Raw Data'!AC150), IFERROR('Raw Data'!AC150 = ROUND('Raw Data'!AC150, 2),FALSE)),"",_xlfn.REGEXEXTRACT(CELL("address",AC150), "\$([A-Z]+)\$[0-9]+"))),_xlfn.REGEXEXTRACT(CELL("address",AC150), "\$([A-Z]+)\$[0-9]+"))</f>
        <v/>
      </c>
      <c r="AD150" s="7" t="str">
        <f t="array" aca="1" ref="AD150" ca="1">IFERROR(IF(OR('Raw Data'!AD150="",LEN(TRIM('Raw Data'!AD150))=0),"",IF(AND(ISNUMBER('Raw Data'!AD150), IFERROR('Raw Data'!AD150 = ROUND('Raw Data'!AD150, 2),FALSE)),"",_xlfn.REGEXEXTRACT(CELL("address",AD150), "\$([A-Z]+)\$[0-9]+"))),_xlfn.REGEXEXTRACT(CELL("address",AD150), "\$([A-Z]+)\$[0-9]+"))</f>
        <v/>
      </c>
      <c r="AE150" s="7" t="str">
        <f t="array" aca="1" ref="AE150" ca="1">IFERROR(IF(OR('Raw Data'!AE150="",LEN(TRIM('Raw Data'!AE150))=0),"",IF(AND(ISNUMBER('Raw Data'!AE150), IFERROR('Raw Data'!AE150 = ROUND('Raw Data'!AE150, 2),FALSE)),"",_xlfn.REGEXEXTRACT(CELL("address",AE150), "\$([A-Z]+)\$[0-9]+"))),_xlfn.REGEXEXTRACT(CELL("address",AE150), "\$([A-Z]+)\$[0-9]+"))</f>
        <v/>
      </c>
      <c r="AF150" s="7" t="str">
        <f t="array" aca="1" ref="AF150" ca="1">IFERROR(IF(OR('Raw Data'!AF150="",LEN(TRIM('Raw Data'!AF150))=0),"",IF(AND(ISNUMBER('Raw Data'!AF150), IFERROR('Raw Data'!AF150 = ROUND('Raw Data'!AF150, 2),FALSE)),"",_xlfn.REGEXEXTRACT(CELL("address",AF150), "\$([A-Z]+)\$[0-9]+"))),_xlfn.REGEXEXTRACT(CELL("address",AF150), "\$([A-Z]+)\$[0-9]+"))</f>
        <v/>
      </c>
      <c r="AG150" s="7" t="str">
        <f t="array" aca="1" ref="AG150" ca="1">IFERROR(IF(OR('Raw Data'!AG150="",LEN(TRIM('Raw Data'!AG150))=0),"",IF(AND(ISNUMBER('Raw Data'!AG150), IFERROR('Raw Data'!AG150 = ROUND('Raw Data'!AG150, 2),FALSE)),"",_xlfn.REGEXEXTRACT(CELL("address",AG150), "\$([A-Z]+)\$[0-9]+"))),_xlfn.REGEXEXTRACT(CELL("address",AG150), "\$([A-Z]+)\$[0-9]+"))</f>
        <v/>
      </c>
      <c r="AH150" s="7" t="str">
        <f t="array" aca="1" ref="AH150" ca="1">IFERROR(IF(OR('Raw Data'!AH150="",LEN(TRIM('Raw Data'!AH150))=0),"",IF(AND(ISNUMBER('Raw Data'!AH150), IFERROR('Raw Data'!AH150 = ROUND('Raw Data'!AH150, 2),FALSE)),"",_xlfn.REGEXEXTRACT(CELL("address",AH150), "\$([A-Z]+)\$[0-9]+"))),_xlfn.REGEXEXTRACT(CELL("address",AH150), "\$([A-Z]+)\$[0-9]+"))</f>
        <v/>
      </c>
      <c r="AI150" s="7" t="str">
        <f t="array" aca="1" ref="AI150" ca="1">IFERROR(IF(OR('Raw Data'!AI150="",LEN(TRIM('Raw Data'!AI150))=0),"",IF(AND(ISNUMBER('Raw Data'!AI150), IFERROR('Raw Data'!AI150 = ROUND('Raw Data'!AI150, 2),FALSE)),"",_xlfn.REGEXEXTRACT(CELL("address",AI150), "\$([A-Z]+)\$[0-9]+"))),_xlfn.REGEXEXTRACT(CELL("address",AI150), "\$([A-Z]+)\$[0-9]+"))</f>
        <v/>
      </c>
      <c r="AJ150" s="7" t="str">
        <f t="array" aca="1" ref="AJ150" ca="1">IFERROR(IF(OR('Raw Data'!AJ150="",LEN(TRIM('Raw Data'!AJ150))=0),"",IF(AND(ISNUMBER('Raw Data'!AJ150), IFERROR('Raw Data'!AJ150 = ROUND('Raw Data'!AJ150, 4),FALSE)),"",_xlfn.REGEXEXTRACT(CELL("address",AJ150), "\$([A-Z]+)\$[0-9]+"))),_xlfn.REGEXEXTRACT(CELL("address",AJ150), "\$([A-Z]+)\$[0-9]+"))</f>
        <v/>
      </c>
      <c r="AK150" s="7" t="str">
        <f t="array" aca="1" ref="AK150" ca="1">IFERROR(IF(OR('Raw Data'!AK150="",LEN(TRIM('Raw Data'!AK150))=0),"",IF(AND(ISNUMBER('Raw Data'!AK150), IFERROR('Raw Data'!AK150 = ROUND('Raw Data'!AK150, 2),FALSE)),"",_xlfn.REGEXEXTRACT(CELL("address",AK150), "\$([A-Z]+)\$[0-9]+"))),_xlfn.REGEXEXTRACT(CELL("address",AK150), "\$([A-Z]+)\$[0-9]+"))</f>
        <v/>
      </c>
      <c r="AL150" s="7" t="str">
        <f t="array" aca="1" ref="AL150" ca="1">IFERROR(IF(OR('Raw Data'!AL150="",LEN(TRIM('Raw Data'!AL150))=0),"",IF(AND(ISNUMBER('Raw Data'!AL150), IFERROR('Raw Data'!AL150 = ROUND('Raw Data'!AL150, 2),FALSE)),"",_xlfn.REGEXEXTRACT(CELL("address",AL150), "\$([A-Z]+)\$[0-9]+"))),_xlfn.REGEXEXTRACT(CELL("address",AL150), "\$([A-Z]+)\$[0-9]+"))</f>
        <v/>
      </c>
      <c r="AM150" s="7" t="str">
        <f t="array" aca="1" ref="AM150" ca="1">IFERROR(IF(OR('Raw Data'!AM150="",LEN(TRIM('Raw Data'!AM150))=0),"",IF(AND(ISNUMBER('Raw Data'!AM150), IFERROR('Raw Data'!AM150 = ROUND('Raw Data'!AM150, 2),FALSE)),"",_xlfn.REGEXEXTRACT(CELL("address",AM150), "\$([A-Z]+)\$[0-9]+"))),_xlfn.REGEXEXTRACT(CELL("address",AM150), "\$([A-Z]+)\$[0-9]+"))</f>
        <v/>
      </c>
      <c r="AN150" s="7" t="str">
        <f t="array" aca="1" ref="AN150" ca="1">IFERROR(IF(OR('Raw Data'!AN150="",LEN(TRIM('Raw Data'!AN150))=0),"",IF(AND(ISNUMBER('Raw Data'!AN150), IFERROR('Raw Data'!AN150 = ROUND('Raw Data'!AN150, 2),FALSE)),"",_xlfn.REGEXEXTRACT(CELL("address",AN150), "\$([A-Z]+)\$[0-9]+"))),_xlfn.REGEXEXTRACT(CELL("address",AN150), "\$([A-Z]+)\$[0-9]+"))</f>
        <v/>
      </c>
      <c r="AO150" s="7" t="str">
        <f t="array" aca="1" ref="AO150" ca="1">IFERROR(IF(OR('Raw Data'!AO150="",LEN(TRIM('Raw Data'!AO150))=0),"",IF(AND(ISNUMBER('Raw Data'!AO150), IFERROR('Raw Data'!AO150 = ROUND('Raw Data'!AO150, 2),FALSE)),"",_xlfn.REGEXEXTRACT(CELL("address",AO150), "\$([A-Z]+)\$[0-9]+"))),_xlfn.REGEXEXTRACT(CELL("address",AO150), "\$([A-Z]+)\$[0-9]+"))</f>
        <v/>
      </c>
      <c r="AP150" s="7" t="str">
        <f t="array" aca="1" ref="AP150" ca="1">IFERROR(IF(OR('Raw Data'!AP150="",LEN(TRIM('Raw Data'!AP150))=0),"",IF(AND(ISNUMBER('Raw Data'!AP150), IFERROR('Raw Data'!AP150 = ROUND('Raw Data'!AP150, 2),FALSE)),"",_xlfn.REGEXEXTRACT(CELL("address",AP150), "\$([A-Z]+)\$[0-9]+"))),_xlfn.REGEXEXTRACT(CELL("address",AP150), "\$([A-Z]+)\$[0-9]+"))</f>
        <v/>
      </c>
    </row>
    <row r="151" spans="2:42" x14ac:dyDescent="0.25">
      <c r="B151" s="7" t="str">
        <f t="array" aca="1" ref="B151" ca="1">IFERROR(IF(OR('Raw Data'!B151="",LEN(TRIM('Raw Data'!B151))=0),"",IF(AND(LEN('Raw Data'!B151) &lt;= 255,LEN('Raw Data'!B151)&gt; 0),"",_xlfn.REGEXEXTRACT(CELL("address",'Raw Data'!B151),"\$([A-Z]+)\$[0-9]+"))),_xlfn.REGEXEXTRACT(CELL("address",'Raw Data'!B151),"\$([A-Z]+)\$[0-9]+"))</f>
        <v/>
      </c>
      <c r="C151" s="7" t="str">
        <f t="array" aca="1" ref="C151" ca="1">IFERROR(IF(OR('Raw Data'!C151="",LEN(TRIM('Raw Data'!C151))=0),"",IF(AND(LEN('Raw Data'!C151) &lt;= 50,LEN('Raw Data'!C151)&gt; 0),"",_xlfn.REGEXEXTRACT(CELL("address",'Raw Data'!C151),"\$([A-Z]+)\$[0-9]+"))),_xlfn.REGEXEXTRACT(CELL("address",'Raw Data'!C151),"\$([A-Z]+)\$[0-9]+"))</f>
        <v/>
      </c>
      <c r="D151" s="7" t="str">
        <f t="array" aca="1" ref="D151" ca="1">IFERROR(IF(OR('Raw Data'!D151="",LEN(TRIM('Raw Data'!D151))=0),"",IF(AND(LEN('Raw Data'!D151) &lt;= 500,LEN('Raw Data'!D151)&gt; 0),"",_xlfn.REGEXEXTRACT(CELL("address",'Raw Data'!D151),"\$([A-Z]+)\$[0-9]+"))),_xlfn.REGEXEXTRACT(CELL("address",'Raw Data'!D151),"\$([A-Z]+)\$[0-9]+"))</f>
        <v/>
      </c>
      <c r="E151" s="7" t="str">
        <f t="array" aca="1" ref="E151" ca="1">IFERROR(IF(OR('Raw Data'!E151="",LEN(TRIM('Raw Data'!E151))=0),"",IF(AND(LEN('Raw Data'!E151) &lt;= 50,LEN('Raw Data'!E151)&gt; 0),"",_xlfn.REGEXEXTRACT(CELL("address",'Raw Data'!E151),"\$([A-Z]+)\$[0-9]+"))),_xlfn.REGEXEXTRACT(CELL("address",'Raw Data'!E151),"\$([A-Z]+)\$[0-9]+"))</f>
        <v/>
      </c>
      <c r="F151" s="7" t="str">
        <f t="array" aca="1" ref="F151" ca="1">IFERROR(IF(OR('Raw Data'!F151="",LEN(TRIM('Raw Data'!F151))=0),"",IF(AND(LEN('Raw Data'!F151) &lt;= 50,LEN('Raw Data'!F151)&gt; 0),"",_xlfn.REGEXEXTRACT(CELL("address",'Raw Data'!F151),"\$([A-Z]+)\$[0-9]+"))),_xlfn.REGEXEXTRACT(CELL("address",'Raw Data'!F151),"\$([A-Z]+)\$[0-9]+"))</f>
        <v/>
      </c>
      <c r="G151" s="7" t="str">
        <f t="array" aca="1" ref="G151" ca="1">IFERROR(IF(OR('Raw Data'!G151="",LEN(TRIM('Raw Data'!G151))=0),"",IF(AND(LEN('Raw Data'!G151) &lt;= 50,LEN('Raw Data'!G151)&gt; 0),"",_xlfn.REGEXEXTRACT(CELL("address",'Raw Data'!G151),"\$([A-Z]+)\$[0-9]+"))),_xlfn.REGEXEXTRACT(CELL("address",'Raw Data'!G151),"\$([A-Z]+)\$[0-9]+"))</f>
        <v/>
      </c>
      <c r="H151" s="7" t="str">
        <f t="array" aca="1" ref="H151" ca="1">IFERROR(IF(OR('Raw Data'!H151="",LEN(TRIM('Raw Data'!H151))=0),"",IF(AND(LEN('Raw Data'!H151) &lt;= 50,LEN('Raw Data'!H151)&gt; 0),"",_xlfn.REGEXEXTRACT(CELL("address",'Raw Data'!H151),"\$([A-Z]+)\$[0-9]+"))),_xlfn.REGEXEXTRACT(CELL("address",'Raw Data'!H151),"\$([A-Z]+)\$[0-9]+"))</f>
        <v/>
      </c>
      <c r="I151" s="7" t="str">
        <f t="array" aca="1" ref="I151" ca="1">IFERROR(IF(OR('Raw Data'!I151="",LEN(TRIM('Raw Data'!I151))=0),"",IF(AND(LEN('Raw Data'!I151) &lt;= 50,LEN('Raw Data'!I151)&gt; 0),"",_xlfn.REGEXEXTRACT(CELL("address",'Raw Data'!I151),"\$([A-Z]+)\$[0-9]+"))),_xlfn.REGEXEXTRACT(CELL("address",'Raw Data'!I151),"\$([A-Z]+)\$[0-9]+"))</f>
        <v/>
      </c>
      <c r="J151" s="7" t="str">
        <f t="array" aca="1" ref="J151" ca="1">IFERROR(IF(OR('Raw Data'!J151="",LEN(TRIM('Raw Data'!J151))=0),"",IF(AND(ISNUMBER('Raw Data'!J151), IFERROR('Raw Data'!J151 = ROUND('Raw Data'!J151, 2),FALSE)),"",_xlfn.REGEXEXTRACT(CELL("address",J151), "\$([A-Z]+)\$[0-9]+"))),_xlfn.REGEXEXTRACT(CELL("address",J151), "\$([A-Z]+)\$[0-9]+"))</f>
        <v/>
      </c>
      <c r="K151" s="7" t="str">
        <f t="array" aca="1" ref="K151" ca="1">IFERROR(IF(OR('Raw Data'!K151="",LEN(TRIM('Raw Data'!K151))=0),"",IF(AND(ISNUMBER('Raw Data'!K151), IFERROR('Raw Data'!K151 = ROUND('Raw Data'!K151, 2),FALSE)),"",_xlfn.REGEXEXTRACT(CELL("address",K151), "\$([A-Z]+)\$[0-9]+"))),_xlfn.REGEXEXTRACT(CELL("address",K151), "\$([A-Z]+)\$[0-9]+"))</f>
        <v/>
      </c>
      <c r="L151" s="7" t="str">
        <f t="array" aca="1" ref="L151" ca="1">IFERROR(IF(OR('Raw Data'!L151="",LEN(TRIM('Raw Data'!L151))=0),"",IF(AND(ISNUMBER('Raw Data'!L151), IFERROR('Raw Data'!L151 = ROUND('Raw Data'!L151, 2),FALSE)),"",_xlfn.REGEXEXTRACT(CELL("address",L151), "\$([A-Z]+)\$[0-9]+"))),_xlfn.REGEXEXTRACT(CELL("address",L151), "\$([A-Z]+)\$[0-9]+"))</f>
        <v/>
      </c>
      <c r="M151" s="7" t="str">
        <f t="array" aca="1" ref="M151" ca="1">IFERROR(IF(OR('Raw Data'!M151="",LEN(TRIM('Raw Data'!M151))=0),"",IF(AND(ISNUMBER('Raw Data'!M151), IFERROR('Raw Data'!M151 = ROUND('Raw Data'!M151, 2),FALSE)),"",_xlfn.REGEXEXTRACT(CELL("address",M151), "\$([A-Z]+)\$[0-9]+"))),_xlfn.REGEXEXTRACT(CELL("address",M151), "\$([A-Z]+)\$[0-9]+"))</f>
        <v/>
      </c>
      <c r="N151" s="7" t="str">
        <f t="array" aca="1" ref="N151" ca="1">IFERROR(IF(OR('Raw Data'!N151="",LEN(TRIM('Raw Data'!N151))=0),"",IF(AND(ISNUMBER('Raw Data'!N151), IFERROR('Raw Data'!N151 = ROUND('Raw Data'!N151, 2),FALSE)),"",_xlfn.REGEXEXTRACT(CELL("address",N151), "\$([A-Z]+)\$[0-9]+"))),_xlfn.REGEXEXTRACT(CELL("address",N151), "\$([A-Z]+)\$[0-9]+"))</f>
        <v/>
      </c>
      <c r="O151" s="7" t="str">
        <f t="array" aca="1" ref="O151" ca="1">IFERROR(IF(OR('Raw Data'!O151="",LEN(TRIM('Raw Data'!O151))=0),"",IF(AND(ISNUMBER('Raw Data'!O151),'Raw Data'!O151&gt;=Configuration!$D$2),"",_xlfn.REGEXEXTRACT(CELL("address",'Raw Data'!O151),"\$([A-Z]+)\$[0-9]+"))),_xlfn.REGEXEXTRACT(CELL("address",O151), "\$([A-Z]+)\$[0-9]+"))</f>
        <v/>
      </c>
      <c r="P151" s="7" t="str">
        <f t="array" aca="1" ref="P151" ca="1">IFERROR(IF(OR('Raw Data'!P151="",LEN(TRIM('Raw Data'!P151))=0),"",IF(AND(ISNUMBER('Raw Data'!P151), IFERROR('Raw Data'!P151 = ROUND('Raw Data'!P151, 2),FALSE)),"",_xlfn.REGEXEXTRACT(CELL("address",P151), "\$([A-Z]+)\$[0-9]+"))),_xlfn.REGEXEXTRACT(CELL("address",P151), "\$([A-Z]+)\$[0-9]+"))</f>
        <v/>
      </c>
      <c r="Q151" s="7" t="str">
        <f t="array" aca="1" ref="Q151" ca="1">IFERROR(IF(OR('Raw Data'!Q151="",LEN(TRIM('Raw Data'!Q151))=0),"",IF(AND(ISNUMBER('Raw Data'!Q151), IFERROR('Raw Data'!Q151 = ROUND('Raw Data'!Q151, 2),FALSE)),"",_xlfn.REGEXEXTRACT(CELL("address",Q151), "\$([A-Z]+)\$[0-9]+"))),_xlfn.REGEXEXTRACT(CELL("address",Q151), "\$([A-Z]+)\$[0-9]+"))</f>
        <v/>
      </c>
      <c r="R151" s="7" t="str">
        <f t="array" aca="1" ref="R151" ca="1">IFERROR(IF(OR('Raw Data'!R151="",LEN(TRIM('Raw Data'!R151))=0),"",IF(AND(LEN('Raw Data'!R151) &lt;= 50,LEN('Raw Data'!R151)&gt; 0),"",_xlfn.REGEXEXTRACT(CELL("address",'Raw Data'!R151),"\$([A-Z]+)\$[0-9]+"))),_xlfn.REGEXEXTRACT(CELL("address",'Raw Data'!R151),"\$([A-Z]+)\$[0-9]+"))</f>
        <v/>
      </c>
      <c r="S151" s="7" t="str">
        <f t="array" aca="1" ref="S151" ca="1">IFERROR(IF(OR('Raw Data'!S151="",LEN(TRIM('Raw Data'!S151))=0),"",IF(AND(LEN('Raw Data'!S151) &lt;= 50,LEN('Raw Data'!S151)&gt; 0),"",_xlfn.REGEXEXTRACT(CELL("address",'Raw Data'!S151),"\$([A-Z]+)\$[0-9]+"))),_xlfn.REGEXEXTRACT(CELL("address",'Raw Data'!S151),"\$([A-Z]+)\$[0-9]+"))</f>
        <v/>
      </c>
      <c r="T151" s="7" t="str">
        <f t="array" aca="1" ref="T151" ca="1">IFERROR(IF(OR('Raw Data'!T151="",LEN(TRIM('Raw Data'!T151))=0),"",IF(AND(ISNUMBER('Raw Data'!T151), IFERROR('Raw Data'!T151 = ROUND('Raw Data'!T151, 2),FALSE)),"",_xlfn.REGEXEXTRACT(CELL("address",T151), "\$([A-Z]+)\$[0-9]+"))),_xlfn.REGEXEXTRACT(CELL("address",T151), "\$([A-Z]+)\$[0-9]+"))</f>
        <v/>
      </c>
      <c r="U151" s="7" t="str">
        <f t="array" aca="1" ref="U151" ca="1">IFERROR(IF(OR('Raw Data'!U151="",LEN(TRIM('Raw Data'!U151))=0),"",IF(AND(ISNUMBER('Raw Data'!U151), IFERROR('Raw Data'!U151 = ROUND('Raw Data'!U151, 2),FALSE)),"",_xlfn.REGEXEXTRACT(CELL("address",U151), "\$([A-Z]+)\$[0-9]+"))),_xlfn.REGEXEXTRACT(CELL("address",U151), "\$([A-Z]+)\$[0-9]+"))</f>
        <v/>
      </c>
      <c r="V151" s="7" t="str">
        <f t="array" aca="1" ref="V151" ca="1">IFERROR(IF(OR('Raw Data'!V151="",LEN(TRIM('Raw Data'!V151))=0),"",IF(AND(ISNUMBER('Raw Data'!V151), IFERROR('Raw Data'!V151 = ROUND('Raw Data'!V151, 2),FALSE)),"",_xlfn.REGEXEXTRACT(CELL("address",V151), "\$([A-Z]+)\$[0-9]+"))),_xlfn.REGEXEXTRACT(CELL("address",V151), "\$([A-Z]+)\$[0-9]+"))</f>
        <v/>
      </c>
      <c r="W151" s="7" t="str">
        <f t="array" aca="1" ref="W151" ca="1">IFERROR(IF(OR('Raw Data'!W151="",LEN(TRIM('Raw Data'!W151))=0),"",IF(AND(ISNUMBER('Raw Data'!W151), IFERROR('Raw Data'!W151 = ROUND('Raw Data'!W151, 2),FALSE)),"",_xlfn.REGEXEXTRACT(CELL("address",W151), "\$([A-Z]+)\$[0-9]+"))),_xlfn.REGEXEXTRACT(CELL("address",W151), "\$([A-Z]+)\$[0-9]+"))</f>
        <v/>
      </c>
      <c r="X151" s="7" t="str">
        <f t="array" aca="1" ref="X151" ca="1">IFERROR(IF(OR('Raw Data'!X151="",LEN(TRIM('Raw Data'!X151))=0),"",IF(AND(ISNUMBER('Raw Data'!X151), IFERROR('Raw Data'!X151 = ROUND('Raw Data'!X151, 2),FALSE)),"",_xlfn.REGEXEXTRACT(CELL("address",X151), "\$([A-Z]+)\$[0-9]+"))),_xlfn.REGEXEXTRACT(CELL("address",X151), "\$([A-Z]+)\$[0-9]+"))</f>
        <v/>
      </c>
      <c r="Y151" s="7" t="str">
        <f t="array" aca="1" ref="Y151" ca="1">IFERROR(IF(OR('Raw Data'!Y151="",LEN(TRIM('Raw Data'!Y151))=0),"",IF(AND(ISNUMBER('Raw Data'!Y151), IFERROR('Raw Data'!Y151 = ROUND('Raw Data'!Y151, 2),FALSE)),"",_xlfn.REGEXEXTRACT(CELL("address",Y151), "\$([A-Z]+)\$[0-9]+"))),_xlfn.REGEXEXTRACT(CELL("address",Y151), "\$([A-Z]+)\$[0-9]+"))</f>
        <v/>
      </c>
      <c r="Z151" s="7" t="str">
        <f t="array" aca="1" ref="Z151" ca="1">IFERROR(IF(OR('Raw Data'!Z151="",LEN(TRIM('Raw Data'!Z151))=0),"",IF(AND(ISNUMBER('Raw Data'!Z151), IFERROR('Raw Data'!Z151 = ROUND('Raw Data'!Z151, 2),FALSE)),"",_xlfn.REGEXEXTRACT(CELL("address",Z151), "\$([A-Z]+)\$[0-9]+"))),_xlfn.REGEXEXTRACT(CELL("address",Z151), "\$([A-Z]+)\$[0-9]+"))</f>
        <v/>
      </c>
      <c r="AA151" s="7" t="str">
        <f t="array" aca="1" ref="AA151" ca="1">IFERROR(IF(OR('Raw Data'!AA151="",LEN(TRIM('Raw Data'!AA151))=0),"",IF(AND(ISNUMBER('Raw Data'!AA151), IFERROR('Raw Data'!AA151 = ROUND('Raw Data'!AA151, 2),FALSE)),"",_xlfn.REGEXEXTRACT(CELL("address",AA151), "\$([A-Z]+)\$[0-9]+"))),_xlfn.REGEXEXTRACT(CELL("address",AA151), "\$([A-Z]+)\$[0-9]+"))</f>
        <v/>
      </c>
      <c r="AB151" s="7" t="str">
        <f t="array" aca="1" ref="AB151" ca="1">IFERROR(IF(OR('Raw Data'!AB151="",LEN(TRIM('Raw Data'!AB151))=0),"",IF(AND(ISNUMBER('Raw Data'!AB151), IFERROR('Raw Data'!AB151 = ROUND('Raw Data'!AB151, 2),FALSE)),"",_xlfn.REGEXEXTRACT(CELL("address",AB151), "\$([A-Z]+)\$[0-9]+"))),_xlfn.REGEXEXTRACT(CELL("address",AB151), "\$([A-Z]+)\$[0-9]+"))</f>
        <v/>
      </c>
      <c r="AC151" s="7" t="str">
        <f t="array" aca="1" ref="AC151" ca="1">IFERROR(IF(OR('Raw Data'!AC151="",LEN(TRIM('Raw Data'!AC151))=0),"",IF(AND(ISNUMBER('Raw Data'!AC151), IFERROR('Raw Data'!AC151 = ROUND('Raw Data'!AC151, 2),FALSE)),"",_xlfn.REGEXEXTRACT(CELL("address",AC151), "\$([A-Z]+)\$[0-9]+"))),_xlfn.REGEXEXTRACT(CELL("address",AC151), "\$([A-Z]+)\$[0-9]+"))</f>
        <v/>
      </c>
      <c r="AD151" s="7" t="str">
        <f t="array" aca="1" ref="AD151" ca="1">IFERROR(IF(OR('Raw Data'!AD151="",LEN(TRIM('Raw Data'!AD151))=0),"",IF(AND(ISNUMBER('Raw Data'!AD151), IFERROR('Raw Data'!AD151 = ROUND('Raw Data'!AD151, 2),FALSE)),"",_xlfn.REGEXEXTRACT(CELL("address",AD151), "\$([A-Z]+)\$[0-9]+"))),_xlfn.REGEXEXTRACT(CELL("address",AD151), "\$([A-Z]+)\$[0-9]+"))</f>
        <v/>
      </c>
      <c r="AE151" s="7" t="str">
        <f t="array" aca="1" ref="AE151" ca="1">IFERROR(IF(OR('Raw Data'!AE151="",LEN(TRIM('Raw Data'!AE151))=0),"",IF(AND(ISNUMBER('Raw Data'!AE151), IFERROR('Raw Data'!AE151 = ROUND('Raw Data'!AE151, 2),FALSE)),"",_xlfn.REGEXEXTRACT(CELL("address",AE151), "\$([A-Z]+)\$[0-9]+"))),_xlfn.REGEXEXTRACT(CELL("address",AE151), "\$([A-Z]+)\$[0-9]+"))</f>
        <v/>
      </c>
      <c r="AF151" s="7" t="str">
        <f t="array" aca="1" ref="AF151" ca="1">IFERROR(IF(OR('Raw Data'!AF151="",LEN(TRIM('Raw Data'!AF151))=0),"",IF(AND(ISNUMBER('Raw Data'!AF151), IFERROR('Raw Data'!AF151 = ROUND('Raw Data'!AF151, 2),FALSE)),"",_xlfn.REGEXEXTRACT(CELL("address",AF151), "\$([A-Z]+)\$[0-9]+"))),_xlfn.REGEXEXTRACT(CELL("address",AF151), "\$([A-Z]+)\$[0-9]+"))</f>
        <v/>
      </c>
      <c r="AG151" s="7" t="str">
        <f t="array" aca="1" ref="AG151" ca="1">IFERROR(IF(OR('Raw Data'!AG151="",LEN(TRIM('Raw Data'!AG151))=0),"",IF(AND(ISNUMBER('Raw Data'!AG151), IFERROR('Raw Data'!AG151 = ROUND('Raw Data'!AG151, 2),FALSE)),"",_xlfn.REGEXEXTRACT(CELL("address",AG151), "\$([A-Z]+)\$[0-9]+"))),_xlfn.REGEXEXTRACT(CELL("address",AG151), "\$([A-Z]+)\$[0-9]+"))</f>
        <v/>
      </c>
      <c r="AH151" s="7" t="str">
        <f t="array" aca="1" ref="AH151" ca="1">IFERROR(IF(OR('Raw Data'!AH151="",LEN(TRIM('Raw Data'!AH151))=0),"",IF(AND(ISNUMBER('Raw Data'!AH151), IFERROR('Raw Data'!AH151 = ROUND('Raw Data'!AH151, 2),FALSE)),"",_xlfn.REGEXEXTRACT(CELL("address",AH151), "\$([A-Z]+)\$[0-9]+"))),_xlfn.REGEXEXTRACT(CELL("address",AH151), "\$([A-Z]+)\$[0-9]+"))</f>
        <v/>
      </c>
      <c r="AI151" s="7" t="str">
        <f t="array" aca="1" ref="AI151" ca="1">IFERROR(IF(OR('Raw Data'!AI151="",LEN(TRIM('Raw Data'!AI151))=0),"",IF(AND(ISNUMBER('Raw Data'!AI151), IFERROR('Raw Data'!AI151 = ROUND('Raw Data'!AI151, 2),FALSE)),"",_xlfn.REGEXEXTRACT(CELL("address",AI151), "\$([A-Z]+)\$[0-9]+"))),_xlfn.REGEXEXTRACT(CELL("address",AI151), "\$([A-Z]+)\$[0-9]+"))</f>
        <v/>
      </c>
      <c r="AJ151" s="7" t="str">
        <f t="array" aca="1" ref="AJ151" ca="1">IFERROR(IF(OR('Raw Data'!AJ151="",LEN(TRIM('Raw Data'!AJ151))=0),"",IF(AND(ISNUMBER('Raw Data'!AJ151), IFERROR('Raw Data'!AJ151 = ROUND('Raw Data'!AJ151, 4),FALSE)),"",_xlfn.REGEXEXTRACT(CELL("address",AJ151), "\$([A-Z]+)\$[0-9]+"))),_xlfn.REGEXEXTRACT(CELL("address",AJ151), "\$([A-Z]+)\$[0-9]+"))</f>
        <v/>
      </c>
      <c r="AK151" s="7" t="str">
        <f t="array" aca="1" ref="AK151" ca="1">IFERROR(IF(OR('Raw Data'!AK151="",LEN(TRIM('Raw Data'!AK151))=0),"",IF(AND(ISNUMBER('Raw Data'!AK151), IFERROR('Raw Data'!AK151 = ROUND('Raw Data'!AK151, 2),FALSE)),"",_xlfn.REGEXEXTRACT(CELL("address",AK151), "\$([A-Z]+)\$[0-9]+"))),_xlfn.REGEXEXTRACT(CELL("address",AK151), "\$([A-Z]+)\$[0-9]+"))</f>
        <v/>
      </c>
      <c r="AL151" s="7" t="str">
        <f t="array" aca="1" ref="AL151" ca="1">IFERROR(IF(OR('Raw Data'!AL151="",LEN(TRIM('Raw Data'!AL151))=0),"",IF(AND(ISNUMBER('Raw Data'!AL151), IFERROR('Raw Data'!AL151 = ROUND('Raw Data'!AL151, 2),FALSE)),"",_xlfn.REGEXEXTRACT(CELL("address",AL151), "\$([A-Z]+)\$[0-9]+"))),_xlfn.REGEXEXTRACT(CELL("address",AL151), "\$([A-Z]+)\$[0-9]+"))</f>
        <v/>
      </c>
      <c r="AM151" s="7" t="str">
        <f t="array" aca="1" ref="AM151" ca="1">IFERROR(IF(OR('Raw Data'!AM151="",LEN(TRIM('Raw Data'!AM151))=0),"",IF(AND(ISNUMBER('Raw Data'!AM151), IFERROR('Raw Data'!AM151 = ROUND('Raw Data'!AM151, 2),FALSE)),"",_xlfn.REGEXEXTRACT(CELL("address",AM151), "\$([A-Z]+)\$[0-9]+"))),_xlfn.REGEXEXTRACT(CELL("address",AM151), "\$([A-Z]+)\$[0-9]+"))</f>
        <v/>
      </c>
      <c r="AN151" s="7" t="str">
        <f t="array" aca="1" ref="AN151" ca="1">IFERROR(IF(OR('Raw Data'!AN151="",LEN(TRIM('Raw Data'!AN151))=0),"",IF(AND(ISNUMBER('Raw Data'!AN151), IFERROR('Raw Data'!AN151 = ROUND('Raw Data'!AN151, 2),FALSE)),"",_xlfn.REGEXEXTRACT(CELL("address",AN151), "\$([A-Z]+)\$[0-9]+"))),_xlfn.REGEXEXTRACT(CELL("address",AN151), "\$([A-Z]+)\$[0-9]+"))</f>
        <v/>
      </c>
      <c r="AO151" s="7" t="str">
        <f t="array" aca="1" ref="AO151" ca="1">IFERROR(IF(OR('Raw Data'!AO151="",LEN(TRIM('Raw Data'!AO151))=0),"",IF(AND(ISNUMBER('Raw Data'!AO151), IFERROR('Raw Data'!AO151 = ROUND('Raw Data'!AO151, 2),FALSE)),"",_xlfn.REGEXEXTRACT(CELL("address",AO151), "\$([A-Z]+)\$[0-9]+"))),_xlfn.REGEXEXTRACT(CELL("address",AO151), "\$([A-Z]+)\$[0-9]+"))</f>
        <v/>
      </c>
      <c r="AP151" s="7" t="str">
        <f t="array" aca="1" ref="AP151" ca="1">IFERROR(IF(OR('Raw Data'!AP151="",LEN(TRIM('Raw Data'!AP151))=0),"",IF(AND(ISNUMBER('Raw Data'!AP151), IFERROR('Raw Data'!AP151 = ROUND('Raw Data'!AP151, 2),FALSE)),"",_xlfn.REGEXEXTRACT(CELL("address",AP151), "\$([A-Z]+)\$[0-9]+"))),_xlfn.REGEXEXTRACT(CELL("address",AP151), "\$([A-Z]+)\$[0-9]+"))</f>
        <v/>
      </c>
    </row>
    <row r="152" spans="2:42" x14ac:dyDescent="0.25">
      <c r="B152" s="7" t="str">
        <f t="array" aca="1" ref="B152" ca="1">IFERROR(IF(OR('Raw Data'!B152="",LEN(TRIM('Raw Data'!B152))=0),"",IF(AND(LEN('Raw Data'!B152) &lt;= 255,LEN('Raw Data'!B152)&gt; 0),"",_xlfn.REGEXEXTRACT(CELL("address",'Raw Data'!B152),"\$([A-Z]+)\$[0-9]+"))),_xlfn.REGEXEXTRACT(CELL("address",'Raw Data'!B152),"\$([A-Z]+)\$[0-9]+"))</f>
        <v/>
      </c>
      <c r="C152" s="7" t="str">
        <f t="array" aca="1" ref="C152" ca="1">IFERROR(IF(OR('Raw Data'!C152="",LEN(TRIM('Raw Data'!C152))=0),"",IF(AND(LEN('Raw Data'!C152) &lt;= 50,LEN('Raw Data'!C152)&gt; 0),"",_xlfn.REGEXEXTRACT(CELL("address",'Raw Data'!C152),"\$([A-Z]+)\$[0-9]+"))),_xlfn.REGEXEXTRACT(CELL("address",'Raw Data'!C152),"\$([A-Z]+)\$[0-9]+"))</f>
        <v/>
      </c>
      <c r="D152" s="7" t="str">
        <f t="array" aca="1" ref="D152" ca="1">IFERROR(IF(OR('Raw Data'!D152="",LEN(TRIM('Raw Data'!D152))=0),"",IF(AND(LEN('Raw Data'!D152) &lt;= 500,LEN('Raw Data'!D152)&gt; 0),"",_xlfn.REGEXEXTRACT(CELL("address",'Raw Data'!D152),"\$([A-Z]+)\$[0-9]+"))),_xlfn.REGEXEXTRACT(CELL("address",'Raw Data'!D152),"\$([A-Z]+)\$[0-9]+"))</f>
        <v/>
      </c>
      <c r="E152" s="7" t="str">
        <f t="array" aca="1" ref="E152" ca="1">IFERROR(IF(OR('Raw Data'!E152="",LEN(TRIM('Raw Data'!E152))=0),"",IF(AND(LEN('Raw Data'!E152) &lt;= 50,LEN('Raw Data'!E152)&gt; 0),"",_xlfn.REGEXEXTRACT(CELL("address",'Raw Data'!E152),"\$([A-Z]+)\$[0-9]+"))),_xlfn.REGEXEXTRACT(CELL("address",'Raw Data'!E152),"\$([A-Z]+)\$[0-9]+"))</f>
        <v/>
      </c>
      <c r="F152" s="7" t="str">
        <f t="array" aca="1" ref="F152" ca="1">IFERROR(IF(OR('Raw Data'!F152="",LEN(TRIM('Raw Data'!F152))=0),"",IF(AND(LEN('Raw Data'!F152) &lt;= 50,LEN('Raw Data'!F152)&gt; 0),"",_xlfn.REGEXEXTRACT(CELL("address",'Raw Data'!F152),"\$([A-Z]+)\$[0-9]+"))),_xlfn.REGEXEXTRACT(CELL("address",'Raw Data'!F152),"\$([A-Z]+)\$[0-9]+"))</f>
        <v/>
      </c>
      <c r="G152" s="7" t="str">
        <f t="array" aca="1" ref="G152" ca="1">IFERROR(IF(OR('Raw Data'!G152="",LEN(TRIM('Raw Data'!G152))=0),"",IF(AND(LEN('Raw Data'!G152) &lt;= 50,LEN('Raw Data'!G152)&gt; 0),"",_xlfn.REGEXEXTRACT(CELL("address",'Raw Data'!G152),"\$([A-Z]+)\$[0-9]+"))),_xlfn.REGEXEXTRACT(CELL("address",'Raw Data'!G152),"\$([A-Z]+)\$[0-9]+"))</f>
        <v/>
      </c>
      <c r="H152" s="7" t="str">
        <f t="array" aca="1" ref="H152" ca="1">IFERROR(IF(OR('Raw Data'!H152="",LEN(TRIM('Raw Data'!H152))=0),"",IF(AND(LEN('Raw Data'!H152) &lt;= 50,LEN('Raw Data'!H152)&gt; 0),"",_xlfn.REGEXEXTRACT(CELL("address",'Raw Data'!H152),"\$([A-Z]+)\$[0-9]+"))),_xlfn.REGEXEXTRACT(CELL("address",'Raw Data'!H152),"\$([A-Z]+)\$[0-9]+"))</f>
        <v/>
      </c>
      <c r="I152" s="7" t="str">
        <f t="array" aca="1" ref="I152" ca="1">IFERROR(IF(OR('Raw Data'!I152="",LEN(TRIM('Raw Data'!I152))=0),"",IF(AND(LEN('Raw Data'!I152) &lt;= 50,LEN('Raw Data'!I152)&gt; 0),"",_xlfn.REGEXEXTRACT(CELL("address",'Raw Data'!I152),"\$([A-Z]+)\$[0-9]+"))),_xlfn.REGEXEXTRACT(CELL("address",'Raw Data'!I152),"\$([A-Z]+)\$[0-9]+"))</f>
        <v/>
      </c>
      <c r="J152" s="7" t="str">
        <f t="array" aca="1" ref="J152" ca="1">IFERROR(IF(OR('Raw Data'!J152="",LEN(TRIM('Raw Data'!J152))=0),"",IF(AND(ISNUMBER('Raw Data'!J152), IFERROR('Raw Data'!J152 = ROUND('Raw Data'!J152, 2),FALSE)),"",_xlfn.REGEXEXTRACT(CELL("address",J152), "\$([A-Z]+)\$[0-9]+"))),_xlfn.REGEXEXTRACT(CELL("address",J152), "\$([A-Z]+)\$[0-9]+"))</f>
        <v/>
      </c>
      <c r="K152" s="7" t="str">
        <f t="array" aca="1" ref="K152" ca="1">IFERROR(IF(OR('Raw Data'!K152="",LEN(TRIM('Raw Data'!K152))=0),"",IF(AND(ISNUMBER('Raw Data'!K152), IFERROR('Raw Data'!K152 = ROUND('Raw Data'!K152, 2),FALSE)),"",_xlfn.REGEXEXTRACT(CELL("address",K152), "\$([A-Z]+)\$[0-9]+"))),_xlfn.REGEXEXTRACT(CELL("address",K152), "\$([A-Z]+)\$[0-9]+"))</f>
        <v/>
      </c>
      <c r="L152" s="7" t="str">
        <f t="array" aca="1" ref="L152" ca="1">IFERROR(IF(OR('Raw Data'!L152="",LEN(TRIM('Raw Data'!L152))=0),"",IF(AND(ISNUMBER('Raw Data'!L152), IFERROR('Raw Data'!L152 = ROUND('Raw Data'!L152, 2),FALSE)),"",_xlfn.REGEXEXTRACT(CELL("address",L152), "\$([A-Z]+)\$[0-9]+"))),_xlfn.REGEXEXTRACT(CELL("address",L152), "\$([A-Z]+)\$[0-9]+"))</f>
        <v/>
      </c>
      <c r="M152" s="7" t="str">
        <f t="array" aca="1" ref="M152" ca="1">IFERROR(IF(OR('Raw Data'!M152="",LEN(TRIM('Raw Data'!M152))=0),"",IF(AND(ISNUMBER('Raw Data'!M152), IFERROR('Raw Data'!M152 = ROUND('Raw Data'!M152, 2),FALSE)),"",_xlfn.REGEXEXTRACT(CELL("address",M152), "\$([A-Z]+)\$[0-9]+"))),_xlfn.REGEXEXTRACT(CELL("address",M152), "\$([A-Z]+)\$[0-9]+"))</f>
        <v/>
      </c>
      <c r="N152" s="7" t="str">
        <f t="array" aca="1" ref="N152" ca="1">IFERROR(IF(OR('Raw Data'!N152="",LEN(TRIM('Raw Data'!N152))=0),"",IF(AND(ISNUMBER('Raw Data'!N152), IFERROR('Raw Data'!N152 = ROUND('Raw Data'!N152, 2),FALSE)),"",_xlfn.REGEXEXTRACT(CELL("address",N152), "\$([A-Z]+)\$[0-9]+"))),_xlfn.REGEXEXTRACT(CELL("address",N152), "\$([A-Z]+)\$[0-9]+"))</f>
        <v/>
      </c>
      <c r="O152" s="7" t="str">
        <f t="array" aca="1" ref="O152" ca="1">IFERROR(IF(OR('Raw Data'!O152="",LEN(TRIM('Raw Data'!O152))=0),"",IF(AND(ISNUMBER('Raw Data'!O152),'Raw Data'!O152&gt;=Configuration!$D$2),"",_xlfn.REGEXEXTRACT(CELL("address",'Raw Data'!O152),"\$([A-Z]+)\$[0-9]+"))),_xlfn.REGEXEXTRACT(CELL("address",O152), "\$([A-Z]+)\$[0-9]+"))</f>
        <v/>
      </c>
      <c r="P152" s="7" t="str">
        <f t="array" aca="1" ref="P152" ca="1">IFERROR(IF(OR('Raw Data'!P152="",LEN(TRIM('Raw Data'!P152))=0),"",IF(AND(ISNUMBER('Raw Data'!P152), IFERROR('Raw Data'!P152 = ROUND('Raw Data'!P152, 2),FALSE)),"",_xlfn.REGEXEXTRACT(CELL("address",P152), "\$([A-Z]+)\$[0-9]+"))),_xlfn.REGEXEXTRACT(CELL("address",P152), "\$([A-Z]+)\$[0-9]+"))</f>
        <v/>
      </c>
      <c r="Q152" s="7" t="str">
        <f t="array" aca="1" ref="Q152" ca="1">IFERROR(IF(OR('Raw Data'!Q152="",LEN(TRIM('Raw Data'!Q152))=0),"",IF(AND(ISNUMBER('Raw Data'!Q152), IFERROR('Raw Data'!Q152 = ROUND('Raw Data'!Q152, 2),FALSE)),"",_xlfn.REGEXEXTRACT(CELL("address",Q152), "\$([A-Z]+)\$[0-9]+"))),_xlfn.REGEXEXTRACT(CELL("address",Q152), "\$([A-Z]+)\$[0-9]+"))</f>
        <v/>
      </c>
      <c r="R152" s="7" t="str">
        <f t="array" aca="1" ref="R152" ca="1">IFERROR(IF(OR('Raw Data'!R152="",LEN(TRIM('Raw Data'!R152))=0),"",IF(AND(LEN('Raw Data'!R152) &lt;= 50,LEN('Raw Data'!R152)&gt; 0),"",_xlfn.REGEXEXTRACT(CELL("address",'Raw Data'!R152),"\$([A-Z]+)\$[0-9]+"))),_xlfn.REGEXEXTRACT(CELL("address",'Raw Data'!R152),"\$([A-Z]+)\$[0-9]+"))</f>
        <v/>
      </c>
      <c r="S152" s="7" t="str">
        <f t="array" aca="1" ref="S152" ca="1">IFERROR(IF(OR('Raw Data'!S152="",LEN(TRIM('Raw Data'!S152))=0),"",IF(AND(LEN('Raw Data'!S152) &lt;= 50,LEN('Raw Data'!S152)&gt; 0),"",_xlfn.REGEXEXTRACT(CELL("address",'Raw Data'!S152),"\$([A-Z]+)\$[0-9]+"))),_xlfn.REGEXEXTRACT(CELL("address",'Raw Data'!S152),"\$([A-Z]+)\$[0-9]+"))</f>
        <v/>
      </c>
      <c r="T152" s="7" t="str">
        <f t="array" aca="1" ref="T152" ca="1">IFERROR(IF(OR('Raw Data'!T152="",LEN(TRIM('Raw Data'!T152))=0),"",IF(AND(ISNUMBER('Raw Data'!T152), IFERROR('Raw Data'!T152 = ROUND('Raw Data'!T152, 2),FALSE)),"",_xlfn.REGEXEXTRACT(CELL("address",T152), "\$([A-Z]+)\$[0-9]+"))),_xlfn.REGEXEXTRACT(CELL("address",T152), "\$([A-Z]+)\$[0-9]+"))</f>
        <v/>
      </c>
      <c r="U152" s="7" t="str">
        <f t="array" aca="1" ref="U152" ca="1">IFERROR(IF(OR('Raw Data'!U152="",LEN(TRIM('Raw Data'!U152))=0),"",IF(AND(ISNUMBER('Raw Data'!U152), IFERROR('Raw Data'!U152 = ROUND('Raw Data'!U152, 2),FALSE)),"",_xlfn.REGEXEXTRACT(CELL("address",U152), "\$([A-Z]+)\$[0-9]+"))),_xlfn.REGEXEXTRACT(CELL("address",U152), "\$([A-Z]+)\$[0-9]+"))</f>
        <v/>
      </c>
      <c r="V152" s="7" t="str">
        <f t="array" aca="1" ref="V152" ca="1">IFERROR(IF(OR('Raw Data'!V152="",LEN(TRIM('Raw Data'!V152))=0),"",IF(AND(ISNUMBER('Raw Data'!V152), IFERROR('Raw Data'!V152 = ROUND('Raw Data'!V152, 2),FALSE)),"",_xlfn.REGEXEXTRACT(CELL("address",V152), "\$([A-Z]+)\$[0-9]+"))),_xlfn.REGEXEXTRACT(CELL("address",V152), "\$([A-Z]+)\$[0-9]+"))</f>
        <v/>
      </c>
      <c r="W152" s="7" t="str">
        <f t="array" aca="1" ref="W152" ca="1">IFERROR(IF(OR('Raw Data'!W152="",LEN(TRIM('Raw Data'!W152))=0),"",IF(AND(ISNUMBER('Raw Data'!W152), IFERROR('Raw Data'!W152 = ROUND('Raw Data'!W152, 2),FALSE)),"",_xlfn.REGEXEXTRACT(CELL("address",W152), "\$([A-Z]+)\$[0-9]+"))),_xlfn.REGEXEXTRACT(CELL("address",W152), "\$([A-Z]+)\$[0-9]+"))</f>
        <v/>
      </c>
      <c r="X152" s="7" t="str">
        <f t="array" aca="1" ref="X152" ca="1">IFERROR(IF(OR('Raw Data'!X152="",LEN(TRIM('Raw Data'!X152))=0),"",IF(AND(ISNUMBER('Raw Data'!X152), IFERROR('Raw Data'!X152 = ROUND('Raw Data'!X152, 2),FALSE)),"",_xlfn.REGEXEXTRACT(CELL("address",X152), "\$([A-Z]+)\$[0-9]+"))),_xlfn.REGEXEXTRACT(CELL("address",X152), "\$([A-Z]+)\$[0-9]+"))</f>
        <v/>
      </c>
      <c r="Y152" s="7" t="str">
        <f t="array" aca="1" ref="Y152" ca="1">IFERROR(IF(OR('Raw Data'!Y152="",LEN(TRIM('Raw Data'!Y152))=0),"",IF(AND(ISNUMBER('Raw Data'!Y152), IFERROR('Raw Data'!Y152 = ROUND('Raw Data'!Y152, 2),FALSE)),"",_xlfn.REGEXEXTRACT(CELL("address",Y152), "\$([A-Z]+)\$[0-9]+"))),_xlfn.REGEXEXTRACT(CELL("address",Y152), "\$([A-Z]+)\$[0-9]+"))</f>
        <v/>
      </c>
      <c r="Z152" s="7" t="str">
        <f t="array" aca="1" ref="Z152" ca="1">IFERROR(IF(OR('Raw Data'!Z152="",LEN(TRIM('Raw Data'!Z152))=0),"",IF(AND(ISNUMBER('Raw Data'!Z152), IFERROR('Raw Data'!Z152 = ROUND('Raw Data'!Z152, 2),FALSE)),"",_xlfn.REGEXEXTRACT(CELL("address",Z152), "\$([A-Z]+)\$[0-9]+"))),_xlfn.REGEXEXTRACT(CELL("address",Z152), "\$([A-Z]+)\$[0-9]+"))</f>
        <v/>
      </c>
      <c r="AA152" s="7" t="str">
        <f t="array" aca="1" ref="AA152" ca="1">IFERROR(IF(OR('Raw Data'!AA152="",LEN(TRIM('Raw Data'!AA152))=0),"",IF(AND(ISNUMBER('Raw Data'!AA152), IFERROR('Raw Data'!AA152 = ROUND('Raw Data'!AA152, 2),FALSE)),"",_xlfn.REGEXEXTRACT(CELL("address",AA152), "\$([A-Z]+)\$[0-9]+"))),_xlfn.REGEXEXTRACT(CELL("address",AA152), "\$([A-Z]+)\$[0-9]+"))</f>
        <v/>
      </c>
      <c r="AB152" s="7" t="str">
        <f t="array" aca="1" ref="AB152" ca="1">IFERROR(IF(OR('Raw Data'!AB152="",LEN(TRIM('Raw Data'!AB152))=0),"",IF(AND(ISNUMBER('Raw Data'!AB152), IFERROR('Raw Data'!AB152 = ROUND('Raw Data'!AB152, 2),FALSE)),"",_xlfn.REGEXEXTRACT(CELL("address",AB152), "\$([A-Z]+)\$[0-9]+"))),_xlfn.REGEXEXTRACT(CELL("address",AB152), "\$([A-Z]+)\$[0-9]+"))</f>
        <v/>
      </c>
      <c r="AC152" s="7" t="str">
        <f t="array" aca="1" ref="AC152" ca="1">IFERROR(IF(OR('Raw Data'!AC152="",LEN(TRIM('Raw Data'!AC152))=0),"",IF(AND(ISNUMBER('Raw Data'!AC152), IFERROR('Raw Data'!AC152 = ROUND('Raw Data'!AC152, 2),FALSE)),"",_xlfn.REGEXEXTRACT(CELL("address",AC152), "\$([A-Z]+)\$[0-9]+"))),_xlfn.REGEXEXTRACT(CELL("address",AC152), "\$([A-Z]+)\$[0-9]+"))</f>
        <v/>
      </c>
      <c r="AD152" s="7" t="str">
        <f t="array" aca="1" ref="AD152" ca="1">IFERROR(IF(OR('Raw Data'!AD152="",LEN(TRIM('Raw Data'!AD152))=0),"",IF(AND(ISNUMBER('Raw Data'!AD152), IFERROR('Raw Data'!AD152 = ROUND('Raw Data'!AD152, 2),FALSE)),"",_xlfn.REGEXEXTRACT(CELL("address",AD152), "\$([A-Z]+)\$[0-9]+"))),_xlfn.REGEXEXTRACT(CELL("address",AD152), "\$([A-Z]+)\$[0-9]+"))</f>
        <v/>
      </c>
      <c r="AE152" s="7" t="str">
        <f t="array" aca="1" ref="AE152" ca="1">IFERROR(IF(OR('Raw Data'!AE152="",LEN(TRIM('Raw Data'!AE152))=0),"",IF(AND(ISNUMBER('Raw Data'!AE152), IFERROR('Raw Data'!AE152 = ROUND('Raw Data'!AE152, 2),FALSE)),"",_xlfn.REGEXEXTRACT(CELL("address",AE152), "\$([A-Z]+)\$[0-9]+"))),_xlfn.REGEXEXTRACT(CELL("address",AE152), "\$([A-Z]+)\$[0-9]+"))</f>
        <v/>
      </c>
      <c r="AF152" s="7" t="str">
        <f t="array" aca="1" ref="AF152" ca="1">IFERROR(IF(OR('Raw Data'!AF152="",LEN(TRIM('Raw Data'!AF152))=0),"",IF(AND(ISNUMBER('Raw Data'!AF152), IFERROR('Raw Data'!AF152 = ROUND('Raw Data'!AF152, 2),FALSE)),"",_xlfn.REGEXEXTRACT(CELL("address",AF152), "\$([A-Z]+)\$[0-9]+"))),_xlfn.REGEXEXTRACT(CELL("address",AF152), "\$([A-Z]+)\$[0-9]+"))</f>
        <v/>
      </c>
      <c r="AG152" s="7" t="str">
        <f t="array" aca="1" ref="AG152" ca="1">IFERROR(IF(OR('Raw Data'!AG152="",LEN(TRIM('Raw Data'!AG152))=0),"",IF(AND(ISNUMBER('Raw Data'!AG152), IFERROR('Raw Data'!AG152 = ROUND('Raw Data'!AG152, 2),FALSE)),"",_xlfn.REGEXEXTRACT(CELL("address",AG152), "\$([A-Z]+)\$[0-9]+"))),_xlfn.REGEXEXTRACT(CELL("address",AG152), "\$([A-Z]+)\$[0-9]+"))</f>
        <v/>
      </c>
      <c r="AH152" s="7" t="str">
        <f t="array" aca="1" ref="AH152" ca="1">IFERROR(IF(OR('Raw Data'!AH152="",LEN(TRIM('Raw Data'!AH152))=0),"",IF(AND(ISNUMBER('Raw Data'!AH152), IFERROR('Raw Data'!AH152 = ROUND('Raw Data'!AH152, 2),FALSE)),"",_xlfn.REGEXEXTRACT(CELL("address",AH152), "\$([A-Z]+)\$[0-9]+"))),_xlfn.REGEXEXTRACT(CELL("address",AH152), "\$([A-Z]+)\$[0-9]+"))</f>
        <v/>
      </c>
      <c r="AI152" s="7" t="str">
        <f t="array" aca="1" ref="AI152" ca="1">IFERROR(IF(OR('Raw Data'!AI152="",LEN(TRIM('Raw Data'!AI152))=0),"",IF(AND(ISNUMBER('Raw Data'!AI152), IFERROR('Raw Data'!AI152 = ROUND('Raw Data'!AI152, 2),FALSE)),"",_xlfn.REGEXEXTRACT(CELL("address",AI152), "\$([A-Z]+)\$[0-9]+"))),_xlfn.REGEXEXTRACT(CELL("address",AI152), "\$([A-Z]+)\$[0-9]+"))</f>
        <v/>
      </c>
      <c r="AJ152" s="7" t="str">
        <f t="array" aca="1" ref="AJ152" ca="1">IFERROR(IF(OR('Raw Data'!AJ152="",LEN(TRIM('Raw Data'!AJ152))=0),"",IF(AND(ISNUMBER('Raw Data'!AJ152), IFERROR('Raw Data'!AJ152 = ROUND('Raw Data'!AJ152, 4),FALSE)),"",_xlfn.REGEXEXTRACT(CELL("address",AJ152), "\$([A-Z]+)\$[0-9]+"))),_xlfn.REGEXEXTRACT(CELL("address",AJ152), "\$([A-Z]+)\$[0-9]+"))</f>
        <v/>
      </c>
      <c r="AK152" s="7" t="str">
        <f t="array" aca="1" ref="AK152" ca="1">IFERROR(IF(OR('Raw Data'!AK152="",LEN(TRIM('Raw Data'!AK152))=0),"",IF(AND(ISNUMBER('Raw Data'!AK152), IFERROR('Raw Data'!AK152 = ROUND('Raw Data'!AK152, 2),FALSE)),"",_xlfn.REGEXEXTRACT(CELL("address",AK152), "\$([A-Z]+)\$[0-9]+"))),_xlfn.REGEXEXTRACT(CELL("address",AK152), "\$([A-Z]+)\$[0-9]+"))</f>
        <v/>
      </c>
      <c r="AL152" s="7" t="str">
        <f t="array" aca="1" ref="AL152" ca="1">IFERROR(IF(OR('Raw Data'!AL152="",LEN(TRIM('Raw Data'!AL152))=0),"",IF(AND(ISNUMBER('Raw Data'!AL152), IFERROR('Raw Data'!AL152 = ROUND('Raw Data'!AL152, 2),FALSE)),"",_xlfn.REGEXEXTRACT(CELL("address",AL152), "\$([A-Z]+)\$[0-9]+"))),_xlfn.REGEXEXTRACT(CELL("address",AL152), "\$([A-Z]+)\$[0-9]+"))</f>
        <v/>
      </c>
      <c r="AM152" s="7" t="str">
        <f t="array" aca="1" ref="AM152" ca="1">IFERROR(IF(OR('Raw Data'!AM152="",LEN(TRIM('Raw Data'!AM152))=0),"",IF(AND(ISNUMBER('Raw Data'!AM152), IFERROR('Raw Data'!AM152 = ROUND('Raw Data'!AM152, 2),FALSE)),"",_xlfn.REGEXEXTRACT(CELL("address",AM152), "\$([A-Z]+)\$[0-9]+"))),_xlfn.REGEXEXTRACT(CELL("address",AM152), "\$([A-Z]+)\$[0-9]+"))</f>
        <v/>
      </c>
      <c r="AN152" s="7" t="str">
        <f t="array" aca="1" ref="AN152" ca="1">IFERROR(IF(OR('Raw Data'!AN152="",LEN(TRIM('Raw Data'!AN152))=0),"",IF(AND(ISNUMBER('Raw Data'!AN152), IFERROR('Raw Data'!AN152 = ROUND('Raw Data'!AN152, 2),FALSE)),"",_xlfn.REGEXEXTRACT(CELL("address",AN152), "\$([A-Z]+)\$[0-9]+"))),_xlfn.REGEXEXTRACT(CELL("address",AN152), "\$([A-Z]+)\$[0-9]+"))</f>
        <v/>
      </c>
      <c r="AO152" s="7" t="str">
        <f t="array" aca="1" ref="AO152" ca="1">IFERROR(IF(OR('Raw Data'!AO152="",LEN(TRIM('Raw Data'!AO152))=0),"",IF(AND(ISNUMBER('Raw Data'!AO152), IFERROR('Raw Data'!AO152 = ROUND('Raw Data'!AO152, 2),FALSE)),"",_xlfn.REGEXEXTRACT(CELL("address",AO152), "\$([A-Z]+)\$[0-9]+"))),_xlfn.REGEXEXTRACT(CELL("address",AO152), "\$([A-Z]+)\$[0-9]+"))</f>
        <v/>
      </c>
      <c r="AP152" s="7" t="str">
        <f t="array" aca="1" ref="AP152" ca="1">IFERROR(IF(OR('Raw Data'!AP152="",LEN(TRIM('Raw Data'!AP152))=0),"",IF(AND(ISNUMBER('Raw Data'!AP152), IFERROR('Raw Data'!AP152 = ROUND('Raw Data'!AP152, 2),FALSE)),"",_xlfn.REGEXEXTRACT(CELL("address",AP152), "\$([A-Z]+)\$[0-9]+"))),_xlfn.REGEXEXTRACT(CELL("address",AP152), "\$([A-Z]+)\$[0-9]+"))</f>
        <v/>
      </c>
    </row>
    <row r="153" spans="2:42" x14ac:dyDescent="0.25">
      <c r="B153" s="7" t="str">
        <f t="array" aca="1" ref="B153" ca="1">IFERROR(IF(OR('Raw Data'!B153="",LEN(TRIM('Raw Data'!B153))=0),"",IF(AND(LEN('Raw Data'!B153) &lt;= 255,LEN('Raw Data'!B153)&gt; 0),"",_xlfn.REGEXEXTRACT(CELL("address",'Raw Data'!B153),"\$([A-Z]+)\$[0-9]+"))),_xlfn.REGEXEXTRACT(CELL("address",'Raw Data'!B153),"\$([A-Z]+)\$[0-9]+"))</f>
        <v/>
      </c>
      <c r="C153" s="7" t="str">
        <f t="array" aca="1" ref="C153" ca="1">IFERROR(IF(OR('Raw Data'!C153="",LEN(TRIM('Raw Data'!C153))=0),"",IF(AND(LEN('Raw Data'!C153) &lt;= 50,LEN('Raw Data'!C153)&gt; 0),"",_xlfn.REGEXEXTRACT(CELL("address",'Raw Data'!C153),"\$([A-Z]+)\$[0-9]+"))),_xlfn.REGEXEXTRACT(CELL("address",'Raw Data'!C153),"\$([A-Z]+)\$[0-9]+"))</f>
        <v/>
      </c>
      <c r="D153" s="7" t="str">
        <f t="array" aca="1" ref="D153" ca="1">IFERROR(IF(OR('Raw Data'!D153="",LEN(TRIM('Raw Data'!D153))=0),"",IF(AND(LEN('Raw Data'!D153) &lt;= 500,LEN('Raw Data'!D153)&gt; 0),"",_xlfn.REGEXEXTRACT(CELL("address",'Raw Data'!D153),"\$([A-Z]+)\$[0-9]+"))),_xlfn.REGEXEXTRACT(CELL("address",'Raw Data'!D153),"\$([A-Z]+)\$[0-9]+"))</f>
        <v/>
      </c>
      <c r="E153" s="7" t="str">
        <f t="array" aca="1" ref="E153" ca="1">IFERROR(IF(OR('Raw Data'!E153="",LEN(TRIM('Raw Data'!E153))=0),"",IF(AND(LEN('Raw Data'!E153) &lt;= 50,LEN('Raw Data'!E153)&gt; 0),"",_xlfn.REGEXEXTRACT(CELL("address",'Raw Data'!E153),"\$([A-Z]+)\$[0-9]+"))),_xlfn.REGEXEXTRACT(CELL("address",'Raw Data'!E153),"\$([A-Z]+)\$[0-9]+"))</f>
        <v/>
      </c>
      <c r="F153" s="7" t="str">
        <f t="array" aca="1" ref="F153" ca="1">IFERROR(IF(OR('Raw Data'!F153="",LEN(TRIM('Raw Data'!F153))=0),"",IF(AND(LEN('Raw Data'!F153) &lt;= 50,LEN('Raw Data'!F153)&gt; 0),"",_xlfn.REGEXEXTRACT(CELL("address",'Raw Data'!F153),"\$([A-Z]+)\$[0-9]+"))),_xlfn.REGEXEXTRACT(CELL("address",'Raw Data'!F153),"\$([A-Z]+)\$[0-9]+"))</f>
        <v/>
      </c>
      <c r="G153" s="7" t="str">
        <f t="array" aca="1" ref="G153" ca="1">IFERROR(IF(OR('Raw Data'!G153="",LEN(TRIM('Raw Data'!G153))=0),"",IF(AND(LEN('Raw Data'!G153) &lt;= 50,LEN('Raw Data'!G153)&gt; 0),"",_xlfn.REGEXEXTRACT(CELL("address",'Raw Data'!G153),"\$([A-Z]+)\$[0-9]+"))),_xlfn.REGEXEXTRACT(CELL("address",'Raw Data'!G153),"\$([A-Z]+)\$[0-9]+"))</f>
        <v/>
      </c>
      <c r="H153" s="7" t="str">
        <f t="array" aca="1" ref="H153" ca="1">IFERROR(IF(OR('Raw Data'!H153="",LEN(TRIM('Raw Data'!H153))=0),"",IF(AND(LEN('Raw Data'!H153) &lt;= 50,LEN('Raw Data'!H153)&gt; 0),"",_xlfn.REGEXEXTRACT(CELL("address",'Raw Data'!H153),"\$([A-Z]+)\$[0-9]+"))),_xlfn.REGEXEXTRACT(CELL("address",'Raw Data'!H153),"\$([A-Z]+)\$[0-9]+"))</f>
        <v/>
      </c>
      <c r="I153" s="7" t="str">
        <f t="array" aca="1" ref="I153" ca="1">IFERROR(IF(OR('Raw Data'!I153="",LEN(TRIM('Raw Data'!I153))=0),"",IF(AND(LEN('Raw Data'!I153) &lt;= 50,LEN('Raw Data'!I153)&gt; 0),"",_xlfn.REGEXEXTRACT(CELL("address",'Raw Data'!I153),"\$([A-Z]+)\$[0-9]+"))),_xlfn.REGEXEXTRACT(CELL("address",'Raw Data'!I153),"\$([A-Z]+)\$[0-9]+"))</f>
        <v/>
      </c>
      <c r="J153" s="7" t="str">
        <f t="array" aca="1" ref="J153" ca="1">IFERROR(IF(OR('Raw Data'!J153="",LEN(TRIM('Raw Data'!J153))=0),"",IF(AND(ISNUMBER('Raw Data'!J153), IFERROR('Raw Data'!J153 = ROUND('Raw Data'!J153, 2),FALSE)),"",_xlfn.REGEXEXTRACT(CELL("address",J153), "\$([A-Z]+)\$[0-9]+"))),_xlfn.REGEXEXTRACT(CELL("address",J153), "\$([A-Z]+)\$[0-9]+"))</f>
        <v/>
      </c>
      <c r="K153" s="7" t="str">
        <f t="array" aca="1" ref="K153" ca="1">IFERROR(IF(OR('Raw Data'!K153="",LEN(TRIM('Raw Data'!K153))=0),"",IF(AND(ISNUMBER('Raw Data'!K153), IFERROR('Raw Data'!K153 = ROUND('Raw Data'!K153, 2),FALSE)),"",_xlfn.REGEXEXTRACT(CELL("address",K153), "\$([A-Z]+)\$[0-9]+"))),_xlfn.REGEXEXTRACT(CELL("address",K153), "\$([A-Z]+)\$[0-9]+"))</f>
        <v/>
      </c>
      <c r="L153" s="7" t="str">
        <f t="array" aca="1" ref="L153" ca="1">IFERROR(IF(OR('Raw Data'!L153="",LEN(TRIM('Raw Data'!L153))=0),"",IF(AND(ISNUMBER('Raw Data'!L153), IFERROR('Raw Data'!L153 = ROUND('Raw Data'!L153, 2),FALSE)),"",_xlfn.REGEXEXTRACT(CELL("address",L153), "\$([A-Z]+)\$[0-9]+"))),_xlfn.REGEXEXTRACT(CELL("address",L153), "\$([A-Z]+)\$[0-9]+"))</f>
        <v/>
      </c>
      <c r="M153" s="7" t="str">
        <f t="array" aca="1" ref="M153" ca="1">IFERROR(IF(OR('Raw Data'!M153="",LEN(TRIM('Raw Data'!M153))=0),"",IF(AND(ISNUMBER('Raw Data'!M153), IFERROR('Raw Data'!M153 = ROUND('Raw Data'!M153, 2),FALSE)),"",_xlfn.REGEXEXTRACT(CELL("address",M153), "\$([A-Z]+)\$[0-9]+"))),_xlfn.REGEXEXTRACT(CELL("address",M153), "\$([A-Z]+)\$[0-9]+"))</f>
        <v/>
      </c>
      <c r="N153" s="7" t="str">
        <f t="array" aca="1" ref="N153" ca="1">IFERROR(IF(OR('Raw Data'!N153="",LEN(TRIM('Raw Data'!N153))=0),"",IF(AND(ISNUMBER('Raw Data'!N153), IFERROR('Raw Data'!N153 = ROUND('Raw Data'!N153, 2),FALSE)),"",_xlfn.REGEXEXTRACT(CELL("address",N153), "\$([A-Z]+)\$[0-9]+"))),_xlfn.REGEXEXTRACT(CELL("address",N153), "\$([A-Z]+)\$[0-9]+"))</f>
        <v/>
      </c>
      <c r="O153" s="7" t="str">
        <f t="array" aca="1" ref="O153" ca="1">IFERROR(IF(OR('Raw Data'!O153="",LEN(TRIM('Raw Data'!O153))=0),"",IF(AND(ISNUMBER('Raw Data'!O153),'Raw Data'!O153&gt;=Configuration!$D$2),"",_xlfn.REGEXEXTRACT(CELL("address",'Raw Data'!O153),"\$([A-Z]+)\$[0-9]+"))),_xlfn.REGEXEXTRACT(CELL("address",O153), "\$([A-Z]+)\$[0-9]+"))</f>
        <v/>
      </c>
      <c r="P153" s="7" t="str">
        <f t="array" aca="1" ref="P153" ca="1">IFERROR(IF(OR('Raw Data'!P153="",LEN(TRIM('Raw Data'!P153))=0),"",IF(AND(ISNUMBER('Raw Data'!P153), IFERROR('Raw Data'!P153 = ROUND('Raw Data'!P153, 2),FALSE)),"",_xlfn.REGEXEXTRACT(CELL("address",P153), "\$([A-Z]+)\$[0-9]+"))),_xlfn.REGEXEXTRACT(CELL("address",P153), "\$([A-Z]+)\$[0-9]+"))</f>
        <v/>
      </c>
      <c r="Q153" s="7" t="str">
        <f t="array" aca="1" ref="Q153" ca="1">IFERROR(IF(OR('Raw Data'!Q153="",LEN(TRIM('Raw Data'!Q153))=0),"",IF(AND(ISNUMBER('Raw Data'!Q153), IFERROR('Raw Data'!Q153 = ROUND('Raw Data'!Q153, 2),FALSE)),"",_xlfn.REGEXEXTRACT(CELL("address",Q153), "\$([A-Z]+)\$[0-9]+"))),_xlfn.REGEXEXTRACT(CELL("address",Q153), "\$([A-Z]+)\$[0-9]+"))</f>
        <v/>
      </c>
      <c r="R153" s="7" t="str">
        <f t="array" aca="1" ref="R153" ca="1">IFERROR(IF(OR('Raw Data'!R153="",LEN(TRIM('Raw Data'!R153))=0),"",IF(AND(LEN('Raw Data'!R153) &lt;= 50,LEN('Raw Data'!R153)&gt; 0),"",_xlfn.REGEXEXTRACT(CELL("address",'Raw Data'!R153),"\$([A-Z]+)\$[0-9]+"))),_xlfn.REGEXEXTRACT(CELL("address",'Raw Data'!R153),"\$([A-Z]+)\$[0-9]+"))</f>
        <v/>
      </c>
      <c r="S153" s="7" t="str">
        <f t="array" aca="1" ref="S153" ca="1">IFERROR(IF(OR('Raw Data'!S153="",LEN(TRIM('Raw Data'!S153))=0),"",IF(AND(LEN('Raw Data'!S153) &lt;= 50,LEN('Raw Data'!S153)&gt; 0),"",_xlfn.REGEXEXTRACT(CELL("address",'Raw Data'!S153),"\$([A-Z]+)\$[0-9]+"))),_xlfn.REGEXEXTRACT(CELL("address",'Raw Data'!S153),"\$([A-Z]+)\$[0-9]+"))</f>
        <v/>
      </c>
      <c r="T153" s="7" t="str">
        <f t="array" aca="1" ref="T153" ca="1">IFERROR(IF(OR('Raw Data'!T153="",LEN(TRIM('Raw Data'!T153))=0),"",IF(AND(ISNUMBER('Raw Data'!T153), IFERROR('Raw Data'!T153 = ROUND('Raw Data'!T153, 2),FALSE)),"",_xlfn.REGEXEXTRACT(CELL("address",T153), "\$([A-Z]+)\$[0-9]+"))),_xlfn.REGEXEXTRACT(CELL("address",T153), "\$([A-Z]+)\$[0-9]+"))</f>
        <v/>
      </c>
      <c r="U153" s="7" t="str">
        <f t="array" aca="1" ref="U153" ca="1">IFERROR(IF(OR('Raw Data'!U153="",LEN(TRIM('Raw Data'!U153))=0),"",IF(AND(ISNUMBER('Raw Data'!U153), IFERROR('Raw Data'!U153 = ROUND('Raw Data'!U153, 2),FALSE)),"",_xlfn.REGEXEXTRACT(CELL("address",U153), "\$([A-Z]+)\$[0-9]+"))),_xlfn.REGEXEXTRACT(CELL("address",U153), "\$([A-Z]+)\$[0-9]+"))</f>
        <v/>
      </c>
      <c r="V153" s="7" t="str">
        <f t="array" aca="1" ref="V153" ca="1">IFERROR(IF(OR('Raw Data'!V153="",LEN(TRIM('Raw Data'!V153))=0),"",IF(AND(ISNUMBER('Raw Data'!V153), IFERROR('Raw Data'!V153 = ROUND('Raw Data'!V153, 2),FALSE)),"",_xlfn.REGEXEXTRACT(CELL("address",V153), "\$([A-Z]+)\$[0-9]+"))),_xlfn.REGEXEXTRACT(CELL("address",V153), "\$([A-Z]+)\$[0-9]+"))</f>
        <v/>
      </c>
      <c r="W153" s="7" t="str">
        <f t="array" aca="1" ref="W153" ca="1">IFERROR(IF(OR('Raw Data'!W153="",LEN(TRIM('Raw Data'!W153))=0),"",IF(AND(ISNUMBER('Raw Data'!W153), IFERROR('Raw Data'!W153 = ROUND('Raw Data'!W153, 2),FALSE)),"",_xlfn.REGEXEXTRACT(CELL("address",W153), "\$([A-Z]+)\$[0-9]+"))),_xlfn.REGEXEXTRACT(CELL("address",W153), "\$([A-Z]+)\$[0-9]+"))</f>
        <v/>
      </c>
      <c r="X153" s="7" t="str">
        <f t="array" aca="1" ref="X153" ca="1">IFERROR(IF(OR('Raw Data'!X153="",LEN(TRIM('Raw Data'!X153))=0),"",IF(AND(ISNUMBER('Raw Data'!X153), IFERROR('Raw Data'!X153 = ROUND('Raw Data'!X153, 2),FALSE)),"",_xlfn.REGEXEXTRACT(CELL("address",X153), "\$([A-Z]+)\$[0-9]+"))),_xlfn.REGEXEXTRACT(CELL("address",X153), "\$([A-Z]+)\$[0-9]+"))</f>
        <v/>
      </c>
      <c r="Y153" s="7" t="str">
        <f t="array" aca="1" ref="Y153" ca="1">IFERROR(IF(OR('Raw Data'!Y153="",LEN(TRIM('Raw Data'!Y153))=0),"",IF(AND(ISNUMBER('Raw Data'!Y153), IFERROR('Raw Data'!Y153 = ROUND('Raw Data'!Y153, 2),FALSE)),"",_xlfn.REGEXEXTRACT(CELL("address",Y153), "\$([A-Z]+)\$[0-9]+"))),_xlfn.REGEXEXTRACT(CELL("address",Y153), "\$([A-Z]+)\$[0-9]+"))</f>
        <v/>
      </c>
      <c r="Z153" s="7" t="str">
        <f t="array" aca="1" ref="Z153" ca="1">IFERROR(IF(OR('Raw Data'!Z153="",LEN(TRIM('Raw Data'!Z153))=0),"",IF(AND(ISNUMBER('Raw Data'!Z153), IFERROR('Raw Data'!Z153 = ROUND('Raw Data'!Z153, 2),FALSE)),"",_xlfn.REGEXEXTRACT(CELL("address",Z153), "\$([A-Z]+)\$[0-9]+"))),_xlfn.REGEXEXTRACT(CELL("address",Z153), "\$([A-Z]+)\$[0-9]+"))</f>
        <v/>
      </c>
      <c r="AA153" s="7" t="str">
        <f t="array" aca="1" ref="AA153" ca="1">IFERROR(IF(OR('Raw Data'!AA153="",LEN(TRIM('Raw Data'!AA153))=0),"",IF(AND(ISNUMBER('Raw Data'!AA153), IFERROR('Raw Data'!AA153 = ROUND('Raw Data'!AA153, 2),FALSE)),"",_xlfn.REGEXEXTRACT(CELL("address",AA153), "\$([A-Z]+)\$[0-9]+"))),_xlfn.REGEXEXTRACT(CELL("address",AA153), "\$([A-Z]+)\$[0-9]+"))</f>
        <v/>
      </c>
      <c r="AB153" s="7" t="str">
        <f t="array" aca="1" ref="AB153" ca="1">IFERROR(IF(OR('Raw Data'!AB153="",LEN(TRIM('Raw Data'!AB153))=0),"",IF(AND(ISNUMBER('Raw Data'!AB153), IFERROR('Raw Data'!AB153 = ROUND('Raw Data'!AB153, 2),FALSE)),"",_xlfn.REGEXEXTRACT(CELL("address",AB153), "\$([A-Z]+)\$[0-9]+"))),_xlfn.REGEXEXTRACT(CELL("address",AB153), "\$([A-Z]+)\$[0-9]+"))</f>
        <v/>
      </c>
      <c r="AC153" s="7" t="str">
        <f t="array" aca="1" ref="AC153" ca="1">IFERROR(IF(OR('Raw Data'!AC153="",LEN(TRIM('Raw Data'!AC153))=0),"",IF(AND(ISNUMBER('Raw Data'!AC153), IFERROR('Raw Data'!AC153 = ROUND('Raw Data'!AC153, 2),FALSE)),"",_xlfn.REGEXEXTRACT(CELL("address",AC153), "\$([A-Z]+)\$[0-9]+"))),_xlfn.REGEXEXTRACT(CELL("address",AC153), "\$([A-Z]+)\$[0-9]+"))</f>
        <v/>
      </c>
      <c r="AD153" s="7" t="str">
        <f t="array" aca="1" ref="AD153" ca="1">IFERROR(IF(OR('Raw Data'!AD153="",LEN(TRIM('Raw Data'!AD153))=0),"",IF(AND(ISNUMBER('Raw Data'!AD153), IFERROR('Raw Data'!AD153 = ROUND('Raw Data'!AD153, 2),FALSE)),"",_xlfn.REGEXEXTRACT(CELL("address",AD153), "\$([A-Z]+)\$[0-9]+"))),_xlfn.REGEXEXTRACT(CELL("address",AD153), "\$([A-Z]+)\$[0-9]+"))</f>
        <v/>
      </c>
      <c r="AE153" s="7" t="str">
        <f t="array" aca="1" ref="AE153" ca="1">IFERROR(IF(OR('Raw Data'!AE153="",LEN(TRIM('Raw Data'!AE153))=0),"",IF(AND(ISNUMBER('Raw Data'!AE153), IFERROR('Raw Data'!AE153 = ROUND('Raw Data'!AE153, 2),FALSE)),"",_xlfn.REGEXEXTRACT(CELL("address",AE153), "\$([A-Z]+)\$[0-9]+"))),_xlfn.REGEXEXTRACT(CELL("address",AE153), "\$([A-Z]+)\$[0-9]+"))</f>
        <v/>
      </c>
      <c r="AF153" s="7" t="str">
        <f t="array" aca="1" ref="AF153" ca="1">IFERROR(IF(OR('Raw Data'!AF153="",LEN(TRIM('Raw Data'!AF153))=0),"",IF(AND(ISNUMBER('Raw Data'!AF153), IFERROR('Raw Data'!AF153 = ROUND('Raw Data'!AF153, 2),FALSE)),"",_xlfn.REGEXEXTRACT(CELL("address",AF153), "\$([A-Z]+)\$[0-9]+"))),_xlfn.REGEXEXTRACT(CELL("address",AF153), "\$([A-Z]+)\$[0-9]+"))</f>
        <v/>
      </c>
      <c r="AG153" s="7" t="str">
        <f t="array" aca="1" ref="AG153" ca="1">IFERROR(IF(OR('Raw Data'!AG153="",LEN(TRIM('Raw Data'!AG153))=0),"",IF(AND(ISNUMBER('Raw Data'!AG153), IFERROR('Raw Data'!AG153 = ROUND('Raw Data'!AG153, 2),FALSE)),"",_xlfn.REGEXEXTRACT(CELL("address",AG153), "\$([A-Z]+)\$[0-9]+"))),_xlfn.REGEXEXTRACT(CELL("address",AG153), "\$([A-Z]+)\$[0-9]+"))</f>
        <v/>
      </c>
      <c r="AH153" s="7" t="str">
        <f t="array" aca="1" ref="AH153" ca="1">IFERROR(IF(OR('Raw Data'!AH153="",LEN(TRIM('Raw Data'!AH153))=0),"",IF(AND(ISNUMBER('Raw Data'!AH153), IFERROR('Raw Data'!AH153 = ROUND('Raw Data'!AH153, 2),FALSE)),"",_xlfn.REGEXEXTRACT(CELL("address",AH153), "\$([A-Z]+)\$[0-9]+"))),_xlfn.REGEXEXTRACT(CELL("address",AH153), "\$([A-Z]+)\$[0-9]+"))</f>
        <v/>
      </c>
      <c r="AI153" s="7" t="str">
        <f t="array" aca="1" ref="AI153" ca="1">IFERROR(IF(OR('Raw Data'!AI153="",LEN(TRIM('Raw Data'!AI153))=0),"",IF(AND(ISNUMBER('Raw Data'!AI153), IFERROR('Raw Data'!AI153 = ROUND('Raw Data'!AI153, 2),FALSE)),"",_xlfn.REGEXEXTRACT(CELL("address",AI153), "\$([A-Z]+)\$[0-9]+"))),_xlfn.REGEXEXTRACT(CELL("address",AI153), "\$([A-Z]+)\$[0-9]+"))</f>
        <v/>
      </c>
      <c r="AJ153" s="7" t="str">
        <f t="array" aca="1" ref="AJ153" ca="1">IFERROR(IF(OR('Raw Data'!AJ153="",LEN(TRIM('Raw Data'!AJ153))=0),"",IF(AND(ISNUMBER('Raw Data'!AJ153), IFERROR('Raw Data'!AJ153 = ROUND('Raw Data'!AJ153, 4),FALSE)),"",_xlfn.REGEXEXTRACT(CELL("address",AJ153), "\$([A-Z]+)\$[0-9]+"))),_xlfn.REGEXEXTRACT(CELL("address",AJ153), "\$([A-Z]+)\$[0-9]+"))</f>
        <v/>
      </c>
      <c r="AK153" s="7" t="str">
        <f t="array" aca="1" ref="AK153" ca="1">IFERROR(IF(OR('Raw Data'!AK153="",LEN(TRIM('Raw Data'!AK153))=0),"",IF(AND(ISNUMBER('Raw Data'!AK153), IFERROR('Raw Data'!AK153 = ROUND('Raw Data'!AK153, 2),FALSE)),"",_xlfn.REGEXEXTRACT(CELL("address",AK153), "\$([A-Z]+)\$[0-9]+"))),_xlfn.REGEXEXTRACT(CELL("address",AK153), "\$([A-Z]+)\$[0-9]+"))</f>
        <v/>
      </c>
      <c r="AL153" s="7" t="str">
        <f t="array" aca="1" ref="AL153" ca="1">IFERROR(IF(OR('Raw Data'!AL153="",LEN(TRIM('Raw Data'!AL153))=0),"",IF(AND(ISNUMBER('Raw Data'!AL153), IFERROR('Raw Data'!AL153 = ROUND('Raw Data'!AL153, 2),FALSE)),"",_xlfn.REGEXEXTRACT(CELL("address",AL153), "\$([A-Z]+)\$[0-9]+"))),_xlfn.REGEXEXTRACT(CELL("address",AL153), "\$([A-Z]+)\$[0-9]+"))</f>
        <v/>
      </c>
      <c r="AM153" s="7" t="str">
        <f t="array" aca="1" ref="AM153" ca="1">IFERROR(IF(OR('Raw Data'!AM153="",LEN(TRIM('Raw Data'!AM153))=0),"",IF(AND(ISNUMBER('Raw Data'!AM153), IFERROR('Raw Data'!AM153 = ROUND('Raw Data'!AM153, 2),FALSE)),"",_xlfn.REGEXEXTRACT(CELL("address",AM153), "\$([A-Z]+)\$[0-9]+"))),_xlfn.REGEXEXTRACT(CELL("address",AM153), "\$([A-Z]+)\$[0-9]+"))</f>
        <v/>
      </c>
      <c r="AN153" s="7" t="str">
        <f t="array" aca="1" ref="AN153" ca="1">IFERROR(IF(OR('Raw Data'!AN153="",LEN(TRIM('Raw Data'!AN153))=0),"",IF(AND(ISNUMBER('Raw Data'!AN153), IFERROR('Raw Data'!AN153 = ROUND('Raw Data'!AN153, 2),FALSE)),"",_xlfn.REGEXEXTRACT(CELL("address",AN153), "\$([A-Z]+)\$[0-9]+"))),_xlfn.REGEXEXTRACT(CELL("address",AN153), "\$([A-Z]+)\$[0-9]+"))</f>
        <v/>
      </c>
      <c r="AO153" s="7" t="str">
        <f t="array" aca="1" ref="AO153" ca="1">IFERROR(IF(OR('Raw Data'!AO153="",LEN(TRIM('Raw Data'!AO153))=0),"",IF(AND(ISNUMBER('Raw Data'!AO153), IFERROR('Raw Data'!AO153 = ROUND('Raw Data'!AO153, 2),FALSE)),"",_xlfn.REGEXEXTRACT(CELL("address",AO153), "\$([A-Z]+)\$[0-9]+"))),_xlfn.REGEXEXTRACT(CELL("address",AO153), "\$([A-Z]+)\$[0-9]+"))</f>
        <v/>
      </c>
      <c r="AP153" s="7" t="str">
        <f t="array" aca="1" ref="AP153" ca="1">IFERROR(IF(OR('Raw Data'!AP153="",LEN(TRIM('Raw Data'!AP153))=0),"",IF(AND(ISNUMBER('Raw Data'!AP153), IFERROR('Raw Data'!AP153 = ROUND('Raw Data'!AP153, 2),FALSE)),"",_xlfn.REGEXEXTRACT(CELL("address",AP153), "\$([A-Z]+)\$[0-9]+"))),_xlfn.REGEXEXTRACT(CELL("address",AP153), "\$([A-Z]+)\$[0-9]+"))</f>
        <v/>
      </c>
    </row>
    <row r="154" spans="2:42" x14ac:dyDescent="0.25">
      <c r="B154" s="7" t="str">
        <f t="array" aca="1" ref="B154" ca="1">IFERROR(IF(OR('Raw Data'!B154="",LEN(TRIM('Raw Data'!B154))=0),"",IF(AND(LEN('Raw Data'!B154) &lt;= 255,LEN('Raw Data'!B154)&gt; 0),"",_xlfn.REGEXEXTRACT(CELL("address",'Raw Data'!B154),"\$([A-Z]+)\$[0-9]+"))),_xlfn.REGEXEXTRACT(CELL("address",'Raw Data'!B154),"\$([A-Z]+)\$[0-9]+"))</f>
        <v/>
      </c>
      <c r="C154" s="7" t="str">
        <f t="array" aca="1" ref="C154" ca="1">IFERROR(IF(OR('Raw Data'!C154="",LEN(TRIM('Raw Data'!C154))=0),"",IF(AND(LEN('Raw Data'!C154) &lt;= 50,LEN('Raw Data'!C154)&gt; 0),"",_xlfn.REGEXEXTRACT(CELL("address",'Raw Data'!C154),"\$([A-Z]+)\$[0-9]+"))),_xlfn.REGEXEXTRACT(CELL("address",'Raw Data'!C154),"\$([A-Z]+)\$[0-9]+"))</f>
        <v/>
      </c>
      <c r="D154" s="7" t="str">
        <f t="array" aca="1" ref="D154" ca="1">IFERROR(IF(OR('Raw Data'!D154="",LEN(TRIM('Raw Data'!D154))=0),"",IF(AND(LEN('Raw Data'!D154) &lt;= 500,LEN('Raw Data'!D154)&gt; 0),"",_xlfn.REGEXEXTRACT(CELL("address",'Raw Data'!D154),"\$([A-Z]+)\$[0-9]+"))),_xlfn.REGEXEXTRACT(CELL("address",'Raw Data'!D154),"\$([A-Z]+)\$[0-9]+"))</f>
        <v/>
      </c>
      <c r="E154" s="7" t="str">
        <f t="array" aca="1" ref="E154" ca="1">IFERROR(IF(OR('Raw Data'!E154="",LEN(TRIM('Raw Data'!E154))=0),"",IF(AND(LEN('Raw Data'!E154) &lt;= 50,LEN('Raw Data'!E154)&gt; 0),"",_xlfn.REGEXEXTRACT(CELL("address",'Raw Data'!E154),"\$([A-Z]+)\$[0-9]+"))),_xlfn.REGEXEXTRACT(CELL("address",'Raw Data'!E154),"\$([A-Z]+)\$[0-9]+"))</f>
        <v/>
      </c>
      <c r="F154" s="7" t="str">
        <f t="array" aca="1" ref="F154" ca="1">IFERROR(IF(OR('Raw Data'!F154="",LEN(TRIM('Raw Data'!F154))=0),"",IF(AND(LEN('Raw Data'!F154) &lt;= 50,LEN('Raw Data'!F154)&gt; 0),"",_xlfn.REGEXEXTRACT(CELL("address",'Raw Data'!F154),"\$([A-Z]+)\$[0-9]+"))),_xlfn.REGEXEXTRACT(CELL("address",'Raw Data'!F154),"\$([A-Z]+)\$[0-9]+"))</f>
        <v/>
      </c>
      <c r="G154" s="7" t="str">
        <f t="array" aca="1" ref="G154" ca="1">IFERROR(IF(OR('Raw Data'!G154="",LEN(TRIM('Raw Data'!G154))=0),"",IF(AND(LEN('Raw Data'!G154) &lt;= 50,LEN('Raw Data'!G154)&gt; 0),"",_xlfn.REGEXEXTRACT(CELL("address",'Raw Data'!G154),"\$([A-Z]+)\$[0-9]+"))),_xlfn.REGEXEXTRACT(CELL("address",'Raw Data'!G154),"\$([A-Z]+)\$[0-9]+"))</f>
        <v/>
      </c>
      <c r="H154" s="7" t="str">
        <f t="array" aca="1" ref="H154" ca="1">IFERROR(IF(OR('Raw Data'!H154="",LEN(TRIM('Raw Data'!H154))=0),"",IF(AND(LEN('Raw Data'!H154) &lt;= 50,LEN('Raw Data'!H154)&gt; 0),"",_xlfn.REGEXEXTRACT(CELL("address",'Raw Data'!H154),"\$([A-Z]+)\$[0-9]+"))),_xlfn.REGEXEXTRACT(CELL("address",'Raw Data'!H154),"\$([A-Z]+)\$[0-9]+"))</f>
        <v/>
      </c>
      <c r="I154" s="7" t="str">
        <f t="array" aca="1" ref="I154" ca="1">IFERROR(IF(OR('Raw Data'!I154="",LEN(TRIM('Raw Data'!I154))=0),"",IF(AND(LEN('Raw Data'!I154) &lt;= 50,LEN('Raw Data'!I154)&gt; 0),"",_xlfn.REGEXEXTRACT(CELL("address",'Raw Data'!I154),"\$([A-Z]+)\$[0-9]+"))),_xlfn.REGEXEXTRACT(CELL("address",'Raw Data'!I154),"\$([A-Z]+)\$[0-9]+"))</f>
        <v/>
      </c>
      <c r="J154" s="7" t="str">
        <f t="array" aca="1" ref="J154" ca="1">IFERROR(IF(OR('Raw Data'!J154="",LEN(TRIM('Raw Data'!J154))=0),"",IF(AND(ISNUMBER('Raw Data'!J154), IFERROR('Raw Data'!J154 = ROUND('Raw Data'!J154, 2),FALSE)),"",_xlfn.REGEXEXTRACT(CELL("address",J154), "\$([A-Z]+)\$[0-9]+"))),_xlfn.REGEXEXTRACT(CELL("address",J154), "\$([A-Z]+)\$[0-9]+"))</f>
        <v/>
      </c>
      <c r="K154" s="7" t="str">
        <f t="array" aca="1" ref="K154" ca="1">IFERROR(IF(OR('Raw Data'!K154="",LEN(TRIM('Raw Data'!K154))=0),"",IF(AND(ISNUMBER('Raw Data'!K154), IFERROR('Raw Data'!K154 = ROUND('Raw Data'!K154, 2),FALSE)),"",_xlfn.REGEXEXTRACT(CELL("address",K154), "\$([A-Z]+)\$[0-9]+"))),_xlfn.REGEXEXTRACT(CELL("address",K154), "\$([A-Z]+)\$[0-9]+"))</f>
        <v/>
      </c>
      <c r="L154" s="7" t="str">
        <f t="array" aca="1" ref="L154" ca="1">IFERROR(IF(OR('Raw Data'!L154="",LEN(TRIM('Raw Data'!L154))=0),"",IF(AND(ISNUMBER('Raw Data'!L154), IFERROR('Raw Data'!L154 = ROUND('Raw Data'!L154, 2),FALSE)),"",_xlfn.REGEXEXTRACT(CELL("address",L154), "\$([A-Z]+)\$[0-9]+"))),_xlfn.REGEXEXTRACT(CELL("address",L154), "\$([A-Z]+)\$[0-9]+"))</f>
        <v/>
      </c>
      <c r="M154" s="7" t="str">
        <f t="array" aca="1" ref="M154" ca="1">IFERROR(IF(OR('Raw Data'!M154="",LEN(TRIM('Raw Data'!M154))=0),"",IF(AND(ISNUMBER('Raw Data'!M154), IFERROR('Raw Data'!M154 = ROUND('Raw Data'!M154, 2),FALSE)),"",_xlfn.REGEXEXTRACT(CELL("address",M154), "\$([A-Z]+)\$[0-9]+"))),_xlfn.REGEXEXTRACT(CELL("address",M154), "\$([A-Z]+)\$[0-9]+"))</f>
        <v/>
      </c>
      <c r="N154" s="7" t="str">
        <f t="array" aca="1" ref="N154" ca="1">IFERROR(IF(OR('Raw Data'!N154="",LEN(TRIM('Raw Data'!N154))=0),"",IF(AND(ISNUMBER('Raw Data'!N154), IFERROR('Raw Data'!N154 = ROUND('Raw Data'!N154, 2),FALSE)),"",_xlfn.REGEXEXTRACT(CELL("address",N154), "\$([A-Z]+)\$[0-9]+"))),_xlfn.REGEXEXTRACT(CELL("address",N154), "\$([A-Z]+)\$[0-9]+"))</f>
        <v/>
      </c>
      <c r="O154" s="7" t="str">
        <f t="array" aca="1" ref="O154" ca="1">IFERROR(IF(OR('Raw Data'!O154="",LEN(TRIM('Raw Data'!O154))=0),"",IF(AND(ISNUMBER('Raw Data'!O154),'Raw Data'!O154&gt;=Configuration!$D$2),"",_xlfn.REGEXEXTRACT(CELL("address",'Raw Data'!O154),"\$([A-Z]+)\$[0-9]+"))),_xlfn.REGEXEXTRACT(CELL("address",O154), "\$([A-Z]+)\$[0-9]+"))</f>
        <v/>
      </c>
      <c r="P154" s="7" t="str">
        <f t="array" aca="1" ref="P154" ca="1">IFERROR(IF(OR('Raw Data'!P154="",LEN(TRIM('Raw Data'!P154))=0),"",IF(AND(ISNUMBER('Raw Data'!P154), IFERROR('Raw Data'!P154 = ROUND('Raw Data'!P154, 2),FALSE)),"",_xlfn.REGEXEXTRACT(CELL("address",P154), "\$([A-Z]+)\$[0-9]+"))),_xlfn.REGEXEXTRACT(CELL("address",P154), "\$([A-Z]+)\$[0-9]+"))</f>
        <v/>
      </c>
      <c r="Q154" s="7" t="str">
        <f t="array" aca="1" ref="Q154" ca="1">IFERROR(IF(OR('Raw Data'!Q154="",LEN(TRIM('Raw Data'!Q154))=0),"",IF(AND(ISNUMBER('Raw Data'!Q154), IFERROR('Raw Data'!Q154 = ROUND('Raw Data'!Q154, 2),FALSE)),"",_xlfn.REGEXEXTRACT(CELL("address",Q154), "\$([A-Z]+)\$[0-9]+"))),_xlfn.REGEXEXTRACT(CELL("address",Q154), "\$([A-Z]+)\$[0-9]+"))</f>
        <v/>
      </c>
      <c r="R154" s="7" t="str">
        <f t="array" aca="1" ref="R154" ca="1">IFERROR(IF(OR('Raw Data'!R154="",LEN(TRIM('Raw Data'!R154))=0),"",IF(AND(LEN('Raw Data'!R154) &lt;= 50,LEN('Raw Data'!R154)&gt; 0),"",_xlfn.REGEXEXTRACT(CELL("address",'Raw Data'!R154),"\$([A-Z]+)\$[0-9]+"))),_xlfn.REGEXEXTRACT(CELL("address",'Raw Data'!R154),"\$([A-Z]+)\$[0-9]+"))</f>
        <v/>
      </c>
      <c r="S154" s="7" t="str">
        <f t="array" aca="1" ref="S154" ca="1">IFERROR(IF(OR('Raw Data'!S154="",LEN(TRIM('Raw Data'!S154))=0),"",IF(AND(LEN('Raw Data'!S154) &lt;= 50,LEN('Raw Data'!S154)&gt; 0),"",_xlfn.REGEXEXTRACT(CELL("address",'Raw Data'!S154),"\$([A-Z]+)\$[0-9]+"))),_xlfn.REGEXEXTRACT(CELL("address",'Raw Data'!S154),"\$([A-Z]+)\$[0-9]+"))</f>
        <v/>
      </c>
      <c r="T154" s="7" t="str">
        <f t="array" aca="1" ref="T154" ca="1">IFERROR(IF(OR('Raw Data'!T154="",LEN(TRIM('Raw Data'!T154))=0),"",IF(AND(ISNUMBER('Raw Data'!T154), IFERROR('Raw Data'!T154 = ROUND('Raw Data'!T154, 2),FALSE)),"",_xlfn.REGEXEXTRACT(CELL("address",T154), "\$([A-Z]+)\$[0-9]+"))),_xlfn.REGEXEXTRACT(CELL("address",T154), "\$([A-Z]+)\$[0-9]+"))</f>
        <v/>
      </c>
      <c r="U154" s="7" t="str">
        <f t="array" aca="1" ref="U154" ca="1">IFERROR(IF(OR('Raw Data'!U154="",LEN(TRIM('Raw Data'!U154))=0),"",IF(AND(ISNUMBER('Raw Data'!U154), IFERROR('Raw Data'!U154 = ROUND('Raw Data'!U154, 2),FALSE)),"",_xlfn.REGEXEXTRACT(CELL("address",U154), "\$([A-Z]+)\$[0-9]+"))),_xlfn.REGEXEXTRACT(CELL("address",U154), "\$([A-Z]+)\$[0-9]+"))</f>
        <v/>
      </c>
      <c r="V154" s="7" t="str">
        <f t="array" aca="1" ref="V154" ca="1">IFERROR(IF(OR('Raw Data'!V154="",LEN(TRIM('Raw Data'!V154))=0),"",IF(AND(ISNUMBER('Raw Data'!V154), IFERROR('Raw Data'!V154 = ROUND('Raw Data'!V154, 2),FALSE)),"",_xlfn.REGEXEXTRACT(CELL("address",V154), "\$([A-Z]+)\$[0-9]+"))),_xlfn.REGEXEXTRACT(CELL("address",V154), "\$([A-Z]+)\$[0-9]+"))</f>
        <v/>
      </c>
      <c r="W154" s="7" t="str">
        <f t="array" aca="1" ref="W154" ca="1">IFERROR(IF(OR('Raw Data'!W154="",LEN(TRIM('Raw Data'!W154))=0),"",IF(AND(ISNUMBER('Raw Data'!W154), IFERROR('Raw Data'!W154 = ROUND('Raw Data'!W154, 2),FALSE)),"",_xlfn.REGEXEXTRACT(CELL("address",W154), "\$([A-Z]+)\$[0-9]+"))),_xlfn.REGEXEXTRACT(CELL("address",W154), "\$([A-Z]+)\$[0-9]+"))</f>
        <v/>
      </c>
      <c r="X154" s="7" t="str">
        <f t="array" aca="1" ref="X154" ca="1">IFERROR(IF(OR('Raw Data'!X154="",LEN(TRIM('Raw Data'!X154))=0),"",IF(AND(ISNUMBER('Raw Data'!X154), IFERROR('Raw Data'!X154 = ROUND('Raw Data'!X154, 2),FALSE)),"",_xlfn.REGEXEXTRACT(CELL("address",X154), "\$([A-Z]+)\$[0-9]+"))),_xlfn.REGEXEXTRACT(CELL("address",X154), "\$([A-Z]+)\$[0-9]+"))</f>
        <v/>
      </c>
      <c r="Y154" s="7" t="str">
        <f t="array" aca="1" ref="Y154" ca="1">IFERROR(IF(OR('Raw Data'!Y154="",LEN(TRIM('Raw Data'!Y154))=0),"",IF(AND(ISNUMBER('Raw Data'!Y154), IFERROR('Raw Data'!Y154 = ROUND('Raw Data'!Y154, 2),FALSE)),"",_xlfn.REGEXEXTRACT(CELL("address",Y154), "\$([A-Z]+)\$[0-9]+"))),_xlfn.REGEXEXTRACT(CELL("address",Y154), "\$([A-Z]+)\$[0-9]+"))</f>
        <v/>
      </c>
      <c r="Z154" s="7" t="str">
        <f t="array" aca="1" ref="Z154" ca="1">IFERROR(IF(OR('Raw Data'!Z154="",LEN(TRIM('Raw Data'!Z154))=0),"",IF(AND(ISNUMBER('Raw Data'!Z154), IFERROR('Raw Data'!Z154 = ROUND('Raw Data'!Z154, 2),FALSE)),"",_xlfn.REGEXEXTRACT(CELL("address",Z154), "\$([A-Z]+)\$[0-9]+"))),_xlfn.REGEXEXTRACT(CELL("address",Z154), "\$([A-Z]+)\$[0-9]+"))</f>
        <v/>
      </c>
      <c r="AA154" s="7" t="str">
        <f t="array" aca="1" ref="AA154" ca="1">IFERROR(IF(OR('Raw Data'!AA154="",LEN(TRIM('Raw Data'!AA154))=0),"",IF(AND(ISNUMBER('Raw Data'!AA154), IFERROR('Raw Data'!AA154 = ROUND('Raw Data'!AA154, 2),FALSE)),"",_xlfn.REGEXEXTRACT(CELL("address",AA154), "\$([A-Z]+)\$[0-9]+"))),_xlfn.REGEXEXTRACT(CELL("address",AA154), "\$([A-Z]+)\$[0-9]+"))</f>
        <v/>
      </c>
      <c r="AB154" s="7" t="str">
        <f t="array" aca="1" ref="AB154" ca="1">IFERROR(IF(OR('Raw Data'!AB154="",LEN(TRIM('Raw Data'!AB154))=0),"",IF(AND(ISNUMBER('Raw Data'!AB154), IFERROR('Raw Data'!AB154 = ROUND('Raw Data'!AB154, 2),FALSE)),"",_xlfn.REGEXEXTRACT(CELL("address",AB154), "\$([A-Z]+)\$[0-9]+"))),_xlfn.REGEXEXTRACT(CELL("address",AB154), "\$([A-Z]+)\$[0-9]+"))</f>
        <v/>
      </c>
      <c r="AC154" s="7" t="str">
        <f t="array" aca="1" ref="AC154" ca="1">IFERROR(IF(OR('Raw Data'!AC154="",LEN(TRIM('Raw Data'!AC154))=0),"",IF(AND(ISNUMBER('Raw Data'!AC154), IFERROR('Raw Data'!AC154 = ROUND('Raw Data'!AC154, 2),FALSE)),"",_xlfn.REGEXEXTRACT(CELL("address",AC154), "\$([A-Z]+)\$[0-9]+"))),_xlfn.REGEXEXTRACT(CELL("address",AC154), "\$([A-Z]+)\$[0-9]+"))</f>
        <v/>
      </c>
      <c r="AD154" s="7" t="str">
        <f t="array" aca="1" ref="AD154" ca="1">IFERROR(IF(OR('Raw Data'!AD154="",LEN(TRIM('Raw Data'!AD154))=0),"",IF(AND(ISNUMBER('Raw Data'!AD154), IFERROR('Raw Data'!AD154 = ROUND('Raw Data'!AD154, 2),FALSE)),"",_xlfn.REGEXEXTRACT(CELL("address",AD154), "\$([A-Z]+)\$[0-9]+"))),_xlfn.REGEXEXTRACT(CELL("address",AD154), "\$([A-Z]+)\$[0-9]+"))</f>
        <v/>
      </c>
      <c r="AE154" s="7" t="str">
        <f t="array" aca="1" ref="AE154" ca="1">IFERROR(IF(OR('Raw Data'!AE154="",LEN(TRIM('Raw Data'!AE154))=0),"",IF(AND(ISNUMBER('Raw Data'!AE154), IFERROR('Raw Data'!AE154 = ROUND('Raw Data'!AE154, 2),FALSE)),"",_xlfn.REGEXEXTRACT(CELL("address",AE154), "\$([A-Z]+)\$[0-9]+"))),_xlfn.REGEXEXTRACT(CELL("address",AE154), "\$([A-Z]+)\$[0-9]+"))</f>
        <v/>
      </c>
      <c r="AF154" s="7" t="str">
        <f t="array" aca="1" ref="AF154" ca="1">IFERROR(IF(OR('Raw Data'!AF154="",LEN(TRIM('Raw Data'!AF154))=0),"",IF(AND(ISNUMBER('Raw Data'!AF154), IFERROR('Raw Data'!AF154 = ROUND('Raw Data'!AF154, 2),FALSE)),"",_xlfn.REGEXEXTRACT(CELL("address",AF154), "\$([A-Z]+)\$[0-9]+"))),_xlfn.REGEXEXTRACT(CELL("address",AF154), "\$([A-Z]+)\$[0-9]+"))</f>
        <v/>
      </c>
      <c r="AG154" s="7" t="str">
        <f t="array" aca="1" ref="AG154" ca="1">IFERROR(IF(OR('Raw Data'!AG154="",LEN(TRIM('Raw Data'!AG154))=0),"",IF(AND(ISNUMBER('Raw Data'!AG154), IFERROR('Raw Data'!AG154 = ROUND('Raw Data'!AG154, 2),FALSE)),"",_xlfn.REGEXEXTRACT(CELL("address",AG154), "\$([A-Z]+)\$[0-9]+"))),_xlfn.REGEXEXTRACT(CELL("address",AG154), "\$([A-Z]+)\$[0-9]+"))</f>
        <v/>
      </c>
      <c r="AH154" s="7" t="str">
        <f t="array" aca="1" ref="AH154" ca="1">IFERROR(IF(OR('Raw Data'!AH154="",LEN(TRIM('Raw Data'!AH154))=0),"",IF(AND(ISNUMBER('Raw Data'!AH154), IFERROR('Raw Data'!AH154 = ROUND('Raw Data'!AH154, 2),FALSE)),"",_xlfn.REGEXEXTRACT(CELL("address",AH154), "\$([A-Z]+)\$[0-9]+"))),_xlfn.REGEXEXTRACT(CELL("address",AH154), "\$([A-Z]+)\$[0-9]+"))</f>
        <v/>
      </c>
      <c r="AI154" s="7" t="str">
        <f t="array" aca="1" ref="AI154" ca="1">IFERROR(IF(OR('Raw Data'!AI154="",LEN(TRIM('Raw Data'!AI154))=0),"",IF(AND(ISNUMBER('Raw Data'!AI154), IFERROR('Raw Data'!AI154 = ROUND('Raw Data'!AI154, 2),FALSE)),"",_xlfn.REGEXEXTRACT(CELL("address",AI154), "\$([A-Z]+)\$[0-9]+"))),_xlfn.REGEXEXTRACT(CELL("address",AI154), "\$([A-Z]+)\$[0-9]+"))</f>
        <v/>
      </c>
      <c r="AJ154" s="7" t="str">
        <f t="array" aca="1" ref="AJ154" ca="1">IFERROR(IF(OR('Raw Data'!AJ154="",LEN(TRIM('Raw Data'!AJ154))=0),"",IF(AND(ISNUMBER('Raw Data'!AJ154), IFERROR('Raw Data'!AJ154 = ROUND('Raw Data'!AJ154, 4),FALSE)),"",_xlfn.REGEXEXTRACT(CELL("address",AJ154), "\$([A-Z]+)\$[0-9]+"))),_xlfn.REGEXEXTRACT(CELL("address",AJ154), "\$([A-Z]+)\$[0-9]+"))</f>
        <v/>
      </c>
      <c r="AK154" s="7" t="str">
        <f t="array" aca="1" ref="AK154" ca="1">IFERROR(IF(OR('Raw Data'!AK154="",LEN(TRIM('Raw Data'!AK154))=0),"",IF(AND(ISNUMBER('Raw Data'!AK154), IFERROR('Raw Data'!AK154 = ROUND('Raw Data'!AK154, 2),FALSE)),"",_xlfn.REGEXEXTRACT(CELL("address",AK154), "\$([A-Z]+)\$[0-9]+"))),_xlfn.REGEXEXTRACT(CELL("address",AK154), "\$([A-Z]+)\$[0-9]+"))</f>
        <v/>
      </c>
      <c r="AL154" s="7" t="str">
        <f t="array" aca="1" ref="AL154" ca="1">IFERROR(IF(OR('Raw Data'!AL154="",LEN(TRIM('Raw Data'!AL154))=0),"",IF(AND(ISNUMBER('Raw Data'!AL154), IFERROR('Raw Data'!AL154 = ROUND('Raw Data'!AL154, 2),FALSE)),"",_xlfn.REGEXEXTRACT(CELL("address",AL154), "\$([A-Z]+)\$[0-9]+"))),_xlfn.REGEXEXTRACT(CELL("address",AL154), "\$([A-Z]+)\$[0-9]+"))</f>
        <v/>
      </c>
      <c r="AM154" s="7" t="str">
        <f t="array" aca="1" ref="AM154" ca="1">IFERROR(IF(OR('Raw Data'!AM154="",LEN(TRIM('Raw Data'!AM154))=0),"",IF(AND(ISNUMBER('Raw Data'!AM154), IFERROR('Raw Data'!AM154 = ROUND('Raw Data'!AM154, 2),FALSE)),"",_xlfn.REGEXEXTRACT(CELL("address",AM154), "\$([A-Z]+)\$[0-9]+"))),_xlfn.REGEXEXTRACT(CELL("address",AM154), "\$([A-Z]+)\$[0-9]+"))</f>
        <v/>
      </c>
      <c r="AN154" s="7" t="str">
        <f t="array" aca="1" ref="AN154" ca="1">IFERROR(IF(OR('Raw Data'!AN154="",LEN(TRIM('Raw Data'!AN154))=0),"",IF(AND(ISNUMBER('Raw Data'!AN154), IFERROR('Raw Data'!AN154 = ROUND('Raw Data'!AN154, 2),FALSE)),"",_xlfn.REGEXEXTRACT(CELL("address",AN154), "\$([A-Z]+)\$[0-9]+"))),_xlfn.REGEXEXTRACT(CELL("address",AN154), "\$([A-Z]+)\$[0-9]+"))</f>
        <v/>
      </c>
      <c r="AO154" s="7" t="str">
        <f t="array" aca="1" ref="AO154" ca="1">IFERROR(IF(OR('Raw Data'!AO154="",LEN(TRIM('Raw Data'!AO154))=0),"",IF(AND(ISNUMBER('Raw Data'!AO154), IFERROR('Raw Data'!AO154 = ROUND('Raw Data'!AO154, 2),FALSE)),"",_xlfn.REGEXEXTRACT(CELL("address",AO154), "\$([A-Z]+)\$[0-9]+"))),_xlfn.REGEXEXTRACT(CELL("address",AO154), "\$([A-Z]+)\$[0-9]+"))</f>
        <v/>
      </c>
      <c r="AP154" s="7" t="str">
        <f t="array" aca="1" ref="AP154" ca="1">IFERROR(IF(OR('Raw Data'!AP154="",LEN(TRIM('Raw Data'!AP154))=0),"",IF(AND(ISNUMBER('Raw Data'!AP154), IFERROR('Raw Data'!AP154 = ROUND('Raw Data'!AP154, 2),FALSE)),"",_xlfn.REGEXEXTRACT(CELL("address",AP154), "\$([A-Z]+)\$[0-9]+"))),_xlfn.REGEXEXTRACT(CELL("address",AP154), "\$([A-Z]+)\$[0-9]+"))</f>
        <v/>
      </c>
    </row>
    <row r="155" spans="2:42" x14ac:dyDescent="0.25">
      <c r="B155" s="7" t="str">
        <f t="array" aca="1" ref="B155" ca="1">IFERROR(IF(OR('Raw Data'!B155="",LEN(TRIM('Raw Data'!B155))=0),"",IF(AND(LEN('Raw Data'!B155) &lt;= 255,LEN('Raw Data'!B155)&gt; 0),"",_xlfn.REGEXEXTRACT(CELL("address",'Raw Data'!B155),"\$([A-Z]+)\$[0-9]+"))),_xlfn.REGEXEXTRACT(CELL("address",'Raw Data'!B155),"\$([A-Z]+)\$[0-9]+"))</f>
        <v/>
      </c>
      <c r="C155" s="7" t="str">
        <f t="array" aca="1" ref="C155" ca="1">IFERROR(IF(OR('Raw Data'!C155="",LEN(TRIM('Raw Data'!C155))=0),"",IF(AND(LEN('Raw Data'!C155) &lt;= 50,LEN('Raw Data'!C155)&gt; 0),"",_xlfn.REGEXEXTRACT(CELL("address",'Raw Data'!C155),"\$([A-Z]+)\$[0-9]+"))),_xlfn.REGEXEXTRACT(CELL("address",'Raw Data'!C155),"\$([A-Z]+)\$[0-9]+"))</f>
        <v/>
      </c>
      <c r="D155" s="7" t="str">
        <f t="array" aca="1" ref="D155" ca="1">IFERROR(IF(OR('Raw Data'!D155="",LEN(TRIM('Raw Data'!D155))=0),"",IF(AND(LEN('Raw Data'!D155) &lt;= 500,LEN('Raw Data'!D155)&gt; 0),"",_xlfn.REGEXEXTRACT(CELL("address",'Raw Data'!D155),"\$([A-Z]+)\$[0-9]+"))),_xlfn.REGEXEXTRACT(CELL("address",'Raw Data'!D155),"\$([A-Z]+)\$[0-9]+"))</f>
        <v/>
      </c>
      <c r="E155" s="7" t="str">
        <f t="array" aca="1" ref="E155" ca="1">IFERROR(IF(OR('Raw Data'!E155="",LEN(TRIM('Raw Data'!E155))=0),"",IF(AND(LEN('Raw Data'!E155) &lt;= 50,LEN('Raw Data'!E155)&gt; 0),"",_xlfn.REGEXEXTRACT(CELL("address",'Raw Data'!E155),"\$([A-Z]+)\$[0-9]+"))),_xlfn.REGEXEXTRACT(CELL("address",'Raw Data'!E155),"\$([A-Z]+)\$[0-9]+"))</f>
        <v/>
      </c>
      <c r="F155" s="7" t="str">
        <f t="array" aca="1" ref="F155" ca="1">IFERROR(IF(OR('Raw Data'!F155="",LEN(TRIM('Raw Data'!F155))=0),"",IF(AND(LEN('Raw Data'!F155) &lt;= 50,LEN('Raw Data'!F155)&gt; 0),"",_xlfn.REGEXEXTRACT(CELL("address",'Raw Data'!F155),"\$([A-Z]+)\$[0-9]+"))),_xlfn.REGEXEXTRACT(CELL("address",'Raw Data'!F155),"\$([A-Z]+)\$[0-9]+"))</f>
        <v/>
      </c>
      <c r="G155" s="7" t="str">
        <f t="array" aca="1" ref="G155" ca="1">IFERROR(IF(OR('Raw Data'!G155="",LEN(TRIM('Raw Data'!G155))=0),"",IF(AND(LEN('Raw Data'!G155) &lt;= 50,LEN('Raw Data'!G155)&gt; 0),"",_xlfn.REGEXEXTRACT(CELL("address",'Raw Data'!G155),"\$([A-Z]+)\$[0-9]+"))),_xlfn.REGEXEXTRACT(CELL("address",'Raw Data'!G155),"\$([A-Z]+)\$[0-9]+"))</f>
        <v/>
      </c>
      <c r="H155" s="7" t="str">
        <f t="array" aca="1" ref="H155" ca="1">IFERROR(IF(OR('Raw Data'!H155="",LEN(TRIM('Raw Data'!H155))=0),"",IF(AND(LEN('Raw Data'!H155) &lt;= 50,LEN('Raw Data'!H155)&gt; 0),"",_xlfn.REGEXEXTRACT(CELL("address",'Raw Data'!H155),"\$([A-Z]+)\$[0-9]+"))),_xlfn.REGEXEXTRACT(CELL("address",'Raw Data'!H155),"\$([A-Z]+)\$[0-9]+"))</f>
        <v/>
      </c>
      <c r="I155" s="7" t="str">
        <f t="array" aca="1" ref="I155" ca="1">IFERROR(IF(OR('Raw Data'!I155="",LEN(TRIM('Raw Data'!I155))=0),"",IF(AND(LEN('Raw Data'!I155) &lt;= 50,LEN('Raw Data'!I155)&gt; 0),"",_xlfn.REGEXEXTRACT(CELL("address",'Raw Data'!I155),"\$([A-Z]+)\$[0-9]+"))),_xlfn.REGEXEXTRACT(CELL("address",'Raw Data'!I155),"\$([A-Z]+)\$[0-9]+"))</f>
        <v/>
      </c>
      <c r="J155" s="7" t="str">
        <f t="array" aca="1" ref="J155" ca="1">IFERROR(IF(OR('Raw Data'!J155="",LEN(TRIM('Raw Data'!J155))=0),"",IF(AND(ISNUMBER('Raw Data'!J155), IFERROR('Raw Data'!J155 = ROUND('Raw Data'!J155, 2),FALSE)),"",_xlfn.REGEXEXTRACT(CELL("address",J155), "\$([A-Z]+)\$[0-9]+"))),_xlfn.REGEXEXTRACT(CELL("address",J155), "\$([A-Z]+)\$[0-9]+"))</f>
        <v/>
      </c>
      <c r="K155" s="7" t="str">
        <f t="array" aca="1" ref="K155" ca="1">IFERROR(IF(OR('Raw Data'!K155="",LEN(TRIM('Raw Data'!K155))=0),"",IF(AND(ISNUMBER('Raw Data'!K155), IFERROR('Raw Data'!K155 = ROUND('Raw Data'!K155, 2),FALSE)),"",_xlfn.REGEXEXTRACT(CELL("address",K155), "\$([A-Z]+)\$[0-9]+"))),_xlfn.REGEXEXTRACT(CELL("address",K155), "\$([A-Z]+)\$[0-9]+"))</f>
        <v/>
      </c>
      <c r="L155" s="7" t="str">
        <f t="array" aca="1" ref="L155" ca="1">IFERROR(IF(OR('Raw Data'!L155="",LEN(TRIM('Raw Data'!L155))=0),"",IF(AND(ISNUMBER('Raw Data'!L155), IFERROR('Raw Data'!L155 = ROUND('Raw Data'!L155, 2),FALSE)),"",_xlfn.REGEXEXTRACT(CELL("address",L155), "\$([A-Z]+)\$[0-9]+"))),_xlfn.REGEXEXTRACT(CELL("address",L155), "\$([A-Z]+)\$[0-9]+"))</f>
        <v/>
      </c>
      <c r="M155" s="7" t="str">
        <f t="array" aca="1" ref="M155" ca="1">IFERROR(IF(OR('Raw Data'!M155="",LEN(TRIM('Raw Data'!M155))=0),"",IF(AND(ISNUMBER('Raw Data'!M155), IFERROR('Raw Data'!M155 = ROUND('Raw Data'!M155, 2),FALSE)),"",_xlfn.REGEXEXTRACT(CELL("address",M155), "\$([A-Z]+)\$[0-9]+"))),_xlfn.REGEXEXTRACT(CELL("address",M155), "\$([A-Z]+)\$[0-9]+"))</f>
        <v/>
      </c>
      <c r="N155" s="7" t="str">
        <f t="array" aca="1" ref="N155" ca="1">IFERROR(IF(OR('Raw Data'!N155="",LEN(TRIM('Raw Data'!N155))=0),"",IF(AND(ISNUMBER('Raw Data'!N155), IFERROR('Raw Data'!N155 = ROUND('Raw Data'!N155, 2),FALSE)),"",_xlfn.REGEXEXTRACT(CELL("address",N155), "\$([A-Z]+)\$[0-9]+"))),_xlfn.REGEXEXTRACT(CELL("address",N155), "\$([A-Z]+)\$[0-9]+"))</f>
        <v/>
      </c>
      <c r="O155" s="7" t="str">
        <f t="array" aca="1" ref="O155" ca="1">IFERROR(IF(OR('Raw Data'!O155="",LEN(TRIM('Raw Data'!O155))=0),"",IF(AND(ISNUMBER('Raw Data'!O155),'Raw Data'!O155&gt;=Configuration!$D$2),"",_xlfn.REGEXEXTRACT(CELL("address",'Raw Data'!O155),"\$([A-Z]+)\$[0-9]+"))),_xlfn.REGEXEXTRACT(CELL("address",O155), "\$([A-Z]+)\$[0-9]+"))</f>
        <v/>
      </c>
      <c r="P155" s="7" t="str">
        <f t="array" aca="1" ref="P155" ca="1">IFERROR(IF(OR('Raw Data'!P155="",LEN(TRIM('Raw Data'!P155))=0),"",IF(AND(ISNUMBER('Raw Data'!P155), IFERROR('Raw Data'!P155 = ROUND('Raw Data'!P155, 2),FALSE)),"",_xlfn.REGEXEXTRACT(CELL("address",P155), "\$([A-Z]+)\$[0-9]+"))),_xlfn.REGEXEXTRACT(CELL("address",P155), "\$([A-Z]+)\$[0-9]+"))</f>
        <v/>
      </c>
      <c r="Q155" s="7" t="str">
        <f t="array" aca="1" ref="Q155" ca="1">IFERROR(IF(OR('Raw Data'!Q155="",LEN(TRIM('Raw Data'!Q155))=0),"",IF(AND(ISNUMBER('Raw Data'!Q155), IFERROR('Raw Data'!Q155 = ROUND('Raw Data'!Q155, 2),FALSE)),"",_xlfn.REGEXEXTRACT(CELL("address",Q155), "\$([A-Z]+)\$[0-9]+"))),_xlfn.REGEXEXTRACT(CELL("address",Q155), "\$([A-Z]+)\$[0-9]+"))</f>
        <v/>
      </c>
      <c r="R155" s="7" t="str">
        <f t="array" aca="1" ref="R155" ca="1">IFERROR(IF(OR('Raw Data'!R155="",LEN(TRIM('Raw Data'!R155))=0),"",IF(AND(LEN('Raw Data'!R155) &lt;= 50,LEN('Raw Data'!R155)&gt; 0),"",_xlfn.REGEXEXTRACT(CELL("address",'Raw Data'!R155),"\$([A-Z]+)\$[0-9]+"))),_xlfn.REGEXEXTRACT(CELL("address",'Raw Data'!R155),"\$([A-Z]+)\$[0-9]+"))</f>
        <v/>
      </c>
      <c r="S155" s="7" t="str">
        <f t="array" aca="1" ref="S155" ca="1">IFERROR(IF(OR('Raw Data'!S155="",LEN(TRIM('Raw Data'!S155))=0),"",IF(AND(LEN('Raw Data'!S155) &lt;= 50,LEN('Raw Data'!S155)&gt; 0),"",_xlfn.REGEXEXTRACT(CELL("address",'Raw Data'!S155),"\$([A-Z]+)\$[0-9]+"))),_xlfn.REGEXEXTRACT(CELL("address",'Raw Data'!S155),"\$([A-Z]+)\$[0-9]+"))</f>
        <v/>
      </c>
      <c r="T155" s="7" t="str">
        <f t="array" aca="1" ref="T155" ca="1">IFERROR(IF(OR('Raw Data'!T155="",LEN(TRIM('Raw Data'!T155))=0),"",IF(AND(ISNUMBER('Raw Data'!T155), IFERROR('Raw Data'!T155 = ROUND('Raw Data'!T155, 2),FALSE)),"",_xlfn.REGEXEXTRACT(CELL("address",T155), "\$([A-Z]+)\$[0-9]+"))),_xlfn.REGEXEXTRACT(CELL("address",T155), "\$([A-Z]+)\$[0-9]+"))</f>
        <v/>
      </c>
      <c r="U155" s="7" t="str">
        <f t="array" aca="1" ref="U155" ca="1">IFERROR(IF(OR('Raw Data'!U155="",LEN(TRIM('Raw Data'!U155))=0),"",IF(AND(ISNUMBER('Raw Data'!U155), IFERROR('Raw Data'!U155 = ROUND('Raw Data'!U155, 2),FALSE)),"",_xlfn.REGEXEXTRACT(CELL("address",U155), "\$([A-Z]+)\$[0-9]+"))),_xlfn.REGEXEXTRACT(CELL("address",U155), "\$([A-Z]+)\$[0-9]+"))</f>
        <v/>
      </c>
      <c r="V155" s="7" t="str">
        <f t="array" aca="1" ref="V155" ca="1">IFERROR(IF(OR('Raw Data'!V155="",LEN(TRIM('Raw Data'!V155))=0),"",IF(AND(ISNUMBER('Raw Data'!V155), IFERROR('Raw Data'!V155 = ROUND('Raw Data'!V155, 2),FALSE)),"",_xlfn.REGEXEXTRACT(CELL("address",V155), "\$([A-Z]+)\$[0-9]+"))),_xlfn.REGEXEXTRACT(CELL("address",V155), "\$([A-Z]+)\$[0-9]+"))</f>
        <v/>
      </c>
      <c r="W155" s="7" t="str">
        <f t="array" aca="1" ref="W155" ca="1">IFERROR(IF(OR('Raw Data'!W155="",LEN(TRIM('Raw Data'!W155))=0),"",IF(AND(ISNUMBER('Raw Data'!W155), IFERROR('Raw Data'!W155 = ROUND('Raw Data'!W155, 2),FALSE)),"",_xlfn.REGEXEXTRACT(CELL("address",W155), "\$([A-Z]+)\$[0-9]+"))),_xlfn.REGEXEXTRACT(CELL("address",W155), "\$([A-Z]+)\$[0-9]+"))</f>
        <v/>
      </c>
      <c r="X155" s="7" t="str">
        <f t="array" aca="1" ref="X155" ca="1">IFERROR(IF(OR('Raw Data'!X155="",LEN(TRIM('Raw Data'!X155))=0),"",IF(AND(ISNUMBER('Raw Data'!X155), IFERROR('Raw Data'!X155 = ROUND('Raw Data'!X155, 2),FALSE)),"",_xlfn.REGEXEXTRACT(CELL("address",X155), "\$([A-Z]+)\$[0-9]+"))),_xlfn.REGEXEXTRACT(CELL("address",X155), "\$([A-Z]+)\$[0-9]+"))</f>
        <v/>
      </c>
      <c r="Y155" s="7" t="str">
        <f t="array" aca="1" ref="Y155" ca="1">IFERROR(IF(OR('Raw Data'!Y155="",LEN(TRIM('Raw Data'!Y155))=0),"",IF(AND(ISNUMBER('Raw Data'!Y155), IFERROR('Raw Data'!Y155 = ROUND('Raw Data'!Y155, 2),FALSE)),"",_xlfn.REGEXEXTRACT(CELL("address",Y155), "\$([A-Z]+)\$[0-9]+"))),_xlfn.REGEXEXTRACT(CELL("address",Y155), "\$([A-Z]+)\$[0-9]+"))</f>
        <v/>
      </c>
      <c r="Z155" s="7" t="str">
        <f t="array" aca="1" ref="Z155" ca="1">IFERROR(IF(OR('Raw Data'!Z155="",LEN(TRIM('Raw Data'!Z155))=0),"",IF(AND(ISNUMBER('Raw Data'!Z155), IFERROR('Raw Data'!Z155 = ROUND('Raw Data'!Z155, 2),FALSE)),"",_xlfn.REGEXEXTRACT(CELL("address",Z155), "\$([A-Z]+)\$[0-9]+"))),_xlfn.REGEXEXTRACT(CELL("address",Z155), "\$([A-Z]+)\$[0-9]+"))</f>
        <v/>
      </c>
      <c r="AA155" s="7" t="str">
        <f t="array" aca="1" ref="AA155" ca="1">IFERROR(IF(OR('Raw Data'!AA155="",LEN(TRIM('Raw Data'!AA155))=0),"",IF(AND(ISNUMBER('Raw Data'!AA155), IFERROR('Raw Data'!AA155 = ROUND('Raw Data'!AA155, 2),FALSE)),"",_xlfn.REGEXEXTRACT(CELL("address",AA155), "\$([A-Z]+)\$[0-9]+"))),_xlfn.REGEXEXTRACT(CELL("address",AA155), "\$([A-Z]+)\$[0-9]+"))</f>
        <v/>
      </c>
      <c r="AB155" s="7" t="str">
        <f t="array" aca="1" ref="AB155" ca="1">IFERROR(IF(OR('Raw Data'!AB155="",LEN(TRIM('Raw Data'!AB155))=0),"",IF(AND(ISNUMBER('Raw Data'!AB155), IFERROR('Raw Data'!AB155 = ROUND('Raw Data'!AB155, 2),FALSE)),"",_xlfn.REGEXEXTRACT(CELL("address",AB155), "\$([A-Z]+)\$[0-9]+"))),_xlfn.REGEXEXTRACT(CELL("address",AB155), "\$([A-Z]+)\$[0-9]+"))</f>
        <v/>
      </c>
      <c r="AC155" s="7" t="str">
        <f t="array" aca="1" ref="AC155" ca="1">IFERROR(IF(OR('Raw Data'!AC155="",LEN(TRIM('Raw Data'!AC155))=0),"",IF(AND(ISNUMBER('Raw Data'!AC155), IFERROR('Raw Data'!AC155 = ROUND('Raw Data'!AC155, 2),FALSE)),"",_xlfn.REGEXEXTRACT(CELL("address",AC155), "\$([A-Z]+)\$[0-9]+"))),_xlfn.REGEXEXTRACT(CELL("address",AC155), "\$([A-Z]+)\$[0-9]+"))</f>
        <v/>
      </c>
      <c r="AD155" s="7" t="str">
        <f t="array" aca="1" ref="AD155" ca="1">IFERROR(IF(OR('Raw Data'!AD155="",LEN(TRIM('Raw Data'!AD155))=0),"",IF(AND(ISNUMBER('Raw Data'!AD155), IFERROR('Raw Data'!AD155 = ROUND('Raw Data'!AD155, 2),FALSE)),"",_xlfn.REGEXEXTRACT(CELL("address",AD155), "\$([A-Z]+)\$[0-9]+"))),_xlfn.REGEXEXTRACT(CELL("address",AD155), "\$([A-Z]+)\$[0-9]+"))</f>
        <v/>
      </c>
      <c r="AE155" s="7" t="str">
        <f t="array" aca="1" ref="AE155" ca="1">IFERROR(IF(OR('Raw Data'!AE155="",LEN(TRIM('Raw Data'!AE155))=0),"",IF(AND(ISNUMBER('Raw Data'!AE155), IFERROR('Raw Data'!AE155 = ROUND('Raw Data'!AE155, 2),FALSE)),"",_xlfn.REGEXEXTRACT(CELL("address",AE155), "\$([A-Z]+)\$[0-9]+"))),_xlfn.REGEXEXTRACT(CELL("address",AE155), "\$([A-Z]+)\$[0-9]+"))</f>
        <v/>
      </c>
      <c r="AF155" s="7" t="str">
        <f t="array" aca="1" ref="AF155" ca="1">IFERROR(IF(OR('Raw Data'!AF155="",LEN(TRIM('Raw Data'!AF155))=0),"",IF(AND(ISNUMBER('Raw Data'!AF155), IFERROR('Raw Data'!AF155 = ROUND('Raw Data'!AF155, 2),FALSE)),"",_xlfn.REGEXEXTRACT(CELL("address",AF155), "\$([A-Z]+)\$[0-9]+"))),_xlfn.REGEXEXTRACT(CELL("address",AF155), "\$([A-Z]+)\$[0-9]+"))</f>
        <v/>
      </c>
      <c r="AG155" s="7" t="str">
        <f t="array" aca="1" ref="AG155" ca="1">IFERROR(IF(OR('Raw Data'!AG155="",LEN(TRIM('Raw Data'!AG155))=0),"",IF(AND(ISNUMBER('Raw Data'!AG155), IFERROR('Raw Data'!AG155 = ROUND('Raw Data'!AG155, 2),FALSE)),"",_xlfn.REGEXEXTRACT(CELL("address",AG155), "\$([A-Z]+)\$[0-9]+"))),_xlfn.REGEXEXTRACT(CELL("address",AG155), "\$([A-Z]+)\$[0-9]+"))</f>
        <v/>
      </c>
      <c r="AH155" s="7" t="str">
        <f t="array" aca="1" ref="AH155" ca="1">IFERROR(IF(OR('Raw Data'!AH155="",LEN(TRIM('Raw Data'!AH155))=0),"",IF(AND(ISNUMBER('Raw Data'!AH155), IFERROR('Raw Data'!AH155 = ROUND('Raw Data'!AH155, 2),FALSE)),"",_xlfn.REGEXEXTRACT(CELL("address",AH155), "\$([A-Z]+)\$[0-9]+"))),_xlfn.REGEXEXTRACT(CELL("address",AH155), "\$([A-Z]+)\$[0-9]+"))</f>
        <v/>
      </c>
      <c r="AI155" s="7" t="str">
        <f t="array" aca="1" ref="AI155" ca="1">IFERROR(IF(OR('Raw Data'!AI155="",LEN(TRIM('Raw Data'!AI155))=0),"",IF(AND(ISNUMBER('Raw Data'!AI155), IFERROR('Raw Data'!AI155 = ROUND('Raw Data'!AI155, 2),FALSE)),"",_xlfn.REGEXEXTRACT(CELL("address",AI155), "\$([A-Z]+)\$[0-9]+"))),_xlfn.REGEXEXTRACT(CELL("address",AI155), "\$([A-Z]+)\$[0-9]+"))</f>
        <v/>
      </c>
      <c r="AJ155" s="7" t="str">
        <f t="array" aca="1" ref="AJ155" ca="1">IFERROR(IF(OR('Raw Data'!AJ155="",LEN(TRIM('Raw Data'!AJ155))=0),"",IF(AND(ISNUMBER('Raw Data'!AJ155), IFERROR('Raw Data'!AJ155 = ROUND('Raw Data'!AJ155, 4),FALSE)),"",_xlfn.REGEXEXTRACT(CELL("address",AJ155), "\$([A-Z]+)\$[0-9]+"))),_xlfn.REGEXEXTRACT(CELL("address",AJ155), "\$([A-Z]+)\$[0-9]+"))</f>
        <v/>
      </c>
      <c r="AK155" s="7" t="str">
        <f t="array" aca="1" ref="AK155" ca="1">IFERROR(IF(OR('Raw Data'!AK155="",LEN(TRIM('Raw Data'!AK155))=0),"",IF(AND(ISNUMBER('Raw Data'!AK155), IFERROR('Raw Data'!AK155 = ROUND('Raw Data'!AK155, 2),FALSE)),"",_xlfn.REGEXEXTRACT(CELL("address",AK155), "\$([A-Z]+)\$[0-9]+"))),_xlfn.REGEXEXTRACT(CELL("address",AK155), "\$([A-Z]+)\$[0-9]+"))</f>
        <v/>
      </c>
      <c r="AL155" s="7" t="str">
        <f t="array" aca="1" ref="AL155" ca="1">IFERROR(IF(OR('Raw Data'!AL155="",LEN(TRIM('Raw Data'!AL155))=0),"",IF(AND(ISNUMBER('Raw Data'!AL155), IFERROR('Raw Data'!AL155 = ROUND('Raw Data'!AL155, 2),FALSE)),"",_xlfn.REGEXEXTRACT(CELL("address",AL155), "\$([A-Z]+)\$[0-9]+"))),_xlfn.REGEXEXTRACT(CELL("address",AL155), "\$([A-Z]+)\$[0-9]+"))</f>
        <v/>
      </c>
      <c r="AM155" s="7" t="str">
        <f t="array" aca="1" ref="AM155" ca="1">IFERROR(IF(OR('Raw Data'!AM155="",LEN(TRIM('Raw Data'!AM155))=0),"",IF(AND(ISNUMBER('Raw Data'!AM155), IFERROR('Raw Data'!AM155 = ROUND('Raw Data'!AM155, 2),FALSE)),"",_xlfn.REGEXEXTRACT(CELL("address",AM155), "\$([A-Z]+)\$[0-9]+"))),_xlfn.REGEXEXTRACT(CELL("address",AM155), "\$([A-Z]+)\$[0-9]+"))</f>
        <v/>
      </c>
      <c r="AN155" s="7" t="str">
        <f t="array" aca="1" ref="AN155" ca="1">IFERROR(IF(OR('Raw Data'!AN155="",LEN(TRIM('Raw Data'!AN155))=0),"",IF(AND(ISNUMBER('Raw Data'!AN155), IFERROR('Raw Data'!AN155 = ROUND('Raw Data'!AN155, 2),FALSE)),"",_xlfn.REGEXEXTRACT(CELL("address",AN155), "\$([A-Z]+)\$[0-9]+"))),_xlfn.REGEXEXTRACT(CELL("address",AN155), "\$([A-Z]+)\$[0-9]+"))</f>
        <v/>
      </c>
      <c r="AO155" s="7" t="str">
        <f t="array" aca="1" ref="AO155" ca="1">IFERROR(IF(OR('Raw Data'!AO155="",LEN(TRIM('Raw Data'!AO155))=0),"",IF(AND(ISNUMBER('Raw Data'!AO155), IFERROR('Raw Data'!AO155 = ROUND('Raw Data'!AO155, 2),FALSE)),"",_xlfn.REGEXEXTRACT(CELL("address",AO155), "\$([A-Z]+)\$[0-9]+"))),_xlfn.REGEXEXTRACT(CELL("address",AO155), "\$([A-Z]+)\$[0-9]+"))</f>
        <v/>
      </c>
      <c r="AP155" s="7" t="str">
        <f t="array" aca="1" ref="AP155" ca="1">IFERROR(IF(OR('Raw Data'!AP155="",LEN(TRIM('Raw Data'!AP155))=0),"",IF(AND(ISNUMBER('Raw Data'!AP155), IFERROR('Raw Data'!AP155 = ROUND('Raw Data'!AP155, 2),FALSE)),"",_xlfn.REGEXEXTRACT(CELL("address",AP155), "\$([A-Z]+)\$[0-9]+"))),_xlfn.REGEXEXTRACT(CELL("address",AP155), "\$([A-Z]+)\$[0-9]+"))</f>
        <v/>
      </c>
    </row>
    <row r="156" spans="2:42" x14ac:dyDescent="0.25">
      <c r="B156" s="7" t="str">
        <f t="array" aca="1" ref="B156" ca="1">IFERROR(IF(OR('Raw Data'!B156="",LEN(TRIM('Raw Data'!B156))=0),"",IF(AND(LEN('Raw Data'!B156) &lt;= 255,LEN('Raw Data'!B156)&gt; 0),"",_xlfn.REGEXEXTRACT(CELL("address",'Raw Data'!B156),"\$([A-Z]+)\$[0-9]+"))),_xlfn.REGEXEXTRACT(CELL("address",'Raw Data'!B156),"\$([A-Z]+)\$[0-9]+"))</f>
        <v/>
      </c>
      <c r="C156" s="7" t="str">
        <f t="array" aca="1" ref="C156" ca="1">IFERROR(IF(OR('Raw Data'!C156="",LEN(TRIM('Raw Data'!C156))=0),"",IF(AND(LEN('Raw Data'!C156) &lt;= 50,LEN('Raw Data'!C156)&gt; 0),"",_xlfn.REGEXEXTRACT(CELL("address",'Raw Data'!C156),"\$([A-Z]+)\$[0-9]+"))),_xlfn.REGEXEXTRACT(CELL("address",'Raw Data'!C156),"\$([A-Z]+)\$[0-9]+"))</f>
        <v/>
      </c>
      <c r="D156" s="7" t="str">
        <f t="array" aca="1" ref="D156" ca="1">IFERROR(IF(OR('Raw Data'!D156="",LEN(TRIM('Raw Data'!D156))=0),"",IF(AND(LEN('Raw Data'!D156) &lt;= 500,LEN('Raw Data'!D156)&gt; 0),"",_xlfn.REGEXEXTRACT(CELL("address",'Raw Data'!D156),"\$([A-Z]+)\$[0-9]+"))),_xlfn.REGEXEXTRACT(CELL("address",'Raw Data'!D156),"\$([A-Z]+)\$[0-9]+"))</f>
        <v/>
      </c>
      <c r="E156" s="7" t="str">
        <f t="array" aca="1" ref="E156" ca="1">IFERROR(IF(OR('Raw Data'!E156="",LEN(TRIM('Raw Data'!E156))=0),"",IF(AND(LEN('Raw Data'!E156) &lt;= 50,LEN('Raw Data'!E156)&gt; 0),"",_xlfn.REGEXEXTRACT(CELL("address",'Raw Data'!E156),"\$([A-Z]+)\$[0-9]+"))),_xlfn.REGEXEXTRACT(CELL("address",'Raw Data'!E156),"\$([A-Z]+)\$[0-9]+"))</f>
        <v/>
      </c>
      <c r="F156" s="7" t="str">
        <f t="array" aca="1" ref="F156" ca="1">IFERROR(IF(OR('Raw Data'!F156="",LEN(TRIM('Raw Data'!F156))=0),"",IF(AND(LEN('Raw Data'!F156) &lt;= 50,LEN('Raw Data'!F156)&gt; 0),"",_xlfn.REGEXEXTRACT(CELL("address",'Raw Data'!F156),"\$([A-Z]+)\$[0-9]+"))),_xlfn.REGEXEXTRACT(CELL("address",'Raw Data'!F156),"\$([A-Z]+)\$[0-9]+"))</f>
        <v/>
      </c>
      <c r="G156" s="7" t="str">
        <f t="array" aca="1" ref="G156" ca="1">IFERROR(IF(OR('Raw Data'!G156="",LEN(TRIM('Raw Data'!G156))=0),"",IF(AND(LEN('Raw Data'!G156) &lt;= 50,LEN('Raw Data'!G156)&gt; 0),"",_xlfn.REGEXEXTRACT(CELL("address",'Raw Data'!G156),"\$([A-Z]+)\$[0-9]+"))),_xlfn.REGEXEXTRACT(CELL("address",'Raw Data'!G156),"\$([A-Z]+)\$[0-9]+"))</f>
        <v/>
      </c>
      <c r="H156" s="7" t="str">
        <f t="array" aca="1" ref="H156" ca="1">IFERROR(IF(OR('Raw Data'!H156="",LEN(TRIM('Raw Data'!H156))=0),"",IF(AND(LEN('Raw Data'!H156) &lt;= 50,LEN('Raw Data'!H156)&gt; 0),"",_xlfn.REGEXEXTRACT(CELL("address",'Raw Data'!H156),"\$([A-Z]+)\$[0-9]+"))),_xlfn.REGEXEXTRACT(CELL("address",'Raw Data'!H156),"\$([A-Z]+)\$[0-9]+"))</f>
        <v/>
      </c>
      <c r="I156" s="7" t="str">
        <f t="array" aca="1" ref="I156" ca="1">IFERROR(IF(OR('Raw Data'!I156="",LEN(TRIM('Raw Data'!I156))=0),"",IF(AND(LEN('Raw Data'!I156) &lt;= 50,LEN('Raw Data'!I156)&gt; 0),"",_xlfn.REGEXEXTRACT(CELL("address",'Raw Data'!I156),"\$([A-Z]+)\$[0-9]+"))),_xlfn.REGEXEXTRACT(CELL("address",'Raw Data'!I156),"\$([A-Z]+)\$[0-9]+"))</f>
        <v/>
      </c>
      <c r="J156" s="7" t="str">
        <f t="array" aca="1" ref="J156" ca="1">IFERROR(IF(OR('Raw Data'!J156="",LEN(TRIM('Raw Data'!J156))=0),"",IF(AND(ISNUMBER('Raw Data'!J156), IFERROR('Raw Data'!J156 = ROUND('Raw Data'!J156, 2),FALSE)),"",_xlfn.REGEXEXTRACT(CELL("address",J156), "\$([A-Z]+)\$[0-9]+"))),_xlfn.REGEXEXTRACT(CELL("address",J156), "\$([A-Z]+)\$[0-9]+"))</f>
        <v/>
      </c>
      <c r="K156" s="7" t="str">
        <f t="array" aca="1" ref="K156" ca="1">IFERROR(IF(OR('Raw Data'!K156="",LEN(TRIM('Raw Data'!K156))=0),"",IF(AND(ISNUMBER('Raw Data'!K156), IFERROR('Raw Data'!K156 = ROUND('Raw Data'!K156, 2),FALSE)),"",_xlfn.REGEXEXTRACT(CELL("address",K156), "\$([A-Z]+)\$[0-9]+"))),_xlfn.REGEXEXTRACT(CELL("address",K156), "\$([A-Z]+)\$[0-9]+"))</f>
        <v/>
      </c>
      <c r="L156" s="7" t="str">
        <f t="array" aca="1" ref="L156" ca="1">IFERROR(IF(OR('Raw Data'!L156="",LEN(TRIM('Raw Data'!L156))=0),"",IF(AND(ISNUMBER('Raw Data'!L156), IFERROR('Raw Data'!L156 = ROUND('Raw Data'!L156, 2),FALSE)),"",_xlfn.REGEXEXTRACT(CELL("address",L156), "\$([A-Z]+)\$[0-9]+"))),_xlfn.REGEXEXTRACT(CELL("address",L156), "\$([A-Z]+)\$[0-9]+"))</f>
        <v/>
      </c>
      <c r="M156" s="7" t="str">
        <f t="array" aca="1" ref="M156" ca="1">IFERROR(IF(OR('Raw Data'!M156="",LEN(TRIM('Raw Data'!M156))=0),"",IF(AND(ISNUMBER('Raw Data'!M156), IFERROR('Raw Data'!M156 = ROUND('Raw Data'!M156, 2),FALSE)),"",_xlfn.REGEXEXTRACT(CELL("address",M156), "\$([A-Z]+)\$[0-9]+"))),_xlfn.REGEXEXTRACT(CELL("address",M156), "\$([A-Z]+)\$[0-9]+"))</f>
        <v/>
      </c>
      <c r="N156" s="7" t="str">
        <f t="array" aca="1" ref="N156" ca="1">IFERROR(IF(OR('Raw Data'!N156="",LEN(TRIM('Raw Data'!N156))=0),"",IF(AND(ISNUMBER('Raw Data'!N156), IFERROR('Raw Data'!N156 = ROUND('Raw Data'!N156, 2),FALSE)),"",_xlfn.REGEXEXTRACT(CELL("address",N156), "\$([A-Z]+)\$[0-9]+"))),_xlfn.REGEXEXTRACT(CELL("address",N156), "\$([A-Z]+)\$[0-9]+"))</f>
        <v/>
      </c>
      <c r="O156" s="7" t="str">
        <f t="array" aca="1" ref="O156" ca="1">IFERROR(IF(OR('Raw Data'!O156="",LEN(TRIM('Raw Data'!O156))=0),"",IF(AND(ISNUMBER('Raw Data'!O156),'Raw Data'!O156&gt;=Configuration!$D$2),"",_xlfn.REGEXEXTRACT(CELL("address",'Raw Data'!O156),"\$([A-Z]+)\$[0-9]+"))),_xlfn.REGEXEXTRACT(CELL("address",O156), "\$([A-Z]+)\$[0-9]+"))</f>
        <v/>
      </c>
      <c r="P156" s="7" t="str">
        <f t="array" aca="1" ref="P156" ca="1">IFERROR(IF(OR('Raw Data'!P156="",LEN(TRIM('Raw Data'!P156))=0),"",IF(AND(ISNUMBER('Raw Data'!P156), IFERROR('Raw Data'!P156 = ROUND('Raw Data'!P156, 2),FALSE)),"",_xlfn.REGEXEXTRACT(CELL("address",P156), "\$([A-Z]+)\$[0-9]+"))),_xlfn.REGEXEXTRACT(CELL("address",P156), "\$([A-Z]+)\$[0-9]+"))</f>
        <v/>
      </c>
      <c r="Q156" s="7" t="str">
        <f t="array" aca="1" ref="Q156" ca="1">IFERROR(IF(OR('Raw Data'!Q156="",LEN(TRIM('Raw Data'!Q156))=0),"",IF(AND(ISNUMBER('Raw Data'!Q156), IFERROR('Raw Data'!Q156 = ROUND('Raw Data'!Q156, 2),FALSE)),"",_xlfn.REGEXEXTRACT(CELL("address",Q156), "\$([A-Z]+)\$[0-9]+"))),_xlfn.REGEXEXTRACT(CELL("address",Q156), "\$([A-Z]+)\$[0-9]+"))</f>
        <v/>
      </c>
      <c r="R156" s="7" t="str">
        <f t="array" aca="1" ref="R156" ca="1">IFERROR(IF(OR('Raw Data'!R156="",LEN(TRIM('Raw Data'!R156))=0),"",IF(AND(LEN('Raw Data'!R156) &lt;= 50,LEN('Raw Data'!R156)&gt; 0),"",_xlfn.REGEXEXTRACT(CELL("address",'Raw Data'!R156),"\$([A-Z]+)\$[0-9]+"))),_xlfn.REGEXEXTRACT(CELL("address",'Raw Data'!R156),"\$([A-Z]+)\$[0-9]+"))</f>
        <v/>
      </c>
      <c r="S156" s="7" t="str">
        <f t="array" aca="1" ref="S156" ca="1">IFERROR(IF(OR('Raw Data'!S156="",LEN(TRIM('Raw Data'!S156))=0),"",IF(AND(LEN('Raw Data'!S156) &lt;= 50,LEN('Raw Data'!S156)&gt; 0),"",_xlfn.REGEXEXTRACT(CELL("address",'Raw Data'!S156),"\$([A-Z]+)\$[0-9]+"))),_xlfn.REGEXEXTRACT(CELL("address",'Raw Data'!S156),"\$([A-Z]+)\$[0-9]+"))</f>
        <v/>
      </c>
      <c r="T156" s="7" t="str">
        <f t="array" aca="1" ref="T156" ca="1">IFERROR(IF(OR('Raw Data'!T156="",LEN(TRIM('Raw Data'!T156))=0),"",IF(AND(ISNUMBER('Raw Data'!T156), IFERROR('Raw Data'!T156 = ROUND('Raw Data'!T156, 2),FALSE)),"",_xlfn.REGEXEXTRACT(CELL("address",T156), "\$([A-Z]+)\$[0-9]+"))),_xlfn.REGEXEXTRACT(CELL("address",T156), "\$([A-Z]+)\$[0-9]+"))</f>
        <v/>
      </c>
      <c r="U156" s="7" t="str">
        <f t="array" aca="1" ref="U156" ca="1">IFERROR(IF(OR('Raw Data'!U156="",LEN(TRIM('Raw Data'!U156))=0),"",IF(AND(ISNUMBER('Raw Data'!U156), IFERROR('Raw Data'!U156 = ROUND('Raw Data'!U156, 2),FALSE)),"",_xlfn.REGEXEXTRACT(CELL("address",U156), "\$([A-Z]+)\$[0-9]+"))),_xlfn.REGEXEXTRACT(CELL("address",U156), "\$([A-Z]+)\$[0-9]+"))</f>
        <v/>
      </c>
      <c r="V156" s="7" t="str">
        <f t="array" aca="1" ref="V156" ca="1">IFERROR(IF(OR('Raw Data'!V156="",LEN(TRIM('Raw Data'!V156))=0),"",IF(AND(ISNUMBER('Raw Data'!V156), IFERROR('Raw Data'!V156 = ROUND('Raw Data'!V156, 2),FALSE)),"",_xlfn.REGEXEXTRACT(CELL("address",V156), "\$([A-Z]+)\$[0-9]+"))),_xlfn.REGEXEXTRACT(CELL("address",V156), "\$([A-Z]+)\$[0-9]+"))</f>
        <v/>
      </c>
      <c r="W156" s="7" t="str">
        <f t="array" aca="1" ref="W156" ca="1">IFERROR(IF(OR('Raw Data'!W156="",LEN(TRIM('Raw Data'!W156))=0),"",IF(AND(ISNUMBER('Raw Data'!W156), IFERROR('Raw Data'!W156 = ROUND('Raw Data'!W156, 2),FALSE)),"",_xlfn.REGEXEXTRACT(CELL("address",W156), "\$([A-Z]+)\$[0-9]+"))),_xlfn.REGEXEXTRACT(CELL("address",W156), "\$([A-Z]+)\$[0-9]+"))</f>
        <v/>
      </c>
      <c r="X156" s="7" t="str">
        <f t="array" aca="1" ref="X156" ca="1">IFERROR(IF(OR('Raw Data'!X156="",LEN(TRIM('Raw Data'!X156))=0),"",IF(AND(ISNUMBER('Raw Data'!X156), IFERROR('Raw Data'!X156 = ROUND('Raw Data'!X156, 2),FALSE)),"",_xlfn.REGEXEXTRACT(CELL("address",X156), "\$([A-Z]+)\$[0-9]+"))),_xlfn.REGEXEXTRACT(CELL("address",X156), "\$([A-Z]+)\$[0-9]+"))</f>
        <v/>
      </c>
      <c r="Y156" s="7" t="str">
        <f t="array" aca="1" ref="Y156" ca="1">IFERROR(IF(OR('Raw Data'!Y156="",LEN(TRIM('Raw Data'!Y156))=0),"",IF(AND(ISNUMBER('Raw Data'!Y156), IFERROR('Raw Data'!Y156 = ROUND('Raw Data'!Y156, 2),FALSE)),"",_xlfn.REGEXEXTRACT(CELL("address",Y156), "\$([A-Z]+)\$[0-9]+"))),_xlfn.REGEXEXTRACT(CELL("address",Y156), "\$([A-Z]+)\$[0-9]+"))</f>
        <v/>
      </c>
      <c r="Z156" s="7" t="str">
        <f t="array" aca="1" ref="Z156" ca="1">IFERROR(IF(OR('Raw Data'!Z156="",LEN(TRIM('Raw Data'!Z156))=0),"",IF(AND(ISNUMBER('Raw Data'!Z156), IFERROR('Raw Data'!Z156 = ROUND('Raw Data'!Z156, 2),FALSE)),"",_xlfn.REGEXEXTRACT(CELL("address",Z156), "\$([A-Z]+)\$[0-9]+"))),_xlfn.REGEXEXTRACT(CELL("address",Z156), "\$([A-Z]+)\$[0-9]+"))</f>
        <v/>
      </c>
      <c r="AA156" s="7" t="str">
        <f t="array" aca="1" ref="AA156" ca="1">IFERROR(IF(OR('Raw Data'!AA156="",LEN(TRIM('Raw Data'!AA156))=0),"",IF(AND(ISNUMBER('Raw Data'!AA156), IFERROR('Raw Data'!AA156 = ROUND('Raw Data'!AA156, 2),FALSE)),"",_xlfn.REGEXEXTRACT(CELL("address",AA156), "\$([A-Z]+)\$[0-9]+"))),_xlfn.REGEXEXTRACT(CELL("address",AA156), "\$([A-Z]+)\$[0-9]+"))</f>
        <v/>
      </c>
      <c r="AB156" s="7" t="str">
        <f t="array" aca="1" ref="AB156" ca="1">IFERROR(IF(OR('Raw Data'!AB156="",LEN(TRIM('Raw Data'!AB156))=0),"",IF(AND(ISNUMBER('Raw Data'!AB156), IFERROR('Raw Data'!AB156 = ROUND('Raw Data'!AB156, 2),FALSE)),"",_xlfn.REGEXEXTRACT(CELL("address",AB156), "\$([A-Z]+)\$[0-9]+"))),_xlfn.REGEXEXTRACT(CELL("address",AB156), "\$([A-Z]+)\$[0-9]+"))</f>
        <v/>
      </c>
      <c r="AC156" s="7" t="str">
        <f t="array" aca="1" ref="AC156" ca="1">IFERROR(IF(OR('Raw Data'!AC156="",LEN(TRIM('Raw Data'!AC156))=0),"",IF(AND(ISNUMBER('Raw Data'!AC156), IFERROR('Raw Data'!AC156 = ROUND('Raw Data'!AC156, 2),FALSE)),"",_xlfn.REGEXEXTRACT(CELL("address",AC156), "\$([A-Z]+)\$[0-9]+"))),_xlfn.REGEXEXTRACT(CELL("address",AC156), "\$([A-Z]+)\$[0-9]+"))</f>
        <v/>
      </c>
      <c r="AD156" s="7" t="str">
        <f t="array" aca="1" ref="AD156" ca="1">IFERROR(IF(OR('Raw Data'!AD156="",LEN(TRIM('Raw Data'!AD156))=0),"",IF(AND(ISNUMBER('Raw Data'!AD156), IFERROR('Raw Data'!AD156 = ROUND('Raw Data'!AD156, 2),FALSE)),"",_xlfn.REGEXEXTRACT(CELL("address",AD156), "\$([A-Z]+)\$[0-9]+"))),_xlfn.REGEXEXTRACT(CELL("address",AD156), "\$([A-Z]+)\$[0-9]+"))</f>
        <v/>
      </c>
      <c r="AE156" s="7" t="str">
        <f t="array" aca="1" ref="AE156" ca="1">IFERROR(IF(OR('Raw Data'!AE156="",LEN(TRIM('Raw Data'!AE156))=0),"",IF(AND(ISNUMBER('Raw Data'!AE156), IFERROR('Raw Data'!AE156 = ROUND('Raw Data'!AE156, 2),FALSE)),"",_xlfn.REGEXEXTRACT(CELL("address",AE156), "\$([A-Z]+)\$[0-9]+"))),_xlfn.REGEXEXTRACT(CELL("address",AE156), "\$([A-Z]+)\$[0-9]+"))</f>
        <v/>
      </c>
      <c r="AF156" s="7" t="str">
        <f t="array" aca="1" ref="AF156" ca="1">IFERROR(IF(OR('Raw Data'!AF156="",LEN(TRIM('Raw Data'!AF156))=0),"",IF(AND(ISNUMBER('Raw Data'!AF156), IFERROR('Raw Data'!AF156 = ROUND('Raw Data'!AF156, 2),FALSE)),"",_xlfn.REGEXEXTRACT(CELL("address",AF156), "\$([A-Z]+)\$[0-9]+"))),_xlfn.REGEXEXTRACT(CELL("address",AF156), "\$([A-Z]+)\$[0-9]+"))</f>
        <v/>
      </c>
      <c r="AG156" s="7" t="str">
        <f t="array" aca="1" ref="AG156" ca="1">IFERROR(IF(OR('Raw Data'!AG156="",LEN(TRIM('Raw Data'!AG156))=0),"",IF(AND(ISNUMBER('Raw Data'!AG156), IFERROR('Raw Data'!AG156 = ROUND('Raw Data'!AG156, 2),FALSE)),"",_xlfn.REGEXEXTRACT(CELL("address",AG156), "\$([A-Z]+)\$[0-9]+"))),_xlfn.REGEXEXTRACT(CELL("address",AG156), "\$([A-Z]+)\$[0-9]+"))</f>
        <v/>
      </c>
      <c r="AH156" s="7" t="str">
        <f t="array" aca="1" ref="AH156" ca="1">IFERROR(IF(OR('Raw Data'!AH156="",LEN(TRIM('Raw Data'!AH156))=0),"",IF(AND(ISNUMBER('Raw Data'!AH156), IFERROR('Raw Data'!AH156 = ROUND('Raw Data'!AH156, 2),FALSE)),"",_xlfn.REGEXEXTRACT(CELL("address",AH156), "\$([A-Z]+)\$[0-9]+"))),_xlfn.REGEXEXTRACT(CELL("address",AH156), "\$([A-Z]+)\$[0-9]+"))</f>
        <v/>
      </c>
      <c r="AI156" s="7" t="str">
        <f t="array" aca="1" ref="AI156" ca="1">IFERROR(IF(OR('Raw Data'!AI156="",LEN(TRIM('Raw Data'!AI156))=0),"",IF(AND(ISNUMBER('Raw Data'!AI156), IFERROR('Raw Data'!AI156 = ROUND('Raw Data'!AI156, 2),FALSE)),"",_xlfn.REGEXEXTRACT(CELL("address",AI156), "\$([A-Z]+)\$[0-9]+"))),_xlfn.REGEXEXTRACT(CELL("address",AI156), "\$([A-Z]+)\$[0-9]+"))</f>
        <v/>
      </c>
      <c r="AJ156" s="7" t="str">
        <f t="array" aca="1" ref="AJ156" ca="1">IFERROR(IF(OR('Raw Data'!AJ156="",LEN(TRIM('Raw Data'!AJ156))=0),"",IF(AND(ISNUMBER('Raw Data'!AJ156), IFERROR('Raw Data'!AJ156 = ROUND('Raw Data'!AJ156, 4),FALSE)),"",_xlfn.REGEXEXTRACT(CELL("address",AJ156), "\$([A-Z]+)\$[0-9]+"))),_xlfn.REGEXEXTRACT(CELL("address",AJ156), "\$([A-Z]+)\$[0-9]+"))</f>
        <v/>
      </c>
      <c r="AK156" s="7" t="str">
        <f t="array" aca="1" ref="AK156" ca="1">IFERROR(IF(OR('Raw Data'!AK156="",LEN(TRIM('Raw Data'!AK156))=0),"",IF(AND(ISNUMBER('Raw Data'!AK156), IFERROR('Raw Data'!AK156 = ROUND('Raw Data'!AK156, 2),FALSE)),"",_xlfn.REGEXEXTRACT(CELL("address",AK156), "\$([A-Z]+)\$[0-9]+"))),_xlfn.REGEXEXTRACT(CELL("address",AK156), "\$([A-Z]+)\$[0-9]+"))</f>
        <v/>
      </c>
      <c r="AL156" s="7" t="str">
        <f t="array" aca="1" ref="AL156" ca="1">IFERROR(IF(OR('Raw Data'!AL156="",LEN(TRIM('Raw Data'!AL156))=0),"",IF(AND(ISNUMBER('Raw Data'!AL156), IFERROR('Raw Data'!AL156 = ROUND('Raw Data'!AL156, 2),FALSE)),"",_xlfn.REGEXEXTRACT(CELL("address",AL156), "\$([A-Z]+)\$[0-9]+"))),_xlfn.REGEXEXTRACT(CELL("address",AL156), "\$([A-Z]+)\$[0-9]+"))</f>
        <v/>
      </c>
      <c r="AM156" s="7" t="str">
        <f t="array" aca="1" ref="AM156" ca="1">IFERROR(IF(OR('Raw Data'!AM156="",LEN(TRIM('Raw Data'!AM156))=0),"",IF(AND(ISNUMBER('Raw Data'!AM156), IFERROR('Raw Data'!AM156 = ROUND('Raw Data'!AM156, 2),FALSE)),"",_xlfn.REGEXEXTRACT(CELL("address",AM156), "\$([A-Z]+)\$[0-9]+"))),_xlfn.REGEXEXTRACT(CELL("address",AM156), "\$([A-Z]+)\$[0-9]+"))</f>
        <v/>
      </c>
      <c r="AN156" s="7" t="str">
        <f t="array" aca="1" ref="AN156" ca="1">IFERROR(IF(OR('Raw Data'!AN156="",LEN(TRIM('Raw Data'!AN156))=0),"",IF(AND(ISNUMBER('Raw Data'!AN156), IFERROR('Raw Data'!AN156 = ROUND('Raw Data'!AN156, 2),FALSE)),"",_xlfn.REGEXEXTRACT(CELL("address",AN156), "\$([A-Z]+)\$[0-9]+"))),_xlfn.REGEXEXTRACT(CELL("address",AN156), "\$([A-Z]+)\$[0-9]+"))</f>
        <v/>
      </c>
      <c r="AO156" s="7" t="str">
        <f t="array" aca="1" ref="AO156" ca="1">IFERROR(IF(OR('Raw Data'!AO156="",LEN(TRIM('Raw Data'!AO156))=0),"",IF(AND(ISNUMBER('Raw Data'!AO156), IFERROR('Raw Data'!AO156 = ROUND('Raw Data'!AO156, 2),FALSE)),"",_xlfn.REGEXEXTRACT(CELL("address",AO156), "\$([A-Z]+)\$[0-9]+"))),_xlfn.REGEXEXTRACT(CELL("address",AO156), "\$([A-Z]+)\$[0-9]+"))</f>
        <v/>
      </c>
      <c r="AP156" s="7" t="str">
        <f t="array" aca="1" ref="AP156" ca="1">IFERROR(IF(OR('Raw Data'!AP156="",LEN(TRIM('Raw Data'!AP156))=0),"",IF(AND(ISNUMBER('Raw Data'!AP156), IFERROR('Raw Data'!AP156 = ROUND('Raw Data'!AP156, 2),FALSE)),"",_xlfn.REGEXEXTRACT(CELL("address",AP156), "\$([A-Z]+)\$[0-9]+"))),_xlfn.REGEXEXTRACT(CELL("address",AP156), "\$([A-Z]+)\$[0-9]+"))</f>
        <v/>
      </c>
    </row>
    <row r="157" spans="2:42" x14ac:dyDescent="0.25">
      <c r="B157" s="7" t="str">
        <f t="array" aca="1" ref="B157" ca="1">IFERROR(IF(OR('Raw Data'!B157="",LEN(TRIM('Raw Data'!B157))=0),"",IF(AND(LEN('Raw Data'!B157) &lt;= 255,LEN('Raw Data'!B157)&gt; 0),"",_xlfn.REGEXEXTRACT(CELL("address",'Raw Data'!B157),"\$([A-Z]+)\$[0-9]+"))),_xlfn.REGEXEXTRACT(CELL("address",'Raw Data'!B157),"\$([A-Z]+)\$[0-9]+"))</f>
        <v/>
      </c>
      <c r="C157" s="7" t="str">
        <f t="array" aca="1" ref="C157" ca="1">IFERROR(IF(OR('Raw Data'!C157="",LEN(TRIM('Raw Data'!C157))=0),"",IF(AND(LEN('Raw Data'!C157) &lt;= 50,LEN('Raw Data'!C157)&gt; 0),"",_xlfn.REGEXEXTRACT(CELL("address",'Raw Data'!C157),"\$([A-Z]+)\$[0-9]+"))),_xlfn.REGEXEXTRACT(CELL("address",'Raw Data'!C157),"\$([A-Z]+)\$[0-9]+"))</f>
        <v/>
      </c>
      <c r="D157" s="7" t="str">
        <f t="array" aca="1" ref="D157" ca="1">IFERROR(IF(OR('Raw Data'!D157="",LEN(TRIM('Raw Data'!D157))=0),"",IF(AND(LEN('Raw Data'!D157) &lt;= 500,LEN('Raw Data'!D157)&gt; 0),"",_xlfn.REGEXEXTRACT(CELL("address",'Raw Data'!D157),"\$([A-Z]+)\$[0-9]+"))),_xlfn.REGEXEXTRACT(CELL("address",'Raw Data'!D157),"\$([A-Z]+)\$[0-9]+"))</f>
        <v/>
      </c>
      <c r="E157" s="7" t="str">
        <f t="array" aca="1" ref="E157" ca="1">IFERROR(IF(OR('Raw Data'!E157="",LEN(TRIM('Raw Data'!E157))=0),"",IF(AND(LEN('Raw Data'!E157) &lt;= 50,LEN('Raw Data'!E157)&gt; 0),"",_xlfn.REGEXEXTRACT(CELL("address",'Raw Data'!E157),"\$([A-Z]+)\$[0-9]+"))),_xlfn.REGEXEXTRACT(CELL("address",'Raw Data'!E157),"\$([A-Z]+)\$[0-9]+"))</f>
        <v/>
      </c>
      <c r="F157" s="7" t="str">
        <f t="array" aca="1" ref="F157" ca="1">IFERROR(IF(OR('Raw Data'!F157="",LEN(TRIM('Raw Data'!F157))=0),"",IF(AND(LEN('Raw Data'!F157) &lt;= 50,LEN('Raw Data'!F157)&gt; 0),"",_xlfn.REGEXEXTRACT(CELL("address",'Raw Data'!F157),"\$([A-Z]+)\$[0-9]+"))),_xlfn.REGEXEXTRACT(CELL("address",'Raw Data'!F157),"\$([A-Z]+)\$[0-9]+"))</f>
        <v/>
      </c>
      <c r="G157" s="7" t="str">
        <f t="array" aca="1" ref="G157" ca="1">IFERROR(IF(OR('Raw Data'!G157="",LEN(TRIM('Raw Data'!G157))=0),"",IF(AND(LEN('Raw Data'!G157) &lt;= 50,LEN('Raw Data'!G157)&gt; 0),"",_xlfn.REGEXEXTRACT(CELL("address",'Raw Data'!G157),"\$([A-Z]+)\$[0-9]+"))),_xlfn.REGEXEXTRACT(CELL("address",'Raw Data'!G157),"\$([A-Z]+)\$[0-9]+"))</f>
        <v/>
      </c>
      <c r="H157" s="7" t="str">
        <f t="array" aca="1" ref="H157" ca="1">IFERROR(IF(OR('Raw Data'!H157="",LEN(TRIM('Raw Data'!H157))=0),"",IF(AND(LEN('Raw Data'!H157) &lt;= 50,LEN('Raw Data'!H157)&gt; 0),"",_xlfn.REGEXEXTRACT(CELL("address",'Raw Data'!H157),"\$([A-Z]+)\$[0-9]+"))),_xlfn.REGEXEXTRACT(CELL("address",'Raw Data'!H157),"\$([A-Z]+)\$[0-9]+"))</f>
        <v/>
      </c>
      <c r="I157" s="7" t="str">
        <f t="array" aca="1" ref="I157" ca="1">IFERROR(IF(OR('Raw Data'!I157="",LEN(TRIM('Raw Data'!I157))=0),"",IF(AND(LEN('Raw Data'!I157) &lt;= 50,LEN('Raw Data'!I157)&gt; 0),"",_xlfn.REGEXEXTRACT(CELL("address",'Raw Data'!I157),"\$([A-Z]+)\$[0-9]+"))),_xlfn.REGEXEXTRACT(CELL("address",'Raw Data'!I157),"\$([A-Z]+)\$[0-9]+"))</f>
        <v/>
      </c>
      <c r="J157" s="7" t="str">
        <f t="array" aca="1" ref="J157" ca="1">IFERROR(IF(OR('Raw Data'!J157="",LEN(TRIM('Raw Data'!J157))=0),"",IF(AND(ISNUMBER('Raw Data'!J157), IFERROR('Raw Data'!J157 = ROUND('Raw Data'!J157, 2),FALSE)),"",_xlfn.REGEXEXTRACT(CELL("address",J157), "\$([A-Z]+)\$[0-9]+"))),_xlfn.REGEXEXTRACT(CELL("address",J157), "\$([A-Z]+)\$[0-9]+"))</f>
        <v/>
      </c>
      <c r="K157" s="7" t="str">
        <f t="array" aca="1" ref="K157" ca="1">IFERROR(IF(OR('Raw Data'!K157="",LEN(TRIM('Raw Data'!K157))=0),"",IF(AND(ISNUMBER('Raw Data'!K157), IFERROR('Raw Data'!K157 = ROUND('Raw Data'!K157, 2),FALSE)),"",_xlfn.REGEXEXTRACT(CELL("address",K157), "\$([A-Z]+)\$[0-9]+"))),_xlfn.REGEXEXTRACT(CELL("address",K157), "\$([A-Z]+)\$[0-9]+"))</f>
        <v/>
      </c>
      <c r="L157" s="7" t="str">
        <f t="array" aca="1" ref="L157" ca="1">IFERROR(IF(OR('Raw Data'!L157="",LEN(TRIM('Raw Data'!L157))=0),"",IF(AND(ISNUMBER('Raw Data'!L157), IFERROR('Raw Data'!L157 = ROUND('Raw Data'!L157, 2),FALSE)),"",_xlfn.REGEXEXTRACT(CELL("address",L157), "\$([A-Z]+)\$[0-9]+"))),_xlfn.REGEXEXTRACT(CELL("address",L157), "\$([A-Z]+)\$[0-9]+"))</f>
        <v/>
      </c>
      <c r="M157" s="7" t="str">
        <f t="array" aca="1" ref="M157" ca="1">IFERROR(IF(OR('Raw Data'!M157="",LEN(TRIM('Raw Data'!M157))=0),"",IF(AND(ISNUMBER('Raw Data'!M157), IFERROR('Raw Data'!M157 = ROUND('Raw Data'!M157, 2),FALSE)),"",_xlfn.REGEXEXTRACT(CELL("address",M157), "\$([A-Z]+)\$[0-9]+"))),_xlfn.REGEXEXTRACT(CELL("address",M157), "\$([A-Z]+)\$[0-9]+"))</f>
        <v/>
      </c>
      <c r="N157" s="7" t="str">
        <f t="array" aca="1" ref="N157" ca="1">IFERROR(IF(OR('Raw Data'!N157="",LEN(TRIM('Raw Data'!N157))=0),"",IF(AND(ISNUMBER('Raw Data'!N157), IFERROR('Raw Data'!N157 = ROUND('Raw Data'!N157, 2),FALSE)),"",_xlfn.REGEXEXTRACT(CELL("address",N157), "\$([A-Z]+)\$[0-9]+"))),_xlfn.REGEXEXTRACT(CELL("address",N157), "\$([A-Z]+)\$[0-9]+"))</f>
        <v/>
      </c>
      <c r="O157" s="7" t="str">
        <f t="array" aca="1" ref="O157" ca="1">IFERROR(IF(OR('Raw Data'!O157="",LEN(TRIM('Raw Data'!O157))=0),"",IF(AND(ISNUMBER('Raw Data'!O157),'Raw Data'!O157&gt;=Configuration!$D$2),"",_xlfn.REGEXEXTRACT(CELL("address",'Raw Data'!O157),"\$([A-Z]+)\$[0-9]+"))),_xlfn.REGEXEXTRACT(CELL("address",O157), "\$([A-Z]+)\$[0-9]+"))</f>
        <v/>
      </c>
      <c r="P157" s="7" t="str">
        <f t="array" aca="1" ref="P157" ca="1">IFERROR(IF(OR('Raw Data'!P157="",LEN(TRIM('Raw Data'!P157))=0),"",IF(AND(ISNUMBER('Raw Data'!P157), IFERROR('Raw Data'!P157 = ROUND('Raw Data'!P157, 2),FALSE)),"",_xlfn.REGEXEXTRACT(CELL("address",P157), "\$([A-Z]+)\$[0-9]+"))),_xlfn.REGEXEXTRACT(CELL("address",P157), "\$([A-Z]+)\$[0-9]+"))</f>
        <v/>
      </c>
      <c r="Q157" s="7" t="str">
        <f t="array" aca="1" ref="Q157" ca="1">IFERROR(IF(OR('Raw Data'!Q157="",LEN(TRIM('Raw Data'!Q157))=0),"",IF(AND(ISNUMBER('Raw Data'!Q157), IFERROR('Raw Data'!Q157 = ROUND('Raw Data'!Q157, 2),FALSE)),"",_xlfn.REGEXEXTRACT(CELL("address",Q157), "\$([A-Z]+)\$[0-9]+"))),_xlfn.REGEXEXTRACT(CELL("address",Q157), "\$([A-Z]+)\$[0-9]+"))</f>
        <v/>
      </c>
      <c r="R157" s="7" t="str">
        <f t="array" aca="1" ref="R157" ca="1">IFERROR(IF(OR('Raw Data'!R157="",LEN(TRIM('Raw Data'!R157))=0),"",IF(AND(LEN('Raw Data'!R157) &lt;= 50,LEN('Raw Data'!R157)&gt; 0),"",_xlfn.REGEXEXTRACT(CELL("address",'Raw Data'!R157),"\$([A-Z]+)\$[0-9]+"))),_xlfn.REGEXEXTRACT(CELL("address",'Raw Data'!R157),"\$([A-Z]+)\$[0-9]+"))</f>
        <v/>
      </c>
      <c r="S157" s="7" t="str">
        <f t="array" aca="1" ref="S157" ca="1">IFERROR(IF(OR('Raw Data'!S157="",LEN(TRIM('Raw Data'!S157))=0),"",IF(AND(LEN('Raw Data'!S157) &lt;= 50,LEN('Raw Data'!S157)&gt; 0),"",_xlfn.REGEXEXTRACT(CELL("address",'Raw Data'!S157),"\$([A-Z]+)\$[0-9]+"))),_xlfn.REGEXEXTRACT(CELL("address",'Raw Data'!S157),"\$([A-Z]+)\$[0-9]+"))</f>
        <v/>
      </c>
      <c r="T157" s="7" t="str">
        <f t="array" aca="1" ref="T157" ca="1">IFERROR(IF(OR('Raw Data'!T157="",LEN(TRIM('Raw Data'!T157))=0),"",IF(AND(ISNUMBER('Raw Data'!T157), IFERROR('Raw Data'!T157 = ROUND('Raw Data'!T157, 2),FALSE)),"",_xlfn.REGEXEXTRACT(CELL("address",T157), "\$([A-Z]+)\$[0-9]+"))),_xlfn.REGEXEXTRACT(CELL("address",T157), "\$([A-Z]+)\$[0-9]+"))</f>
        <v/>
      </c>
      <c r="U157" s="7" t="str">
        <f t="array" aca="1" ref="U157" ca="1">IFERROR(IF(OR('Raw Data'!U157="",LEN(TRIM('Raw Data'!U157))=0),"",IF(AND(ISNUMBER('Raw Data'!U157), IFERROR('Raw Data'!U157 = ROUND('Raw Data'!U157, 2),FALSE)),"",_xlfn.REGEXEXTRACT(CELL("address",U157), "\$([A-Z]+)\$[0-9]+"))),_xlfn.REGEXEXTRACT(CELL("address",U157), "\$([A-Z]+)\$[0-9]+"))</f>
        <v/>
      </c>
      <c r="V157" s="7" t="str">
        <f t="array" aca="1" ref="V157" ca="1">IFERROR(IF(OR('Raw Data'!V157="",LEN(TRIM('Raw Data'!V157))=0),"",IF(AND(ISNUMBER('Raw Data'!V157), IFERROR('Raw Data'!V157 = ROUND('Raw Data'!V157, 2),FALSE)),"",_xlfn.REGEXEXTRACT(CELL("address",V157), "\$([A-Z]+)\$[0-9]+"))),_xlfn.REGEXEXTRACT(CELL("address",V157), "\$([A-Z]+)\$[0-9]+"))</f>
        <v/>
      </c>
      <c r="W157" s="7" t="str">
        <f t="array" aca="1" ref="W157" ca="1">IFERROR(IF(OR('Raw Data'!W157="",LEN(TRIM('Raw Data'!W157))=0),"",IF(AND(ISNUMBER('Raw Data'!W157), IFERROR('Raw Data'!W157 = ROUND('Raw Data'!W157, 2),FALSE)),"",_xlfn.REGEXEXTRACT(CELL("address",W157), "\$([A-Z]+)\$[0-9]+"))),_xlfn.REGEXEXTRACT(CELL("address",W157), "\$([A-Z]+)\$[0-9]+"))</f>
        <v/>
      </c>
      <c r="X157" s="7" t="str">
        <f t="array" aca="1" ref="X157" ca="1">IFERROR(IF(OR('Raw Data'!X157="",LEN(TRIM('Raw Data'!X157))=0),"",IF(AND(ISNUMBER('Raw Data'!X157), IFERROR('Raw Data'!X157 = ROUND('Raw Data'!X157, 2),FALSE)),"",_xlfn.REGEXEXTRACT(CELL("address",X157), "\$([A-Z]+)\$[0-9]+"))),_xlfn.REGEXEXTRACT(CELL("address",X157), "\$([A-Z]+)\$[0-9]+"))</f>
        <v/>
      </c>
      <c r="Y157" s="7" t="str">
        <f t="array" aca="1" ref="Y157" ca="1">IFERROR(IF(OR('Raw Data'!Y157="",LEN(TRIM('Raw Data'!Y157))=0),"",IF(AND(ISNUMBER('Raw Data'!Y157), IFERROR('Raw Data'!Y157 = ROUND('Raw Data'!Y157, 2),FALSE)),"",_xlfn.REGEXEXTRACT(CELL("address",Y157), "\$([A-Z]+)\$[0-9]+"))),_xlfn.REGEXEXTRACT(CELL("address",Y157), "\$([A-Z]+)\$[0-9]+"))</f>
        <v/>
      </c>
      <c r="Z157" s="7" t="str">
        <f t="array" aca="1" ref="Z157" ca="1">IFERROR(IF(OR('Raw Data'!Z157="",LEN(TRIM('Raw Data'!Z157))=0),"",IF(AND(ISNUMBER('Raw Data'!Z157), IFERROR('Raw Data'!Z157 = ROUND('Raw Data'!Z157, 2),FALSE)),"",_xlfn.REGEXEXTRACT(CELL("address",Z157), "\$([A-Z]+)\$[0-9]+"))),_xlfn.REGEXEXTRACT(CELL("address",Z157), "\$([A-Z]+)\$[0-9]+"))</f>
        <v/>
      </c>
      <c r="AA157" s="7" t="str">
        <f t="array" aca="1" ref="AA157" ca="1">IFERROR(IF(OR('Raw Data'!AA157="",LEN(TRIM('Raw Data'!AA157))=0),"",IF(AND(ISNUMBER('Raw Data'!AA157), IFERROR('Raw Data'!AA157 = ROUND('Raw Data'!AA157, 2),FALSE)),"",_xlfn.REGEXEXTRACT(CELL("address",AA157), "\$([A-Z]+)\$[0-9]+"))),_xlfn.REGEXEXTRACT(CELL("address",AA157), "\$([A-Z]+)\$[0-9]+"))</f>
        <v/>
      </c>
      <c r="AB157" s="7" t="str">
        <f t="array" aca="1" ref="AB157" ca="1">IFERROR(IF(OR('Raw Data'!AB157="",LEN(TRIM('Raw Data'!AB157))=0),"",IF(AND(ISNUMBER('Raw Data'!AB157), IFERROR('Raw Data'!AB157 = ROUND('Raw Data'!AB157, 2),FALSE)),"",_xlfn.REGEXEXTRACT(CELL("address",AB157), "\$([A-Z]+)\$[0-9]+"))),_xlfn.REGEXEXTRACT(CELL("address",AB157), "\$([A-Z]+)\$[0-9]+"))</f>
        <v/>
      </c>
      <c r="AC157" s="7" t="str">
        <f t="array" aca="1" ref="AC157" ca="1">IFERROR(IF(OR('Raw Data'!AC157="",LEN(TRIM('Raw Data'!AC157))=0),"",IF(AND(ISNUMBER('Raw Data'!AC157), IFERROR('Raw Data'!AC157 = ROUND('Raw Data'!AC157, 2),FALSE)),"",_xlfn.REGEXEXTRACT(CELL("address",AC157), "\$([A-Z]+)\$[0-9]+"))),_xlfn.REGEXEXTRACT(CELL("address",AC157), "\$([A-Z]+)\$[0-9]+"))</f>
        <v/>
      </c>
      <c r="AD157" s="7" t="str">
        <f t="array" aca="1" ref="AD157" ca="1">IFERROR(IF(OR('Raw Data'!AD157="",LEN(TRIM('Raw Data'!AD157))=0),"",IF(AND(ISNUMBER('Raw Data'!AD157), IFERROR('Raw Data'!AD157 = ROUND('Raw Data'!AD157, 2),FALSE)),"",_xlfn.REGEXEXTRACT(CELL("address",AD157), "\$([A-Z]+)\$[0-9]+"))),_xlfn.REGEXEXTRACT(CELL("address",AD157), "\$([A-Z]+)\$[0-9]+"))</f>
        <v/>
      </c>
      <c r="AE157" s="7" t="str">
        <f t="array" aca="1" ref="AE157" ca="1">IFERROR(IF(OR('Raw Data'!AE157="",LEN(TRIM('Raw Data'!AE157))=0),"",IF(AND(ISNUMBER('Raw Data'!AE157), IFERROR('Raw Data'!AE157 = ROUND('Raw Data'!AE157, 2),FALSE)),"",_xlfn.REGEXEXTRACT(CELL("address",AE157), "\$([A-Z]+)\$[0-9]+"))),_xlfn.REGEXEXTRACT(CELL("address",AE157), "\$([A-Z]+)\$[0-9]+"))</f>
        <v/>
      </c>
      <c r="AF157" s="7" t="str">
        <f t="array" aca="1" ref="AF157" ca="1">IFERROR(IF(OR('Raw Data'!AF157="",LEN(TRIM('Raw Data'!AF157))=0),"",IF(AND(ISNUMBER('Raw Data'!AF157), IFERROR('Raw Data'!AF157 = ROUND('Raw Data'!AF157, 2),FALSE)),"",_xlfn.REGEXEXTRACT(CELL("address",AF157), "\$([A-Z]+)\$[0-9]+"))),_xlfn.REGEXEXTRACT(CELL("address",AF157), "\$([A-Z]+)\$[0-9]+"))</f>
        <v/>
      </c>
      <c r="AG157" s="7" t="str">
        <f t="array" aca="1" ref="AG157" ca="1">IFERROR(IF(OR('Raw Data'!AG157="",LEN(TRIM('Raw Data'!AG157))=0),"",IF(AND(ISNUMBER('Raw Data'!AG157), IFERROR('Raw Data'!AG157 = ROUND('Raw Data'!AG157, 2),FALSE)),"",_xlfn.REGEXEXTRACT(CELL("address",AG157), "\$([A-Z]+)\$[0-9]+"))),_xlfn.REGEXEXTRACT(CELL("address",AG157), "\$([A-Z]+)\$[0-9]+"))</f>
        <v/>
      </c>
      <c r="AH157" s="7" t="str">
        <f t="array" aca="1" ref="AH157" ca="1">IFERROR(IF(OR('Raw Data'!AH157="",LEN(TRIM('Raw Data'!AH157))=0),"",IF(AND(ISNUMBER('Raw Data'!AH157), IFERROR('Raw Data'!AH157 = ROUND('Raw Data'!AH157, 2),FALSE)),"",_xlfn.REGEXEXTRACT(CELL("address",AH157), "\$([A-Z]+)\$[0-9]+"))),_xlfn.REGEXEXTRACT(CELL("address",AH157), "\$([A-Z]+)\$[0-9]+"))</f>
        <v/>
      </c>
      <c r="AI157" s="7" t="str">
        <f t="array" aca="1" ref="AI157" ca="1">IFERROR(IF(OR('Raw Data'!AI157="",LEN(TRIM('Raw Data'!AI157))=0),"",IF(AND(ISNUMBER('Raw Data'!AI157), IFERROR('Raw Data'!AI157 = ROUND('Raw Data'!AI157, 2),FALSE)),"",_xlfn.REGEXEXTRACT(CELL("address",AI157), "\$([A-Z]+)\$[0-9]+"))),_xlfn.REGEXEXTRACT(CELL("address",AI157), "\$([A-Z]+)\$[0-9]+"))</f>
        <v/>
      </c>
      <c r="AJ157" s="7" t="str">
        <f t="array" aca="1" ref="AJ157" ca="1">IFERROR(IF(OR('Raw Data'!AJ157="",LEN(TRIM('Raw Data'!AJ157))=0),"",IF(AND(ISNUMBER('Raw Data'!AJ157), IFERROR('Raw Data'!AJ157 = ROUND('Raw Data'!AJ157, 4),FALSE)),"",_xlfn.REGEXEXTRACT(CELL("address",AJ157), "\$([A-Z]+)\$[0-9]+"))),_xlfn.REGEXEXTRACT(CELL("address",AJ157), "\$([A-Z]+)\$[0-9]+"))</f>
        <v/>
      </c>
      <c r="AK157" s="7" t="str">
        <f t="array" aca="1" ref="AK157" ca="1">IFERROR(IF(OR('Raw Data'!AK157="",LEN(TRIM('Raw Data'!AK157))=0),"",IF(AND(ISNUMBER('Raw Data'!AK157), IFERROR('Raw Data'!AK157 = ROUND('Raw Data'!AK157, 2),FALSE)),"",_xlfn.REGEXEXTRACT(CELL("address",AK157), "\$([A-Z]+)\$[0-9]+"))),_xlfn.REGEXEXTRACT(CELL("address",AK157), "\$([A-Z]+)\$[0-9]+"))</f>
        <v/>
      </c>
      <c r="AL157" s="7" t="str">
        <f t="array" aca="1" ref="AL157" ca="1">IFERROR(IF(OR('Raw Data'!AL157="",LEN(TRIM('Raw Data'!AL157))=0),"",IF(AND(ISNUMBER('Raw Data'!AL157), IFERROR('Raw Data'!AL157 = ROUND('Raw Data'!AL157, 2),FALSE)),"",_xlfn.REGEXEXTRACT(CELL("address",AL157), "\$([A-Z]+)\$[0-9]+"))),_xlfn.REGEXEXTRACT(CELL("address",AL157), "\$([A-Z]+)\$[0-9]+"))</f>
        <v/>
      </c>
      <c r="AM157" s="7" t="str">
        <f t="array" aca="1" ref="AM157" ca="1">IFERROR(IF(OR('Raw Data'!AM157="",LEN(TRIM('Raw Data'!AM157))=0),"",IF(AND(ISNUMBER('Raw Data'!AM157), IFERROR('Raw Data'!AM157 = ROUND('Raw Data'!AM157, 2),FALSE)),"",_xlfn.REGEXEXTRACT(CELL("address",AM157), "\$([A-Z]+)\$[0-9]+"))),_xlfn.REGEXEXTRACT(CELL("address",AM157), "\$([A-Z]+)\$[0-9]+"))</f>
        <v/>
      </c>
      <c r="AN157" s="7" t="str">
        <f t="array" aca="1" ref="AN157" ca="1">IFERROR(IF(OR('Raw Data'!AN157="",LEN(TRIM('Raw Data'!AN157))=0),"",IF(AND(ISNUMBER('Raw Data'!AN157), IFERROR('Raw Data'!AN157 = ROUND('Raw Data'!AN157, 2),FALSE)),"",_xlfn.REGEXEXTRACT(CELL("address",AN157), "\$([A-Z]+)\$[0-9]+"))),_xlfn.REGEXEXTRACT(CELL("address",AN157), "\$([A-Z]+)\$[0-9]+"))</f>
        <v/>
      </c>
      <c r="AO157" s="7" t="str">
        <f t="array" aca="1" ref="AO157" ca="1">IFERROR(IF(OR('Raw Data'!AO157="",LEN(TRIM('Raw Data'!AO157))=0),"",IF(AND(ISNUMBER('Raw Data'!AO157), IFERROR('Raw Data'!AO157 = ROUND('Raw Data'!AO157, 2),FALSE)),"",_xlfn.REGEXEXTRACT(CELL("address",AO157), "\$([A-Z]+)\$[0-9]+"))),_xlfn.REGEXEXTRACT(CELL("address",AO157), "\$([A-Z]+)\$[0-9]+"))</f>
        <v/>
      </c>
      <c r="AP157" s="7" t="str">
        <f t="array" aca="1" ref="AP157" ca="1">IFERROR(IF(OR('Raw Data'!AP157="",LEN(TRIM('Raw Data'!AP157))=0),"",IF(AND(ISNUMBER('Raw Data'!AP157), IFERROR('Raw Data'!AP157 = ROUND('Raw Data'!AP157, 2),FALSE)),"",_xlfn.REGEXEXTRACT(CELL("address",AP157), "\$([A-Z]+)\$[0-9]+"))),_xlfn.REGEXEXTRACT(CELL("address",AP157), "\$([A-Z]+)\$[0-9]+"))</f>
        <v/>
      </c>
    </row>
    <row r="158" spans="2:42" x14ac:dyDescent="0.25">
      <c r="B158" s="7" t="str">
        <f t="array" aca="1" ref="B158" ca="1">IFERROR(IF(OR('Raw Data'!B158="",LEN(TRIM('Raw Data'!B158))=0),"",IF(AND(LEN('Raw Data'!B158) &lt;= 255,LEN('Raw Data'!B158)&gt; 0),"",_xlfn.REGEXEXTRACT(CELL("address",'Raw Data'!B158),"\$([A-Z]+)\$[0-9]+"))),_xlfn.REGEXEXTRACT(CELL("address",'Raw Data'!B158),"\$([A-Z]+)\$[0-9]+"))</f>
        <v/>
      </c>
      <c r="C158" s="7" t="str">
        <f t="array" aca="1" ref="C158" ca="1">IFERROR(IF(OR('Raw Data'!C158="",LEN(TRIM('Raw Data'!C158))=0),"",IF(AND(LEN('Raw Data'!C158) &lt;= 50,LEN('Raw Data'!C158)&gt; 0),"",_xlfn.REGEXEXTRACT(CELL("address",'Raw Data'!C158),"\$([A-Z]+)\$[0-9]+"))),_xlfn.REGEXEXTRACT(CELL("address",'Raw Data'!C158),"\$([A-Z]+)\$[0-9]+"))</f>
        <v/>
      </c>
      <c r="D158" s="7" t="str">
        <f t="array" aca="1" ref="D158" ca="1">IFERROR(IF(OR('Raw Data'!D158="",LEN(TRIM('Raw Data'!D158))=0),"",IF(AND(LEN('Raw Data'!D158) &lt;= 500,LEN('Raw Data'!D158)&gt; 0),"",_xlfn.REGEXEXTRACT(CELL("address",'Raw Data'!D158),"\$([A-Z]+)\$[0-9]+"))),_xlfn.REGEXEXTRACT(CELL("address",'Raw Data'!D158),"\$([A-Z]+)\$[0-9]+"))</f>
        <v/>
      </c>
      <c r="E158" s="7" t="str">
        <f t="array" aca="1" ref="E158" ca="1">IFERROR(IF(OR('Raw Data'!E158="",LEN(TRIM('Raw Data'!E158))=0),"",IF(AND(LEN('Raw Data'!E158) &lt;= 50,LEN('Raw Data'!E158)&gt; 0),"",_xlfn.REGEXEXTRACT(CELL("address",'Raw Data'!E158),"\$([A-Z]+)\$[0-9]+"))),_xlfn.REGEXEXTRACT(CELL("address",'Raw Data'!E158),"\$([A-Z]+)\$[0-9]+"))</f>
        <v/>
      </c>
      <c r="F158" s="7" t="str">
        <f t="array" aca="1" ref="F158" ca="1">IFERROR(IF(OR('Raw Data'!F158="",LEN(TRIM('Raw Data'!F158))=0),"",IF(AND(LEN('Raw Data'!F158) &lt;= 50,LEN('Raw Data'!F158)&gt; 0),"",_xlfn.REGEXEXTRACT(CELL("address",'Raw Data'!F158),"\$([A-Z]+)\$[0-9]+"))),_xlfn.REGEXEXTRACT(CELL("address",'Raw Data'!F158),"\$([A-Z]+)\$[0-9]+"))</f>
        <v/>
      </c>
      <c r="G158" s="7" t="str">
        <f t="array" aca="1" ref="G158" ca="1">IFERROR(IF(OR('Raw Data'!G158="",LEN(TRIM('Raw Data'!G158))=0),"",IF(AND(LEN('Raw Data'!G158) &lt;= 50,LEN('Raw Data'!G158)&gt; 0),"",_xlfn.REGEXEXTRACT(CELL("address",'Raw Data'!G158),"\$([A-Z]+)\$[0-9]+"))),_xlfn.REGEXEXTRACT(CELL("address",'Raw Data'!G158),"\$([A-Z]+)\$[0-9]+"))</f>
        <v/>
      </c>
      <c r="H158" s="7" t="str">
        <f t="array" aca="1" ref="H158" ca="1">IFERROR(IF(OR('Raw Data'!H158="",LEN(TRIM('Raw Data'!H158))=0),"",IF(AND(LEN('Raw Data'!H158) &lt;= 50,LEN('Raw Data'!H158)&gt; 0),"",_xlfn.REGEXEXTRACT(CELL("address",'Raw Data'!H158),"\$([A-Z]+)\$[0-9]+"))),_xlfn.REGEXEXTRACT(CELL("address",'Raw Data'!H158),"\$([A-Z]+)\$[0-9]+"))</f>
        <v/>
      </c>
      <c r="I158" s="7" t="str">
        <f t="array" aca="1" ref="I158" ca="1">IFERROR(IF(OR('Raw Data'!I158="",LEN(TRIM('Raw Data'!I158))=0),"",IF(AND(LEN('Raw Data'!I158) &lt;= 50,LEN('Raw Data'!I158)&gt; 0),"",_xlfn.REGEXEXTRACT(CELL("address",'Raw Data'!I158),"\$([A-Z]+)\$[0-9]+"))),_xlfn.REGEXEXTRACT(CELL("address",'Raw Data'!I158),"\$([A-Z]+)\$[0-9]+"))</f>
        <v/>
      </c>
      <c r="J158" s="7" t="str">
        <f t="array" aca="1" ref="J158" ca="1">IFERROR(IF(OR('Raw Data'!J158="",LEN(TRIM('Raw Data'!J158))=0),"",IF(AND(ISNUMBER('Raw Data'!J158), IFERROR('Raw Data'!J158 = ROUND('Raw Data'!J158, 2),FALSE)),"",_xlfn.REGEXEXTRACT(CELL("address",J158), "\$([A-Z]+)\$[0-9]+"))),_xlfn.REGEXEXTRACT(CELL("address",J158), "\$([A-Z]+)\$[0-9]+"))</f>
        <v/>
      </c>
      <c r="K158" s="7" t="str">
        <f t="array" aca="1" ref="K158" ca="1">IFERROR(IF(OR('Raw Data'!K158="",LEN(TRIM('Raw Data'!K158))=0),"",IF(AND(ISNUMBER('Raw Data'!K158), IFERROR('Raw Data'!K158 = ROUND('Raw Data'!K158, 2),FALSE)),"",_xlfn.REGEXEXTRACT(CELL("address",K158), "\$([A-Z]+)\$[0-9]+"))),_xlfn.REGEXEXTRACT(CELL("address",K158), "\$([A-Z]+)\$[0-9]+"))</f>
        <v/>
      </c>
      <c r="L158" s="7" t="str">
        <f t="array" aca="1" ref="L158" ca="1">IFERROR(IF(OR('Raw Data'!L158="",LEN(TRIM('Raw Data'!L158))=0),"",IF(AND(ISNUMBER('Raw Data'!L158), IFERROR('Raw Data'!L158 = ROUND('Raw Data'!L158, 2),FALSE)),"",_xlfn.REGEXEXTRACT(CELL("address",L158), "\$([A-Z]+)\$[0-9]+"))),_xlfn.REGEXEXTRACT(CELL("address",L158), "\$([A-Z]+)\$[0-9]+"))</f>
        <v/>
      </c>
      <c r="M158" s="7" t="str">
        <f t="array" aca="1" ref="M158" ca="1">IFERROR(IF(OR('Raw Data'!M158="",LEN(TRIM('Raw Data'!M158))=0),"",IF(AND(ISNUMBER('Raw Data'!M158), IFERROR('Raw Data'!M158 = ROUND('Raw Data'!M158, 2),FALSE)),"",_xlfn.REGEXEXTRACT(CELL("address",M158), "\$([A-Z]+)\$[0-9]+"))),_xlfn.REGEXEXTRACT(CELL("address",M158), "\$([A-Z]+)\$[0-9]+"))</f>
        <v/>
      </c>
      <c r="N158" s="7" t="str">
        <f t="array" aca="1" ref="N158" ca="1">IFERROR(IF(OR('Raw Data'!N158="",LEN(TRIM('Raw Data'!N158))=0),"",IF(AND(ISNUMBER('Raw Data'!N158), IFERROR('Raw Data'!N158 = ROUND('Raw Data'!N158, 2),FALSE)),"",_xlfn.REGEXEXTRACT(CELL("address",N158), "\$([A-Z]+)\$[0-9]+"))),_xlfn.REGEXEXTRACT(CELL("address",N158), "\$([A-Z]+)\$[0-9]+"))</f>
        <v/>
      </c>
      <c r="O158" s="7" t="str">
        <f t="array" aca="1" ref="O158" ca="1">IFERROR(IF(OR('Raw Data'!O158="",LEN(TRIM('Raw Data'!O158))=0),"",IF(AND(ISNUMBER('Raw Data'!O158),'Raw Data'!O158&gt;=Configuration!$D$2),"",_xlfn.REGEXEXTRACT(CELL("address",'Raw Data'!O158),"\$([A-Z]+)\$[0-9]+"))),_xlfn.REGEXEXTRACT(CELL("address",O158), "\$([A-Z]+)\$[0-9]+"))</f>
        <v/>
      </c>
      <c r="P158" s="7" t="str">
        <f t="array" aca="1" ref="P158" ca="1">IFERROR(IF(OR('Raw Data'!P158="",LEN(TRIM('Raw Data'!P158))=0),"",IF(AND(ISNUMBER('Raw Data'!P158), IFERROR('Raw Data'!P158 = ROUND('Raw Data'!P158, 2),FALSE)),"",_xlfn.REGEXEXTRACT(CELL("address",P158), "\$([A-Z]+)\$[0-9]+"))),_xlfn.REGEXEXTRACT(CELL("address",P158), "\$([A-Z]+)\$[0-9]+"))</f>
        <v/>
      </c>
      <c r="Q158" s="7" t="str">
        <f t="array" aca="1" ref="Q158" ca="1">IFERROR(IF(OR('Raw Data'!Q158="",LEN(TRIM('Raw Data'!Q158))=0),"",IF(AND(ISNUMBER('Raw Data'!Q158), IFERROR('Raw Data'!Q158 = ROUND('Raw Data'!Q158, 2),FALSE)),"",_xlfn.REGEXEXTRACT(CELL("address",Q158), "\$([A-Z]+)\$[0-9]+"))),_xlfn.REGEXEXTRACT(CELL("address",Q158), "\$([A-Z]+)\$[0-9]+"))</f>
        <v/>
      </c>
      <c r="R158" s="7" t="str">
        <f t="array" aca="1" ref="R158" ca="1">IFERROR(IF(OR('Raw Data'!R158="",LEN(TRIM('Raw Data'!R158))=0),"",IF(AND(LEN('Raw Data'!R158) &lt;= 50,LEN('Raw Data'!R158)&gt; 0),"",_xlfn.REGEXEXTRACT(CELL("address",'Raw Data'!R158),"\$([A-Z]+)\$[0-9]+"))),_xlfn.REGEXEXTRACT(CELL("address",'Raw Data'!R158),"\$([A-Z]+)\$[0-9]+"))</f>
        <v/>
      </c>
      <c r="S158" s="7" t="str">
        <f t="array" aca="1" ref="S158" ca="1">IFERROR(IF(OR('Raw Data'!S158="",LEN(TRIM('Raw Data'!S158))=0),"",IF(AND(LEN('Raw Data'!S158) &lt;= 50,LEN('Raw Data'!S158)&gt; 0),"",_xlfn.REGEXEXTRACT(CELL("address",'Raw Data'!S158),"\$([A-Z]+)\$[0-9]+"))),_xlfn.REGEXEXTRACT(CELL("address",'Raw Data'!S158),"\$([A-Z]+)\$[0-9]+"))</f>
        <v/>
      </c>
      <c r="T158" s="7" t="str">
        <f t="array" aca="1" ref="T158" ca="1">IFERROR(IF(OR('Raw Data'!T158="",LEN(TRIM('Raw Data'!T158))=0),"",IF(AND(ISNUMBER('Raw Data'!T158), IFERROR('Raw Data'!T158 = ROUND('Raw Data'!T158, 2),FALSE)),"",_xlfn.REGEXEXTRACT(CELL("address",T158), "\$([A-Z]+)\$[0-9]+"))),_xlfn.REGEXEXTRACT(CELL("address",T158), "\$([A-Z]+)\$[0-9]+"))</f>
        <v/>
      </c>
      <c r="U158" s="7" t="str">
        <f t="array" aca="1" ref="U158" ca="1">IFERROR(IF(OR('Raw Data'!U158="",LEN(TRIM('Raw Data'!U158))=0),"",IF(AND(ISNUMBER('Raw Data'!U158), IFERROR('Raw Data'!U158 = ROUND('Raw Data'!U158, 2),FALSE)),"",_xlfn.REGEXEXTRACT(CELL("address",U158), "\$([A-Z]+)\$[0-9]+"))),_xlfn.REGEXEXTRACT(CELL("address",U158), "\$([A-Z]+)\$[0-9]+"))</f>
        <v/>
      </c>
      <c r="V158" s="7" t="str">
        <f t="array" aca="1" ref="V158" ca="1">IFERROR(IF(OR('Raw Data'!V158="",LEN(TRIM('Raw Data'!V158))=0),"",IF(AND(ISNUMBER('Raw Data'!V158), IFERROR('Raw Data'!V158 = ROUND('Raw Data'!V158, 2),FALSE)),"",_xlfn.REGEXEXTRACT(CELL("address",V158), "\$([A-Z]+)\$[0-9]+"))),_xlfn.REGEXEXTRACT(CELL("address",V158), "\$([A-Z]+)\$[0-9]+"))</f>
        <v/>
      </c>
      <c r="W158" s="7" t="str">
        <f t="array" aca="1" ref="W158" ca="1">IFERROR(IF(OR('Raw Data'!W158="",LEN(TRIM('Raw Data'!W158))=0),"",IF(AND(ISNUMBER('Raw Data'!W158), IFERROR('Raw Data'!W158 = ROUND('Raw Data'!W158, 2),FALSE)),"",_xlfn.REGEXEXTRACT(CELL("address",W158), "\$([A-Z]+)\$[0-9]+"))),_xlfn.REGEXEXTRACT(CELL("address",W158), "\$([A-Z]+)\$[0-9]+"))</f>
        <v/>
      </c>
      <c r="X158" s="7" t="str">
        <f t="array" aca="1" ref="X158" ca="1">IFERROR(IF(OR('Raw Data'!X158="",LEN(TRIM('Raw Data'!X158))=0),"",IF(AND(ISNUMBER('Raw Data'!X158), IFERROR('Raw Data'!X158 = ROUND('Raw Data'!X158, 2),FALSE)),"",_xlfn.REGEXEXTRACT(CELL("address",X158), "\$([A-Z]+)\$[0-9]+"))),_xlfn.REGEXEXTRACT(CELL("address",X158), "\$([A-Z]+)\$[0-9]+"))</f>
        <v/>
      </c>
      <c r="Y158" s="7" t="str">
        <f t="array" aca="1" ref="Y158" ca="1">IFERROR(IF(OR('Raw Data'!Y158="",LEN(TRIM('Raw Data'!Y158))=0),"",IF(AND(ISNUMBER('Raw Data'!Y158), IFERROR('Raw Data'!Y158 = ROUND('Raw Data'!Y158, 2),FALSE)),"",_xlfn.REGEXEXTRACT(CELL("address",Y158), "\$([A-Z]+)\$[0-9]+"))),_xlfn.REGEXEXTRACT(CELL("address",Y158), "\$([A-Z]+)\$[0-9]+"))</f>
        <v/>
      </c>
      <c r="Z158" s="7" t="str">
        <f t="array" aca="1" ref="Z158" ca="1">IFERROR(IF(OR('Raw Data'!Z158="",LEN(TRIM('Raw Data'!Z158))=0),"",IF(AND(ISNUMBER('Raw Data'!Z158), IFERROR('Raw Data'!Z158 = ROUND('Raw Data'!Z158, 2),FALSE)),"",_xlfn.REGEXEXTRACT(CELL("address",Z158), "\$([A-Z]+)\$[0-9]+"))),_xlfn.REGEXEXTRACT(CELL("address",Z158), "\$([A-Z]+)\$[0-9]+"))</f>
        <v/>
      </c>
      <c r="AA158" s="7" t="str">
        <f t="array" aca="1" ref="AA158" ca="1">IFERROR(IF(OR('Raw Data'!AA158="",LEN(TRIM('Raw Data'!AA158))=0),"",IF(AND(ISNUMBER('Raw Data'!AA158), IFERROR('Raw Data'!AA158 = ROUND('Raw Data'!AA158, 2),FALSE)),"",_xlfn.REGEXEXTRACT(CELL("address",AA158), "\$([A-Z]+)\$[0-9]+"))),_xlfn.REGEXEXTRACT(CELL("address",AA158), "\$([A-Z]+)\$[0-9]+"))</f>
        <v/>
      </c>
      <c r="AB158" s="7" t="str">
        <f t="array" aca="1" ref="AB158" ca="1">IFERROR(IF(OR('Raw Data'!AB158="",LEN(TRIM('Raw Data'!AB158))=0),"",IF(AND(ISNUMBER('Raw Data'!AB158), IFERROR('Raw Data'!AB158 = ROUND('Raw Data'!AB158, 2),FALSE)),"",_xlfn.REGEXEXTRACT(CELL("address",AB158), "\$([A-Z]+)\$[0-9]+"))),_xlfn.REGEXEXTRACT(CELL("address",AB158), "\$([A-Z]+)\$[0-9]+"))</f>
        <v/>
      </c>
      <c r="AC158" s="7" t="str">
        <f t="array" aca="1" ref="AC158" ca="1">IFERROR(IF(OR('Raw Data'!AC158="",LEN(TRIM('Raw Data'!AC158))=0),"",IF(AND(ISNUMBER('Raw Data'!AC158), IFERROR('Raw Data'!AC158 = ROUND('Raw Data'!AC158, 2),FALSE)),"",_xlfn.REGEXEXTRACT(CELL("address",AC158), "\$([A-Z]+)\$[0-9]+"))),_xlfn.REGEXEXTRACT(CELL("address",AC158), "\$([A-Z]+)\$[0-9]+"))</f>
        <v/>
      </c>
      <c r="AD158" s="7" t="str">
        <f t="array" aca="1" ref="AD158" ca="1">IFERROR(IF(OR('Raw Data'!AD158="",LEN(TRIM('Raw Data'!AD158))=0),"",IF(AND(ISNUMBER('Raw Data'!AD158), IFERROR('Raw Data'!AD158 = ROUND('Raw Data'!AD158, 2),FALSE)),"",_xlfn.REGEXEXTRACT(CELL("address",AD158), "\$([A-Z]+)\$[0-9]+"))),_xlfn.REGEXEXTRACT(CELL("address",AD158), "\$([A-Z]+)\$[0-9]+"))</f>
        <v/>
      </c>
      <c r="AE158" s="7" t="str">
        <f t="array" aca="1" ref="AE158" ca="1">IFERROR(IF(OR('Raw Data'!AE158="",LEN(TRIM('Raw Data'!AE158))=0),"",IF(AND(ISNUMBER('Raw Data'!AE158), IFERROR('Raw Data'!AE158 = ROUND('Raw Data'!AE158, 2),FALSE)),"",_xlfn.REGEXEXTRACT(CELL("address",AE158), "\$([A-Z]+)\$[0-9]+"))),_xlfn.REGEXEXTRACT(CELL("address",AE158), "\$([A-Z]+)\$[0-9]+"))</f>
        <v/>
      </c>
      <c r="AF158" s="7" t="str">
        <f t="array" aca="1" ref="AF158" ca="1">IFERROR(IF(OR('Raw Data'!AF158="",LEN(TRIM('Raw Data'!AF158))=0),"",IF(AND(ISNUMBER('Raw Data'!AF158), IFERROR('Raw Data'!AF158 = ROUND('Raw Data'!AF158, 2),FALSE)),"",_xlfn.REGEXEXTRACT(CELL("address",AF158), "\$([A-Z]+)\$[0-9]+"))),_xlfn.REGEXEXTRACT(CELL("address",AF158), "\$([A-Z]+)\$[0-9]+"))</f>
        <v/>
      </c>
      <c r="AG158" s="7" t="str">
        <f t="array" aca="1" ref="AG158" ca="1">IFERROR(IF(OR('Raw Data'!AG158="",LEN(TRIM('Raw Data'!AG158))=0),"",IF(AND(ISNUMBER('Raw Data'!AG158), IFERROR('Raw Data'!AG158 = ROUND('Raw Data'!AG158, 2),FALSE)),"",_xlfn.REGEXEXTRACT(CELL("address",AG158), "\$([A-Z]+)\$[0-9]+"))),_xlfn.REGEXEXTRACT(CELL("address",AG158), "\$([A-Z]+)\$[0-9]+"))</f>
        <v/>
      </c>
      <c r="AH158" s="7" t="str">
        <f t="array" aca="1" ref="AH158" ca="1">IFERROR(IF(OR('Raw Data'!AH158="",LEN(TRIM('Raw Data'!AH158))=0),"",IF(AND(ISNUMBER('Raw Data'!AH158), IFERROR('Raw Data'!AH158 = ROUND('Raw Data'!AH158, 2),FALSE)),"",_xlfn.REGEXEXTRACT(CELL("address",AH158), "\$([A-Z]+)\$[0-9]+"))),_xlfn.REGEXEXTRACT(CELL("address",AH158), "\$([A-Z]+)\$[0-9]+"))</f>
        <v/>
      </c>
      <c r="AI158" s="7" t="str">
        <f t="array" aca="1" ref="AI158" ca="1">IFERROR(IF(OR('Raw Data'!AI158="",LEN(TRIM('Raw Data'!AI158))=0),"",IF(AND(ISNUMBER('Raw Data'!AI158), IFERROR('Raw Data'!AI158 = ROUND('Raw Data'!AI158, 2),FALSE)),"",_xlfn.REGEXEXTRACT(CELL("address",AI158), "\$([A-Z]+)\$[0-9]+"))),_xlfn.REGEXEXTRACT(CELL("address",AI158), "\$([A-Z]+)\$[0-9]+"))</f>
        <v/>
      </c>
      <c r="AJ158" s="7" t="str">
        <f t="array" aca="1" ref="AJ158" ca="1">IFERROR(IF(OR('Raw Data'!AJ158="",LEN(TRIM('Raw Data'!AJ158))=0),"",IF(AND(ISNUMBER('Raw Data'!AJ158), IFERROR('Raw Data'!AJ158 = ROUND('Raw Data'!AJ158, 4),FALSE)),"",_xlfn.REGEXEXTRACT(CELL("address",AJ158), "\$([A-Z]+)\$[0-9]+"))),_xlfn.REGEXEXTRACT(CELL("address",AJ158), "\$([A-Z]+)\$[0-9]+"))</f>
        <v/>
      </c>
      <c r="AK158" s="7" t="str">
        <f t="array" aca="1" ref="AK158" ca="1">IFERROR(IF(OR('Raw Data'!AK158="",LEN(TRIM('Raw Data'!AK158))=0),"",IF(AND(ISNUMBER('Raw Data'!AK158), IFERROR('Raw Data'!AK158 = ROUND('Raw Data'!AK158, 2),FALSE)),"",_xlfn.REGEXEXTRACT(CELL("address",AK158), "\$([A-Z]+)\$[0-9]+"))),_xlfn.REGEXEXTRACT(CELL("address",AK158), "\$([A-Z]+)\$[0-9]+"))</f>
        <v/>
      </c>
      <c r="AL158" s="7" t="str">
        <f t="array" aca="1" ref="AL158" ca="1">IFERROR(IF(OR('Raw Data'!AL158="",LEN(TRIM('Raw Data'!AL158))=0),"",IF(AND(ISNUMBER('Raw Data'!AL158), IFERROR('Raw Data'!AL158 = ROUND('Raw Data'!AL158, 2),FALSE)),"",_xlfn.REGEXEXTRACT(CELL("address",AL158), "\$([A-Z]+)\$[0-9]+"))),_xlfn.REGEXEXTRACT(CELL("address",AL158), "\$([A-Z]+)\$[0-9]+"))</f>
        <v/>
      </c>
      <c r="AM158" s="7" t="str">
        <f t="array" aca="1" ref="AM158" ca="1">IFERROR(IF(OR('Raw Data'!AM158="",LEN(TRIM('Raw Data'!AM158))=0),"",IF(AND(ISNUMBER('Raw Data'!AM158), IFERROR('Raw Data'!AM158 = ROUND('Raw Data'!AM158, 2),FALSE)),"",_xlfn.REGEXEXTRACT(CELL("address",AM158), "\$([A-Z]+)\$[0-9]+"))),_xlfn.REGEXEXTRACT(CELL("address",AM158), "\$([A-Z]+)\$[0-9]+"))</f>
        <v/>
      </c>
      <c r="AN158" s="7" t="str">
        <f t="array" aca="1" ref="AN158" ca="1">IFERROR(IF(OR('Raw Data'!AN158="",LEN(TRIM('Raw Data'!AN158))=0),"",IF(AND(ISNUMBER('Raw Data'!AN158), IFERROR('Raw Data'!AN158 = ROUND('Raw Data'!AN158, 2),FALSE)),"",_xlfn.REGEXEXTRACT(CELL("address",AN158), "\$([A-Z]+)\$[0-9]+"))),_xlfn.REGEXEXTRACT(CELL("address",AN158), "\$([A-Z]+)\$[0-9]+"))</f>
        <v/>
      </c>
      <c r="AO158" s="7" t="str">
        <f t="array" aca="1" ref="AO158" ca="1">IFERROR(IF(OR('Raw Data'!AO158="",LEN(TRIM('Raw Data'!AO158))=0),"",IF(AND(ISNUMBER('Raw Data'!AO158), IFERROR('Raw Data'!AO158 = ROUND('Raw Data'!AO158, 2),FALSE)),"",_xlfn.REGEXEXTRACT(CELL("address",AO158), "\$([A-Z]+)\$[0-9]+"))),_xlfn.REGEXEXTRACT(CELL("address",AO158), "\$([A-Z]+)\$[0-9]+"))</f>
        <v/>
      </c>
      <c r="AP158" s="7" t="str">
        <f t="array" aca="1" ref="AP158" ca="1">IFERROR(IF(OR('Raw Data'!AP158="",LEN(TRIM('Raw Data'!AP158))=0),"",IF(AND(ISNUMBER('Raw Data'!AP158), IFERROR('Raw Data'!AP158 = ROUND('Raw Data'!AP158, 2),FALSE)),"",_xlfn.REGEXEXTRACT(CELL("address",AP158), "\$([A-Z]+)\$[0-9]+"))),_xlfn.REGEXEXTRACT(CELL("address",AP158), "\$([A-Z]+)\$[0-9]+"))</f>
        <v/>
      </c>
    </row>
    <row r="159" spans="2:42" x14ac:dyDescent="0.25">
      <c r="B159" s="7" t="str">
        <f t="array" aca="1" ref="B159" ca="1">IFERROR(IF(OR('Raw Data'!B159="",LEN(TRIM('Raw Data'!B159))=0),"",IF(AND(LEN('Raw Data'!B159) &lt;= 255,LEN('Raw Data'!B159)&gt; 0),"",_xlfn.REGEXEXTRACT(CELL("address",'Raw Data'!B159),"\$([A-Z]+)\$[0-9]+"))),_xlfn.REGEXEXTRACT(CELL("address",'Raw Data'!B159),"\$([A-Z]+)\$[0-9]+"))</f>
        <v/>
      </c>
      <c r="C159" s="7" t="str">
        <f t="array" aca="1" ref="C159" ca="1">IFERROR(IF(OR('Raw Data'!C159="",LEN(TRIM('Raw Data'!C159))=0),"",IF(AND(LEN('Raw Data'!C159) &lt;= 50,LEN('Raw Data'!C159)&gt; 0),"",_xlfn.REGEXEXTRACT(CELL("address",'Raw Data'!C159),"\$([A-Z]+)\$[0-9]+"))),_xlfn.REGEXEXTRACT(CELL("address",'Raw Data'!C159),"\$([A-Z]+)\$[0-9]+"))</f>
        <v/>
      </c>
      <c r="D159" s="7" t="str">
        <f t="array" aca="1" ref="D159" ca="1">IFERROR(IF(OR('Raw Data'!D159="",LEN(TRIM('Raw Data'!D159))=0),"",IF(AND(LEN('Raw Data'!D159) &lt;= 500,LEN('Raw Data'!D159)&gt; 0),"",_xlfn.REGEXEXTRACT(CELL("address",'Raw Data'!D159),"\$([A-Z]+)\$[0-9]+"))),_xlfn.REGEXEXTRACT(CELL("address",'Raw Data'!D159),"\$([A-Z]+)\$[0-9]+"))</f>
        <v/>
      </c>
      <c r="E159" s="7" t="str">
        <f t="array" aca="1" ref="E159" ca="1">IFERROR(IF(OR('Raw Data'!E159="",LEN(TRIM('Raw Data'!E159))=0),"",IF(AND(LEN('Raw Data'!E159) &lt;= 50,LEN('Raw Data'!E159)&gt; 0),"",_xlfn.REGEXEXTRACT(CELL("address",'Raw Data'!E159),"\$([A-Z]+)\$[0-9]+"))),_xlfn.REGEXEXTRACT(CELL("address",'Raw Data'!E159),"\$([A-Z]+)\$[0-9]+"))</f>
        <v/>
      </c>
      <c r="F159" s="7" t="str">
        <f t="array" aca="1" ref="F159" ca="1">IFERROR(IF(OR('Raw Data'!F159="",LEN(TRIM('Raw Data'!F159))=0),"",IF(AND(LEN('Raw Data'!F159) &lt;= 50,LEN('Raw Data'!F159)&gt; 0),"",_xlfn.REGEXEXTRACT(CELL("address",'Raw Data'!F159),"\$([A-Z]+)\$[0-9]+"))),_xlfn.REGEXEXTRACT(CELL("address",'Raw Data'!F159),"\$([A-Z]+)\$[0-9]+"))</f>
        <v/>
      </c>
      <c r="G159" s="7" t="str">
        <f t="array" aca="1" ref="G159" ca="1">IFERROR(IF(OR('Raw Data'!G159="",LEN(TRIM('Raw Data'!G159))=0),"",IF(AND(LEN('Raw Data'!G159) &lt;= 50,LEN('Raw Data'!G159)&gt; 0),"",_xlfn.REGEXEXTRACT(CELL("address",'Raw Data'!G159),"\$([A-Z]+)\$[0-9]+"))),_xlfn.REGEXEXTRACT(CELL("address",'Raw Data'!G159),"\$([A-Z]+)\$[0-9]+"))</f>
        <v/>
      </c>
      <c r="H159" s="7" t="str">
        <f t="array" aca="1" ref="H159" ca="1">IFERROR(IF(OR('Raw Data'!H159="",LEN(TRIM('Raw Data'!H159))=0),"",IF(AND(LEN('Raw Data'!H159) &lt;= 50,LEN('Raw Data'!H159)&gt; 0),"",_xlfn.REGEXEXTRACT(CELL("address",'Raw Data'!H159),"\$([A-Z]+)\$[0-9]+"))),_xlfn.REGEXEXTRACT(CELL("address",'Raw Data'!H159),"\$([A-Z]+)\$[0-9]+"))</f>
        <v/>
      </c>
      <c r="I159" s="7" t="str">
        <f t="array" aca="1" ref="I159" ca="1">IFERROR(IF(OR('Raw Data'!I159="",LEN(TRIM('Raw Data'!I159))=0),"",IF(AND(LEN('Raw Data'!I159) &lt;= 50,LEN('Raw Data'!I159)&gt; 0),"",_xlfn.REGEXEXTRACT(CELL("address",'Raw Data'!I159),"\$([A-Z]+)\$[0-9]+"))),_xlfn.REGEXEXTRACT(CELL("address",'Raw Data'!I159),"\$([A-Z]+)\$[0-9]+"))</f>
        <v/>
      </c>
      <c r="J159" s="7" t="str">
        <f t="array" aca="1" ref="J159" ca="1">IFERROR(IF(OR('Raw Data'!J159="",LEN(TRIM('Raw Data'!J159))=0),"",IF(AND(ISNUMBER('Raw Data'!J159), IFERROR('Raw Data'!J159 = ROUND('Raw Data'!J159, 2),FALSE)),"",_xlfn.REGEXEXTRACT(CELL("address",J159), "\$([A-Z]+)\$[0-9]+"))),_xlfn.REGEXEXTRACT(CELL("address",J159), "\$([A-Z]+)\$[0-9]+"))</f>
        <v/>
      </c>
      <c r="K159" s="7" t="str">
        <f t="array" aca="1" ref="K159" ca="1">IFERROR(IF(OR('Raw Data'!K159="",LEN(TRIM('Raw Data'!K159))=0),"",IF(AND(ISNUMBER('Raw Data'!K159), IFERROR('Raw Data'!K159 = ROUND('Raw Data'!K159, 2),FALSE)),"",_xlfn.REGEXEXTRACT(CELL("address",K159), "\$([A-Z]+)\$[0-9]+"))),_xlfn.REGEXEXTRACT(CELL("address",K159), "\$([A-Z]+)\$[0-9]+"))</f>
        <v/>
      </c>
      <c r="L159" s="7" t="str">
        <f t="array" aca="1" ref="L159" ca="1">IFERROR(IF(OR('Raw Data'!L159="",LEN(TRIM('Raw Data'!L159))=0),"",IF(AND(ISNUMBER('Raw Data'!L159), IFERROR('Raw Data'!L159 = ROUND('Raw Data'!L159, 2),FALSE)),"",_xlfn.REGEXEXTRACT(CELL("address",L159), "\$([A-Z]+)\$[0-9]+"))),_xlfn.REGEXEXTRACT(CELL("address",L159), "\$([A-Z]+)\$[0-9]+"))</f>
        <v/>
      </c>
      <c r="M159" s="7" t="str">
        <f t="array" aca="1" ref="M159" ca="1">IFERROR(IF(OR('Raw Data'!M159="",LEN(TRIM('Raw Data'!M159))=0),"",IF(AND(ISNUMBER('Raw Data'!M159), IFERROR('Raw Data'!M159 = ROUND('Raw Data'!M159, 2),FALSE)),"",_xlfn.REGEXEXTRACT(CELL("address",M159), "\$([A-Z]+)\$[0-9]+"))),_xlfn.REGEXEXTRACT(CELL("address",M159), "\$([A-Z]+)\$[0-9]+"))</f>
        <v/>
      </c>
      <c r="N159" s="7" t="str">
        <f t="array" aca="1" ref="N159" ca="1">IFERROR(IF(OR('Raw Data'!N159="",LEN(TRIM('Raw Data'!N159))=0),"",IF(AND(ISNUMBER('Raw Data'!N159), IFERROR('Raw Data'!N159 = ROUND('Raw Data'!N159, 2),FALSE)),"",_xlfn.REGEXEXTRACT(CELL("address",N159), "\$([A-Z]+)\$[0-9]+"))),_xlfn.REGEXEXTRACT(CELL("address",N159), "\$([A-Z]+)\$[0-9]+"))</f>
        <v/>
      </c>
      <c r="O159" s="7" t="str">
        <f t="array" aca="1" ref="O159" ca="1">IFERROR(IF(OR('Raw Data'!O159="",LEN(TRIM('Raw Data'!O159))=0),"",IF(AND(ISNUMBER('Raw Data'!O159),'Raw Data'!O159&gt;=Configuration!$D$2),"",_xlfn.REGEXEXTRACT(CELL("address",'Raw Data'!O159),"\$([A-Z]+)\$[0-9]+"))),_xlfn.REGEXEXTRACT(CELL("address",O159), "\$([A-Z]+)\$[0-9]+"))</f>
        <v/>
      </c>
      <c r="P159" s="7" t="str">
        <f t="array" aca="1" ref="P159" ca="1">IFERROR(IF(OR('Raw Data'!P159="",LEN(TRIM('Raw Data'!P159))=0),"",IF(AND(ISNUMBER('Raw Data'!P159), IFERROR('Raw Data'!P159 = ROUND('Raw Data'!P159, 2),FALSE)),"",_xlfn.REGEXEXTRACT(CELL("address",P159), "\$([A-Z]+)\$[0-9]+"))),_xlfn.REGEXEXTRACT(CELL("address",P159), "\$([A-Z]+)\$[0-9]+"))</f>
        <v/>
      </c>
      <c r="Q159" s="7" t="str">
        <f t="array" aca="1" ref="Q159" ca="1">IFERROR(IF(OR('Raw Data'!Q159="",LEN(TRIM('Raw Data'!Q159))=0),"",IF(AND(ISNUMBER('Raw Data'!Q159), IFERROR('Raw Data'!Q159 = ROUND('Raw Data'!Q159, 2),FALSE)),"",_xlfn.REGEXEXTRACT(CELL("address",Q159), "\$([A-Z]+)\$[0-9]+"))),_xlfn.REGEXEXTRACT(CELL("address",Q159), "\$([A-Z]+)\$[0-9]+"))</f>
        <v/>
      </c>
      <c r="R159" s="7" t="str">
        <f t="array" aca="1" ref="R159" ca="1">IFERROR(IF(OR('Raw Data'!R159="",LEN(TRIM('Raw Data'!R159))=0),"",IF(AND(LEN('Raw Data'!R159) &lt;= 50,LEN('Raw Data'!R159)&gt; 0),"",_xlfn.REGEXEXTRACT(CELL("address",'Raw Data'!R159),"\$([A-Z]+)\$[0-9]+"))),_xlfn.REGEXEXTRACT(CELL("address",'Raw Data'!R159),"\$([A-Z]+)\$[0-9]+"))</f>
        <v/>
      </c>
      <c r="S159" s="7" t="str">
        <f t="array" aca="1" ref="S159" ca="1">IFERROR(IF(OR('Raw Data'!S159="",LEN(TRIM('Raw Data'!S159))=0),"",IF(AND(LEN('Raw Data'!S159) &lt;= 50,LEN('Raw Data'!S159)&gt; 0),"",_xlfn.REGEXEXTRACT(CELL("address",'Raw Data'!S159),"\$([A-Z]+)\$[0-9]+"))),_xlfn.REGEXEXTRACT(CELL("address",'Raw Data'!S159),"\$([A-Z]+)\$[0-9]+"))</f>
        <v/>
      </c>
      <c r="T159" s="7" t="str">
        <f t="array" aca="1" ref="T159" ca="1">IFERROR(IF(OR('Raw Data'!T159="",LEN(TRIM('Raw Data'!T159))=0),"",IF(AND(ISNUMBER('Raw Data'!T159), IFERROR('Raw Data'!T159 = ROUND('Raw Data'!T159, 2),FALSE)),"",_xlfn.REGEXEXTRACT(CELL("address",T159), "\$([A-Z]+)\$[0-9]+"))),_xlfn.REGEXEXTRACT(CELL("address",T159), "\$([A-Z]+)\$[0-9]+"))</f>
        <v/>
      </c>
      <c r="U159" s="7" t="str">
        <f t="array" aca="1" ref="U159" ca="1">IFERROR(IF(OR('Raw Data'!U159="",LEN(TRIM('Raw Data'!U159))=0),"",IF(AND(ISNUMBER('Raw Data'!U159), IFERROR('Raw Data'!U159 = ROUND('Raw Data'!U159, 2),FALSE)),"",_xlfn.REGEXEXTRACT(CELL("address",U159), "\$([A-Z]+)\$[0-9]+"))),_xlfn.REGEXEXTRACT(CELL("address",U159), "\$([A-Z]+)\$[0-9]+"))</f>
        <v/>
      </c>
      <c r="V159" s="7" t="str">
        <f t="array" aca="1" ref="V159" ca="1">IFERROR(IF(OR('Raw Data'!V159="",LEN(TRIM('Raw Data'!V159))=0),"",IF(AND(ISNUMBER('Raw Data'!V159), IFERROR('Raw Data'!V159 = ROUND('Raw Data'!V159, 2),FALSE)),"",_xlfn.REGEXEXTRACT(CELL("address",V159), "\$([A-Z]+)\$[0-9]+"))),_xlfn.REGEXEXTRACT(CELL("address",V159), "\$([A-Z]+)\$[0-9]+"))</f>
        <v/>
      </c>
      <c r="W159" s="7" t="str">
        <f t="array" aca="1" ref="W159" ca="1">IFERROR(IF(OR('Raw Data'!W159="",LEN(TRIM('Raw Data'!W159))=0),"",IF(AND(ISNUMBER('Raw Data'!W159), IFERROR('Raw Data'!W159 = ROUND('Raw Data'!W159, 2),FALSE)),"",_xlfn.REGEXEXTRACT(CELL("address",W159), "\$([A-Z]+)\$[0-9]+"))),_xlfn.REGEXEXTRACT(CELL("address",W159), "\$([A-Z]+)\$[0-9]+"))</f>
        <v/>
      </c>
      <c r="X159" s="7" t="str">
        <f t="array" aca="1" ref="X159" ca="1">IFERROR(IF(OR('Raw Data'!X159="",LEN(TRIM('Raw Data'!X159))=0),"",IF(AND(ISNUMBER('Raw Data'!X159), IFERROR('Raw Data'!X159 = ROUND('Raw Data'!X159, 2),FALSE)),"",_xlfn.REGEXEXTRACT(CELL("address",X159), "\$([A-Z]+)\$[0-9]+"))),_xlfn.REGEXEXTRACT(CELL("address",X159), "\$([A-Z]+)\$[0-9]+"))</f>
        <v/>
      </c>
      <c r="Y159" s="7" t="str">
        <f t="array" aca="1" ref="Y159" ca="1">IFERROR(IF(OR('Raw Data'!Y159="",LEN(TRIM('Raw Data'!Y159))=0),"",IF(AND(ISNUMBER('Raw Data'!Y159), IFERROR('Raw Data'!Y159 = ROUND('Raw Data'!Y159, 2),FALSE)),"",_xlfn.REGEXEXTRACT(CELL("address",Y159), "\$([A-Z]+)\$[0-9]+"))),_xlfn.REGEXEXTRACT(CELL("address",Y159), "\$([A-Z]+)\$[0-9]+"))</f>
        <v/>
      </c>
      <c r="Z159" s="7" t="str">
        <f t="array" aca="1" ref="Z159" ca="1">IFERROR(IF(OR('Raw Data'!Z159="",LEN(TRIM('Raw Data'!Z159))=0),"",IF(AND(ISNUMBER('Raw Data'!Z159), IFERROR('Raw Data'!Z159 = ROUND('Raw Data'!Z159, 2),FALSE)),"",_xlfn.REGEXEXTRACT(CELL("address",Z159), "\$([A-Z]+)\$[0-9]+"))),_xlfn.REGEXEXTRACT(CELL("address",Z159), "\$([A-Z]+)\$[0-9]+"))</f>
        <v/>
      </c>
      <c r="AA159" s="7" t="str">
        <f t="array" aca="1" ref="AA159" ca="1">IFERROR(IF(OR('Raw Data'!AA159="",LEN(TRIM('Raw Data'!AA159))=0),"",IF(AND(ISNUMBER('Raw Data'!AA159), IFERROR('Raw Data'!AA159 = ROUND('Raw Data'!AA159, 2),FALSE)),"",_xlfn.REGEXEXTRACT(CELL("address",AA159), "\$([A-Z]+)\$[0-9]+"))),_xlfn.REGEXEXTRACT(CELL("address",AA159), "\$([A-Z]+)\$[0-9]+"))</f>
        <v/>
      </c>
      <c r="AB159" s="7" t="str">
        <f t="array" aca="1" ref="AB159" ca="1">IFERROR(IF(OR('Raw Data'!AB159="",LEN(TRIM('Raw Data'!AB159))=0),"",IF(AND(ISNUMBER('Raw Data'!AB159), IFERROR('Raw Data'!AB159 = ROUND('Raw Data'!AB159, 2),FALSE)),"",_xlfn.REGEXEXTRACT(CELL("address",AB159), "\$([A-Z]+)\$[0-9]+"))),_xlfn.REGEXEXTRACT(CELL("address",AB159), "\$([A-Z]+)\$[0-9]+"))</f>
        <v/>
      </c>
      <c r="AC159" s="7" t="str">
        <f t="array" aca="1" ref="AC159" ca="1">IFERROR(IF(OR('Raw Data'!AC159="",LEN(TRIM('Raw Data'!AC159))=0),"",IF(AND(ISNUMBER('Raw Data'!AC159), IFERROR('Raw Data'!AC159 = ROUND('Raw Data'!AC159, 2),FALSE)),"",_xlfn.REGEXEXTRACT(CELL("address",AC159), "\$([A-Z]+)\$[0-9]+"))),_xlfn.REGEXEXTRACT(CELL("address",AC159), "\$([A-Z]+)\$[0-9]+"))</f>
        <v/>
      </c>
      <c r="AD159" s="7" t="str">
        <f t="array" aca="1" ref="AD159" ca="1">IFERROR(IF(OR('Raw Data'!AD159="",LEN(TRIM('Raw Data'!AD159))=0),"",IF(AND(ISNUMBER('Raw Data'!AD159), IFERROR('Raw Data'!AD159 = ROUND('Raw Data'!AD159, 2),FALSE)),"",_xlfn.REGEXEXTRACT(CELL("address",AD159), "\$([A-Z]+)\$[0-9]+"))),_xlfn.REGEXEXTRACT(CELL("address",AD159), "\$([A-Z]+)\$[0-9]+"))</f>
        <v/>
      </c>
      <c r="AE159" s="7" t="str">
        <f t="array" aca="1" ref="AE159" ca="1">IFERROR(IF(OR('Raw Data'!AE159="",LEN(TRIM('Raw Data'!AE159))=0),"",IF(AND(ISNUMBER('Raw Data'!AE159), IFERROR('Raw Data'!AE159 = ROUND('Raw Data'!AE159, 2),FALSE)),"",_xlfn.REGEXEXTRACT(CELL("address",AE159), "\$([A-Z]+)\$[0-9]+"))),_xlfn.REGEXEXTRACT(CELL("address",AE159), "\$([A-Z]+)\$[0-9]+"))</f>
        <v/>
      </c>
      <c r="AF159" s="7" t="str">
        <f t="array" aca="1" ref="AF159" ca="1">IFERROR(IF(OR('Raw Data'!AF159="",LEN(TRIM('Raw Data'!AF159))=0),"",IF(AND(ISNUMBER('Raw Data'!AF159), IFERROR('Raw Data'!AF159 = ROUND('Raw Data'!AF159, 2),FALSE)),"",_xlfn.REGEXEXTRACT(CELL("address",AF159), "\$([A-Z]+)\$[0-9]+"))),_xlfn.REGEXEXTRACT(CELL("address",AF159), "\$([A-Z]+)\$[0-9]+"))</f>
        <v/>
      </c>
      <c r="AG159" s="7" t="str">
        <f t="array" aca="1" ref="AG159" ca="1">IFERROR(IF(OR('Raw Data'!AG159="",LEN(TRIM('Raw Data'!AG159))=0),"",IF(AND(ISNUMBER('Raw Data'!AG159), IFERROR('Raw Data'!AG159 = ROUND('Raw Data'!AG159, 2),FALSE)),"",_xlfn.REGEXEXTRACT(CELL("address",AG159), "\$([A-Z]+)\$[0-9]+"))),_xlfn.REGEXEXTRACT(CELL("address",AG159), "\$([A-Z]+)\$[0-9]+"))</f>
        <v/>
      </c>
      <c r="AH159" s="7" t="str">
        <f t="array" aca="1" ref="AH159" ca="1">IFERROR(IF(OR('Raw Data'!AH159="",LEN(TRIM('Raw Data'!AH159))=0),"",IF(AND(ISNUMBER('Raw Data'!AH159), IFERROR('Raw Data'!AH159 = ROUND('Raw Data'!AH159, 2),FALSE)),"",_xlfn.REGEXEXTRACT(CELL("address",AH159), "\$([A-Z]+)\$[0-9]+"))),_xlfn.REGEXEXTRACT(CELL("address",AH159), "\$([A-Z]+)\$[0-9]+"))</f>
        <v/>
      </c>
      <c r="AI159" s="7" t="str">
        <f t="array" aca="1" ref="AI159" ca="1">IFERROR(IF(OR('Raw Data'!AI159="",LEN(TRIM('Raw Data'!AI159))=0),"",IF(AND(ISNUMBER('Raw Data'!AI159), IFERROR('Raw Data'!AI159 = ROUND('Raw Data'!AI159, 2),FALSE)),"",_xlfn.REGEXEXTRACT(CELL("address",AI159), "\$([A-Z]+)\$[0-9]+"))),_xlfn.REGEXEXTRACT(CELL("address",AI159), "\$([A-Z]+)\$[0-9]+"))</f>
        <v/>
      </c>
      <c r="AJ159" s="7" t="str">
        <f t="array" aca="1" ref="AJ159" ca="1">IFERROR(IF(OR('Raw Data'!AJ159="",LEN(TRIM('Raw Data'!AJ159))=0),"",IF(AND(ISNUMBER('Raw Data'!AJ159), IFERROR('Raw Data'!AJ159 = ROUND('Raw Data'!AJ159, 4),FALSE)),"",_xlfn.REGEXEXTRACT(CELL("address",AJ159), "\$([A-Z]+)\$[0-9]+"))),_xlfn.REGEXEXTRACT(CELL("address",AJ159), "\$([A-Z]+)\$[0-9]+"))</f>
        <v/>
      </c>
      <c r="AK159" s="7" t="str">
        <f t="array" aca="1" ref="AK159" ca="1">IFERROR(IF(OR('Raw Data'!AK159="",LEN(TRIM('Raw Data'!AK159))=0),"",IF(AND(ISNUMBER('Raw Data'!AK159), IFERROR('Raw Data'!AK159 = ROUND('Raw Data'!AK159, 2),FALSE)),"",_xlfn.REGEXEXTRACT(CELL("address",AK159), "\$([A-Z]+)\$[0-9]+"))),_xlfn.REGEXEXTRACT(CELL("address",AK159), "\$([A-Z]+)\$[0-9]+"))</f>
        <v/>
      </c>
      <c r="AL159" s="7" t="str">
        <f t="array" aca="1" ref="AL159" ca="1">IFERROR(IF(OR('Raw Data'!AL159="",LEN(TRIM('Raw Data'!AL159))=0),"",IF(AND(ISNUMBER('Raw Data'!AL159), IFERROR('Raw Data'!AL159 = ROUND('Raw Data'!AL159, 2),FALSE)),"",_xlfn.REGEXEXTRACT(CELL("address",AL159), "\$([A-Z]+)\$[0-9]+"))),_xlfn.REGEXEXTRACT(CELL("address",AL159), "\$([A-Z]+)\$[0-9]+"))</f>
        <v/>
      </c>
      <c r="AM159" s="7" t="str">
        <f t="array" aca="1" ref="AM159" ca="1">IFERROR(IF(OR('Raw Data'!AM159="",LEN(TRIM('Raw Data'!AM159))=0),"",IF(AND(ISNUMBER('Raw Data'!AM159), IFERROR('Raw Data'!AM159 = ROUND('Raw Data'!AM159, 2),FALSE)),"",_xlfn.REGEXEXTRACT(CELL("address",AM159), "\$([A-Z]+)\$[0-9]+"))),_xlfn.REGEXEXTRACT(CELL("address",AM159), "\$([A-Z]+)\$[0-9]+"))</f>
        <v/>
      </c>
      <c r="AN159" s="7" t="str">
        <f t="array" aca="1" ref="AN159" ca="1">IFERROR(IF(OR('Raw Data'!AN159="",LEN(TRIM('Raw Data'!AN159))=0),"",IF(AND(ISNUMBER('Raw Data'!AN159), IFERROR('Raw Data'!AN159 = ROUND('Raw Data'!AN159, 2),FALSE)),"",_xlfn.REGEXEXTRACT(CELL("address",AN159), "\$([A-Z]+)\$[0-9]+"))),_xlfn.REGEXEXTRACT(CELL("address",AN159), "\$([A-Z]+)\$[0-9]+"))</f>
        <v/>
      </c>
      <c r="AO159" s="7" t="str">
        <f t="array" aca="1" ref="AO159" ca="1">IFERROR(IF(OR('Raw Data'!AO159="",LEN(TRIM('Raw Data'!AO159))=0),"",IF(AND(ISNUMBER('Raw Data'!AO159), IFERROR('Raw Data'!AO159 = ROUND('Raw Data'!AO159, 2),FALSE)),"",_xlfn.REGEXEXTRACT(CELL("address",AO159), "\$([A-Z]+)\$[0-9]+"))),_xlfn.REGEXEXTRACT(CELL("address",AO159), "\$([A-Z]+)\$[0-9]+"))</f>
        <v/>
      </c>
      <c r="AP159" s="7" t="str">
        <f t="array" aca="1" ref="AP159" ca="1">IFERROR(IF(OR('Raw Data'!AP159="",LEN(TRIM('Raw Data'!AP159))=0),"",IF(AND(ISNUMBER('Raw Data'!AP159), IFERROR('Raw Data'!AP159 = ROUND('Raw Data'!AP159, 2),FALSE)),"",_xlfn.REGEXEXTRACT(CELL("address",AP159), "\$([A-Z]+)\$[0-9]+"))),_xlfn.REGEXEXTRACT(CELL("address",AP159), "\$([A-Z]+)\$[0-9]+"))</f>
        <v/>
      </c>
    </row>
    <row r="160" spans="2:42" x14ac:dyDescent="0.25">
      <c r="B160" s="7" t="str">
        <f t="array" aca="1" ref="B160" ca="1">IFERROR(IF(OR('Raw Data'!B160="",LEN(TRIM('Raw Data'!B160))=0),"",IF(AND(LEN('Raw Data'!B160) &lt;= 255,LEN('Raw Data'!B160)&gt; 0),"",_xlfn.REGEXEXTRACT(CELL("address",'Raw Data'!B160),"\$([A-Z]+)\$[0-9]+"))),_xlfn.REGEXEXTRACT(CELL("address",'Raw Data'!B160),"\$([A-Z]+)\$[0-9]+"))</f>
        <v/>
      </c>
      <c r="C160" s="7" t="str">
        <f t="array" aca="1" ref="C160" ca="1">IFERROR(IF(OR('Raw Data'!C160="",LEN(TRIM('Raw Data'!C160))=0),"",IF(AND(LEN('Raw Data'!C160) &lt;= 50,LEN('Raw Data'!C160)&gt; 0),"",_xlfn.REGEXEXTRACT(CELL("address",'Raw Data'!C160),"\$([A-Z]+)\$[0-9]+"))),_xlfn.REGEXEXTRACT(CELL("address",'Raw Data'!C160),"\$([A-Z]+)\$[0-9]+"))</f>
        <v/>
      </c>
      <c r="D160" s="7" t="str">
        <f t="array" aca="1" ref="D160" ca="1">IFERROR(IF(OR('Raw Data'!D160="",LEN(TRIM('Raw Data'!D160))=0),"",IF(AND(LEN('Raw Data'!D160) &lt;= 500,LEN('Raw Data'!D160)&gt; 0),"",_xlfn.REGEXEXTRACT(CELL("address",'Raw Data'!D160),"\$([A-Z]+)\$[0-9]+"))),_xlfn.REGEXEXTRACT(CELL("address",'Raw Data'!D160),"\$([A-Z]+)\$[0-9]+"))</f>
        <v/>
      </c>
      <c r="E160" s="7" t="str">
        <f t="array" aca="1" ref="E160" ca="1">IFERROR(IF(OR('Raw Data'!E160="",LEN(TRIM('Raw Data'!E160))=0),"",IF(AND(LEN('Raw Data'!E160) &lt;= 50,LEN('Raw Data'!E160)&gt; 0),"",_xlfn.REGEXEXTRACT(CELL("address",'Raw Data'!E160),"\$([A-Z]+)\$[0-9]+"))),_xlfn.REGEXEXTRACT(CELL("address",'Raw Data'!E160),"\$([A-Z]+)\$[0-9]+"))</f>
        <v/>
      </c>
      <c r="F160" s="7" t="str">
        <f t="array" aca="1" ref="F160" ca="1">IFERROR(IF(OR('Raw Data'!F160="",LEN(TRIM('Raw Data'!F160))=0),"",IF(AND(LEN('Raw Data'!F160) &lt;= 50,LEN('Raw Data'!F160)&gt; 0),"",_xlfn.REGEXEXTRACT(CELL("address",'Raw Data'!F160),"\$([A-Z]+)\$[0-9]+"))),_xlfn.REGEXEXTRACT(CELL("address",'Raw Data'!F160),"\$([A-Z]+)\$[0-9]+"))</f>
        <v/>
      </c>
      <c r="G160" s="7" t="str">
        <f t="array" aca="1" ref="G160" ca="1">IFERROR(IF(OR('Raw Data'!G160="",LEN(TRIM('Raw Data'!G160))=0),"",IF(AND(LEN('Raw Data'!G160) &lt;= 50,LEN('Raw Data'!G160)&gt; 0),"",_xlfn.REGEXEXTRACT(CELL("address",'Raw Data'!G160),"\$([A-Z]+)\$[0-9]+"))),_xlfn.REGEXEXTRACT(CELL("address",'Raw Data'!G160),"\$([A-Z]+)\$[0-9]+"))</f>
        <v/>
      </c>
      <c r="H160" s="7" t="str">
        <f t="array" aca="1" ref="H160" ca="1">IFERROR(IF(OR('Raw Data'!H160="",LEN(TRIM('Raw Data'!H160))=0),"",IF(AND(LEN('Raw Data'!H160) &lt;= 50,LEN('Raw Data'!H160)&gt; 0),"",_xlfn.REGEXEXTRACT(CELL("address",'Raw Data'!H160),"\$([A-Z]+)\$[0-9]+"))),_xlfn.REGEXEXTRACT(CELL("address",'Raw Data'!H160),"\$([A-Z]+)\$[0-9]+"))</f>
        <v/>
      </c>
      <c r="I160" s="7" t="str">
        <f t="array" aca="1" ref="I160" ca="1">IFERROR(IF(OR('Raw Data'!I160="",LEN(TRIM('Raw Data'!I160))=0),"",IF(AND(LEN('Raw Data'!I160) &lt;= 50,LEN('Raw Data'!I160)&gt; 0),"",_xlfn.REGEXEXTRACT(CELL("address",'Raw Data'!I160),"\$([A-Z]+)\$[0-9]+"))),_xlfn.REGEXEXTRACT(CELL("address",'Raw Data'!I160),"\$([A-Z]+)\$[0-9]+"))</f>
        <v/>
      </c>
      <c r="J160" s="7" t="str">
        <f t="array" aca="1" ref="J160" ca="1">IFERROR(IF(OR('Raw Data'!J160="",LEN(TRIM('Raw Data'!J160))=0),"",IF(AND(ISNUMBER('Raw Data'!J160), IFERROR('Raw Data'!J160 = ROUND('Raw Data'!J160, 2),FALSE)),"",_xlfn.REGEXEXTRACT(CELL("address",J160), "\$([A-Z]+)\$[0-9]+"))),_xlfn.REGEXEXTRACT(CELL("address",J160), "\$([A-Z]+)\$[0-9]+"))</f>
        <v/>
      </c>
      <c r="K160" s="7" t="str">
        <f t="array" aca="1" ref="K160" ca="1">IFERROR(IF(OR('Raw Data'!K160="",LEN(TRIM('Raw Data'!K160))=0),"",IF(AND(ISNUMBER('Raw Data'!K160), IFERROR('Raw Data'!K160 = ROUND('Raw Data'!K160, 2),FALSE)),"",_xlfn.REGEXEXTRACT(CELL("address",K160), "\$([A-Z]+)\$[0-9]+"))),_xlfn.REGEXEXTRACT(CELL("address",K160), "\$([A-Z]+)\$[0-9]+"))</f>
        <v/>
      </c>
      <c r="L160" s="7" t="str">
        <f t="array" aca="1" ref="L160" ca="1">IFERROR(IF(OR('Raw Data'!L160="",LEN(TRIM('Raw Data'!L160))=0),"",IF(AND(ISNUMBER('Raw Data'!L160), IFERROR('Raw Data'!L160 = ROUND('Raw Data'!L160, 2),FALSE)),"",_xlfn.REGEXEXTRACT(CELL("address",L160), "\$([A-Z]+)\$[0-9]+"))),_xlfn.REGEXEXTRACT(CELL("address",L160), "\$([A-Z]+)\$[0-9]+"))</f>
        <v/>
      </c>
      <c r="M160" s="7" t="str">
        <f t="array" aca="1" ref="M160" ca="1">IFERROR(IF(OR('Raw Data'!M160="",LEN(TRIM('Raw Data'!M160))=0),"",IF(AND(ISNUMBER('Raw Data'!M160), IFERROR('Raw Data'!M160 = ROUND('Raw Data'!M160, 2),FALSE)),"",_xlfn.REGEXEXTRACT(CELL("address",M160), "\$([A-Z]+)\$[0-9]+"))),_xlfn.REGEXEXTRACT(CELL("address",M160), "\$([A-Z]+)\$[0-9]+"))</f>
        <v/>
      </c>
      <c r="N160" s="7" t="str">
        <f t="array" aca="1" ref="N160" ca="1">IFERROR(IF(OR('Raw Data'!N160="",LEN(TRIM('Raw Data'!N160))=0),"",IF(AND(ISNUMBER('Raw Data'!N160), IFERROR('Raw Data'!N160 = ROUND('Raw Data'!N160, 2),FALSE)),"",_xlfn.REGEXEXTRACT(CELL("address",N160), "\$([A-Z]+)\$[0-9]+"))),_xlfn.REGEXEXTRACT(CELL("address",N160), "\$([A-Z]+)\$[0-9]+"))</f>
        <v/>
      </c>
      <c r="O160" s="7" t="str">
        <f t="array" aca="1" ref="O160" ca="1">IFERROR(IF(OR('Raw Data'!O160="",LEN(TRIM('Raw Data'!O160))=0),"",IF(AND(ISNUMBER('Raw Data'!O160),'Raw Data'!O160&gt;=Configuration!$D$2),"",_xlfn.REGEXEXTRACT(CELL("address",'Raw Data'!O160),"\$([A-Z]+)\$[0-9]+"))),_xlfn.REGEXEXTRACT(CELL("address",O160), "\$([A-Z]+)\$[0-9]+"))</f>
        <v/>
      </c>
      <c r="P160" s="7" t="str">
        <f t="array" aca="1" ref="P160" ca="1">IFERROR(IF(OR('Raw Data'!P160="",LEN(TRIM('Raw Data'!P160))=0),"",IF(AND(ISNUMBER('Raw Data'!P160), IFERROR('Raw Data'!P160 = ROUND('Raw Data'!P160, 2),FALSE)),"",_xlfn.REGEXEXTRACT(CELL("address",P160), "\$([A-Z]+)\$[0-9]+"))),_xlfn.REGEXEXTRACT(CELL("address",P160), "\$([A-Z]+)\$[0-9]+"))</f>
        <v/>
      </c>
      <c r="Q160" s="7" t="str">
        <f t="array" aca="1" ref="Q160" ca="1">IFERROR(IF(OR('Raw Data'!Q160="",LEN(TRIM('Raw Data'!Q160))=0),"",IF(AND(ISNUMBER('Raw Data'!Q160), IFERROR('Raw Data'!Q160 = ROUND('Raw Data'!Q160, 2),FALSE)),"",_xlfn.REGEXEXTRACT(CELL("address",Q160), "\$([A-Z]+)\$[0-9]+"))),_xlfn.REGEXEXTRACT(CELL("address",Q160), "\$([A-Z]+)\$[0-9]+"))</f>
        <v/>
      </c>
      <c r="R160" s="7" t="str">
        <f t="array" aca="1" ref="R160" ca="1">IFERROR(IF(OR('Raw Data'!R160="",LEN(TRIM('Raw Data'!R160))=0),"",IF(AND(LEN('Raw Data'!R160) &lt;= 50,LEN('Raw Data'!R160)&gt; 0),"",_xlfn.REGEXEXTRACT(CELL("address",'Raw Data'!R160),"\$([A-Z]+)\$[0-9]+"))),_xlfn.REGEXEXTRACT(CELL("address",'Raw Data'!R160),"\$([A-Z]+)\$[0-9]+"))</f>
        <v/>
      </c>
      <c r="S160" s="7" t="str">
        <f t="array" aca="1" ref="S160" ca="1">IFERROR(IF(OR('Raw Data'!S160="",LEN(TRIM('Raw Data'!S160))=0),"",IF(AND(LEN('Raw Data'!S160) &lt;= 50,LEN('Raw Data'!S160)&gt; 0),"",_xlfn.REGEXEXTRACT(CELL("address",'Raw Data'!S160),"\$([A-Z]+)\$[0-9]+"))),_xlfn.REGEXEXTRACT(CELL("address",'Raw Data'!S160),"\$([A-Z]+)\$[0-9]+"))</f>
        <v/>
      </c>
      <c r="T160" s="7" t="str">
        <f t="array" aca="1" ref="T160" ca="1">IFERROR(IF(OR('Raw Data'!T160="",LEN(TRIM('Raw Data'!T160))=0),"",IF(AND(ISNUMBER('Raw Data'!T160), IFERROR('Raw Data'!T160 = ROUND('Raw Data'!T160, 2),FALSE)),"",_xlfn.REGEXEXTRACT(CELL("address",T160), "\$([A-Z]+)\$[0-9]+"))),_xlfn.REGEXEXTRACT(CELL("address",T160), "\$([A-Z]+)\$[0-9]+"))</f>
        <v/>
      </c>
      <c r="U160" s="7" t="str">
        <f t="array" aca="1" ref="U160" ca="1">IFERROR(IF(OR('Raw Data'!U160="",LEN(TRIM('Raw Data'!U160))=0),"",IF(AND(ISNUMBER('Raw Data'!U160), IFERROR('Raw Data'!U160 = ROUND('Raw Data'!U160, 2),FALSE)),"",_xlfn.REGEXEXTRACT(CELL("address",U160), "\$([A-Z]+)\$[0-9]+"))),_xlfn.REGEXEXTRACT(CELL("address",U160), "\$([A-Z]+)\$[0-9]+"))</f>
        <v/>
      </c>
      <c r="V160" s="7" t="str">
        <f t="array" aca="1" ref="V160" ca="1">IFERROR(IF(OR('Raw Data'!V160="",LEN(TRIM('Raw Data'!V160))=0),"",IF(AND(ISNUMBER('Raw Data'!V160), IFERROR('Raw Data'!V160 = ROUND('Raw Data'!V160, 2),FALSE)),"",_xlfn.REGEXEXTRACT(CELL("address",V160), "\$([A-Z]+)\$[0-9]+"))),_xlfn.REGEXEXTRACT(CELL("address",V160), "\$([A-Z]+)\$[0-9]+"))</f>
        <v/>
      </c>
      <c r="W160" s="7" t="str">
        <f t="array" aca="1" ref="W160" ca="1">IFERROR(IF(OR('Raw Data'!W160="",LEN(TRIM('Raw Data'!W160))=0),"",IF(AND(ISNUMBER('Raw Data'!W160), IFERROR('Raw Data'!W160 = ROUND('Raw Data'!W160, 2),FALSE)),"",_xlfn.REGEXEXTRACT(CELL("address",W160), "\$([A-Z]+)\$[0-9]+"))),_xlfn.REGEXEXTRACT(CELL("address",W160), "\$([A-Z]+)\$[0-9]+"))</f>
        <v/>
      </c>
      <c r="X160" s="7" t="str">
        <f t="array" aca="1" ref="X160" ca="1">IFERROR(IF(OR('Raw Data'!X160="",LEN(TRIM('Raw Data'!X160))=0),"",IF(AND(ISNUMBER('Raw Data'!X160), IFERROR('Raw Data'!X160 = ROUND('Raw Data'!X160, 2),FALSE)),"",_xlfn.REGEXEXTRACT(CELL("address",X160), "\$([A-Z]+)\$[0-9]+"))),_xlfn.REGEXEXTRACT(CELL("address",X160), "\$([A-Z]+)\$[0-9]+"))</f>
        <v/>
      </c>
      <c r="Y160" s="7" t="str">
        <f t="array" aca="1" ref="Y160" ca="1">IFERROR(IF(OR('Raw Data'!Y160="",LEN(TRIM('Raw Data'!Y160))=0),"",IF(AND(ISNUMBER('Raw Data'!Y160), IFERROR('Raw Data'!Y160 = ROUND('Raw Data'!Y160, 2),FALSE)),"",_xlfn.REGEXEXTRACT(CELL("address",Y160), "\$([A-Z]+)\$[0-9]+"))),_xlfn.REGEXEXTRACT(CELL("address",Y160), "\$([A-Z]+)\$[0-9]+"))</f>
        <v/>
      </c>
      <c r="Z160" s="7" t="str">
        <f t="array" aca="1" ref="Z160" ca="1">IFERROR(IF(OR('Raw Data'!Z160="",LEN(TRIM('Raw Data'!Z160))=0),"",IF(AND(ISNUMBER('Raw Data'!Z160), IFERROR('Raw Data'!Z160 = ROUND('Raw Data'!Z160, 2),FALSE)),"",_xlfn.REGEXEXTRACT(CELL("address",Z160), "\$([A-Z]+)\$[0-9]+"))),_xlfn.REGEXEXTRACT(CELL("address",Z160), "\$([A-Z]+)\$[0-9]+"))</f>
        <v/>
      </c>
      <c r="AA160" s="7" t="str">
        <f t="array" aca="1" ref="AA160" ca="1">IFERROR(IF(OR('Raw Data'!AA160="",LEN(TRIM('Raw Data'!AA160))=0),"",IF(AND(ISNUMBER('Raw Data'!AA160), IFERROR('Raw Data'!AA160 = ROUND('Raw Data'!AA160, 2),FALSE)),"",_xlfn.REGEXEXTRACT(CELL("address",AA160), "\$([A-Z]+)\$[0-9]+"))),_xlfn.REGEXEXTRACT(CELL("address",AA160), "\$([A-Z]+)\$[0-9]+"))</f>
        <v/>
      </c>
      <c r="AB160" s="7" t="str">
        <f t="array" aca="1" ref="AB160" ca="1">IFERROR(IF(OR('Raw Data'!AB160="",LEN(TRIM('Raw Data'!AB160))=0),"",IF(AND(ISNUMBER('Raw Data'!AB160), IFERROR('Raw Data'!AB160 = ROUND('Raw Data'!AB160, 2),FALSE)),"",_xlfn.REGEXEXTRACT(CELL("address",AB160), "\$([A-Z]+)\$[0-9]+"))),_xlfn.REGEXEXTRACT(CELL("address",AB160), "\$([A-Z]+)\$[0-9]+"))</f>
        <v/>
      </c>
      <c r="AC160" s="7" t="str">
        <f t="array" aca="1" ref="AC160" ca="1">IFERROR(IF(OR('Raw Data'!AC160="",LEN(TRIM('Raw Data'!AC160))=0),"",IF(AND(ISNUMBER('Raw Data'!AC160), IFERROR('Raw Data'!AC160 = ROUND('Raw Data'!AC160, 2),FALSE)),"",_xlfn.REGEXEXTRACT(CELL("address",AC160), "\$([A-Z]+)\$[0-9]+"))),_xlfn.REGEXEXTRACT(CELL("address",AC160), "\$([A-Z]+)\$[0-9]+"))</f>
        <v/>
      </c>
      <c r="AD160" s="7" t="str">
        <f t="array" aca="1" ref="AD160" ca="1">IFERROR(IF(OR('Raw Data'!AD160="",LEN(TRIM('Raw Data'!AD160))=0),"",IF(AND(ISNUMBER('Raw Data'!AD160), IFERROR('Raw Data'!AD160 = ROUND('Raw Data'!AD160, 2),FALSE)),"",_xlfn.REGEXEXTRACT(CELL("address",AD160), "\$([A-Z]+)\$[0-9]+"))),_xlfn.REGEXEXTRACT(CELL("address",AD160), "\$([A-Z]+)\$[0-9]+"))</f>
        <v/>
      </c>
      <c r="AE160" s="7" t="str">
        <f t="array" aca="1" ref="AE160" ca="1">IFERROR(IF(OR('Raw Data'!AE160="",LEN(TRIM('Raw Data'!AE160))=0),"",IF(AND(ISNUMBER('Raw Data'!AE160), IFERROR('Raw Data'!AE160 = ROUND('Raw Data'!AE160, 2),FALSE)),"",_xlfn.REGEXEXTRACT(CELL("address",AE160), "\$([A-Z]+)\$[0-9]+"))),_xlfn.REGEXEXTRACT(CELL("address",AE160), "\$([A-Z]+)\$[0-9]+"))</f>
        <v/>
      </c>
      <c r="AF160" s="7" t="str">
        <f t="array" aca="1" ref="AF160" ca="1">IFERROR(IF(OR('Raw Data'!AF160="",LEN(TRIM('Raw Data'!AF160))=0),"",IF(AND(ISNUMBER('Raw Data'!AF160), IFERROR('Raw Data'!AF160 = ROUND('Raw Data'!AF160, 2),FALSE)),"",_xlfn.REGEXEXTRACT(CELL("address",AF160), "\$([A-Z]+)\$[0-9]+"))),_xlfn.REGEXEXTRACT(CELL("address",AF160), "\$([A-Z]+)\$[0-9]+"))</f>
        <v/>
      </c>
      <c r="AG160" s="7" t="str">
        <f t="array" aca="1" ref="AG160" ca="1">IFERROR(IF(OR('Raw Data'!AG160="",LEN(TRIM('Raw Data'!AG160))=0),"",IF(AND(ISNUMBER('Raw Data'!AG160), IFERROR('Raw Data'!AG160 = ROUND('Raw Data'!AG160, 2),FALSE)),"",_xlfn.REGEXEXTRACT(CELL("address",AG160), "\$([A-Z]+)\$[0-9]+"))),_xlfn.REGEXEXTRACT(CELL("address",AG160), "\$([A-Z]+)\$[0-9]+"))</f>
        <v/>
      </c>
      <c r="AH160" s="7" t="str">
        <f t="array" aca="1" ref="AH160" ca="1">IFERROR(IF(OR('Raw Data'!AH160="",LEN(TRIM('Raw Data'!AH160))=0),"",IF(AND(ISNUMBER('Raw Data'!AH160), IFERROR('Raw Data'!AH160 = ROUND('Raw Data'!AH160, 2),FALSE)),"",_xlfn.REGEXEXTRACT(CELL("address",AH160), "\$([A-Z]+)\$[0-9]+"))),_xlfn.REGEXEXTRACT(CELL("address",AH160), "\$([A-Z]+)\$[0-9]+"))</f>
        <v/>
      </c>
      <c r="AI160" s="7" t="str">
        <f t="array" aca="1" ref="AI160" ca="1">IFERROR(IF(OR('Raw Data'!AI160="",LEN(TRIM('Raw Data'!AI160))=0),"",IF(AND(ISNUMBER('Raw Data'!AI160), IFERROR('Raw Data'!AI160 = ROUND('Raw Data'!AI160, 2),FALSE)),"",_xlfn.REGEXEXTRACT(CELL("address",AI160), "\$([A-Z]+)\$[0-9]+"))),_xlfn.REGEXEXTRACT(CELL("address",AI160), "\$([A-Z]+)\$[0-9]+"))</f>
        <v/>
      </c>
      <c r="AJ160" s="7" t="str">
        <f t="array" aca="1" ref="AJ160" ca="1">IFERROR(IF(OR('Raw Data'!AJ160="",LEN(TRIM('Raw Data'!AJ160))=0),"",IF(AND(ISNUMBER('Raw Data'!AJ160), IFERROR('Raw Data'!AJ160 = ROUND('Raw Data'!AJ160, 4),FALSE)),"",_xlfn.REGEXEXTRACT(CELL("address",AJ160), "\$([A-Z]+)\$[0-9]+"))),_xlfn.REGEXEXTRACT(CELL("address",AJ160), "\$([A-Z]+)\$[0-9]+"))</f>
        <v/>
      </c>
      <c r="AK160" s="7" t="str">
        <f t="array" aca="1" ref="AK160" ca="1">IFERROR(IF(OR('Raw Data'!AK160="",LEN(TRIM('Raw Data'!AK160))=0),"",IF(AND(ISNUMBER('Raw Data'!AK160), IFERROR('Raw Data'!AK160 = ROUND('Raw Data'!AK160, 2),FALSE)),"",_xlfn.REGEXEXTRACT(CELL("address",AK160), "\$([A-Z]+)\$[0-9]+"))),_xlfn.REGEXEXTRACT(CELL("address",AK160), "\$([A-Z]+)\$[0-9]+"))</f>
        <v/>
      </c>
      <c r="AL160" s="7" t="str">
        <f t="array" aca="1" ref="AL160" ca="1">IFERROR(IF(OR('Raw Data'!AL160="",LEN(TRIM('Raw Data'!AL160))=0),"",IF(AND(ISNUMBER('Raw Data'!AL160), IFERROR('Raw Data'!AL160 = ROUND('Raw Data'!AL160, 2),FALSE)),"",_xlfn.REGEXEXTRACT(CELL("address",AL160), "\$([A-Z]+)\$[0-9]+"))),_xlfn.REGEXEXTRACT(CELL("address",AL160), "\$([A-Z]+)\$[0-9]+"))</f>
        <v/>
      </c>
      <c r="AM160" s="7" t="str">
        <f t="array" aca="1" ref="AM160" ca="1">IFERROR(IF(OR('Raw Data'!AM160="",LEN(TRIM('Raw Data'!AM160))=0),"",IF(AND(ISNUMBER('Raw Data'!AM160), IFERROR('Raw Data'!AM160 = ROUND('Raw Data'!AM160, 2),FALSE)),"",_xlfn.REGEXEXTRACT(CELL("address",AM160), "\$([A-Z]+)\$[0-9]+"))),_xlfn.REGEXEXTRACT(CELL("address",AM160), "\$([A-Z]+)\$[0-9]+"))</f>
        <v/>
      </c>
      <c r="AN160" s="7" t="str">
        <f t="array" aca="1" ref="AN160" ca="1">IFERROR(IF(OR('Raw Data'!AN160="",LEN(TRIM('Raw Data'!AN160))=0),"",IF(AND(ISNUMBER('Raw Data'!AN160), IFERROR('Raw Data'!AN160 = ROUND('Raw Data'!AN160, 2),FALSE)),"",_xlfn.REGEXEXTRACT(CELL("address",AN160), "\$([A-Z]+)\$[0-9]+"))),_xlfn.REGEXEXTRACT(CELL("address",AN160), "\$([A-Z]+)\$[0-9]+"))</f>
        <v/>
      </c>
      <c r="AO160" s="7" t="str">
        <f t="array" aca="1" ref="AO160" ca="1">IFERROR(IF(OR('Raw Data'!AO160="",LEN(TRIM('Raw Data'!AO160))=0),"",IF(AND(ISNUMBER('Raw Data'!AO160), IFERROR('Raw Data'!AO160 = ROUND('Raw Data'!AO160, 2),FALSE)),"",_xlfn.REGEXEXTRACT(CELL("address",AO160), "\$([A-Z]+)\$[0-9]+"))),_xlfn.REGEXEXTRACT(CELL("address",AO160), "\$([A-Z]+)\$[0-9]+"))</f>
        <v/>
      </c>
      <c r="AP160" s="7" t="str">
        <f t="array" aca="1" ref="AP160" ca="1">IFERROR(IF(OR('Raw Data'!AP160="",LEN(TRIM('Raw Data'!AP160))=0),"",IF(AND(ISNUMBER('Raw Data'!AP160), IFERROR('Raw Data'!AP160 = ROUND('Raw Data'!AP160, 2),FALSE)),"",_xlfn.REGEXEXTRACT(CELL("address",AP160), "\$([A-Z]+)\$[0-9]+"))),_xlfn.REGEXEXTRACT(CELL("address",AP160), "\$([A-Z]+)\$[0-9]+"))</f>
        <v/>
      </c>
    </row>
    <row r="161" spans="2:42" x14ac:dyDescent="0.25">
      <c r="B161" s="7" t="str">
        <f t="array" aca="1" ref="B161" ca="1">IFERROR(IF(OR('Raw Data'!B161="",LEN(TRIM('Raw Data'!B161))=0),"",IF(AND(LEN('Raw Data'!B161) &lt;= 255,LEN('Raw Data'!B161)&gt; 0),"",_xlfn.REGEXEXTRACT(CELL("address",'Raw Data'!B161),"\$([A-Z]+)\$[0-9]+"))),_xlfn.REGEXEXTRACT(CELL("address",'Raw Data'!B161),"\$([A-Z]+)\$[0-9]+"))</f>
        <v/>
      </c>
      <c r="C161" s="7" t="str">
        <f t="array" aca="1" ref="C161" ca="1">IFERROR(IF(OR('Raw Data'!C161="",LEN(TRIM('Raw Data'!C161))=0),"",IF(AND(LEN('Raw Data'!C161) &lt;= 50,LEN('Raw Data'!C161)&gt; 0),"",_xlfn.REGEXEXTRACT(CELL("address",'Raw Data'!C161),"\$([A-Z]+)\$[0-9]+"))),_xlfn.REGEXEXTRACT(CELL("address",'Raw Data'!C161),"\$([A-Z]+)\$[0-9]+"))</f>
        <v/>
      </c>
      <c r="D161" s="7" t="str">
        <f t="array" aca="1" ref="D161" ca="1">IFERROR(IF(OR('Raw Data'!D161="",LEN(TRIM('Raw Data'!D161))=0),"",IF(AND(LEN('Raw Data'!D161) &lt;= 500,LEN('Raw Data'!D161)&gt; 0),"",_xlfn.REGEXEXTRACT(CELL("address",'Raw Data'!D161),"\$([A-Z]+)\$[0-9]+"))),_xlfn.REGEXEXTRACT(CELL("address",'Raw Data'!D161),"\$([A-Z]+)\$[0-9]+"))</f>
        <v/>
      </c>
      <c r="E161" s="7" t="str">
        <f t="array" aca="1" ref="E161" ca="1">IFERROR(IF(OR('Raw Data'!E161="",LEN(TRIM('Raw Data'!E161))=0),"",IF(AND(LEN('Raw Data'!E161) &lt;= 50,LEN('Raw Data'!E161)&gt; 0),"",_xlfn.REGEXEXTRACT(CELL("address",'Raw Data'!E161),"\$([A-Z]+)\$[0-9]+"))),_xlfn.REGEXEXTRACT(CELL("address",'Raw Data'!E161),"\$([A-Z]+)\$[0-9]+"))</f>
        <v/>
      </c>
      <c r="F161" s="7" t="str">
        <f t="array" aca="1" ref="F161" ca="1">IFERROR(IF(OR('Raw Data'!F161="",LEN(TRIM('Raw Data'!F161))=0),"",IF(AND(LEN('Raw Data'!F161) &lt;= 50,LEN('Raw Data'!F161)&gt; 0),"",_xlfn.REGEXEXTRACT(CELL("address",'Raw Data'!F161),"\$([A-Z]+)\$[0-9]+"))),_xlfn.REGEXEXTRACT(CELL("address",'Raw Data'!F161),"\$([A-Z]+)\$[0-9]+"))</f>
        <v/>
      </c>
      <c r="G161" s="7" t="str">
        <f t="array" aca="1" ref="G161" ca="1">IFERROR(IF(OR('Raw Data'!G161="",LEN(TRIM('Raw Data'!G161))=0),"",IF(AND(LEN('Raw Data'!G161) &lt;= 50,LEN('Raw Data'!G161)&gt; 0),"",_xlfn.REGEXEXTRACT(CELL("address",'Raw Data'!G161),"\$([A-Z]+)\$[0-9]+"))),_xlfn.REGEXEXTRACT(CELL("address",'Raw Data'!G161),"\$([A-Z]+)\$[0-9]+"))</f>
        <v/>
      </c>
      <c r="H161" s="7" t="str">
        <f t="array" aca="1" ref="H161" ca="1">IFERROR(IF(OR('Raw Data'!H161="",LEN(TRIM('Raw Data'!H161))=0),"",IF(AND(LEN('Raw Data'!H161) &lt;= 50,LEN('Raw Data'!H161)&gt; 0),"",_xlfn.REGEXEXTRACT(CELL("address",'Raw Data'!H161),"\$([A-Z]+)\$[0-9]+"))),_xlfn.REGEXEXTRACT(CELL("address",'Raw Data'!H161),"\$([A-Z]+)\$[0-9]+"))</f>
        <v/>
      </c>
      <c r="I161" s="7" t="str">
        <f t="array" aca="1" ref="I161" ca="1">IFERROR(IF(OR('Raw Data'!I161="",LEN(TRIM('Raw Data'!I161))=0),"",IF(AND(LEN('Raw Data'!I161) &lt;= 50,LEN('Raw Data'!I161)&gt; 0),"",_xlfn.REGEXEXTRACT(CELL("address",'Raw Data'!I161),"\$([A-Z]+)\$[0-9]+"))),_xlfn.REGEXEXTRACT(CELL("address",'Raw Data'!I161),"\$([A-Z]+)\$[0-9]+"))</f>
        <v/>
      </c>
      <c r="J161" s="7" t="str">
        <f t="array" aca="1" ref="J161" ca="1">IFERROR(IF(OR('Raw Data'!J161="",LEN(TRIM('Raw Data'!J161))=0),"",IF(AND(ISNUMBER('Raw Data'!J161), IFERROR('Raw Data'!J161 = ROUND('Raw Data'!J161, 2),FALSE)),"",_xlfn.REGEXEXTRACT(CELL("address",J161), "\$([A-Z]+)\$[0-9]+"))),_xlfn.REGEXEXTRACT(CELL("address",J161), "\$([A-Z]+)\$[0-9]+"))</f>
        <v/>
      </c>
      <c r="K161" s="7" t="str">
        <f t="array" aca="1" ref="K161" ca="1">IFERROR(IF(OR('Raw Data'!K161="",LEN(TRIM('Raw Data'!K161))=0),"",IF(AND(ISNUMBER('Raw Data'!K161), IFERROR('Raw Data'!K161 = ROUND('Raw Data'!K161, 2),FALSE)),"",_xlfn.REGEXEXTRACT(CELL("address",K161), "\$([A-Z]+)\$[0-9]+"))),_xlfn.REGEXEXTRACT(CELL("address",K161), "\$([A-Z]+)\$[0-9]+"))</f>
        <v/>
      </c>
      <c r="L161" s="7" t="str">
        <f t="array" aca="1" ref="L161" ca="1">IFERROR(IF(OR('Raw Data'!L161="",LEN(TRIM('Raw Data'!L161))=0),"",IF(AND(ISNUMBER('Raw Data'!L161), IFERROR('Raw Data'!L161 = ROUND('Raw Data'!L161, 2),FALSE)),"",_xlfn.REGEXEXTRACT(CELL("address",L161), "\$([A-Z]+)\$[0-9]+"))),_xlfn.REGEXEXTRACT(CELL("address",L161), "\$([A-Z]+)\$[0-9]+"))</f>
        <v/>
      </c>
      <c r="M161" s="7" t="str">
        <f t="array" aca="1" ref="M161" ca="1">IFERROR(IF(OR('Raw Data'!M161="",LEN(TRIM('Raw Data'!M161))=0),"",IF(AND(ISNUMBER('Raw Data'!M161), IFERROR('Raw Data'!M161 = ROUND('Raw Data'!M161, 2),FALSE)),"",_xlfn.REGEXEXTRACT(CELL("address",M161), "\$([A-Z]+)\$[0-9]+"))),_xlfn.REGEXEXTRACT(CELL("address",M161), "\$([A-Z]+)\$[0-9]+"))</f>
        <v/>
      </c>
      <c r="N161" s="7" t="str">
        <f t="array" aca="1" ref="N161" ca="1">IFERROR(IF(OR('Raw Data'!N161="",LEN(TRIM('Raw Data'!N161))=0),"",IF(AND(ISNUMBER('Raw Data'!N161), IFERROR('Raw Data'!N161 = ROUND('Raw Data'!N161, 2),FALSE)),"",_xlfn.REGEXEXTRACT(CELL("address",N161), "\$([A-Z]+)\$[0-9]+"))),_xlfn.REGEXEXTRACT(CELL("address",N161), "\$([A-Z]+)\$[0-9]+"))</f>
        <v/>
      </c>
      <c r="O161" s="7" t="str">
        <f t="array" aca="1" ref="O161" ca="1">IFERROR(IF(OR('Raw Data'!O161="",LEN(TRIM('Raw Data'!O161))=0),"",IF(AND(ISNUMBER('Raw Data'!O161),'Raw Data'!O161&gt;=Configuration!$D$2),"",_xlfn.REGEXEXTRACT(CELL("address",'Raw Data'!O161),"\$([A-Z]+)\$[0-9]+"))),_xlfn.REGEXEXTRACT(CELL("address",O161), "\$([A-Z]+)\$[0-9]+"))</f>
        <v/>
      </c>
      <c r="P161" s="7" t="str">
        <f t="array" aca="1" ref="P161" ca="1">IFERROR(IF(OR('Raw Data'!P161="",LEN(TRIM('Raw Data'!P161))=0),"",IF(AND(ISNUMBER('Raw Data'!P161), IFERROR('Raw Data'!P161 = ROUND('Raw Data'!P161, 2),FALSE)),"",_xlfn.REGEXEXTRACT(CELL("address",P161), "\$([A-Z]+)\$[0-9]+"))),_xlfn.REGEXEXTRACT(CELL("address",P161), "\$([A-Z]+)\$[0-9]+"))</f>
        <v/>
      </c>
      <c r="Q161" s="7" t="str">
        <f t="array" aca="1" ref="Q161" ca="1">IFERROR(IF(OR('Raw Data'!Q161="",LEN(TRIM('Raw Data'!Q161))=0),"",IF(AND(ISNUMBER('Raw Data'!Q161), IFERROR('Raw Data'!Q161 = ROUND('Raw Data'!Q161, 2),FALSE)),"",_xlfn.REGEXEXTRACT(CELL("address",Q161), "\$([A-Z]+)\$[0-9]+"))),_xlfn.REGEXEXTRACT(CELL("address",Q161), "\$([A-Z]+)\$[0-9]+"))</f>
        <v/>
      </c>
      <c r="R161" s="7" t="str">
        <f t="array" aca="1" ref="R161" ca="1">IFERROR(IF(OR('Raw Data'!R161="",LEN(TRIM('Raw Data'!R161))=0),"",IF(AND(LEN('Raw Data'!R161) &lt;= 50,LEN('Raw Data'!R161)&gt; 0),"",_xlfn.REGEXEXTRACT(CELL("address",'Raw Data'!R161),"\$([A-Z]+)\$[0-9]+"))),_xlfn.REGEXEXTRACT(CELL("address",'Raw Data'!R161),"\$([A-Z]+)\$[0-9]+"))</f>
        <v/>
      </c>
      <c r="S161" s="7" t="str">
        <f t="array" aca="1" ref="S161" ca="1">IFERROR(IF(OR('Raw Data'!S161="",LEN(TRIM('Raw Data'!S161))=0),"",IF(AND(LEN('Raw Data'!S161) &lt;= 50,LEN('Raw Data'!S161)&gt; 0),"",_xlfn.REGEXEXTRACT(CELL("address",'Raw Data'!S161),"\$([A-Z]+)\$[0-9]+"))),_xlfn.REGEXEXTRACT(CELL("address",'Raw Data'!S161),"\$([A-Z]+)\$[0-9]+"))</f>
        <v/>
      </c>
      <c r="T161" s="7" t="str">
        <f t="array" aca="1" ref="T161" ca="1">IFERROR(IF(OR('Raw Data'!T161="",LEN(TRIM('Raw Data'!T161))=0),"",IF(AND(ISNUMBER('Raw Data'!T161), IFERROR('Raw Data'!T161 = ROUND('Raw Data'!T161, 2),FALSE)),"",_xlfn.REGEXEXTRACT(CELL("address",T161), "\$([A-Z]+)\$[0-9]+"))),_xlfn.REGEXEXTRACT(CELL("address",T161), "\$([A-Z]+)\$[0-9]+"))</f>
        <v/>
      </c>
      <c r="U161" s="7" t="str">
        <f t="array" aca="1" ref="U161" ca="1">IFERROR(IF(OR('Raw Data'!U161="",LEN(TRIM('Raw Data'!U161))=0),"",IF(AND(ISNUMBER('Raw Data'!U161), IFERROR('Raw Data'!U161 = ROUND('Raw Data'!U161, 2),FALSE)),"",_xlfn.REGEXEXTRACT(CELL("address",U161), "\$([A-Z]+)\$[0-9]+"))),_xlfn.REGEXEXTRACT(CELL("address",U161), "\$([A-Z]+)\$[0-9]+"))</f>
        <v/>
      </c>
      <c r="V161" s="7" t="str">
        <f t="array" aca="1" ref="V161" ca="1">IFERROR(IF(OR('Raw Data'!V161="",LEN(TRIM('Raw Data'!V161))=0),"",IF(AND(ISNUMBER('Raw Data'!V161), IFERROR('Raw Data'!V161 = ROUND('Raw Data'!V161, 2),FALSE)),"",_xlfn.REGEXEXTRACT(CELL("address",V161), "\$([A-Z]+)\$[0-9]+"))),_xlfn.REGEXEXTRACT(CELL("address",V161), "\$([A-Z]+)\$[0-9]+"))</f>
        <v/>
      </c>
      <c r="W161" s="7" t="str">
        <f t="array" aca="1" ref="W161" ca="1">IFERROR(IF(OR('Raw Data'!W161="",LEN(TRIM('Raw Data'!W161))=0),"",IF(AND(ISNUMBER('Raw Data'!W161), IFERROR('Raw Data'!W161 = ROUND('Raw Data'!W161, 2),FALSE)),"",_xlfn.REGEXEXTRACT(CELL("address",W161), "\$([A-Z]+)\$[0-9]+"))),_xlfn.REGEXEXTRACT(CELL("address",W161), "\$([A-Z]+)\$[0-9]+"))</f>
        <v/>
      </c>
      <c r="X161" s="7" t="str">
        <f t="array" aca="1" ref="X161" ca="1">IFERROR(IF(OR('Raw Data'!X161="",LEN(TRIM('Raw Data'!X161))=0),"",IF(AND(ISNUMBER('Raw Data'!X161), IFERROR('Raw Data'!X161 = ROUND('Raw Data'!X161, 2),FALSE)),"",_xlfn.REGEXEXTRACT(CELL("address",X161), "\$([A-Z]+)\$[0-9]+"))),_xlfn.REGEXEXTRACT(CELL("address",X161), "\$([A-Z]+)\$[0-9]+"))</f>
        <v/>
      </c>
      <c r="Y161" s="7" t="str">
        <f t="array" aca="1" ref="Y161" ca="1">IFERROR(IF(OR('Raw Data'!Y161="",LEN(TRIM('Raw Data'!Y161))=0),"",IF(AND(ISNUMBER('Raw Data'!Y161), IFERROR('Raw Data'!Y161 = ROUND('Raw Data'!Y161, 2),FALSE)),"",_xlfn.REGEXEXTRACT(CELL("address",Y161), "\$([A-Z]+)\$[0-9]+"))),_xlfn.REGEXEXTRACT(CELL("address",Y161), "\$([A-Z]+)\$[0-9]+"))</f>
        <v/>
      </c>
      <c r="Z161" s="7" t="str">
        <f t="array" aca="1" ref="Z161" ca="1">IFERROR(IF(OR('Raw Data'!Z161="",LEN(TRIM('Raw Data'!Z161))=0),"",IF(AND(ISNUMBER('Raw Data'!Z161), IFERROR('Raw Data'!Z161 = ROUND('Raw Data'!Z161, 2),FALSE)),"",_xlfn.REGEXEXTRACT(CELL("address",Z161), "\$([A-Z]+)\$[0-9]+"))),_xlfn.REGEXEXTRACT(CELL("address",Z161), "\$([A-Z]+)\$[0-9]+"))</f>
        <v/>
      </c>
      <c r="AA161" s="7" t="str">
        <f t="array" aca="1" ref="AA161" ca="1">IFERROR(IF(OR('Raw Data'!AA161="",LEN(TRIM('Raw Data'!AA161))=0),"",IF(AND(ISNUMBER('Raw Data'!AA161), IFERROR('Raw Data'!AA161 = ROUND('Raw Data'!AA161, 2),FALSE)),"",_xlfn.REGEXEXTRACT(CELL("address",AA161), "\$([A-Z]+)\$[0-9]+"))),_xlfn.REGEXEXTRACT(CELL("address",AA161), "\$([A-Z]+)\$[0-9]+"))</f>
        <v/>
      </c>
      <c r="AB161" s="7" t="str">
        <f t="array" aca="1" ref="AB161" ca="1">IFERROR(IF(OR('Raw Data'!AB161="",LEN(TRIM('Raw Data'!AB161))=0),"",IF(AND(ISNUMBER('Raw Data'!AB161), IFERROR('Raw Data'!AB161 = ROUND('Raw Data'!AB161, 2),FALSE)),"",_xlfn.REGEXEXTRACT(CELL("address",AB161), "\$([A-Z]+)\$[0-9]+"))),_xlfn.REGEXEXTRACT(CELL("address",AB161), "\$([A-Z]+)\$[0-9]+"))</f>
        <v/>
      </c>
      <c r="AC161" s="7" t="str">
        <f t="array" aca="1" ref="AC161" ca="1">IFERROR(IF(OR('Raw Data'!AC161="",LEN(TRIM('Raw Data'!AC161))=0),"",IF(AND(ISNUMBER('Raw Data'!AC161), IFERROR('Raw Data'!AC161 = ROUND('Raw Data'!AC161, 2),FALSE)),"",_xlfn.REGEXEXTRACT(CELL("address",AC161), "\$([A-Z]+)\$[0-9]+"))),_xlfn.REGEXEXTRACT(CELL("address",AC161), "\$([A-Z]+)\$[0-9]+"))</f>
        <v/>
      </c>
      <c r="AD161" s="7" t="str">
        <f t="array" aca="1" ref="AD161" ca="1">IFERROR(IF(OR('Raw Data'!AD161="",LEN(TRIM('Raw Data'!AD161))=0),"",IF(AND(ISNUMBER('Raw Data'!AD161), IFERROR('Raw Data'!AD161 = ROUND('Raw Data'!AD161, 2),FALSE)),"",_xlfn.REGEXEXTRACT(CELL("address",AD161), "\$([A-Z]+)\$[0-9]+"))),_xlfn.REGEXEXTRACT(CELL("address",AD161), "\$([A-Z]+)\$[0-9]+"))</f>
        <v/>
      </c>
      <c r="AE161" s="7" t="str">
        <f t="array" aca="1" ref="AE161" ca="1">IFERROR(IF(OR('Raw Data'!AE161="",LEN(TRIM('Raw Data'!AE161))=0),"",IF(AND(ISNUMBER('Raw Data'!AE161), IFERROR('Raw Data'!AE161 = ROUND('Raw Data'!AE161, 2),FALSE)),"",_xlfn.REGEXEXTRACT(CELL("address",AE161), "\$([A-Z]+)\$[0-9]+"))),_xlfn.REGEXEXTRACT(CELL("address",AE161), "\$([A-Z]+)\$[0-9]+"))</f>
        <v/>
      </c>
      <c r="AF161" s="7" t="str">
        <f t="array" aca="1" ref="AF161" ca="1">IFERROR(IF(OR('Raw Data'!AF161="",LEN(TRIM('Raw Data'!AF161))=0),"",IF(AND(ISNUMBER('Raw Data'!AF161), IFERROR('Raw Data'!AF161 = ROUND('Raw Data'!AF161, 2),FALSE)),"",_xlfn.REGEXEXTRACT(CELL("address",AF161), "\$([A-Z]+)\$[0-9]+"))),_xlfn.REGEXEXTRACT(CELL("address",AF161), "\$([A-Z]+)\$[0-9]+"))</f>
        <v/>
      </c>
      <c r="AG161" s="7" t="str">
        <f t="array" aca="1" ref="AG161" ca="1">IFERROR(IF(OR('Raw Data'!AG161="",LEN(TRIM('Raw Data'!AG161))=0),"",IF(AND(ISNUMBER('Raw Data'!AG161), IFERROR('Raw Data'!AG161 = ROUND('Raw Data'!AG161, 2),FALSE)),"",_xlfn.REGEXEXTRACT(CELL("address",AG161), "\$([A-Z]+)\$[0-9]+"))),_xlfn.REGEXEXTRACT(CELL("address",AG161), "\$([A-Z]+)\$[0-9]+"))</f>
        <v/>
      </c>
      <c r="AH161" s="7" t="str">
        <f t="array" aca="1" ref="AH161" ca="1">IFERROR(IF(OR('Raw Data'!AH161="",LEN(TRIM('Raw Data'!AH161))=0),"",IF(AND(ISNUMBER('Raw Data'!AH161), IFERROR('Raw Data'!AH161 = ROUND('Raw Data'!AH161, 2),FALSE)),"",_xlfn.REGEXEXTRACT(CELL("address",AH161), "\$([A-Z]+)\$[0-9]+"))),_xlfn.REGEXEXTRACT(CELL("address",AH161), "\$([A-Z]+)\$[0-9]+"))</f>
        <v/>
      </c>
      <c r="AI161" s="7" t="str">
        <f t="array" aca="1" ref="AI161" ca="1">IFERROR(IF(OR('Raw Data'!AI161="",LEN(TRIM('Raw Data'!AI161))=0),"",IF(AND(ISNUMBER('Raw Data'!AI161), IFERROR('Raw Data'!AI161 = ROUND('Raw Data'!AI161, 2),FALSE)),"",_xlfn.REGEXEXTRACT(CELL("address",AI161), "\$([A-Z]+)\$[0-9]+"))),_xlfn.REGEXEXTRACT(CELL("address",AI161), "\$([A-Z]+)\$[0-9]+"))</f>
        <v/>
      </c>
      <c r="AJ161" s="7" t="str">
        <f t="array" aca="1" ref="AJ161" ca="1">IFERROR(IF(OR('Raw Data'!AJ161="",LEN(TRIM('Raw Data'!AJ161))=0),"",IF(AND(ISNUMBER('Raw Data'!AJ161), IFERROR('Raw Data'!AJ161 = ROUND('Raw Data'!AJ161, 4),FALSE)),"",_xlfn.REGEXEXTRACT(CELL("address",AJ161), "\$([A-Z]+)\$[0-9]+"))),_xlfn.REGEXEXTRACT(CELL("address",AJ161), "\$([A-Z]+)\$[0-9]+"))</f>
        <v/>
      </c>
      <c r="AK161" s="7" t="str">
        <f t="array" aca="1" ref="AK161" ca="1">IFERROR(IF(OR('Raw Data'!AK161="",LEN(TRIM('Raw Data'!AK161))=0),"",IF(AND(ISNUMBER('Raw Data'!AK161), IFERROR('Raw Data'!AK161 = ROUND('Raw Data'!AK161, 2),FALSE)),"",_xlfn.REGEXEXTRACT(CELL("address",AK161), "\$([A-Z]+)\$[0-9]+"))),_xlfn.REGEXEXTRACT(CELL("address",AK161), "\$([A-Z]+)\$[0-9]+"))</f>
        <v/>
      </c>
      <c r="AL161" s="7" t="str">
        <f t="array" aca="1" ref="AL161" ca="1">IFERROR(IF(OR('Raw Data'!AL161="",LEN(TRIM('Raw Data'!AL161))=0),"",IF(AND(ISNUMBER('Raw Data'!AL161), IFERROR('Raw Data'!AL161 = ROUND('Raw Data'!AL161, 2),FALSE)),"",_xlfn.REGEXEXTRACT(CELL("address",AL161), "\$([A-Z]+)\$[0-9]+"))),_xlfn.REGEXEXTRACT(CELL("address",AL161), "\$([A-Z]+)\$[0-9]+"))</f>
        <v/>
      </c>
      <c r="AM161" s="7" t="str">
        <f t="array" aca="1" ref="AM161" ca="1">IFERROR(IF(OR('Raw Data'!AM161="",LEN(TRIM('Raw Data'!AM161))=0),"",IF(AND(ISNUMBER('Raw Data'!AM161), IFERROR('Raw Data'!AM161 = ROUND('Raw Data'!AM161, 2),FALSE)),"",_xlfn.REGEXEXTRACT(CELL("address",AM161), "\$([A-Z]+)\$[0-9]+"))),_xlfn.REGEXEXTRACT(CELL("address",AM161), "\$([A-Z]+)\$[0-9]+"))</f>
        <v/>
      </c>
      <c r="AN161" s="7" t="str">
        <f t="array" aca="1" ref="AN161" ca="1">IFERROR(IF(OR('Raw Data'!AN161="",LEN(TRIM('Raw Data'!AN161))=0),"",IF(AND(ISNUMBER('Raw Data'!AN161), IFERROR('Raw Data'!AN161 = ROUND('Raw Data'!AN161, 2),FALSE)),"",_xlfn.REGEXEXTRACT(CELL("address",AN161), "\$([A-Z]+)\$[0-9]+"))),_xlfn.REGEXEXTRACT(CELL("address",AN161), "\$([A-Z]+)\$[0-9]+"))</f>
        <v/>
      </c>
      <c r="AO161" s="7" t="str">
        <f t="array" aca="1" ref="AO161" ca="1">IFERROR(IF(OR('Raw Data'!AO161="",LEN(TRIM('Raw Data'!AO161))=0),"",IF(AND(ISNUMBER('Raw Data'!AO161), IFERROR('Raw Data'!AO161 = ROUND('Raw Data'!AO161, 2),FALSE)),"",_xlfn.REGEXEXTRACT(CELL("address",AO161), "\$([A-Z]+)\$[0-9]+"))),_xlfn.REGEXEXTRACT(CELL("address",AO161), "\$([A-Z]+)\$[0-9]+"))</f>
        <v/>
      </c>
      <c r="AP161" s="7" t="str">
        <f t="array" aca="1" ref="AP161" ca="1">IFERROR(IF(OR('Raw Data'!AP161="",LEN(TRIM('Raw Data'!AP161))=0),"",IF(AND(ISNUMBER('Raw Data'!AP161), IFERROR('Raw Data'!AP161 = ROUND('Raw Data'!AP161, 2),FALSE)),"",_xlfn.REGEXEXTRACT(CELL("address",AP161), "\$([A-Z]+)\$[0-9]+"))),_xlfn.REGEXEXTRACT(CELL("address",AP161), "\$([A-Z]+)\$[0-9]+"))</f>
        <v/>
      </c>
    </row>
    <row r="162" spans="2:42" x14ac:dyDescent="0.25">
      <c r="B162" s="7" t="str">
        <f t="array" aca="1" ref="B162" ca="1">IFERROR(IF(OR('Raw Data'!B162="",LEN(TRIM('Raw Data'!B162))=0),"",IF(AND(LEN('Raw Data'!B162) &lt;= 255,LEN('Raw Data'!B162)&gt; 0),"",_xlfn.REGEXEXTRACT(CELL("address",'Raw Data'!B162),"\$([A-Z]+)\$[0-9]+"))),_xlfn.REGEXEXTRACT(CELL("address",'Raw Data'!B162),"\$([A-Z]+)\$[0-9]+"))</f>
        <v/>
      </c>
      <c r="C162" s="7" t="str">
        <f t="array" aca="1" ref="C162" ca="1">IFERROR(IF(OR('Raw Data'!C162="",LEN(TRIM('Raw Data'!C162))=0),"",IF(AND(LEN('Raw Data'!C162) &lt;= 50,LEN('Raw Data'!C162)&gt; 0),"",_xlfn.REGEXEXTRACT(CELL("address",'Raw Data'!C162),"\$([A-Z]+)\$[0-9]+"))),_xlfn.REGEXEXTRACT(CELL("address",'Raw Data'!C162),"\$([A-Z]+)\$[0-9]+"))</f>
        <v/>
      </c>
      <c r="D162" s="7" t="str">
        <f t="array" aca="1" ref="D162" ca="1">IFERROR(IF(OR('Raw Data'!D162="",LEN(TRIM('Raw Data'!D162))=0),"",IF(AND(LEN('Raw Data'!D162) &lt;= 500,LEN('Raw Data'!D162)&gt; 0),"",_xlfn.REGEXEXTRACT(CELL("address",'Raw Data'!D162),"\$([A-Z]+)\$[0-9]+"))),_xlfn.REGEXEXTRACT(CELL("address",'Raw Data'!D162),"\$([A-Z]+)\$[0-9]+"))</f>
        <v/>
      </c>
      <c r="E162" s="7" t="str">
        <f t="array" aca="1" ref="E162" ca="1">IFERROR(IF(OR('Raw Data'!E162="",LEN(TRIM('Raw Data'!E162))=0),"",IF(AND(LEN('Raw Data'!E162) &lt;= 50,LEN('Raw Data'!E162)&gt; 0),"",_xlfn.REGEXEXTRACT(CELL("address",'Raw Data'!E162),"\$([A-Z]+)\$[0-9]+"))),_xlfn.REGEXEXTRACT(CELL("address",'Raw Data'!E162),"\$([A-Z]+)\$[0-9]+"))</f>
        <v/>
      </c>
      <c r="F162" s="7" t="str">
        <f t="array" aca="1" ref="F162" ca="1">IFERROR(IF(OR('Raw Data'!F162="",LEN(TRIM('Raw Data'!F162))=0),"",IF(AND(LEN('Raw Data'!F162) &lt;= 50,LEN('Raw Data'!F162)&gt; 0),"",_xlfn.REGEXEXTRACT(CELL("address",'Raw Data'!F162),"\$([A-Z]+)\$[0-9]+"))),_xlfn.REGEXEXTRACT(CELL("address",'Raw Data'!F162),"\$([A-Z]+)\$[0-9]+"))</f>
        <v/>
      </c>
      <c r="G162" s="7" t="str">
        <f t="array" aca="1" ref="G162" ca="1">IFERROR(IF(OR('Raw Data'!G162="",LEN(TRIM('Raw Data'!G162))=0),"",IF(AND(LEN('Raw Data'!G162) &lt;= 50,LEN('Raw Data'!G162)&gt; 0),"",_xlfn.REGEXEXTRACT(CELL("address",'Raw Data'!G162),"\$([A-Z]+)\$[0-9]+"))),_xlfn.REGEXEXTRACT(CELL("address",'Raw Data'!G162),"\$([A-Z]+)\$[0-9]+"))</f>
        <v/>
      </c>
      <c r="H162" s="7" t="str">
        <f t="array" aca="1" ref="H162" ca="1">IFERROR(IF(OR('Raw Data'!H162="",LEN(TRIM('Raw Data'!H162))=0),"",IF(AND(LEN('Raw Data'!H162) &lt;= 50,LEN('Raw Data'!H162)&gt; 0),"",_xlfn.REGEXEXTRACT(CELL("address",'Raw Data'!H162),"\$([A-Z]+)\$[0-9]+"))),_xlfn.REGEXEXTRACT(CELL("address",'Raw Data'!H162),"\$([A-Z]+)\$[0-9]+"))</f>
        <v/>
      </c>
      <c r="I162" s="7" t="str">
        <f t="array" aca="1" ref="I162" ca="1">IFERROR(IF(OR('Raw Data'!I162="",LEN(TRIM('Raw Data'!I162))=0),"",IF(AND(LEN('Raw Data'!I162) &lt;= 50,LEN('Raw Data'!I162)&gt; 0),"",_xlfn.REGEXEXTRACT(CELL("address",'Raw Data'!I162),"\$([A-Z]+)\$[0-9]+"))),_xlfn.REGEXEXTRACT(CELL("address",'Raw Data'!I162),"\$([A-Z]+)\$[0-9]+"))</f>
        <v/>
      </c>
      <c r="J162" s="7" t="str">
        <f t="array" aca="1" ref="J162" ca="1">IFERROR(IF(OR('Raw Data'!J162="",LEN(TRIM('Raw Data'!J162))=0),"",IF(AND(ISNUMBER('Raw Data'!J162), IFERROR('Raw Data'!J162 = ROUND('Raw Data'!J162, 2),FALSE)),"",_xlfn.REGEXEXTRACT(CELL("address",J162), "\$([A-Z]+)\$[0-9]+"))),_xlfn.REGEXEXTRACT(CELL("address",J162), "\$([A-Z]+)\$[0-9]+"))</f>
        <v/>
      </c>
      <c r="K162" s="7" t="str">
        <f t="array" aca="1" ref="K162" ca="1">IFERROR(IF(OR('Raw Data'!K162="",LEN(TRIM('Raw Data'!K162))=0),"",IF(AND(ISNUMBER('Raw Data'!K162), IFERROR('Raw Data'!K162 = ROUND('Raw Data'!K162, 2),FALSE)),"",_xlfn.REGEXEXTRACT(CELL("address",K162), "\$([A-Z]+)\$[0-9]+"))),_xlfn.REGEXEXTRACT(CELL("address",K162), "\$([A-Z]+)\$[0-9]+"))</f>
        <v/>
      </c>
      <c r="L162" s="7" t="str">
        <f t="array" aca="1" ref="L162" ca="1">IFERROR(IF(OR('Raw Data'!L162="",LEN(TRIM('Raw Data'!L162))=0),"",IF(AND(ISNUMBER('Raw Data'!L162), IFERROR('Raw Data'!L162 = ROUND('Raw Data'!L162, 2),FALSE)),"",_xlfn.REGEXEXTRACT(CELL("address",L162), "\$([A-Z]+)\$[0-9]+"))),_xlfn.REGEXEXTRACT(CELL("address",L162), "\$([A-Z]+)\$[0-9]+"))</f>
        <v/>
      </c>
      <c r="M162" s="7" t="str">
        <f t="array" aca="1" ref="M162" ca="1">IFERROR(IF(OR('Raw Data'!M162="",LEN(TRIM('Raw Data'!M162))=0),"",IF(AND(ISNUMBER('Raw Data'!M162), IFERROR('Raw Data'!M162 = ROUND('Raw Data'!M162, 2),FALSE)),"",_xlfn.REGEXEXTRACT(CELL("address",M162), "\$([A-Z]+)\$[0-9]+"))),_xlfn.REGEXEXTRACT(CELL("address",M162), "\$([A-Z]+)\$[0-9]+"))</f>
        <v/>
      </c>
      <c r="N162" s="7" t="str">
        <f t="array" aca="1" ref="N162" ca="1">IFERROR(IF(OR('Raw Data'!N162="",LEN(TRIM('Raw Data'!N162))=0),"",IF(AND(ISNUMBER('Raw Data'!N162), IFERROR('Raw Data'!N162 = ROUND('Raw Data'!N162, 2),FALSE)),"",_xlfn.REGEXEXTRACT(CELL("address",N162), "\$([A-Z]+)\$[0-9]+"))),_xlfn.REGEXEXTRACT(CELL("address",N162), "\$([A-Z]+)\$[0-9]+"))</f>
        <v/>
      </c>
      <c r="O162" s="7" t="str">
        <f t="array" aca="1" ref="O162" ca="1">IFERROR(IF(OR('Raw Data'!O162="",LEN(TRIM('Raw Data'!O162))=0),"",IF(AND(ISNUMBER('Raw Data'!O162),'Raw Data'!O162&gt;=Configuration!$D$2),"",_xlfn.REGEXEXTRACT(CELL("address",'Raw Data'!O162),"\$([A-Z]+)\$[0-9]+"))),_xlfn.REGEXEXTRACT(CELL("address",O162), "\$([A-Z]+)\$[0-9]+"))</f>
        <v/>
      </c>
      <c r="P162" s="7" t="str">
        <f t="array" aca="1" ref="P162" ca="1">IFERROR(IF(OR('Raw Data'!P162="",LEN(TRIM('Raw Data'!P162))=0),"",IF(AND(ISNUMBER('Raw Data'!P162), IFERROR('Raw Data'!P162 = ROUND('Raw Data'!P162, 2),FALSE)),"",_xlfn.REGEXEXTRACT(CELL("address",P162), "\$([A-Z]+)\$[0-9]+"))),_xlfn.REGEXEXTRACT(CELL("address",P162), "\$([A-Z]+)\$[0-9]+"))</f>
        <v/>
      </c>
      <c r="Q162" s="7" t="str">
        <f t="array" aca="1" ref="Q162" ca="1">IFERROR(IF(OR('Raw Data'!Q162="",LEN(TRIM('Raw Data'!Q162))=0),"",IF(AND(ISNUMBER('Raw Data'!Q162), IFERROR('Raw Data'!Q162 = ROUND('Raw Data'!Q162, 2),FALSE)),"",_xlfn.REGEXEXTRACT(CELL("address",Q162), "\$([A-Z]+)\$[0-9]+"))),_xlfn.REGEXEXTRACT(CELL("address",Q162), "\$([A-Z]+)\$[0-9]+"))</f>
        <v/>
      </c>
      <c r="R162" s="7" t="str">
        <f t="array" aca="1" ref="R162" ca="1">IFERROR(IF(OR('Raw Data'!R162="",LEN(TRIM('Raw Data'!R162))=0),"",IF(AND(LEN('Raw Data'!R162) &lt;= 50,LEN('Raw Data'!R162)&gt; 0),"",_xlfn.REGEXEXTRACT(CELL("address",'Raw Data'!R162),"\$([A-Z]+)\$[0-9]+"))),_xlfn.REGEXEXTRACT(CELL("address",'Raw Data'!R162),"\$([A-Z]+)\$[0-9]+"))</f>
        <v/>
      </c>
      <c r="S162" s="7" t="str">
        <f t="array" aca="1" ref="S162" ca="1">IFERROR(IF(OR('Raw Data'!S162="",LEN(TRIM('Raw Data'!S162))=0),"",IF(AND(LEN('Raw Data'!S162) &lt;= 50,LEN('Raw Data'!S162)&gt; 0),"",_xlfn.REGEXEXTRACT(CELL("address",'Raw Data'!S162),"\$([A-Z]+)\$[0-9]+"))),_xlfn.REGEXEXTRACT(CELL("address",'Raw Data'!S162),"\$([A-Z]+)\$[0-9]+"))</f>
        <v/>
      </c>
      <c r="T162" s="7" t="str">
        <f t="array" aca="1" ref="T162" ca="1">IFERROR(IF(OR('Raw Data'!T162="",LEN(TRIM('Raw Data'!T162))=0),"",IF(AND(ISNUMBER('Raw Data'!T162), IFERROR('Raw Data'!T162 = ROUND('Raw Data'!T162, 2),FALSE)),"",_xlfn.REGEXEXTRACT(CELL("address",T162), "\$([A-Z]+)\$[0-9]+"))),_xlfn.REGEXEXTRACT(CELL("address",T162), "\$([A-Z]+)\$[0-9]+"))</f>
        <v/>
      </c>
      <c r="U162" s="7" t="str">
        <f t="array" aca="1" ref="U162" ca="1">IFERROR(IF(OR('Raw Data'!U162="",LEN(TRIM('Raw Data'!U162))=0),"",IF(AND(ISNUMBER('Raw Data'!U162), IFERROR('Raw Data'!U162 = ROUND('Raw Data'!U162, 2),FALSE)),"",_xlfn.REGEXEXTRACT(CELL("address",U162), "\$([A-Z]+)\$[0-9]+"))),_xlfn.REGEXEXTRACT(CELL("address",U162), "\$([A-Z]+)\$[0-9]+"))</f>
        <v/>
      </c>
      <c r="V162" s="7" t="str">
        <f t="array" aca="1" ref="V162" ca="1">IFERROR(IF(OR('Raw Data'!V162="",LEN(TRIM('Raw Data'!V162))=0),"",IF(AND(ISNUMBER('Raw Data'!V162), IFERROR('Raw Data'!V162 = ROUND('Raw Data'!V162, 2),FALSE)),"",_xlfn.REGEXEXTRACT(CELL("address",V162), "\$([A-Z]+)\$[0-9]+"))),_xlfn.REGEXEXTRACT(CELL("address",V162), "\$([A-Z]+)\$[0-9]+"))</f>
        <v/>
      </c>
      <c r="W162" s="7" t="str">
        <f t="array" aca="1" ref="W162" ca="1">IFERROR(IF(OR('Raw Data'!W162="",LEN(TRIM('Raw Data'!W162))=0),"",IF(AND(ISNUMBER('Raw Data'!W162), IFERROR('Raw Data'!W162 = ROUND('Raw Data'!W162, 2),FALSE)),"",_xlfn.REGEXEXTRACT(CELL("address",W162), "\$([A-Z]+)\$[0-9]+"))),_xlfn.REGEXEXTRACT(CELL("address",W162), "\$([A-Z]+)\$[0-9]+"))</f>
        <v/>
      </c>
      <c r="X162" s="7" t="str">
        <f t="array" aca="1" ref="X162" ca="1">IFERROR(IF(OR('Raw Data'!X162="",LEN(TRIM('Raw Data'!X162))=0),"",IF(AND(ISNUMBER('Raw Data'!X162), IFERROR('Raw Data'!X162 = ROUND('Raw Data'!X162, 2),FALSE)),"",_xlfn.REGEXEXTRACT(CELL("address",X162), "\$([A-Z]+)\$[0-9]+"))),_xlfn.REGEXEXTRACT(CELL("address",X162), "\$([A-Z]+)\$[0-9]+"))</f>
        <v/>
      </c>
      <c r="Y162" s="7" t="str">
        <f t="array" aca="1" ref="Y162" ca="1">IFERROR(IF(OR('Raw Data'!Y162="",LEN(TRIM('Raw Data'!Y162))=0),"",IF(AND(ISNUMBER('Raw Data'!Y162), IFERROR('Raw Data'!Y162 = ROUND('Raw Data'!Y162, 2),FALSE)),"",_xlfn.REGEXEXTRACT(CELL("address",Y162), "\$([A-Z]+)\$[0-9]+"))),_xlfn.REGEXEXTRACT(CELL("address",Y162), "\$([A-Z]+)\$[0-9]+"))</f>
        <v/>
      </c>
      <c r="Z162" s="7" t="str">
        <f t="array" aca="1" ref="Z162" ca="1">IFERROR(IF(OR('Raw Data'!Z162="",LEN(TRIM('Raw Data'!Z162))=0),"",IF(AND(ISNUMBER('Raw Data'!Z162), IFERROR('Raw Data'!Z162 = ROUND('Raw Data'!Z162, 2),FALSE)),"",_xlfn.REGEXEXTRACT(CELL("address",Z162), "\$([A-Z]+)\$[0-9]+"))),_xlfn.REGEXEXTRACT(CELL("address",Z162), "\$([A-Z]+)\$[0-9]+"))</f>
        <v/>
      </c>
      <c r="AA162" s="7" t="str">
        <f t="array" aca="1" ref="AA162" ca="1">IFERROR(IF(OR('Raw Data'!AA162="",LEN(TRIM('Raw Data'!AA162))=0),"",IF(AND(ISNUMBER('Raw Data'!AA162), IFERROR('Raw Data'!AA162 = ROUND('Raw Data'!AA162, 2),FALSE)),"",_xlfn.REGEXEXTRACT(CELL("address",AA162), "\$([A-Z]+)\$[0-9]+"))),_xlfn.REGEXEXTRACT(CELL("address",AA162), "\$([A-Z]+)\$[0-9]+"))</f>
        <v/>
      </c>
      <c r="AB162" s="7" t="str">
        <f t="array" aca="1" ref="AB162" ca="1">IFERROR(IF(OR('Raw Data'!AB162="",LEN(TRIM('Raw Data'!AB162))=0),"",IF(AND(ISNUMBER('Raw Data'!AB162), IFERROR('Raw Data'!AB162 = ROUND('Raw Data'!AB162, 2),FALSE)),"",_xlfn.REGEXEXTRACT(CELL("address",AB162), "\$([A-Z]+)\$[0-9]+"))),_xlfn.REGEXEXTRACT(CELL("address",AB162), "\$([A-Z]+)\$[0-9]+"))</f>
        <v/>
      </c>
      <c r="AC162" s="7" t="str">
        <f t="array" aca="1" ref="AC162" ca="1">IFERROR(IF(OR('Raw Data'!AC162="",LEN(TRIM('Raw Data'!AC162))=0),"",IF(AND(ISNUMBER('Raw Data'!AC162), IFERROR('Raw Data'!AC162 = ROUND('Raw Data'!AC162, 2),FALSE)),"",_xlfn.REGEXEXTRACT(CELL("address",AC162), "\$([A-Z]+)\$[0-9]+"))),_xlfn.REGEXEXTRACT(CELL("address",AC162), "\$([A-Z]+)\$[0-9]+"))</f>
        <v/>
      </c>
      <c r="AD162" s="7" t="str">
        <f t="array" aca="1" ref="AD162" ca="1">IFERROR(IF(OR('Raw Data'!AD162="",LEN(TRIM('Raw Data'!AD162))=0),"",IF(AND(ISNUMBER('Raw Data'!AD162), IFERROR('Raw Data'!AD162 = ROUND('Raw Data'!AD162, 2),FALSE)),"",_xlfn.REGEXEXTRACT(CELL("address",AD162), "\$([A-Z]+)\$[0-9]+"))),_xlfn.REGEXEXTRACT(CELL("address",AD162), "\$([A-Z]+)\$[0-9]+"))</f>
        <v/>
      </c>
      <c r="AE162" s="7" t="str">
        <f t="array" aca="1" ref="AE162" ca="1">IFERROR(IF(OR('Raw Data'!AE162="",LEN(TRIM('Raw Data'!AE162))=0),"",IF(AND(ISNUMBER('Raw Data'!AE162), IFERROR('Raw Data'!AE162 = ROUND('Raw Data'!AE162, 2),FALSE)),"",_xlfn.REGEXEXTRACT(CELL("address",AE162), "\$([A-Z]+)\$[0-9]+"))),_xlfn.REGEXEXTRACT(CELL("address",AE162), "\$([A-Z]+)\$[0-9]+"))</f>
        <v/>
      </c>
      <c r="AF162" s="7" t="str">
        <f t="array" aca="1" ref="AF162" ca="1">IFERROR(IF(OR('Raw Data'!AF162="",LEN(TRIM('Raw Data'!AF162))=0),"",IF(AND(ISNUMBER('Raw Data'!AF162), IFERROR('Raw Data'!AF162 = ROUND('Raw Data'!AF162, 2),FALSE)),"",_xlfn.REGEXEXTRACT(CELL("address",AF162), "\$([A-Z]+)\$[0-9]+"))),_xlfn.REGEXEXTRACT(CELL("address",AF162), "\$([A-Z]+)\$[0-9]+"))</f>
        <v/>
      </c>
      <c r="AG162" s="7" t="str">
        <f t="array" aca="1" ref="AG162" ca="1">IFERROR(IF(OR('Raw Data'!AG162="",LEN(TRIM('Raw Data'!AG162))=0),"",IF(AND(ISNUMBER('Raw Data'!AG162), IFERROR('Raw Data'!AG162 = ROUND('Raw Data'!AG162, 2),FALSE)),"",_xlfn.REGEXEXTRACT(CELL("address",AG162), "\$([A-Z]+)\$[0-9]+"))),_xlfn.REGEXEXTRACT(CELL("address",AG162), "\$([A-Z]+)\$[0-9]+"))</f>
        <v/>
      </c>
      <c r="AH162" s="7" t="str">
        <f t="array" aca="1" ref="AH162" ca="1">IFERROR(IF(OR('Raw Data'!AH162="",LEN(TRIM('Raw Data'!AH162))=0),"",IF(AND(ISNUMBER('Raw Data'!AH162), IFERROR('Raw Data'!AH162 = ROUND('Raw Data'!AH162, 2),FALSE)),"",_xlfn.REGEXEXTRACT(CELL("address",AH162), "\$([A-Z]+)\$[0-9]+"))),_xlfn.REGEXEXTRACT(CELL("address",AH162), "\$([A-Z]+)\$[0-9]+"))</f>
        <v/>
      </c>
      <c r="AI162" s="7" t="str">
        <f t="array" aca="1" ref="AI162" ca="1">IFERROR(IF(OR('Raw Data'!AI162="",LEN(TRIM('Raw Data'!AI162))=0),"",IF(AND(ISNUMBER('Raw Data'!AI162), IFERROR('Raw Data'!AI162 = ROUND('Raw Data'!AI162, 2),FALSE)),"",_xlfn.REGEXEXTRACT(CELL("address",AI162), "\$([A-Z]+)\$[0-9]+"))),_xlfn.REGEXEXTRACT(CELL("address",AI162), "\$([A-Z]+)\$[0-9]+"))</f>
        <v/>
      </c>
      <c r="AJ162" s="7" t="str">
        <f t="array" aca="1" ref="AJ162" ca="1">IFERROR(IF(OR('Raw Data'!AJ162="",LEN(TRIM('Raw Data'!AJ162))=0),"",IF(AND(ISNUMBER('Raw Data'!AJ162), IFERROR('Raw Data'!AJ162 = ROUND('Raw Data'!AJ162, 4),FALSE)),"",_xlfn.REGEXEXTRACT(CELL("address",AJ162), "\$([A-Z]+)\$[0-9]+"))),_xlfn.REGEXEXTRACT(CELL("address",AJ162), "\$([A-Z]+)\$[0-9]+"))</f>
        <v/>
      </c>
      <c r="AK162" s="7" t="str">
        <f t="array" aca="1" ref="AK162" ca="1">IFERROR(IF(OR('Raw Data'!AK162="",LEN(TRIM('Raw Data'!AK162))=0),"",IF(AND(ISNUMBER('Raw Data'!AK162), IFERROR('Raw Data'!AK162 = ROUND('Raw Data'!AK162, 2),FALSE)),"",_xlfn.REGEXEXTRACT(CELL("address",AK162), "\$([A-Z]+)\$[0-9]+"))),_xlfn.REGEXEXTRACT(CELL("address",AK162), "\$([A-Z]+)\$[0-9]+"))</f>
        <v/>
      </c>
      <c r="AL162" s="7" t="str">
        <f t="array" aca="1" ref="AL162" ca="1">IFERROR(IF(OR('Raw Data'!AL162="",LEN(TRIM('Raw Data'!AL162))=0),"",IF(AND(ISNUMBER('Raw Data'!AL162), IFERROR('Raw Data'!AL162 = ROUND('Raw Data'!AL162, 2),FALSE)),"",_xlfn.REGEXEXTRACT(CELL("address",AL162), "\$([A-Z]+)\$[0-9]+"))),_xlfn.REGEXEXTRACT(CELL("address",AL162), "\$([A-Z]+)\$[0-9]+"))</f>
        <v/>
      </c>
      <c r="AM162" s="7" t="str">
        <f t="array" aca="1" ref="AM162" ca="1">IFERROR(IF(OR('Raw Data'!AM162="",LEN(TRIM('Raw Data'!AM162))=0),"",IF(AND(ISNUMBER('Raw Data'!AM162), IFERROR('Raw Data'!AM162 = ROUND('Raw Data'!AM162, 2),FALSE)),"",_xlfn.REGEXEXTRACT(CELL("address",AM162), "\$([A-Z]+)\$[0-9]+"))),_xlfn.REGEXEXTRACT(CELL("address",AM162), "\$([A-Z]+)\$[0-9]+"))</f>
        <v/>
      </c>
      <c r="AN162" s="7" t="str">
        <f t="array" aca="1" ref="AN162" ca="1">IFERROR(IF(OR('Raw Data'!AN162="",LEN(TRIM('Raw Data'!AN162))=0),"",IF(AND(ISNUMBER('Raw Data'!AN162), IFERROR('Raw Data'!AN162 = ROUND('Raw Data'!AN162, 2),FALSE)),"",_xlfn.REGEXEXTRACT(CELL("address",AN162), "\$([A-Z]+)\$[0-9]+"))),_xlfn.REGEXEXTRACT(CELL("address",AN162), "\$([A-Z]+)\$[0-9]+"))</f>
        <v/>
      </c>
      <c r="AO162" s="7" t="str">
        <f t="array" aca="1" ref="AO162" ca="1">IFERROR(IF(OR('Raw Data'!AO162="",LEN(TRIM('Raw Data'!AO162))=0),"",IF(AND(ISNUMBER('Raw Data'!AO162), IFERROR('Raw Data'!AO162 = ROUND('Raw Data'!AO162, 2),FALSE)),"",_xlfn.REGEXEXTRACT(CELL("address",AO162), "\$([A-Z]+)\$[0-9]+"))),_xlfn.REGEXEXTRACT(CELL("address",AO162), "\$([A-Z]+)\$[0-9]+"))</f>
        <v/>
      </c>
      <c r="AP162" s="7" t="str">
        <f t="array" aca="1" ref="AP162" ca="1">IFERROR(IF(OR('Raw Data'!AP162="",LEN(TRIM('Raw Data'!AP162))=0),"",IF(AND(ISNUMBER('Raw Data'!AP162), IFERROR('Raw Data'!AP162 = ROUND('Raw Data'!AP162, 2),FALSE)),"",_xlfn.REGEXEXTRACT(CELL("address",AP162), "\$([A-Z]+)\$[0-9]+"))),_xlfn.REGEXEXTRACT(CELL("address",AP162), "\$([A-Z]+)\$[0-9]+"))</f>
        <v/>
      </c>
    </row>
    <row r="163" spans="2:42" x14ac:dyDescent="0.25">
      <c r="B163" s="7" t="str">
        <f t="array" aca="1" ref="B163" ca="1">IFERROR(IF(OR('Raw Data'!B163="",LEN(TRIM('Raw Data'!B163))=0),"",IF(AND(LEN('Raw Data'!B163) &lt;= 255,LEN('Raw Data'!B163)&gt; 0),"",_xlfn.REGEXEXTRACT(CELL("address",'Raw Data'!B163),"\$([A-Z]+)\$[0-9]+"))),_xlfn.REGEXEXTRACT(CELL("address",'Raw Data'!B163),"\$([A-Z]+)\$[0-9]+"))</f>
        <v/>
      </c>
      <c r="C163" s="7" t="str">
        <f t="array" aca="1" ref="C163" ca="1">IFERROR(IF(OR('Raw Data'!C163="",LEN(TRIM('Raw Data'!C163))=0),"",IF(AND(LEN('Raw Data'!C163) &lt;= 50,LEN('Raw Data'!C163)&gt; 0),"",_xlfn.REGEXEXTRACT(CELL("address",'Raw Data'!C163),"\$([A-Z]+)\$[0-9]+"))),_xlfn.REGEXEXTRACT(CELL("address",'Raw Data'!C163),"\$([A-Z]+)\$[0-9]+"))</f>
        <v/>
      </c>
      <c r="D163" s="7" t="str">
        <f t="array" aca="1" ref="D163" ca="1">IFERROR(IF(OR('Raw Data'!D163="",LEN(TRIM('Raw Data'!D163))=0),"",IF(AND(LEN('Raw Data'!D163) &lt;= 500,LEN('Raw Data'!D163)&gt; 0),"",_xlfn.REGEXEXTRACT(CELL("address",'Raw Data'!D163),"\$([A-Z]+)\$[0-9]+"))),_xlfn.REGEXEXTRACT(CELL("address",'Raw Data'!D163),"\$([A-Z]+)\$[0-9]+"))</f>
        <v/>
      </c>
      <c r="E163" s="7" t="str">
        <f t="array" aca="1" ref="E163" ca="1">IFERROR(IF(OR('Raw Data'!E163="",LEN(TRIM('Raw Data'!E163))=0),"",IF(AND(LEN('Raw Data'!E163) &lt;= 50,LEN('Raw Data'!E163)&gt; 0),"",_xlfn.REGEXEXTRACT(CELL("address",'Raw Data'!E163),"\$([A-Z]+)\$[0-9]+"))),_xlfn.REGEXEXTRACT(CELL("address",'Raw Data'!E163),"\$([A-Z]+)\$[0-9]+"))</f>
        <v/>
      </c>
      <c r="F163" s="7" t="str">
        <f t="array" aca="1" ref="F163" ca="1">IFERROR(IF(OR('Raw Data'!F163="",LEN(TRIM('Raw Data'!F163))=0),"",IF(AND(LEN('Raw Data'!F163) &lt;= 50,LEN('Raw Data'!F163)&gt; 0),"",_xlfn.REGEXEXTRACT(CELL("address",'Raw Data'!F163),"\$([A-Z]+)\$[0-9]+"))),_xlfn.REGEXEXTRACT(CELL("address",'Raw Data'!F163),"\$([A-Z]+)\$[0-9]+"))</f>
        <v/>
      </c>
      <c r="G163" s="7" t="str">
        <f t="array" aca="1" ref="G163" ca="1">IFERROR(IF(OR('Raw Data'!G163="",LEN(TRIM('Raw Data'!G163))=0),"",IF(AND(LEN('Raw Data'!G163) &lt;= 50,LEN('Raw Data'!G163)&gt; 0),"",_xlfn.REGEXEXTRACT(CELL("address",'Raw Data'!G163),"\$([A-Z]+)\$[0-9]+"))),_xlfn.REGEXEXTRACT(CELL("address",'Raw Data'!G163),"\$([A-Z]+)\$[0-9]+"))</f>
        <v/>
      </c>
      <c r="H163" s="7" t="str">
        <f t="array" aca="1" ref="H163" ca="1">IFERROR(IF(OR('Raw Data'!H163="",LEN(TRIM('Raw Data'!H163))=0),"",IF(AND(LEN('Raw Data'!H163) &lt;= 50,LEN('Raw Data'!H163)&gt; 0),"",_xlfn.REGEXEXTRACT(CELL("address",'Raw Data'!H163),"\$([A-Z]+)\$[0-9]+"))),_xlfn.REGEXEXTRACT(CELL("address",'Raw Data'!H163),"\$([A-Z]+)\$[0-9]+"))</f>
        <v/>
      </c>
      <c r="I163" s="7" t="str">
        <f t="array" aca="1" ref="I163" ca="1">IFERROR(IF(OR('Raw Data'!I163="",LEN(TRIM('Raw Data'!I163))=0),"",IF(AND(LEN('Raw Data'!I163) &lt;= 50,LEN('Raw Data'!I163)&gt; 0),"",_xlfn.REGEXEXTRACT(CELL("address",'Raw Data'!I163),"\$([A-Z]+)\$[0-9]+"))),_xlfn.REGEXEXTRACT(CELL("address",'Raw Data'!I163),"\$([A-Z]+)\$[0-9]+"))</f>
        <v/>
      </c>
      <c r="J163" s="7" t="str">
        <f t="array" aca="1" ref="J163" ca="1">IFERROR(IF(OR('Raw Data'!J163="",LEN(TRIM('Raw Data'!J163))=0),"",IF(AND(ISNUMBER('Raw Data'!J163), IFERROR('Raw Data'!J163 = ROUND('Raw Data'!J163, 2),FALSE)),"",_xlfn.REGEXEXTRACT(CELL("address",J163), "\$([A-Z]+)\$[0-9]+"))),_xlfn.REGEXEXTRACT(CELL("address",J163), "\$([A-Z]+)\$[0-9]+"))</f>
        <v/>
      </c>
      <c r="K163" s="7" t="str">
        <f t="array" aca="1" ref="K163" ca="1">IFERROR(IF(OR('Raw Data'!K163="",LEN(TRIM('Raw Data'!K163))=0),"",IF(AND(ISNUMBER('Raw Data'!K163), IFERROR('Raw Data'!K163 = ROUND('Raw Data'!K163, 2),FALSE)),"",_xlfn.REGEXEXTRACT(CELL("address",K163), "\$([A-Z]+)\$[0-9]+"))),_xlfn.REGEXEXTRACT(CELL("address",K163), "\$([A-Z]+)\$[0-9]+"))</f>
        <v/>
      </c>
      <c r="L163" s="7" t="str">
        <f t="array" aca="1" ref="L163" ca="1">IFERROR(IF(OR('Raw Data'!L163="",LEN(TRIM('Raw Data'!L163))=0),"",IF(AND(ISNUMBER('Raw Data'!L163), IFERROR('Raw Data'!L163 = ROUND('Raw Data'!L163, 2),FALSE)),"",_xlfn.REGEXEXTRACT(CELL("address",L163), "\$([A-Z]+)\$[0-9]+"))),_xlfn.REGEXEXTRACT(CELL("address",L163), "\$([A-Z]+)\$[0-9]+"))</f>
        <v/>
      </c>
      <c r="M163" s="7" t="str">
        <f t="array" aca="1" ref="M163" ca="1">IFERROR(IF(OR('Raw Data'!M163="",LEN(TRIM('Raw Data'!M163))=0),"",IF(AND(ISNUMBER('Raw Data'!M163), IFERROR('Raw Data'!M163 = ROUND('Raw Data'!M163, 2),FALSE)),"",_xlfn.REGEXEXTRACT(CELL("address",M163), "\$([A-Z]+)\$[0-9]+"))),_xlfn.REGEXEXTRACT(CELL("address",M163), "\$([A-Z]+)\$[0-9]+"))</f>
        <v/>
      </c>
      <c r="N163" s="7" t="str">
        <f t="array" aca="1" ref="N163" ca="1">IFERROR(IF(OR('Raw Data'!N163="",LEN(TRIM('Raw Data'!N163))=0),"",IF(AND(ISNUMBER('Raw Data'!N163), IFERROR('Raw Data'!N163 = ROUND('Raw Data'!N163, 2),FALSE)),"",_xlfn.REGEXEXTRACT(CELL("address",N163), "\$([A-Z]+)\$[0-9]+"))),_xlfn.REGEXEXTRACT(CELL("address",N163), "\$([A-Z]+)\$[0-9]+"))</f>
        <v/>
      </c>
      <c r="O163" s="7" t="str">
        <f t="array" aca="1" ref="O163" ca="1">IFERROR(IF(OR('Raw Data'!O163="",LEN(TRIM('Raw Data'!O163))=0),"",IF(AND(ISNUMBER('Raw Data'!O163),'Raw Data'!O163&gt;=Configuration!$D$2),"",_xlfn.REGEXEXTRACT(CELL("address",'Raw Data'!O163),"\$([A-Z]+)\$[0-9]+"))),_xlfn.REGEXEXTRACT(CELL("address",O163), "\$([A-Z]+)\$[0-9]+"))</f>
        <v/>
      </c>
      <c r="P163" s="7" t="str">
        <f t="array" aca="1" ref="P163" ca="1">IFERROR(IF(OR('Raw Data'!P163="",LEN(TRIM('Raw Data'!P163))=0),"",IF(AND(ISNUMBER('Raw Data'!P163), IFERROR('Raw Data'!P163 = ROUND('Raw Data'!P163, 2),FALSE)),"",_xlfn.REGEXEXTRACT(CELL("address",P163), "\$([A-Z]+)\$[0-9]+"))),_xlfn.REGEXEXTRACT(CELL("address",P163), "\$([A-Z]+)\$[0-9]+"))</f>
        <v/>
      </c>
      <c r="Q163" s="7" t="str">
        <f t="array" aca="1" ref="Q163" ca="1">IFERROR(IF(OR('Raw Data'!Q163="",LEN(TRIM('Raw Data'!Q163))=0),"",IF(AND(ISNUMBER('Raw Data'!Q163), IFERROR('Raw Data'!Q163 = ROUND('Raw Data'!Q163, 2),FALSE)),"",_xlfn.REGEXEXTRACT(CELL("address",Q163), "\$([A-Z]+)\$[0-9]+"))),_xlfn.REGEXEXTRACT(CELL("address",Q163), "\$([A-Z]+)\$[0-9]+"))</f>
        <v/>
      </c>
      <c r="R163" s="7" t="str">
        <f t="array" aca="1" ref="R163" ca="1">IFERROR(IF(OR('Raw Data'!R163="",LEN(TRIM('Raw Data'!R163))=0),"",IF(AND(LEN('Raw Data'!R163) &lt;= 50,LEN('Raw Data'!R163)&gt; 0),"",_xlfn.REGEXEXTRACT(CELL("address",'Raw Data'!R163),"\$([A-Z]+)\$[0-9]+"))),_xlfn.REGEXEXTRACT(CELL("address",'Raw Data'!R163),"\$([A-Z]+)\$[0-9]+"))</f>
        <v/>
      </c>
      <c r="S163" s="7" t="str">
        <f t="array" aca="1" ref="S163" ca="1">IFERROR(IF(OR('Raw Data'!S163="",LEN(TRIM('Raw Data'!S163))=0),"",IF(AND(LEN('Raw Data'!S163) &lt;= 50,LEN('Raw Data'!S163)&gt; 0),"",_xlfn.REGEXEXTRACT(CELL("address",'Raw Data'!S163),"\$([A-Z]+)\$[0-9]+"))),_xlfn.REGEXEXTRACT(CELL("address",'Raw Data'!S163),"\$([A-Z]+)\$[0-9]+"))</f>
        <v/>
      </c>
      <c r="T163" s="7" t="str">
        <f t="array" aca="1" ref="T163" ca="1">IFERROR(IF(OR('Raw Data'!T163="",LEN(TRIM('Raw Data'!T163))=0),"",IF(AND(ISNUMBER('Raw Data'!T163), IFERROR('Raw Data'!T163 = ROUND('Raw Data'!T163, 2),FALSE)),"",_xlfn.REGEXEXTRACT(CELL("address",T163), "\$([A-Z]+)\$[0-9]+"))),_xlfn.REGEXEXTRACT(CELL("address",T163), "\$([A-Z]+)\$[0-9]+"))</f>
        <v/>
      </c>
      <c r="U163" s="7" t="str">
        <f t="array" aca="1" ref="U163" ca="1">IFERROR(IF(OR('Raw Data'!U163="",LEN(TRIM('Raw Data'!U163))=0),"",IF(AND(ISNUMBER('Raw Data'!U163), IFERROR('Raw Data'!U163 = ROUND('Raw Data'!U163, 2),FALSE)),"",_xlfn.REGEXEXTRACT(CELL("address",U163), "\$([A-Z]+)\$[0-9]+"))),_xlfn.REGEXEXTRACT(CELL("address",U163), "\$([A-Z]+)\$[0-9]+"))</f>
        <v/>
      </c>
      <c r="V163" s="7" t="str">
        <f t="array" aca="1" ref="V163" ca="1">IFERROR(IF(OR('Raw Data'!V163="",LEN(TRIM('Raw Data'!V163))=0),"",IF(AND(ISNUMBER('Raw Data'!V163), IFERROR('Raw Data'!V163 = ROUND('Raw Data'!V163, 2),FALSE)),"",_xlfn.REGEXEXTRACT(CELL("address",V163), "\$([A-Z]+)\$[0-9]+"))),_xlfn.REGEXEXTRACT(CELL("address",V163), "\$([A-Z]+)\$[0-9]+"))</f>
        <v/>
      </c>
      <c r="W163" s="7" t="str">
        <f t="array" aca="1" ref="W163" ca="1">IFERROR(IF(OR('Raw Data'!W163="",LEN(TRIM('Raw Data'!W163))=0),"",IF(AND(ISNUMBER('Raw Data'!W163), IFERROR('Raw Data'!W163 = ROUND('Raw Data'!W163, 2),FALSE)),"",_xlfn.REGEXEXTRACT(CELL("address",W163), "\$([A-Z]+)\$[0-9]+"))),_xlfn.REGEXEXTRACT(CELL("address",W163), "\$([A-Z]+)\$[0-9]+"))</f>
        <v/>
      </c>
      <c r="X163" s="7" t="str">
        <f t="array" aca="1" ref="X163" ca="1">IFERROR(IF(OR('Raw Data'!X163="",LEN(TRIM('Raw Data'!X163))=0),"",IF(AND(ISNUMBER('Raw Data'!X163), IFERROR('Raw Data'!X163 = ROUND('Raw Data'!X163, 2),FALSE)),"",_xlfn.REGEXEXTRACT(CELL("address",X163), "\$([A-Z]+)\$[0-9]+"))),_xlfn.REGEXEXTRACT(CELL("address",X163), "\$([A-Z]+)\$[0-9]+"))</f>
        <v/>
      </c>
      <c r="Y163" s="7" t="str">
        <f t="array" aca="1" ref="Y163" ca="1">IFERROR(IF(OR('Raw Data'!Y163="",LEN(TRIM('Raw Data'!Y163))=0),"",IF(AND(ISNUMBER('Raw Data'!Y163), IFERROR('Raw Data'!Y163 = ROUND('Raw Data'!Y163, 2),FALSE)),"",_xlfn.REGEXEXTRACT(CELL("address",Y163), "\$([A-Z]+)\$[0-9]+"))),_xlfn.REGEXEXTRACT(CELL("address",Y163), "\$([A-Z]+)\$[0-9]+"))</f>
        <v/>
      </c>
      <c r="Z163" s="7" t="str">
        <f t="array" aca="1" ref="Z163" ca="1">IFERROR(IF(OR('Raw Data'!Z163="",LEN(TRIM('Raw Data'!Z163))=0),"",IF(AND(ISNUMBER('Raw Data'!Z163), IFERROR('Raw Data'!Z163 = ROUND('Raw Data'!Z163, 2),FALSE)),"",_xlfn.REGEXEXTRACT(CELL("address",Z163), "\$([A-Z]+)\$[0-9]+"))),_xlfn.REGEXEXTRACT(CELL("address",Z163), "\$([A-Z]+)\$[0-9]+"))</f>
        <v/>
      </c>
      <c r="AA163" s="7" t="str">
        <f t="array" aca="1" ref="AA163" ca="1">IFERROR(IF(OR('Raw Data'!AA163="",LEN(TRIM('Raw Data'!AA163))=0),"",IF(AND(ISNUMBER('Raw Data'!AA163), IFERROR('Raw Data'!AA163 = ROUND('Raw Data'!AA163, 2),FALSE)),"",_xlfn.REGEXEXTRACT(CELL("address",AA163), "\$([A-Z]+)\$[0-9]+"))),_xlfn.REGEXEXTRACT(CELL("address",AA163), "\$([A-Z]+)\$[0-9]+"))</f>
        <v/>
      </c>
      <c r="AB163" s="7" t="str">
        <f t="array" aca="1" ref="AB163" ca="1">IFERROR(IF(OR('Raw Data'!AB163="",LEN(TRIM('Raw Data'!AB163))=0),"",IF(AND(ISNUMBER('Raw Data'!AB163), IFERROR('Raw Data'!AB163 = ROUND('Raw Data'!AB163, 2),FALSE)),"",_xlfn.REGEXEXTRACT(CELL("address",AB163), "\$([A-Z]+)\$[0-9]+"))),_xlfn.REGEXEXTRACT(CELL("address",AB163), "\$([A-Z]+)\$[0-9]+"))</f>
        <v/>
      </c>
      <c r="AC163" s="7" t="str">
        <f t="array" aca="1" ref="AC163" ca="1">IFERROR(IF(OR('Raw Data'!AC163="",LEN(TRIM('Raw Data'!AC163))=0),"",IF(AND(ISNUMBER('Raw Data'!AC163), IFERROR('Raw Data'!AC163 = ROUND('Raw Data'!AC163, 2),FALSE)),"",_xlfn.REGEXEXTRACT(CELL("address",AC163), "\$([A-Z]+)\$[0-9]+"))),_xlfn.REGEXEXTRACT(CELL("address",AC163), "\$([A-Z]+)\$[0-9]+"))</f>
        <v/>
      </c>
      <c r="AD163" s="7" t="str">
        <f t="array" aca="1" ref="AD163" ca="1">IFERROR(IF(OR('Raw Data'!AD163="",LEN(TRIM('Raw Data'!AD163))=0),"",IF(AND(ISNUMBER('Raw Data'!AD163), IFERROR('Raw Data'!AD163 = ROUND('Raw Data'!AD163, 2),FALSE)),"",_xlfn.REGEXEXTRACT(CELL("address",AD163), "\$([A-Z]+)\$[0-9]+"))),_xlfn.REGEXEXTRACT(CELL("address",AD163), "\$([A-Z]+)\$[0-9]+"))</f>
        <v/>
      </c>
      <c r="AE163" s="7" t="str">
        <f t="array" aca="1" ref="AE163" ca="1">IFERROR(IF(OR('Raw Data'!AE163="",LEN(TRIM('Raw Data'!AE163))=0),"",IF(AND(ISNUMBER('Raw Data'!AE163), IFERROR('Raw Data'!AE163 = ROUND('Raw Data'!AE163, 2),FALSE)),"",_xlfn.REGEXEXTRACT(CELL("address",AE163), "\$([A-Z]+)\$[0-9]+"))),_xlfn.REGEXEXTRACT(CELL("address",AE163), "\$([A-Z]+)\$[0-9]+"))</f>
        <v/>
      </c>
      <c r="AF163" s="7" t="str">
        <f t="array" aca="1" ref="AF163" ca="1">IFERROR(IF(OR('Raw Data'!AF163="",LEN(TRIM('Raw Data'!AF163))=0),"",IF(AND(ISNUMBER('Raw Data'!AF163), IFERROR('Raw Data'!AF163 = ROUND('Raw Data'!AF163, 2),FALSE)),"",_xlfn.REGEXEXTRACT(CELL("address",AF163), "\$([A-Z]+)\$[0-9]+"))),_xlfn.REGEXEXTRACT(CELL("address",AF163), "\$([A-Z]+)\$[0-9]+"))</f>
        <v/>
      </c>
      <c r="AG163" s="7" t="str">
        <f t="array" aca="1" ref="AG163" ca="1">IFERROR(IF(OR('Raw Data'!AG163="",LEN(TRIM('Raw Data'!AG163))=0),"",IF(AND(ISNUMBER('Raw Data'!AG163), IFERROR('Raw Data'!AG163 = ROUND('Raw Data'!AG163, 2),FALSE)),"",_xlfn.REGEXEXTRACT(CELL("address",AG163), "\$([A-Z]+)\$[0-9]+"))),_xlfn.REGEXEXTRACT(CELL("address",AG163), "\$([A-Z]+)\$[0-9]+"))</f>
        <v/>
      </c>
      <c r="AH163" s="7" t="str">
        <f t="array" aca="1" ref="AH163" ca="1">IFERROR(IF(OR('Raw Data'!AH163="",LEN(TRIM('Raw Data'!AH163))=0),"",IF(AND(ISNUMBER('Raw Data'!AH163), IFERROR('Raw Data'!AH163 = ROUND('Raw Data'!AH163, 2),FALSE)),"",_xlfn.REGEXEXTRACT(CELL("address",AH163), "\$([A-Z]+)\$[0-9]+"))),_xlfn.REGEXEXTRACT(CELL("address",AH163), "\$([A-Z]+)\$[0-9]+"))</f>
        <v/>
      </c>
      <c r="AI163" s="7" t="str">
        <f t="array" aca="1" ref="AI163" ca="1">IFERROR(IF(OR('Raw Data'!AI163="",LEN(TRIM('Raw Data'!AI163))=0),"",IF(AND(ISNUMBER('Raw Data'!AI163), IFERROR('Raw Data'!AI163 = ROUND('Raw Data'!AI163, 2),FALSE)),"",_xlfn.REGEXEXTRACT(CELL("address",AI163), "\$([A-Z]+)\$[0-9]+"))),_xlfn.REGEXEXTRACT(CELL("address",AI163), "\$([A-Z]+)\$[0-9]+"))</f>
        <v/>
      </c>
      <c r="AJ163" s="7" t="str">
        <f t="array" aca="1" ref="AJ163" ca="1">IFERROR(IF(OR('Raw Data'!AJ163="",LEN(TRIM('Raw Data'!AJ163))=0),"",IF(AND(ISNUMBER('Raw Data'!AJ163), IFERROR('Raw Data'!AJ163 = ROUND('Raw Data'!AJ163, 4),FALSE)),"",_xlfn.REGEXEXTRACT(CELL("address",AJ163), "\$([A-Z]+)\$[0-9]+"))),_xlfn.REGEXEXTRACT(CELL("address",AJ163), "\$([A-Z]+)\$[0-9]+"))</f>
        <v/>
      </c>
      <c r="AK163" s="7" t="str">
        <f t="array" aca="1" ref="AK163" ca="1">IFERROR(IF(OR('Raw Data'!AK163="",LEN(TRIM('Raw Data'!AK163))=0),"",IF(AND(ISNUMBER('Raw Data'!AK163), IFERROR('Raw Data'!AK163 = ROUND('Raw Data'!AK163, 2),FALSE)),"",_xlfn.REGEXEXTRACT(CELL("address",AK163), "\$([A-Z]+)\$[0-9]+"))),_xlfn.REGEXEXTRACT(CELL("address",AK163), "\$([A-Z]+)\$[0-9]+"))</f>
        <v/>
      </c>
      <c r="AL163" s="7" t="str">
        <f t="array" aca="1" ref="AL163" ca="1">IFERROR(IF(OR('Raw Data'!AL163="",LEN(TRIM('Raw Data'!AL163))=0),"",IF(AND(ISNUMBER('Raw Data'!AL163), IFERROR('Raw Data'!AL163 = ROUND('Raw Data'!AL163, 2),FALSE)),"",_xlfn.REGEXEXTRACT(CELL("address",AL163), "\$([A-Z]+)\$[0-9]+"))),_xlfn.REGEXEXTRACT(CELL("address",AL163), "\$([A-Z]+)\$[0-9]+"))</f>
        <v/>
      </c>
      <c r="AM163" s="7" t="str">
        <f t="array" aca="1" ref="AM163" ca="1">IFERROR(IF(OR('Raw Data'!AM163="",LEN(TRIM('Raw Data'!AM163))=0),"",IF(AND(ISNUMBER('Raw Data'!AM163), IFERROR('Raw Data'!AM163 = ROUND('Raw Data'!AM163, 2),FALSE)),"",_xlfn.REGEXEXTRACT(CELL("address",AM163), "\$([A-Z]+)\$[0-9]+"))),_xlfn.REGEXEXTRACT(CELL("address",AM163), "\$([A-Z]+)\$[0-9]+"))</f>
        <v/>
      </c>
      <c r="AN163" s="7" t="str">
        <f t="array" aca="1" ref="AN163" ca="1">IFERROR(IF(OR('Raw Data'!AN163="",LEN(TRIM('Raw Data'!AN163))=0),"",IF(AND(ISNUMBER('Raw Data'!AN163), IFERROR('Raw Data'!AN163 = ROUND('Raw Data'!AN163, 2),FALSE)),"",_xlfn.REGEXEXTRACT(CELL("address",AN163), "\$([A-Z]+)\$[0-9]+"))),_xlfn.REGEXEXTRACT(CELL("address",AN163), "\$([A-Z]+)\$[0-9]+"))</f>
        <v/>
      </c>
      <c r="AO163" s="7" t="str">
        <f t="array" aca="1" ref="AO163" ca="1">IFERROR(IF(OR('Raw Data'!AO163="",LEN(TRIM('Raw Data'!AO163))=0),"",IF(AND(ISNUMBER('Raw Data'!AO163), IFERROR('Raw Data'!AO163 = ROUND('Raw Data'!AO163, 2),FALSE)),"",_xlfn.REGEXEXTRACT(CELL("address",AO163), "\$([A-Z]+)\$[0-9]+"))),_xlfn.REGEXEXTRACT(CELL("address",AO163), "\$([A-Z]+)\$[0-9]+"))</f>
        <v/>
      </c>
      <c r="AP163" s="7" t="str">
        <f t="array" aca="1" ref="AP163" ca="1">IFERROR(IF(OR('Raw Data'!AP163="",LEN(TRIM('Raw Data'!AP163))=0),"",IF(AND(ISNUMBER('Raw Data'!AP163), IFERROR('Raw Data'!AP163 = ROUND('Raw Data'!AP163, 2),FALSE)),"",_xlfn.REGEXEXTRACT(CELL("address",AP163), "\$([A-Z]+)\$[0-9]+"))),_xlfn.REGEXEXTRACT(CELL("address",AP163), "\$([A-Z]+)\$[0-9]+"))</f>
        <v/>
      </c>
    </row>
    <row r="164" spans="2:42" x14ac:dyDescent="0.25">
      <c r="B164" s="7" t="str">
        <f t="array" aca="1" ref="B164" ca="1">IFERROR(IF(OR('Raw Data'!B164="",LEN(TRIM('Raw Data'!B164))=0),"",IF(AND(LEN('Raw Data'!B164) &lt;= 255,LEN('Raw Data'!B164)&gt; 0),"",_xlfn.REGEXEXTRACT(CELL("address",'Raw Data'!B164),"\$([A-Z]+)\$[0-9]+"))),_xlfn.REGEXEXTRACT(CELL("address",'Raw Data'!B164),"\$([A-Z]+)\$[0-9]+"))</f>
        <v/>
      </c>
      <c r="C164" s="7" t="str">
        <f t="array" aca="1" ref="C164" ca="1">IFERROR(IF(OR('Raw Data'!C164="",LEN(TRIM('Raw Data'!C164))=0),"",IF(AND(LEN('Raw Data'!C164) &lt;= 50,LEN('Raw Data'!C164)&gt; 0),"",_xlfn.REGEXEXTRACT(CELL("address",'Raw Data'!C164),"\$([A-Z]+)\$[0-9]+"))),_xlfn.REGEXEXTRACT(CELL("address",'Raw Data'!C164),"\$([A-Z]+)\$[0-9]+"))</f>
        <v/>
      </c>
      <c r="D164" s="7" t="str">
        <f t="array" aca="1" ref="D164" ca="1">IFERROR(IF(OR('Raw Data'!D164="",LEN(TRIM('Raw Data'!D164))=0),"",IF(AND(LEN('Raw Data'!D164) &lt;= 500,LEN('Raw Data'!D164)&gt; 0),"",_xlfn.REGEXEXTRACT(CELL("address",'Raw Data'!D164),"\$([A-Z]+)\$[0-9]+"))),_xlfn.REGEXEXTRACT(CELL("address",'Raw Data'!D164),"\$([A-Z]+)\$[0-9]+"))</f>
        <v/>
      </c>
      <c r="E164" s="7" t="str">
        <f t="array" aca="1" ref="E164" ca="1">IFERROR(IF(OR('Raw Data'!E164="",LEN(TRIM('Raw Data'!E164))=0),"",IF(AND(LEN('Raw Data'!E164) &lt;= 50,LEN('Raw Data'!E164)&gt; 0),"",_xlfn.REGEXEXTRACT(CELL("address",'Raw Data'!E164),"\$([A-Z]+)\$[0-9]+"))),_xlfn.REGEXEXTRACT(CELL("address",'Raw Data'!E164),"\$([A-Z]+)\$[0-9]+"))</f>
        <v/>
      </c>
      <c r="F164" s="7" t="str">
        <f t="array" aca="1" ref="F164" ca="1">IFERROR(IF(OR('Raw Data'!F164="",LEN(TRIM('Raw Data'!F164))=0),"",IF(AND(LEN('Raw Data'!F164) &lt;= 50,LEN('Raw Data'!F164)&gt; 0),"",_xlfn.REGEXEXTRACT(CELL("address",'Raw Data'!F164),"\$([A-Z]+)\$[0-9]+"))),_xlfn.REGEXEXTRACT(CELL("address",'Raw Data'!F164),"\$([A-Z]+)\$[0-9]+"))</f>
        <v/>
      </c>
      <c r="G164" s="7" t="str">
        <f t="array" aca="1" ref="G164" ca="1">IFERROR(IF(OR('Raw Data'!G164="",LEN(TRIM('Raw Data'!G164))=0),"",IF(AND(LEN('Raw Data'!G164) &lt;= 50,LEN('Raw Data'!G164)&gt; 0),"",_xlfn.REGEXEXTRACT(CELL("address",'Raw Data'!G164),"\$([A-Z]+)\$[0-9]+"))),_xlfn.REGEXEXTRACT(CELL("address",'Raw Data'!G164),"\$([A-Z]+)\$[0-9]+"))</f>
        <v/>
      </c>
      <c r="H164" s="7" t="str">
        <f t="array" aca="1" ref="H164" ca="1">IFERROR(IF(OR('Raw Data'!H164="",LEN(TRIM('Raw Data'!H164))=0),"",IF(AND(LEN('Raw Data'!H164) &lt;= 50,LEN('Raw Data'!H164)&gt; 0),"",_xlfn.REGEXEXTRACT(CELL("address",'Raw Data'!H164),"\$([A-Z]+)\$[0-9]+"))),_xlfn.REGEXEXTRACT(CELL("address",'Raw Data'!H164),"\$([A-Z]+)\$[0-9]+"))</f>
        <v/>
      </c>
      <c r="I164" s="7" t="str">
        <f t="array" aca="1" ref="I164" ca="1">IFERROR(IF(OR('Raw Data'!I164="",LEN(TRIM('Raw Data'!I164))=0),"",IF(AND(LEN('Raw Data'!I164) &lt;= 50,LEN('Raw Data'!I164)&gt; 0),"",_xlfn.REGEXEXTRACT(CELL("address",'Raw Data'!I164),"\$([A-Z]+)\$[0-9]+"))),_xlfn.REGEXEXTRACT(CELL("address",'Raw Data'!I164),"\$([A-Z]+)\$[0-9]+"))</f>
        <v/>
      </c>
      <c r="J164" s="7" t="str">
        <f t="array" aca="1" ref="J164" ca="1">IFERROR(IF(OR('Raw Data'!J164="",LEN(TRIM('Raw Data'!J164))=0),"",IF(AND(ISNUMBER('Raw Data'!J164), IFERROR('Raw Data'!J164 = ROUND('Raw Data'!J164, 2),FALSE)),"",_xlfn.REGEXEXTRACT(CELL("address",J164), "\$([A-Z]+)\$[0-9]+"))),_xlfn.REGEXEXTRACT(CELL("address",J164), "\$([A-Z]+)\$[0-9]+"))</f>
        <v/>
      </c>
      <c r="K164" s="7" t="str">
        <f t="array" aca="1" ref="K164" ca="1">IFERROR(IF(OR('Raw Data'!K164="",LEN(TRIM('Raw Data'!K164))=0),"",IF(AND(ISNUMBER('Raw Data'!K164), IFERROR('Raw Data'!K164 = ROUND('Raw Data'!K164, 2),FALSE)),"",_xlfn.REGEXEXTRACT(CELL("address",K164), "\$([A-Z]+)\$[0-9]+"))),_xlfn.REGEXEXTRACT(CELL("address",K164), "\$([A-Z]+)\$[0-9]+"))</f>
        <v/>
      </c>
      <c r="L164" s="7" t="str">
        <f t="array" aca="1" ref="L164" ca="1">IFERROR(IF(OR('Raw Data'!L164="",LEN(TRIM('Raw Data'!L164))=0),"",IF(AND(ISNUMBER('Raw Data'!L164), IFERROR('Raw Data'!L164 = ROUND('Raw Data'!L164, 2),FALSE)),"",_xlfn.REGEXEXTRACT(CELL("address",L164), "\$([A-Z]+)\$[0-9]+"))),_xlfn.REGEXEXTRACT(CELL("address",L164), "\$([A-Z]+)\$[0-9]+"))</f>
        <v/>
      </c>
      <c r="M164" s="7" t="str">
        <f t="array" aca="1" ref="M164" ca="1">IFERROR(IF(OR('Raw Data'!M164="",LEN(TRIM('Raw Data'!M164))=0),"",IF(AND(ISNUMBER('Raw Data'!M164), IFERROR('Raw Data'!M164 = ROUND('Raw Data'!M164, 2),FALSE)),"",_xlfn.REGEXEXTRACT(CELL("address",M164), "\$([A-Z]+)\$[0-9]+"))),_xlfn.REGEXEXTRACT(CELL("address",M164), "\$([A-Z]+)\$[0-9]+"))</f>
        <v/>
      </c>
      <c r="N164" s="7" t="str">
        <f t="array" aca="1" ref="N164" ca="1">IFERROR(IF(OR('Raw Data'!N164="",LEN(TRIM('Raw Data'!N164))=0),"",IF(AND(ISNUMBER('Raw Data'!N164), IFERROR('Raw Data'!N164 = ROUND('Raw Data'!N164, 2),FALSE)),"",_xlfn.REGEXEXTRACT(CELL("address",N164), "\$([A-Z]+)\$[0-9]+"))),_xlfn.REGEXEXTRACT(CELL("address",N164), "\$([A-Z]+)\$[0-9]+"))</f>
        <v/>
      </c>
      <c r="O164" s="7" t="str">
        <f t="array" aca="1" ref="O164" ca="1">IFERROR(IF(OR('Raw Data'!O164="",LEN(TRIM('Raw Data'!O164))=0),"",IF(AND(ISNUMBER('Raw Data'!O164),'Raw Data'!O164&gt;=Configuration!$D$2),"",_xlfn.REGEXEXTRACT(CELL("address",'Raw Data'!O164),"\$([A-Z]+)\$[0-9]+"))),_xlfn.REGEXEXTRACT(CELL("address",O164), "\$([A-Z]+)\$[0-9]+"))</f>
        <v/>
      </c>
      <c r="P164" s="7" t="str">
        <f t="array" aca="1" ref="P164" ca="1">IFERROR(IF(OR('Raw Data'!P164="",LEN(TRIM('Raw Data'!P164))=0),"",IF(AND(ISNUMBER('Raw Data'!P164), IFERROR('Raw Data'!P164 = ROUND('Raw Data'!P164, 2),FALSE)),"",_xlfn.REGEXEXTRACT(CELL("address",P164), "\$([A-Z]+)\$[0-9]+"))),_xlfn.REGEXEXTRACT(CELL("address",P164), "\$([A-Z]+)\$[0-9]+"))</f>
        <v/>
      </c>
      <c r="Q164" s="7" t="str">
        <f t="array" aca="1" ref="Q164" ca="1">IFERROR(IF(OR('Raw Data'!Q164="",LEN(TRIM('Raw Data'!Q164))=0),"",IF(AND(ISNUMBER('Raw Data'!Q164), IFERROR('Raw Data'!Q164 = ROUND('Raw Data'!Q164, 2),FALSE)),"",_xlfn.REGEXEXTRACT(CELL("address",Q164), "\$([A-Z]+)\$[0-9]+"))),_xlfn.REGEXEXTRACT(CELL("address",Q164), "\$([A-Z]+)\$[0-9]+"))</f>
        <v/>
      </c>
      <c r="R164" s="7" t="str">
        <f t="array" aca="1" ref="R164" ca="1">IFERROR(IF(OR('Raw Data'!R164="",LEN(TRIM('Raw Data'!R164))=0),"",IF(AND(LEN('Raw Data'!R164) &lt;= 50,LEN('Raw Data'!R164)&gt; 0),"",_xlfn.REGEXEXTRACT(CELL("address",'Raw Data'!R164),"\$([A-Z]+)\$[0-9]+"))),_xlfn.REGEXEXTRACT(CELL("address",'Raw Data'!R164),"\$([A-Z]+)\$[0-9]+"))</f>
        <v/>
      </c>
      <c r="S164" s="7" t="str">
        <f t="array" aca="1" ref="S164" ca="1">IFERROR(IF(OR('Raw Data'!S164="",LEN(TRIM('Raw Data'!S164))=0),"",IF(AND(LEN('Raw Data'!S164) &lt;= 50,LEN('Raw Data'!S164)&gt; 0),"",_xlfn.REGEXEXTRACT(CELL("address",'Raw Data'!S164),"\$([A-Z]+)\$[0-9]+"))),_xlfn.REGEXEXTRACT(CELL("address",'Raw Data'!S164),"\$([A-Z]+)\$[0-9]+"))</f>
        <v/>
      </c>
      <c r="T164" s="7" t="str">
        <f t="array" aca="1" ref="T164" ca="1">IFERROR(IF(OR('Raw Data'!T164="",LEN(TRIM('Raw Data'!T164))=0),"",IF(AND(ISNUMBER('Raw Data'!T164), IFERROR('Raw Data'!T164 = ROUND('Raw Data'!T164, 2),FALSE)),"",_xlfn.REGEXEXTRACT(CELL("address",T164), "\$([A-Z]+)\$[0-9]+"))),_xlfn.REGEXEXTRACT(CELL("address",T164), "\$([A-Z]+)\$[0-9]+"))</f>
        <v/>
      </c>
      <c r="U164" s="7" t="str">
        <f t="array" aca="1" ref="U164" ca="1">IFERROR(IF(OR('Raw Data'!U164="",LEN(TRIM('Raw Data'!U164))=0),"",IF(AND(ISNUMBER('Raw Data'!U164), IFERROR('Raw Data'!U164 = ROUND('Raw Data'!U164, 2),FALSE)),"",_xlfn.REGEXEXTRACT(CELL("address",U164), "\$([A-Z]+)\$[0-9]+"))),_xlfn.REGEXEXTRACT(CELL("address",U164), "\$([A-Z]+)\$[0-9]+"))</f>
        <v/>
      </c>
      <c r="V164" s="7" t="str">
        <f t="array" aca="1" ref="V164" ca="1">IFERROR(IF(OR('Raw Data'!V164="",LEN(TRIM('Raw Data'!V164))=0),"",IF(AND(ISNUMBER('Raw Data'!V164), IFERROR('Raw Data'!V164 = ROUND('Raw Data'!V164, 2),FALSE)),"",_xlfn.REGEXEXTRACT(CELL("address",V164), "\$([A-Z]+)\$[0-9]+"))),_xlfn.REGEXEXTRACT(CELL("address",V164), "\$([A-Z]+)\$[0-9]+"))</f>
        <v/>
      </c>
      <c r="W164" s="7" t="str">
        <f t="array" aca="1" ref="W164" ca="1">IFERROR(IF(OR('Raw Data'!W164="",LEN(TRIM('Raw Data'!W164))=0),"",IF(AND(ISNUMBER('Raw Data'!W164), IFERROR('Raw Data'!W164 = ROUND('Raw Data'!W164, 2),FALSE)),"",_xlfn.REGEXEXTRACT(CELL("address",W164), "\$([A-Z]+)\$[0-9]+"))),_xlfn.REGEXEXTRACT(CELL("address",W164), "\$([A-Z]+)\$[0-9]+"))</f>
        <v/>
      </c>
      <c r="X164" s="7" t="str">
        <f t="array" aca="1" ref="X164" ca="1">IFERROR(IF(OR('Raw Data'!X164="",LEN(TRIM('Raw Data'!X164))=0),"",IF(AND(ISNUMBER('Raw Data'!X164), IFERROR('Raw Data'!X164 = ROUND('Raw Data'!X164, 2),FALSE)),"",_xlfn.REGEXEXTRACT(CELL("address",X164), "\$([A-Z]+)\$[0-9]+"))),_xlfn.REGEXEXTRACT(CELL("address",X164), "\$([A-Z]+)\$[0-9]+"))</f>
        <v/>
      </c>
      <c r="Y164" s="7" t="str">
        <f t="array" aca="1" ref="Y164" ca="1">IFERROR(IF(OR('Raw Data'!Y164="",LEN(TRIM('Raw Data'!Y164))=0),"",IF(AND(ISNUMBER('Raw Data'!Y164), IFERROR('Raw Data'!Y164 = ROUND('Raw Data'!Y164, 2),FALSE)),"",_xlfn.REGEXEXTRACT(CELL("address",Y164), "\$([A-Z]+)\$[0-9]+"))),_xlfn.REGEXEXTRACT(CELL("address",Y164), "\$([A-Z]+)\$[0-9]+"))</f>
        <v/>
      </c>
      <c r="Z164" s="7" t="str">
        <f t="array" aca="1" ref="Z164" ca="1">IFERROR(IF(OR('Raw Data'!Z164="",LEN(TRIM('Raw Data'!Z164))=0),"",IF(AND(ISNUMBER('Raw Data'!Z164), IFERROR('Raw Data'!Z164 = ROUND('Raw Data'!Z164, 2),FALSE)),"",_xlfn.REGEXEXTRACT(CELL("address",Z164), "\$([A-Z]+)\$[0-9]+"))),_xlfn.REGEXEXTRACT(CELL("address",Z164), "\$([A-Z]+)\$[0-9]+"))</f>
        <v/>
      </c>
      <c r="AA164" s="7" t="str">
        <f t="array" aca="1" ref="AA164" ca="1">IFERROR(IF(OR('Raw Data'!AA164="",LEN(TRIM('Raw Data'!AA164))=0),"",IF(AND(ISNUMBER('Raw Data'!AA164), IFERROR('Raw Data'!AA164 = ROUND('Raw Data'!AA164, 2),FALSE)),"",_xlfn.REGEXEXTRACT(CELL("address",AA164), "\$([A-Z]+)\$[0-9]+"))),_xlfn.REGEXEXTRACT(CELL("address",AA164), "\$([A-Z]+)\$[0-9]+"))</f>
        <v/>
      </c>
      <c r="AB164" s="7" t="str">
        <f t="array" aca="1" ref="AB164" ca="1">IFERROR(IF(OR('Raw Data'!AB164="",LEN(TRIM('Raw Data'!AB164))=0),"",IF(AND(ISNUMBER('Raw Data'!AB164), IFERROR('Raw Data'!AB164 = ROUND('Raw Data'!AB164, 2),FALSE)),"",_xlfn.REGEXEXTRACT(CELL("address",AB164), "\$([A-Z]+)\$[0-9]+"))),_xlfn.REGEXEXTRACT(CELL("address",AB164), "\$([A-Z]+)\$[0-9]+"))</f>
        <v/>
      </c>
      <c r="AC164" s="7" t="str">
        <f t="array" aca="1" ref="AC164" ca="1">IFERROR(IF(OR('Raw Data'!AC164="",LEN(TRIM('Raw Data'!AC164))=0),"",IF(AND(ISNUMBER('Raw Data'!AC164), IFERROR('Raw Data'!AC164 = ROUND('Raw Data'!AC164, 2),FALSE)),"",_xlfn.REGEXEXTRACT(CELL("address",AC164), "\$([A-Z]+)\$[0-9]+"))),_xlfn.REGEXEXTRACT(CELL("address",AC164), "\$([A-Z]+)\$[0-9]+"))</f>
        <v/>
      </c>
      <c r="AD164" s="7" t="str">
        <f t="array" aca="1" ref="AD164" ca="1">IFERROR(IF(OR('Raw Data'!AD164="",LEN(TRIM('Raw Data'!AD164))=0),"",IF(AND(ISNUMBER('Raw Data'!AD164), IFERROR('Raw Data'!AD164 = ROUND('Raw Data'!AD164, 2),FALSE)),"",_xlfn.REGEXEXTRACT(CELL("address",AD164), "\$([A-Z]+)\$[0-9]+"))),_xlfn.REGEXEXTRACT(CELL("address",AD164), "\$([A-Z]+)\$[0-9]+"))</f>
        <v/>
      </c>
      <c r="AE164" s="7" t="str">
        <f t="array" aca="1" ref="AE164" ca="1">IFERROR(IF(OR('Raw Data'!AE164="",LEN(TRIM('Raw Data'!AE164))=0),"",IF(AND(ISNUMBER('Raw Data'!AE164), IFERROR('Raw Data'!AE164 = ROUND('Raw Data'!AE164, 2),FALSE)),"",_xlfn.REGEXEXTRACT(CELL("address",AE164), "\$([A-Z]+)\$[0-9]+"))),_xlfn.REGEXEXTRACT(CELL("address",AE164), "\$([A-Z]+)\$[0-9]+"))</f>
        <v/>
      </c>
      <c r="AF164" s="7" t="str">
        <f t="array" aca="1" ref="AF164" ca="1">IFERROR(IF(OR('Raw Data'!AF164="",LEN(TRIM('Raw Data'!AF164))=0),"",IF(AND(ISNUMBER('Raw Data'!AF164), IFERROR('Raw Data'!AF164 = ROUND('Raw Data'!AF164, 2),FALSE)),"",_xlfn.REGEXEXTRACT(CELL("address",AF164), "\$([A-Z]+)\$[0-9]+"))),_xlfn.REGEXEXTRACT(CELL("address",AF164), "\$([A-Z]+)\$[0-9]+"))</f>
        <v/>
      </c>
      <c r="AG164" s="7" t="str">
        <f t="array" aca="1" ref="AG164" ca="1">IFERROR(IF(OR('Raw Data'!AG164="",LEN(TRIM('Raw Data'!AG164))=0),"",IF(AND(ISNUMBER('Raw Data'!AG164), IFERROR('Raw Data'!AG164 = ROUND('Raw Data'!AG164, 2),FALSE)),"",_xlfn.REGEXEXTRACT(CELL("address",AG164), "\$([A-Z]+)\$[0-9]+"))),_xlfn.REGEXEXTRACT(CELL("address",AG164), "\$([A-Z]+)\$[0-9]+"))</f>
        <v/>
      </c>
      <c r="AH164" s="7" t="str">
        <f t="array" aca="1" ref="AH164" ca="1">IFERROR(IF(OR('Raw Data'!AH164="",LEN(TRIM('Raw Data'!AH164))=0),"",IF(AND(ISNUMBER('Raw Data'!AH164), IFERROR('Raw Data'!AH164 = ROUND('Raw Data'!AH164, 2),FALSE)),"",_xlfn.REGEXEXTRACT(CELL("address",AH164), "\$([A-Z]+)\$[0-9]+"))),_xlfn.REGEXEXTRACT(CELL("address",AH164), "\$([A-Z]+)\$[0-9]+"))</f>
        <v/>
      </c>
      <c r="AI164" s="7" t="str">
        <f t="array" aca="1" ref="AI164" ca="1">IFERROR(IF(OR('Raw Data'!AI164="",LEN(TRIM('Raw Data'!AI164))=0),"",IF(AND(ISNUMBER('Raw Data'!AI164), IFERROR('Raw Data'!AI164 = ROUND('Raw Data'!AI164, 2),FALSE)),"",_xlfn.REGEXEXTRACT(CELL("address",AI164), "\$([A-Z]+)\$[0-9]+"))),_xlfn.REGEXEXTRACT(CELL("address",AI164), "\$([A-Z]+)\$[0-9]+"))</f>
        <v/>
      </c>
      <c r="AJ164" s="7" t="str">
        <f t="array" aca="1" ref="AJ164" ca="1">IFERROR(IF(OR('Raw Data'!AJ164="",LEN(TRIM('Raw Data'!AJ164))=0),"",IF(AND(ISNUMBER('Raw Data'!AJ164), IFERROR('Raw Data'!AJ164 = ROUND('Raw Data'!AJ164, 4),FALSE)),"",_xlfn.REGEXEXTRACT(CELL("address",AJ164), "\$([A-Z]+)\$[0-9]+"))),_xlfn.REGEXEXTRACT(CELL("address",AJ164), "\$([A-Z]+)\$[0-9]+"))</f>
        <v/>
      </c>
      <c r="AK164" s="7" t="str">
        <f t="array" aca="1" ref="AK164" ca="1">IFERROR(IF(OR('Raw Data'!AK164="",LEN(TRIM('Raw Data'!AK164))=0),"",IF(AND(ISNUMBER('Raw Data'!AK164), IFERROR('Raw Data'!AK164 = ROUND('Raw Data'!AK164, 2),FALSE)),"",_xlfn.REGEXEXTRACT(CELL("address",AK164), "\$([A-Z]+)\$[0-9]+"))),_xlfn.REGEXEXTRACT(CELL("address",AK164), "\$([A-Z]+)\$[0-9]+"))</f>
        <v/>
      </c>
      <c r="AL164" s="7" t="str">
        <f t="array" aca="1" ref="AL164" ca="1">IFERROR(IF(OR('Raw Data'!AL164="",LEN(TRIM('Raw Data'!AL164))=0),"",IF(AND(ISNUMBER('Raw Data'!AL164), IFERROR('Raw Data'!AL164 = ROUND('Raw Data'!AL164, 2),FALSE)),"",_xlfn.REGEXEXTRACT(CELL("address",AL164), "\$([A-Z]+)\$[0-9]+"))),_xlfn.REGEXEXTRACT(CELL("address",AL164), "\$([A-Z]+)\$[0-9]+"))</f>
        <v/>
      </c>
      <c r="AM164" s="7" t="str">
        <f t="array" aca="1" ref="AM164" ca="1">IFERROR(IF(OR('Raw Data'!AM164="",LEN(TRIM('Raw Data'!AM164))=0),"",IF(AND(ISNUMBER('Raw Data'!AM164), IFERROR('Raw Data'!AM164 = ROUND('Raw Data'!AM164, 2),FALSE)),"",_xlfn.REGEXEXTRACT(CELL("address",AM164), "\$([A-Z]+)\$[0-9]+"))),_xlfn.REGEXEXTRACT(CELL("address",AM164), "\$([A-Z]+)\$[0-9]+"))</f>
        <v/>
      </c>
      <c r="AN164" s="7" t="str">
        <f t="array" aca="1" ref="AN164" ca="1">IFERROR(IF(OR('Raw Data'!AN164="",LEN(TRIM('Raw Data'!AN164))=0),"",IF(AND(ISNUMBER('Raw Data'!AN164), IFERROR('Raw Data'!AN164 = ROUND('Raw Data'!AN164, 2),FALSE)),"",_xlfn.REGEXEXTRACT(CELL("address",AN164), "\$([A-Z]+)\$[0-9]+"))),_xlfn.REGEXEXTRACT(CELL("address",AN164), "\$([A-Z]+)\$[0-9]+"))</f>
        <v/>
      </c>
      <c r="AO164" s="7" t="str">
        <f t="array" aca="1" ref="AO164" ca="1">IFERROR(IF(OR('Raw Data'!AO164="",LEN(TRIM('Raw Data'!AO164))=0),"",IF(AND(ISNUMBER('Raw Data'!AO164), IFERROR('Raw Data'!AO164 = ROUND('Raw Data'!AO164, 2),FALSE)),"",_xlfn.REGEXEXTRACT(CELL("address",AO164), "\$([A-Z]+)\$[0-9]+"))),_xlfn.REGEXEXTRACT(CELL("address",AO164), "\$([A-Z]+)\$[0-9]+"))</f>
        <v/>
      </c>
      <c r="AP164" s="7" t="str">
        <f t="array" aca="1" ref="AP164" ca="1">IFERROR(IF(OR('Raw Data'!AP164="",LEN(TRIM('Raw Data'!AP164))=0),"",IF(AND(ISNUMBER('Raw Data'!AP164), IFERROR('Raw Data'!AP164 = ROUND('Raw Data'!AP164, 2),FALSE)),"",_xlfn.REGEXEXTRACT(CELL("address",AP164), "\$([A-Z]+)\$[0-9]+"))),_xlfn.REGEXEXTRACT(CELL("address",AP164), "\$([A-Z]+)\$[0-9]+"))</f>
        <v/>
      </c>
    </row>
    <row r="165" spans="2:42" x14ac:dyDescent="0.25">
      <c r="B165" s="7" t="str">
        <f t="array" aca="1" ref="B165" ca="1">IFERROR(IF(OR('Raw Data'!B165="",LEN(TRIM('Raw Data'!B165))=0),"",IF(AND(LEN('Raw Data'!B165) &lt;= 255,LEN('Raw Data'!B165)&gt; 0),"",_xlfn.REGEXEXTRACT(CELL("address",'Raw Data'!B165),"\$([A-Z]+)\$[0-9]+"))),_xlfn.REGEXEXTRACT(CELL("address",'Raw Data'!B165),"\$([A-Z]+)\$[0-9]+"))</f>
        <v/>
      </c>
      <c r="C165" s="7" t="str">
        <f t="array" aca="1" ref="C165" ca="1">IFERROR(IF(OR('Raw Data'!C165="",LEN(TRIM('Raw Data'!C165))=0),"",IF(AND(LEN('Raw Data'!C165) &lt;= 50,LEN('Raw Data'!C165)&gt; 0),"",_xlfn.REGEXEXTRACT(CELL("address",'Raw Data'!C165),"\$([A-Z]+)\$[0-9]+"))),_xlfn.REGEXEXTRACT(CELL("address",'Raw Data'!C165),"\$([A-Z]+)\$[0-9]+"))</f>
        <v/>
      </c>
      <c r="D165" s="7" t="str">
        <f t="array" aca="1" ref="D165" ca="1">IFERROR(IF(OR('Raw Data'!D165="",LEN(TRIM('Raw Data'!D165))=0),"",IF(AND(LEN('Raw Data'!D165) &lt;= 500,LEN('Raw Data'!D165)&gt; 0),"",_xlfn.REGEXEXTRACT(CELL("address",'Raw Data'!D165),"\$([A-Z]+)\$[0-9]+"))),_xlfn.REGEXEXTRACT(CELL("address",'Raw Data'!D165),"\$([A-Z]+)\$[0-9]+"))</f>
        <v/>
      </c>
      <c r="E165" s="7" t="str">
        <f t="array" aca="1" ref="E165" ca="1">IFERROR(IF(OR('Raw Data'!E165="",LEN(TRIM('Raw Data'!E165))=0),"",IF(AND(LEN('Raw Data'!E165) &lt;= 50,LEN('Raw Data'!E165)&gt; 0),"",_xlfn.REGEXEXTRACT(CELL("address",'Raw Data'!E165),"\$([A-Z]+)\$[0-9]+"))),_xlfn.REGEXEXTRACT(CELL("address",'Raw Data'!E165),"\$([A-Z]+)\$[0-9]+"))</f>
        <v/>
      </c>
      <c r="F165" s="7" t="str">
        <f t="array" aca="1" ref="F165" ca="1">IFERROR(IF(OR('Raw Data'!F165="",LEN(TRIM('Raw Data'!F165))=0),"",IF(AND(LEN('Raw Data'!F165) &lt;= 50,LEN('Raw Data'!F165)&gt; 0),"",_xlfn.REGEXEXTRACT(CELL("address",'Raw Data'!F165),"\$([A-Z]+)\$[0-9]+"))),_xlfn.REGEXEXTRACT(CELL("address",'Raw Data'!F165),"\$([A-Z]+)\$[0-9]+"))</f>
        <v/>
      </c>
      <c r="G165" s="7" t="str">
        <f t="array" aca="1" ref="G165" ca="1">IFERROR(IF(OR('Raw Data'!G165="",LEN(TRIM('Raw Data'!G165))=0),"",IF(AND(LEN('Raw Data'!G165) &lt;= 50,LEN('Raw Data'!G165)&gt; 0),"",_xlfn.REGEXEXTRACT(CELL("address",'Raw Data'!G165),"\$([A-Z]+)\$[0-9]+"))),_xlfn.REGEXEXTRACT(CELL("address",'Raw Data'!G165),"\$([A-Z]+)\$[0-9]+"))</f>
        <v/>
      </c>
      <c r="H165" s="7" t="str">
        <f t="array" aca="1" ref="H165" ca="1">IFERROR(IF(OR('Raw Data'!H165="",LEN(TRIM('Raw Data'!H165))=0),"",IF(AND(LEN('Raw Data'!H165) &lt;= 50,LEN('Raw Data'!H165)&gt; 0),"",_xlfn.REGEXEXTRACT(CELL("address",'Raw Data'!H165),"\$([A-Z]+)\$[0-9]+"))),_xlfn.REGEXEXTRACT(CELL("address",'Raw Data'!H165),"\$([A-Z]+)\$[0-9]+"))</f>
        <v/>
      </c>
      <c r="I165" s="7" t="str">
        <f t="array" aca="1" ref="I165" ca="1">IFERROR(IF(OR('Raw Data'!I165="",LEN(TRIM('Raw Data'!I165))=0),"",IF(AND(LEN('Raw Data'!I165) &lt;= 50,LEN('Raw Data'!I165)&gt; 0),"",_xlfn.REGEXEXTRACT(CELL("address",'Raw Data'!I165),"\$([A-Z]+)\$[0-9]+"))),_xlfn.REGEXEXTRACT(CELL("address",'Raw Data'!I165),"\$([A-Z]+)\$[0-9]+"))</f>
        <v/>
      </c>
      <c r="J165" s="7" t="str">
        <f t="array" aca="1" ref="J165" ca="1">IFERROR(IF(OR('Raw Data'!J165="",LEN(TRIM('Raw Data'!J165))=0),"",IF(AND(ISNUMBER('Raw Data'!J165), IFERROR('Raw Data'!J165 = ROUND('Raw Data'!J165, 2),FALSE)),"",_xlfn.REGEXEXTRACT(CELL("address",J165), "\$([A-Z]+)\$[0-9]+"))),_xlfn.REGEXEXTRACT(CELL("address",J165), "\$([A-Z]+)\$[0-9]+"))</f>
        <v/>
      </c>
      <c r="K165" s="7" t="str">
        <f t="array" aca="1" ref="K165" ca="1">IFERROR(IF(OR('Raw Data'!K165="",LEN(TRIM('Raw Data'!K165))=0),"",IF(AND(ISNUMBER('Raw Data'!K165), IFERROR('Raw Data'!K165 = ROUND('Raw Data'!K165, 2),FALSE)),"",_xlfn.REGEXEXTRACT(CELL("address",K165), "\$([A-Z]+)\$[0-9]+"))),_xlfn.REGEXEXTRACT(CELL("address",K165), "\$([A-Z]+)\$[0-9]+"))</f>
        <v/>
      </c>
      <c r="L165" s="7" t="str">
        <f t="array" aca="1" ref="L165" ca="1">IFERROR(IF(OR('Raw Data'!L165="",LEN(TRIM('Raw Data'!L165))=0),"",IF(AND(ISNUMBER('Raw Data'!L165), IFERROR('Raw Data'!L165 = ROUND('Raw Data'!L165, 2),FALSE)),"",_xlfn.REGEXEXTRACT(CELL("address",L165), "\$([A-Z]+)\$[0-9]+"))),_xlfn.REGEXEXTRACT(CELL("address",L165), "\$([A-Z]+)\$[0-9]+"))</f>
        <v/>
      </c>
      <c r="M165" s="7" t="str">
        <f t="array" aca="1" ref="M165" ca="1">IFERROR(IF(OR('Raw Data'!M165="",LEN(TRIM('Raw Data'!M165))=0),"",IF(AND(ISNUMBER('Raw Data'!M165), IFERROR('Raw Data'!M165 = ROUND('Raw Data'!M165, 2),FALSE)),"",_xlfn.REGEXEXTRACT(CELL("address",M165), "\$([A-Z]+)\$[0-9]+"))),_xlfn.REGEXEXTRACT(CELL("address",M165), "\$([A-Z]+)\$[0-9]+"))</f>
        <v/>
      </c>
      <c r="N165" s="7" t="str">
        <f t="array" aca="1" ref="N165" ca="1">IFERROR(IF(OR('Raw Data'!N165="",LEN(TRIM('Raw Data'!N165))=0),"",IF(AND(ISNUMBER('Raw Data'!N165), IFERROR('Raw Data'!N165 = ROUND('Raw Data'!N165, 2),FALSE)),"",_xlfn.REGEXEXTRACT(CELL("address",N165), "\$([A-Z]+)\$[0-9]+"))),_xlfn.REGEXEXTRACT(CELL("address",N165), "\$([A-Z]+)\$[0-9]+"))</f>
        <v/>
      </c>
      <c r="O165" s="7" t="str">
        <f t="array" aca="1" ref="O165" ca="1">IFERROR(IF(OR('Raw Data'!O165="",LEN(TRIM('Raw Data'!O165))=0),"",IF(AND(ISNUMBER('Raw Data'!O165),'Raw Data'!O165&gt;=Configuration!$D$2),"",_xlfn.REGEXEXTRACT(CELL("address",'Raw Data'!O165),"\$([A-Z]+)\$[0-9]+"))),_xlfn.REGEXEXTRACT(CELL("address",O165), "\$([A-Z]+)\$[0-9]+"))</f>
        <v/>
      </c>
      <c r="P165" s="7" t="str">
        <f t="array" aca="1" ref="P165" ca="1">IFERROR(IF(OR('Raw Data'!P165="",LEN(TRIM('Raw Data'!P165))=0),"",IF(AND(ISNUMBER('Raw Data'!P165), IFERROR('Raw Data'!P165 = ROUND('Raw Data'!P165, 2),FALSE)),"",_xlfn.REGEXEXTRACT(CELL("address",P165), "\$([A-Z]+)\$[0-9]+"))),_xlfn.REGEXEXTRACT(CELL("address",P165), "\$([A-Z]+)\$[0-9]+"))</f>
        <v/>
      </c>
      <c r="Q165" s="7" t="str">
        <f t="array" aca="1" ref="Q165" ca="1">IFERROR(IF(OR('Raw Data'!Q165="",LEN(TRIM('Raw Data'!Q165))=0),"",IF(AND(ISNUMBER('Raw Data'!Q165), IFERROR('Raw Data'!Q165 = ROUND('Raw Data'!Q165, 2),FALSE)),"",_xlfn.REGEXEXTRACT(CELL("address",Q165), "\$([A-Z]+)\$[0-9]+"))),_xlfn.REGEXEXTRACT(CELL("address",Q165), "\$([A-Z]+)\$[0-9]+"))</f>
        <v/>
      </c>
      <c r="R165" s="7" t="str">
        <f t="array" aca="1" ref="R165" ca="1">IFERROR(IF(OR('Raw Data'!R165="",LEN(TRIM('Raw Data'!R165))=0),"",IF(AND(LEN('Raw Data'!R165) &lt;= 50,LEN('Raw Data'!R165)&gt; 0),"",_xlfn.REGEXEXTRACT(CELL("address",'Raw Data'!R165),"\$([A-Z]+)\$[0-9]+"))),_xlfn.REGEXEXTRACT(CELL("address",'Raw Data'!R165),"\$([A-Z]+)\$[0-9]+"))</f>
        <v/>
      </c>
      <c r="S165" s="7" t="str">
        <f t="array" aca="1" ref="S165" ca="1">IFERROR(IF(OR('Raw Data'!S165="",LEN(TRIM('Raw Data'!S165))=0),"",IF(AND(LEN('Raw Data'!S165) &lt;= 50,LEN('Raw Data'!S165)&gt; 0),"",_xlfn.REGEXEXTRACT(CELL("address",'Raw Data'!S165),"\$([A-Z]+)\$[0-9]+"))),_xlfn.REGEXEXTRACT(CELL("address",'Raw Data'!S165),"\$([A-Z]+)\$[0-9]+"))</f>
        <v/>
      </c>
      <c r="T165" s="7" t="str">
        <f t="array" aca="1" ref="T165" ca="1">IFERROR(IF(OR('Raw Data'!T165="",LEN(TRIM('Raw Data'!T165))=0),"",IF(AND(ISNUMBER('Raw Data'!T165), IFERROR('Raw Data'!T165 = ROUND('Raw Data'!T165, 2),FALSE)),"",_xlfn.REGEXEXTRACT(CELL("address",T165), "\$([A-Z]+)\$[0-9]+"))),_xlfn.REGEXEXTRACT(CELL("address",T165), "\$([A-Z]+)\$[0-9]+"))</f>
        <v/>
      </c>
      <c r="U165" s="7" t="str">
        <f t="array" aca="1" ref="U165" ca="1">IFERROR(IF(OR('Raw Data'!U165="",LEN(TRIM('Raw Data'!U165))=0),"",IF(AND(ISNUMBER('Raw Data'!U165), IFERROR('Raw Data'!U165 = ROUND('Raw Data'!U165, 2),FALSE)),"",_xlfn.REGEXEXTRACT(CELL("address",U165), "\$([A-Z]+)\$[0-9]+"))),_xlfn.REGEXEXTRACT(CELL("address",U165), "\$([A-Z]+)\$[0-9]+"))</f>
        <v/>
      </c>
      <c r="V165" s="7" t="str">
        <f t="array" aca="1" ref="V165" ca="1">IFERROR(IF(OR('Raw Data'!V165="",LEN(TRIM('Raw Data'!V165))=0),"",IF(AND(ISNUMBER('Raw Data'!V165), IFERROR('Raw Data'!V165 = ROUND('Raw Data'!V165, 2),FALSE)),"",_xlfn.REGEXEXTRACT(CELL("address",V165), "\$([A-Z]+)\$[0-9]+"))),_xlfn.REGEXEXTRACT(CELL("address",V165), "\$([A-Z]+)\$[0-9]+"))</f>
        <v/>
      </c>
      <c r="W165" s="7" t="str">
        <f t="array" aca="1" ref="W165" ca="1">IFERROR(IF(OR('Raw Data'!W165="",LEN(TRIM('Raw Data'!W165))=0),"",IF(AND(ISNUMBER('Raw Data'!W165), IFERROR('Raw Data'!W165 = ROUND('Raw Data'!W165, 2),FALSE)),"",_xlfn.REGEXEXTRACT(CELL("address",W165), "\$([A-Z]+)\$[0-9]+"))),_xlfn.REGEXEXTRACT(CELL("address",W165), "\$([A-Z]+)\$[0-9]+"))</f>
        <v/>
      </c>
      <c r="X165" s="7" t="str">
        <f t="array" aca="1" ref="X165" ca="1">IFERROR(IF(OR('Raw Data'!X165="",LEN(TRIM('Raw Data'!X165))=0),"",IF(AND(ISNUMBER('Raw Data'!X165), IFERROR('Raw Data'!X165 = ROUND('Raw Data'!X165, 2),FALSE)),"",_xlfn.REGEXEXTRACT(CELL("address",X165), "\$([A-Z]+)\$[0-9]+"))),_xlfn.REGEXEXTRACT(CELL("address",X165), "\$([A-Z]+)\$[0-9]+"))</f>
        <v/>
      </c>
      <c r="Y165" s="7" t="str">
        <f t="array" aca="1" ref="Y165" ca="1">IFERROR(IF(OR('Raw Data'!Y165="",LEN(TRIM('Raw Data'!Y165))=0),"",IF(AND(ISNUMBER('Raw Data'!Y165), IFERROR('Raw Data'!Y165 = ROUND('Raw Data'!Y165, 2),FALSE)),"",_xlfn.REGEXEXTRACT(CELL("address",Y165), "\$([A-Z]+)\$[0-9]+"))),_xlfn.REGEXEXTRACT(CELL("address",Y165), "\$([A-Z]+)\$[0-9]+"))</f>
        <v/>
      </c>
      <c r="Z165" s="7" t="str">
        <f t="array" aca="1" ref="Z165" ca="1">IFERROR(IF(OR('Raw Data'!Z165="",LEN(TRIM('Raw Data'!Z165))=0),"",IF(AND(ISNUMBER('Raw Data'!Z165), IFERROR('Raw Data'!Z165 = ROUND('Raw Data'!Z165, 2),FALSE)),"",_xlfn.REGEXEXTRACT(CELL("address",Z165), "\$([A-Z]+)\$[0-9]+"))),_xlfn.REGEXEXTRACT(CELL("address",Z165), "\$([A-Z]+)\$[0-9]+"))</f>
        <v/>
      </c>
      <c r="AA165" s="7" t="str">
        <f t="array" aca="1" ref="AA165" ca="1">IFERROR(IF(OR('Raw Data'!AA165="",LEN(TRIM('Raw Data'!AA165))=0),"",IF(AND(ISNUMBER('Raw Data'!AA165), IFERROR('Raw Data'!AA165 = ROUND('Raw Data'!AA165, 2),FALSE)),"",_xlfn.REGEXEXTRACT(CELL("address",AA165), "\$([A-Z]+)\$[0-9]+"))),_xlfn.REGEXEXTRACT(CELL("address",AA165), "\$([A-Z]+)\$[0-9]+"))</f>
        <v/>
      </c>
      <c r="AB165" s="7" t="str">
        <f t="array" aca="1" ref="AB165" ca="1">IFERROR(IF(OR('Raw Data'!AB165="",LEN(TRIM('Raw Data'!AB165))=0),"",IF(AND(ISNUMBER('Raw Data'!AB165), IFERROR('Raw Data'!AB165 = ROUND('Raw Data'!AB165, 2),FALSE)),"",_xlfn.REGEXEXTRACT(CELL("address",AB165), "\$([A-Z]+)\$[0-9]+"))),_xlfn.REGEXEXTRACT(CELL("address",AB165), "\$([A-Z]+)\$[0-9]+"))</f>
        <v/>
      </c>
      <c r="AC165" s="7" t="str">
        <f t="array" aca="1" ref="AC165" ca="1">IFERROR(IF(OR('Raw Data'!AC165="",LEN(TRIM('Raw Data'!AC165))=0),"",IF(AND(ISNUMBER('Raw Data'!AC165), IFERROR('Raw Data'!AC165 = ROUND('Raw Data'!AC165, 2),FALSE)),"",_xlfn.REGEXEXTRACT(CELL("address",AC165), "\$([A-Z]+)\$[0-9]+"))),_xlfn.REGEXEXTRACT(CELL("address",AC165), "\$([A-Z]+)\$[0-9]+"))</f>
        <v/>
      </c>
      <c r="AD165" s="7" t="str">
        <f t="array" aca="1" ref="AD165" ca="1">IFERROR(IF(OR('Raw Data'!AD165="",LEN(TRIM('Raw Data'!AD165))=0),"",IF(AND(ISNUMBER('Raw Data'!AD165), IFERROR('Raw Data'!AD165 = ROUND('Raw Data'!AD165, 2),FALSE)),"",_xlfn.REGEXEXTRACT(CELL("address",AD165), "\$([A-Z]+)\$[0-9]+"))),_xlfn.REGEXEXTRACT(CELL("address",AD165), "\$([A-Z]+)\$[0-9]+"))</f>
        <v/>
      </c>
      <c r="AE165" s="7" t="str">
        <f t="array" aca="1" ref="AE165" ca="1">IFERROR(IF(OR('Raw Data'!AE165="",LEN(TRIM('Raw Data'!AE165))=0),"",IF(AND(ISNUMBER('Raw Data'!AE165), IFERROR('Raw Data'!AE165 = ROUND('Raw Data'!AE165, 2),FALSE)),"",_xlfn.REGEXEXTRACT(CELL("address",AE165), "\$([A-Z]+)\$[0-9]+"))),_xlfn.REGEXEXTRACT(CELL("address",AE165), "\$([A-Z]+)\$[0-9]+"))</f>
        <v/>
      </c>
      <c r="AF165" s="7" t="str">
        <f t="array" aca="1" ref="AF165" ca="1">IFERROR(IF(OR('Raw Data'!AF165="",LEN(TRIM('Raw Data'!AF165))=0),"",IF(AND(ISNUMBER('Raw Data'!AF165), IFERROR('Raw Data'!AF165 = ROUND('Raw Data'!AF165, 2),FALSE)),"",_xlfn.REGEXEXTRACT(CELL("address",AF165), "\$([A-Z]+)\$[0-9]+"))),_xlfn.REGEXEXTRACT(CELL("address",AF165), "\$([A-Z]+)\$[0-9]+"))</f>
        <v/>
      </c>
      <c r="AG165" s="7" t="str">
        <f t="array" aca="1" ref="AG165" ca="1">IFERROR(IF(OR('Raw Data'!AG165="",LEN(TRIM('Raw Data'!AG165))=0),"",IF(AND(ISNUMBER('Raw Data'!AG165), IFERROR('Raw Data'!AG165 = ROUND('Raw Data'!AG165, 2),FALSE)),"",_xlfn.REGEXEXTRACT(CELL("address",AG165), "\$([A-Z]+)\$[0-9]+"))),_xlfn.REGEXEXTRACT(CELL("address",AG165), "\$([A-Z]+)\$[0-9]+"))</f>
        <v/>
      </c>
      <c r="AH165" s="7" t="str">
        <f t="array" aca="1" ref="AH165" ca="1">IFERROR(IF(OR('Raw Data'!AH165="",LEN(TRIM('Raw Data'!AH165))=0),"",IF(AND(ISNUMBER('Raw Data'!AH165), IFERROR('Raw Data'!AH165 = ROUND('Raw Data'!AH165, 2),FALSE)),"",_xlfn.REGEXEXTRACT(CELL("address",AH165), "\$([A-Z]+)\$[0-9]+"))),_xlfn.REGEXEXTRACT(CELL("address",AH165), "\$([A-Z]+)\$[0-9]+"))</f>
        <v/>
      </c>
      <c r="AI165" s="7" t="str">
        <f t="array" aca="1" ref="AI165" ca="1">IFERROR(IF(OR('Raw Data'!AI165="",LEN(TRIM('Raw Data'!AI165))=0),"",IF(AND(ISNUMBER('Raw Data'!AI165), IFERROR('Raw Data'!AI165 = ROUND('Raw Data'!AI165, 2),FALSE)),"",_xlfn.REGEXEXTRACT(CELL("address",AI165), "\$([A-Z]+)\$[0-9]+"))),_xlfn.REGEXEXTRACT(CELL("address",AI165), "\$([A-Z]+)\$[0-9]+"))</f>
        <v/>
      </c>
      <c r="AJ165" s="7" t="str">
        <f t="array" aca="1" ref="AJ165" ca="1">IFERROR(IF(OR('Raw Data'!AJ165="",LEN(TRIM('Raw Data'!AJ165))=0),"",IF(AND(ISNUMBER('Raw Data'!AJ165), IFERROR('Raw Data'!AJ165 = ROUND('Raw Data'!AJ165, 4),FALSE)),"",_xlfn.REGEXEXTRACT(CELL("address",AJ165), "\$([A-Z]+)\$[0-9]+"))),_xlfn.REGEXEXTRACT(CELL("address",AJ165), "\$([A-Z]+)\$[0-9]+"))</f>
        <v/>
      </c>
      <c r="AK165" s="7" t="str">
        <f t="array" aca="1" ref="AK165" ca="1">IFERROR(IF(OR('Raw Data'!AK165="",LEN(TRIM('Raw Data'!AK165))=0),"",IF(AND(ISNUMBER('Raw Data'!AK165), IFERROR('Raw Data'!AK165 = ROUND('Raw Data'!AK165, 2),FALSE)),"",_xlfn.REGEXEXTRACT(CELL("address",AK165), "\$([A-Z]+)\$[0-9]+"))),_xlfn.REGEXEXTRACT(CELL("address",AK165), "\$([A-Z]+)\$[0-9]+"))</f>
        <v/>
      </c>
      <c r="AL165" s="7" t="str">
        <f t="array" aca="1" ref="AL165" ca="1">IFERROR(IF(OR('Raw Data'!AL165="",LEN(TRIM('Raw Data'!AL165))=0),"",IF(AND(ISNUMBER('Raw Data'!AL165), IFERROR('Raw Data'!AL165 = ROUND('Raw Data'!AL165, 2),FALSE)),"",_xlfn.REGEXEXTRACT(CELL("address",AL165), "\$([A-Z]+)\$[0-9]+"))),_xlfn.REGEXEXTRACT(CELL("address",AL165), "\$([A-Z]+)\$[0-9]+"))</f>
        <v/>
      </c>
      <c r="AM165" s="7" t="str">
        <f t="array" aca="1" ref="AM165" ca="1">IFERROR(IF(OR('Raw Data'!AM165="",LEN(TRIM('Raw Data'!AM165))=0),"",IF(AND(ISNUMBER('Raw Data'!AM165), IFERROR('Raw Data'!AM165 = ROUND('Raw Data'!AM165, 2),FALSE)),"",_xlfn.REGEXEXTRACT(CELL("address",AM165), "\$([A-Z]+)\$[0-9]+"))),_xlfn.REGEXEXTRACT(CELL("address",AM165), "\$([A-Z]+)\$[0-9]+"))</f>
        <v/>
      </c>
      <c r="AN165" s="7" t="str">
        <f t="array" aca="1" ref="AN165" ca="1">IFERROR(IF(OR('Raw Data'!AN165="",LEN(TRIM('Raw Data'!AN165))=0),"",IF(AND(ISNUMBER('Raw Data'!AN165), IFERROR('Raw Data'!AN165 = ROUND('Raw Data'!AN165, 2),FALSE)),"",_xlfn.REGEXEXTRACT(CELL("address",AN165), "\$([A-Z]+)\$[0-9]+"))),_xlfn.REGEXEXTRACT(CELL("address",AN165), "\$([A-Z]+)\$[0-9]+"))</f>
        <v/>
      </c>
      <c r="AO165" s="7" t="str">
        <f t="array" aca="1" ref="AO165" ca="1">IFERROR(IF(OR('Raw Data'!AO165="",LEN(TRIM('Raw Data'!AO165))=0),"",IF(AND(ISNUMBER('Raw Data'!AO165), IFERROR('Raw Data'!AO165 = ROUND('Raw Data'!AO165, 2),FALSE)),"",_xlfn.REGEXEXTRACT(CELL("address",AO165), "\$([A-Z]+)\$[0-9]+"))),_xlfn.REGEXEXTRACT(CELL("address",AO165), "\$([A-Z]+)\$[0-9]+"))</f>
        <v/>
      </c>
      <c r="AP165" s="7" t="str">
        <f t="array" aca="1" ref="AP165" ca="1">IFERROR(IF(OR('Raw Data'!AP165="",LEN(TRIM('Raw Data'!AP165))=0),"",IF(AND(ISNUMBER('Raw Data'!AP165), IFERROR('Raw Data'!AP165 = ROUND('Raw Data'!AP165, 2),FALSE)),"",_xlfn.REGEXEXTRACT(CELL("address",AP165), "\$([A-Z]+)\$[0-9]+"))),_xlfn.REGEXEXTRACT(CELL("address",AP165), "\$([A-Z]+)\$[0-9]+"))</f>
        <v/>
      </c>
    </row>
    <row r="166" spans="2:42" x14ac:dyDescent="0.25">
      <c r="B166" s="7" t="str">
        <f t="array" aca="1" ref="B166" ca="1">IFERROR(IF(OR('Raw Data'!B166="",LEN(TRIM('Raw Data'!B166))=0),"",IF(AND(LEN('Raw Data'!B166) &lt;= 255,LEN('Raw Data'!B166)&gt; 0),"",_xlfn.REGEXEXTRACT(CELL("address",'Raw Data'!B166),"\$([A-Z]+)\$[0-9]+"))),_xlfn.REGEXEXTRACT(CELL("address",'Raw Data'!B166),"\$([A-Z]+)\$[0-9]+"))</f>
        <v/>
      </c>
      <c r="C166" s="7" t="str">
        <f t="array" aca="1" ref="C166" ca="1">IFERROR(IF(OR('Raw Data'!C166="",LEN(TRIM('Raw Data'!C166))=0),"",IF(AND(LEN('Raw Data'!C166) &lt;= 50,LEN('Raw Data'!C166)&gt; 0),"",_xlfn.REGEXEXTRACT(CELL("address",'Raw Data'!C166),"\$([A-Z]+)\$[0-9]+"))),_xlfn.REGEXEXTRACT(CELL("address",'Raw Data'!C166),"\$([A-Z]+)\$[0-9]+"))</f>
        <v/>
      </c>
      <c r="D166" s="7" t="str">
        <f t="array" aca="1" ref="D166" ca="1">IFERROR(IF(OR('Raw Data'!D166="",LEN(TRIM('Raw Data'!D166))=0),"",IF(AND(LEN('Raw Data'!D166) &lt;= 500,LEN('Raw Data'!D166)&gt; 0),"",_xlfn.REGEXEXTRACT(CELL("address",'Raw Data'!D166),"\$([A-Z]+)\$[0-9]+"))),_xlfn.REGEXEXTRACT(CELL("address",'Raw Data'!D166),"\$([A-Z]+)\$[0-9]+"))</f>
        <v/>
      </c>
      <c r="E166" s="7" t="str">
        <f t="array" aca="1" ref="E166" ca="1">IFERROR(IF(OR('Raw Data'!E166="",LEN(TRIM('Raw Data'!E166))=0),"",IF(AND(LEN('Raw Data'!E166) &lt;= 50,LEN('Raw Data'!E166)&gt; 0),"",_xlfn.REGEXEXTRACT(CELL("address",'Raw Data'!E166),"\$([A-Z]+)\$[0-9]+"))),_xlfn.REGEXEXTRACT(CELL("address",'Raw Data'!E166),"\$([A-Z]+)\$[0-9]+"))</f>
        <v/>
      </c>
      <c r="F166" s="7" t="str">
        <f t="array" aca="1" ref="F166" ca="1">IFERROR(IF(OR('Raw Data'!F166="",LEN(TRIM('Raw Data'!F166))=0),"",IF(AND(LEN('Raw Data'!F166) &lt;= 50,LEN('Raw Data'!F166)&gt; 0),"",_xlfn.REGEXEXTRACT(CELL("address",'Raw Data'!F166),"\$([A-Z]+)\$[0-9]+"))),_xlfn.REGEXEXTRACT(CELL("address",'Raw Data'!F166),"\$([A-Z]+)\$[0-9]+"))</f>
        <v/>
      </c>
      <c r="G166" s="7" t="str">
        <f t="array" aca="1" ref="G166" ca="1">IFERROR(IF(OR('Raw Data'!G166="",LEN(TRIM('Raw Data'!G166))=0),"",IF(AND(LEN('Raw Data'!G166) &lt;= 50,LEN('Raw Data'!G166)&gt; 0),"",_xlfn.REGEXEXTRACT(CELL("address",'Raw Data'!G166),"\$([A-Z]+)\$[0-9]+"))),_xlfn.REGEXEXTRACT(CELL("address",'Raw Data'!G166),"\$([A-Z]+)\$[0-9]+"))</f>
        <v/>
      </c>
      <c r="H166" s="7" t="str">
        <f t="array" aca="1" ref="H166" ca="1">IFERROR(IF(OR('Raw Data'!H166="",LEN(TRIM('Raw Data'!H166))=0),"",IF(AND(LEN('Raw Data'!H166) &lt;= 50,LEN('Raw Data'!H166)&gt; 0),"",_xlfn.REGEXEXTRACT(CELL("address",'Raw Data'!H166),"\$([A-Z]+)\$[0-9]+"))),_xlfn.REGEXEXTRACT(CELL("address",'Raw Data'!H166),"\$([A-Z]+)\$[0-9]+"))</f>
        <v/>
      </c>
      <c r="I166" s="7" t="str">
        <f t="array" aca="1" ref="I166" ca="1">IFERROR(IF(OR('Raw Data'!I166="",LEN(TRIM('Raw Data'!I166))=0),"",IF(AND(LEN('Raw Data'!I166) &lt;= 50,LEN('Raw Data'!I166)&gt; 0),"",_xlfn.REGEXEXTRACT(CELL("address",'Raw Data'!I166),"\$([A-Z]+)\$[0-9]+"))),_xlfn.REGEXEXTRACT(CELL("address",'Raw Data'!I166),"\$([A-Z]+)\$[0-9]+"))</f>
        <v/>
      </c>
      <c r="J166" s="7" t="str">
        <f t="array" aca="1" ref="J166" ca="1">IFERROR(IF(OR('Raw Data'!J166="",LEN(TRIM('Raw Data'!J166))=0),"",IF(AND(ISNUMBER('Raw Data'!J166), IFERROR('Raw Data'!J166 = ROUND('Raw Data'!J166, 2),FALSE)),"",_xlfn.REGEXEXTRACT(CELL("address",J166), "\$([A-Z]+)\$[0-9]+"))),_xlfn.REGEXEXTRACT(CELL("address",J166), "\$([A-Z]+)\$[0-9]+"))</f>
        <v/>
      </c>
      <c r="K166" s="7" t="str">
        <f t="array" aca="1" ref="K166" ca="1">IFERROR(IF(OR('Raw Data'!K166="",LEN(TRIM('Raw Data'!K166))=0),"",IF(AND(ISNUMBER('Raw Data'!K166), IFERROR('Raw Data'!K166 = ROUND('Raw Data'!K166, 2),FALSE)),"",_xlfn.REGEXEXTRACT(CELL("address",K166), "\$([A-Z]+)\$[0-9]+"))),_xlfn.REGEXEXTRACT(CELL("address",K166), "\$([A-Z]+)\$[0-9]+"))</f>
        <v/>
      </c>
      <c r="L166" s="7" t="str">
        <f t="array" aca="1" ref="L166" ca="1">IFERROR(IF(OR('Raw Data'!L166="",LEN(TRIM('Raw Data'!L166))=0),"",IF(AND(ISNUMBER('Raw Data'!L166), IFERROR('Raw Data'!L166 = ROUND('Raw Data'!L166, 2),FALSE)),"",_xlfn.REGEXEXTRACT(CELL("address",L166), "\$([A-Z]+)\$[0-9]+"))),_xlfn.REGEXEXTRACT(CELL("address",L166), "\$([A-Z]+)\$[0-9]+"))</f>
        <v/>
      </c>
      <c r="M166" s="7" t="str">
        <f t="array" aca="1" ref="M166" ca="1">IFERROR(IF(OR('Raw Data'!M166="",LEN(TRIM('Raw Data'!M166))=0),"",IF(AND(ISNUMBER('Raw Data'!M166), IFERROR('Raw Data'!M166 = ROUND('Raw Data'!M166, 2),FALSE)),"",_xlfn.REGEXEXTRACT(CELL("address",M166), "\$([A-Z]+)\$[0-9]+"))),_xlfn.REGEXEXTRACT(CELL("address",M166), "\$([A-Z]+)\$[0-9]+"))</f>
        <v/>
      </c>
      <c r="N166" s="7" t="str">
        <f t="array" aca="1" ref="N166" ca="1">IFERROR(IF(OR('Raw Data'!N166="",LEN(TRIM('Raw Data'!N166))=0),"",IF(AND(ISNUMBER('Raw Data'!N166), IFERROR('Raw Data'!N166 = ROUND('Raw Data'!N166, 2),FALSE)),"",_xlfn.REGEXEXTRACT(CELL("address",N166), "\$([A-Z]+)\$[0-9]+"))),_xlfn.REGEXEXTRACT(CELL("address",N166), "\$([A-Z]+)\$[0-9]+"))</f>
        <v/>
      </c>
      <c r="O166" s="7" t="str">
        <f t="array" aca="1" ref="O166" ca="1">IFERROR(IF(OR('Raw Data'!O166="",LEN(TRIM('Raw Data'!O166))=0),"",IF(AND(ISNUMBER('Raw Data'!O166),'Raw Data'!O166&gt;=Configuration!$D$2),"",_xlfn.REGEXEXTRACT(CELL("address",'Raw Data'!O166),"\$([A-Z]+)\$[0-9]+"))),_xlfn.REGEXEXTRACT(CELL("address",O166), "\$([A-Z]+)\$[0-9]+"))</f>
        <v/>
      </c>
      <c r="P166" s="7" t="str">
        <f t="array" aca="1" ref="P166" ca="1">IFERROR(IF(OR('Raw Data'!P166="",LEN(TRIM('Raw Data'!P166))=0),"",IF(AND(ISNUMBER('Raw Data'!P166), IFERROR('Raw Data'!P166 = ROUND('Raw Data'!P166, 2),FALSE)),"",_xlfn.REGEXEXTRACT(CELL("address",P166), "\$([A-Z]+)\$[0-9]+"))),_xlfn.REGEXEXTRACT(CELL("address",P166), "\$([A-Z]+)\$[0-9]+"))</f>
        <v/>
      </c>
      <c r="Q166" s="7" t="str">
        <f t="array" aca="1" ref="Q166" ca="1">IFERROR(IF(OR('Raw Data'!Q166="",LEN(TRIM('Raw Data'!Q166))=0),"",IF(AND(ISNUMBER('Raw Data'!Q166), IFERROR('Raw Data'!Q166 = ROUND('Raw Data'!Q166, 2),FALSE)),"",_xlfn.REGEXEXTRACT(CELL("address",Q166), "\$([A-Z]+)\$[0-9]+"))),_xlfn.REGEXEXTRACT(CELL("address",Q166), "\$([A-Z]+)\$[0-9]+"))</f>
        <v/>
      </c>
      <c r="R166" s="7" t="str">
        <f t="array" aca="1" ref="R166" ca="1">IFERROR(IF(OR('Raw Data'!R166="",LEN(TRIM('Raw Data'!R166))=0),"",IF(AND(LEN('Raw Data'!R166) &lt;= 50,LEN('Raw Data'!R166)&gt; 0),"",_xlfn.REGEXEXTRACT(CELL("address",'Raw Data'!R166),"\$([A-Z]+)\$[0-9]+"))),_xlfn.REGEXEXTRACT(CELL("address",'Raw Data'!R166),"\$([A-Z]+)\$[0-9]+"))</f>
        <v/>
      </c>
      <c r="S166" s="7" t="str">
        <f t="array" aca="1" ref="S166" ca="1">IFERROR(IF(OR('Raw Data'!S166="",LEN(TRIM('Raw Data'!S166))=0),"",IF(AND(LEN('Raw Data'!S166) &lt;= 50,LEN('Raw Data'!S166)&gt; 0),"",_xlfn.REGEXEXTRACT(CELL("address",'Raw Data'!S166),"\$([A-Z]+)\$[0-9]+"))),_xlfn.REGEXEXTRACT(CELL("address",'Raw Data'!S166),"\$([A-Z]+)\$[0-9]+"))</f>
        <v/>
      </c>
      <c r="T166" s="7" t="str">
        <f t="array" aca="1" ref="T166" ca="1">IFERROR(IF(OR('Raw Data'!T166="",LEN(TRIM('Raw Data'!T166))=0),"",IF(AND(ISNUMBER('Raw Data'!T166), IFERROR('Raw Data'!T166 = ROUND('Raw Data'!T166, 2),FALSE)),"",_xlfn.REGEXEXTRACT(CELL("address",T166), "\$([A-Z]+)\$[0-9]+"))),_xlfn.REGEXEXTRACT(CELL("address",T166), "\$([A-Z]+)\$[0-9]+"))</f>
        <v/>
      </c>
      <c r="U166" s="7" t="str">
        <f t="array" aca="1" ref="U166" ca="1">IFERROR(IF(OR('Raw Data'!U166="",LEN(TRIM('Raw Data'!U166))=0),"",IF(AND(ISNUMBER('Raw Data'!U166), IFERROR('Raw Data'!U166 = ROUND('Raw Data'!U166, 2),FALSE)),"",_xlfn.REGEXEXTRACT(CELL("address",U166), "\$([A-Z]+)\$[0-9]+"))),_xlfn.REGEXEXTRACT(CELL("address",U166), "\$([A-Z]+)\$[0-9]+"))</f>
        <v/>
      </c>
      <c r="V166" s="7" t="str">
        <f t="array" aca="1" ref="V166" ca="1">IFERROR(IF(OR('Raw Data'!V166="",LEN(TRIM('Raw Data'!V166))=0),"",IF(AND(ISNUMBER('Raw Data'!V166), IFERROR('Raw Data'!V166 = ROUND('Raw Data'!V166, 2),FALSE)),"",_xlfn.REGEXEXTRACT(CELL("address",V166), "\$([A-Z]+)\$[0-9]+"))),_xlfn.REGEXEXTRACT(CELL("address",V166), "\$([A-Z]+)\$[0-9]+"))</f>
        <v/>
      </c>
      <c r="W166" s="7" t="str">
        <f t="array" aca="1" ref="W166" ca="1">IFERROR(IF(OR('Raw Data'!W166="",LEN(TRIM('Raw Data'!W166))=0),"",IF(AND(ISNUMBER('Raw Data'!W166), IFERROR('Raw Data'!W166 = ROUND('Raw Data'!W166, 2),FALSE)),"",_xlfn.REGEXEXTRACT(CELL("address",W166), "\$([A-Z]+)\$[0-9]+"))),_xlfn.REGEXEXTRACT(CELL("address",W166), "\$([A-Z]+)\$[0-9]+"))</f>
        <v/>
      </c>
      <c r="X166" s="7" t="str">
        <f t="array" aca="1" ref="X166" ca="1">IFERROR(IF(OR('Raw Data'!X166="",LEN(TRIM('Raw Data'!X166))=0),"",IF(AND(ISNUMBER('Raw Data'!X166), IFERROR('Raw Data'!X166 = ROUND('Raw Data'!X166, 2),FALSE)),"",_xlfn.REGEXEXTRACT(CELL("address",X166), "\$([A-Z]+)\$[0-9]+"))),_xlfn.REGEXEXTRACT(CELL("address",X166), "\$([A-Z]+)\$[0-9]+"))</f>
        <v/>
      </c>
      <c r="Y166" s="7" t="str">
        <f t="array" aca="1" ref="Y166" ca="1">IFERROR(IF(OR('Raw Data'!Y166="",LEN(TRIM('Raw Data'!Y166))=0),"",IF(AND(ISNUMBER('Raw Data'!Y166), IFERROR('Raw Data'!Y166 = ROUND('Raw Data'!Y166, 2),FALSE)),"",_xlfn.REGEXEXTRACT(CELL("address",Y166), "\$([A-Z]+)\$[0-9]+"))),_xlfn.REGEXEXTRACT(CELL("address",Y166), "\$([A-Z]+)\$[0-9]+"))</f>
        <v/>
      </c>
      <c r="Z166" s="7" t="str">
        <f t="array" aca="1" ref="Z166" ca="1">IFERROR(IF(OR('Raw Data'!Z166="",LEN(TRIM('Raw Data'!Z166))=0),"",IF(AND(ISNUMBER('Raw Data'!Z166), IFERROR('Raw Data'!Z166 = ROUND('Raw Data'!Z166, 2),FALSE)),"",_xlfn.REGEXEXTRACT(CELL("address",Z166), "\$([A-Z]+)\$[0-9]+"))),_xlfn.REGEXEXTRACT(CELL("address",Z166), "\$([A-Z]+)\$[0-9]+"))</f>
        <v/>
      </c>
      <c r="AA166" s="7" t="str">
        <f t="array" aca="1" ref="AA166" ca="1">IFERROR(IF(OR('Raw Data'!AA166="",LEN(TRIM('Raw Data'!AA166))=0),"",IF(AND(ISNUMBER('Raw Data'!AA166), IFERROR('Raw Data'!AA166 = ROUND('Raw Data'!AA166, 2),FALSE)),"",_xlfn.REGEXEXTRACT(CELL("address",AA166), "\$([A-Z]+)\$[0-9]+"))),_xlfn.REGEXEXTRACT(CELL("address",AA166), "\$([A-Z]+)\$[0-9]+"))</f>
        <v/>
      </c>
      <c r="AB166" s="7" t="str">
        <f t="array" aca="1" ref="AB166" ca="1">IFERROR(IF(OR('Raw Data'!AB166="",LEN(TRIM('Raw Data'!AB166))=0),"",IF(AND(ISNUMBER('Raw Data'!AB166), IFERROR('Raw Data'!AB166 = ROUND('Raw Data'!AB166, 2),FALSE)),"",_xlfn.REGEXEXTRACT(CELL("address",AB166), "\$([A-Z]+)\$[0-9]+"))),_xlfn.REGEXEXTRACT(CELL("address",AB166), "\$([A-Z]+)\$[0-9]+"))</f>
        <v/>
      </c>
      <c r="AC166" s="7" t="str">
        <f t="array" aca="1" ref="AC166" ca="1">IFERROR(IF(OR('Raw Data'!AC166="",LEN(TRIM('Raw Data'!AC166))=0),"",IF(AND(ISNUMBER('Raw Data'!AC166), IFERROR('Raw Data'!AC166 = ROUND('Raw Data'!AC166, 2),FALSE)),"",_xlfn.REGEXEXTRACT(CELL("address",AC166), "\$([A-Z]+)\$[0-9]+"))),_xlfn.REGEXEXTRACT(CELL("address",AC166), "\$([A-Z]+)\$[0-9]+"))</f>
        <v/>
      </c>
      <c r="AD166" s="7" t="str">
        <f t="array" aca="1" ref="AD166" ca="1">IFERROR(IF(OR('Raw Data'!AD166="",LEN(TRIM('Raw Data'!AD166))=0),"",IF(AND(ISNUMBER('Raw Data'!AD166), IFERROR('Raw Data'!AD166 = ROUND('Raw Data'!AD166, 2),FALSE)),"",_xlfn.REGEXEXTRACT(CELL("address",AD166), "\$([A-Z]+)\$[0-9]+"))),_xlfn.REGEXEXTRACT(CELL("address",AD166), "\$([A-Z]+)\$[0-9]+"))</f>
        <v/>
      </c>
      <c r="AE166" s="7" t="str">
        <f t="array" aca="1" ref="AE166" ca="1">IFERROR(IF(OR('Raw Data'!AE166="",LEN(TRIM('Raw Data'!AE166))=0),"",IF(AND(ISNUMBER('Raw Data'!AE166), IFERROR('Raw Data'!AE166 = ROUND('Raw Data'!AE166, 2),FALSE)),"",_xlfn.REGEXEXTRACT(CELL("address",AE166), "\$([A-Z]+)\$[0-9]+"))),_xlfn.REGEXEXTRACT(CELL("address",AE166), "\$([A-Z]+)\$[0-9]+"))</f>
        <v/>
      </c>
      <c r="AF166" s="7" t="str">
        <f t="array" aca="1" ref="AF166" ca="1">IFERROR(IF(OR('Raw Data'!AF166="",LEN(TRIM('Raw Data'!AF166))=0),"",IF(AND(ISNUMBER('Raw Data'!AF166), IFERROR('Raw Data'!AF166 = ROUND('Raw Data'!AF166, 2),FALSE)),"",_xlfn.REGEXEXTRACT(CELL("address",AF166), "\$([A-Z]+)\$[0-9]+"))),_xlfn.REGEXEXTRACT(CELL("address",AF166), "\$([A-Z]+)\$[0-9]+"))</f>
        <v/>
      </c>
      <c r="AG166" s="7" t="str">
        <f t="array" aca="1" ref="AG166" ca="1">IFERROR(IF(OR('Raw Data'!AG166="",LEN(TRIM('Raw Data'!AG166))=0),"",IF(AND(ISNUMBER('Raw Data'!AG166), IFERROR('Raw Data'!AG166 = ROUND('Raw Data'!AG166, 2),FALSE)),"",_xlfn.REGEXEXTRACT(CELL("address",AG166), "\$([A-Z]+)\$[0-9]+"))),_xlfn.REGEXEXTRACT(CELL("address",AG166), "\$([A-Z]+)\$[0-9]+"))</f>
        <v/>
      </c>
      <c r="AH166" s="7" t="str">
        <f t="array" aca="1" ref="AH166" ca="1">IFERROR(IF(OR('Raw Data'!AH166="",LEN(TRIM('Raw Data'!AH166))=0),"",IF(AND(ISNUMBER('Raw Data'!AH166), IFERROR('Raw Data'!AH166 = ROUND('Raw Data'!AH166, 2),FALSE)),"",_xlfn.REGEXEXTRACT(CELL("address",AH166), "\$([A-Z]+)\$[0-9]+"))),_xlfn.REGEXEXTRACT(CELL("address",AH166), "\$([A-Z]+)\$[0-9]+"))</f>
        <v/>
      </c>
      <c r="AI166" s="7" t="str">
        <f t="array" aca="1" ref="AI166" ca="1">IFERROR(IF(OR('Raw Data'!AI166="",LEN(TRIM('Raw Data'!AI166))=0),"",IF(AND(ISNUMBER('Raw Data'!AI166), IFERROR('Raw Data'!AI166 = ROUND('Raw Data'!AI166, 2),FALSE)),"",_xlfn.REGEXEXTRACT(CELL("address",AI166), "\$([A-Z]+)\$[0-9]+"))),_xlfn.REGEXEXTRACT(CELL("address",AI166), "\$([A-Z]+)\$[0-9]+"))</f>
        <v/>
      </c>
      <c r="AJ166" s="7" t="str">
        <f t="array" aca="1" ref="AJ166" ca="1">IFERROR(IF(OR('Raw Data'!AJ166="",LEN(TRIM('Raw Data'!AJ166))=0),"",IF(AND(ISNUMBER('Raw Data'!AJ166), IFERROR('Raw Data'!AJ166 = ROUND('Raw Data'!AJ166, 4),FALSE)),"",_xlfn.REGEXEXTRACT(CELL("address",AJ166), "\$([A-Z]+)\$[0-9]+"))),_xlfn.REGEXEXTRACT(CELL("address",AJ166), "\$([A-Z]+)\$[0-9]+"))</f>
        <v/>
      </c>
      <c r="AK166" s="7" t="str">
        <f t="array" aca="1" ref="AK166" ca="1">IFERROR(IF(OR('Raw Data'!AK166="",LEN(TRIM('Raw Data'!AK166))=0),"",IF(AND(ISNUMBER('Raw Data'!AK166), IFERROR('Raw Data'!AK166 = ROUND('Raw Data'!AK166, 2),FALSE)),"",_xlfn.REGEXEXTRACT(CELL("address",AK166), "\$([A-Z]+)\$[0-9]+"))),_xlfn.REGEXEXTRACT(CELL("address",AK166), "\$([A-Z]+)\$[0-9]+"))</f>
        <v/>
      </c>
      <c r="AL166" s="7" t="str">
        <f t="array" aca="1" ref="AL166" ca="1">IFERROR(IF(OR('Raw Data'!AL166="",LEN(TRIM('Raw Data'!AL166))=0),"",IF(AND(ISNUMBER('Raw Data'!AL166), IFERROR('Raw Data'!AL166 = ROUND('Raw Data'!AL166, 2),FALSE)),"",_xlfn.REGEXEXTRACT(CELL("address",AL166), "\$([A-Z]+)\$[0-9]+"))),_xlfn.REGEXEXTRACT(CELL("address",AL166), "\$([A-Z]+)\$[0-9]+"))</f>
        <v/>
      </c>
      <c r="AM166" s="7" t="str">
        <f t="array" aca="1" ref="AM166" ca="1">IFERROR(IF(OR('Raw Data'!AM166="",LEN(TRIM('Raw Data'!AM166))=0),"",IF(AND(ISNUMBER('Raw Data'!AM166), IFERROR('Raw Data'!AM166 = ROUND('Raw Data'!AM166, 2),FALSE)),"",_xlfn.REGEXEXTRACT(CELL("address",AM166), "\$([A-Z]+)\$[0-9]+"))),_xlfn.REGEXEXTRACT(CELL("address",AM166), "\$([A-Z]+)\$[0-9]+"))</f>
        <v/>
      </c>
      <c r="AN166" s="7" t="str">
        <f t="array" aca="1" ref="AN166" ca="1">IFERROR(IF(OR('Raw Data'!AN166="",LEN(TRIM('Raw Data'!AN166))=0),"",IF(AND(ISNUMBER('Raw Data'!AN166), IFERROR('Raw Data'!AN166 = ROUND('Raw Data'!AN166, 2),FALSE)),"",_xlfn.REGEXEXTRACT(CELL("address",AN166), "\$([A-Z]+)\$[0-9]+"))),_xlfn.REGEXEXTRACT(CELL("address",AN166), "\$([A-Z]+)\$[0-9]+"))</f>
        <v/>
      </c>
      <c r="AO166" s="7" t="str">
        <f t="array" aca="1" ref="AO166" ca="1">IFERROR(IF(OR('Raw Data'!AO166="",LEN(TRIM('Raw Data'!AO166))=0),"",IF(AND(ISNUMBER('Raw Data'!AO166), IFERROR('Raw Data'!AO166 = ROUND('Raw Data'!AO166, 2),FALSE)),"",_xlfn.REGEXEXTRACT(CELL("address",AO166), "\$([A-Z]+)\$[0-9]+"))),_xlfn.REGEXEXTRACT(CELL("address",AO166), "\$([A-Z]+)\$[0-9]+"))</f>
        <v/>
      </c>
      <c r="AP166" s="7" t="str">
        <f t="array" aca="1" ref="AP166" ca="1">IFERROR(IF(OR('Raw Data'!AP166="",LEN(TRIM('Raw Data'!AP166))=0),"",IF(AND(ISNUMBER('Raw Data'!AP166), IFERROR('Raw Data'!AP166 = ROUND('Raw Data'!AP166, 2),FALSE)),"",_xlfn.REGEXEXTRACT(CELL("address",AP166), "\$([A-Z]+)\$[0-9]+"))),_xlfn.REGEXEXTRACT(CELL("address",AP166), "\$([A-Z]+)\$[0-9]+"))</f>
        <v/>
      </c>
    </row>
    <row r="167" spans="2:42" x14ac:dyDescent="0.25">
      <c r="B167" s="7" t="str">
        <f t="array" aca="1" ref="B167" ca="1">IFERROR(IF(OR('Raw Data'!B167="",LEN(TRIM('Raw Data'!B167))=0),"",IF(AND(LEN('Raw Data'!B167) &lt;= 255,LEN('Raw Data'!B167)&gt; 0),"",_xlfn.REGEXEXTRACT(CELL("address",'Raw Data'!B167),"\$([A-Z]+)\$[0-9]+"))),_xlfn.REGEXEXTRACT(CELL("address",'Raw Data'!B167),"\$([A-Z]+)\$[0-9]+"))</f>
        <v/>
      </c>
      <c r="C167" s="7" t="str">
        <f t="array" aca="1" ref="C167" ca="1">IFERROR(IF(OR('Raw Data'!C167="",LEN(TRIM('Raw Data'!C167))=0),"",IF(AND(LEN('Raw Data'!C167) &lt;= 50,LEN('Raw Data'!C167)&gt; 0),"",_xlfn.REGEXEXTRACT(CELL("address",'Raw Data'!C167),"\$([A-Z]+)\$[0-9]+"))),_xlfn.REGEXEXTRACT(CELL("address",'Raw Data'!C167),"\$([A-Z]+)\$[0-9]+"))</f>
        <v/>
      </c>
      <c r="D167" s="7" t="str">
        <f t="array" aca="1" ref="D167" ca="1">IFERROR(IF(OR('Raw Data'!D167="",LEN(TRIM('Raw Data'!D167))=0),"",IF(AND(LEN('Raw Data'!D167) &lt;= 500,LEN('Raw Data'!D167)&gt; 0),"",_xlfn.REGEXEXTRACT(CELL("address",'Raw Data'!D167),"\$([A-Z]+)\$[0-9]+"))),_xlfn.REGEXEXTRACT(CELL("address",'Raw Data'!D167),"\$([A-Z]+)\$[0-9]+"))</f>
        <v/>
      </c>
      <c r="E167" s="7" t="str">
        <f t="array" aca="1" ref="E167" ca="1">IFERROR(IF(OR('Raw Data'!E167="",LEN(TRIM('Raw Data'!E167))=0),"",IF(AND(LEN('Raw Data'!E167) &lt;= 50,LEN('Raw Data'!E167)&gt; 0),"",_xlfn.REGEXEXTRACT(CELL("address",'Raw Data'!E167),"\$([A-Z]+)\$[0-9]+"))),_xlfn.REGEXEXTRACT(CELL("address",'Raw Data'!E167),"\$([A-Z]+)\$[0-9]+"))</f>
        <v/>
      </c>
      <c r="F167" s="7" t="str">
        <f t="array" aca="1" ref="F167" ca="1">IFERROR(IF(OR('Raw Data'!F167="",LEN(TRIM('Raw Data'!F167))=0),"",IF(AND(LEN('Raw Data'!F167) &lt;= 50,LEN('Raw Data'!F167)&gt; 0),"",_xlfn.REGEXEXTRACT(CELL("address",'Raw Data'!F167),"\$([A-Z]+)\$[0-9]+"))),_xlfn.REGEXEXTRACT(CELL("address",'Raw Data'!F167),"\$([A-Z]+)\$[0-9]+"))</f>
        <v/>
      </c>
      <c r="G167" s="7" t="str">
        <f t="array" aca="1" ref="G167" ca="1">IFERROR(IF(OR('Raw Data'!G167="",LEN(TRIM('Raw Data'!G167))=0),"",IF(AND(LEN('Raw Data'!G167) &lt;= 50,LEN('Raw Data'!G167)&gt; 0),"",_xlfn.REGEXEXTRACT(CELL("address",'Raw Data'!G167),"\$([A-Z]+)\$[0-9]+"))),_xlfn.REGEXEXTRACT(CELL("address",'Raw Data'!G167),"\$([A-Z]+)\$[0-9]+"))</f>
        <v/>
      </c>
      <c r="H167" s="7" t="str">
        <f t="array" aca="1" ref="H167" ca="1">IFERROR(IF(OR('Raw Data'!H167="",LEN(TRIM('Raw Data'!H167))=0),"",IF(AND(LEN('Raw Data'!H167) &lt;= 50,LEN('Raw Data'!H167)&gt; 0),"",_xlfn.REGEXEXTRACT(CELL("address",'Raw Data'!H167),"\$([A-Z]+)\$[0-9]+"))),_xlfn.REGEXEXTRACT(CELL("address",'Raw Data'!H167),"\$([A-Z]+)\$[0-9]+"))</f>
        <v/>
      </c>
      <c r="I167" s="7" t="str">
        <f t="array" aca="1" ref="I167" ca="1">IFERROR(IF(OR('Raw Data'!I167="",LEN(TRIM('Raw Data'!I167))=0),"",IF(AND(LEN('Raw Data'!I167) &lt;= 50,LEN('Raw Data'!I167)&gt; 0),"",_xlfn.REGEXEXTRACT(CELL("address",'Raw Data'!I167),"\$([A-Z]+)\$[0-9]+"))),_xlfn.REGEXEXTRACT(CELL("address",'Raw Data'!I167),"\$([A-Z]+)\$[0-9]+"))</f>
        <v/>
      </c>
      <c r="J167" s="7" t="str">
        <f t="array" aca="1" ref="J167" ca="1">IFERROR(IF(OR('Raw Data'!J167="",LEN(TRIM('Raw Data'!J167))=0),"",IF(AND(ISNUMBER('Raw Data'!J167), IFERROR('Raw Data'!J167 = ROUND('Raw Data'!J167, 2),FALSE)),"",_xlfn.REGEXEXTRACT(CELL("address",J167), "\$([A-Z]+)\$[0-9]+"))),_xlfn.REGEXEXTRACT(CELL("address",J167), "\$([A-Z]+)\$[0-9]+"))</f>
        <v/>
      </c>
      <c r="K167" s="7" t="str">
        <f t="array" aca="1" ref="K167" ca="1">IFERROR(IF(OR('Raw Data'!K167="",LEN(TRIM('Raw Data'!K167))=0),"",IF(AND(ISNUMBER('Raw Data'!K167), IFERROR('Raw Data'!K167 = ROUND('Raw Data'!K167, 2),FALSE)),"",_xlfn.REGEXEXTRACT(CELL("address",K167), "\$([A-Z]+)\$[0-9]+"))),_xlfn.REGEXEXTRACT(CELL("address",K167), "\$([A-Z]+)\$[0-9]+"))</f>
        <v/>
      </c>
      <c r="L167" s="7" t="str">
        <f t="array" aca="1" ref="L167" ca="1">IFERROR(IF(OR('Raw Data'!L167="",LEN(TRIM('Raw Data'!L167))=0),"",IF(AND(ISNUMBER('Raw Data'!L167), IFERROR('Raw Data'!L167 = ROUND('Raw Data'!L167, 2),FALSE)),"",_xlfn.REGEXEXTRACT(CELL("address",L167), "\$([A-Z]+)\$[0-9]+"))),_xlfn.REGEXEXTRACT(CELL("address",L167), "\$([A-Z]+)\$[0-9]+"))</f>
        <v/>
      </c>
      <c r="M167" s="7" t="str">
        <f t="array" aca="1" ref="M167" ca="1">IFERROR(IF(OR('Raw Data'!M167="",LEN(TRIM('Raw Data'!M167))=0),"",IF(AND(ISNUMBER('Raw Data'!M167), IFERROR('Raw Data'!M167 = ROUND('Raw Data'!M167, 2),FALSE)),"",_xlfn.REGEXEXTRACT(CELL("address",M167), "\$([A-Z]+)\$[0-9]+"))),_xlfn.REGEXEXTRACT(CELL("address",M167), "\$([A-Z]+)\$[0-9]+"))</f>
        <v/>
      </c>
      <c r="N167" s="7" t="str">
        <f t="array" aca="1" ref="N167" ca="1">IFERROR(IF(OR('Raw Data'!N167="",LEN(TRIM('Raw Data'!N167))=0),"",IF(AND(ISNUMBER('Raw Data'!N167), IFERROR('Raw Data'!N167 = ROUND('Raw Data'!N167, 2),FALSE)),"",_xlfn.REGEXEXTRACT(CELL("address",N167), "\$([A-Z]+)\$[0-9]+"))),_xlfn.REGEXEXTRACT(CELL("address",N167), "\$([A-Z]+)\$[0-9]+"))</f>
        <v/>
      </c>
      <c r="O167" s="7" t="str">
        <f t="array" aca="1" ref="O167" ca="1">IFERROR(IF(OR('Raw Data'!O167="",LEN(TRIM('Raw Data'!O167))=0),"",IF(AND(ISNUMBER('Raw Data'!O167),'Raw Data'!O167&gt;=Configuration!$D$2),"",_xlfn.REGEXEXTRACT(CELL("address",'Raw Data'!O167),"\$([A-Z]+)\$[0-9]+"))),_xlfn.REGEXEXTRACT(CELL("address",O167), "\$([A-Z]+)\$[0-9]+"))</f>
        <v/>
      </c>
      <c r="P167" s="7" t="str">
        <f t="array" aca="1" ref="P167" ca="1">IFERROR(IF(OR('Raw Data'!P167="",LEN(TRIM('Raw Data'!P167))=0),"",IF(AND(ISNUMBER('Raw Data'!P167), IFERROR('Raw Data'!P167 = ROUND('Raw Data'!P167, 2),FALSE)),"",_xlfn.REGEXEXTRACT(CELL("address",P167), "\$([A-Z]+)\$[0-9]+"))),_xlfn.REGEXEXTRACT(CELL("address",P167), "\$([A-Z]+)\$[0-9]+"))</f>
        <v/>
      </c>
      <c r="Q167" s="7" t="str">
        <f t="array" aca="1" ref="Q167" ca="1">IFERROR(IF(OR('Raw Data'!Q167="",LEN(TRIM('Raw Data'!Q167))=0),"",IF(AND(ISNUMBER('Raw Data'!Q167), IFERROR('Raw Data'!Q167 = ROUND('Raw Data'!Q167, 2),FALSE)),"",_xlfn.REGEXEXTRACT(CELL("address",Q167), "\$([A-Z]+)\$[0-9]+"))),_xlfn.REGEXEXTRACT(CELL("address",Q167), "\$([A-Z]+)\$[0-9]+"))</f>
        <v/>
      </c>
      <c r="R167" s="7" t="str">
        <f t="array" aca="1" ref="R167" ca="1">IFERROR(IF(OR('Raw Data'!R167="",LEN(TRIM('Raw Data'!R167))=0),"",IF(AND(LEN('Raw Data'!R167) &lt;= 50,LEN('Raw Data'!R167)&gt; 0),"",_xlfn.REGEXEXTRACT(CELL("address",'Raw Data'!R167),"\$([A-Z]+)\$[0-9]+"))),_xlfn.REGEXEXTRACT(CELL("address",'Raw Data'!R167),"\$([A-Z]+)\$[0-9]+"))</f>
        <v/>
      </c>
      <c r="S167" s="7" t="str">
        <f t="array" aca="1" ref="S167" ca="1">IFERROR(IF(OR('Raw Data'!S167="",LEN(TRIM('Raw Data'!S167))=0),"",IF(AND(LEN('Raw Data'!S167) &lt;= 50,LEN('Raw Data'!S167)&gt; 0),"",_xlfn.REGEXEXTRACT(CELL("address",'Raw Data'!S167),"\$([A-Z]+)\$[0-9]+"))),_xlfn.REGEXEXTRACT(CELL("address",'Raw Data'!S167),"\$([A-Z]+)\$[0-9]+"))</f>
        <v/>
      </c>
      <c r="T167" s="7" t="str">
        <f t="array" aca="1" ref="T167" ca="1">IFERROR(IF(OR('Raw Data'!T167="",LEN(TRIM('Raw Data'!T167))=0),"",IF(AND(ISNUMBER('Raw Data'!T167), IFERROR('Raw Data'!T167 = ROUND('Raw Data'!T167, 2),FALSE)),"",_xlfn.REGEXEXTRACT(CELL("address",T167), "\$([A-Z]+)\$[0-9]+"))),_xlfn.REGEXEXTRACT(CELL("address",T167), "\$([A-Z]+)\$[0-9]+"))</f>
        <v/>
      </c>
      <c r="U167" s="7" t="str">
        <f t="array" aca="1" ref="U167" ca="1">IFERROR(IF(OR('Raw Data'!U167="",LEN(TRIM('Raw Data'!U167))=0),"",IF(AND(ISNUMBER('Raw Data'!U167), IFERROR('Raw Data'!U167 = ROUND('Raw Data'!U167, 2),FALSE)),"",_xlfn.REGEXEXTRACT(CELL("address",U167), "\$([A-Z]+)\$[0-9]+"))),_xlfn.REGEXEXTRACT(CELL("address",U167), "\$([A-Z]+)\$[0-9]+"))</f>
        <v/>
      </c>
      <c r="V167" s="7" t="str">
        <f t="array" aca="1" ref="V167" ca="1">IFERROR(IF(OR('Raw Data'!V167="",LEN(TRIM('Raw Data'!V167))=0),"",IF(AND(ISNUMBER('Raw Data'!V167), IFERROR('Raw Data'!V167 = ROUND('Raw Data'!V167, 2),FALSE)),"",_xlfn.REGEXEXTRACT(CELL("address",V167), "\$([A-Z]+)\$[0-9]+"))),_xlfn.REGEXEXTRACT(CELL("address",V167), "\$([A-Z]+)\$[0-9]+"))</f>
        <v/>
      </c>
      <c r="W167" s="7" t="str">
        <f t="array" aca="1" ref="W167" ca="1">IFERROR(IF(OR('Raw Data'!W167="",LEN(TRIM('Raw Data'!W167))=0),"",IF(AND(ISNUMBER('Raw Data'!W167), IFERROR('Raw Data'!W167 = ROUND('Raw Data'!W167, 2),FALSE)),"",_xlfn.REGEXEXTRACT(CELL("address",W167), "\$([A-Z]+)\$[0-9]+"))),_xlfn.REGEXEXTRACT(CELL("address",W167), "\$([A-Z]+)\$[0-9]+"))</f>
        <v/>
      </c>
      <c r="X167" s="7" t="str">
        <f t="array" aca="1" ref="X167" ca="1">IFERROR(IF(OR('Raw Data'!X167="",LEN(TRIM('Raw Data'!X167))=0),"",IF(AND(ISNUMBER('Raw Data'!X167), IFERROR('Raw Data'!X167 = ROUND('Raw Data'!X167, 2),FALSE)),"",_xlfn.REGEXEXTRACT(CELL("address",X167), "\$([A-Z]+)\$[0-9]+"))),_xlfn.REGEXEXTRACT(CELL("address",X167), "\$([A-Z]+)\$[0-9]+"))</f>
        <v/>
      </c>
      <c r="Y167" s="7" t="str">
        <f t="array" aca="1" ref="Y167" ca="1">IFERROR(IF(OR('Raw Data'!Y167="",LEN(TRIM('Raw Data'!Y167))=0),"",IF(AND(ISNUMBER('Raw Data'!Y167), IFERROR('Raw Data'!Y167 = ROUND('Raw Data'!Y167, 2),FALSE)),"",_xlfn.REGEXEXTRACT(CELL("address",Y167), "\$([A-Z]+)\$[0-9]+"))),_xlfn.REGEXEXTRACT(CELL("address",Y167), "\$([A-Z]+)\$[0-9]+"))</f>
        <v/>
      </c>
      <c r="Z167" s="7" t="str">
        <f t="array" aca="1" ref="Z167" ca="1">IFERROR(IF(OR('Raw Data'!Z167="",LEN(TRIM('Raw Data'!Z167))=0),"",IF(AND(ISNUMBER('Raw Data'!Z167), IFERROR('Raw Data'!Z167 = ROUND('Raw Data'!Z167, 2),FALSE)),"",_xlfn.REGEXEXTRACT(CELL("address",Z167), "\$([A-Z]+)\$[0-9]+"))),_xlfn.REGEXEXTRACT(CELL("address",Z167), "\$([A-Z]+)\$[0-9]+"))</f>
        <v/>
      </c>
      <c r="AA167" s="7" t="str">
        <f t="array" aca="1" ref="AA167" ca="1">IFERROR(IF(OR('Raw Data'!AA167="",LEN(TRIM('Raw Data'!AA167))=0),"",IF(AND(ISNUMBER('Raw Data'!AA167), IFERROR('Raw Data'!AA167 = ROUND('Raw Data'!AA167, 2),FALSE)),"",_xlfn.REGEXEXTRACT(CELL("address",AA167), "\$([A-Z]+)\$[0-9]+"))),_xlfn.REGEXEXTRACT(CELL("address",AA167), "\$([A-Z]+)\$[0-9]+"))</f>
        <v/>
      </c>
      <c r="AB167" s="7" t="str">
        <f t="array" aca="1" ref="AB167" ca="1">IFERROR(IF(OR('Raw Data'!AB167="",LEN(TRIM('Raw Data'!AB167))=0),"",IF(AND(ISNUMBER('Raw Data'!AB167), IFERROR('Raw Data'!AB167 = ROUND('Raw Data'!AB167, 2),FALSE)),"",_xlfn.REGEXEXTRACT(CELL("address",AB167), "\$([A-Z]+)\$[0-9]+"))),_xlfn.REGEXEXTRACT(CELL("address",AB167), "\$([A-Z]+)\$[0-9]+"))</f>
        <v/>
      </c>
      <c r="AC167" s="7" t="str">
        <f t="array" aca="1" ref="AC167" ca="1">IFERROR(IF(OR('Raw Data'!AC167="",LEN(TRIM('Raw Data'!AC167))=0),"",IF(AND(ISNUMBER('Raw Data'!AC167), IFERROR('Raw Data'!AC167 = ROUND('Raw Data'!AC167, 2),FALSE)),"",_xlfn.REGEXEXTRACT(CELL("address",AC167), "\$([A-Z]+)\$[0-9]+"))),_xlfn.REGEXEXTRACT(CELL("address",AC167), "\$([A-Z]+)\$[0-9]+"))</f>
        <v/>
      </c>
      <c r="AD167" s="7" t="str">
        <f t="array" aca="1" ref="AD167" ca="1">IFERROR(IF(OR('Raw Data'!AD167="",LEN(TRIM('Raw Data'!AD167))=0),"",IF(AND(ISNUMBER('Raw Data'!AD167), IFERROR('Raw Data'!AD167 = ROUND('Raw Data'!AD167, 2),FALSE)),"",_xlfn.REGEXEXTRACT(CELL("address",AD167), "\$([A-Z]+)\$[0-9]+"))),_xlfn.REGEXEXTRACT(CELL("address",AD167), "\$([A-Z]+)\$[0-9]+"))</f>
        <v/>
      </c>
      <c r="AE167" s="7" t="str">
        <f t="array" aca="1" ref="AE167" ca="1">IFERROR(IF(OR('Raw Data'!AE167="",LEN(TRIM('Raw Data'!AE167))=0),"",IF(AND(ISNUMBER('Raw Data'!AE167), IFERROR('Raw Data'!AE167 = ROUND('Raw Data'!AE167, 2),FALSE)),"",_xlfn.REGEXEXTRACT(CELL("address",AE167), "\$([A-Z]+)\$[0-9]+"))),_xlfn.REGEXEXTRACT(CELL("address",AE167), "\$([A-Z]+)\$[0-9]+"))</f>
        <v/>
      </c>
      <c r="AF167" s="7" t="str">
        <f t="array" aca="1" ref="AF167" ca="1">IFERROR(IF(OR('Raw Data'!AF167="",LEN(TRIM('Raw Data'!AF167))=0),"",IF(AND(ISNUMBER('Raw Data'!AF167), IFERROR('Raw Data'!AF167 = ROUND('Raw Data'!AF167, 2),FALSE)),"",_xlfn.REGEXEXTRACT(CELL("address",AF167), "\$([A-Z]+)\$[0-9]+"))),_xlfn.REGEXEXTRACT(CELL("address",AF167), "\$([A-Z]+)\$[0-9]+"))</f>
        <v/>
      </c>
      <c r="AG167" s="7" t="str">
        <f t="array" aca="1" ref="AG167" ca="1">IFERROR(IF(OR('Raw Data'!AG167="",LEN(TRIM('Raw Data'!AG167))=0),"",IF(AND(ISNUMBER('Raw Data'!AG167), IFERROR('Raw Data'!AG167 = ROUND('Raw Data'!AG167, 2),FALSE)),"",_xlfn.REGEXEXTRACT(CELL("address",AG167), "\$([A-Z]+)\$[0-9]+"))),_xlfn.REGEXEXTRACT(CELL("address",AG167), "\$([A-Z]+)\$[0-9]+"))</f>
        <v/>
      </c>
      <c r="AH167" s="7" t="str">
        <f t="array" aca="1" ref="AH167" ca="1">IFERROR(IF(OR('Raw Data'!AH167="",LEN(TRIM('Raw Data'!AH167))=0),"",IF(AND(ISNUMBER('Raw Data'!AH167), IFERROR('Raw Data'!AH167 = ROUND('Raw Data'!AH167, 2),FALSE)),"",_xlfn.REGEXEXTRACT(CELL("address",AH167), "\$([A-Z]+)\$[0-9]+"))),_xlfn.REGEXEXTRACT(CELL("address",AH167), "\$([A-Z]+)\$[0-9]+"))</f>
        <v/>
      </c>
      <c r="AI167" s="7" t="str">
        <f t="array" aca="1" ref="AI167" ca="1">IFERROR(IF(OR('Raw Data'!AI167="",LEN(TRIM('Raw Data'!AI167))=0),"",IF(AND(ISNUMBER('Raw Data'!AI167), IFERROR('Raw Data'!AI167 = ROUND('Raw Data'!AI167, 2),FALSE)),"",_xlfn.REGEXEXTRACT(CELL("address",AI167), "\$([A-Z]+)\$[0-9]+"))),_xlfn.REGEXEXTRACT(CELL("address",AI167), "\$([A-Z]+)\$[0-9]+"))</f>
        <v/>
      </c>
      <c r="AJ167" s="7" t="str">
        <f t="array" aca="1" ref="AJ167" ca="1">IFERROR(IF(OR('Raw Data'!AJ167="",LEN(TRIM('Raw Data'!AJ167))=0),"",IF(AND(ISNUMBER('Raw Data'!AJ167), IFERROR('Raw Data'!AJ167 = ROUND('Raw Data'!AJ167, 4),FALSE)),"",_xlfn.REGEXEXTRACT(CELL("address",AJ167), "\$([A-Z]+)\$[0-9]+"))),_xlfn.REGEXEXTRACT(CELL("address",AJ167), "\$([A-Z]+)\$[0-9]+"))</f>
        <v/>
      </c>
      <c r="AK167" s="7" t="str">
        <f t="array" aca="1" ref="AK167" ca="1">IFERROR(IF(OR('Raw Data'!AK167="",LEN(TRIM('Raw Data'!AK167))=0),"",IF(AND(ISNUMBER('Raw Data'!AK167), IFERROR('Raw Data'!AK167 = ROUND('Raw Data'!AK167, 2),FALSE)),"",_xlfn.REGEXEXTRACT(CELL("address",AK167), "\$([A-Z]+)\$[0-9]+"))),_xlfn.REGEXEXTRACT(CELL("address",AK167), "\$([A-Z]+)\$[0-9]+"))</f>
        <v/>
      </c>
      <c r="AL167" s="7" t="str">
        <f t="array" aca="1" ref="AL167" ca="1">IFERROR(IF(OR('Raw Data'!AL167="",LEN(TRIM('Raw Data'!AL167))=0),"",IF(AND(ISNUMBER('Raw Data'!AL167), IFERROR('Raw Data'!AL167 = ROUND('Raw Data'!AL167, 2),FALSE)),"",_xlfn.REGEXEXTRACT(CELL("address",AL167), "\$([A-Z]+)\$[0-9]+"))),_xlfn.REGEXEXTRACT(CELL("address",AL167), "\$([A-Z]+)\$[0-9]+"))</f>
        <v/>
      </c>
      <c r="AM167" s="7" t="str">
        <f t="array" aca="1" ref="AM167" ca="1">IFERROR(IF(OR('Raw Data'!AM167="",LEN(TRIM('Raw Data'!AM167))=0),"",IF(AND(ISNUMBER('Raw Data'!AM167), IFERROR('Raw Data'!AM167 = ROUND('Raw Data'!AM167, 2),FALSE)),"",_xlfn.REGEXEXTRACT(CELL("address",AM167), "\$([A-Z]+)\$[0-9]+"))),_xlfn.REGEXEXTRACT(CELL("address",AM167), "\$([A-Z]+)\$[0-9]+"))</f>
        <v/>
      </c>
      <c r="AN167" s="7" t="str">
        <f t="array" aca="1" ref="AN167" ca="1">IFERROR(IF(OR('Raw Data'!AN167="",LEN(TRIM('Raw Data'!AN167))=0),"",IF(AND(ISNUMBER('Raw Data'!AN167), IFERROR('Raw Data'!AN167 = ROUND('Raw Data'!AN167, 2),FALSE)),"",_xlfn.REGEXEXTRACT(CELL("address",AN167), "\$([A-Z]+)\$[0-9]+"))),_xlfn.REGEXEXTRACT(CELL("address",AN167), "\$([A-Z]+)\$[0-9]+"))</f>
        <v/>
      </c>
      <c r="AO167" s="7" t="str">
        <f t="array" aca="1" ref="AO167" ca="1">IFERROR(IF(OR('Raw Data'!AO167="",LEN(TRIM('Raw Data'!AO167))=0),"",IF(AND(ISNUMBER('Raw Data'!AO167), IFERROR('Raw Data'!AO167 = ROUND('Raw Data'!AO167, 2),FALSE)),"",_xlfn.REGEXEXTRACT(CELL("address",AO167), "\$([A-Z]+)\$[0-9]+"))),_xlfn.REGEXEXTRACT(CELL("address",AO167), "\$([A-Z]+)\$[0-9]+"))</f>
        <v/>
      </c>
      <c r="AP167" s="7" t="str">
        <f t="array" aca="1" ref="AP167" ca="1">IFERROR(IF(OR('Raw Data'!AP167="",LEN(TRIM('Raw Data'!AP167))=0),"",IF(AND(ISNUMBER('Raw Data'!AP167), IFERROR('Raw Data'!AP167 = ROUND('Raw Data'!AP167, 2),FALSE)),"",_xlfn.REGEXEXTRACT(CELL("address",AP167), "\$([A-Z]+)\$[0-9]+"))),_xlfn.REGEXEXTRACT(CELL("address",AP167), "\$([A-Z]+)\$[0-9]+"))</f>
        <v/>
      </c>
    </row>
    <row r="168" spans="2:42" x14ac:dyDescent="0.25">
      <c r="B168" s="7" t="str">
        <f t="array" aca="1" ref="B168" ca="1">IFERROR(IF(OR('Raw Data'!B168="",LEN(TRIM('Raw Data'!B168))=0),"",IF(AND(LEN('Raw Data'!B168) &lt;= 255,LEN('Raw Data'!B168)&gt; 0),"",_xlfn.REGEXEXTRACT(CELL("address",'Raw Data'!B168),"\$([A-Z]+)\$[0-9]+"))),_xlfn.REGEXEXTRACT(CELL("address",'Raw Data'!B168),"\$([A-Z]+)\$[0-9]+"))</f>
        <v/>
      </c>
      <c r="C168" s="7" t="str">
        <f t="array" aca="1" ref="C168" ca="1">IFERROR(IF(OR('Raw Data'!C168="",LEN(TRIM('Raw Data'!C168))=0),"",IF(AND(LEN('Raw Data'!C168) &lt;= 50,LEN('Raw Data'!C168)&gt; 0),"",_xlfn.REGEXEXTRACT(CELL("address",'Raw Data'!C168),"\$([A-Z]+)\$[0-9]+"))),_xlfn.REGEXEXTRACT(CELL("address",'Raw Data'!C168),"\$([A-Z]+)\$[0-9]+"))</f>
        <v/>
      </c>
      <c r="D168" s="7" t="str">
        <f t="array" aca="1" ref="D168" ca="1">IFERROR(IF(OR('Raw Data'!D168="",LEN(TRIM('Raw Data'!D168))=0),"",IF(AND(LEN('Raw Data'!D168) &lt;= 500,LEN('Raw Data'!D168)&gt; 0),"",_xlfn.REGEXEXTRACT(CELL("address",'Raw Data'!D168),"\$([A-Z]+)\$[0-9]+"))),_xlfn.REGEXEXTRACT(CELL("address",'Raw Data'!D168),"\$([A-Z]+)\$[0-9]+"))</f>
        <v/>
      </c>
      <c r="E168" s="7" t="str">
        <f t="array" aca="1" ref="E168" ca="1">IFERROR(IF(OR('Raw Data'!E168="",LEN(TRIM('Raw Data'!E168))=0),"",IF(AND(LEN('Raw Data'!E168) &lt;= 50,LEN('Raw Data'!E168)&gt; 0),"",_xlfn.REGEXEXTRACT(CELL("address",'Raw Data'!E168),"\$([A-Z]+)\$[0-9]+"))),_xlfn.REGEXEXTRACT(CELL("address",'Raw Data'!E168),"\$([A-Z]+)\$[0-9]+"))</f>
        <v/>
      </c>
      <c r="F168" s="7" t="str">
        <f t="array" aca="1" ref="F168" ca="1">IFERROR(IF(OR('Raw Data'!F168="",LEN(TRIM('Raw Data'!F168))=0),"",IF(AND(LEN('Raw Data'!F168) &lt;= 50,LEN('Raw Data'!F168)&gt; 0),"",_xlfn.REGEXEXTRACT(CELL("address",'Raw Data'!F168),"\$([A-Z]+)\$[0-9]+"))),_xlfn.REGEXEXTRACT(CELL("address",'Raw Data'!F168),"\$([A-Z]+)\$[0-9]+"))</f>
        <v/>
      </c>
      <c r="G168" s="7" t="str">
        <f t="array" aca="1" ref="G168" ca="1">IFERROR(IF(OR('Raw Data'!G168="",LEN(TRIM('Raw Data'!G168))=0),"",IF(AND(LEN('Raw Data'!G168) &lt;= 50,LEN('Raw Data'!G168)&gt; 0),"",_xlfn.REGEXEXTRACT(CELL("address",'Raw Data'!G168),"\$([A-Z]+)\$[0-9]+"))),_xlfn.REGEXEXTRACT(CELL("address",'Raw Data'!G168),"\$([A-Z]+)\$[0-9]+"))</f>
        <v/>
      </c>
      <c r="H168" s="7" t="str">
        <f t="array" aca="1" ref="H168" ca="1">IFERROR(IF(OR('Raw Data'!H168="",LEN(TRIM('Raw Data'!H168))=0),"",IF(AND(LEN('Raw Data'!H168) &lt;= 50,LEN('Raw Data'!H168)&gt; 0),"",_xlfn.REGEXEXTRACT(CELL("address",'Raw Data'!H168),"\$([A-Z]+)\$[0-9]+"))),_xlfn.REGEXEXTRACT(CELL("address",'Raw Data'!H168),"\$([A-Z]+)\$[0-9]+"))</f>
        <v/>
      </c>
      <c r="I168" s="7" t="str">
        <f t="array" aca="1" ref="I168" ca="1">IFERROR(IF(OR('Raw Data'!I168="",LEN(TRIM('Raw Data'!I168))=0),"",IF(AND(LEN('Raw Data'!I168) &lt;= 50,LEN('Raw Data'!I168)&gt; 0),"",_xlfn.REGEXEXTRACT(CELL("address",'Raw Data'!I168),"\$([A-Z]+)\$[0-9]+"))),_xlfn.REGEXEXTRACT(CELL("address",'Raw Data'!I168),"\$([A-Z]+)\$[0-9]+"))</f>
        <v/>
      </c>
      <c r="J168" s="7" t="str">
        <f t="array" aca="1" ref="J168" ca="1">IFERROR(IF(OR('Raw Data'!J168="",LEN(TRIM('Raw Data'!J168))=0),"",IF(AND(ISNUMBER('Raw Data'!J168), IFERROR('Raw Data'!J168 = ROUND('Raw Data'!J168, 2),FALSE)),"",_xlfn.REGEXEXTRACT(CELL("address",J168), "\$([A-Z]+)\$[0-9]+"))),_xlfn.REGEXEXTRACT(CELL("address",J168), "\$([A-Z]+)\$[0-9]+"))</f>
        <v/>
      </c>
      <c r="K168" s="7" t="str">
        <f t="array" aca="1" ref="K168" ca="1">IFERROR(IF(OR('Raw Data'!K168="",LEN(TRIM('Raw Data'!K168))=0),"",IF(AND(ISNUMBER('Raw Data'!K168), IFERROR('Raw Data'!K168 = ROUND('Raw Data'!K168, 2),FALSE)),"",_xlfn.REGEXEXTRACT(CELL("address",K168), "\$([A-Z]+)\$[0-9]+"))),_xlfn.REGEXEXTRACT(CELL("address",K168), "\$([A-Z]+)\$[0-9]+"))</f>
        <v/>
      </c>
      <c r="L168" s="7" t="str">
        <f t="array" aca="1" ref="L168" ca="1">IFERROR(IF(OR('Raw Data'!L168="",LEN(TRIM('Raw Data'!L168))=0),"",IF(AND(ISNUMBER('Raw Data'!L168), IFERROR('Raw Data'!L168 = ROUND('Raw Data'!L168, 2),FALSE)),"",_xlfn.REGEXEXTRACT(CELL("address",L168), "\$([A-Z]+)\$[0-9]+"))),_xlfn.REGEXEXTRACT(CELL("address",L168), "\$([A-Z]+)\$[0-9]+"))</f>
        <v/>
      </c>
      <c r="M168" s="7" t="str">
        <f t="array" aca="1" ref="M168" ca="1">IFERROR(IF(OR('Raw Data'!M168="",LEN(TRIM('Raw Data'!M168))=0),"",IF(AND(ISNUMBER('Raw Data'!M168), IFERROR('Raw Data'!M168 = ROUND('Raw Data'!M168, 2),FALSE)),"",_xlfn.REGEXEXTRACT(CELL("address",M168), "\$([A-Z]+)\$[0-9]+"))),_xlfn.REGEXEXTRACT(CELL("address",M168), "\$([A-Z]+)\$[0-9]+"))</f>
        <v/>
      </c>
      <c r="N168" s="7" t="str">
        <f t="array" aca="1" ref="N168" ca="1">IFERROR(IF(OR('Raw Data'!N168="",LEN(TRIM('Raw Data'!N168))=0),"",IF(AND(ISNUMBER('Raw Data'!N168), IFERROR('Raw Data'!N168 = ROUND('Raw Data'!N168, 2),FALSE)),"",_xlfn.REGEXEXTRACT(CELL("address",N168), "\$([A-Z]+)\$[0-9]+"))),_xlfn.REGEXEXTRACT(CELL("address",N168), "\$([A-Z]+)\$[0-9]+"))</f>
        <v/>
      </c>
      <c r="O168" s="7" t="str">
        <f t="array" aca="1" ref="O168" ca="1">IFERROR(IF(OR('Raw Data'!O168="",LEN(TRIM('Raw Data'!O168))=0),"",IF(AND(ISNUMBER('Raw Data'!O168),'Raw Data'!O168&gt;=Configuration!$D$2),"",_xlfn.REGEXEXTRACT(CELL("address",'Raw Data'!O168),"\$([A-Z]+)\$[0-9]+"))),_xlfn.REGEXEXTRACT(CELL("address",O168), "\$([A-Z]+)\$[0-9]+"))</f>
        <v/>
      </c>
      <c r="P168" s="7" t="str">
        <f t="array" aca="1" ref="P168" ca="1">IFERROR(IF(OR('Raw Data'!P168="",LEN(TRIM('Raw Data'!P168))=0),"",IF(AND(ISNUMBER('Raw Data'!P168), IFERROR('Raw Data'!P168 = ROUND('Raw Data'!P168, 2),FALSE)),"",_xlfn.REGEXEXTRACT(CELL("address",P168), "\$([A-Z]+)\$[0-9]+"))),_xlfn.REGEXEXTRACT(CELL("address",P168), "\$([A-Z]+)\$[0-9]+"))</f>
        <v/>
      </c>
      <c r="Q168" s="7" t="str">
        <f t="array" aca="1" ref="Q168" ca="1">IFERROR(IF(OR('Raw Data'!Q168="",LEN(TRIM('Raw Data'!Q168))=0),"",IF(AND(ISNUMBER('Raw Data'!Q168), IFERROR('Raw Data'!Q168 = ROUND('Raw Data'!Q168, 2),FALSE)),"",_xlfn.REGEXEXTRACT(CELL("address",Q168), "\$([A-Z]+)\$[0-9]+"))),_xlfn.REGEXEXTRACT(CELL("address",Q168), "\$([A-Z]+)\$[0-9]+"))</f>
        <v/>
      </c>
      <c r="R168" s="7" t="str">
        <f t="array" aca="1" ref="R168" ca="1">IFERROR(IF(OR('Raw Data'!R168="",LEN(TRIM('Raw Data'!R168))=0),"",IF(AND(LEN('Raw Data'!R168) &lt;= 50,LEN('Raw Data'!R168)&gt; 0),"",_xlfn.REGEXEXTRACT(CELL("address",'Raw Data'!R168),"\$([A-Z]+)\$[0-9]+"))),_xlfn.REGEXEXTRACT(CELL("address",'Raw Data'!R168),"\$([A-Z]+)\$[0-9]+"))</f>
        <v/>
      </c>
      <c r="S168" s="7" t="str">
        <f t="array" aca="1" ref="S168" ca="1">IFERROR(IF(OR('Raw Data'!S168="",LEN(TRIM('Raw Data'!S168))=0),"",IF(AND(LEN('Raw Data'!S168) &lt;= 50,LEN('Raw Data'!S168)&gt; 0),"",_xlfn.REGEXEXTRACT(CELL("address",'Raw Data'!S168),"\$([A-Z]+)\$[0-9]+"))),_xlfn.REGEXEXTRACT(CELL("address",'Raw Data'!S168),"\$([A-Z]+)\$[0-9]+"))</f>
        <v/>
      </c>
      <c r="T168" s="7" t="str">
        <f t="array" aca="1" ref="T168" ca="1">IFERROR(IF(OR('Raw Data'!T168="",LEN(TRIM('Raw Data'!T168))=0),"",IF(AND(ISNUMBER('Raw Data'!T168), IFERROR('Raw Data'!T168 = ROUND('Raw Data'!T168, 2),FALSE)),"",_xlfn.REGEXEXTRACT(CELL("address",T168), "\$([A-Z]+)\$[0-9]+"))),_xlfn.REGEXEXTRACT(CELL("address",T168), "\$([A-Z]+)\$[0-9]+"))</f>
        <v/>
      </c>
      <c r="U168" s="7" t="str">
        <f t="array" aca="1" ref="U168" ca="1">IFERROR(IF(OR('Raw Data'!U168="",LEN(TRIM('Raw Data'!U168))=0),"",IF(AND(ISNUMBER('Raw Data'!U168), IFERROR('Raw Data'!U168 = ROUND('Raw Data'!U168, 2),FALSE)),"",_xlfn.REGEXEXTRACT(CELL("address",U168), "\$([A-Z]+)\$[0-9]+"))),_xlfn.REGEXEXTRACT(CELL("address",U168), "\$([A-Z]+)\$[0-9]+"))</f>
        <v/>
      </c>
      <c r="V168" s="7" t="str">
        <f t="array" aca="1" ref="V168" ca="1">IFERROR(IF(OR('Raw Data'!V168="",LEN(TRIM('Raw Data'!V168))=0),"",IF(AND(ISNUMBER('Raw Data'!V168), IFERROR('Raw Data'!V168 = ROUND('Raw Data'!V168, 2),FALSE)),"",_xlfn.REGEXEXTRACT(CELL("address",V168), "\$([A-Z]+)\$[0-9]+"))),_xlfn.REGEXEXTRACT(CELL("address",V168), "\$([A-Z]+)\$[0-9]+"))</f>
        <v/>
      </c>
      <c r="W168" s="7" t="str">
        <f t="array" aca="1" ref="W168" ca="1">IFERROR(IF(OR('Raw Data'!W168="",LEN(TRIM('Raw Data'!W168))=0),"",IF(AND(ISNUMBER('Raw Data'!W168), IFERROR('Raw Data'!W168 = ROUND('Raw Data'!W168, 2),FALSE)),"",_xlfn.REGEXEXTRACT(CELL("address",W168), "\$([A-Z]+)\$[0-9]+"))),_xlfn.REGEXEXTRACT(CELL("address",W168), "\$([A-Z]+)\$[0-9]+"))</f>
        <v/>
      </c>
      <c r="X168" s="7" t="str">
        <f t="array" aca="1" ref="X168" ca="1">IFERROR(IF(OR('Raw Data'!X168="",LEN(TRIM('Raw Data'!X168))=0),"",IF(AND(ISNUMBER('Raw Data'!X168), IFERROR('Raw Data'!X168 = ROUND('Raw Data'!X168, 2),FALSE)),"",_xlfn.REGEXEXTRACT(CELL("address",X168), "\$([A-Z]+)\$[0-9]+"))),_xlfn.REGEXEXTRACT(CELL("address",X168), "\$([A-Z]+)\$[0-9]+"))</f>
        <v/>
      </c>
      <c r="Y168" s="7" t="str">
        <f t="array" aca="1" ref="Y168" ca="1">IFERROR(IF(OR('Raw Data'!Y168="",LEN(TRIM('Raw Data'!Y168))=0),"",IF(AND(ISNUMBER('Raw Data'!Y168), IFERROR('Raw Data'!Y168 = ROUND('Raw Data'!Y168, 2),FALSE)),"",_xlfn.REGEXEXTRACT(CELL("address",Y168), "\$([A-Z]+)\$[0-9]+"))),_xlfn.REGEXEXTRACT(CELL("address",Y168), "\$([A-Z]+)\$[0-9]+"))</f>
        <v/>
      </c>
      <c r="Z168" s="7" t="str">
        <f t="array" aca="1" ref="Z168" ca="1">IFERROR(IF(OR('Raw Data'!Z168="",LEN(TRIM('Raw Data'!Z168))=0),"",IF(AND(ISNUMBER('Raw Data'!Z168), IFERROR('Raw Data'!Z168 = ROUND('Raw Data'!Z168, 2),FALSE)),"",_xlfn.REGEXEXTRACT(CELL("address",Z168), "\$([A-Z]+)\$[0-9]+"))),_xlfn.REGEXEXTRACT(CELL("address",Z168), "\$([A-Z]+)\$[0-9]+"))</f>
        <v/>
      </c>
      <c r="AA168" s="7" t="str">
        <f t="array" aca="1" ref="AA168" ca="1">IFERROR(IF(OR('Raw Data'!AA168="",LEN(TRIM('Raw Data'!AA168))=0),"",IF(AND(ISNUMBER('Raw Data'!AA168), IFERROR('Raw Data'!AA168 = ROUND('Raw Data'!AA168, 2),FALSE)),"",_xlfn.REGEXEXTRACT(CELL("address",AA168), "\$([A-Z]+)\$[0-9]+"))),_xlfn.REGEXEXTRACT(CELL("address",AA168), "\$([A-Z]+)\$[0-9]+"))</f>
        <v/>
      </c>
      <c r="AB168" s="7" t="str">
        <f t="array" aca="1" ref="AB168" ca="1">IFERROR(IF(OR('Raw Data'!AB168="",LEN(TRIM('Raw Data'!AB168))=0),"",IF(AND(ISNUMBER('Raw Data'!AB168), IFERROR('Raw Data'!AB168 = ROUND('Raw Data'!AB168, 2),FALSE)),"",_xlfn.REGEXEXTRACT(CELL("address",AB168), "\$([A-Z]+)\$[0-9]+"))),_xlfn.REGEXEXTRACT(CELL("address",AB168), "\$([A-Z]+)\$[0-9]+"))</f>
        <v/>
      </c>
      <c r="AC168" s="7" t="str">
        <f t="array" aca="1" ref="AC168" ca="1">IFERROR(IF(OR('Raw Data'!AC168="",LEN(TRIM('Raw Data'!AC168))=0),"",IF(AND(ISNUMBER('Raw Data'!AC168), IFERROR('Raw Data'!AC168 = ROUND('Raw Data'!AC168, 2),FALSE)),"",_xlfn.REGEXEXTRACT(CELL("address",AC168), "\$([A-Z]+)\$[0-9]+"))),_xlfn.REGEXEXTRACT(CELL("address",AC168), "\$([A-Z]+)\$[0-9]+"))</f>
        <v/>
      </c>
      <c r="AD168" s="7" t="str">
        <f t="array" aca="1" ref="AD168" ca="1">IFERROR(IF(OR('Raw Data'!AD168="",LEN(TRIM('Raw Data'!AD168))=0),"",IF(AND(ISNUMBER('Raw Data'!AD168), IFERROR('Raw Data'!AD168 = ROUND('Raw Data'!AD168, 2),FALSE)),"",_xlfn.REGEXEXTRACT(CELL("address",AD168), "\$([A-Z]+)\$[0-9]+"))),_xlfn.REGEXEXTRACT(CELL("address",AD168), "\$([A-Z]+)\$[0-9]+"))</f>
        <v/>
      </c>
      <c r="AE168" s="7" t="str">
        <f t="array" aca="1" ref="AE168" ca="1">IFERROR(IF(OR('Raw Data'!AE168="",LEN(TRIM('Raw Data'!AE168))=0),"",IF(AND(ISNUMBER('Raw Data'!AE168), IFERROR('Raw Data'!AE168 = ROUND('Raw Data'!AE168, 2),FALSE)),"",_xlfn.REGEXEXTRACT(CELL("address",AE168), "\$([A-Z]+)\$[0-9]+"))),_xlfn.REGEXEXTRACT(CELL("address",AE168), "\$([A-Z]+)\$[0-9]+"))</f>
        <v/>
      </c>
      <c r="AF168" s="7" t="str">
        <f t="array" aca="1" ref="AF168" ca="1">IFERROR(IF(OR('Raw Data'!AF168="",LEN(TRIM('Raw Data'!AF168))=0),"",IF(AND(ISNUMBER('Raw Data'!AF168), IFERROR('Raw Data'!AF168 = ROUND('Raw Data'!AF168, 2),FALSE)),"",_xlfn.REGEXEXTRACT(CELL("address",AF168), "\$([A-Z]+)\$[0-9]+"))),_xlfn.REGEXEXTRACT(CELL("address",AF168), "\$([A-Z]+)\$[0-9]+"))</f>
        <v/>
      </c>
      <c r="AG168" s="7" t="str">
        <f t="array" aca="1" ref="AG168" ca="1">IFERROR(IF(OR('Raw Data'!AG168="",LEN(TRIM('Raw Data'!AG168))=0),"",IF(AND(ISNUMBER('Raw Data'!AG168), IFERROR('Raw Data'!AG168 = ROUND('Raw Data'!AG168, 2),FALSE)),"",_xlfn.REGEXEXTRACT(CELL("address",AG168), "\$([A-Z]+)\$[0-9]+"))),_xlfn.REGEXEXTRACT(CELL("address",AG168), "\$([A-Z]+)\$[0-9]+"))</f>
        <v/>
      </c>
      <c r="AH168" s="7" t="str">
        <f t="array" aca="1" ref="AH168" ca="1">IFERROR(IF(OR('Raw Data'!AH168="",LEN(TRIM('Raw Data'!AH168))=0),"",IF(AND(ISNUMBER('Raw Data'!AH168), IFERROR('Raw Data'!AH168 = ROUND('Raw Data'!AH168, 2),FALSE)),"",_xlfn.REGEXEXTRACT(CELL("address",AH168), "\$([A-Z]+)\$[0-9]+"))),_xlfn.REGEXEXTRACT(CELL("address",AH168), "\$([A-Z]+)\$[0-9]+"))</f>
        <v/>
      </c>
      <c r="AI168" s="7" t="str">
        <f t="array" aca="1" ref="AI168" ca="1">IFERROR(IF(OR('Raw Data'!AI168="",LEN(TRIM('Raw Data'!AI168))=0),"",IF(AND(ISNUMBER('Raw Data'!AI168), IFERROR('Raw Data'!AI168 = ROUND('Raw Data'!AI168, 2),FALSE)),"",_xlfn.REGEXEXTRACT(CELL("address",AI168), "\$([A-Z]+)\$[0-9]+"))),_xlfn.REGEXEXTRACT(CELL("address",AI168), "\$([A-Z]+)\$[0-9]+"))</f>
        <v/>
      </c>
      <c r="AJ168" s="7" t="str">
        <f t="array" aca="1" ref="AJ168" ca="1">IFERROR(IF(OR('Raw Data'!AJ168="",LEN(TRIM('Raw Data'!AJ168))=0),"",IF(AND(ISNUMBER('Raw Data'!AJ168), IFERROR('Raw Data'!AJ168 = ROUND('Raw Data'!AJ168, 4),FALSE)),"",_xlfn.REGEXEXTRACT(CELL("address",AJ168), "\$([A-Z]+)\$[0-9]+"))),_xlfn.REGEXEXTRACT(CELL("address",AJ168), "\$([A-Z]+)\$[0-9]+"))</f>
        <v/>
      </c>
      <c r="AK168" s="7" t="str">
        <f t="array" aca="1" ref="AK168" ca="1">IFERROR(IF(OR('Raw Data'!AK168="",LEN(TRIM('Raw Data'!AK168))=0),"",IF(AND(ISNUMBER('Raw Data'!AK168), IFERROR('Raw Data'!AK168 = ROUND('Raw Data'!AK168, 2),FALSE)),"",_xlfn.REGEXEXTRACT(CELL("address",AK168), "\$([A-Z]+)\$[0-9]+"))),_xlfn.REGEXEXTRACT(CELL("address",AK168), "\$([A-Z]+)\$[0-9]+"))</f>
        <v/>
      </c>
      <c r="AL168" s="7" t="str">
        <f t="array" aca="1" ref="AL168" ca="1">IFERROR(IF(OR('Raw Data'!AL168="",LEN(TRIM('Raw Data'!AL168))=0),"",IF(AND(ISNUMBER('Raw Data'!AL168), IFERROR('Raw Data'!AL168 = ROUND('Raw Data'!AL168, 2),FALSE)),"",_xlfn.REGEXEXTRACT(CELL("address",AL168), "\$([A-Z]+)\$[0-9]+"))),_xlfn.REGEXEXTRACT(CELL("address",AL168), "\$([A-Z]+)\$[0-9]+"))</f>
        <v/>
      </c>
      <c r="AM168" s="7" t="str">
        <f t="array" aca="1" ref="AM168" ca="1">IFERROR(IF(OR('Raw Data'!AM168="",LEN(TRIM('Raw Data'!AM168))=0),"",IF(AND(ISNUMBER('Raw Data'!AM168), IFERROR('Raw Data'!AM168 = ROUND('Raw Data'!AM168, 2),FALSE)),"",_xlfn.REGEXEXTRACT(CELL("address",AM168), "\$([A-Z]+)\$[0-9]+"))),_xlfn.REGEXEXTRACT(CELL("address",AM168), "\$([A-Z]+)\$[0-9]+"))</f>
        <v/>
      </c>
      <c r="AN168" s="7" t="str">
        <f t="array" aca="1" ref="AN168" ca="1">IFERROR(IF(OR('Raw Data'!AN168="",LEN(TRIM('Raw Data'!AN168))=0),"",IF(AND(ISNUMBER('Raw Data'!AN168), IFERROR('Raw Data'!AN168 = ROUND('Raw Data'!AN168, 2),FALSE)),"",_xlfn.REGEXEXTRACT(CELL("address",AN168), "\$([A-Z]+)\$[0-9]+"))),_xlfn.REGEXEXTRACT(CELL("address",AN168), "\$([A-Z]+)\$[0-9]+"))</f>
        <v/>
      </c>
      <c r="AO168" s="7" t="str">
        <f t="array" aca="1" ref="AO168" ca="1">IFERROR(IF(OR('Raw Data'!AO168="",LEN(TRIM('Raw Data'!AO168))=0),"",IF(AND(ISNUMBER('Raw Data'!AO168), IFERROR('Raw Data'!AO168 = ROUND('Raw Data'!AO168, 2),FALSE)),"",_xlfn.REGEXEXTRACT(CELL("address",AO168), "\$([A-Z]+)\$[0-9]+"))),_xlfn.REGEXEXTRACT(CELL("address",AO168), "\$([A-Z]+)\$[0-9]+"))</f>
        <v/>
      </c>
      <c r="AP168" s="7" t="str">
        <f t="array" aca="1" ref="AP168" ca="1">IFERROR(IF(OR('Raw Data'!AP168="",LEN(TRIM('Raw Data'!AP168))=0),"",IF(AND(ISNUMBER('Raw Data'!AP168), IFERROR('Raw Data'!AP168 = ROUND('Raw Data'!AP168, 2),FALSE)),"",_xlfn.REGEXEXTRACT(CELL("address",AP168), "\$([A-Z]+)\$[0-9]+"))),_xlfn.REGEXEXTRACT(CELL("address",AP168), "\$([A-Z]+)\$[0-9]+"))</f>
        <v/>
      </c>
    </row>
    <row r="169" spans="2:42" x14ac:dyDescent="0.25">
      <c r="B169" s="7" t="str">
        <f t="array" aca="1" ref="B169" ca="1">IFERROR(IF(OR('Raw Data'!B169="",LEN(TRIM('Raw Data'!B169))=0),"",IF(AND(LEN('Raw Data'!B169) &lt;= 255,LEN('Raw Data'!B169)&gt; 0),"",_xlfn.REGEXEXTRACT(CELL("address",'Raw Data'!B169),"\$([A-Z]+)\$[0-9]+"))),_xlfn.REGEXEXTRACT(CELL("address",'Raw Data'!B169),"\$([A-Z]+)\$[0-9]+"))</f>
        <v/>
      </c>
      <c r="C169" s="7" t="str">
        <f t="array" aca="1" ref="C169" ca="1">IFERROR(IF(OR('Raw Data'!C169="",LEN(TRIM('Raw Data'!C169))=0),"",IF(AND(LEN('Raw Data'!C169) &lt;= 50,LEN('Raw Data'!C169)&gt; 0),"",_xlfn.REGEXEXTRACT(CELL("address",'Raw Data'!C169),"\$([A-Z]+)\$[0-9]+"))),_xlfn.REGEXEXTRACT(CELL("address",'Raw Data'!C169),"\$([A-Z]+)\$[0-9]+"))</f>
        <v/>
      </c>
      <c r="D169" s="7" t="str">
        <f t="array" aca="1" ref="D169" ca="1">IFERROR(IF(OR('Raw Data'!D169="",LEN(TRIM('Raw Data'!D169))=0),"",IF(AND(LEN('Raw Data'!D169) &lt;= 500,LEN('Raw Data'!D169)&gt; 0),"",_xlfn.REGEXEXTRACT(CELL("address",'Raw Data'!D169),"\$([A-Z]+)\$[0-9]+"))),_xlfn.REGEXEXTRACT(CELL("address",'Raw Data'!D169),"\$([A-Z]+)\$[0-9]+"))</f>
        <v/>
      </c>
      <c r="E169" s="7" t="str">
        <f t="array" aca="1" ref="E169" ca="1">IFERROR(IF(OR('Raw Data'!E169="",LEN(TRIM('Raw Data'!E169))=0),"",IF(AND(LEN('Raw Data'!E169) &lt;= 50,LEN('Raw Data'!E169)&gt; 0),"",_xlfn.REGEXEXTRACT(CELL("address",'Raw Data'!E169),"\$([A-Z]+)\$[0-9]+"))),_xlfn.REGEXEXTRACT(CELL("address",'Raw Data'!E169),"\$([A-Z]+)\$[0-9]+"))</f>
        <v/>
      </c>
      <c r="F169" s="7" t="str">
        <f t="array" aca="1" ref="F169" ca="1">IFERROR(IF(OR('Raw Data'!F169="",LEN(TRIM('Raw Data'!F169))=0),"",IF(AND(LEN('Raw Data'!F169) &lt;= 50,LEN('Raw Data'!F169)&gt; 0),"",_xlfn.REGEXEXTRACT(CELL("address",'Raw Data'!F169),"\$([A-Z]+)\$[0-9]+"))),_xlfn.REGEXEXTRACT(CELL("address",'Raw Data'!F169),"\$([A-Z]+)\$[0-9]+"))</f>
        <v/>
      </c>
      <c r="G169" s="7" t="str">
        <f t="array" aca="1" ref="G169" ca="1">IFERROR(IF(OR('Raw Data'!G169="",LEN(TRIM('Raw Data'!G169))=0),"",IF(AND(LEN('Raw Data'!G169) &lt;= 50,LEN('Raw Data'!G169)&gt; 0),"",_xlfn.REGEXEXTRACT(CELL("address",'Raw Data'!G169),"\$([A-Z]+)\$[0-9]+"))),_xlfn.REGEXEXTRACT(CELL("address",'Raw Data'!G169),"\$([A-Z]+)\$[0-9]+"))</f>
        <v/>
      </c>
      <c r="H169" s="7" t="str">
        <f t="array" aca="1" ref="H169" ca="1">IFERROR(IF(OR('Raw Data'!H169="",LEN(TRIM('Raw Data'!H169))=0),"",IF(AND(LEN('Raw Data'!H169) &lt;= 50,LEN('Raw Data'!H169)&gt; 0),"",_xlfn.REGEXEXTRACT(CELL("address",'Raw Data'!H169),"\$([A-Z]+)\$[0-9]+"))),_xlfn.REGEXEXTRACT(CELL("address",'Raw Data'!H169),"\$([A-Z]+)\$[0-9]+"))</f>
        <v/>
      </c>
      <c r="I169" s="7" t="str">
        <f t="array" aca="1" ref="I169" ca="1">IFERROR(IF(OR('Raw Data'!I169="",LEN(TRIM('Raw Data'!I169))=0),"",IF(AND(LEN('Raw Data'!I169) &lt;= 50,LEN('Raw Data'!I169)&gt; 0),"",_xlfn.REGEXEXTRACT(CELL("address",'Raw Data'!I169),"\$([A-Z]+)\$[0-9]+"))),_xlfn.REGEXEXTRACT(CELL("address",'Raw Data'!I169),"\$([A-Z]+)\$[0-9]+"))</f>
        <v/>
      </c>
      <c r="J169" s="7" t="str">
        <f t="array" aca="1" ref="J169" ca="1">IFERROR(IF(OR('Raw Data'!J169="",LEN(TRIM('Raw Data'!J169))=0),"",IF(AND(ISNUMBER('Raw Data'!J169), IFERROR('Raw Data'!J169 = ROUND('Raw Data'!J169, 2),FALSE)),"",_xlfn.REGEXEXTRACT(CELL("address",J169), "\$([A-Z]+)\$[0-9]+"))),_xlfn.REGEXEXTRACT(CELL("address",J169), "\$([A-Z]+)\$[0-9]+"))</f>
        <v/>
      </c>
      <c r="K169" s="7" t="str">
        <f t="array" aca="1" ref="K169" ca="1">IFERROR(IF(OR('Raw Data'!K169="",LEN(TRIM('Raw Data'!K169))=0),"",IF(AND(ISNUMBER('Raw Data'!K169), IFERROR('Raw Data'!K169 = ROUND('Raw Data'!K169, 2),FALSE)),"",_xlfn.REGEXEXTRACT(CELL("address",K169), "\$([A-Z]+)\$[0-9]+"))),_xlfn.REGEXEXTRACT(CELL("address",K169), "\$([A-Z]+)\$[0-9]+"))</f>
        <v/>
      </c>
      <c r="L169" s="7" t="str">
        <f t="array" aca="1" ref="L169" ca="1">IFERROR(IF(OR('Raw Data'!L169="",LEN(TRIM('Raw Data'!L169))=0),"",IF(AND(ISNUMBER('Raw Data'!L169), IFERROR('Raw Data'!L169 = ROUND('Raw Data'!L169, 2),FALSE)),"",_xlfn.REGEXEXTRACT(CELL("address",L169), "\$([A-Z]+)\$[0-9]+"))),_xlfn.REGEXEXTRACT(CELL("address",L169), "\$([A-Z]+)\$[0-9]+"))</f>
        <v/>
      </c>
      <c r="M169" s="7" t="str">
        <f t="array" aca="1" ref="M169" ca="1">IFERROR(IF(OR('Raw Data'!M169="",LEN(TRIM('Raw Data'!M169))=0),"",IF(AND(ISNUMBER('Raw Data'!M169), IFERROR('Raw Data'!M169 = ROUND('Raw Data'!M169, 2),FALSE)),"",_xlfn.REGEXEXTRACT(CELL("address",M169), "\$([A-Z]+)\$[0-9]+"))),_xlfn.REGEXEXTRACT(CELL("address",M169), "\$([A-Z]+)\$[0-9]+"))</f>
        <v/>
      </c>
      <c r="N169" s="7" t="str">
        <f t="array" aca="1" ref="N169" ca="1">IFERROR(IF(OR('Raw Data'!N169="",LEN(TRIM('Raw Data'!N169))=0),"",IF(AND(ISNUMBER('Raw Data'!N169), IFERROR('Raw Data'!N169 = ROUND('Raw Data'!N169, 2),FALSE)),"",_xlfn.REGEXEXTRACT(CELL("address",N169), "\$([A-Z]+)\$[0-9]+"))),_xlfn.REGEXEXTRACT(CELL("address",N169), "\$([A-Z]+)\$[0-9]+"))</f>
        <v/>
      </c>
      <c r="O169" s="7" t="str">
        <f t="array" aca="1" ref="O169" ca="1">IFERROR(IF(OR('Raw Data'!O169="",LEN(TRIM('Raw Data'!O169))=0),"",IF(AND(ISNUMBER('Raw Data'!O169),'Raw Data'!O169&gt;=Configuration!$D$2),"",_xlfn.REGEXEXTRACT(CELL("address",'Raw Data'!O169),"\$([A-Z]+)\$[0-9]+"))),_xlfn.REGEXEXTRACT(CELL("address",O169), "\$([A-Z]+)\$[0-9]+"))</f>
        <v/>
      </c>
      <c r="P169" s="7" t="str">
        <f t="array" aca="1" ref="P169" ca="1">IFERROR(IF(OR('Raw Data'!P169="",LEN(TRIM('Raw Data'!P169))=0),"",IF(AND(ISNUMBER('Raw Data'!P169), IFERROR('Raw Data'!P169 = ROUND('Raw Data'!P169, 2),FALSE)),"",_xlfn.REGEXEXTRACT(CELL("address",P169), "\$([A-Z]+)\$[0-9]+"))),_xlfn.REGEXEXTRACT(CELL("address",P169), "\$([A-Z]+)\$[0-9]+"))</f>
        <v/>
      </c>
      <c r="Q169" s="7" t="str">
        <f t="array" aca="1" ref="Q169" ca="1">IFERROR(IF(OR('Raw Data'!Q169="",LEN(TRIM('Raw Data'!Q169))=0),"",IF(AND(ISNUMBER('Raw Data'!Q169), IFERROR('Raw Data'!Q169 = ROUND('Raw Data'!Q169, 2),FALSE)),"",_xlfn.REGEXEXTRACT(CELL("address",Q169), "\$([A-Z]+)\$[0-9]+"))),_xlfn.REGEXEXTRACT(CELL("address",Q169), "\$([A-Z]+)\$[0-9]+"))</f>
        <v/>
      </c>
      <c r="R169" s="7" t="str">
        <f t="array" aca="1" ref="R169" ca="1">IFERROR(IF(OR('Raw Data'!R169="",LEN(TRIM('Raw Data'!R169))=0),"",IF(AND(LEN('Raw Data'!R169) &lt;= 50,LEN('Raw Data'!R169)&gt; 0),"",_xlfn.REGEXEXTRACT(CELL("address",'Raw Data'!R169),"\$([A-Z]+)\$[0-9]+"))),_xlfn.REGEXEXTRACT(CELL("address",'Raw Data'!R169),"\$([A-Z]+)\$[0-9]+"))</f>
        <v/>
      </c>
      <c r="S169" s="7" t="str">
        <f t="array" aca="1" ref="S169" ca="1">IFERROR(IF(OR('Raw Data'!S169="",LEN(TRIM('Raw Data'!S169))=0),"",IF(AND(LEN('Raw Data'!S169) &lt;= 50,LEN('Raw Data'!S169)&gt; 0),"",_xlfn.REGEXEXTRACT(CELL("address",'Raw Data'!S169),"\$([A-Z]+)\$[0-9]+"))),_xlfn.REGEXEXTRACT(CELL("address",'Raw Data'!S169),"\$([A-Z]+)\$[0-9]+"))</f>
        <v/>
      </c>
      <c r="T169" s="7" t="str">
        <f t="array" aca="1" ref="T169" ca="1">IFERROR(IF(OR('Raw Data'!T169="",LEN(TRIM('Raw Data'!T169))=0),"",IF(AND(ISNUMBER('Raw Data'!T169), IFERROR('Raw Data'!T169 = ROUND('Raw Data'!T169, 2),FALSE)),"",_xlfn.REGEXEXTRACT(CELL("address",T169), "\$([A-Z]+)\$[0-9]+"))),_xlfn.REGEXEXTRACT(CELL("address",T169), "\$([A-Z]+)\$[0-9]+"))</f>
        <v/>
      </c>
      <c r="U169" s="7" t="str">
        <f t="array" aca="1" ref="U169" ca="1">IFERROR(IF(OR('Raw Data'!U169="",LEN(TRIM('Raw Data'!U169))=0),"",IF(AND(ISNUMBER('Raw Data'!U169), IFERROR('Raw Data'!U169 = ROUND('Raw Data'!U169, 2),FALSE)),"",_xlfn.REGEXEXTRACT(CELL("address",U169), "\$([A-Z]+)\$[0-9]+"))),_xlfn.REGEXEXTRACT(CELL("address",U169), "\$([A-Z]+)\$[0-9]+"))</f>
        <v/>
      </c>
      <c r="V169" s="7" t="str">
        <f t="array" aca="1" ref="V169" ca="1">IFERROR(IF(OR('Raw Data'!V169="",LEN(TRIM('Raw Data'!V169))=0),"",IF(AND(ISNUMBER('Raw Data'!V169), IFERROR('Raw Data'!V169 = ROUND('Raw Data'!V169, 2),FALSE)),"",_xlfn.REGEXEXTRACT(CELL("address",V169), "\$([A-Z]+)\$[0-9]+"))),_xlfn.REGEXEXTRACT(CELL("address",V169), "\$([A-Z]+)\$[0-9]+"))</f>
        <v/>
      </c>
      <c r="W169" s="7" t="str">
        <f t="array" aca="1" ref="W169" ca="1">IFERROR(IF(OR('Raw Data'!W169="",LEN(TRIM('Raw Data'!W169))=0),"",IF(AND(ISNUMBER('Raw Data'!W169), IFERROR('Raw Data'!W169 = ROUND('Raw Data'!W169, 2),FALSE)),"",_xlfn.REGEXEXTRACT(CELL("address",W169), "\$([A-Z]+)\$[0-9]+"))),_xlfn.REGEXEXTRACT(CELL("address",W169), "\$([A-Z]+)\$[0-9]+"))</f>
        <v/>
      </c>
      <c r="X169" s="7" t="str">
        <f t="array" aca="1" ref="X169" ca="1">IFERROR(IF(OR('Raw Data'!X169="",LEN(TRIM('Raw Data'!X169))=0),"",IF(AND(ISNUMBER('Raw Data'!X169), IFERROR('Raw Data'!X169 = ROUND('Raw Data'!X169, 2),FALSE)),"",_xlfn.REGEXEXTRACT(CELL("address",X169), "\$([A-Z]+)\$[0-9]+"))),_xlfn.REGEXEXTRACT(CELL("address",X169), "\$([A-Z]+)\$[0-9]+"))</f>
        <v/>
      </c>
      <c r="Y169" s="7" t="str">
        <f t="array" aca="1" ref="Y169" ca="1">IFERROR(IF(OR('Raw Data'!Y169="",LEN(TRIM('Raw Data'!Y169))=0),"",IF(AND(ISNUMBER('Raw Data'!Y169), IFERROR('Raw Data'!Y169 = ROUND('Raw Data'!Y169, 2),FALSE)),"",_xlfn.REGEXEXTRACT(CELL("address",Y169), "\$([A-Z]+)\$[0-9]+"))),_xlfn.REGEXEXTRACT(CELL("address",Y169), "\$([A-Z]+)\$[0-9]+"))</f>
        <v/>
      </c>
      <c r="Z169" s="7" t="str">
        <f t="array" aca="1" ref="Z169" ca="1">IFERROR(IF(OR('Raw Data'!Z169="",LEN(TRIM('Raw Data'!Z169))=0),"",IF(AND(ISNUMBER('Raw Data'!Z169), IFERROR('Raw Data'!Z169 = ROUND('Raw Data'!Z169, 2),FALSE)),"",_xlfn.REGEXEXTRACT(CELL("address",Z169), "\$([A-Z]+)\$[0-9]+"))),_xlfn.REGEXEXTRACT(CELL("address",Z169), "\$([A-Z]+)\$[0-9]+"))</f>
        <v/>
      </c>
      <c r="AA169" s="7" t="str">
        <f t="array" aca="1" ref="AA169" ca="1">IFERROR(IF(OR('Raw Data'!AA169="",LEN(TRIM('Raw Data'!AA169))=0),"",IF(AND(ISNUMBER('Raw Data'!AA169), IFERROR('Raw Data'!AA169 = ROUND('Raw Data'!AA169, 2),FALSE)),"",_xlfn.REGEXEXTRACT(CELL("address",AA169), "\$([A-Z]+)\$[0-9]+"))),_xlfn.REGEXEXTRACT(CELL("address",AA169), "\$([A-Z]+)\$[0-9]+"))</f>
        <v/>
      </c>
      <c r="AB169" s="7" t="str">
        <f t="array" aca="1" ref="AB169" ca="1">IFERROR(IF(OR('Raw Data'!AB169="",LEN(TRIM('Raw Data'!AB169))=0),"",IF(AND(ISNUMBER('Raw Data'!AB169), IFERROR('Raw Data'!AB169 = ROUND('Raw Data'!AB169, 2),FALSE)),"",_xlfn.REGEXEXTRACT(CELL("address",AB169), "\$([A-Z]+)\$[0-9]+"))),_xlfn.REGEXEXTRACT(CELL("address",AB169), "\$([A-Z]+)\$[0-9]+"))</f>
        <v/>
      </c>
      <c r="AC169" s="7" t="str">
        <f t="array" aca="1" ref="AC169" ca="1">IFERROR(IF(OR('Raw Data'!AC169="",LEN(TRIM('Raw Data'!AC169))=0),"",IF(AND(ISNUMBER('Raw Data'!AC169), IFERROR('Raw Data'!AC169 = ROUND('Raw Data'!AC169, 2),FALSE)),"",_xlfn.REGEXEXTRACT(CELL("address",AC169), "\$([A-Z]+)\$[0-9]+"))),_xlfn.REGEXEXTRACT(CELL("address",AC169), "\$([A-Z]+)\$[0-9]+"))</f>
        <v/>
      </c>
      <c r="AD169" s="7" t="str">
        <f t="array" aca="1" ref="AD169" ca="1">IFERROR(IF(OR('Raw Data'!AD169="",LEN(TRIM('Raw Data'!AD169))=0),"",IF(AND(ISNUMBER('Raw Data'!AD169), IFERROR('Raw Data'!AD169 = ROUND('Raw Data'!AD169, 2),FALSE)),"",_xlfn.REGEXEXTRACT(CELL("address",AD169), "\$([A-Z]+)\$[0-9]+"))),_xlfn.REGEXEXTRACT(CELL("address",AD169), "\$([A-Z]+)\$[0-9]+"))</f>
        <v/>
      </c>
      <c r="AE169" s="7" t="str">
        <f t="array" aca="1" ref="AE169" ca="1">IFERROR(IF(OR('Raw Data'!AE169="",LEN(TRIM('Raw Data'!AE169))=0),"",IF(AND(ISNUMBER('Raw Data'!AE169), IFERROR('Raw Data'!AE169 = ROUND('Raw Data'!AE169, 2),FALSE)),"",_xlfn.REGEXEXTRACT(CELL("address",AE169), "\$([A-Z]+)\$[0-9]+"))),_xlfn.REGEXEXTRACT(CELL("address",AE169), "\$([A-Z]+)\$[0-9]+"))</f>
        <v/>
      </c>
      <c r="AF169" s="7" t="str">
        <f t="array" aca="1" ref="AF169" ca="1">IFERROR(IF(OR('Raw Data'!AF169="",LEN(TRIM('Raw Data'!AF169))=0),"",IF(AND(ISNUMBER('Raw Data'!AF169), IFERROR('Raw Data'!AF169 = ROUND('Raw Data'!AF169, 2),FALSE)),"",_xlfn.REGEXEXTRACT(CELL("address",AF169), "\$([A-Z]+)\$[0-9]+"))),_xlfn.REGEXEXTRACT(CELL("address",AF169), "\$([A-Z]+)\$[0-9]+"))</f>
        <v/>
      </c>
      <c r="AG169" s="7" t="str">
        <f t="array" aca="1" ref="AG169" ca="1">IFERROR(IF(OR('Raw Data'!AG169="",LEN(TRIM('Raw Data'!AG169))=0),"",IF(AND(ISNUMBER('Raw Data'!AG169), IFERROR('Raw Data'!AG169 = ROUND('Raw Data'!AG169, 2),FALSE)),"",_xlfn.REGEXEXTRACT(CELL("address",AG169), "\$([A-Z]+)\$[0-9]+"))),_xlfn.REGEXEXTRACT(CELL("address",AG169), "\$([A-Z]+)\$[0-9]+"))</f>
        <v/>
      </c>
      <c r="AH169" s="7" t="str">
        <f t="array" aca="1" ref="AH169" ca="1">IFERROR(IF(OR('Raw Data'!AH169="",LEN(TRIM('Raw Data'!AH169))=0),"",IF(AND(ISNUMBER('Raw Data'!AH169), IFERROR('Raw Data'!AH169 = ROUND('Raw Data'!AH169, 2),FALSE)),"",_xlfn.REGEXEXTRACT(CELL("address",AH169), "\$([A-Z]+)\$[0-9]+"))),_xlfn.REGEXEXTRACT(CELL("address",AH169), "\$([A-Z]+)\$[0-9]+"))</f>
        <v/>
      </c>
      <c r="AI169" s="7" t="str">
        <f t="array" aca="1" ref="AI169" ca="1">IFERROR(IF(OR('Raw Data'!AI169="",LEN(TRIM('Raw Data'!AI169))=0),"",IF(AND(ISNUMBER('Raw Data'!AI169), IFERROR('Raw Data'!AI169 = ROUND('Raw Data'!AI169, 2),FALSE)),"",_xlfn.REGEXEXTRACT(CELL("address",AI169), "\$([A-Z]+)\$[0-9]+"))),_xlfn.REGEXEXTRACT(CELL("address",AI169), "\$([A-Z]+)\$[0-9]+"))</f>
        <v/>
      </c>
      <c r="AJ169" s="7" t="str">
        <f t="array" aca="1" ref="AJ169" ca="1">IFERROR(IF(OR('Raw Data'!AJ169="",LEN(TRIM('Raw Data'!AJ169))=0),"",IF(AND(ISNUMBER('Raw Data'!AJ169), IFERROR('Raw Data'!AJ169 = ROUND('Raw Data'!AJ169, 4),FALSE)),"",_xlfn.REGEXEXTRACT(CELL("address",AJ169), "\$([A-Z]+)\$[0-9]+"))),_xlfn.REGEXEXTRACT(CELL("address",AJ169), "\$([A-Z]+)\$[0-9]+"))</f>
        <v/>
      </c>
      <c r="AK169" s="7" t="str">
        <f t="array" aca="1" ref="AK169" ca="1">IFERROR(IF(OR('Raw Data'!AK169="",LEN(TRIM('Raw Data'!AK169))=0),"",IF(AND(ISNUMBER('Raw Data'!AK169), IFERROR('Raw Data'!AK169 = ROUND('Raw Data'!AK169, 2),FALSE)),"",_xlfn.REGEXEXTRACT(CELL("address",AK169), "\$([A-Z]+)\$[0-9]+"))),_xlfn.REGEXEXTRACT(CELL("address",AK169), "\$([A-Z]+)\$[0-9]+"))</f>
        <v/>
      </c>
      <c r="AL169" s="7" t="str">
        <f t="array" aca="1" ref="AL169" ca="1">IFERROR(IF(OR('Raw Data'!AL169="",LEN(TRIM('Raw Data'!AL169))=0),"",IF(AND(ISNUMBER('Raw Data'!AL169), IFERROR('Raw Data'!AL169 = ROUND('Raw Data'!AL169, 2),FALSE)),"",_xlfn.REGEXEXTRACT(CELL("address",AL169), "\$([A-Z]+)\$[0-9]+"))),_xlfn.REGEXEXTRACT(CELL("address",AL169), "\$([A-Z]+)\$[0-9]+"))</f>
        <v/>
      </c>
      <c r="AM169" s="7" t="str">
        <f t="array" aca="1" ref="AM169" ca="1">IFERROR(IF(OR('Raw Data'!AM169="",LEN(TRIM('Raw Data'!AM169))=0),"",IF(AND(ISNUMBER('Raw Data'!AM169), IFERROR('Raw Data'!AM169 = ROUND('Raw Data'!AM169, 2),FALSE)),"",_xlfn.REGEXEXTRACT(CELL("address",AM169), "\$([A-Z]+)\$[0-9]+"))),_xlfn.REGEXEXTRACT(CELL("address",AM169), "\$([A-Z]+)\$[0-9]+"))</f>
        <v/>
      </c>
      <c r="AN169" s="7" t="str">
        <f t="array" aca="1" ref="AN169" ca="1">IFERROR(IF(OR('Raw Data'!AN169="",LEN(TRIM('Raw Data'!AN169))=0),"",IF(AND(ISNUMBER('Raw Data'!AN169), IFERROR('Raw Data'!AN169 = ROUND('Raw Data'!AN169, 2),FALSE)),"",_xlfn.REGEXEXTRACT(CELL("address",AN169), "\$([A-Z]+)\$[0-9]+"))),_xlfn.REGEXEXTRACT(CELL("address",AN169), "\$([A-Z]+)\$[0-9]+"))</f>
        <v/>
      </c>
      <c r="AO169" s="7" t="str">
        <f t="array" aca="1" ref="AO169" ca="1">IFERROR(IF(OR('Raw Data'!AO169="",LEN(TRIM('Raw Data'!AO169))=0),"",IF(AND(ISNUMBER('Raw Data'!AO169), IFERROR('Raw Data'!AO169 = ROUND('Raw Data'!AO169, 2),FALSE)),"",_xlfn.REGEXEXTRACT(CELL("address",AO169), "\$([A-Z]+)\$[0-9]+"))),_xlfn.REGEXEXTRACT(CELL("address",AO169), "\$([A-Z]+)\$[0-9]+"))</f>
        <v/>
      </c>
      <c r="AP169" s="7" t="str">
        <f t="array" aca="1" ref="AP169" ca="1">IFERROR(IF(OR('Raw Data'!AP169="",LEN(TRIM('Raw Data'!AP169))=0),"",IF(AND(ISNUMBER('Raw Data'!AP169), IFERROR('Raw Data'!AP169 = ROUND('Raw Data'!AP169, 2),FALSE)),"",_xlfn.REGEXEXTRACT(CELL("address",AP169), "\$([A-Z]+)\$[0-9]+"))),_xlfn.REGEXEXTRACT(CELL("address",AP169), "\$([A-Z]+)\$[0-9]+"))</f>
        <v/>
      </c>
    </row>
    <row r="170" spans="2:42" x14ac:dyDescent="0.25">
      <c r="B170" s="7" t="str">
        <f t="array" aca="1" ref="B170" ca="1">IFERROR(IF(OR('Raw Data'!B170="",LEN(TRIM('Raw Data'!B170))=0),"",IF(AND(LEN('Raw Data'!B170) &lt;= 255,LEN('Raw Data'!B170)&gt; 0),"",_xlfn.REGEXEXTRACT(CELL("address",'Raw Data'!B170),"\$([A-Z]+)\$[0-9]+"))),_xlfn.REGEXEXTRACT(CELL("address",'Raw Data'!B170),"\$([A-Z]+)\$[0-9]+"))</f>
        <v/>
      </c>
      <c r="C170" s="7" t="str">
        <f t="array" aca="1" ref="C170" ca="1">IFERROR(IF(OR('Raw Data'!C170="",LEN(TRIM('Raw Data'!C170))=0),"",IF(AND(LEN('Raw Data'!C170) &lt;= 50,LEN('Raw Data'!C170)&gt; 0),"",_xlfn.REGEXEXTRACT(CELL("address",'Raw Data'!C170),"\$([A-Z]+)\$[0-9]+"))),_xlfn.REGEXEXTRACT(CELL("address",'Raw Data'!C170),"\$([A-Z]+)\$[0-9]+"))</f>
        <v/>
      </c>
      <c r="D170" s="7" t="str">
        <f t="array" aca="1" ref="D170" ca="1">IFERROR(IF(OR('Raw Data'!D170="",LEN(TRIM('Raw Data'!D170))=0),"",IF(AND(LEN('Raw Data'!D170) &lt;= 500,LEN('Raw Data'!D170)&gt; 0),"",_xlfn.REGEXEXTRACT(CELL("address",'Raw Data'!D170),"\$([A-Z]+)\$[0-9]+"))),_xlfn.REGEXEXTRACT(CELL("address",'Raw Data'!D170),"\$([A-Z]+)\$[0-9]+"))</f>
        <v/>
      </c>
      <c r="E170" s="7" t="str">
        <f t="array" aca="1" ref="E170" ca="1">IFERROR(IF(OR('Raw Data'!E170="",LEN(TRIM('Raw Data'!E170))=0),"",IF(AND(LEN('Raw Data'!E170) &lt;= 50,LEN('Raw Data'!E170)&gt; 0),"",_xlfn.REGEXEXTRACT(CELL("address",'Raw Data'!E170),"\$([A-Z]+)\$[0-9]+"))),_xlfn.REGEXEXTRACT(CELL("address",'Raw Data'!E170),"\$([A-Z]+)\$[0-9]+"))</f>
        <v/>
      </c>
      <c r="F170" s="7" t="str">
        <f t="array" aca="1" ref="F170" ca="1">IFERROR(IF(OR('Raw Data'!F170="",LEN(TRIM('Raw Data'!F170))=0),"",IF(AND(LEN('Raw Data'!F170) &lt;= 50,LEN('Raw Data'!F170)&gt; 0),"",_xlfn.REGEXEXTRACT(CELL("address",'Raw Data'!F170),"\$([A-Z]+)\$[0-9]+"))),_xlfn.REGEXEXTRACT(CELL("address",'Raw Data'!F170),"\$([A-Z]+)\$[0-9]+"))</f>
        <v/>
      </c>
      <c r="G170" s="7" t="str">
        <f t="array" aca="1" ref="G170" ca="1">IFERROR(IF(OR('Raw Data'!G170="",LEN(TRIM('Raw Data'!G170))=0),"",IF(AND(LEN('Raw Data'!G170) &lt;= 50,LEN('Raw Data'!G170)&gt; 0),"",_xlfn.REGEXEXTRACT(CELL("address",'Raw Data'!G170),"\$([A-Z]+)\$[0-9]+"))),_xlfn.REGEXEXTRACT(CELL("address",'Raw Data'!G170),"\$([A-Z]+)\$[0-9]+"))</f>
        <v/>
      </c>
      <c r="H170" s="7" t="str">
        <f t="array" aca="1" ref="H170" ca="1">IFERROR(IF(OR('Raw Data'!H170="",LEN(TRIM('Raw Data'!H170))=0),"",IF(AND(LEN('Raw Data'!H170) &lt;= 50,LEN('Raw Data'!H170)&gt; 0),"",_xlfn.REGEXEXTRACT(CELL("address",'Raw Data'!H170),"\$([A-Z]+)\$[0-9]+"))),_xlfn.REGEXEXTRACT(CELL("address",'Raw Data'!H170),"\$([A-Z]+)\$[0-9]+"))</f>
        <v/>
      </c>
      <c r="I170" s="7" t="str">
        <f t="array" aca="1" ref="I170" ca="1">IFERROR(IF(OR('Raw Data'!I170="",LEN(TRIM('Raw Data'!I170))=0),"",IF(AND(LEN('Raw Data'!I170) &lt;= 50,LEN('Raw Data'!I170)&gt; 0),"",_xlfn.REGEXEXTRACT(CELL("address",'Raw Data'!I170),"\$([A-Z]+)\$[0-9]+"))),_xlfn.REGEXEXTRACT(CELL("address",'Raw Data'!I170),"\$([A-Z]+)\$[0-9]+"))</f>
        <v/>
      </c>
      <c r="J170" s="7" t="str">
        <f t="array" aca="1" ref="J170" ca="1">IFERROR(IF(OR('Raw Data'!J170="",LEN(TRIM('Raw Data'!J170))=0),"",IF(AND(ISNUMBER('Raw Data'!J170), IFERROR('Raw Data'!J170 = ROUND('Raw Data'!J170, 2),FALSE)),"",_xlfn.REGEXEXTRACT(CELL("address",J170), "\$([A-Z]+)\$[0-9]+"))),_xlfn.REGEXEXTRACT(CELL("address",J170), "\$([A-Z]+)\$[0-9]+"))</f>
        <v/>
      </c>
      <c r="K170" s="7" t="str">
        <f t="array" aca="1" ref="K170" ca="1">IFERROR(IF(OR('Raw Data'!K170="",LEN(TRIM('Raw Data'!K170))=0),"",IF(AND(ISNUMBER('Raw Data'!K170), IFERROR('Raw Data'!K170 = ROUND('Raw Data'!K170, 2),FALSE)),"",_xlfn.REGEXEXTRACT(CELL("address",K170), "\$([A-Z]+)\$[0-9]+"))),_xlfn.REGEXEXTRACT(CELL("address",K170), "\$([A-Z]+)\$[0-9]+"))</f>
        <v/>
      </c>
      <c r="L170" s="7" t="str">
        <f t="array" aca="1" ref="L170" ca="1">IFERROR(IF(OR('Raw Data'!L170="",LEN(TRIM('Raw Data'!L170))=0),"",IF(AND(ISNUMBER('Raw Data'!L170), IFERROR('Raw Data'!L170 = ROUND('Raw Data'!L170, 2),FALSE)),"",_xlfn.REGEXEXTRACT(CELL("address",L170), "\$([A-Z]+)\$[0-9]+"))),_xlfn.REGEXEXTRACT(CELL("address",L170), "\$([A-Z]+)\$[0-9]+"))</f>
        <v/>
      </c>
      <c r="M170" s="7" t="str">
        <f t="array" aca="1" ref="M170" ca="1">IFERROR(IF(OR('Raw Data'!M170="",LEN(TRIM('Raw Data'!M170))=0),"",IF(AND(ISNUMBER('Raw Data'!M170), IFERROR('Raw Data'!M170 = ROUND('Raw Data'!M170, 2),FALSE)),"",_xlfn.REGEXEXTRACT(CELL("address",M170), "\$([A-Z]+)\$[0-9]+"))),_xlfn.REGEXEXTRACT(CELL("address",M170), "\$([A-Z]+)\$[0-9]+"))</f>
        <v/>
      </c>
      <c r="N170" s="7" t="str">
        <f t="array" aca="1" ref="N170" ca="1">IFERROR(IF(OR('Raw Data'!N170="",LEN(TRIM('Raw Data'!N170))=0),"",IF(AND(ISNUMBER('Raw Data'!N170), IFERROR('Raw Data'!N170 = ROUND('Raw Data'!N170, 2),FALSE)),"",_xlfn.REGEXEXTRACT(CELL("address",N170), "\$([A-Z]+)\$[0-9]+"))),_xlfn.REGEXEXTRACT(CELL("address",N170), "\$([A-Z]+)\$[0-9]+"))</f>
        <v/>
      </c>
      <c r="O170" s="7" t="str">
        <f t="array" aca="1" ref="O170" ca="1">IFERROR(IF(OR('Raw Data'!O170="",LEN(TRIM('Raw Data'!O170))=0),"",IF(AND(ISNUMBER('Raw Data'!O170),'Raw Data'!O170&gt;=Configuration!$D$2),"",_xlfn.REGEXEXTRACT(CELL("address",'Raw Data'!O170),"\$([A-Z]+)\$[0-9]+"))),_xlfn.REGEXEXTRACT(CELL("address",O170), "\$([A-Z]+)\$[0-9]+"))</f>
        <v/>
      </c>
      <c r="P170" s="7" t="str">
        <f t="array" aca="1" ref="P170" ca="1">IFERROR(IF(OR('Raw Data'!P170="",LEN(TRIM('Raw Data'!P170))=0),"",IF(AND(ISNUMBER('Raw Data'!P170), IFERROR('Raw Data'!P170 = ROUND('Raw Data'!P170, 2),FALSE)),"",_xlfn.REGEXEXTRACT(CELL("address",P170), "\$([A-Z]+)\$[0-9]+"))),_xlfn.REGEXEXTRACT(CELL("address",P170), "\$([A-Z]+)\$[0-9]+"))</f>
        <v/>
      </c>
      <c r="Q170" s="7" t="str">
        <f t="array" aca="1" ref="Q170" ca="1">IFERROR(IF(OR('Raw Data'!Q170="",LEN(TRIM('Raw Data'!Q170))=0),"",IF(AND(ISNUMBER('Raw Data'!Q170), IFERROR('Raw Data'!Q170 = ROUND('Raw Data'!Q170, 2),FALSE)),"",_xlfn.REGEXEXTRACT(CELL("address",Q170), "\$([A-Z]+)\$[0-9]+"))),_xlfn.REGEXEXTRACT(CELL("address",Q170), "\$([A-Z]+)\$[0-9]+"))</f>
        <v/>
      </c>
      <c r="R170" s="7" t="str">
        <f t="array" aca="1" ref="R170" ca="1">IFERROR(IF(OR('Raw Data'!R170="",LEN(TRIM('Raw Data'!R170))=0),"",IF(AND(LEN('Raw Data'!R170) &lt;= 50,LEN('Raw Data'!R170)&gt; 0),"",_xlfn.REGEXEXTRACT(CELL("address",'Raw Data'!R170),"\$([A-Z]+)\$[0-9]+"))),_xlfn.REGEXEXTRACT(CELL("address",'Raw Data'!R170),"\$([A-Z]+)\$[0-9]+"))</f>
        <v/>
      </c>
      <c r="S170" s="7" t="str">
        <f t="array" aca="1" ref="S170" ca="1">IFERROR(IF(OR('Raw Data'!S170="",LEN(TRIM('Raw Data'!S170))=0),"",IF(AND(LEN('Raw Data'!S170) &lt;= 50,LEN('Raw Data'!S170)&gt; 0),"",_xlfn.REGEXEXTRACT(CELL("address",'Raw Data'!S170),"\$([A-Z]+)\$[0-9]+"))),_xlfn.REGEXEXTRACT(CELL("address",'Raw Data'!S170),"\$([A-Z]+)\$[0-9]+"))</f>
        <v/>
      </c>
      <c r="T170" s="7" t="str">
        <f t="array" aca="1" ref="T170" ca="1">IFERROR(IF(OR('Raw Data'!T170="",LEN(TRIM('Raw Data'!T170))=0),"",IF(AND(ISNUMBER('Raw Data'!T170), IFERROR('Raw Data'!T170 = ROUND('Raw Data'!T170, 2),FALSE)),"",_xlfn.REGEXEXTRACT(CELL("address",T170), "\$([A-Z]+)\$[0-9]+"))),_xlfn.REGEXEXTRACT(CELL("address",T170), "\$([A-Z]+)\$[0-9]+"))</f>
        <v/>
      </c>
      <c r="U170" s="7" t="str">
        <f t="array" aca="1" ref="U170" ca="1">IFERROR(IF(OR('Raw Data'!U170="",LEN(TRIM('Raw Data'!U170))=0),"",IF(AND(ISNUMBER('Raw Data'!U170), IFERROR('Raw Data'!U170 = ROUND('Raw Data'!U170, 2),FALSE)),"",_xlfn.REGEXEXTRACT(CELL("address",U170), "\$([A-Z]+)\$[0-9]+"))),_xlfn.REGEXEXTRACT(CELL("address",U170), "\$([A-Z]+)\$[0-9]+"))</f>
        <v/>
      </c>
      <c r="V170" s="7" t="str">
        <f t="array" aca="1" ref="V170" ca="1">IFERROR(IF(OR('Raw Data'!V170="",LEN(TRIM('Raw Data'!V170))=0),"",IF(AND(ISNUMBER('Raw Data'!V170), IFERROR('Raw Data'!V170 = ROUND('Raw Data'!V170, 2),FALSE)),"",_xlfn.REGEXEXTRACT(CELL("address",V170), "\$([A-Z]+)\$[0-9]+"))),_xlfn.REGEXEXTRACT(CELL("address",V170), "\$([A-Z]+)\$[0-9]+"))</f>
        <v/>
      </c>
      <c r="W170" s="7" t="str">
        <f t="array" aca="1" ref="W170" ca="1">IFERROR(IF(OR('Raw Data'!W170="",LEN(TRIM('Raw Data'!W170))=0),"",IF(AND(ISNUMBER('Raw Data'!W170), IFERROR('Raw Data'!W170 = ROUND('Raw Data'!W170, 2),FALSE)),"",_xlfn.REGEXEXTRACT(CELL("address",W170), "\$([A-Z]+)\$[0-9]+"))),_xlfn.REGEXEXTRACT(CELL("address",W170), "\$([A-Z]+)\$[0-9]+"))</f>
        <v/>
      </c>
      <c r="X170" s="7" t="str">
        <f t="array" aca="1" ref="X170" ca="1">IFERROR(IF(OR('Raw Data'!X170="",LEN(TRIM('Raw Data'!X170))=0),"",IF(AND(ISNUMBER('Raw Data'!X170), IFERROR('Raw Data'!X170 = ROUND('Raw Data'!X170, 2),FALSE)),"",_xlfn.REGEXEXTRACT(CELL("address",X170), "\$([A-Z]+)\$[0-9]+"))),_xlfn.REGEXEXTRACT(CELL("address",X170), "\$([A-Z]+)\$[0-9]+"))</f>
        <v/>
      </c>
      <c r="Y170" s="7" t="str">
        <f t="array" aca="1" ref="Y170" ca="1">IFERROR(IF(OR('Raw Data'!Y170="",LEN(TRIM('Raw Data'!Y170))=0),"",IF(AND(ISNUMBER('Raw Data'!Y170), IFERROR('Raw Data'!Y170 = ROUND('Raw Data'!Y170, 2),FALSE)),"",_xlfn.REGEXEXTRACT(CELL("address",Y170), "\$([A-Z]+)\$[0-9]+"))),_xlfn.REGEXEXTRACT(CELL("address",Y170), "\$([A-Z]+)\$[0-9]+"))</f>
        <v/>
      </c>
      <c r="Z170" s="7" t="str">
        <f t="array" aca="1" ref="Z170" ca="1">IFERROR(IF(OR('Raw Data'!Z170="",LEN(TRIM('Raw Data'!Z170))=0),"",IF(AND(ISNUMBER('Raw Data'!Z170), IFERROR('Raw Data'!Z170 = ROUND('Raw Data'!Z170, 2),FALSE)),"",_xlfn.REGEXEXTRACT(CELL("address",Z170), "\$([A-Z]+)\$[0-9]+"))),_xlfn.REGEXEXTRACT(CELL("address",Z170), "\$([A-Z]+)\$[0-9]+"))</f>
        <v/>
      </c>
      <c r="AA170" s="7" t="str">
        <f t="array" aca="1" ref="AA170" ca="1">IFERROR(IF(OR('Raw Data'!AA170="",LEN(TRIM('Raw Data'!AA170))=0),"",IF(AND(ISNUMBER('Raw Data'!AA170), IFERROR('Raw Data'!AA170 = ROUND('Raw Data'!AA170, 2),FALSE)),"",_xlfn.REGEXEXTRACT(CELL("address",AA170), "\$([A-Z]+)\$[0-9]+"))),_xlfn.REGEXEXTRACT(CELL("address",AA170), "\$([A-Z]+)\$[0-9]+"))</f>
        <v/>
      </c>
      <c r="AB170" s="7" t="str">
        <f t="array" aca="1" ref="AB170" ca="1">IFERROR(IF(OR('Raw Data'!AB170="",LEN(TRIM('Raw Data'!AB170))=0),"",IF(AND(ISNUMBER('Raw Data'!AB170), IFERROR('Raw Data'!AB170 = ROUND('Raw Data'!AB170, 2),FALSE)),"",_xlfn.REGEXEXTRACT(CELL("address",AB170), "\$([A-Z]+)\$[0-9]+"))),_xlfn.REGEXEXTRACT(CELL("address",AB170), "\$([A-Z]+)\$[0-9]+"))</f>
        <v/>
      </c>
      <c r="AC170" s="7" t="str">
        <f t="array" aca="1" ref="AC170" ca="1">IFERROR(IF(OR('Raw Data'!AC170="",LEN(TRIM('Raw Data'!AC170))=0),"",IF(AND(ISNUMBER('Raw Data'!AC170), IFERROR('Raw Data'!AC170 = ROUND('Raw Data'!AC170, 2),FALSE)),"",_xlfn.REGEXEXTRACT(CELL("address",AC170), "\$([A-Z]+)\$[0-9]+"))),_xlfn.REGEXEXTRACT(CELL("address",AC170), "\$([A-Z]+)\$[0-9]+"))</f>
        <v/>
      </c>
      <c r="AD170" s="7" t="str">
        <f t="array" aca="1" ref="AD170" ca="1">IFERROR(IF(OR('Raw Data'!AD170="",LEN(TRIM('Raw Data'!AD170))=0),"",IF(AND(ISNUMBER('Raw Data'!AD170), IFERROR('Raw Data'!AD170 = ROUND('Raw Data'!AD170, 2),FALSE)),"",_xlfn.REGEXEXTRACT(CELL("address",AD170), "\$([A-Z]+)\$[0-9]+"))),_xlfn.REGEXEXTRACT(CELL("address",AD170), "\$([A-Z]+)\$[0-9]+"))</f>
        <v/>
      </c>
      <c r="AE170" s="7" t="str">
        <f t="array" aca="1" ref="AE170" ca="1">IFERROR(IF(OR('Raw Data'!AE170="",LEN(TRIM('Raw Data'!AE170))=0),"",IF(AND(ISNUMBER('Raw Data'!AE170), IFERROR('Raw Data'!AE170 = ROUND('Raw Data'!AE170, 2),FALSE)),"",_xlfn.REGEXEXTRACT(CELL("address",AE170), "\$([A-Z]+)\$[0-9]+"))),_xlfn.REGEXEXTRACT(CELL("address",AE170), "\$([A-Z]+)\$[0-9]+"))</f>
        <v/>
      </c>
      <c r="AF170" s="7" t="str">
        <f t="array" aca="1" ref="AF170" ca="1">IFERROR(IF(OR('Raw Data'!AF170="",LEN(TRIM('Raw Data'!AF170))=0),"",IF(AND(ISNUMBER('Raw Data'!AF170), IFERROR('Raw Data'!AF170 = ROUND('Raw Data'!AF170, 2),FALSE)),"",_xlfn.REGEXEXTRACT(CELL("address",AF170), "\$([A-Z]+)\$[0-9]+"))),_xlfn.REGEXEXTRACT(CELL("address",AF170), "\$([A-Z]+)\$[0-9]+"))</f>
        <v/>
      </c>
      <c r="AG170" s="7" t="str">
        <f t="array" aca="1" ref="AG170" ca="1">IFERROR(IF(OR('Raw Data'!AG170="",LEN(TRIM('Raw Data'!AG170))=0),"",IF(AND(ISNUMBER('Raw Data'!AG170), IFERROR('Raw Data'!AG170 = ROUND('Raw Data'!AG170, 2),FALSE)),"",_xlfn.REGEXEXTRACT(CELL("address",AG170), "\$([A-Z]+)\$[0-9]+"))),_xlfn.REGEXEXTRACT(CELL("address",AG170), "\$([A-Z]+)\$[0-9]+"))</f>
        <v/>
      </c>
      <c r="AH170" s="7" t="str">
        <f t="array" aca="1" ref="AH170" ca="1">IFERROR(IF(OR('Raw Data'!AH170="",LEN(TRIM('Raw Data'!AH170))=0),"",IF(AND(ISNUMBER('Raw Data'!AH170), IFERROR('Raw Data'!AH170 = ROUND('Raw Data'!AH170, 2),FALSE)),"",_xlfn.REGEXEXTRACT(CELL("address",AH170), "\$([A-Z]+)\$[0-9]+"))),_xlfn.REGEXEXTRACT(CELL("address",AH170), "\$([A-Z]+)\$[0-9]+"))</f>
        <v/>
      </c>
      <c r="AI170" s="7" t="str">
        <f t="array" aca="1" ref="AI170" ca="1">IFERROR(IF(OR('Raw Data'!AI170="",LEN(TRIM('Raw Data'!AI170))=0),"",IF(AND(ISNUMBER('Raw Data'!AI170), IFERROR('Raw Data'!AI170 = ROUND('Raw Data'!AI170, 2),FALSE)),"",_xlfn.REGEXEXTRACT(CELL("address",AI170), "\$([A-Z]+)\$[0-9]+"))),_xlfn.REGEXEXTRACT(CELL("address",AI170), "\$([A-Z]+)\$[0-9]+"))</f>
        <v/>
      </c>
      <c r="AJ170" s="7" t="str">
        <f t="array" aca="1" ref="AJ170" ca="1">IFERROR(IF(OR('Raw Data'!AJ170="",LEN(TRIM('Raw Data'!AJ170))=0),"",IF(AND(ISNUMBER('Raw Data'!AJ170), IFERROR('Raw Data'!AJ170 = ROUND('Raw Data'!AJ170, 4),FALSE)),"",_xlfn.REGEXEXTRACT(CELL("address",AJ170), "\$([A-Z]+)\$[0-9]+"))),_xlfn.REGEXEXTRACT(CELL("address",AJ170), "\$([A-Z]+)\$[0-9]+"))</f>
        <v/>
      </c>
      <c r="AK170" s="7" t="str">
        <f t="array" aca="1" ref="AK170" ca="1">IFERROR(IF(OR('Raw Data'!AK170="",LEN(TRIM('Raw Data'!AK170))=0),"",IF(AND(ISNUMBER('Raw Data'!AK170), IFERROR('Raw Data'!AK170 = ROUND('Raw Data'!AK170, 2),FALSE)),"",_xlfn.REGEXEXTRACT(CELL("address",AK170), "\$([A-Z]+)\$[0-9]+"))),_xlfn.REGEXEXTRACT(CELL("address",AK170), "\$([A-Z]+)\$[0-9]+"))</f>
        <v/>
      </c>
      <c r="AL170" s="7" t="str">
        <f t="array" aca="1" ref="AL170" ca="1">IFERROR(IF(OR('Raw Data'!AL170="",LEN(TRIM('Raw Data'!AL170))=0),"",IF(AND(ISNUMBER('Raw Data'!AL170), IFERROR('Raw Data'!AL170 = ROUND('Raw Data'!AL170, 2),FALSE)),"",_xlfn.REGEXEXTRACT(CELL("address",AL170), "\$([A-Z]+)\$[0-9]+"))),_xlfn.REGEXEXTRACT(CELL("address",AL170), "\$([A-Z]+)\$[0-9]+"))</f>
        <v/>
      </c>
      <c r="AM170" s="7" t="str">
        <f t="array" aca="1" ref="AM170" ca="1">IFERROR(IF(OR('Raw Data'!AM170="",LEN(TRIM('Raw Data'!AM170))=0),"",IF(AND(ISNUMBER('Raw Data'!AM170), IFERROR('Raw Data'!AM170 = ROUND('Raw Data'!AM170, 2),FALSE)),"",_xlfn.REGEXEXTRACT(CELL("address",AM170), "\$([A-Z]+)\$[0-9]+"))),_xlfn.REGEXEXTRACT(CELL("address",AM170), "\$([A-Z]+)\$[0-9]+"))</f>
        <v/>
      </c>
      <c r="AN170" s="7" t="str">
        <f t="array" aca="1" ref="AN170" ca="1">IFERROR(IF(OR('Raw Data'!AN170="",LEN(TRIM('Raw Data'!AN170))=0),"",IF(AND(ISNUMBER('Raw Data'!AN170), IFERROR('Raw Data'!AN170 = ROUND('Raw Data'!AN170, 2),FALSE)),"",_xlfn.REGEXEXTRACT(CELL("address",AN170), "\$([A-Z]+)\$[0-9]+"))),_xlfn.REGEXEXTRACT(CELL("address",AN170), "\$([A-Z]+)\$[0-9]+"))</f>
        <v/>
      </c>
      <c r="AO170" s="7" t="str">
        <f t="array" aca="1" ref="AO170" ca="1">IFERROR(IF(OR('Raw Data'!AO170="",LEN(TRIM('Raw Data'!AO170))=0),"",IF(AND(ISNUMBER('Raw Data'!AO170), IFERROR('Raw Data'!AO170 = ROUND('Raw Data'!AO170, 2),FALSE)),"",_xlfn.REGEXEXTRACT(CELL("address",AO170), "\$([A-Z]+)\$[0-9]+"))),_xlfn.REGEXEXTRACT(CELL("address",AO170), "\$([A-Z]+)\$[0-9]+"))</f>
        <v/>
      </c>
      <c r="AP170" s="7" t="str">
        <f t="array" aca="1" ref="AP170" ca="1">IFERROR(IF(OR('Raw Data'!AP170="",LEN(TRIM('Raw Data'!AP170))=0),"",IF(AND(ISNUMBER('Raw Data'!AP170), IFERROR('Raw Data'!AP170 = ROUND('Raw Data'!AP170, 2),FALSE)),"",_xlfn.REGEXEXTRACT(CELL("address",AP170), "\$([A-Z]+)\$[0-9]+"))),_xlfn.REGEXEXTRACT(CELL("address",AP170), "\$([A-Z]+)\$[0-9]+"))</f>
        <v/>
      </c>
    </row>
    <row r="171" spans="2:42" x14ac:dyDescent="0.25">
      <c r="B171" s="7" t="str">
        <f t="array" aca="1" ref="B171" ca="1">IFERROR(IF(OR('Raw Data'!B171="",LEN(TRIM('Raw Data'!B171))=0),"",IF(AND(LEN('Raw Data'!B171) &lt;= 255,LEN('Raw Data'!B171)&gt; 0),"",_xlfn.REGEXEXTRACT(CELL("address",'Raw Data'!B171),"\$([A-Z]+)\$[0-9]+"))),_xlfn.REGEXEXTRACT(CELL("address",'Raw Data'!B171),"\$([A-Z]+)\$[0-9]+"))</f>
        <v/>
      </c>
      <c r="C171" s="7" t="str">
        <f t="array" aca="1" ref="C171" ca="1">IFERROR(IF(OR('Raw Data'!C171="",LEN(TRIM('Raw Data'!C171))=0),"",IF(AND(LEN('Raw Data'!C171) &lt;= 50,LEN('Raw Data'!C171)&gt; 0),"",_xlfn.REGEXEXTRACT(CELL("address",'Raw Data'!C171),"\$([A-Z]+)\$[0-9]+"))),_xlfn.REGEXEXTRACT(CELL("address",'Raw Data'!C171),"\$([A-Z]+)\$[0-9]+"))</f>
        <v/>
      </c>
      <c r="D171" s="7" t="str">
        <f t="array" aca="1" ref="D171" ca="1">IFERROR(IF(OR('Raw Data'!D171="",LEN(TRIM('Raw Data'!D171))=0),"",IF(AND(LEN('Raw Data'!D171) &lt;= 500,LEN('Raw Data'!D171)&gt; 0),"",_xlfn.REGEXEXTRACT(CELL("address",'Raw Data'!D171),"\$([A-Z]+)\$[0-9]+"))),_xlfn.REGEXEXTRACT(CELL("address",'Raw Data'!D171),"\$([A-Z]+)\$[0-9]+"))</f>
        <v/>
      </c>
      <c r="E171" s="7" t="str">
        <f t="array" aca="1" ref="E171" ca="1">IFERROR(IF(OR('Raw Data'!E171="",LEN(TRIM('Raw Data'!E171))=0),"",IF(AND(LEN('Raw Data'!E171) &lt;= 50,LEN('Raw Data'!E171)&gt; 0),"",_xlfn.REGEXEXTRACT(CELL("address",'Raw Data'!E171),"\$([A-Z]+)\$[0-9]+"))),_xlfn.REGEXEXTRACT(CELL("address",'Raw Data'!E171),"\$([A-Z]+)\$[0-9]+"))</f>
        <v/>
      </c>
      <c r="F171" s="7" t="str">
        <f t="array" aca="1" ref="F171" ca="1">IFERROR(IF(OR('Raw Data'!F171="",LEN(TRIM('Raw Data'!F171))=0),"",IF(AND(LEN('Raw Data'!F171) &lt;= 50,LEN('Raw Data'!F171)&gt; 0),"",_xlfn.REGEXEXTRACT(CELL("address",'Raw Data'!F171),"\$([A-Z]+)\$[0-9]+"))),_xlfn.REGEXEXTRACT(CELL("address",'Raw Data'!F171),"\$([A-Z]+)\$[0-9]+"))</f>
        <v/>
      </c>
      <c r="G171" s="7" t="str">
        <f t="array" aca="1" ref="G171" ca="1">IFERROR(IF(OR('Raw Data'!G171="",LEN(TRIM('Raw Data'!G171))=0),"",IF(AND(LEN('Raw Data'!G171) &lt;= 50,LEN('Raw Data'!G171)&gt; 0),"",_xlfn.REGEXEXTRACT(CELL("address",'Raw Data'!G171),"\$([A-Z]+)\$[0-9]+"))),_xlfn.REGEXEXTRACT(CELL("address",'Raw Data'!G171),"\$([A-Z]+)\$[0-9]+"))</f>
        <v/>
      </c>
      <c r="H171" s="7" t="str">
        <f t="array" aca="1" ref="H171" ca="1">IFERROR(IF(OR('Raw Data'!H171="",LEN(TRIM('Raw Data'!H171))=0),"",IF(AND(LEN('Raw Data'!H171) &lt;= 50,LEN('Raw Data'!H171)&gt; 0),"",_xlfn.REGEXEXTRACT(CELL("address",'Raw Data'!H171),"\$([A-Z]+)\$[0-9]+"))),_xlfn.REGEXEXTRACT(CELL("address",'Raw Data'!H171),"\$([A-Z]+)\$[0-9]+"))</f>
        <v/>
      </c>
      <c r="I171" s="7" t="str">
        <f t="array" aca="1" ref="I171" ca="1">IFERROR(IF(OR('Raw Data'!I171="",LEN(TRIM('Raw Data'!I171))=0),"",IF(AND(LEN('Raw Data'!I171) &lt;= 50,LEN('Raw Data'!I171)&gt; 0),"",_xlfn.REGEXEXTRACT(CELL("address",'Raw Data'!I171),"\$([A-Z]+)\$[0-9]+"))),_xlfn.REGEXEXTRACT(CELL("address",'Raw Data'!I171),"\$([A-Z]+)\$[0-9]+"))</f>
        <v/>
      </c>
      <c r="J171" s="7" t="str">
        <f t="array" aca="1" ref="J171" ca="1">IFERROR(IF(OR('Raw Data'!J171="",LEN(TRIM('Raw Data'!J171))=0),"",IF(AND(ISNUMBER('Raw Data'!J171), IFERROR('Raw Data'!J171 = ROUND('Raw Data'!J171, 2),FALSE)),"",_xlfn.REGEXEXTRACT(CELL("address",J171), "\$([A-Z]+)\$[0-9]+"))),_xlfn.REGEXEXTRACT(CELL("address",J171), "\$([A-Z]+)\$[0-9]+"))</f>
        <v/>
      </c>
      <c r="K171" s="7" t="str">
        <f t="array" aca="1" ref="K171" ca="1">IFERROR(IF(OR('Raw Data'!K171="",LEN(TRIM('Raw Data'!K171))=0),"",IF(AND(ISNUMBER('Raw Data'!K171), IFERROR('Raw Data'!K171 = ROUND('Raw Data'!K171, 2),FALSE)),"",_xlfn.REGEXEXTRACT(CELL("address",K171), "\$([A-Z]+)\$[0-9]+"))),_xlfn.REGEXEXTRACT(CELL("address",K171), "\$([A-Z]+)\$[0-9]+"))</f>
        <v/>
      </c>
      <c r="L171" s="7" t="str">
        <f t="array" aca="1" ref="L171" ca="1">IFERROR(IF(OR('Raw Data'!L171="",LEN(TRIM('Raw Data'!L171))=0),"",IF(AND(ISNUMBER('Raw Data'!L171), IFERROR('Raw Data'!L171 = ROUND('Raw Data'!L171, 2),FALSE)),"",_xlfn.REGEXEXTRACT(CELL("address",L171), "\$([A-Z]+)\$[0-9]+"))),_xlfn.REGEXEXTRACT(CELL("address",L171), "\$([A-Z]+)\$[0-9]+"))</f>
        <v/>
      </c>
      <c r="M171" s="7" t="str">
        <f t="array" aca="1" ref="M171" ca="1">IFERROR(IF(OR('Raw Data'!M171="",LEN(TRIM('Raw Data'!M171))=0),"",IF(AND(ISNUMBER('Raw Data'!M171), IFERROR('Raw Data'!M171 = ROUND('Raw Data'!M171, 2),FALSE)),"",_xlfn.REGEXEXTRACT(CELL("address",M171), "\$([A-Z]+)\$[0-9]+"))),_xlfn.REGEXEXTRACT(CELL("address",M171), "\$([A-Z]+)\$[0-9]+"))</f>
        <v/>
      </c>
      <c r="N171" s="7" t="str">
        <f t="array" aca="1" ref="N171" ca="1">IFERROR(IF(OR('Raw Data'!N171="",LEN(TRIM('Raw Data'!N171))=0),"",IF(AND(ISNUMBER('Raw Data'!N171), IFERROR('Raw Data'!N171 = ROUND('Raw Data'!N171, 2),FALSE)),"",_xlfn.REGEXEXTRACT(CELL("address",N171), "\$([A-Z]+)\$[0-9]+"))),_xlfn.REGEXEXTRACT(CELL("address",N171), "\$([A-Z]+)\$[0-9]+"))</f>
        <v/>
      </c>
      <c r="O171" s="7" t="str">
        <f t="array" aca="1" ref="O171" ca="1">IFERROR(IF(OR('Raw Data'!O171="",LEN(TRIM('Raw Data'!O171))=0),"",IF(AND(ISNUMBER('Raw Data'!O171),'Raw Data'!O171&gt;=Configuration!$D$2),"",_xlfn.REGEXEXTRACT(CELL("address",'Raw Data'!O171),"\$([A-Z]+)\$[0-9]+"))),_xlfn.REGEXEXTRACT(CELL("address",O171), "\$([A-Z]+)\$[0-9]+"))</f>
        <v/>
      </c>
      <c r="P171" s="7" t="str">
        <f t="array" aca="1" ref="P171" ca="1">IFERROR(IF(OR('Raw Data'!P171="",LEN(TRIM('Raw Data'!P171))=0),"",IF(AND(ISNUMBER('Raw Data'!P171), IFERROR('Raw Data'!P171 = ROUND('Raw Data'!P171, 2),FALSE)),"",_xlfn.REGEXEXTRACT(CELL("address",P171), "\$([A-Z]+)\$[0-9]+"))),_xlfn.REGEXEXTRACT(CELL("address",P171), "\$([A-Z]+)\$[0-9]+"))</f>
        <v/>
      </c>
      <c r="Q171" s="7" t="str">
        <f t="array" aca="1" ref="Q171" ca="1">IFERROR(IF(OR('Raw Data'!Q171="",LEN(TRIM('Raw Data'!Q171))=0),"",IF(AND(ISNUMBER('Raw Data'!Q171), IFERROR('Raw Data'!Q171 = ROUND('Raw Data'!Q171, 2),FALSE)),"",_xlfn.REGEXEXTRACT(CELL("address",Q171), "\$([A-Z]+)\$[0-9]+"))),_xlfn.REGEXEXTRACT(CELL("address",Q171), "\$([A-Z]+)\$[0-9]+"))</f>
        <v/>
      </c>
      <c r="R171" s="7" t="str">
        <f t="array" aca="1" ref="R171" ca="1">IFERROR(IF(OR('Raw Data'!R171="",LEN(TRIM('Raw Data'!R171))=0),"",IF(AND(LEN('Raw Data'!R171) &lt;= 50,LEN('Raw Data'!R171)&gt; 0),"",_xlfn.REGEXEXTRACT(CELL("address",'Raw Data'!R171),"\$([A-Z]+)\$[0-9]+"))),_xlfn.REGEXEXTRACT(CELL("address",'Raw Data'!R171),"\$([A-Z]+)\$[0-9]+"))</f>
        <v/>
      </c>
      <c r="S171" s="7" t="str">
        <f t="array" aca="1" ref="S171" ca="1">IFERROR(IF(OR('Raw Data'!S171="",LEN(TRIM('Raw Data'!S171))=0),"",IF(AND(LEN('Raw Data'!S171) &lt;= 50,LEN('Raw Data'!S171)&gt; 0),"",_xlfn.REGEXEXTRACT(CELL("address",'Raw Data'!S171),"\$([A-Z]+)\$[0-9]+"))),_xlfn.REGEXEXTRACT(CELL("address",'Raw Data'!S171),"\$([A-Z]+)\$[0-9]+"))</f>
        <v/>
      </c>
      <c r="T171" s="7" t="str">
        <f t="array" aca="1" ref="T171" ca="1">IFERROR(IF(OR('Raw Data'!T171="",LEN(TRIM('Raw Data'!T171))=0),"",IF(AND(ISNUMBER('Raw Data'!T171), IFERROR('Raw Data'!T171 = ROUND('Raw Data'!T171, 2),FALSE)),"",_xlfn.REGEXEXTRACT(CELL("address",T171), "\$([A-Z]+)\$[0-9]+"))),_xlfn.REGEXEXTRACT(CELL("address",T171), "\$([A-Z]+)\$[0-9]+"))</f>
        <v/>
      </c>
      <c r="U171" s="7" t="str">
        <f t="array" aca="1" ref="U171" ca="1">IFERROR(IF(OR('Raw Data'!U171="",LEN(TRIM('Raw Data'!U171))=0),"",IF(AND(ISNUMBER('Raw Data'!U171), IFERROR('Raw Data'!U171 = ROUND('Raw Data'!U171, 2),FALSE)),"",_xlfn.REGEXEXTRACT(CELL("address",U171), "\$([A-Z]+)\$[0-9]+"))),_xlfn.REGEXEXTRACT(CELL("address",U171), "\$([A-Z]+)\$[0-9]+"))</f>
        <v/>
      </c>
      <c r="V171" s="7" t="str">
        <f t="array" aca="1" ref="V171" ca="1">IFERROR(IF(OR('Raw Data'!V171="",LEN(TRIM('Raw Data'!V171))=0),"",IF(AND(ISNUMBER('Raw Data'!V171), IFERROR('Raw Data'!V171 = ROUND('Raw Data'!V171, 2),FALSE)),"",_xlfn.REGEXEXTRACT(CELL("address",V171), "\$([A-Z]+)\$[0-9]+"))),_xlfn.REGEXEXTRACT(CELL("address",V171), "\$([A-Z]+)\$[0-9]+"))</f>
        <v/>
      </c>
      <c r="W171" s="7" t="str">
        <f t="array" aca="1" ref="W171" ca="1">IFERROR(IF(OR('Raw Data'!W171="",LEN(TRIM('Raw Data'!W171))=0),"",IF(AND(ISNUMBER('Raw Data'!W171), IFERROR('Raw Data'!W171 = ROUND('Raw Data'!W171, 2),FALSE)),"",_xlfn.REGEXEXTRACT(CELL("address",W171), "\$([A-Z]+)\$[0-9]+"))),_xlfn.REGEXEXTRACT(CELL("address",W171), "\$([A-Z]+)\$[0-9]+"))</f>
        <v/>
      </c>
      <c r="X171" s="7" t="str">
        <f t="array" aca="1" ref="X171" ca="1">IFERROR(IF(OR('Raw Data'!X171="",LEN(TRIM('Raw Data'!X171))=0),"",IF(AND(ISNUMBER('Raw Data'!X171), IFERROR('Raw Data'!X171 = ROUND('Raw Data'!X171, 2),FALSE)),"",_xlfn.REGEXEXTRACT(CELL("address",X171), "\$([A-Z]+)\$[0-9]+"))),_xlfn.REGEXEXTRACT(CELL("address",X171), "\$([A-Z]+)\$[0-9]+"))</f>
        <v/>
      </c>
      <c r="Y171" s="7" t="str">
        <f t="array" aca="1" ref="Y171" ca="1">IFERROR(IF(OR('Raw Data'!Y171="",LEN(TRIM('Raw Data'!Y171))=0),"",IF(AND(ISNUMBER('Raw Data'!Y171), IFERROR('Raw Data'!Y171 = ROUND('Raw Data'!Y171, 2),FALSE)),"",_xlfn.REGEXEXTRACT(CELL("address",Y171), "\$([A-Z]+)\$[0-9]+"))),_xlfn.REGEXEXTRACT(CELL("address",Y171), "\$([A-Z]+)\$[0-9]+"))</f>
        <v/>
      </c>
      <c r="Z171" s="7" t="str">
        <f t="array" aca="1" ref="Z171" ca="1">IFERROR(IF(OR('Raw Data'!Z171="",LEN(TRIM('Raw Data'!Z171))=0),"",IF(AND(ISNUMBER('Raw Data'!Z171), IFERROR('Raw Data'!Z171 = ROUND('Raw Data'!Z171, 2),FALSE)),"",_xlfn.REGEXEXTRACT(CELL("address",Z171), "\$([A-Z]+)\$[0-9]+"))),_xlfn.REGEXEXTRACT(CELL("address",Z171), "\$([A-Z]+)\$[0-9]+"))</f>
        <v/>
      </c>
      <c r="AA171" s="7" t="str">
        <f t="array" aca="1" ref="AA171" ca="1">IFERROR(IF(OR('Raw Data'!AA171="",LEN(TRIM('Raw Data'!AA171))=0),"",IF(AND(ISNUMBER('Raw Data'!AA171), IFERROR('Raw Data'!AA171 = ROUND('Raw Data'!AA171, 2),FALSE)),"",_xlfn.REGEXEXTRACT(CELL("address",AA171), "\$([A-Z]+)\$[0-9]+"))),_xlfn.REGEXEXTRACT(CELL("address",AA171), "\$([A-Z]+)\$[0-9]+"))</f>
        <v/>
      </c>
      <c r="AB171" s="7" t="str">
        <f t="array" aca="1" ref="AB171" ca="1">IFERROR(IF(OR('Raw Data'!AB171="",LEN(TRIM('Raw Data'!AB171))=0),"",IF(AND(ISNUMBER('Raw Data'!AB171), IFERROR('Raw Data'!AB171 = ROUND('Raw Data'!AB171, 2),FALSE)),"",_xlfn.REGEXEXTRACT(CELL("address",AB171), "\$([A-Z]+)\$[0-9]+"))),_xlfn.REGEXEXTRACT(CELL("address",AB171), "\$([A-Z]+)\$[0-9]+"))</f>
        <v/>
      </c>
      <c r="AC171" s="7" t="str">
        <f t="array" aca="1" ref="AC171" ca="1">IFERROR(IF(OR('Raw Data'!AC171="",LEN(TRIM('Raw Data'!AC171))=0),"",IF(AND(ISNUMBER('Raw Data'!AC171), IFERROR('Raw Data'!AC171 = ROUND('Raw Data'!AC171, 2),FALSE)),"",_xlfn.REGEXEXTRACT(CELL("address",AC171), "\$([A-Z]+)\$[0-9]+"))),_xlfn.REGEXEXTRACT(CELL("address",AC171), "\$([A-Z]+)\$[0-9]+"))</f>
        <v/>
      </c>
      <c r="AD171" s="7" t="str">
        <f t="array" aca="1" ref="AD171" ca="1">IFERROR(IF(OR('Raw Data'!AD171="",LEN(TRIM('Raw Data'!AD171))=0),"",IF(AND(ISNUMBER('Raw Data'!AD171), IFERROR('Raw Data'!AD171 = ROUND('Raw Data'!AD171, 2),FALSE)),"",_xlfn.REGEXEXTRACT(CELL("address",AD171), "\$([A-Z]+)\$[0-9]+"))),_xlfn.REGEXEXTRACT(CELL("address",AD171), "\$([A-Z]+)\$[0-9]+"))</f>
        <v/>
      </c>
      <c r="AE171" s="7" t="str">
        <f t="array" aca="1" ref="AE171" ca="1">IFERROR(IF(OR('Raw Data'!AE171="",LEN(TRIM('Raw Data'!AE171))=0),"",IF(AND(ISNUMBER('Raw Data'!AE171), IFERROR('Raw Data'!AE171 = ROUND('Raw Data'!AE171, 2),FALSE)),"",_xlfn.REGEXEXTRACT(CELL("address",AE171), "\$([A-Z]+)\$[0-9]+"))),_xlfn.REGEXEXTRACT(CELL("address",AE171), "\$([A-Z]+)\$[0-9]+"))</f>
        <v/>
      </c>
      <c r="AF171" s="7" t="str">
        <f t="array" aca="1" ref="AF171" ca="1">IFERROR(IF(OR('Raw Data'!AF171="",LEN(TRIM('Raw Data'!AF171))=0),"",IF(AND(ISNUMBER('Raw Data'!AF171), IFERROR('Raw Data'!AF171 = ROUND('Raw Data'!AF171, 2),FALSE)),"",_xlfn.REGEXEXTRACT(CELL("address",AF171), "\$([A-Z]+)\$[0-9]+"))),_xlfn.REGEXEXTRACT(CELL("address",AF171), "\$([A-Z]+)\$[0-9]+"))</f>
        <v/>
      </c>
      <c r="AG171" s="7" t="str">
        <f t="array" aca="1" ref="AG171" ca="1">IFERROR(IF(OR('Raw Data'!AG171="",LEN(TRIM('Raw Data'!AG171))=0),"",IF(AND(ISNUMBER('Raw Data'!AG171), IFERROR('Raw Data'!AG171 = ROUND('Raw Data'!AG171, 2),FALSE)),"",_xlfn.REGEXEXTRACT(CELL("address",AG171), "\$([A-Z]+)\$[0-9]+"))),_xlfn.REGEXEXTRACT(CELL("address",AG171), "\$([A-Z]+)\$[0-9]+"))</f>
        <v/>
      </c>
      <c r="AH171" s="7" t="str">
        <f t="array" aca="1" ref="AH171" ca="1">IFERROR(IF(OR('Raw Data'!AH171="",LEN(TRIM('Raw Data'!AH171))=0),"",IF(AND(ISNUMBER('Raw Data'!AH171), IFERROR('Raw Data'!AH171 = ROUND('Raw Data'!AH171, 2),FALSE)),"",_xlfn.REGEXEXTRACT(CELL("address",AH171), "\$([A-Z]+)\$[0-9]+"))),_xlfn.REGEXEXTRACT(CELL("address",AH171), "\$([A-Z]+)\$[0-9]+"))</f>
        <v/>
      </c>
      <c r="AI171" s="7" t="str">
        <f t="array" aca="1" ref="AI171" ca="1">IFERROR(IF(OR('Raw Data'!AI171="",LEN(TRIM('Raw Data'!AI171))=0),"",IF(AND(ISNUMBER('Raw Data'!AI171), IFERROR('Raw Data'!AI171 = ROUND('Raw Data'!AI171, 2),FALSE)),"",_xlfn.REGEXEXTRACT(CELL("address",AI171), "\$([A-Z]+)\$[0-9]+"))),_xlfn.REGEXEXTRACT(CELL("address",AI171), "\$([A-Z]+)\$[0-9]+"))</f>
        <v/>
      </c>
      <c r="AJ171" s="7" t="str">
        <f t="array" aca="1" ref="AJ171" ca="1">IFERROR(IF(OR('Raw Data'!AJ171="",LEN(TRIM('Raw Data'!AJ171))=0),"",IF(AND(ISNUMBER('Raw Data'!AJ171), IFERROR('Raw Data'!AJ171 = ROUND('Raw Data'!AJ171, 4),FALSE)),"",_xlfn.REGEXEXTRACT(CELL("address",AJ171), "\$([A-Z]+)\$[0-9]+"))),_xlfn.REGEXEXTRACT(CELL("address",AJ171), "\$([A-Z]+)\$[0-9]+"))</f>
        <v/>
      </c>
      <c r="AK171" s="7" t="str">
        <f t="array" aca="1" ref="AK171" ca="1">IFERROR(IF(OR('Raw Data'!AK171="",LEN(TRIM('Raw Data'!AK171))=0),"",IF(AND(ISNUMBER('Raw Data'!AK171), IFERROR('Raw Data'!AK171 = ROUND('Raw Data'!AK171, 2),FALSE)),"",_xlfn.REGEXEXTRACT(CELL("address",AK171), "\$([A-Z]+)\$[0-9]+"))),_xlfn.REGEXEXTRACT(CELL("address",AK171), "\$([A-Z]+)\$[0-9]+"))</f>
        <v/>
      </c>
      <c r="AL171" s="7" t="str">
        <f t="array" aca="1" ref="AL171" ca="1">IFERROR(IF(OR('Raw Data'!AL171="",LEN(TRIM('Raw Data'!AL171))=0),"",IF(AND(ISNUMBER('Raw Data'!AL171), IFERROR('Raw Data'!AL171 = ROUND('Raw Data'!AL171, 2),FALSE)),"",_xlfn.REGEXEXTRACT(CELL("address",AL171), "\$([A-Z]+)\$[0-9]+"))),_xlfn.REGEXEXTRACT(CELL("address",AL171), "\$([A-Z]+)\$[0-9]+"))</f>
        <v/>
      </c>
      <c r="AM171" s="7" t="str">
        <f t="array" aca="1" ref="AM171" ca="1">IFERROR(IF(OR('Raw Data'!AM171="",LEN(TRIM('Raw Data'!AM171))=0),"",IF(AND(ISNUMBER('Raw Data'!AM171), IFERROR('Raw Data'!AM171 = ROUND('Raw Data'!AM171, 2),FALSE)),"",_xlfn.REGEXEXTRACT(CELL("address",AM171), "\$([A-Z]+)\$[0-9]+"))),_xlfn.REGEXEXTRACT(CELL("address",AM171), "\$([A-Z]+)\$[0-9]+"))</f>
        <v/>
      </c>
      <c r="AN171" s="7" t="str">
        <f t="array" aca="1" ref="AN171" ca="1">IFERROR(IF(OR('Raw Data'!AN171="",LEN(TRIM('Raw Data'!AN171))=0),"",IF(AND(ISNUMBER('Raw Data'!AN171), IFERROR('Raw Data'!AN171 = ROUND('Raw Data'!AN171, 2),FALSE)),"",_xlfn.REGEXEXTRACT(CELL("address",AN171), "\$([A-Z]+)\$[0-9]+"))),_xlfn.REGEXEXTRACT(CELL("address",AN171), "\$([A-Z]+)\$[0-9]+"))</f>
        <v/>
      </c>
      <c r="AO171" s="7" t="str">
        <f t="array" aca="1" ref="AO171" ca="1">IFERROR(IF(OR('Raw Data'!AO171="",LEN(TRIM('Raw Data'!AO171))=0),"",IF(AND(ISNUMBER('Raw Data'!AO171), IFERROR('Raw Data'!AO171 = ROUND('Raw Data'!AO171, 2),FALSE)),"",_xlfn.REGEXEXTRACT(CELL("address",AO171), "\$([A-Z]+)\$[0-9]+"))),_xlfn.REGEXEXTRACT(CELL("address",AO171), "\$([A-Z]+)\$[0-9]+"))</f>
        <v/>
      </c>
      <c r="AP171" s="7" t="str">
        <f t="array" aca="1" ref="AP171" ca="1">IFERROR(IF(OR('Raw Data'!AP171="",LEN(TRIM('Raw Data'!AP171))=0),"",IF(AND(ISNUMBER('Raw Data'!AP171), IFERROR('Raw Data'!AP171 = ROUND('Raw Data'!AP171, 2),FALSE)),"",_xlfn.REGEXEXTRACT(CELL("address",AP171), "\$([A-Z]+)\$[0-9]+"))),_xlfn.REGEXEXTRACT(CELL("address",AP171), "\$([A-Z]+)\$[0-9]+"))</f>
        <v/>
      </c>
    </row>
    <row r="172" spans="2:42" x14ac:dyDescent="0.25">
      <c r="B172" s="7" t="str">
        <f t="array" aca="1" ref="B172" ca="1">IFERROR(IF(OR('Raw Data'!B172="",LEN(TRIM('Raw Data'!B172))=0),"",IF(AND(LEN('Raw Data'!B172) &lt;= 255,LEN('Raw Data'!B172)&gt; 0),"",_xlfn.REGEXEXTRACT(CELL("address",'Raw Data'!B172),"\$([A-Z]+)\$[0-9]+"))),_xlfn.REGEXEXTRACT(CELL("address",'Raw Data'!B172),"\$([A-Z]+)\$[0-9]+"))</f>
        <v/>
      </c>
      <c r="C172" s="7" t="str">
        <f t="array" aca="1" ref="C172" ca="1">IFERROR(IF(OR('Raw Data'!C172="",LEN(TRIM('Raw Data'!C172))=0),"",IF(AND(LEN('Raw Data'!C172) &lt;= 50,LEN('Raw Data'!C172)&gt; 0),"",_xlfn.REGEXEXTRACT(CELL("address",'Raw Data'!C172),"\$([A-Z]+)\$[0-9]+"))),_xlfn.REGEXEXTRACT(CELL("address",'Raw Data'!C172),"\$([A-Z]+)\$[0-9]+"))</f>
        <v/>
      </c>
      <c r="D172" s="7" t="str">
        <f t="array" aca="1" ref="D172" ca="1">IFERROR(IF(OR('Raw Data'!D172="",LEN(TRIM('Raw Data'!D172))=0),"",IF(AND(LEN('Raw Data'!D172) &lt;= 500,LEN('Raw Data'!D172)&gt; 0),"",_xlfn.REGEXEXTRACT(CELL("address",'Raw Data'!D172),"\$([A-Z]+)\$[0-9]+"))),_xlfn.REGEXEXTRACT(CELL("address",'Raw Data'!D172),"\$([A-Z]+)\$[0-9]+"))</f>
        <v/>
      </c>
      <c r="E172" s="7" t="str">
        <f t="array" aca="1" ref="E172" ca="1">IFERROR(IF(OR('Raw Data'!E172="",LEN(TRIM('Raw Data'!E172))=0),"",IF(AND(LEN('Raw Data'!E172) &lt;= 50,LEN('Raw Data'!E172)&gt; 0),"",_xlfn.REGEXEXTRACT(CELL("address",'Raw Data'!E172),"\$([A-Z]+)\$[0-9]+"))),_xlfn.REGEXEXTRACT(CELL("address",'Raw Data'!E172),"\$([A-Z]+)\$[0-9]+"))</f>
        <v/>
      </c>
      <c r="F172" s="7" t="str">
        <f t="array" aca="1" ref="F172" ca="1">IFERROR(IF(OR('Raw Data'!F172="",LEN(TRIM('Raw Data'!F172))=0),"",IF(AND(LEN('Raw Data'!F172) &lt;= 50,LEN('Raw Data'!F172)&gt; 0),"",_xlfn.REGEXEXTRACT(CELL("address",'Raw Data'!F172),"\$([A-Z]+)\$[0-9]+"))),_xlfn.REGEXEXTRACT(CELL("address",'Raw Data'!F172),"\$([A-Z]+)\$[0-9]+"))</f>
        <v/>
      </c>
      <c r="G172" s="7" t="str">
        <f t="array" aca="1" ref="G172" ca="1">IFERROR(IF(OR('Raw Data'!G172="",LEN(TRIM('Raw Data'!G172))=0),"",IF(AND(LEN('Raw Data'!G172) &lt;= 50,LEN('Raw Data'!G172)&gt; 0),"",_xlfn.REGEXEXTRACT(CELL("address",'Raw Data'!G172),"\$([A-Z]+)\$[0-9]+"))),_xlfn.REGEXEXTRACT(CELL("address",'Raw Data'!G172),"\$([A-Z]+)\$[0-9]+"))</f>
        <v/>
      </c>
      <c r="H172" s="7" t="str">
        <f t="array" aca="1" ref="H172" ca="1">IFERROR(IF(OR('Raw Data'!H172="",LEN(TRIM('Raw Data'!H172))=0),"",IF(AND(LEN('Raw Data'!H172) &lt;= 50,LEN('Raw Data'!H172)&gt; 0),"",_xlfn.REGEXEXTRACT(CELL("address",'Raw Data'!H172),"\$([A-Z]+)\$[0-9]+"))),_xlfn.REGEXEXTRACT(CELL("address",'Raw Data'!H172),"\$([A-Z]+)\$[0-9]+"))</f>
        <v/>
      </c>
      <c r="I172" s="7" t="str">
        <f t="array" aca="1" ref="I172" ca="1">IFERROR(IF(OR('Raw Data'!I172="",LEN(TRIM('Raw Data'!I172))=0),"",IF(AND(LEN('Raw Data'!I172) &lt;= 50,LEN('Raw Data'!I172)&gt; 0),"",_xlfn.REGEXEXTRACT(CELL("address",'Raw Data'!I172),"\$([A-Z]+)\$[0-9]+"))),_xlfn.REGEXEXTRACT(CELL("address",'Raw Data'!I172),"\$([A-Z]+)\$[0-9]+"))</f>
        <v/>
      </c>
      <c r="J172" s="7" t="str">
        <f t="array" aca="1" ref="J172" ca="1">IFERROR(IF(OR('Raw Data'!J172="",LEN(TRIM('Raw Data'!J172))=0),"",IF(AND(ISNUMBER('Raw Data'!J172), IFERROR('Raw Data'!J172 = ROUND('Raw Data'!J172, 2),FALSE)),"",_xlfn.REGEXEXTRACT(CELL("address",J172), "\$([A-Z]+)\$[0-9]+"))),_xlfn.REGEXEXTRACT(CELL("address",J172), "\$([A-Z]+)\$[0-9]+"))</f>
        <v/>
      </c>
      <c r="K172" s="7" t="str">
        <f t="array" aca="1" ref="K172" ca="1">IFERROR(IF(OR('Raw Data'!K172="",LEN(TRIM('Raw Data'!K172))=0),"",IF(AND(ISNUMBER('Raw Data'!K172), IFERROR('Raw Data'!K172 = ROUND('Raw Data'!K172, 2),FALSE)),"",_xlfn.REGEXEXTRACT(CELL("address",K172), "\$([A-Z]+)\$[0-9]+"))),_xlfn.REGEXEXTRACT(CELL("address",K172), "\$([A-Z]+)\$[0-9]+"))</f>
        <v/>
      </c>
      <c r="L172" s="7" t="str">
        <f t="array" aca="1" ref="L172" ca="1">IFERROR(IF(OR('Raw Data'!L172="",LEN(TRIM('Raw Data'!L172))=0),"",IF(AND(ISNUMBER('Raw Data'!L172), IFERROR('Raw Data'!L172 = ROUND('Raw Data'!L172, 2),FALSE)),"",_xlfn.REGEXEXTRACT(CELL("address",L172), "\$([A-Z]+)\$[0-9]+"))),_xlfn.REGEXEXTRACT(CELL("address",L172), "\$([A-Z]+)\$[0-9]+"))</f>
        <v/>
      </c>
      <c r="M172" s="7" t="str">
        <f t="array" aca="1" ref="M172" ca="1">IFERROR(IF(OR('Raw Data'!M172="",LEN(TRIM('Raw Data'!M172))=0),"",IF(AND(ISNUMBER('Raw Data'!M172), IFERROR('Raw Data'!M172 = ROUND('Raw Data'!M172, 2),FALSE)),"",_xlfn.REGEXEXTRACT(CELL("address",M172), "\$([A-Z]+)\$[0-9]+"))),_xlfn.REGEXEXTRACT(CELL("address",M172), "\$([A-Z]+)\$[0-9]+"))</f>
        <v/>
      </c>
      <c r="N172" s="7" t="str">
        <f t="array" aca="1" ref="N172" ca="1">IFERROR(IF(OR('Raw Data'!N172="",LEN(TRIM('Raw Data'!N172))=0),"",IF(AND(ISNUMBER('Raw Data'!N172), IFERROR('Raw Data'!N172 = ROUND('Raw Data'!N172, 2),FALSE)),"",_xlfn.REGEXEXTRACT(CELL("address",N172), "\$([A-Z]+)\$[0-9]+"))),_xlfn.REGEXEXTRACT(CELL("address",N172), "\$([A-Z]+)\$[0-9]+"))</f>
        <v/>
      </c>
      <c r="O172" s="7" t="str">
        <f t="array" aca="1" ref="O172" ca="1">IFERROR(IF(OR('Raw Data'!O172="",LEN(TRIM('Raw Data'!O172))=0),"",IF(AND(ISNUMBER('Raw Data'!O172),'Raw Data'!O172&gt;=Configuration!$D$2),"",_xlfn.REGEXEXTRACT(CELL("address",'Raw Data'!O172),"\$([A-Z]+)\$[0-9]+"))),_xlfn.REGEXEXTRACT(CELL("address",O172), "\$([A-Z]+)\$[0-9]+"))</f>
        <v/>
      </c>
      <c r="P172" s="7" t="str">
        <f t="array" aca="1" ref="P172" ca="1">IFERROR(IF(OR('Raw Data'!P172="",LEN(TRIM('Raw Data'!P172))=0),"",IF(AND(ISNUMBER('Raw Data'!P172), IFERROR('Raw Data'!P172 = ROUND('Raw Data'!P172, 2),FALSE)),"",_xlfn.REGEXEXTRACT(CELL("address",P172), "\$([A-Z]+)\$[0-9]+"))),_xlfn.REGEXEXTRACT(CELL("address",P172), "\$([A-Z]+)\$[0-9]+"))</f>
        <v/>
      </c>
      <c r="Q172" s="7" t="str">
        <f t="array" aca="1" ref="Q172" ca="1">IFERROR(IF(OR('Raw Data'!Q172="",LEN(TRIM('Raw Data'!Q172))=0),"",IF(AND(ISNUMBER('Raw Data'!Q172), IFERROR('Raw Data'!Q172 = ROUND('Raw Data'!Q172, 2),FALSE)),"",_xlfn.REGEXEXTRACT(CELL("address",Q172), "\$([A-Z]+)\$[0-9]+"))),_xlfn.REGEXEXTRACT(CELL("address",Q172), "\$([A-Z]+)\$[0-9]+"))</f>
        <v/>
      </c>
      <c r="R172" s="7" t="str">
        <f t="array" aca="1" ref="R172" ca="1">IFERROR(IF(OR('Raw Data'!R172="",LEN(TRIM('Raw Data'!R172))=0),"",IF(AND(LEN('Raw Data'!R172) &lt;= 50,LEN('Raw Data'!R172)&gt; 0),"",_xlfn.REGEXEXTRACT(CELL("address",'Raw Data'!R172),"\$([A-Z]+)\$[0-9]+"))),_xlfn.REGEXEXTRACT(CELL("address",'Raw Data'!R172),"\$([A-Z]+)\$[0-9]+"))</f>
        <v/>
      </c>
      <c r="S172" s="7" t="str">
        <f t="array" aca="1" ref="S172" ca="1">IFERROR(IF(OR('Raw Data'!S172="",LEN(TRIM('Raw Data'!S172))=0),"",IF(AND(LEN('Raw Data'!S172) &lt;= 50,LEN('Raw Data'!S172)&gt; 0),"",_xlfn.REGEXEXTRACT(CELL("address",'Raw Data'!S172),"\$([A-Z]+)\$[0-9]+"))),_xlfn.REGEXEXTRACT(CELL("address",'Raw Data'!S172),"\$([A-Z]+)\$[0-9]+"))</f>
        <v/>
      </c>
      <c r="T172" s="7" t="str">
        <f t="array" aca="1" ref="T172" ca="1">IFERROR(IF(OR('Raw Data'!T172="",LEN(TRIM('Raw Data'!T172))=0),"",IF(AND(ISNUMBER('Raw Data'!T172), IFERROR('Raw Data'!T172 = ROUND('Raw Data'!T172, 2),FALSE)),"",_xlfn.REGEXEXTRACT(CELL("address",T172), "\$([A-Z]+)\$[0-9]+"))),_xlfn.REGEXEXTRACT(CELL("address",T172), "\$([A-Z]+)\$[0-9]+"))</f>
        <v/>
      </c>
      <c r="U172" s="7" t="str">
        <f t="array" aca="1" ref="U172" ca="1">IFERROR(IF(OR('Raw Data'!U172="",LEN(TRIM('Raw Data'!U172))=0),"",IF(AND(ISNUMBER('Raw Data'!U172), IFERROR('Raw Data'!U172 = ROUND('Raw Data'!U172, 2),FALSE)),"",_xlfn.REGEXEXTRACT(CELL("address",U172), "\$([A-Z]+)\$[0-9]+"))),_xlfn.REGEXEXTRACT(CELL("address",U172), "\$([A-Z]+)\$[0-9]+"))</f>
        <v/>
      </c>
      <c r="V172" s="7" t="str">
        <f t="array" aca="1" ref="V172" ca="1">IFERROR(IF(OR('Raw Data'!V172="",LEN(TRIM('Raw Data'!V172))=0),"",IF(AND(ISNUMBER('Raw Data'!V172), IFERROR('Raw Data'!V172 = ROUND('Raw Data'!V172, 2),FALSE)),"",_xlfn.REGEXEXTRACT(CELL("address",V172), "\$([A-Z]+)\$[0-9]+"))),_xlfn.REGEXEXTRACT(CELL("address",V172), "\$([A-Z]+)\$[0-9]+"))</f>
        <v/>
      </c>
      <c r="W172" s="7" t="str">
        <f t="array" aca="1" ref="W172" ca="1">IFERROR(IF(OR('Raw Data'!W172="",LEN(TRIM('Raw Data'!W172))=0),"",IF(AND(ISNUMBER('Raw Data'!W172), IFERROR('Raw Data'!W172 = ROUND('Raw Data'!W172, 2),FALSE)),"",_xlfn.REGEXEXTRACT(CELL("address",W172), "\$([A-Z]+)\$[0-9]+"))),_xlfn.REGEXEXTRACT(CELL("address",W172), "\$([A-Z]+)\$[0-9]+"))</f>
        <v/>
      </c>
      <c r="X172" s="7" t="str">
        <f t="array" aca="1" ref="X172" ca="1">IFERROR(IF(OR('Raw Data'!X172="",LEN(TRIM('Raw Data'!X172))=0),"",IF(AND(ISNUMBER('Raw Data'!X172), IFERROR('Raw Data'!X172 = ROUND('Raw Data'!X172, 2),FALSE)),"",_xlfn.REGEXEXTRACT(CELL("address",X172), "\$([A-Z]+)\$[0-9]+"))),_xlfn.REGEXEXTRACT(CELL("address",X172), "\$([A-Z]+)\$[0-9]+"))</f>
        <v/>
      </c>
      <c r="Y172" s="7" t="str">
        <f t="array" aca="1" ref="Y172" ca="1">IFERROR(IF(OR('Raw Data'!Y172="",LEN(TRIM('Raw Data'!Y172))=0),"",IF(AND(ISNUMBER('Raw Data'!Y172), IFERROR('Raw Data'!Y172 = ROUND('Raw Data'!Y172, 2),FALSE)),"",_xlfn.REGEXEXTRACT(CELL("address",Y172), "\$([A-Z]+)\$[0-9]+"))),_xlfn.REGEXEXTRACT(CELL("address",Y172), "\$([A-Z]+)\$[0-9]+"))</f>
        <v/>
      </c>
      <c r="Z172" s="7" t="str">
        <f t="array" aca="1" ref="Z172" ca="1">IFERROR(IF(OR('Raw Data'!Z172="",LEN(TRIM('Raw Data'!Z172))=0),"",IF(AND(ISNUMBER('Raw Data'!Z172), IFERROR('Raw Data'!Z172 = ROUND('Raw Data'!Z172, 2),FALSE)),"",_xlfn.REGEXEXTRACT(CELL("address",Z172), "\$([A-Z]+)\$[0-9]+"))),_xlfn.REGEXEXTRACT(CELL("address",Z172), "\$([A-Z]+)\$[0-9]+"))</f>
        <v/>
      </c>
      <c r="AA172" s="7" t="str">
        <f t="array" aca="1" ref="AA172" ca="1">IFERROR(IF(OR('Raw Data'!AA172="",LEN(TRIM('Raw Data'!AA172))=0),"",IF(AND(ISNUMBER('Raw Data'!AA172), IFERROR('Raw Data'!AA172 = ROUND('Raw Data'!AA172, 2),FALSE)),"",_xlfn.REGEXEXTRACT(CELL("address",AA172), "\$([A-Z]+)\$[0-9]+"))),_xlfn.REGEXEXTRACT(CELL("address",AA172), "\$([A-Z]+)\$[0-9]+"))</f>
        <v/>
      </c>
      <c r="AB172" s="7" t="str">
        <f t="array" aca="1" ref="AB172" ca="1">IFERROR(IF(OR('Raw Data'!AB172="",LEN(TRIM('Raw Data'!AB172))=0),"",IF(AND(ISNUMBER('Raw Data'!AB172), IFERROR('Raw Data'!AB172 = ROUND('Raw Data'!AB172, 2),FALSE)),"",_xlfn.REGEXEXTRACT(CELL("address",AB172), "\$([A-Z]+)\$[0-9]+"))),_xlfn.REGEXEXTRACT(CELL("address",AB172), "\$([A-Z]+)\$[0-9]+"))</f>
        <v/>
      </c>
      <c r="AC172" s="7" t="str">
        <f t="array" aca="1" ref="AC172" ca="1">IFERROR(IF(OR('Raw Data'!AC172="",LEN(TRIM('Raw Data'!AC172))=0),"",IF(AND(ISNUMBER('Raw Data'!AC172), IFERROR('Raw Data'!AC172 = ROUND('Raw Data'!AC172, 2),FALSE)),"",_xlfn.REGEXEXTRACT(CELL("address",AC172), "\$([A-Z]+)\$[0-9]+"))),_xlfn.REGEXEXTRACT(CELL("address",AC172), "\$([A-Z]+)\$[0-9]+"))</f>
        <v/>
      </c>
      <c r="AD172" s="7" t="str">
        <f t="array" aca="1" ref="AD172" ca="1">IFERROR(IF(OR('Raw Data'!AD172="",LEN(TRIM('Raw Data'!AD172))=0),"",IF(AND(ISNUMBER('Raw Data'!AD172), IFERROR('Raw Data'!AD172 = ROUND('Raw Data'!AD172, 2),FALSE)),"",_xlfn.REGEXEXTRACT(CELL("address",AD172), "\$([A-Z]+)\$[0-9]+"))),_xlfn.REGEXEXTRACT(CELL("address",AD172), "\$([A-Z]+)\$[0-9]+"))</f>
        <v/>
      </c>
      <c r="AE172" s="7" t="str">
        <f t="array" aca="1" ref="AE172" ca="1">IFERROR(IF(OR('Raw Data'!AE172="",LEN(TRIM('Raw Data'!AE172))=0),"",IF(AND(ISNUMBER('Raw Data'!AE172), IFERROR('Raw Data'!AE172 = ROUND('Raw Data'!AE172, 2),FALSE)),"",_xlfn.REGEXEXTRACT(CELL("address",AE172), "\$([A-Z]+)\$[0-9]+"))),_xlfn.REGEXEXTRACT(CELL("address",AE172), "\$([A-Z]+)\$[0-9]+"))</f>
        <v/>
      </c>
      <c r="AF172" s="7" t="str">
        <f t="array" aca="1" ref="AF172" ca="1">IFERROR(IF(OR('Raw Data'!AF172="",LEN(TRIM('Raw Data'!AF172))=0),"",IF(AND(ISNUMBER('Raw Data'!AF172), IFERROR('Raw Data'!AF172 = ROUND('Raw Data'!AF172, 2),FALSE)),"",_xlfn.REGEXEXTRACT(CELL("address",AF172), "\$([A-Z]+)\$[0-9]+"))),_xlfn.REGEXEXTRACT(CELL("address",AF172), "\$([A-Z]+)\$[0-9]+"))</f>
        <v/>
      </c>
      <c r="AG172" s="7" t="str">
        <f t="array" aca="1" ref="AG172" ca="1">IFERROR(IF(OR('Raw Data'!AG172="",LEN(TRIM('Raw Data'!AG172))=0),"",IF(AND(ISNUMBER('Raw Data'!AG172), IFERROR('Raw Data'!AG172 = ROUND('Raw Data'!AG172, 2),FALSE)),"",_xlfn.REGEXEXTRACT(CELL("address",AG172), "\$([A-Z]+)\$[0-9]+"))),_xlfn.REGEXEXTRACT(CELL("address",AG172), "\$([A-Z]+)\$[0-9]+"))</f>
        <v/>
      </c>
      <c r="AH172" s="7" t="str">
        <f t="array" aca="1" ref="AH172" ca="1">IFERROR(IF(OR('Raw Data'!AH172="",LEN(TRIM('Raw Data'!AH172))=0),"",IF(AND(ISNUMBER('Raw Data'!AH172), IFERROR('Raw Data'!AH172 = ROUND('Raw Data'!AH172, 2),FALSE)),"",_xlfn.REGEXEXTRACT(CELL("address",AH172), "\$([A-Z]+)\$[0-9]+"))),_xlfn.REGEXEXTRACT(CELL("address",AH172), "\$([A-Z]+)\$[0-9]+"))</f>
        <v/>
      </c>
      <c r="AI172" s="7" t="str">
        <f t="array" aca="1" ref="AI172" ca="1">IFERROR(IF(OR('Raw Data'!AI172="",LEN(TRIM('Raw Data'!AI172))=0),"",IF(AND(ISNUMBER('Raw Data'!AI172), IFERROR('Raw Data'!AI172 = ROUND('Raw Data'!AI172, 2),FALSE)),"",_xlfn.REGEXEXTRACT(CELL("address",AI172), "\$([A-Z]+)\$[0-9]+"))),_xlfn.REGEXEXTRACT(CELL("address",AI172), "\$([A-Z]+)\$[0-9]+"))</f>
        <v/>
      </c>
      <c r="AJ172" s="7" t="str">
        <f t="array" aca="1" ref="AJ172" ca="1">IFERROR(IF(OR('Raw Data'!AJ172="",LEN(TRIM('Raw Data'!AJ172))=0),"",IF(AND(ISNUMBER('Raw Data'!AJ172), IFERROR('Raw Data'!AJ172 = ROUND('Raw Data'!AJ172, 4),FALSE)),"",_xlfn.REGEXEXTRACT(CELL("address",AJ172), "\$([A-Z]+)\$[0-9]+"))),_xlfn.REGEXEXTRACT(CELL("address",AJ172), "\$([A-Z]+)\$[0-9]+"))</f>
        <v/>
      </c>
      <c r="AK172" s="7" t="str">
        <f t="array" aca="1" ref="AK172" ca="1">IFERROR(IF(OR('Raw Data'!AK172="",LEN(TRIM('Raw Data'!AK172))=0),"",IF(AND(ISNUMBER('Raw Data'!AK172), IFERROR('Raw Data'!AK172 = ROUND('Raw Data'!AK172, 2),FALSE)),"",_xlfn.REGEXEXTRACT(CELL("address",AK172), "\$([A-Z]+)\$[0-9]+"))),_xlfn.REGEXEXTRACT(CELL("address",AK172), "\$([A-Z]+)\$[0-9]+"))</f>
        <v/>
      </c>
      <c r="AL172" s="7" t="str">
        <f t="array" aca="1" ref="AL172" ca="1">IFERROR(IF(OR('Raw Data'!AL172="",LEN(TRIM('Raw Data'!AL172))=0),"",IF(AND(ISNUMBER('Raw Data'!AL172), IFERROR('Raw Data'!AL172 = ROUND('Raw Data'!AL172, 2),FALSE)),"",_xlfn.REGEXEXTRACT(CELL("address",AL172), "\$([A-Z]+)\$[0-9]+"))),_xlfn.REGEXEXTRACT(CELL("address",AL172), "\$([A-Z]+)\$[0-9]+"))</f>
        <v/>
      </c>
      <c r="AM172" s="7" t="str">
        <f t="array" aca="1" ref="AM172" ca="1">IFERROR(IF(OR('Raw Data'!AM172="",LEN(TRIM('Raw Data'!AM172))=0),"",IF(AND(ISNUMBER('Raw Data'!AM172), IFERROR('Raw Data'!AM172 = ROUND('Raw Data'!AM172, 2),FALSE)),"",_xlfn.REGEXEXTRACT(CELL("address",AM172), "\$([A-Z]+)\$[0-9]+"))),_xlfn.REGEXEXTRACT(CELL("address",AM172), "\$([A-Z]+)\$[0-9]+"))</f>
        <v/>
      </c>
      <c r="AN172" s="7" t="str">
        <f t="array" aca="1" ref="AN172" ca="1">IFERROR(IF(OR('Raw Data'!AN172="",LEN(TRIM('Raw Data'!AN172))=0),"",IF(AND(ISNUMBER('Raw Data'!AN172), IFERROR('Raw Data'!AN172 = ROUND('Raw Data'!AN172, 2),FALSE)),"",_xlfn.REGEXEXTRACT(CELL("address",AN172), "\$([A-Z]+)\$[0-9]+"))),_xlfn.REGEXEXTRACT(CELL("address",AN172), "\$([A-Z]+)\$[0-9]+"))</f>
        <v/>
      </c>
      <c r="AO172" s="7" t="str">
        <f t="array" aca="1" ref="AO172" ca="1">IFERROR(IF(OR('Raw Data'!AO172="",LEN(TRIM('Raw Data'!AO172))=0),"",IF(AND(ISNUMBER('Raw Data'!AO172), IFERROR('Raw Data'!AO172 = ROUND('Raw Data'!AO172, 2),FALSE)),"",_xlfn.REGEXEXTRACT(CELL("address",AO172), "\$([A-Z]+)\$[0-9]+"))),_xlfn.REGEXEXTRACT(CELL("address",AO172), "\$([A-Z]+)\$[0-9]+"))</f>
        <v/>
      </c>
      <c r="AP172" s="7" t="str">
        <f t="array" aca="1" ref="AP172" ca="1">IFERROR(IF(OR('Raw Data'!AP172="",LEN(TRIM('Raw Data'!AP172))=0),"",IF(AND(ISNUMBER('Raw Data'!AP172), IFERROR('Raw Data'!AP172 = ROUND('Raw Data'!AP172, 2),FALSE)),"",_xlfn.REGEXEXTRACT(CELL("address",AP172), "\$([A-Z]+)\$[0-9]+"))),_xlfn.REGEXEXTRACT(CELL("address",AP172), "\$([A-Z]+)\$[0-9]+"))</f>
        <v/>
      </c>
    </row>
    <row r="173" spans="2:42" x14ac:dyDescent="0.25">
      <c r="B173" s="7" t="str">
        <f t="array" aca="1" ref="B173" ca="1">IFERROR(IF(OR('Raw Data'!B173="",LEN(TRIM('Raw Data'!B173))=0),"",IF(AND(LEN('Raw Data'!B173) &lt;= 255,LEN('Raw Data'!B173)&gt; 0),"",_xlfn.REGEXEXTRACT(CELL("address",'Raw Data'!B173),"\$([A-Z]+)\$[0-9]+"))),_xlfn.REGEXEXTRACT(CELL("address",'Raw Data'!B173),"\$([A-Z]+)\$[0-9]+"))</f>
        <v/>
      </c>
      <c r="C173" s="7" t="str">
        <f t="array" aca="1" ref="C173" ca="1">IFERROR(IF(OR('Raw Data'!C173="",LEN(TRIM('Raw Data'!C173))=0),"",IF(AND(LEN('Raw Data'!C173) &lt;= 50,LEN('Raw Data'!C173)&gt; 0),"",_xlfn.REGEXEXTRACT(CELL("address",'Raw Data'!C173),"\$([A-Z]+)\$[0-9]+"))),_xlfn.REGEXEXTRACT(CELL("address",'Raw Data'!C173),"\$([A-Z]+)\$[0-9]+"))</f>
        <v/>
      </c>
      <c r="D173" s="7" t="str">
        <f t="array" aca="1" ref="D173" ca="1">IFERROR(IF(OR('Raw Data'!D173="",LEN(TRIM('Raw Data'!D173))=0),"",IF(AND(LEN('Raw Data'!D173) &lt;= 500,LEN('Raw Data'!D173)&gt; 0),"",_xlfn.REGEXEXTRACT(CELL("address",'Raw Data'!D173),"\$([A-Z]+)\$[0-9]+"))),_xlfn.REGEXEXTRACT(CELL("address",'Raw Data'!D173),"\$([A-Z]+)\$[0-9]+"))</f>
        <v/>
      </c>
      <c r="E173" s="7" t="str">
        <f t="array" aca="1" ref="E173" ca="1">IFERROR(IF(OR('Raw Data'!E173="",LEN(TRIM('Raw Data'!E173))=0),"",IF(AND(LEN('Raw Data'!E173) &lt;= 50,LEN('Raw Data'!E173)&gt; 0),"",_xlfn.REGEXEXTRACT(CELL("address",'Raw Data'!E173),"\$([A-Z]+)\$[0-9]+"))),_xlfn.REGEXEXTRACT(CELL("address",'Raw Data'!E173),"\$([A-Z]+)\$[0-9]+"))</f>
        <v/>
      </c>
      <c r="F173" s="7" t="str">
        <f t="array" aca="1" ref="F173" ca="1">IFERROR(IF(OR('Raw Data'!F173="",LEN(TRIM('Raw Data'!F173))=0),"",IF(AND(LEN('Raw Data'!F173) &lt;= 50,LEN('Raw Data'!F173)&gt; 0),"",_xlfn.REGEXEXTRACT(CELL("address",'Raw Data'!F173),"\$([A-Z]+)\$[0-9]+"))),_xlfn.REGEXEXTRACT(CELL("address",'Raw Data'!F173),"\$([A-Z]+)\$[0-9]+"))</f>
        <v/>
      </c>
      <c r="G173" s="7" t="str">
        <f t="array" aca="1" ref="G173" ca="1">IFERROR(IF(OR('Raw Data'!G173="",LEN(TRIM('Raw Data'!G173))=0),"",IF(AND(LEN('Raw Data'!G173) &lt;= 50,LEN('Raw Data'!G173)&gt; 0),"",_xlfn.REGEXEXTRACT(CELL("address",'Raw Data'!G173),"\$([A-Z]+)\$[0-9]+"))),_xlfn.REGEXEXTRACT(CELL("address",'Raw Data'!G173),"\$([A-Z]+)\$[0-9]+"))</f>
        <v/>
      </c>
      <c r="H173" s="7" t="str">
        <f t="array" aca="1" ref="H173" ca="1">IFERROR(IF(OR('Raw Data'!H173="",LEN(TRIM('Raw Data'!H173))=0),"",IF(AND(LEN('Raw Data'!H173) &lt;= 50,LEN('Raw Data'!H173)&gt; 0),"",_xlfn.REGEXEXTRACT(CELL("address",'Raw Data'!H173),"\$([A-Z]+)\$[0-9]+"))),_xlfn.REGEXEXTRACT(CELL("address",'Raw Data'!H173),"\$([A-Z]+)\$[0-9]+"))</f>
        <v/>
      </c>
      <c r="I173" s="7" t="str">
        <f t="array" aca="1" ref="I173" ca="1">IFERROR(IF(OR('Raw Data'!I173="",LEN(TRIM('Raw Data'!I173))=0),"",IF(AND(LEN('Raw Data'!I173) &lt;= 50,LEN('Raw Data'!I173)&gt; 0),"",_xlfn.REGEXEXTRACT(CELL("address",'Raw Data'!I173),"\$([A-Z]+)\$[0-9]+"))),_xlfn.REGEXEXTRACT(CELL("address",'Raw Data'!I173),"\$([A-Z]+)\$[0-9]+"))</f>
        <v/>
      </c>
      <c r="J173" s="7" t="str">
        <f t="array" aca="1" ref="J173" ca="1">IFERROR(IF(OR('Raw Data'!J173="",LEN(TRIM('Raw Data'!J173))=0),"",IF(AND(ISNUMBER('Raw Data'!J173), IFERROR('Raw Data'!J173 = ROUND('Raw Data'!J173, 2),FALSE)),"",_xlfn.REGEXEXTRACT(CELL("address",J173), "\$([A-Z]+)\$[0-9]+"))),_xlfn.REGEXEXTRACT(CELL("address",J173), "\$([A-Z]+)\$[0-9]+"))</f>
        <v/>
      </c>
      <c r="K173" s="7" t="str">
        <f t="array" aca="1" ref="K173" ca="1">IFERROR(IF(OR('Raw Data'!K173="",LEN(TRIM('Raw Data'!K173))=0),"",IF(AND(ISNUMBER('Raw Data'!K173), IFERROR('Raw Data'!K173 = ROUND('Raw Data'!K173, 2),FALSE)),"",_xlfn.REGEXEXTRACT(CELL("address",K173), "\$([A-Z]+)\$[0-9]+"))),_xlfn.REGEXEXTRACT(CELL("address",K173), "\$([A-Z]+)\$[0-9]+"))</f>
        <v/>
      </c>
      <c r="L173" s="7" t="str">
        <f t="array" aca="1" ref="L173" ca="1">IFERROR(IF(OR('Raw Data'!L173="",LEN(TRIM('Raw Data'!L173))=0),"",IF(AND(ISNUMBER('Raw Data'!L173), IFERROR('Raw Data'!L173 = ROUND('Raw Data'!L173, 2),FALSE)),"",_xlfn.REGEXEXTRACT(CELL("address",L173), "\$([A-Z]+)\$[0-9]+"))),_xlfn.REGEXEXTRACT(CELL("address",L173), "\$([A-Z]+)\$[0-9]+"))</f>
        <v/>
      </c>
      <c r="M173" s="7" t="str">
        <f t="array" aca="1" ref="M173" ca="1">IFERROR(IF(OR('Raw Data'!M173="",LEN(TRIM('Raw Data'!M173))=0),"",IF(AND(ISNUMBER('Raw Data'!M173), IFERROR('Raw Data'!M173 = ROUND('Raw Data'!M173, 2),FALSE)),"",_xlfn.REGEXEXTRACT(CELL("address",M173), "\$([A-Z]+)\$[0-9]+"))),_xlfn.REGEXEXTRACT(CELL("address",M173), "\$([A-Z]+)\$[0-9]+"))</f>
        <v/>
      </c>
      <c r="N173" s="7" t="str">
        <f t="array" aca="1" ref="N173" ca="1">IFERROR(IF(OR('Raw Data'!N173="",LEN(TRIM('Raw Data'!N173))=0),"",IF(AND(ISNUMBER('Raw Data'!N173), IFERROR('Raw Data'!N173 = ROUND('Raw Data'!N173, 2),FALSE)),"",_xlfn.REGEXEXTRACT(CELL("address",N173), "\$([A-Z]+)\$[0-9]+"))),_xlfn.REGEXEXTRACT(CELL("address",N173), "\$([A-Z]+)\$[0-9]+"))</f>
        <v/>
      </c>
      <c r="O173" s="7" t="str">
        <f t="array" aca="1" ref="O173" ca="1">IFERROR(IF(OR('Raw Data'!O173="",LEN(TRIM('Raw Data'!O173))=0),"",IF(AND(ISNUMBER('Raw Data'!O173),'Raw Data'!O173&gt;=Configuration!$D$2),"",_xlfn.REGEXEXTRACT(CELL("address",'Raw Data'!O173),"\$([A-Z]+)\$[0-9]+"))),_xlfn.REGEXEXTRACT(CELL("address",O173), "\$([A-Z]+)\$[0-9]+"))</f>
        <v/>
      </c>
      <c r="P173" s="7" t="str">
        <f t="array" aca="1" ref="P173" ca="1">IFERROR(IF(OR('Raw Data'!P173="",LEN(TRIM('Raw Data'!P173))=0),"",IF(AND(ISNUMBER('Raw Data'!P173), IFERROR('Raw Data'!P173 = ROUND('Raw Data'!P173, 2),FALSE)),"",_xlfn.REGEXEXTRACT(CELL("address",P173), "\$([A-Z]+)\$[0-9]+"))),_xlfn.REGEXEXTRACT(CELL("address",P173), "\$([A-Z]+)\$[0-9]+"))</f>
        <v/>
      </c>
      <c r="Q173" s="7" t="str">
        <f t="array" aca="1" ref="Q173" ca="1">IFERROR(IF(OR('Raw Data'!Q173="",LEN(TRIM('Raw Data'!Q173))=0),"",IF(AND(ISNUMBER('Raw Data'!Q173), IFERROR('Raw Data'!Q173 = ROUND('Raw Data'!Q173, 2),FALSE)),"",_xlfn.REGEXEXTRACT(CELL("address",Q173), "\$([A-Z]+)\$[0-9]+"))),_xlfn.REGEXEXTRACT(CELL("address",Q173), "\$([A-Z]+)\$[0-9]+"))</f>
        <v/>
      </c>
      <c r="R173" s="7" t="str">
        <f t="array" aca="1" ref="R173" ca="1">IFERROR(IF(OR('Raw Data'!R173="",LEN(TRIM('Raw Data'!R173))=0),"",IF(AND(LEN('Raw Data'!R173) &lt;= 50,LEN('Raw Data'!R173)&gt; 0),"",_xlfn.REGEXEXTRACT(CELL("address",'Raw Data'!R173),"\$([A-Z]+)\$[0-9]+"))),_xlfn.REGEXEXTRACT(CELL("address",'Raw Data'!R173),"\$([A-Z]+)\$[0-9]+"))</f>
        <v/>
      </c>
      <c r="S173" s="7" t="str">
        <f t="array" aca="1" ref="S173" ca="1">IFERROR(IF(OR('Raw Data'!S173="",LEN(TRIM('Raw Data'!S173))=0),"",IF(AND(LEN('Raw Data'!S173) &lt;= 50,LEN('Raw Data'!S173)&gt; 0),"",_xlfn.REGEXEXTRACT(CELL("address",'Raw Data'!S173),"\$([A-Z]+)\$[0-9]+"))),_xlfn.REGEXEXTRACT(CELL("address",'Raw Data'!S173),"\$([A-Z]+)\$[0-9]+"))</f>
        <v/>
      </c>
      <c r="T173" s="7" t="str">
        <f t="array" aca="1" ref="T173" ca="1">IFERROR(IF(OR('Raw Data'!T173="",LEN(TRIM('Raw Data'!T173))=0),"",IF(AND(ISNUMBER('Raw Data'!T173), IFERROR('Raw Data'!T173 = ROUND('Raw Data'!T173, 2),FALSE)),"",_xlfn.REGEXEXTRACT(CELL("address",T173), "\$([A-Z]+)\$[0-9]+"))),_xlfn.REGEXEXTRACT(CELL("address",T173), "\$([A-Z]+)\$[0-9]+"))</f>
        <v/>
      </c>
      <c r="U173" s="7" t="str">
        <f t="array" aca="1" ref="U173" ca="1">IFERROR(IF(OR('Raw Data'!U173="",LEN(TRIM('Raw Data'!U173))=0),"",IF(AND(ISNUMBER('Raw Data'!U173), IFERROR('Raw Data'!U173 = ROUND('Raw Data'!U173, 2),FALSE)),"",_xlfn.REGEXEXTRACT(CELL("address",U173), "\$([A-Z]+)\$[0-9]+"))),_xlfn.REGEXEXTRACT(CELL("address",U173), "\$([A-Z]+)\$[0-9]+"))</f>
        <v/>
      </c>
      <c r="V173" s="7" t="str">
        <f t="array" aca="1" ref="V173" ca="1">IFERROR(IF(OR('Raw Data'!V173="",LEN(TRIM('Raw Data'!V173))=0),"",IF(AND(ISNUMBER('Raw Data'!V173), IFERROR('Raw Data'!V173 = ROUND('Raw Data'!V173, 2),FALSE)),"",_xlfn.REGEXEXTRACT(CELL("address",V173), "\$([A-Z]+)\$[0-9]+"))),_xlfn.REGEXEXTRACT(CELL("address",V173), "\$([A-Z]+)\$[0-9]+"))</f>
        <v/>
      </c>
      <c r="W173" s="7" t="str">
        <f t="array" aca="1" ref="W173" ca="1">IFERROR(IF(OR('Raw Data'!W173="",LEN(TRIM('Raw Data'!W173))=0),"",IF(AND(ISNUMBER('Raw Data'!W173), IFERROR('Raw Data'!W173 = ROUND('Raw Data'!W173, 2),FALSE)),"",_xlfn.REGEXEXTRACT(CELL("address",W173), "\$([A-Z]+)\$[0-9]+"))),_xlfn.REGEXEXTRACT(CELL("address",W173), "\$([A-Z]+)\$[0-9]+"))</f>
        <v/>
      </c>
      <c r="X173" s="7" t="str">
        <f t="array" aca="1" ref="X173" ca="1">IFERROR(IF(OR('Raw Data'!X173="",LEN(TRIM('Raw Data'!X173))=0),"",IF(AND(ISNUMBER('Raw Data'!X173), IFERROR('Raw Data'!X173 = ROUND('Raw Data'!X173, 2),FALSE)),"",_xlfn.REGEXEXTRACT(CELL("address",X173), "\$([A-Z]+)\$[0-9]+"))),_xlfn.REGEXEXTRACT(CELL("address",X173), "\$([A-Z]+)\$[0-9]+"))</f>
        <v/>
      </c>
      <c r="Y173" s="7" t="str">
        <f t="array" aca="1" ref="Y173" ca="1">IFERROR(IF(OR('Raw Data'!Y173="",LEN(TRIM('Raw Data'!Y173))=0),"",IF(AND(ISNUMBER('Raw Data'!Y173), IFERROR('Raw Data'!Y173 = ROUND('Raw Data'!Y173, 2),FALSE)),"",_xlfn.REGEXEXTRACT(CELL("address",Y173), "\$([A-Z]+)\$[0-9]+"))),_xlfn.REGEXEXTRACT(CELL("address",Y173), "\$([A-Z]+)\$[0-9]+"))</f>
        <v/>
      </c>
      <c r="Z173" s="7" t="str">
        <f t="array" aca="1" ref="Z173" ca="1">IFERROR(IF(OR('Raw Data'!Z173="",LEN(TRIM('Raw Data'!Z173))=0),"",IF(AND(ISNUMBER('Raw Data'!Z173), IFERROR('Raw Data'!Z173 = ROUND('Raw Data'!Z173, 2),FALSE)),"",_xlfn.REGEXEXTRACT(CELL("address",Z173), "\$([A-Z]+)\$[0-9]+"))),_xlfn.REGEXEXTRACT(CELL("address",Z173), "\$([A-Z]+)\$[0-9]+"))</f>
        <v/>
      </c>
      <c r="AA173" s="7" t="str">
        <f t="array" aca="1" ref="AA173" ca="1">IFERROR(IF(OR('Raw Data'!AA173="",LEN(TRIM('Raw Data'!AA173))=0),"",IF(AND(ISNUMBER('Raw Data'!AA173), IFERROR('Raw Data'!AA173 = ROUND('Raw Data'!AA173, 2),FALSE)),"",_xlfn.REGEXEXTRACT(CELL("address",AA173), "\$([A-Z]+)\$[0-9]+"))),_xlfn.REGEXEXTRACT(CELL("address",AA173), "\$([A-Z]+)\$[0-9]+"))</f>
        <v/>
      </c>
      <c r="AB173" s="7" t="str">
        <f t="array" aca="1" ref="AB173" ca="1">IFERROR(IF(OR('Raw Data'!AB173="",LEN(TRIM('Raw Data'!AB173))=0),"",IF(AND(ISNUMBER('Raw Data'!AB173), IFERROR('Raw Data'!AB173 = ROUND('Raw Data'!AB173, 2),FALSE)),"",_xlfn.REGEXEXTRACT(CELL("address",AB173), "\$([A-Z]+)\$[0-9]+"))),_xlfn.REGEXEXTRACT(CELL("address",AB173), "\$([A-Z]+)\$[0-9]+"))</f>
        <v/>
      </c>
      <c r="AC173" s="7" t="str">
        <f t="array" aca="1" ref="AC173" ca="1">IFERROR(IF(OR('Raw Data'!AC173="",LEN(TRIM('Raw Data'!AC173))=0),"",IF(AND(ISNUMBER('Raw Data'!AC173), IFERROR('Raw Data'!AC173 = ROUND('Raw Data'!AC173, 2),FALSE)),"",_xlfn.REGEXEXTRACT(CELL("address",AC173), "\$([A-Z]+)\$[0-9]+"))),_xlfn.REGEXEXTRACT(CELL("address",AC173), "\$([A-Z]+)\$[0-9]+"))</f>
        <v/>
      </c>
      <c r="AD173" s="7" t="str">
        <f t="array" aca="1" ref="AD173" ca="1">IFERROR(IF(OR('Raw Data'!AD173="",LEN(TRIM('Raw Data'!AD173))=0),"",IF(AND(ISNUMBER('Raw Data'!AD173), IFERROR('Raw Data'!AD173 = ROUND('Raw Data'!AD173, 2),FALSE)),"",_xlfn.REGEXEXTRACT(CELL("address",AD173), "\$([A-Z]+)\$[0-9]+"))),_xlfn.REGEXEXTRACT(CELL("address",AD173), "\$([A-Z]+)\$[0-9]+"))</f>
        <v/>
      </c>
      <c r="AE173" s="7" t="str">
        <f t="array" aca="1" ref="AE173" ca="1">IFERROR(IF(OR('Raw Data'!AE173="",LEN(TRIM('Raw Data'!AE173))=0),"",IF(AND(ISNUMBER('Raw Data'!AE173), IFERROR('Raw Data'!AE173 = ROUND('Raw Data'!AE173, 2),FALSE)),"",_xlfn.REGEXEXTRACT(CELL("address",AE173), "\$([A-Z]+)\$[0-9]+"))),_xlfn.REGEXEXTRACT(CELL("address",AE173), "\$([A-Z]+)\$[0-9]+"))</f>
        <v/>
      </c>
      <c r="AF173" s="7" t="str">
        <f t="array" aca="1" ref="AF173" ca="1">IFERROR(IF(OR('Raw Data'!AF173="",LEN(TRIM('Raw Data'!AF173))=0),"",IF(AND(ISNUMBER('Raw Data'!AF173), IFERROR('Raw Data'!AF173 = ROUND('Raw Data'!AF173, 2),FALSE)),"",_xlfn.REGEXEXTRACT(CELL("address",AF173), "\$([A-Z]+)\$[0-9]+"))),_xlfn.REGEXEXTRACT(CELL("address",AF173), "\$([A-Z]+)\$[0-9]+"))</f>
        <v/>
      </c>
      <c r="AG173" s="7" t="str">
        <f t="array" aca="1" ref="AG173" ca="1">IFERROR(IF(OR('Raw Data'!AG173="",LEN(TRIM('Raw Data'!AG173))=0),"",IF(AND(ISNUMBER('Raw Data'!AG173), IFERROR('Raw Data'!AG173 = ROUND('Raw Data'!AG173, 2),FALSE)),"",_xlfn.REGEXEXTRACT(CELL("address",AG173), "\$([A-Z]+)\$[0-9]+"))),_xlfn.REGEXEXTRACT(CELL("address",AG173), "\$([A-Z]+)\$[0-9]+"))</f>
        <v/>
      </c>
      <c r="AH173" s="7" t="str">
        <f t="array" aca="1" ref="AH173" ca="1">IFERROR(IF(OR('Raw Data'!AH173="",LEN(TRIM('Raw Data'!AH173))=0),"",IF(AND(ISNUMBER('Raw Data'!AH173), IFERROR('Raw Data'!AH173 = ROUND('Raw Data'!AH173, 2),FALSE)),"",_xlfn.REGEXEXTRACT(CELL("address",AH173), "\$([A-Z]+)\$[0-9]+"))),_xlfn.REGEXEXTRACT(CELL("address",AH173), "\$([A-Z]+)\$[0-9]+"))</f>
        <v/>
      </c>
      <c r="AI173" s="7" t="str">
        <f t="array" aca="1" ref="AI173" ca="1">IFERROR(IF(OR('Raw Data'!AI173="",LEN(TRIM('Raw Data'!AI173))=0),"",IF(AND(ISNUMBER('Raw Data'!AI173), IFERROR('Raw Data'!AI173 = ROUND('Raw Data'!AI173, 2),FALSE)),"",_xlfn.REGEXEXTRACT(CELL("address",AI173), "\$([A-Z]+)\$[0-9]+"))),_xlfn.REGEXEXTRACT(CELL("address",AI173), "\$([A-Z]+)\$[0-9]+"))</f>
        <v/>
      </c>
      <c r="AJ173" s="7" t="str">
        <f t="array" aca="1" ref="AJ173" ca="1">IFERROR(IF(OR('Raw Data'!AJ173="",LEN(TRIM('Raw Data'!AJ173))=0),"",IF(AND(ISNUMBER('Raw Data'!AJ173), IFERROR('Raw Data'!AJ173 = ROUND('Raw Data'!AJ173, 4),FALSE)),"",_xlfn.REGEXEXTRACT(CELL("address",AJ173), "\$([A-Z]+)\$[0-9]+"))),_xlfn.REGEXEXTRACT(CELL("address",AJ173), "\$([A-Z]+)\$[0-9]+"))</f>
        <v/>
      </c>
      <c r="AK173" s="7" t="str">
        <f t="array" aca="1" ref="AK173" ca="1">IFERROR(IF(OR('Raw Data'!AK173="",LEN(TRIM('Raw Data'!AK173))=0),"",IF(AND(ISNUMBER('Raw Data'!AK173), IFERROR('Raw Data'!AK173 = ROUND('Raw Data'!AK173, 2),FALSE)),"",_xlfn.REGEXEXTRACT(CELL("address",AK173), "\$([A-Z]+)\$[0-9]+"))),_xlfn.REGEXEXTRACT(CELL("address",AK173), "\$([A-Z]+)\$[0-9]+"))</f>
        <v/>
      </c>
      <c r="AL173" s="7" t="str">
        <f t="array" aca="1" ref="AL173" ca="1">IFERROR(IF(OR('Raw Data'!AL173="",LEN(TRIM('Raw Data'!AL173))=0),"",IF(AND(ISNUMBER('Raw Data'!AL173), IFERROR('Raw Data'!AL173 = ROUND('Raw Data'!AL173, 2),FALSE)),"",_xlfn.REGEXEXTRACT(CELL("address",AL173), "\$([A-Z]+)\$[0-9]+"))),_xlfn.REGEXEXTRACT(CELL("address",AL173), "\$([A-Z]+)\$[0-9]+"))</f>
        <v/>
      </c>
      <c r="AM173" s="7" t="str">
        <f t="array" aca="1" ref="AM173" ca="1">IFERROR(IF(OR('Raw Data'!AM173="",LEN(TRIM('Raw Data'!AM173))=0),"",IF(AND(ISNUMBER('Raw Data'!AM173), IFERROR('Raw Data'!AM173 = ROUND('Raw Data'!AM173, 2),FALSE)),"",_xlfn.REGEXEXTRACT(CELL("address",AM173), "\$([A-Z]+)\$[0-9]+"))),_xlfn.REGEXEXTRACT(CELL("address",AM173), "\$([A-Z]+)\$[0-9]+"))</f>
        <v/>
      </c>
      <c r="AN173" s="7" t="str">
        <f t="array" aca="1" ref="AN173" ca="1">IFERROR(IF(OR('Raw Data'!AN173="",LEN(TRIM('Raw Data'!AN173))=0),"",IF(AND(ISNUMBER('Raw Data'!AN173), IFERROR('Raw Data'!AN173 = ROUND('Raw Data'!AN173, 2),FALSE)),"",_xlfn.REGEXEXTRACT(CELL("address",AN173), "\$([A-Z]+)\$[0-9]+"))),_xlfn.REGEXEXTRACT(CELL("address",AN173), "\$([A-Z]+)\$[0-9]+"))</f>
        <v/>
      </c>
      <c r="AO173" s="7" t="str">
        <f t="array" aca="1" ref="AO173" ca="1">IFERROR(IF(OR('Raw Data'!AO173="",LEN(TRIM('Raw Data'!AO173))=0),"",IF(AND(ISNUMBER('Raw Data'!AO173), IFERROR('Raw Data'!AO173 = ROUND('Raw Data'!AO173, 2),FALSE)),"",_xlfn.REGEXEXTRACT(CELL("address",AO173), "\$([A-Z]+)\$[0-9]+"))),_xlfn.REGEXEXTRACT(CELL("address",AO173), "\$([A-Z]+)\$[0-9]+"))</f>
        <v/>
      </c>
      <c r="AP173" s="7" t="str">
        <f t="array" aca="1" ref="AP173" ca="1">IFERROR(IF(OR('Raw Data'!AP173="",LEN(TRIM('Raw Data'!AP173))=0),"",IF(AND(ISNUMBER('Raw Data'!AP173), IFERROR('Raw Data'!AP173 = ROUND('Raw Data'!AP173, 2),FALSE)),"",_xlfn.REGEXEXTRACT(CELL("address",AP173), "\$([A-Z]+)\$[0-9]+"))),_xlfn.REGEXEXTRACT(CELL("address",AP173), "\$([A-Z]+)\$[0-9]+"))</f>
        <v/>
      </c>
    </row>
    <row r="174" spans="2:42" x14ac:dyDescent="0.25">
      <c r="B174" s="7" t="str">
        <f t="array" aca="1" ref="B174" ca="1">IFERROR(IF(OR('Raw Data'!B174="",LEN(TRIM('Raw Data'!B174))=0),"",IF(AND(LEN('Raw Data'!B174) &lt;= 255,LEN('Raw Data'!B174)&gt; 0),"",_xlfn.REGEXEXTRACT(CELL("address",'Raw Data'!B174),"\$([A-Z]+)\$[0-9]+"))),_xlfn.REGEXEXTRACT(CELL("address",'Raw Data'!B174),"\$([A-Z]+)\$[0-9]+"))</f>
        <v/>
      </c>
      <c r="C174" s="7" t="str">
        <f t="array" aca="1" ref="C174" ca="1">IFERROR(IF(OR('Raw Data'!C174="",LEN(TRIM('Raw Data'!C174))=0),"",IF(AND(LEN('Raw Data'!C174) &lt;= 50,LEN('Raw Data'!C174)&gt; 0),"",_xlfn.REGEXEXTRACT(CELL("address",'Raw Data'!C174),"\$([A-Z]+)\$[0-9]+"))),_xlfn.REGEXEXTRACT(CELL("address",'Raw Data'!C174),"\$([A-Z]+)\$[0-9]+"))</f>
        <v/>
      </c>
      <c r="D174" s="7" t="str">
        <f t="array" aca="1" ref="D174" ca="1">IFERROR(IF(OR('Raw Data'!D174="",LEN(TRIM('Raw Data'!D174))=0),"",IF(AND(LEN('Raw Data'!D174) &lt;= 500,LEN('Raw Data'!D174)&gt; 0),"",_xlfn.REGEXEXTRACT(CELL("address",'Raw Data'!D174),"\$([A-Z]+)\$[0-9]+"))),_xlfn.REGEXEXTRACT(CELL("address",'Raw Data'!D174),"\$([A-Z]+)\$[0-9]+"))</f>
        <v/>
      </c>
      <c r="E174" s="7" t="str">
        <f t="array" aca="1" ref="E174" ca="1">IFERROR(IF(OR('Raw Data'!E174="",LEN(TRIM('Raw Data'!E174))=0),"",IF(AND(LEN('Raw Data'!E174) &lt;= 50,LEN('Raw Data'!E174)&gt; 0),"",_xlfn.REGEXEXTRACT(CELL("address",'Raw Data'!E174),"\$([A-Z]+)\$[0-9]+"))),_xlfn.REGEXEXTRACT(CELL("address",'Raw Data'!E174),"\$([A-Z]+)\$[0-9]+"))</f>
        <v/>
      </c>
      <c r="F174" s="7" t="str">
        <f t="array" aca="1" ref="F174" ca="1">IFERROR(IF(OR('Raw Data'!F174="",LEN(TRIM('Raw Data'!F174))=0),"",IF(AND(LEN('Raw Data'!F174) &lt;= 50,LEN('Raw Data'!F174)&gt; 0),"",_xlfn.REGEXEXTRACT(CELL("address",'Raw Data'!F174),"\$([A-Z]+)\$[0-9]+"))),_xlfn.REGEXEXTRACT(CELL("address",'Raw Data'!F174),"\$([A-Z]+)\$[0-9]+"))</f>
        <v/>
      </c>
      <c r="G174" s="7" t="str">
        <f t="array" aca="1" ref="G174" ca="1">IFERROR(IF(OR('Raw Data'!G174="",LEN(TRIM('Raw Data'!G174))=0),"",IF(AND(LEN('Raw Data'!G174) &lt;= 50,LEN('Raw Data'!G174)&gt; 0),"",_xlfn.REGEXEXTRACT(CELL("address",'Raw Data'!G174),"\$([A-Z]+)\$[0-9]+"))),_xlfn.REGEXEXTRACT(CELL("address",'Raw Data'!G174),"\$([A-Z]+)\$[0-9]+"))</f>
        <v/>
      </c>
      <c r="H174" s="7" t="str">
        <f t="array" aca="1" ref="H174" ca="1">IFERROR(IF(OR('Raw Data'!H174="",LEN(TRIM('Raw Data'!H174))=0),"",IF(AND(LEN('Raw Data'!H174) &lt;= 50,LEN('Raw Data'!H174)&gt; 0),"",_xlfn.REGEXEXTRACT(CELL("address",'Raw Data'!H174),"\$([A-Z]+)\$[0-9]+"))),_xlfn.REGEXEXTRACT(CELL("address",'Raw Data'!H174),"\$([A-Z]+)\$[0-9]+"))</f>
        <v/>
      </c>
      <c r="I174" s="7" t="str">
        <f t="array" aca="1" ref="I174" ca="1">IFERROR(IF(OR('Raw Data'!I174="",LEN(TRIM('Raw Data'!I174))=0),"",IF(AND(LEN('Raw Data'!I174) &lt;= 50,LEN('Raw Data'!I174)&gt; 0),"",_xlfn.REGEXEXTRACT(CELL("address",'Raw Data'!I174),"\$([A-Z]+)\$[0-9]+"))),_xlfn.REGEXEXTRACT(CELL("address",'Raw Data'!I174),"\$([A-Z]+)\$[0-9]+"))</f>
        <v/>
      </c>
      <c r="J174" s="7" t="str">
        <f t="array" aca="1" ref="J174" ca="1">IFERROR(IF(OR('Raw Data'!J174="",LEN(TRIM('Raw Data'!J174))=0),"",IF(AND(ISNUMBER('Raw Data'!J174), IFERROR('Raw Data'!J174 = ROUND('Raw Data'!J174, 2),FALSE)),"",_xlfn.REGEXEXTRACT(CELL("address",J174), "\$([A-Z]+)\$[0-9]+"))),_xlfn.REGEXEXTRACT(CELL("address",J174), "\$([A-Z]+)\$[0-9]+"))</f>
        <v/>
      </c>
      <c r="K174" s="7" t="str">
        <f t="array" aca="1" ref="K174" ca="1">IFERROR(IF(OR('Raw Data'!K174="",LEN(TRIM('Raw Data'!K174))=0),"",IF(AND(ISNUMBER('Raw Data'!K174), IFERROR('Raw Data'!K174 = ROUND('Raw Data'!K174, 2),FALSE)),"",_xlfn.REGEXEXTRACT(CELL("address",K174), "\$([A-Z]+)\$[0-9]+"))),_xlfn.REGEXEXTRACT(CELL("address",K174), "\$([A-Z]+)\$[0-9]+"))</f>
        <v/>
      </c>
      <c r="L174" s="7" t="str">
        <f t="array" aca="1" ref="L174" ca="1">IFERROR(IF(OR('Raw Data'!L174="",LEN(TRIM('Raw Data'!L174))=0),"",IF(AND(ISNUMBER('Raw Data'!L174), IFERROR('Raw Data'!L174 = ROUND('Raw Data'!L174, 2),FALSE)),"",_xlfn.REGEXEXTRACT(CELL("address",L174), "\$([A-Z]+)\$[0-9]+"))),_xlfn.REGEXEXTRACT(CELL("address",L174), "\$([A-Z]+)\$[0-9]+"))</f>
        <v/>
      </c>
      <c r="M174" s="7" t="str">
        <f t="array" aca="1" ref="M174" ca="1">IFERROR(IF(OR('Raw Data'!M174="",LEN(TRIM('Raw Data'!M174))=0),"",IF(AND(ISNUMBER('Raw Data'!M174), IFERROR('Raw Data'!M174 = ROUND('Raw Data'!M174, 2),FALSE)),"",_xlfn.REGEXEXTRACT(CELL("address",M174), "\$([A-Z]+)\$[0-9]+"))),_xlfn.REGEXEXTRACT(CELL("address",M174), "\$([A-Z]+)\$[0-9]+"))</f>
        <v/>
      </c>
      <c r="N174" s="7" t="str">
        <f t="array" aca="1" ref="N174" ca="1">IFERROR(IF(OR('Raw Data'!N174="",LEN(TRIM('Raw Data'!N174))=0),"",IF(AND(ISNUMBER('Raw Data'!N174), IFERROR('Raw Data'!N174 = ROUND('Raw Data'!N174, 2),FALSE)),"",_xlfn.REGEXEXTRACT(CELL("address",N174), "\$([A-Z]+)\$[0-9]+"))),_xlfn.REGEXEXTRACT(CELL("address",N174), "\$([A-Z]+)\$[0-9]+"))</f>
        <v/>
      </c>
      <c r="O174" s="7" t="str">
        <f t="array" aca="1" ref="O174" ca="1">IFERROR(IF(OR('Raw Data'!O174="",LEN(TRIM('Raw Data'!O174))=0),"",IF(AND(ISNUMBER('Raw Data'!O174),'Raw Data'!O174&gt;=Configuration!$D$2),"",_xlfn.REGEXEXTRACT(CELL("address",'Raw Data'!O174),"\$([A-Z]+)\$[0-9]+"))),_xlfn.REGEXEXTRACT(CELL("address",O174), "\$([A-Z]+)\$[0-9]+"))</f>
        <v/>
      </c>
      <c r="P174" s="7" t="str">
        <f t="array" aca="1" ref="P174" ca="1">IFERROR(IF(OR('Raw Data'!P174="",LEN(TRIM('Raw Data'!P174))=0),"",IF(AND(ISNUMBER('Raw Data'!P174), IFERROR('Raw Data'!P174 = ROUND('Raw Data'!P174, 2),FALSE)),"",_xlfn.REGEXEXTRACT(CELL("address",P174), "\$([A-Z]+)\$[0-9]+"))),_xlfn.REGEXEXTRACT(CELL("address",P174), "\$([A-Z]+)\$[0-9]+"))</f>
        <v/>
      </c>
      <c r="Q174" s="7" t="str">
        <f t="array" aca="1" ref="Q174" ca="1">IFERROR(IF(OR('Raw Data'!Q174="",LEN(TRIM('Raw Data'!Q174))=0),"",IF(AND(ISNUMBER('Raw Data'!Q174), IFERROR('Raw Data'!Q174 = ROUND('Raw Data'!Q174, 2),FALSE)),"",_xlfn.REGEXEXTRACT(CELL("address",Q174), "\$([A-Z]+)\$[0-9]+"))),_xlfn.REGEXEXTRACT(CELL("address",Q174), "\$([A-Z]+)\$[0-9]+"))</f>
        <v/>
      </c>
      <c r="R174" s="7" t="str">
        <f t="array" aca="1" ref="R174" ca="1">IFERROR(IF(OR('Raw Data'!R174="",LEN(TRIM('Raw Data'!R174))=0),"",IF(AND(LEN('Raw Data'!R174) &lt;= 50,LEN('Raw Data'!R174)&gt; 0),"",_xlfn.REGEXEXTRACT(CELL("address",'Raw Data'!R174),"\$([A-Z]+)\$[0-9]+"))),_xlfn.REGEXEXTRACT(CELL("address",'Raw Data'!R174),"\$([A-Z]+)\$[0-9]+"))</f>
        <v/>
      </c>
      <c r="S174" s="7" t="str">
        <f t="array" aca="1" ref="S174" ca="1">IFERROR(IF(OR('Raw Data'!S174="",LEN(TRIM('Raw Data'!S174))=0),"",IF(AND(LEN('Raw Data'!S174) &lt;= 50,LEN('Raw Data'!S174)&gt; 0),"",_xlfn.REGEXEXTRACT(CELL("address",'Raw Data'!S174),"\$([A-Z]+)\$[0-9]+"))),_xlfn.REGEXEXTRACT(CELL("address",'Raw Data'!S174),"\$([A-Z]+)\$[0-9]+"))</f>
        <v/>
      </c>
      <c r="T174" s="7" t="str">
        <f t="array" aca="1" ref="T174" ca="1">IFERROR(IF(OR('Raw Data'!T174="",LEN(TRIM('Raw Data'!T174))=0),"",IF(AND(ISNUMBER('Raw Data'!T174), IFERROR('Raw Data'!T174 = ROUND('Raw Data'!T174, 2),FALSE)),"",_xlfn.REGEXEXTRACT(CELL("address",T174), "\$([A-Z]+)\$[0-9]+"))),_xlfn.REGEXEXTRACT(CELL("address",T174), "\$([A-Z]+)\$[0-9]+"))</f>
        <v/>
      </c>
      <c r="U174" s="7" t="str">
        <f t="array" aca="1" ref="U174" ca="1">IFERROR(IF(OR('Raw Data'!U174="",LEN(TRIM('Raw Data'!U174))=0),"",IF(AND(ISNUMBER('Raw Data'!U174), IFERROR('Raw Data'!U174 = ROUND('Raw Data'!U174, 2),FALSE)),"",_xlfn.REGEXEXTRACT(CELL("address",U174), "\$([A-Z]+)\$[0-9]+"))),_xlfn.REGEXEXTRACT(CELL("address",U174), "\$([A-Z]+)\$[0-9]+"))</f>
        <v/>
      </c>
      <c r="V174" s="7" t="str">
        <f t="array" aca="1" ref="V174" ca="1">IFERROR(IF(OR('Raw Data'!V174="",LEN(TRIM('Raw Data'!V174))=0),"",IF(AND(ISNUMBER('Raw Data'!V174), IFERROR('Raw Data'!V174 = ROUND('Raw Data'!V174, 2),FALSE)),"",_xlfn.REGEXEXTRACT(CELL("address",V174), "\$([A-Z]+)\$[0-9]+"))),_xlfn.REGEXEXTRACT(CELL("address",V174), "\$([A-Z]+)\$[0-9]+"))</f>
        <v/>
      </c>
      <c r="W174" s="7" t="str">
        <f t="array" aca="1" ref="W174" ca="1">IFERROR(IF(OR('Raw Data'!W174="",LEN(TRIM('Raw Data'!W174))=0),"",IF(AND(ISNUMBER('Raw Data'!W174), IFERROR('Raw Data'!W174 = ROUND('Raw Data'!W174, 2),FALSE)),"",_xlfn.REGEXEXTRACT(CELL("address",W174), "\$([A-Z]+)\$[0-9]+"))),_xlfn.REGEXEXTRACT(CELL("address",W174), "\$([A-Z]+)\$[0-9]+"))</f>
        <v/>
      </c>
      <c r="X174" s="7" t="str">
        <f t="array" aca="1" ref="X174" ca="1">IFERROR(IF(OR('Raw Data'!X174="",LEN(TRIM('Raw Data'!X174))=0),"",IF(AND(ISNUMBER('Raw Data'!X174), IFERROR('Raw Data'!X174 = ROUND('Raw Data'!X174, 2),FALSE)),"",_xlfn.REGEXEXTRACT(CELL("address",X174), "\$([A-Z]+)\$[0-9]+"))),_xlfn.REGEXEXTRACT(CELL("address",X174), "\$([A-Z]+)\$[0-9]+"))</f>
        <v/>
      </c>
      <c r="Y174" s="7" t="str">
        <f t="array" aca="1" ref="Y174" ca="1">IFERROR(IF(OR('Raw Data'!Y174="",LEN(TRIM('Raw Data'!Y174))=0),"",IF(AND(ISNUMBER('Raw Data'!Y174), IFERROR('Raw Data'!Y174 = ROUND('Raw Data'!Y174, 2),FALSE)),"",_xlfn.REGEXEXTRACT(CELL("address",Y174), "\$([A-Z]+)\$[0-9]+"))),_xlfn.REGEXEXTRACT(CELL("address",Y174), "\$([A-Z]+)\$[0-9]+"))</f>
        <v/>
      </c>
      <c r="Z174" s="7" t="str">
        <f t="array" aca="1" ref="Z174" ca="1">IFERROR(IF(OR('Raw Data'!Z174="",LEN(TRIM('Raw Data'!Z174))=0),"",IF(AND(ISNUMBER('Raw Data'!Z174), IFERROR('Raw Data'!Z174 = ROUND('Raw Data'!Z174, 2),FALSE)),"",_xlfn.REGEXEXTRACT(CELL("address",Z174), "\$([A-Z]+)\$[0-9]+"))),_xlfn.REGEXEXTRACT(CELL("address",Z174), "\$([A-Z]+)\$[0-9]+"))</f>
        <v/>
      </c>
      <c r="AA174" s="7" t="str">
        <f t="array" aca="1" ref="AA174" ca="1">IFERROR(IF(OR('Raw Data'!AA174="",LEN(TRIM('Raw Data'!AA174))=0),"",IF(AND(ISNUMBER('Raw Data'!AA174), IFERROR('Raw Data'!AA174 = ROUND('Raw Data'!AA174, 2),FALSE)),"",_xlfn.REGEXEXTRACT(CELL("address",AA174), "\$([A-Z]+)\$[0-9]+"))),_xlfn.REGEXEXTRACT(CELL("address",AA174), "\$([A-Z]+)\$[0-9]+"))</f>
        <v/>
      </c>
      <c r="AB174" s="7" t="str">
        <f t="array" aca="1" ref="AB174" ca="1">IFERROR(IF(OR('Raw Data'!AB174="",LEN(TRIM('Raw Data'!AB174))=0),"",IF(AND(ISNUMBER('Raw Data'!AB174), IFERROR('Raw Data'!AB174 = ROUND('Raw Data'!AB174, 2),FALSE)),"",_xlfn.REGEXEXTRACT(CELL("address",AB174), "\$([A-Z]+)\$[0-9]+"))),_xlfn.REGEXEXTRACT(CELL("address",AB174), "\$([A-Z]+)\$[0-9]+"))</f>
        <v/>
      </c>
      <c r="AC174" s="7" t="str">
        <f t="array" aca="1" ref="AC174" ca="1">IFERROR(IF(OR('Raw Data'!AC174="",LEN(TRIM('Raw Data'!AC174))=0),"",IF(AND(ISNUMBER('Raw Data'!AC174), IFERROR('Raw Data'!AC174 = ROUND('Raw Data'!AC174, 2),FALSE)),"",_xlfn.REGEXEXTRACT(CELL("address",AC174), "\$([A-Z]+)\$[0-9]+"))),_xlfn.REGEXEXTRACT(CELL("address",AC174), "\$([A-Z]+)\$[0-9]+"))</f>
        <v/>
      </c>
      <c r="AD174" s="7" t="str">
        <f t="array" aca="1" ref="AD174" ca="1">IFERROR(IF(OR('Raw Data'!AD174="",LEN(TRIM('Raw Data'!AD174))=0),"",IF(AND(ISNUMBER('Raw Data'!AD174), IFERROR('Raw Data'!AD174 = ROUND('Raw Data'!AD174, 2),FALSE)),"",_xlfn.REGEXEXTRACT(CELL("address",AD174), "\$([A-Z]+)\$[0-9]+"))),_xlfn.REGEXEXTRACT(CELL("address",AD174), "\$([A-Z]+)\$[0-9]+"))</f>
        <v/>
      </c>
      <c r="AE174" s="7" t="str">
        <f t="array" aca="1" ref="AE174" ca="1">IFERROR(IF(OR('Raw Data'!AE174="",LEN(TRIM('Raw Data'!AE174))=0),"",IF(AND(ISNUMBER('Raw Data'!AE174), IFERROR('Raw Data'!AE174 = ROUND('Raw Data'!AE174, 2),FALSE)),"",_xlfn.REGEXEXTRACT(CELL("address",AE174), "\$([A-Z]+)\$[0-9]+"))),_xlfn.REGEXEXTRACT(CELL("address",AE174), "\$([A-Z]+)\$[0-9]+"))</f>
        <v/>
      </c>
      <c r="AF174" s="7" t="str">
        <f t="array" aca="1" ref="AF174" ca="1">IFERROR(IF(OR('Raw Data'!AF174="",LEN(TRIM('Raw Data'!AF174))=0),"",IF(AND(ISNUMBER('Raw Data'!AF174), IFERROR('Raw Data'!AF174 = ROUND('Raw Data'!AF174, 2),FALSE)),"",_xlfn.REGEXEXTRACT(CELL("address",AF174), "\$([A-Z]+)\$[0-9]+"))),_xlfn.REGEXEXTRACT(CELL("address",AF174), "\$([A-Z]+)\$[0-9]+"))</f>
        <v/>
      </c>
      <c r="AG174" s="7" t="str">
        <f t="array" aca="1" ref="AG174" ca="1">IFERROR(IF(OR('Raw Data'!AG174="",LEN(TRIM('Raw Data'!AG174))=0),"",IF(AND(ISNUMBER('Raw Data'!AG174), IFERROR('Raw Data'!AG174 = ROUND('Raw Data'!AG174, 2),FALSE)),"",_xlfn.REGEXEXTRACT(CELL("address",AG174), "\$([A-Z]+)\$[0-9]+"))),_xlfn.REGEXEXTRACT(CELL("address",AG174), "\$([A-Z]+)\$[0-9]+"))</f>
        <v/>
      </c>
      <c r="AH174" s="7" t="str">
        <f t="array" aca="1" ref="AH174" ca="1">IFERROR(IF(OR('Raw Data'!AH174="",LEN(TRIM('Raw Data'!AH174))=0),"",IF(AND(ISNUMBER('Raw Data'!AH174), IFERROR('Raw Data'!AH174 = ROUND('Raw Data'!AH174, 2),FALSE)),"",_xlfn.REGEXEXTRACT(CELL("address",AH174), "\$([A-Z]+)\$[0-9]+"))),_xlfn.REGEXEXTRACT(CELL("address",AH174), "\$([A-Z]+)\$[0-9]+"))</f>
        <v/>
      </c>
      <c r="AI174" s="7" t="str">
        <f t="array" aca="1" ref="AI174" ca="1">IFERROR(IF(OR('Raw Data'!AI174="",LEN(TRIM('Raw Data'!AI174))=0),"",IF(AND(ISNUMBER('Raw Data'!AI174), IFERROR('Raw Data'!AI174 = ROUND('Raw Data'!AI174, 2),FALSE)),"",_xlfn.REGEXEXTRACT(CELL("address",AI174), "\$([A-Z]+)\$[0-9]+"))),_xlfn.REGEXEXTRACT(CELL("address",AI174), "\$([A-Z]+)\$[0-9]+"))</f>
        <v/>
      </c>
      <c r="AJ174" s="7" t="str">
        <f t="array" aca="1" ref="AJ174" ca="1">IFERROR(IF(OR('Raw Data'!AJ174="",LEN(TRIM('Raw Data'!AJ174))=0),"",IF(AND(ISNUMBER('Raw Data'!AJ174), IFERROR('Raw Data'!AJ174 = ROUND('Raw Data'!AJ174, 4),FALSE)),"",_xlfn.REGEXEXTRACT(CELL("address",AJ174), "\$([A-Z]+)\$[0-9]+"))),_xlfn.REGEXEXTRACT(CELL("address",AJ174), "\$([A-Z]+)\$[0-9]+"))</f>
        <v/>
      </c>
      <c r="AK174" s="7" t="str">
        <f t="array" aca="1" ref="AK174" ca="1">IFERROR(IF(OR('Raw Data'!AK174="",LEN(TRIM('Raw Data'!AK174))=0),"",IF(AND(ISNUMBER('Raw Data'!AK174), IFERROR('Raw Data'!AK174 = ROUND('Raw Data'!AK174, 2),FALSE)),"",_xlfn.REGEXEXTRACT(CELL("address",AK174), "\$([A-Z]+)\$[0-9]+"))),_xlfn.REGEXEXTRACT(CELL("address",AK174), "\$([A-Z]+)\$[0-9]+"))</f>
        <v/>
      </c>
      <c r="AL174" s="7" t="str">
        <f t="array" aca="1" ref="AL174" ca="1">IFERROR(IF(OR('Raw Data'!AL174="",LEN(TRIM('Raw Data'!AL174))=0),"",IF(AND(ISNUMBER('Raw Data'!AL174), IFERROR('Raw Data'!AL174 = ROUND('Raw Data'!AL174, 2),FALSE)),"",_xlfn.REGEXEXTRACT(CELL("address",AL174), "\$([A-Z]+)\$[0-9]+"))),_xlfn.REGEXEXTRACT(CELL("address",AL174), "\$([A-Z]+)\$[0-9]+"))</f>
        <v/>
      </c>
      <c r="AM174" s="7" t="str">
        <f t="array" aca="1" ref="AM174" ca="1">IFERROR(IF(OR('Raw Data'!AM174="",LEN(TRIM('Raw Data'!AM174))=0),"",IF(AND(ISNUMBER('Raw Data'!AM174), IFERROR('Raw Data'!AM174 = ROUND('Raw Data'!AM174, 2),FALSE)),"",_xlfn.REGEXEXTRACT(CELL("address",AM174), "\$([A-Z]+)\$[0-9]+"))),_xlfn.REGEXEXTRACT(CELL("address",AM174), "\$([A-Z]+)\$[0-9]+"))</f>
        <v/>
      </c>
      <c r="AN174" s="7" t="str">
        <f t="array" aca="1" ref="AN174" ca="1">IFERROR(IF(OR('Raw Data'!AN174="",LEN(TRIM('Raw Data'!AN174))=0),"",IF(AND(ISNUMBER('Raw Data'!AN174), IFERROR('Raw Data'!AN174 = ROUND('Raw Data'!AN174, 2),FALSE)),"",_xlfn.REGEXEXTRACT(CELL("address",AN174), "\$([A-Z]+)\$[0-9]+"))),_xlfn.REGEXEXTRACT(CELL("address",AN174), "\$([A-Z]+)\$[0-9]+"))</f>
        <v/>
      </c>
      <c r="AO174" s="7" t="str">
        <f t="array" aca="1" ref="AO174" ca="1">IFERROR(IF(OR('Raw Data'!AO174="",LEN(TRIM('Raw Data'!AO174))=0),"",IF(AND(ISNUMBER('Raw Data'!AO174), IFERROR('Raw Data'!AO174 = ROUND('Raw Data'!AO174, 2),FALSE)),"",_xlfn.REGEXEXTRACT(CELL("address",AO174), "\$([A-Z]+)\$[0-9]+"))),_xlfn.REGEXEXTRACT(CELL("address",AO174), "\$([A-Z]+)\$[0-9]+"))</f>
        <v/>
      </c>
      <c r="AP174" s="7" t="str">
        <f t="array" aca="1" ref="AP174" ca="1">IFERROR(IF(OR('Raw Data'!AP174="",LEN(TRIM('Raw Data'!AP174))=0),"",IF(AND(ISNUMBER('Raw Data'!AP174), IFERROR('Raw Data'!AP174 = ROUND('Raw Data'!AP174, 2),FALSE)),"",_xlfn.REGEXEXTRACT(CELL("address",AP174), "\$([A-Z]+)\$[0-9]+"))),_xlfn.REGEXEXTRACT(CELL("address",AP174), "\$([A-Z]+)\$[0-9]+"))</f>
        <v/>
      </c>
    </row>
    <row r="175" spans="2:42" x14ac:dyDescent="0.25">
      <c r="B175" s="7" t="str">
        <f t="array" aca="1" ref="B175" ca="1">IFERROR(IF(OR('Raw Data'!B175="",LEN(TRIM('Raw Data'!B175))=0),"",IF(AND(LEN('Raw Data'!B175) &lt;= 255,LEN('Raw Data'!B175)&gt; 0),"",_xlfn.REGEXEXTRACT(CELL("address",'Raw Data'!B175),"\$([A-Z]+)\$[0-9]+"))),_xlfn.REGEXEXTRACT(CELL("address",'Raw Data'!B175),"\$([A-Z]+)\$[0-9]+"))</f>
        <v/>
      </c>
      <c r="C175" s="7" t="str">
        <f t="array" aca="1" ref="C175" ca="1">IFERROR(IF(OR('Raw Data'!C175="",LEN(TRIM('Raw Data'!C175))=0),"",IF(AND(LEN('Raw Data'!C175) &lt;= 50,LEN('Raw Data'!C175)&gt; 0),"",_xlfn.REGEXEXTRACT(CELL("address",'Raw Data'!C175),"\$([A-Z]+)\$[0-9]+"))),_xlfn.REGEXEXTRACT(CELL("address",'Raw Data'!C175),"\$([A-Z]+)\$[0-9]+"))</f>
        <v/>
      </c>
      <c r="D175" s="7" t="str">
        <f t="array" aca="1" ref="D175" ca="1">IFERROR(IF(OR('Raw Data'!D175="",LEN(TRIM('Raw Data'!D175))=0),"",IF(AND(LEN('Raw Data'!D175) &lt;= 500,LEN('Raw Data'!D175)&gt; 0),"",_xlfn.REGEXEXTRACT(CELL("address",'Raw Data'!D175),"\$([A-Z]+)\$[0-9]+"))),_xlfn.REGEXEXTRACT(CELL("address",'Raw Data'!D175),"\$([A-Z]+)\$[0-9]+"))</f>
        <v/>
      </c>
      <c r="E175" s="7" t="str">
        <f t="array" aca="1" ref="E175" ca="1">IFERROR(IF(OR('Raw Data'!E175="",LEN(TRIM('Raw Data'!E175))=0),"",IF(AND(LEN('Raw Data'!E175) &lt;= 50,LEN('Raw Data'!E175)&gt; 0),"",_xlfn.REGEXEXTRACT(CELL("address",'Raw Data'!E175),"\$([A-Z]+)\$[0-9]+"))),_xlfn.REGEXEXTRACT(CELL("address",'Raw Data'!E175),"\$([A-Z]+)\$[0-9]+"))</f>
        <v/>
      </c>
      <c r="F175" s="7" t="str">
        <f t="array" aca="1" ref="F175" ca="1">IFERROR(IF(OR('Raw Data'!F175="",LEN(TRIM('Raw Data'!F175))=0),"",IF(AND(LEN('Raw Data'!F175) &lt;= 50,LEN('Raw Data'!F175)&gt; 0),"",_xlfn.REGEXEXTRACT(CELL("address",'Raw Data'!F175),"\$([A-Z]+)\$[0-9]+"))),_xlfn.REGEXEXTRACT(CELL("address",'Raw Data'!F175),"\$([A-Z]+)\$[0-9]+"))</f>
        <v/>
      </c>
      <c r="G175" s="7" t="str">
        <f t="array" aca="1" ref="G175" ca="1">IFERROR(IF(OR('Raw Data'!G175="",LEN(TRIM('Raw Data'!G175))=0),"",IF(AND(LEN('Raw Data'!G175) &lt;= 50,LEN('Raw Data'!G175)&gt; 0),"",_xlfn.REGEXEXTRACT(CELL("address",'Raw Data'!G175),"\$([A-Z]+)\$[0-9]+"))),_xlfn.REGEXEXTRACT(CELL("address",'Raw Data'!G175),"\$([A-Z]+)\$[0-9]+"))</f>
        <v/>
      </c>
      <c r="H175" s="7" t="str">
        <f t="array" aca="1" ref="H175" ca="1">IFERROR(IF(OR('Raw Data'!H175="",LEN(TRIM('Raw Data'!H175))=0),"",IF(AND(LEN('Raw Data'!H175) &lt;= 50,LEN('Raw Data'!H175)&gt; 0),"",_xlfn.REGEXEXTRACT(CELL("address",'Raw Data'!H175),"\$([A-Z]+)\$[0-9]+"))),_xlfn.REGEXEXTRACT(CELL("address",'Raw Data'!H175),"\$([A-Z]+)\$[0-9]+"))</f>
        <v/>
      </c>
      <c r="I175" s="7" t="str">
        <f t="array" aca="1" ref="I175" ca="1">IFERROR(IF(OR('Raw Data'!I175="",LEN(TRIM('Raw Data'!I175))=0),"",IF(AND(LEN('Raw Data'!I175) &lt;= 50,LEN('Raw Data'!I175)&gt; 0),"",_xlfn.REGEXEXTRACT(CELL("address",'Raw Data'!I175),"\$([A-Z]+)\$[0-9]+"))),_xlfn.REGEXEXTRACT(CELL("address",'Raw Data'!I175),"\$([A-Z]+)\$[0-9]+"))</f>
        <v/>
      </c>
      <c r="J175" s="7" t="str">
        <f t="array" aca="1" ref="J175" ca="1">IFERROR(IF(OR('Raw Data'!J175="",LEN(TRIM('Raw Data'!J175))=0),"",IF(AND(ISNUMBER('Raw Data'!J175), IFERROR('Raw Data'!J175 = ROUND('Raw Data'!J175, 2),FALSE)),"",_xlfn.REGEXEXTRACT(CELL("address",J175), "\$([A-Z]+)\$[0-9]+"))),_xlfn.REGEXEXTRACT(CELL("address",J175), "\$([A-Z]+)\$[0-9]+"))</f>
        <v/>
      </c>
      <c r="K175" s="7" t="str">
        <f t="array" aca="1" ref="K175" ca="1">IFERROR(IF(OR('Raw Data'!K175="",LEN(TRIM('Raw Data'!K175))=0),"",IF(AND(ISNUMBER('Raw Data'!K175), IFERROR('Raw Data'!K175 = ROUND('Raw Data'!K175, 2),FALSE)),"",_xlfn.REGEXEXTRACT(CELL("address",K175), "\$([A-Z]+)\$[0-9]+"))),_xlfn.REGEXEXTRACT(CELL("address",K175), "\$([A-Z]+)\$[0-9]+"))</f>
        <v/>
      </c>
      <c r="L175" s="7" t="str">
        <f t="array" aca="1" ref="L175" ca="1">IFERROR(IF(OR('Raw Data'!L175="",LEN(TRIM('Raw Data'!L175))=0),"",IF(AND(ISNUMBER('Raw Data'!L175), IFERROR('Raw Data'!L175 = ROUND('Raw Data'!L175, 2),FALSE)),"",_xlfn.REGEXEXTRACT(CELL("address",L175), "\$([A-Z]+)\$[0-9]+"))),_xlfn.REGEXEXTRACT(CELL("address",L175), "\$([A-Z]+)\$[0-9]+"))</f>
        <v/>
      </c>
      <c r="M175" s="7" t="str">
        <f t="array" aca="1" ref="M175" ca="1">IFERROR(IF(OR('Raw Data'!M175="",LEN(TRIM('Raw Data'!M175))=0),"",IF(AND(ISNUMBER('Raw Data'!M175), IFERROR('Raw Data'!M175 = ROUND('Raw Data'!M175, 2),FALSE)),"",_xlfn.REGEXEXTRACT(CELL("address",M175), "\$([A-Z]+)\$[0-9]+"))),_xlfn.REGEXEXTRACT(CELL("address",M175), "\$([A-Z]+)\$[0-9]+"))</f>
        <v/>
      </c>
      <c r="N175" s="7" t="str">
        <f t="array" aca="1" ref="N175" ca="1">IFERROR(IF(OR('Raw Data'!N175="",LEN(TRIM('Raw Data'!N175))=0),"",IF(AND(ISNUMBER('Raw Data'!N175), IFERROR('Raw Data'!N175 = ROUND('Raw Data'!N175, 2),FALSE)),"",_xlfn.REGEXEXTRACT(CELL("address",N175), "\$([A-Z]+)\$[0-9]+"))),_xlfn.REGEXEXTRACT(CELL("address",N175), "\$([A-Z]+)\$[0-9]+"))</f>
        <v/>
      </c>
      <c r="O175" s="7" t="str">
        <f t="array" aca="1" ref="O175" ca="1">IFERROR(IF(OR('Raw Data'!O175="",LEN(TRIM('Raw Data'!O175))=0),"",IF(AND(ISNUMBER('Raw Data'!O175),'Raw Data'!O175&gt;=Configuration!$D$2),"",_xlfn.REGEXEXTRACT(CELL("address",'Raw Data'!O175),"\$([A-Z]+)\$[0-9]+"))),_xlfn.REGEXEXTRACT(CELL("address",O175), "\$([A-Z]+)\$[0-9]+"))</f>
        <v/>
      </c>
      <c r="P175" s="7" t="str">
        <f t="array" aca="1" ref="P175" ca="1">IFERROR(IF(OR('Raw Data'!P175="",LEN(TRIM('Raw Data'!P175))=0),"",IF(AND(ISNUMBER('Raw Data'!P175), IFERROR('Raw Data'!P175 = ROUND('Raw Data'!P175, 2),FALSE)),"",_xlfn.REGEXEXTRACT(CELL("address",P175), "\$([A-Z]+)\$[0-9]+"))),_xlfn.REGEXEXTRACT(CELL("address",P175), "\$([A-Z]+)\$[0-9]+"))</f>
        <v/>
      </c>
      <c r="Q175" s="7" t="str">
        <f t="array" aca="1" ref="Q175" ca="1">IFERROR(IF(OR('Raw Data'!Q175="",LEN(TRIM('Raw Data'!Q175))=0),"",IF(AND(ISNUMBER('Raw Data'!Q175), IFERROR('Raw Data'!Q175 = ROUND('Raw Data'!Q175, 2),FALSE)),"",_xlfn.REGEXEXTRACT(CELL("address",Q175), "\$([A-Z]+)\$[0-9]+"))),_xlfn.REGEXEXTRACT(CELL("address",Q175), "\$([A-Z]+)\$[0-9]+"))</f>
        <v/>
      </c>
      <c r="R175" s="7" t="str">
        <f t="array" aca="1" ref="R175" ca="1">IFERROR(IF(OR('Raw Data'!R175="",LEN(TRIM('Raw Data'!R175))=0),"",IF(AND(LEN('Raw Data'!R175) &lt;= 50,LEN('Raw Data'!R175)&gt; 0),"",_xlfn.REGEXEXTRACT(CELL("address",'Raw Data'!R175),"\$([A-Z]+)\$[0-9]+"))),_xlfn.REGEXEXTRACT(CELL("address",'Raw Data'!R175),"\$([A-Z]+)\$[0-9]+"))</f>
        <v/>
      </c>
      <c r="S175" s="7" t="str">
        <f t="array" aca="1" ref="S175" ca="1">IFERROR(IF(OR('Raw Data'!S175="",LEN(TRIM('Raw Data'!S175))=0),"",IF(AND(LEN('Raw Data'!S175) &lt;= 50,LEN('Raw Data'!S175)&gt; 0),"",_xlfn.REGEXEXTRACT(CELL("address",'Raw Data'!S175),"\$([A-Z]+)\$[0-9]+"))),_xlfn.REGEXEXTRACT(CELL("address",'Raw Data'!S175),"\$([A-Z]+)\$[0-9]+"))</f>
        <v/>
      </c>
      <c r="T175" s="7" t="str">
        <f t="array" aca="1" ref="T175" ca="1">IFERROR(IF(OR('Raw Data'!T175="",LEN(TRIM('Raw Data'!T175))=0),"",IF(AND(ISNUMBER('Raw Data'!T175), IFERROR('Raw Data'!T175 = ROUND('Raw Data'!T175, 2),FALSE)),"",_xlfn.REGEXEXTRACT(CELL("address",T175), "\$([A-Z]+)\$[0-9]+"))),_xlfn.REGEXEXTRACT(CELL("address",T175), "\$([A-Z]+)\$[0-9]+"))</f>
        <v/>
      </c>
      <c r="U175" s="7" t="str">
        <f t="array" aca="1" ref="U175" ca="1">IFERROR(IF(OR('Raw Data'!U175="",LEN(TRIM('Raw Data'!U175))=0),"",IF(AND(ISNUMBER('Raw Data'!U175), IFERROR('Raw Data'!U175 = ROUND('Raw Data'!U175, 2),FALSE)),"",_xlfn.REGEXEXTRACT(CELL("address",U175), "\$([A-Z]+)\$[0-9]+"))),_xlfn.REGEXEXTRACT(CELL("address",U175), "\$([A-Z]+)\$[0-9]+"))</f>
        <v/>
      </c>
      <c r="V175" s="7" t="str">
        <f t="array" aca="1" ref="V175" ca="1">IFERROR(IF(OR('Raw Data'!V175="",LEN(TRIM('Raw Data'!V175))=0),"",IF(AND(ISNUMBER('Raw Data'!V175), IFERROR('Raw Data'!V175 = ROUND('Raw Data'!V175, 2),FALSE)),"",_xlfn.REGEXEXTRACT(CELL("address",V175), "\$([A-Z]+)\$[0-9]+"))),_xlfn.REGEXEXTRACT(CELL("address",V175), "\$([A-Z]+)\$[0-9]+"))</f>
        <v/>
      </c>
      <c r="W175" s="7" t="str">
        <f t="array" aca="1" ref="W175" ca="1">IFERROR(IF(OR('Raw Data'!W175="",LEN(TRIM('Raw Data'!W175))=0),"",IF(AND(ISNUMBER('Raw Data'!W175), IFERROR('Raw Data'!W175 = ROUND('Raw Data'!W175, 2),FALSE)),"",_xlfn.REGEXEXTRACT(CELL("address",W175), "\$([A-Z]+)\$[0-9]+"))),_xlfn.REGEXEXTRACT(CELL("address",W175), "\$([A-Z]+)\$[0-9]+"))</f>
        <v/>
      </c>
      <c r="X175" s="7" t="str">
        <f t="array" aca="1" ref="X175" ca="1">IFERROR(IF(OR('Raw Data'!X175="",LEN(TRIM('Raw Data'!X175))=0),"",IF(AND(ISNUMBER('Raw Data'!X175), IFERROR('Raw Data'!X175 = ROUND('Raw Data'!X175, 2),FALSE)),"",_xlfn.REGEXEXTRACT(CELL("address",X175), "\$([A-Z]+)\$[0-9]+"))),_xlfn.REGEXEXTRACT(CELL("address",X175), "\$([A-Z]+)\$[0-9]+"))</f>
        <v/>
      </c>
      <c r="Y175" s="7" t="str">
        <f t="array" aca="1" ref="Y175" ca="1">IFERROR(IF(OR('Raw Data'!Y175="",LEN(TRIM('Raw Data'!Y175))=0),"",IF(AND(ISNUMBER('Raw Data'!Y175), IFERROR('Raw Data'!Y175 = ROUND('Raw Data'!Y175, 2),FALSE)),"",_xlfn.REGEXEXTRACT(CELL("address",Y175), "\$([A-Z]+)\$[0-9]+"))),_xlfn.REGEXEXTRACT(CELL("address",Y175), "\$([A-Z]+)\$[0-9]+"))</f>
        <v/>
      </c>
      <c r="Z175" s="7" t="str">
        <f t="array" aca="1" ref="Z175" ca="1">IFERROR(IF(OR('Raw Data'!Z175="",LEN(TRIM('Raw Data'!Z175))=0),"",IF(AND(ISNUMBER('Raw Data'!Z175), IFERROR('Raw Data'!Z175 = ROUND('Raw Data'!Z175, 2),FALSE)),"",_xlfn.REGEXEXTRACT(CELL("address",Z175), "\$([A-Z]+)\$[0-9]+"))),_xlfn.REGEXEXTRACT(CELL("address",Z175), "\$([A-Z]+)\$[0-9]+"))</f>
        <v/>
      </c>
      <c r="AA175" s="7" t="str">
        <f t="array" aca="1" ref="AA175" ca="1">IFERROR(IF(OR('Raw Data'!AA175="",LEN(TRIM('Raw Data'!AA175))=0),"",IF(AND(ISNUMBER('Raw Data'!AA175), IFERROR('Raw Data'!AA175 = ROUND('Raw Data'!AA175, 2),FALSE)),"",_xlfn.REGEXEXTRACT(CELL("address",AA175), "\$([A-Z]+)\$[0-9]+"))),_xlfn.REGEXEXTRACT(CELL("address",AA175), "\$([A-Z]+)\$[0-9]+"))</f>
        <v/>
      </c>
      <c r="AB175" s="7" t="str">
        <f t="array" aca="1" ref="AB175" ca="1">IFERROR(IF(OR('Raw Data'!AB175="",LEN(TRIM('Raw Data'!AB175))=0),"",IF(AND(ISNUMBER('Raw Data'!AB175), IFERROR('Raw Data'!AB175 = ROUND('Raw Data'!AB175, 2),FALSE)),"",_xlfn.REGEXEXTRACT(CELL("address",AB175), "\$([A-Z]+)\$[0-9]+"))),_xlfn.REGEXEXTRACT(CELL("address",AB175), "\$([A-Z]+)\$[0-9]+"))</f>
        <v/>
      </c>
      <c r="AC175" s="7" t="str">
        <f t="array" aca="1" ref="AC175" ca="1">IFERROR(IF(OR('Raw Data'!AC175="",LEN(TRIM('Raw Data'!AC175))=0),"",IF(AND(ISNUMBER('Raw Data'!AC175), IFERROR('Raw Data'!AC175 = ROUND('Raw Data'!AC175, 2),FALSE)),"",_xlfn.REGEXEXTRACT(CELL("address",AC175), "\$([A-Z]+)\$[0-9]+"))),_xlfn.REGEXEXTRACT(CELL("address",AC175), "\$([A-Z]+)\$[0-9]+"))</f>
        <v/>
      </c>
      <c r="AD175" s="7" t="str">
        <f t="array" aca="1" ref="AD175" ca="1">IFERROR(IF(OR('Raw Data'!AD175="",LEN(TRIM('Raw Data'!AD175))=0),"",IF(AND(ISNUMBER('Raw Data'!AD175), IFERROR('Raw Data'!AD175 = ROUND('Raw Data'!AD175, 2),FALSE)),"",_xlfn.REGEXEXTRACT(CELL("address",AD175), "\$([A-Z]+)\$[0-9]+"))),_xlfn.REGEXEXTRACT(CELL("address",AD175), "\$([A-Z]+)\$[0-9]+"))</f>
        <v/>
      </c>
      <c r="AE175" s="7" t="str">
        <f t="array" aca="1" ref="AE175" ca="1">IFERROR(IF(OR('Raw Data'!AE175="",LEN(TRIM('Raw Data'!AE175))=0),"",IF(AND(ISNUMBER('Raw Data'!AE175), IFERROR('Raw Data'!AE175 = ROUND('Raw Data'!AE175, 2),FALSE)),"",_xlfn.REGEXEXTRACT(CELL("address",AE175), "\$([A-Z]+)\$[0-9]+"))),_xlfn.REGEXEXTRACT(CELL("address",AE175), "\$([A-Z]+)\$[0-9]+"))</f>
        <v/>
      </c>
      <c r="AF175" s="7" t="str">
        <f t="array" aca="1" ref="AF175" ca="1">IFERROR(IF(OR('Raw Data'!AF175="",LEN(TRIM('Raw Data'!AF175))=0),"",IF(AND(ISNUMBER('Raw Data'!AF175), IFERROR('Raw Data'!AF175 = ROUND('Raw Data'!AF175, 2),FALSE)),"",_xlfn.REGEXEXTRACT(CELL("address",AF175), "\$([A-Z]+)\$[0-9]+"))),_xlfn.REGEXEXTRACT(CELL("address",AF175), "\$([A-Z]+)\$[0-9]+"))</f>
        <v/>
      </c>
      <c r="AG175" s="7" t="str">
        <f t="array" aca="1" ref="AG175" ca="1">IFERROR(IF(OR('Raw Data'!AG175="",LEN(TRIM('Raw Data'!AG175))=0),"",IF(AND(ISNUMBER('Raw Data'!AG175), IFERROR('Raw Data'!AG175 = ROUND('Raw Data'!AG175, 2),FALSE)),"",_xlfn.REGEXEXTRACT(CELL("address",AG175), "\$([A-Z]+)\$[0-9]+"))),_xlfn.REGEXEXTRACT(CELL("address",AG175), "\$([A-Z]+)\$[0-9]+"))</f>
        <v/>
      </c>
      <c r="AH175" s="7" t="str">
        <f t="array" aca="1" ref="AH175" ca="1">IFERROR(IF(OR('Raw Data'!AH175="",LEN(TRIM('Raw Data'!AH175))=0),"",IF(AND(ISNUMBER('Raw Data'!AH175), IFERROR('Raw Data'!AH175 = ROUND('Raw Data'!AH175, 2),FALSE)),"",_xlfn.REGEXEXTRACT(CELL("address",AH175), "\$([A-Z]+)\$[0-9]+"))),_xlfn.REGEXEXTRACT(CELL("address",AH175), "\$([A-Z]+)\$[0-9]+"))</f>
        <v/>
      </c>
      <c r="AI175" s="7" t="str">
        <f t="array" aca="1" ref="AI175" ca="1">IFERROR(IF(OR('Raw Data'!AI175="",LEN(TRIM('Raw Data'!AI175))=0),"",IF(AND(ISNUMBER('Raw Data'!AI175), IFERROR('Raw Data'!AI175 = ROUND('Raw Data'!AI175, 2),FALSE)),"",_xlfn.REGEXEXTRACT(CELL("address",AI175), "\$([A-Z]+)\$[0-9]+"))),_xlfn.REGEXEXTRACT(CELL("address",AI175), "\$([A-Z]+)\$[0-9]+"))</f>
        <v/>
      </c>
      <c r="AJ175" s="7" t="str">
        <f t="array" aca="1" ref="AJ175" ca="1">IFERROR(IF(OR('Raw Data'!AJ175="",LEN(TRIM('Raw Data'!AJ175))=0),"",IF(AND(ISNUMBER('Raw Data'!AJ175), IFERROR('Raw Data'!AJ175 = ROUND('Raw Data'!AJ175, 4),FALSE)),"",_xlfn.REGEXEXTRACT(CELL("address",AJ175), "\$([A-Z]+)\$[0-9]+"))),_xlfn.REGEXEXTRACT(CELL("address",AJ175), "\$([A-Z]+)\$[0-9]+"))</f>
        <v/>
      </c>
      <c r="AK175" s="7" t="str">
        <f t="array" aca="1" ref="AK175" ca="1">IFERROR(IF(OR('Raw Data'!AK175="",LEN(TRIM('Raw Data'!AK175))=0),"",IF(AND(ISNUMBER('Raw Data'!AK175), IFERROR('Raw Data'!AK175 = ROUND('Raw Data'!AK175, 2),FALSE)),"",_xlfn.REGEXEXTRACT(CELL("address",AK175), "\$([A-Z]+)\$[0-9]+"))),_xlfn.REGEXEXTRACT(CELL("address",AK175), "\$([A-Z]+)\$[0-9]+"))</f>
        <v/>
      </c>
      <c r="AL175" s="7" t="str">
        <f t="array" aca="1" ref="AL175" ca="1">IFERROR(IF(OR('Raw Data'!AL175="",LEN(TRIM('Raw Data'!AL175))=0),"",IF(AND(ISNUMBER('Raw Data'!AL175), IFERROR('Raw Data'!AL175 = ROUND('Raw Data'!AL175, 2),FALSE)),"",_xlfn.REGEXEXTRACT(CELL("address",AL175), "\$([A-Z]+)\$[0-9]+"))),_xlfn.REGEXEXTRACT(CELL("address",AL175), "\$([A-Z]+)\$[0-9]+"))</f>
        <v/>
      </c>
      <c r="AM175" s="7" t="str">
        <f t="array" aca="1" ref="AM175" ca="1">IFERROR(IF(OR('Raw Data'!AM175="",LEN(TRIM('Raw Data'!AM175))=0),"",IF(AND(ISNUMBER('Raw Data'!AM175), IFERROR('Raw Data'!AM175 = ROUND('Raw Data'!AM175, 2),FALSE)),"",_xlfn.REGEXEXTRACT(CELL("address",AM175), "\$([A-Z]+)\$[0-9]+"))),_xlfn.REGEXEXTRACT(CELL("address",AM175), "\$([A-Z]+)\$[0-9]+"))</f>
        <v/>
      </c>
      <c r="AN175" s="7" t="str">
        <f t="array" aca="1" ref="AN175" ca="1">IFERROR(IF(OR('Raw Data'!AN175="",LEN(TRIM('Raw Data'!AN175))=0),"",IF(AND(ISNUMBER('Raw Data'!AN175), IFERROR('Raw Data'!AN175 = ROUND('Raw Data'!AN175, 2),FALSE)),"",_xlfn.REGEXEXTRACT(CELL("address",AN175), "\$([A-Z]+)\$[0-9]+"))),_xlfn.REGEXEXTRACT(CELL("address",AN175), "\$([A-Z]+)\$[0-9]+"))</f>
        <v/>
      </c>
      <c r="AO175" s="7" t="str">
        <f t="array" aca="1" ref="AO175" ca="1">IFERROR(IF(OR('Raw Data'!AO175="",LEN(TRIM('Raw Data'!AO175))=0),"",IF(AND(ISNUMBER('Raw Data'!AO175), IFERROR('Raw Data'!AO175 = ROUND('Raw Data'!AO175, 2),FALSE)),"",_xlfn.REGEXEXTRACT(CELL("address",AO175), "\$([A-Z]+)\$[0-9]+"))),_xlfn.REGEXEXTRACT(CELL("address",AO175), "\$([A-Z]+)\$[0-9]+"))</f>
        <v/>
      </c>
      <c r="AP175" s="7" t="str">
        <f t="array" aca="1" ref="AP175" ca="1">IFERROR(IF(OR('Raw Data'!AP175="",LEN(TRIM('Raw Data'!AP175))=0),"",IF(AND(ISNUMBER('Raw Data'!AP175), IFERROR('Raw Data'!AP175 = ROUND('Raw Data'!AP175, 2),FALSE)),"",_xlfn.REGEXEXTRACT(CELL("address",AP175), "\$([A-Z]+)\$[0-9]+"))),_xlfn.REGEXEXTRACT(CELL("address",AP175), "\$([A-Z]+)\$[0-9]+"))</f>
        <v/>
      </c>
    </row>
    <row r="176" spans="2:42" x14ac:dyDescent="0.25">
      <c r="B176" s="7" t="str">
        <f t="array" aca="1" ref="B176" ca="1">IFERROR(IF(OR('Raw Data'!B176="",LEN(TRIM('Raw Data'!B176))=0),"",IF(AND(LEN('Raw Data'!B176) &lt;= 255,LEN('Raw Data'!B176)&gt; 0),"",_xlfn.REGEXEXTRACT(CELL("address",'Raw Data'!B176),"\$([A-Z]+)\$[0-9]+"))),_xlfn.REGEXEXTRACT(CELL("address",'Raw Data'!B176),"\$([A-Z]+)\$[0-9]+"))</f>
        <v/>
      </c>
      <c r="C176" s="7" t="str">
        <f t="array" aca="1" ref="C176" ca="1">IFERROR(IF(OR('Raw Data'!C176="",LEN(TRIM('Raw Data'!C176))=0),"",IF(AND(LEN('Raw Data'!C176) &lt;= 50,LEN('Raw Data'!C176)&gt; 0),"",_xlfn.REGEXEXTRACT(CELL("address",'Raw Data'!C176),"\$([A-Z]+)\$[0-9]+"))),_xlfn.REGEXEXTRACT(CELL("address",'Raw Data'!C176),"\$([A-Z]+)\$[0-9]+"))</f>
        <v/>
      </c>
      <c r="D176" s="7" t="str">
        <f t="array" aca="1" ref="D176" ca="1">IFERROR(IF(OR('Raw Data'!D176="",LEN(TRIM('Raw Data'!D176))=0),"",IF(AND(LEN('Raw Data'!D176) &lt;= 500,LEN('Raw Data'!D176)&gt; 0),"",_xlfn.REGEXEXTRACT(CELL("address",'Raw Data'!D176),"\$([A-Z]+)\$[0-9]+"))),_xlfn.REGEXEXTRACT(CELL("address",'Raw Data'!D176),"\$([A-Z]+)\$[0-9]+"))</f>
        <v/>
      </c>
      <c r="E176" s="7" t="str">
        <f t="array" aca="1" ref="E176" ca="1">IFERROR(IF(OR('Raw Data'!E176="",LEN(TRIM('Raw Data'!E176))=0),"",IF(AND(LEN('Raw Data'!E176) &lt;= 50,LEN('Raw Data'!E176)&gt; 0),"",_xlfn.REGEXEXTRACT(CELL("address",'Raw Data'!E176),"\$([A-Z]+)\$[0-9]+"))),_xlfn.REGEXEXTRACT(CELL("address",'Raw Data'!E176),"\$([A-Z]+)\$[0-9]+"))</f>
        <v/>
      </c>
      <c r="F176" s="7" t="str">
        <f t="array" aca="1" ref="F176" ca="1">IFERROR(IF(OR('Raw Data'!F176="",LEN(TRIM('Raw Data'!F176))=0),"",IF(AND(LEN('Raw Data'!F176) &lt;= 50,LEN('Raw Data'!F176)&gt; 0),"",_xlfn.REGEXEXTRACT(CELL("address",'Raw Data'!F176),"\$([A-Z]+)\$[0-9]+"))),_xlfn.REGEXEXTRACT(CELL("address",'Raw Data'!F176),"\$([A-Z]+)\$[0-9]+"))</f>
        <v/>
      </c>
      <c r="G176" s="7" t="str">
        <f t="array" aca="1" ref="G176" ca="1">IFERROR(IF(OR('Raw Data'!G176="",LEN(TRIM('Raw Data'!G176))=0),"",IF(AND(LEN('Raw Data'!G176) &lt;= 50,LEN('Raw Data'!G176)&gt; 0),"",_xlfn.REGEXEXTRACT(CELL("address",'Raw Data'!G176),"\$([A-Z]+)\$[0-9]+"))),_xlfn.REGEXEXTRACT(CELL("address",'Raw Data'!G176),"\$([A-Z]+)\$[0-9]+"))</f>
        <v/>
      </c>
      <c r="H176" s="7" t="str">
        <f t="array" aca="1" ref="H176" ca="1">IFERROR(IF(OR('Raw Data'!H176="",LEN(TRIM('Raw Data'!H176))=0),"",IF(AND(LEN('Raw Data'!H176) &lt;= 50,LEN('Raw Data'!H176)&gt; 0),"",_xlfn.REGEXEXTRACT(CELL("address",'Raw Data'!H176),"\$([A-Z]+)\$[0-9]+"))),_xlfn.REGEXEXTRACT(CELL("address",'Raw Data'!H176),"\$([A-Z]+)\$[0-9]+"))</f>
        <v/>
      </c>
      <c r="I176" s="7" t="str">
        <f t="array" aca="1" ref="I176" ca="1">IFERROR(IF(OR('Raw Data'!I176="",LEN(TRIM('Raw Data'!I176))=0),"",IF(AND(LEN('Raw Data'!I176) &lt;= 50,LEN('Raw Data'!I176)&gt; 0),"",_xlfn.REGEXEXTRACT(CELL("address",'Raw Data'!I176),"\$([A-Z]+)\$[0-9]+"))),_xlfn.REGEXEXTRACT(CELL("address",'Raw Data'!I176),"\$([A-Z]+)\$[0-9]+"))</f>
        <v/>
      </c>
      <c r="J176" s="7" t="str">
        <f t="array" aca="1" ref="J176" ca="1">IFERROR(IF(OR('Raw Data'!J176="",LEN(TRIM('Raw Data'!J176))=0),"",IF(AND(ISNUMBER('Raw Data'!J176), IFERROR('Raw Data'!J176 = ROUND('Raw Data'!J176, 2),FALSE)),"",_xlfn.REGEXEXTRACT(CELL("address",J176), "\$([A-Z]+)\$[0-9]+"))),_xlfn.REGEXEXTRACT(CELL("address",J176), "\$([A-Z]+)\$[0-9]+"))</f>
        <v/>
      </c>
      <c r="K176" s="7" t="str">
        <f t="array" aca="1" ref="K176" ca="1">IFERROR(IF(OR('Raw Data'!K176="",LEN(TRIM('Raw Data'!K176))=0),"",IF(AND(ISNUMBER('Raw Data'!K176), IFERROR('Raw Data'!K176 = ROUND('Raw Data'!K176, 2),FALSE)),"",_xlfn.REGEXEXTRACT(CELL("address",K176), "\$([A-Z]+)\$[0-9]+"))),_xlfn.REGEXEXTRACT(CELL("address",K176), "\$([A-Z]+)\$[0-9]+"))</f>
        <v/>
      </c>
      <c r="L176" s="7" t="str">
        <f t="array" aca="1" ref="L176" ca="1">IFERROR(IF(OR('Raw Data'!L176="",LEN(TRIM('Raw Data'!L176))=0),"",IF(AND(ISNUMBER('Raw Data'!L176), IFERROR('Raw Data'!L176 = ROUND('Raw Data'!L176, 2),FALSE)),"",_xlfn.REGEXEXTRACT(CELL("address",L176), "\$([A-Z]+)\$[0-9]+"))),_xlfn.REGEXEXTRACT(CELL("address",L176), "\$([A-Z]+)\$[0-9]+"))</f>
        <v/>
      </c>
      <c r="M176" s="7" t="str">
        <f t="array" aca="1" ref="M176" ca="1">IFERROR(IF(OR('Raw Data'!M176="",LEN(TRIM('Raw Data'!M176))=0),"",IF(AND(ISNUMBER('Raw Data'!M176), IFERROR('Raw Data'!M176 = ROUND('Raw Data'!M176, 2),FALSE)),"",_xlfn.REGEXEXTRACT(CELL("address",M176), "\$([A-Z]+)\$[0-9]+"))),_xlfn.REGEXEXTRACT(CELL("address",M176), "\$([A-Z]+)\$[0-9]+"))</f>
        <v/>
      </c>
      <c r="N176" s="7" t="str">
        <f t="array" aca="1" ref="N176" ca="1">IFERROR(IF(OR('Raw Data'!N176="",LEN(TRIM('Raw Data'!N176))=0),"",IF(AND(ISNUMBER('Raw Data'!N176), IFERROR('Raw Data'!N176 = ROUND('Raw Data'!N176, 2),FALSE)),"",_xlfn.REGEXEXTRACT(CELL("address",N176), "\$([A-Z]+)\$[0-9]+"))),_xlfn.REGEXEXTRACT(CELL("address",N176), "\$([A-Z]+)\$[0-9]+"))</f>
        <v/>
      </c>
      <c r="O176" s="7" t="str">
        <f t="array" aca="1" ref="O176" ca="1">IFERROR(IF(OR('Raw Data'!O176="",LEN(TRIM('Raw Data'!O176))=0),"",IF(AND(ISNUMBER('Raw Data'!O176),'Raw Data'!O176&gt;=Configuration!$D$2),"",_xlfn.REGEXEXTRACT(CELL("address",'Raw Data'!O176),"\$([A-Z]+)\$[0-9]+"))),_xlfn.REGEXEXTRACT(CELL("address",O176), "\$([A-Z]+)\$[0-9]+"))</f>
        <v/>
      </c>
      <c r="P176" s="7" t="str">
        <f t="array" aca="1" ref="P176" ca="1">IFERROR(IF(OR('Raw Data'!P176="",LEN(TRIM('Raw Data'!P176))=0),"",IF(AND(ISNUMBER('Raw Data'!P176), IFERROR('Raw Data'!P176 = ROUND('Raw Data'!P176, 2),FALSE)),"",_xlfn.REGEXEXTRACT(CELL("address",P176), "\$([A-Z]+)\$[0-9]+"))),_xlfn.REGEXEXTRACT(CELL("address",P176), "\$([A-Z]+)\$[0-9]+"))</f>
        <v/>
      </c>
      <c r="Q176" s="7" t="str">
        <f t="array" aca="1" ref="Q176" ca="1">IFERROR(IF(OR('Raw Data'!Q176="",LEN(TRIM('Raw Data'!Q176))=0),"",IF(AND(ISNUMBER('Raw Data'!Q176), IFERROR('Raw Data'!Q176 = ROUND('Raw Data'!Q176, 2),FALSE)),"",_xlfn.REGEXEXTRACT(CELL("address",Q176), "\$([A-Z]+)\$[0-9]+"))),_xlfn.REGEXEXTRACT(CELL("address",Q176), "\$([A-Z]+)\$[0-9]+"))</f>
        <v/>
      </c>
      <c r="R176" s="7" t="str">
        <f t="array" aca="1" ref="R176" ca="1">IFERROR(IF(OR('Raw Data'!R176="",LEN(TRIM('Raw Data'!R176))=0),"",IF(AND(LEN('Raw Data'!R176) &lt;= 50,LEN('Raw Data'!R176)&gt; 0),"",_xlfn.REGEXEXTRACT(CELL("address",'Raw Data'!R176),"\$([A-Z]+)\$[0-9]+"))),_xlfn.REGEXEXTRACT(CELL("address",'Raw Data'!R176),"\$([A-Z]+)\$[0-9]+"))</f>
        <v/>
      </c>
      <c r="S176" s="7" t="str">
        <f t="array" aca="1" ref="S176" ca="1">IFERROR(IF(OR('Raw Data'!S176="",LEN(TRIM('Raw Data'!S176))=0),"",IF(AND(LEN('Raw Data'!S176) &lt;= 50,LEN('Raw Data'!S176)&gt; 0),"",_xlfn.REGEXEXTRACT(CELL("address",'Raw Data'!S176),"\$([A-Z]+)\$[0-9]+"))),_xlfn.REGEXEXTRACT(CELL("address",'Raw Data'!S176),"\$([A-Z]+)\$[0-9]+"))</f>
        <v/>
      </c>
      <c r="T176" s="7" t="str">
        <f t="array" aca="1" ref="T176" ca="1">IFERROR(IF(OR('Raw Data'!T176="",LEN(TRIM('Raw Data'!T176))=0),"",IF(AND(ISNUMBER('Raw Data'!T176), IFERROR('Raw Data'!T176 = ROUND('Raw Data'!T176, 2),FALSE)),"",_xlfn.REGEXEXTRACT(CELL("address",T176), "\$([A-Z]+)\$[0-9]+"))),_xlfn.REGEXEXTRACT(CELL("address",T176), "\$([A-Z]+)\$[0-9]+"))</f>
        <v/>
      </c>
      <c r="U176" s="7" t="str">
        <f t="array" aca="1" ref="U176" ca="1">IFERROR(IF(OR('Raw Data'!U176="",LEN(TRIM('Raw Data'!U176))=0),"",IF(AND(ISNUMBER('Raw Data'!U176), IFERROR('Raw Data'!U176 = ROUND('Raw Data'!U176, 2),FALSE)),"",_xlfn.REGEXEXTRACT(CELL("address",U176), "\$([A-Z]+)\$[0-9]+"))),_xlfn.REGEXEXTRACT(CELL("address",U176), "\$([A-Z]+)\$[0-9]+"))</f>
        <v/>
      </c>
      <c r="V176" s="7" t="str">
        <f t="array" aca="1" ref="V176" ca="1">IFERROR(IF(OR('Raw Data'!V176="",LEN(TRIM('Raw Data'!V176))=0),"",IF(AND(ISNUMBER('Raw Data'!V176), IFERROR('Raw Data'!V176 = ROUND('Raw Data'!V176, 2),FALSE)),"",_xlfn.REGEXEXTRACT(CELL("address",V176), "\$([A-Z]+)\$[0-9]+"))),_xlfn.REGEXEXTRACT(CELL("address",V176), "\$([A-Z]+)\$[0-9]+"))</f>
        <v/>
      </c>
      <c r="W176" s="7" t="str">
        <f t="array" aca="1" ref="W176" ca="1">IFERROR(IF(OR('Raw Data'!W176="",LEN(TRIM('Raw Data'!W176))=0),"",IF(AND(ISNUMBER('Raw Data'!W176), IFERROR('Raw Data'!W176 = ROUND('Raw Data'!W176, 2),FALSE)),"",_xlfn.REGEXEXTRACT(CELL("address",W176), "\$([A-Z]+)\$[0-9]+"))),_xlfn.REGEXEXTRACT(CELL("address",W176), "\$([A-Z]+)\$[0-9]+"))</f>
        <v/>
      </c>
      <c r="X176" s="7" t="str">
        <f t="array" aca="1" ref="X176" ca="1">IFERROR(IF(OR('Raw Data'!X176="",LEN(TRIM('Raw Data'!X176))=0),"",IF(AND(ISNUMBER('Raw Data'!X176), IFERROR('Raw Data'!X176 = ROUND('Raw Data'!X176, 2),FALSE)),"",_xlfn.REGEXEXTRACT(CELL("address",X176), "\$([A-Z]+)\$[0-9]+"))),_xlfn.REGEXEXTRACT(CELL("address",X176), "\$([A-Z]+)\$[0-9]+"))</f>
        <v/>
      </c>
      <c r="Y176" s="7" t="str">
        <f t="array" aca="1" ref="Y176" ca="1">IFERROR(IF(OR('Raw Data'!Y176="",LEN(TRIM('Raw Data'!Y176))=0),"",IF(AND(ISNUMBER('Raw Data'!Y176), IFERROR('Raw Data'!Y176 = ROUND('Raw Data'!Y176, 2),FALSE)),"",_xlfn.REGEXEXTRACT(CELL("address",Y176), "\$([A-Z]+)\$[0-9]+"))),_xlfn.REGEXEXTRACT(CELL("address",Y176), "\$([A-Z]+)\$[0-9]+"))</f>
        <v/>
      </c>
      <c r="Z176" s="7" t="str">
        <f t="array" aca="1" ref="Z176" ca="1">IFERROR(IF(OR('Raw Data'!Z176="",LEN(TRIM('Raw Data'!Z176))=0),"",IF(AND(ISNUMBER('Raw Data'!Z176), IFERROR('Raw Data'!Z176 = ROUND('Raw Data'!Z176, 2),FALSE)),"",_xlfn.REGEXEXTRACT(CELL("address",Z176), "\$([A-Z]+)\$[0-9]+"))),_xlfn.REGEXEXTRACT(CELL("address",Z176), "\$([A-Z]+)\$[0-9]+"))</f>
        <v/>
      </c>
      <c r="AA176" s="7" t="str">
        <f t="array" aca="1" ref="AA176" ca="1">IFERROR(IF(OR('Raw Data'!AA176="",LEN(TRIM('Raw Data'!AA176))=0),"",IF(AND(ISNUMBER('Raw Data'!AA176), IFERROR('Raw Data'!AA176 = ROUND('Raw Data'!AA176, 2),FALSE)),"",_xlfn.REGEXEXTRACT(CELL("address",AA176), "\$([A-Z]+)\$[0-9]+"))),_xlfn.REGEXEXTRACT(CELL("address",AA176), "\$([A-Z]+)\$[0-9]+"))</f>
        <v/>
      </c>
      <c r="AB176" s="7" t="str">
        <f t="array" aca="1" ref="AB176" ca="1">IFERROR(IF(OR('Raw Data'!AB176="",LEN(TRIM('Raw Data'!AB176))=0),"",IF(AND(ISNUMBER('Raw Data'!AB176), IFERROR('Raw Data'!AB176 = ROUND('Raw Data'!AB176, 2),FALSE)),"",_xlfn.REGEXEXTRACT(CELL("address",AB176), "\$([A-Z]+)\$[0-9]+"))),_xlfn.REGEXEXTRACT(CELL("address",AB176), "\$([A-Z]+)\$[0-9]+"))</f>
        <v/>
      </c>
      <c r="AC176" s="7" t="str">
        <f t="array" aca="1" ref="AC176" ca="1">IFERROR(IF(OR('Raw Data'!AC176="",LEN(TRIM('Raw Data'!AC176))=0),"",IF(AND(ISNUMBER('Raw Data'!AC176), IFERROR('Raw Data'!AC176 = ROUND('Raw Data'!AC176, 2),FALSE)),"",_xlfn.REGEXEXTRACT(CELL("address",AC176), "\$([A-Z]+)\$[0-9]+"))),_xlfn.REGEXEXTRACT(CELL("address",AC176), "\$([A-Z]+)\$[0-9]+"))</f>
        <v/>
      </c>
      <c r="AD176" s="7" t="str">
        <f t="array" aca="1" ref="AD176" ca="1">IFERROR(IF(OR('Raw Data'!AD176="",LEN(TRIM('Raw Data'!AD176))=0),"",IF(AND(ISNUMBER('Raw Data'!AD176), IFERROR('Raw Data'!AD176 = ROUND('Raw Data'!AD176, 2),FALSE)),"",_xlfn.REGEXEXTRACT(CELL("address",AD176), "\$([A-Z]+)\$[0-9]+"))),_xlfn.REGEXEXTRACT(CELL("address",AD176), "\$([A-Z]+)\$[0-9]+"))</f>
        <v/>
      </c>
      <c r="AE176" s="7" t="str">
        <f t="array" aca="1" ref="AE176" ca="1">IFERROR(IF(OR('Raw Data'!AE176="",LEN(TRIM('Raw Data'!AE176))=0),"",IF(AND(ISNUMBER('Raw Data'!AE176), IFERROR('Raw Data'!AE176 = ROUND('Raw Data'!AE176, 2),FALSE)),"",_xlfn.REGEXEXTRACT(CELL("address",AE176), "\$([A-Z]+)\$[0-9]+"))),_xlfn.REGEXEXTRACT(CELL("address",AE176), "\$([A-Z]+)\$[0-9]+"))</f>
        <v/>
      </c>
      <c r="AF176" s="7" t="str">
        <f t="array" aca="1" ref="AF176" ca="1">IFERROR(IF(OR('Raw Data'!AF176="",LEN(TRIM('Raw Data'!AF176))=0),"",IF(AND(ISNUMBER('Raw Data'!AF176), IFERROR('Raw Data'!AF176 = ROUND('Raw Data'!AF176, 2),FALSE)),"",_xlfn.REGEXEXTRACT(CELL("address",AF176), "\$([A-Z]+)\$[0-9]+"))),_xlfn.REGEXEXTRACT(CELL("address",AF176), "\$([A-Z]+)\$[0-9]+"))</f>
        <v/>
      </c>
      <c r="AG176" s="7" t="str">
        <f t="array" aca="1" ref="AG176" ca="1">IFERROR(IF(OR('Raw Data'!AG176="",LEN(TRIM('Raw Data'!AG176))=0),"",IF(AND(ISNUMBER('Raw Data'!AG176), IFERROR('Raw Data'!AG176 = ROUND('Raw Data'!AG176, 2),FALSE)),"",_xlfn.REGEXEXTRACT(CELL("address",AG176), "\$([A-Z]+)\$[0-9]+"))),_xlfn.REGEXEXTRACT(CELL("address",AG176), "\$([A-Z]+)\$[0-9]+"))</f>
        <v/>
      </c>
      <c r="AH176" s="7" t="str">
        <f t="array" aca="1" ref="AH176" ca="1">IFERROR(IF(OR('Raw Data'!AH176="",LEN(TRIM('Raw Data'!AH176))=0),"",IF(AND(ISNUMBER('Raw Data'!AH176), IFERROR('Raw Data'!AH176 = ROUND('Raw Data'!AH176, 2),FALSE)),"",_xlfn.REGEXEXTRACT(CELL("address",AH176), "\$([A-Z]+)\$[0-9]+"))),_xlfn.REGEXEXTRACT(CELL("address",AH176), "\$([A-Z]+)\$[0-9]+"))</f>
        <v/>
      </c>
      <c r="AI176" s="7" t="str">
        <f t="array" aca="1" ref="AI176" ca="1">IFERROR(IF(OR('Raw Data'!AI176="",LEN(TRIM('Raw Data'!AI176))=0),"",IF(AND(ISNUMBER('Raw Data'!AI176), IFERROR('Raw Data'!AI176 = ROUND('Raw Data'!AI176, 2),FALSE)),"",_xlfn.REGEXEXTRACT(CELL("address",AI176), "\$([A-Z]+)\$[0-9]+"))),_xlfn.REGEXEXTRACT(CELL("address",AI176), "\$([A-Z]+)\$[0-9]+"))</f>
        <v/>
      </c>
      <c r="AJ176" s="7" t="str">
        <f t="array" aca="1" ref="AJ176" ca="1">IFERROR(IF(OR('Raw Data'!AJ176="",LEN(TRIM('Raw Data'!AJ176))=0),"",IF(AND(ISNUMBER('Raw Data'!AJ176), IFERROR('Raw Data'!AJ176 = ROUND('Raw Data'!AJ176, 4),FALSE)),"",_xlfn.REGEXEXTRACT(CELL("address",AJ176), "\$([A-Z]+)\$[0-9]+"))),_xlfn.REGEXEXTRACT(CELL("address",AJ176), "\$([A-Z]+)\$[0-9]+"))</f>
        <v/>
      </c>
      <c r="AK176" s="7" t="str">
        <f t="array" aca="1" ref="AK176" ca="1">IFERROR(IF(OR('Raw Data'!AK176="",LEN(TRIM('Raw Data'!AK176))=0),"",IF(AND(ISNUMBER('Raw Data'!AK176), IFERROR('Raw Data'!AK176 = ROUND('Raw Data'!AK176, 2),FALSE)),"",_xlfn.REGEXEXTRACT(CELL("address",AK176), "\$([A-Z]+)\$[0-9]+"))),_xlfn.REGEXEXTRACT(CELL("address",AK176), "\$([A-Z]+)\$[0-9]+"))</f>
        <v/>
      </c>
      <c r="AL176" s="7" t="str">
        <f t="array" aca="1" ref="AL176" ca="1">IFERROR(IF(OR('Raw Data'!AL176="",LEN(TRIM('Raw Data'!AL176))=0),"",IF(AND(ISNUMBER('Raw Data'!AL176), IFERROR('Raw Data'!AL176 = ROUND('Raw Data'!AL176, 2),FALSE)),"",_xlfn.REGEXEXTRACT(CELL("address",AL176), "\$([A-Z]+)\$[0-9]+"))),_xlfn.REGEXEXTRACT(CELL("address",AL176), "\$([A-Z]+)\$[0-9]+"))</f>
        <v/>
      </c>
      <c r="AM176" s="7" t="str">
        <f t="array" aca="1" ref="AM176" ca="1">IFERROR(IF(OR('Raw Data'!AM176="",LEN(TRIM('Raw Data'!AM176))=0),"",IF(AND(ISNUMBER('Raw Data'!AM176), IFERROR('Raw Data'!AM176 = ROUND('Raw Data'!AM176, 2),FALSE)),"",_xlfn.REGEXEXTRACT(CELL("address",AM176), "\$([A-Z]+)\$[0-9]+"))),_xlfn.REGEXEXTRACT(CELL("address",AM176), "\$([A-Z]+)\$[0-9]+"))</f>
        <v/>
      </c>
      <c r="AN176" s="7" t="str">
        <f t="array" aca="1" ref="AN176" ca="1">IFERROR(IF(OR('Raw Data'!AN176="",LEN(TRIM('Raw Data'!AN176))=0),"",IF(AND(ISNUMBER('Raw Data'!AN176), IFERROR('Raw Data'!AN176 = ROUND('Raw Data'!AN176, 2),FALSE)),"",_xlfn.REGEXEXTRACT(CELL("address",AN176), "\$([A-Z]+)\$[0-9]+"))),_xlfn.REGEXEXTRACT(CELL("address",AN176), "\$([A-Z]+)\$[0-9]+"))</f>
        <v/>
      </c>
      <c r="AO176" s="7" t="str">
        <f t="array" aca="1" ref="AO176" ca="1">IFERROR(IF(OR('Raw Data'!AO176="",LEN(TRIM('Raw Data'!AO176))=0),"",IF(AND(ISNUMBER('Raw Data'!AO176), IFERROR('Raw Data'!AO176 = ROUND('Raw Data'!AO176, 2),FALSE)),"",_xlfn.REGEXEXTRACT(CELL("address",AO176), "\$([A-Z]+)\$[0-9]+"))),_xlfn.REGEXEXTRACT(CELL("address",AO176), "\$([A-Z]+)\$[0-9]+"))</f>
        <v/>
      </c>
      <c r="AP176" s="7" t="str">
        <f t="array" aca="1" ref="AP176" ca="1">IFERROR(IF(OR('Raw Data'!AP176="",LEN(TRIM('Raw Data'!AP176))=0),"",IF(AND(ISNUMBER('Raw Data'!AP176), IFERROR('Raw Data'!AP176 = ROUND('Raw Data'!AP176, 2),FALSE)),"",_xlfn.REGEXEXTRACT(CELL("address",AP176), "\$([A-Z]+)\$[0-9]+"))),_xlfn.REGEXEXTRACT(CELL("address",AP176), "\$([A-Z]+)\$[0-9]+"))</f>
        <v/>
      </c>
    </row>
    <row r="177" spans="2:42" x14ac:dyDescent="0.25">
      <c r="B177" s="7" t="str">
        <f t="array" aca="1" ref="B177" ca="1">IFERROR(IF(OR('Raw Data'!B177="",LEN(TRIM('Raw Data'!B177))=0),"",IF(AND(LEN('Raw Data'!B177) &lt;= 255,LEN('Raw Data'!B177)&gt; 0),"",_xlfn.REGEXEXTRACT(CELL("address",'Raw Data'!B177),"\$([A-Z]+)\$[0-9]+"))),_xlfn.REGEXEXTRACT(CELL("address",'Raw Data'!B177),"\$([A-Z]+)\$[0-9]+"))</f>
        <v/>
      </c>
      <c r="C177" s="7" t="str">
        <f t="array" aca="1" ref="C177" ca="1">IFERROR(IF(OR('Raw Data'!C177="",LEN(TRIM('Raw Data'!C177))=0),"",IF(AND(LEN('Raw Data'!C177) &lt;= 50,LEN('Raw Data'!C177)&gt; 0),"",_xlfn.REGEXEXTRACT(CELL("address",'Raw Data'!C177),"\$([A-Z]+)\$[0-9]+"))),_xlfn.REGEXEXTRACT(CELL("address",'Raw Data'!C177),"\$([A-Z]+)\$[0-9]+"))</f>
        <v/>
      </c>
      <c r="D177" s="7" t="str">
        <f t="array" aca="1" ref="D177" ca="1">IFERROR(IF(OR('Raw Data'!D177="",LEN(TRIM('Raw Data'!D177))=0),"",IF(AND(LEN('Raw Data'!D177) &lt;= 500,LEN('Raw Data'!D177)&gt; 0),"",_xlfn.REGEXEXTRACT(CELL("address",'Raw Data'!D177),"\$([A-Z]+)\$[0-9]+"))),_xlfn.REGEXEXTRACT(CELL("address",'Raw Data'!D177),"\$([A-Z]+)\$[0-9]+"))</f>
        <v/>
      </c>
      <c r="E177" s="7" t="str">
        <f t="array" aca="1" ref="E177" ca="1">IFERROR(IF(OR('Raw Data'!E177="",LEN(TRIM('Raw Data'!E177))=0),"",IF(AND(LEN('Raw Data'!E177) &lt;= 50,LEN('Raw Data'!E177)&gt; 0),"",_xlfn.REGEXEXTRACT(CELL("address",'Raw Data'!E177),"\$([A-Z]+)\$[0-9]+"))),_xlfn.REGEXEXTRACT(CELL("address",'Raw Data'!E177),"\$([A-Z]+)\$[0-9]+"))</f>
        <v/>
      </c>
      <c r="F177" s="7" t="str">
        <f t="array" aca="1" ref="F177" ca="1">IFERROR(IF(OR('Raw Data'!F177="",LEN(TRIM('Raw Data'!F177))=0),"",IF(AND(LEN('Raw Data'!F177) &lt;= 50,LEN('Raw Data'!F177)&gt; 0),"",_xlfn.REGEXEXTRACT(CELL("address",'Raw Data'!F177),"\$([A-Z]+)\$[0-9]+"))),_xlfn.REGEXEXTRACT(CELL("address",'Raw Data'!F177),"\$([A-Z]+)\$[0-9]+"))</f>
        <v/>
      </c>
      <c r="G177" s="7" t="str">
        <f t="array" aca="1" ref="G177" ca="1">IFERROR(IF(OR('Raw Data'!G177="",LEN(TRIM('Raw Data'!G177))=0),"",IF(AND(LEN('Raw Data'!G177) &lt;= 50,LEN('Raw Data'!G177)&gt; 0),"",_xlfn.REGEXEXTRACT(CELL("address",'Raw Data'!G177),"\$([A-Z]+)\$[0-9]+"))),_xlfn.REGEXEXTRACT(CELL("address",'Raw Data'!G177),"\$([A-Z]+)\$[0-9]+"))</f>
        <v/>
      </c>
      <c r="H177" s="7" t="str">
        <f t="array" aca="1" ref="H177" ca="1">IFERROR(IF(OR('Raw Data'!H177="",LEN(TRIM('Raw Data'!H177))=0),"",IF(AND(LEN('Raw Data'!H177) &lt;= 50,LEN('Raw Data'!H177)&gt; 0),"",_xlfn.REGEXEXTRACT(CELL("address",'Raw Data'!H177),"\$([A-Z]+)\$[0-9]+"))),_xlfn.REGEXEXTRACT(CELL("address",'Raw Data'!H177),"\$([A-Z]+)\$[0-9]+"))</f>
        <v/>
      </c>
      <c r="I177" s="7" t="str">
        <f t="array" aca="1" ref="I177" ca="1">IFERROR(IF(OR('Raw Data'!I177="",LEN(TRIM('Raw Data'!I177))=0),"",IF(AND(LEN('Raw Data'!I177) &lt;= 50,LEN('Raw Data'!I177)&gt; 0),"",_xlfn.REGEXEXTRACT(CELL("address",'Raw Data'!I177),"\$([A-Z]+)\$[0-9]+"))),_xlfn.REGEXEXTRACT(CELL("address",'Raw Data'!I177),"\$([A-Z]+)\$[0-9]+"))</f>
        <v/>
      </c>
      <c r="J177" s="7" t="str">
        <f t="array" aca="1" ref="J177" ca="1">IFERROR(IF(OR('Raw Data'!J177="",LEN(TRIM('Raw Data'!J177))=0),"",IF(AND(ISNUMBER('Raw Data'!J177), IFERROR('Raw Data'!J177 = ROUND('Raw Data'!J177, 2),FALSE)),"",_xlfn.REGEXEXTRACT(CELL("address",J177), "\$([A-Z]+)\$[0-9]+"))),_xlfn.REGEXEXTRACT(CELL("address",J177), "\$([A-Z]+)\$[0-9]+"))</f>
        <v/>
      </c>
      <c r="K177" s="7" t="str">
        <f t="array" aca="1" ref="K177" ca="1">IFERROR(IF(OR('Raw Data'!K177="",LEN(TRIM('Raw Data'!K177))=0),"",IF(AND(ISNUMBER('Raw Data'!K177), IFERROR('Raw Data'!K177 = ROUND('Raw Data'!K177, 2),FALSE)),"",_xlfn.REGEXEXTRACT(CELL("address",K177), "\$([A-Z]+)\$[0-9]+"))),_xlfn.REGEXEXTRACT(CELL("address",K177), "\$([A-Z]+)\$[0-9]+"))</f>
        <v/>
      </c>
      <c r="L177" s="7" t="str">
        <f t="array" aca="1" ref="L177" ca="1">IFERROR(IF(OR('Raw Data'!L177="",LEN(TRIM('Raw Data'!L177))=0),"",IF(AND(ISNUMBER('Raw Data'!L177), IFERROR('Raw Data'!L177 = ROUND('Raw Data'!L177, 2),FALSE)),"",_xlfn.REGEXEXTRACT(CELL("address",L177), "\$([A-Z]+)\$[0-9]+"))),_xlfn.REGEXEXTRACT(CELL("address",L177), "\$([A-Z]+)\$[0-9]+"))</f>
        <v/>
      </c>
      <c r="M177" s="7" t="str">
        <f t="array" aca="1" ref="M177" ca="1">IFERROR(IF(OR('Raw Data'!M177="",LEN(TRIM('Raw Data'!M177))=0),"",IF(AND(ISNUMBER('Raw Data'!M177), IFERROR('Raw Data'!M177 = ROUND('Raw Data'!M177, 2),FALSE)),"",_xlfn.REGEXEXTRACT(CELL("address",M177), "\$([A-Z]+)\$[0-9]+"))),_xlfn.REGEXEXTRACT(CELL("address",M177), "\$([A-Z]+)\$[0-9]+"))</f>
        <v/>
      </c>
      <c r="N177" s="7" t="str">
        <f t="array" aca="1" ref="N177" ca="1">IFERROR(IF(OR('Raw Data'!N177="",LEN(TRIM('Raw Data'!N177))=0),"",IF(AND(ISNUMBER('Raw Data'!N177), IFERROR('Raw Data'!N177 = ROUND('Raw Data'!N177, 2),FALSE)),"",_xlfn.REGEXEXTRACT(CELL("address",N177), "\$([A-Z]+)\$[0-9]+"))),_xlfn.REGEXEXTRACT(CELL("address",N177), "\$([A-Z]+)\$[0-9]+"))</f>
        <v/>
      </c>
      <c r="O177" s="7" t="str">
        <f t="array" aca="1" ref="O177" ca="1">IFERROR(IF(OR('Raw Data'!O177="",LEN(TRIM('Raw Data'!O177))=0),"",IF(AND(ISNUMBER('Raw Data'!O177),'Raw Data'!O177&gt;=Configuration!$D$2),"",_xlfn.REGEXEXTRACT(CELL("address",'Raw Data'!O177),"\$([A-Z]+)\$[0-9]+"))),_xlfn.REGEXEXTRACT(CELL("address",O177), "\$([A-Z]+)\$[0-9]+"))</f>
        <v/>
      </c>
      <c r="P177" s="7" t="str">
        <f t="array" aca="1" ref="P177" ca="1">IFERROR(IF(OR('Raw Data'!P177="",LEN(TRIM('Raw Data'!P177))=0),"",IF(AND(ISNUMBER('Raw Data'!P177), IFERROR('Raw Data'!P177 = ROUND('Raw Data'!P177, 2),FALSE)),"",_xlfn.REGEXEXTRACT(CELL("address",P177), "\$([A-Z]+)\$[0-9]+"))),_xlfn.REGEXEXTRACT(CELL("address",P177), "\$([A-Z]+)\$[0-9]+"))</f>
        <v/>
      </c>
      <c r="Q177" s="7" t="str">
        <f t="array" aca="1" ref="Q177" ca="1">IFERROR(IF(OR('Raw Data'!Q177="",LEN(TRIM('Raw Data'!Q177))=0),"",IF(AND(ISNUMBER('Raw Data'!Q177), IFERROR('Raw Data'!Q177 = ROUND('Raw Data'!Q177, 2),FALSE)),"",_xlfn.REGEXEXTRACT(CELL("address",Q177), "\$([A-Z]+)\$[0-9]+"))),_xlfn.REGEXEXTRACT(CELL("address",Q177), "\$([A-Z]+)\$[0-9]+"))</f>
        <v/>
      </c>
      <c r="R177" s="7" t="str">
        <f t="array" aca="1" ref="R177" ca="1">IFERROR(IF(OR('Raw Data'!R177="",LEN(TRIM('Raw Data'!R177))=0),"",IF(AND(LEN('Raw Data'!R177) &lt;= 50,LEN('Raw Data'!R177)&gt; 0),"",_xlfn.REGEXEXTRACT(CELL("address",'Raw Data'!R177),"\$([A-Z]+)\$[0-9]+"))),_xlfn.REGEXEXTRACT(CELL("address",'Raw Data'!R177),"\$([A-Z]+)\$[0-9]+"))</f>
        <v/>
      </c>
      <c r="S177" s="7" t="str">
        <f t="array" aca="1" ref="S177" ca="1">IFERROR(IF(OR('Raw Data'!S177="",LEN(TRIM('Raw Data'!S177))=0),"",IF(AND(LEN('Raw Data'!S177) &lt;= 50,LEN('Raw Data'!S177)&gt; 0),"",_xlfn.REGEXEXTRACT(CELL("address",'Raw Data'!S177),"\$([A-Z]+)\$[0-9]+"))),_xlfn.REGEXEXTRACT(CELL("address",'Raw Data'!S177),"\$([A-Z]+)\$[0-9]+"))</f>
        <v/>
      </c>
      <c r="T177" s="7" t="str">
        <f t="array" aca="1" ref="T177" ca="1">IFERROR(IF(OR('Raw Data'!T177="",LEN(TRIM('Raw Data'!T177))=0),"",IF(AND(ISNUMBER('Raw Data'!T177), IFERROR('Raw Data'!T177 = ROUND('Raw Data'!T177, 2),FALSE)),"",_xlfn.REGEXEXTRACT(CELL("address",T177), "\$([A-Z]+)\$[0-9]+"))),_xlfn.REGEXEXTRACT(CELL("address",T177), "\$([A-Z]+)\$[0-9]+"))</f>
        <v/>
      </c>
      <c r="U177" s="7" t="str">
        <f t="array" aca="1" ref="U177" ca="1">IFERROR(IF(OR('Raw Data'!U177="",LEN(TRIM('Raw Data'!U177))=0),"",IF(AND(ISNUMBER('Raw Data'!U177), IFERROR('Raw Data'!U177 = ROUND('Raw Data'!U177, 2),FALSE)),"",_xlfn.REGEXEXTRACT(CELL("address",U177), "\$([A-Z]+)\$[0-9]+"))),_xlfn.REGEXEXTRACT(CELL("address",U177), "\$([A-Z]+)\$[0-9]+"))</f>
        <v/>
      </c>
      <c r="V177" s="7" t="str">
        <f t="array" aca="1" ref="V177" ca="1">IFERROR(IF(OR('Raw Data'!V177="",LEN(TRIM('Raw Data'!V177))=0),"",IF(AND(ISNUMBER('Raw Data'!V177), IFERROR('Raw Data'!V177 = ROUND('Raw Data'!V177, 2),FALSE)),"",_xlfn.REGEXEXTRACT(CELL("address",V177), "\$([A-Z]+)\$[0-9]+"))),_xlfn.REGEXEXTRACT(CELL("address",V177), "\$([A-Z]+)\$[0-9]+"))</f>
        <v/>
      </c>
      <c r="W177" s="7" t="str">
        <f t="array" aca="1" ref="W177" ca="1">IFERROR(IF(OR('Raw Data'!W177="",LEN(TRIM('Raw Data'!W177))=0),"",IF(AND(ISNUMBER('Raw Data'!W177), IFERROR('Raw Data'!W177 = ROUND('Raw Data'!W177, 2),FALSE)),"",_xlfn.REGEXEXTRACT(CELL("address",W177), "\$([A-Z]+)\$[0-9]+"))),_xlfn.REGEXEXTRACT(CELL("address",W177), "\$([A-Z]+)\$[0-9]+"))</f>
        <v/>
      </c>
      <c r="X177" s="7" t="str">
        <f t="array" aca="1" ref="X177" ca="1">IFERROR(IF(OR('Raw Data'!X177="",LEN(TRIM('Raw Data'!X177))=0),"",IF(AND(ISNUMBER('Raw Data'!X177), IFERROR('Raw Data'!X177 = ROUND('Raw Data'!X177, 2),FALSE)),"",_xlfn.REGEXEXTRACT(CELL("address",X177), "\$([A-Z]+)\$[0-9]+"))),_xlfn.REGEXEXTRACT(CELL("address",X177), "\$([A-Z]+)\$[0-9]+"))</f>
        <v/>
      </c>
      <c r="Y177" s="7" t="str">
        <f t="array" aca="1" ref="Y177" ca="1">IFERROR(IF(OR('Raw Data'!Y177="",LEN(TRIM('Raw Data'!Y177))=0),"",IF(AND(ISNUMBER('Raw Data'!Y177), IFERROR('Raw Data'!Y177 = ROUND('Raw Data'!Y177, 2),FALSE)),"",_xlfn.REGEXEXTRACT(CELL("address",Y177), "\$([A-Z]+)\$[0-9]+"))),_xlfn.REGEXEXTRACT(CELL("address",Y177), "\$([A-Z]+)\$[0-9]+"))</f>
        <v/>
      </c>
      <c r="Z177" s="7" t="str">
        <f t="array" aca="1" ref="Z177" ca="1">IFERROR(IF(OR('Raw Data'!Z177="",LEN(TRIM('Raw Data'!Z177))=0),"",IF(AND(ISNUMBER('Raw Data'!Z177), IFERROR('Raw Data'!Z177 = ROUND('Raw Data'!Z177, 2),FALSE)),"",_xlfn.REGEXEXTRACT(CELL("address",Z177), "\$([A-Z]+)\$[0-9]+"))),_xlfn.REGEXEXTRACT(CELL("address",Z177), "\$([A-Z]+)\$[0-9]+"))</f>
        <v/>
      </c>
      <c r="AA177" s="7" t="str">
        <f t="array" aca="1" ref="AA177" ca="1">IFERROR(IF(OR('Raw Data'!AA177="",LEN(TRIM('Raw Data'!AA177))=0),"",IF(AND(ISNUMBER('Raw Data'!AA177), IFERROR('Raw Data'!AA177 = ROUND('Raw Data'!AA177, 2),FALSE)),"",_xlfn.REGEXEXTRACT(CELL("address",AA177), "\$([A-Z]+)\$[0-9]+"))),_xlfn.REGEXEXTRACT(CELL("address",AA177), "\$([A-Z]+)\$[0-9]+"))</f>
        <v/>
      </c>
      <c r="AB177" s="7" t="str">
        <f t="array" aca="1" ref="AB177" ca="1">IFERROR(IF(OR('Raw Data'!AB177="",LEN(TRIM('Raw Data'!AB177))=0),"",IF(AND(ISNUMBER('Raw Data'!AB177), IFERROR('Raw Data'!AB177 = ROUND('Raw Data'!AB177, 2),FALSE)),"",_xlfn.REGEXEXTRACT(CELL("address",AB177), "\$([A-Z]+)\$[0-9]+"))),_xlfn.REGEXEXTRACT(CELL("address",AB177), "\$([A-Z]+)\$[0-9]+"))</f>
        <v/>
      </c>
      <c r="AC177" s="7" t="str">
        <f t="array" aca="1" ref="AC177" ca="1">IFERROR(IF(OR('Raw Data'!AC177="",LEN(TRIM('Raw Data'!AC177))=0),"",IF(AND(ISNUMBER('Raw Data'!AC177), IFERROR('Raw Data'!AC177 = ROUND('Raw Data'!AC177, 2),FALSE)),"",_xlfn.REGEXEXTRACT(CELL("address",AC177), "\$([A-Z]+)\$[0-9]+"))),_xlfn.REGEXEXTRACT(CELL("address",AC177), "\$([A-Z]+)\$[0-9]+"))</f>
        <v/>
      </c>
      <c r="AD177" s="7" t="str">
        <f t="array" aca="1" ref="AD177" ca="1">IFERROR(IF(OR('Raw Data'!AD177="",LEN(TRIM('Raw Data'!AD177))=0),"",IF(AND(ISNUMBER('Raw Data'!AD177), IFERROR('Raw Data'!AD177 = ROUND('Raw Data'!AD177, 2),FALSE)),"",_xlfn.REGEXEXTRACT(CELL("address",AD177), "\$([A-Z]+)\$[0-9]+"))),_xlfn.REGEXEXTRACT(CELL("address",AD177), "\$([A-Z]+)\$[0-9]+"))</f>
        <v/>
      </c>
      <c r="AE177" s="7" t="str">
        <f t="array" aca="1" ref="AE177" ca="1">IFERROR(IF(OR('Raw Data'!AE177="",LEN(TRIM('Raw Data'!AE177))=0),"",IF(AND(ISNUMBER('Raw Data'!AE177), IFERROR('Raw Data'!AE177 = ROUND('Raw Data'!AE177, 2),FALSE)),"",_xlfn.REGEXEXTRACT(CELL("address",AE177), "\$([A-Z]+)\$[0-9]+"))),_xlfn.REGEXEXTRACT(CELL("address",AE177), "\$([A-Z]+)\$[0-9]+"))</f>
        <v/>
      </c>
      <c r="AF177" s="7" t="str">
        <f t="array" aca="1" ref="AF177" ca="1">IFERROR(IF(OR('Raw Data'!AF177="",LEN(TRIM('Raw Data'!AF177))=0),"",IF(AND(ISNUMBER('Raw Data'!AF177), IFERROR('Raw Data'!AF177 = ROUND('Raw Data'!AF177, 2),FALSE)),"",_xlfn.REGEXEXTRACT(CELL("address",AF177), "\$([A-Z]+)\$[0-9]+"))),_xlfn.REGEXEXTRACT(CELL("address",AF177), "\$([A-Z]+)\$[0-9]+"))</f>
        <v/>
      </c>
      <c r="AG177" s="7" t="str">
        <f t="array" aca="1" ref="AG177" ca="1">IFERROR(IF(OR('Raw Data'!AG177="",LEN(TRIM('Raw Data'!AG177))=0),"",IF(AND(ISNUMBER('Raw Data'!AG177), IFERROR('Raw Data'!AG177 = ROUND('Raw Data'!AG177, 2),FALSE)),"",_xlfn.REGEXEXTRACT(CELL("address",AG177), "\$([A-Z]+)\$[0-9]+"))),_xlfn.REGEXEXTRACT(CELL("address",AG177), "\$([A-Z]+)\$[0-9]+"))</f>
        <v/>
      </c>
      <c r="AH177" s="7" t="str">
        <f t="array" aca="1" ref="AH177" ca="1">IFERROR(IF(OR('Raw Data'!AH177="",LEN(TRIM('Raw Data'!AH177))=0),"",IF(AND(ISNUMBER('Raw Data'!AH177), IFERROR('Raw Data'!AH177 = ROUND('Raw Data'!AH177, 2),FALSE)),"",_xlfn.REGEXEXTRACT(CELL("address",AH177), "\$([A-Z]+)\$[0-9]+"))),_xlfn.REGEXEXTRACT(CELL("address",AH177), "\$([A-Z]+)\$[0-9]+"))</f>
        <v/>
      </c>
      <c r="AI177" s="7" t="str">
        <f t="array" aca="1" ref="AI177" ca="1">IFERROR(IF(OR('Raw Data'!AI177="",LEN(TRIM('Raw Data'!AI177))=0),"",IF(AND(ISNUMBER('Raw Data'!AI177), IFERROR('Raw Data'!AI177 = ROUND('Raw Data'!AI177, 2),FALSE)),"",_xlfn.REGEXEXTRACT(CELL("address",AI177), "\$([A-Z]+)\$[0-9]+"))),_xlfn.REGEXEXTRACT(CELL("address",AI177), "\$([A-Z]+)\$[0-9]+"))</f>
        <v/>
      </c>
      <c r="AJ177" s="7" t="str">
        <f t="array" aca="1" ref="AJ177" ca="1">IFERROR(IF(OR('Raw Data'!AJ177="",LEN(TRIM('Raw Data'!AJ177))=0),"",IF(AND(ISNUMBER('Raw Data'!AJ177), IFERROR('Raw Data'!AJ177 = ROUND('Raw Data'!AJ177, 4),FALSE)),"",_xlfn.REGEXEXTRACT(CELL("address",AJ177), "\$([A-Z]+)\$[0-9]+"))),_xlfn.REGEXEXTRACT(CELL("address",AJ177), "\$([A-Z]+)\$[0-9]+"))</f>
        <v/>
      </c>
      <c r="AK177" s="7" t="str">
        <f t="array" aca="1" ref="AK177" ca="1">IFERROR(IF(OR('Raw Data'!AK177="",LEN(TRIM('Raw Data'!AK177))=0),"",IF(AND(ISNUMBER('Raw Data'!AK177), IFERROR('Raw Data'!AK177 = ROUND('Raw Data'!AK177, 2),FALSE)),"",_xlfn.REGEXEXTRACT(CELL("address",AK177), "\$([A-Z]+)\$[0-9]+"))),_xlfn.REGEXEXTRACT(CELL("address",AK177), "\$([A-Z]+)\$[0-9]+"))</f>
        <v/>
      </c>
      <c r="AL177" s="7" t="str">
        <f t="array" aca="1" ref="AL177" ca="1">IFERROR(IF(OR('Raw Data'!AL177="",LEN(TRIM('Raw Data'!AL177))=0),"",IF(AND(ISNUMBER('Raw Data'!AL177), IFERROR('Raw Data'!AL177 = ROUND('Raw Data'!AL177, 2),FALSE)),"",_xlfn.REGEXEXTRACT(CELL("address",AL177), "\$([A-Z]+)\$[0-9]+"))),_xlfn.REGEXEXTRACT(CELL("address",AL177), "\$([A-Z]+)\$[0-9]+"))</f>
        <v/>
      </c>
      <c r="AM177" s="7" t="str">
        <f t="array" aca="1" ref="AM177" ca="1">IFERROR(IF(OR('Raw Data'!AM177="",LEN(TRIM('Raw Data'!AM177))=0),"",IF(AND(ISNUMBER('Raw Data'!AM177), IFERROR('Raw Data'!AM177 = ROUND('Raw Data'!AM177, 2),FALSE)),"",_xlfn.REGEXEXTRACT(CELL("address",AM177), "\$([A-Z]+)\$[0-9]+"))),_xlfn.REGEXEXTRACT(CELL("address",AM177), "\$([A-Z]+)\$[0-9]+"))</f>
        <v/>
      </c>
      <c r="AN177" s="7" t="str">
        <f t="array" aca="1" ref="AN177" ca="1">IFERROR(IF(OR('Raw Data'!AN177="",LEN(TRIM('Raw Data'!AN177))=0),"",IF(AND(ISNUMBER('Raw Data'!AN177), IFERROR('Raw Data'!AN177 = ROUND('Raw Data'!AN177, 2),FALSE)),"",_xlfn.REGEXEXTRACT(CELL("address",AN177), "\$([A-Z]+)\$[0-9]+"))),_xlfn.REGEXEXTRACT(CELL("address",AN177), "\$([A-Z]+)\$[0-9]+"))</f>
        <v/>
      </c>
      <c r="AO177" s="7" t="str">
        <f t="array" aca="1" ref="AO177" ca="1">IFERROR(IF(OR('Raw Data'!AO177="",LEN(TRIM('Raw Data'!AO177))=0),"",IF(AND(ISNUMBER('Raw Data'!AO177), IFERROR('Raw Data'!AO177 = ROUND('Raw Data'!AO177, 2),FALSE)),"",_xlfn.REGEXEXTRACT(CELL("address",AO177), "\$([A-Z]+)\$[0-9]+"))),_xlfn.REGEXEXTRACT(CELL("address",AO177), "\$([A-Z]+)\$[0-9]+"))</f>
        <v/>
      </c>
      <c r="AP177" s="7" t="str">
        <f t="array" aca="1" ref="AP177" ca="1">IFERROR(IF(OR('Raw Data'!AP177="",LEN(TRIM('Raw Data'!AP177))=0),"",IF(AND(ISNUMBER('Raw Data'!AP177), IFERROR('Raw Data'!AP177 = ROUND('Raw Data'!AP177, 2),FALSE)),"",_xlfn.REGEXEXTRACT(CELL("address",AP177), "\$([A-Z]+)\$[0-9]+"))),_xlfn.REGEXEXTRACT(CELL("address",AP177), "\$([A-Z]+)\$[0-9]+"))</f>
        <v/>
      </c>
    </row>
    <row r="178" spans="2:42" x14ac:dyDescent="0.25">
      <c r="B178" s="7" t="str">
        <f t="array" aca="1" ref="B178" ca="1">IFERROR(IF(OR('Raw Data'!B178="",LEN(TRIM('Raw Data'!B178))=0),"",IF(AND(LEN('Raw Data'!B178) &lt;= 255,LEN('Raw Data'!B178)&gt; 0),"",_xlfn.REGEXEXTRACT(CELL("address",'Raw Data'!B178),"\$([A-Z]+)\$[0-9]+"))),_xlfn.REGEXEXTRACT(CELL("address",'Raw Data'!B178),"\$([A-Z]+)\$[0-9]+"))</f>
        <v/>
      </c>
      <c r="C178" s="7" t="str">
        <f t="array" aca="1" ref="C178" ca="1">IFERROR(IF(OR('Raw Data'!C178="",LEN(TRIM('Raw Data'!C178))=0),"",IF(AND(LEN('Raw Data'!C178) &lt;= 50,LEN('Raw Data'!C178)&gt; 0),"",_xlfn.REGEXEXTRACT(CELL("address",'Raw Data'!C178),"\$([A-Z]+)\$[0-9]+"))),_xlfn.REGEXEXTRACT(CELL("address",'Raw Data'!C178),"\$([A-Z]+)\$[0-9]+"))</f>
        <v/>
      </c>
      <c r="D178" s="7" t="str">
        <f t="array" aca="1" ref="D178" ca="1">IFERROR(IF(OR('Raw Data'!D178="",LEN(TRIM('Raw Data'!D178))=0),"",IF(AND(LEN('Raw Data'!D178) &lt;= 500,LEN('Raw Data'!D178)&gt; 0),"",_xlfn.REGEXEXTRACT(CELL("address",'Raw Data'!D178),"\$([A-Z]+)\$[0-9]+"))),_xlfn.REGEXEXTRACT(CELL("address",'Raw Data'!D178),"\$([A-Z]+)\$[0-9]+"))</f>
        <v/>
      </c>
      <c r="E178" s="7" t="str">
        <f t="array" aca="1" ref="E178" ca="1">IFERROR(IF(OR('Raw Data'!E178="",LEN(TRIM('Raw Data'!E178))=0),"",IF(AND(LEN('Raw Data'!E178) &lt;= 50,LEN('Raw Data'!E178)&gt; 0),"",_xlfn.REGEXEXTRACT(CELL("address",'Raw Data'!E178),"\$([A-Z]+)\$[0-9]+"))),_xlfn.REGEXEXTRACT(CELL("address",'Raw Data'!E178),"\$([A-Z]+)\$[0-9]+"))</f>
        <v/>
      </c>
      <c r="F178" s="7" t="str">
        <f t="array" aca="1" ref="F178" ca="1">IFERROR(IF(OR('Raw Data'!F178="",LEN(TRIM('Raw Data'!F178))=0),"",IF(AND(LEN('Raw Data'!F178) &lt;= 50,LEN('Raw Data'!F178)&gt; 0),"",_xlfn.REGEXEXTRACT(CELL("address",'Raw Data'!F178),"\$([A-Z]+)\$[0-9]+"))),_xlfn.REGEXEXTRACT(CELL("address",'Raw Data'!F178),"\$([A-Z]+)\$[0-9]+"))</f>
        <v/>
      </c>
      <c r="G178" s="7" t="str">
        <f t="array" aca="1" ref="G178" ca="1">IFERROR(IF(OR('Raw Data'!G178="",LEN(TRIM('Raw Data'!G178))=0),"",IF(AND(LEN('Raw Data'!G178) &lt;= 50,LEN('Raw Data'!G178)&gt; 0),"",_xlfn.REGEXEXTRACT(CELL("address",'Raw Data'!G178),"\$([A-Z]+)\$[0-9]+"))),_xlfn.REGEXEXTRACT(CELL("address",'Raw Data'!G178),"\$([A-Z]+)\$[0-9]+"))</f>
        <v/>
      </c>
      <c r="H178" s="7" t="str">
        <f t="array" aca="1" ref="H178" ca="1">IFERROR(IF(OR('Raw Data'!H178="",LEN(TRIM('Raw Data'!H178))=0),"",IF(AND(LEN('Raw Data'!H178) &lt;= 50,LEN('Raw Data'!H178)&gt; 0),"",_xlfn.REGEXEXTRACT(CELL("address",'Raw Data'!H178),"\$([A-Z]+)\$[0-9]+"))),_xlfn.REGEXEXTRACT(CELL("address",'Raw Data'!H178),"\$([A-Z]+)\$[0-9]+"))</f>
        <v/>
      </c>
      <c r="I178" s="7" t="str">
        <f t="array" aca="1" ref="I178" ca="1">IFERROR(IF(OR('Raw Data'!I178="",LEN(TRIM('Raw Data'!I178))=0),"",IF(AND(LEN('Raw Data'!I178) &lt;= 50,LEN('Raw Data'!I178)&gt; 0),"",_xlfn.REGEXEXTRACT(CELL("address",'Raw Data'!I178),"\$([A-Z]+)\$[0-9]+"))),_xlfn.REGEXEXTRACT(CELL("address",'Raw Data'!I178),"\$([A-Z]+)\$[0-9]+"))</f>
        <v/>
      </c>
      <c r="J178" s="7" t="str">
        <f t="array" aca="1" ref="J178" ca="1">IFERROR(IF(OR('Raw Data'!J178="",LEN(TRIM('Raw Data'!J178))=0),"",IF(AND(ISNUMBER('Raw Data'!J178), IFERROR('Raw Data'!J178 = ROUND('Raw Data'!J178, 2),FALSE)),"",_xlfn.REGEXEXTRACT(CELL("address",J178), "\$([A-Z]+)\$[0-9]+"))),_xlfn.REGEXEXTRACT(CELL("address",J178), "\$([A-Z]+)\$[0-9]+"))</f>
        <v/>
      </c>
      <c r="K178" s="7" t="str">
        <f t="array" aca="1" ref="K178" ca="1">IFERROR(IF(OR('Raw Data'!K178="",LEN(TRIM('Raw Data'!K178))=0),"",IF(AND(ISNUMBER('Raw Data'!K178), IFERROR('Raw Data'!K178 = ROUND('Raw Data'!K178, 2),FALSE)),"",_xlfn.REGEXEXTRACT(CELL("address",K178), "\$([A-Z]+)\$[0-9]+"))),_xlfn.REGEXEXTRACT(CELL("address",K178), "\$([A-Z]+)\$[0-9]+"))</f>
        <v/>
      </c>
      <c r="L178" s="7" t="str">
        <f t="array" aca="1" ref="L178" ca="1">IFERROR(IF(OR('Raw Data'!L178="",LEN(TRIM('Raw Data'!L178))=0),"",IF(AND(ISNUMBER('Raw Data'!L178), IFERROR('Raw Data'!L178 = ROUND('Raw Data'!L178, 2),FALSE)),"",_xlfn.REGEXEXTRACT(CELL("address",L178), "\$([A-Z]+)\$[0-9]+"))),_xlfn.REGEXEXTRACT(CELL("address",L178), "\$([A-Z]+)\$[0-9]+"))</f>
        <v/>
      </c>
      <c r="M178" s="7" t="str">
        <f t="array" aca="1" ref="M178" ca="1">IFERROR(IF(OR('Raw Data'!M178="",LEN(TRIM('Raw Data'!M178))=0),"",IF(AND(ISNUMBER('Raw Data'!M178), IFERROR('Raw Data'!M178 = ROUND('Raw Data'!M178, 2),FALSE)),"",_xlfn.REGEXEXTRACT(CELL("address",M178), "\$([A-Z]+)\$[0-9]+"))),_xlfn.REGEXEXTRACT(CELL("address",M178), "\$([A-Z]+)\$[0-9]+"))</f>
        <v/>
      </c>
      <c r="N178" s="7" t="str">
        <f t="array" aca="1" ref="N178" ca="1">IFERROR(IF(OR('Raw Data'!N178="",LEN(TRIM('Raw Data'!N178))=0),"",IF(AND(ISNUMBER('Raw Data'!N178), IFERROR('Raw Data'!N178 = ROUND('Raw Data'!N178, 2),FALSE)),"",_xlfn.REGEXEXTRACT(CELL("address",N178), "\$([A-Z]+)\$[0-9]+"))),_xlfn.REGEXEXTRACT(CELL("address",N178), "\$([A-Z]+)\$[0-9]+"))</f>
        <v/>
      </c>
      <c r="O178" s="7" t="str">
        <f t="array" aca="1" ref="O178" ca="1">IFERROR(IF(OR('Raw Data'!O178="",LEN(TRIM('Raw Data'!O178))=0),"",IF(AND(ISNUMBER('Raw Data'!O178),'Raw Data'!O178&gt;=Configuration!$D$2),"",_xlfn.REGEXEXTRACT(CELL("address",'Raw Data'!O178),"\$([A-Z]+)\$[0-9]+"))),_xlfn.REGEXEXTRACT(CELL("address",O178), "\$([A-Z]+)\$[0-9]+"))</f>
        <v/>
      </c>
      <c r="P178" s="7" t="str">
        <f t="array" aca="1" ref="P178" ca="1">IFERROR(IF(OR('Raw Data'!P178="",LEN(TRIM('Raw Data'!P178))=0),"",IF(AND(ISNUMBER('Raw Data'!P178), IFERROR('Raw Data'!P178 = ROUND('Raw Data'!P178, 2),FALSE)),"",_xlfn.REGEXEXTRACT(CELL("address",P178), "\$([A-Z]+)\$[0-9]+"))),_xlfn.REGEXEXTRACT(CELL("address",P178), "\$([A-Z]+)\$[0-9]+"))</f>
        <v/>
      </c>
      <c r="Q178" s="7" t="str">
        <f t="array" aca="1" ref="Q178" ca="1">IFERROR(IF(OR('Raw Data'!Q178="",LEN(TRIM('Raw Data'!Q178))=0),"",IF(AND(ISNUMBER('Raw Data'!Q178), IFERROR('Raw Data'!Q178 = ROUND('Raw Data'!Q178, 2),FALSE)),"",_xlfn.REGEXEXTRACT(CELL("address",Q178), "\$([A-Z]+)\$[0-9]+"))),_xlfn.REGEXEXTRACT(CELL("address",Q178), "\$([A-Z]+)\$[0-9]+"))</f>
        <v/>
      </c>
      <c r="R178" s="7" t="str">
        <f t="array" aca="1" ref="R178" ca="1">IFERROR(IF(OR('Raw Data'!R178="",LEN(TRIM('Raw Data'!R178))=0),"",IF(AND(LEN('Raw Data'!R178) &lt;= 50,LEN('Raw Data'!R178)&gt; 0),"",_xlfn.REGEXEXTRACT(CELL("address",'Raw Data'!R178),"\$([A-Z]+)\$[0-9]+"))),_xlfn.REGEXEXTRACT(CELL("address",'Raw Data'!R178),"\$([A-Z]+)\$[0-9]+"))</f>
        <v/>
      </c>
      <c r="S178" s="7" t="str">
        <f t="array" aca="1" ref="S178" ca="1">IFERROR(IF(OR('Raw Data'!S178="",LEN(TRIM('Raw Data'!S178))=0),"",IF(AND(LEN('Raw Data'!S178) &lt;= 50,LEN('Raw Data'!S178)&gt; 0),"",_xlfn.REGEXEXTRACT(CELL("address",'Raw Data'!S178),"\$([A-Z]+)\$[0-9]+"))),_xlfn.REGEXEXTRACT(CELL("address",'Raw Data'!S178),"\$([A-Z]+)\$[0-9]+"))</f>
        <v/>
      </c>
      <c r="T178" s="7" t="str">
        <f t="array" aca="1" ref="T178" ca="1">IFERROR(IF(OR('Raw Data'!T178="",LEN(TRIM('Raw Data'!T178))=0),"",IF(AND(ISNUMBER('Raw Data'!T178), IFERROR('Raw Data'!T178 = ROUND('Raw Data'!T178, 2),FALSE)),"",_xlfn.REGEXEXTRACT(CELL("address",T178), "\$([A-Z]+)\$[0-9]+"))),_xlfn.REGEXEXTRACT(CELL("address",T178), "\$([A-Z]+)\$[0-9]+"))</f>
        <v/>
      </c>
      <c r="U178" s="7" t="str">
        <f t="array" aca="1" ref="U178" ca="1">IFERROR(IF(OR('Raw Data'!U178="",LEN(TRIM('Raw Data'!U178))=0),"",IF(AND(ISNUMBER('Raw Data'!U178), IFERROR('Raw Data'!U178 = ROUND('Raw Data'!U178, 2),FALSE)),"",_xlfn.REGEXEXTRACT(CELL("address",U178), "\$([A-Z]+)\$[0-9]+"))),_xlfn.REGEXEXTRACT(CELL("address",U178), "\$([A-Z]+)\$[0-9]+"))</f>
        <v/>
      </c>
      <c r="V178" s="7" t="str">
        <f t="array" aca="1" ref="V178" ca="1">IFERROR(IF(OR('Raw Data'!V178="",LEN(TRIM('Raw Data'!V178))=0),"",IF(AND(ISNUMBER('Raw Data'!V178), IFERROR('Raw Data'!V178 = ROUND('Raw Data'!V178, 2),FALSE)),"",_xlfn.REGEXEXTRACT(CELL("address",V178), "\$([A-Z]+)\$[0-9]+"))),_xlfn.REGEXEXTRACT(CELL("address",V178), "\$([A-Z]+)\$[0-9]+"))</f>
        <v/>
      </c>
      <c r="W178" s="7" t="str">
        <f t="array" aca="1" ref="W178" ca="1">IFERROR(IF(OR('Raw Data'!W178="",LEN(TRIM('Raw Data'!W178))=0),"",IF(AND(ISNUMBER('Raw Data'!W178), IFERROR('Raw Data'!W178 = ROUND('Raw Data'!W178, 2),FALSE)),"",_xlfn.REGEXEXTRACT(CELL("address",W178), "\$([A-Z]+)\$[0-9]+"))),_xlfn.REGEXEXTRACT(CELL("address",W178), "\$([A-Z]+)\$[0-9]+"))</f>
        <v/>
      </c>
      <c r="X178" s="7" t="str">
        <f t="array" aca="1" ref="X178" ca="1">IFERROR(IF(OR('Raw Data'!X178="",LEN(TRIM('Raw Data'!X178))=0),"",IF(AND(ISNUMBER('Raw Data'!X178), IFERROR('Raw Data'!X178 = ROUND('Raw Data'!X178, 2),FALSE)),"",_xlfn.REGEXEXTRACT(CELL("address",X178), "\$([A-Z]+)\$[0-9]+"))),_xlfn.REGEXEXTRACT(CELL("address",X178), "\$([A-Z]+)\$[0-9]+"))</f>
        <v/>
      </c>
      <c r="Y178" s="7" t="str">
        <f t="array" aca="1" ref="Y178" ca="1">IFERROR(IF(OR('Raw Data'!Y178="",LEN(TRIM('Raw Data'!Y178))=0),"",IF(AND(ISNUMBER('Raw Data'!Y178), IFERROR('Raw Data'!Y178 = ROUND('Raw Data'!Y178, 2),FALSE)),"",_xlfn.REGEXEXTRACT(CELL("address",Y178), "\$([A-Z]+)\$[0-9]+"))),_xlfn.REGEXEXTRACT(CELL("address",Y178), "\$([A-Z]+)\$[0-9]+"))</f>
        <v/>
      </c>
      <c r="Z178" s="7" t="str">
        <f t="array" aca="1" ref="Z178" ca="1">IFERROR(IF(OR('Raw Data'!Z178="",LEN(TRIM('Raw Data'!Z178))=0),"",IF(AND(ISNUMBER('Raw Data'!Z178), IFERROR('Raw Data'!Z178 = ROUND('Raw Data'!Z178, 2),FALSE)),"",_xlfn.REGEXEXTRACT(CELL("address",Z178), "\$([A-Z]+)\$[0-9]+"))),_xlfn.REGEXEXTRACT(CELL("address",Z178), "\$([A-Z]+)\$[0-9]+"))</f>
        <v/>
      </c>
      <c r="AA178" s="7" t="str">
        <f t="array" aca="1" ref="AA178" ca="1">IFERROR(IF(OR('Raw Data'!AA178="",LEN(TRIM('Raw Data'!AA178))=0),"",IF(AND(ISNUMBER('Raw Data'!AA178), IFERROR('Raw Data'!AA178 = ROUND('Raw Data'!AA178, 2),FALSE)),"",_xlfn.REGEXEXTRACT(CELL("address",AA178), "\$([A-Z]+)\$[0-9]+"))),_xlfn.REGEXEXTRACT(CELL("address",AA178), "\$([A-Z]+)\$[0-9]+"))</f>
        <v/>
      </c>
      <c r="AB178" s="7" t="str">
        <f t="array" aca="1" ref="AB178" ca="1">IFERROR(IF(OR('Raw Data'!AB178="",LEN(TRIM('Raw Data'!AB178))=0),"",IF(AND(ISNUMBER('Raw Data'!AB178), IFERROR('Raw Data'!AB178 = ROUND('Raw Data'!AB178, 2),FALSE)),"",_xlfn.REGEXEXTRACT(CELL("address",AB178), "\$([A-Z]+)\$[0-9]+"))),_xlfn.REGEXEXTRACT(CELL("address",AB178), "\$([A-Z]+)\$[0-9]+"))</f>
        <v/>
      </c>
      <c r="AC178" s="7" t="str">
        <f t="array" aca="1" ref="AC178" ca="1">IFERROR(IF(OR('Raw Data'!AC178="",LEN(TRIM('Raw Data'!AC178))=0),"",IF(AND(ISNUMBER('Raw Data'!AC178), IFERROR('Raw Data'!AC178 = ROUND('Raw Data'!AC178, 2),FALSE)),"",_xlfn.REGEXEXTRACT(CELL("address",AC178), "\$([A-Z]+)\$[0-9]+"))),_xlfn.REGEXEXTRACT(CELL("address",AC178), "\$([A-Z]+)\$[0-9]+"))</f>
        <v/>
      </c>
      <c r="AD178" s="7" t="str">
        <f t="array" aca="1" ref="AD178" ca="1">IFERROR(IF(OR('Raw Data'!AD178="",LEN(TRIM('Raw Data'!AD178))=0),"",IF(AND(ISNUMBER('Raw Data'!AD178), IFERROR('Raw Data'!AD178 = ROUND('Raw Data'!AD178, 2),FALSE)),"",_xlfn.REGEXEXTRACT(CELL("address",AD178), "\$([A-Z]+)\$[0-9]+"))),_xlfn.REGEXEXTRACT(CELL("address",AD178), "\$([A-Z]+)\$[0-9]+"))</f>
        <v/>
      </c>
      <c r="AE178" s="7" t="str">
        <f t="array" aca="1" ref="AE178" ca="1">IFERROR(IF(OR('Raw Data'!AE178="",LEN(TRIM('Raw Data'!AE178))=0),"",IF(AND(ISNUMBER('Raw Data'!AE178), IFERROR('Raw Data'!AE178 = ROUND('Raw Data'!AE178, 2),FALSE)),"",_xlfn.REGEXEXTRACT(CELL("address",AE178), "\$([A-Z]+)\$[0-9]+"))),_xlfn.REGEXEXTRACT(CELL("address",AE178), "\$([A-Z]+)\$[0-9]+"))</f>
        <v/>
      </c>
      <c r="AF178" s="7" t="str">
        <f t="array" aca="1" ref="AF178" ca="1">IFERROR(IF(OR('Raw Data'!AF178="",LEN(TRIM('Raw Data'!AF178))=0),"",IF(AND(ISNUMBER('Raw Data'!AF178), IFERROR('Raw Data'!AF178 = ROUND('Raw Data'!AF178, 2),FALSE)),"",_xlfn.REGEXEXTRACT(CELL("address",AF178), "\$([A-Z]+)\$[0-9]+"))),_xlfn.REGEXEXTRACT(CELL("address",AF178), "\$([A-Z]+)\$[0-9]+"))</f>
        <v/>
      </c>
      <c r="AG178" s="7" t="str">
        <f t="array" aca="1" ref="AG178" ca="1">IFERROR(IF(OR('Raw Data'!AG178="",LEN(TRIM('Raw Data'!AG178))=0),"",IF(AND(ISNUMBER('Raw Data'!AG178), IFERROR('Raw Data'!AG178 = ROUND('Raw Data'!AG178, 2),FALSE)),"",_xlfn.REGEXEXTRACT(CELL("address",AG178), "\$([A-Z]+)\$[0-9]+"))),_xlfn.REGEXEXTRACT(CELL("address",AG178), "\$([A-Z]+)\$[0-9]+"))</f>
        <v/>
      </c>
      <c r="AH178" s="7" t="str">
        <f t="array" aca="1" ref="AH178" ca="1">IFERROR(IF(OR('Raw Data'!AH178="",LEN(TRIM('Raw Data'!AH178))=0),"",IF(AND(ISNUMBER('Raw Data'!AH178), IFERROR('Raw Data'!AH178 = ROUND('Raw Data'!AH178, 2),FALSE)),"",_xlfn.REGEXEXTRACT(CELL("address",AH178), "\$([A-Z]+)\$[0-9]+"))),_xlfn.REGEXEXTRACT(CELL("address",AH178), "\$([A-Z]+)\$[0-9]+"))</f>
        <v/>
      </c>
      <c r="AI178" s="7" t="str">
        <f t="array" aca="1" ref="AI178" ca="1">IFERROR(IF(OR('Raw Data'!AI178="",LEN(TRIM('Raw Data'!AI178))=0),"",IF(AND(ISNUMBER('Raw Data'!AI178), IFERROR('Raw Data'!AI178 = ROUND('Raw Data'!AI178, 2),FALSE)),"",_xlfn.REGEXEXTRACT(CELL("address",AI178), "\$([A-Z]+)\$[0-9]+"))),_xlfn.REGEXEXTRACT(CELL("address",AI178), "\$([A-Z]+)\$[0-9]+"))</f>
        <v/>
      </c>
      <c r="AJ178" s="7" t="str">
        <f t="array" aca="1" ref="AJ178" ca="1">IFERROR(IF(OR('Raw Data'!AJ178="",LEN(TRIM('Raw Data'!AJ178))=0),"",IF(AND(ISNUMBER('Raw Data'!AJ178), IFERROR('Raw Data'!AJ178 = ROUND('Raw Data'!AJ178, 4),FALSE)),"",_xlfn.REGEXEXTRACT(CELL("address",AJ178), "\$([A-Z]+)\$[0-9]+"))),_xlfn.REGEXEXTRACT(CELL("address",AJ178), "\$([A-Z]+)\$[0-9]+"))</f>
        <v/>
      </c>
      <c r="AK178" s="7" t="str">
        <f t="array" aca="1" ref="AK178" ca="1">IFERROR(IF(OR('Raw Data'!AK178="",LEN(TRIM('Raw Data'!AK178))=0),"",IF(AND(ISNUMBER('Raw Data'!AK178), IFERROR('Raw Data'!AK178 = ROUND('Raw Data'!AK178, 2),FALSE)),"",_xlfn.REGEXEXTRACT(CELL("address",AK178), "\$([A-Z]+)\$[0-9]+"))),_xlfn.REGEXEXTRACT(CELL("address",AK178), "\$([A-Z]+)\$[0-9]+"))</f>
        <v/>
      </c>
      <c r="AL178" s="7" t="str">
        <f t="array" aca="1" ref="AL178" ca="1">IFERROR(IF(OR('Raw Data'!AL178="",LEN(TRIM('Raw Data'!AL178))=0),"",IF(AND(ISNUMBER('Raw Data'!AL178), IFERROR('Raw Data'!AL178 = ROUND('Raw Data'!AL178, 2),FALSE)),"",_xlfn.REGEXEXTRACT(CELL("address",AL178), "\$([A-Z]+)\$[0-9]+"))),_xlfn.REGEXEXTRACT(CELL("address",AL178), "\$([A-Z]+)\$[0-9]+"))</f>
        <v/>
      </c>
      <c r="AM178" s="7" t="str">
        <f t="array" aca="1" ref="AM178" ca="1">IFERROR(IF(OR('Raw Data'!AM178="",LEN(TRIM('Raw Data'!AM178))=0),"",IF(AND(ISNUMBER('Raw Data'!AM178), IFERROR('Raw Data'!AM178 = ROUND('Raw Data'!AM178, 2),FALSE)),"",_xlfn.REGEXEXTRACT(CELL("address",AM178), "\$([A-Z]+)\$[0-9]+"))),_xlfn.REGEXEXTRACT(CELL("address",AM178), "\$([A-Z]+)\$[0-9]+"))</f>
        <v/>
      </c>
      <c r="AN178" s="7" t="str">
        <f t="array" aca="1" ref="AN178" ca="1">IFERROR(IF(OR('Raw Data'!AN178="",LEN(TRIM('Raw Data'!AN178))=0),"",IF(AND(ISNUMBER('Raw Data'!AN178), IFERROR('Raw Data'!AN178 = ROUND('Raw Data'!AN178, 2),FALSE)),"",_xlfn.REGEXEXTRACT(CELL("address",AN178), "\$([A-Z]+)\$[0-9]+"))),_xlfn.REGEXEXTRACT(CELL("address",AN178), "\$([A-Z]+)\$[0-9]+"))</f>
        <v/>
      </c>
      <c r="AO178" s="7" t="str">
        <f t="array" aca="1" ref="AO178" ca="1">IFERROR(IF(OR('Raw Data'!AO178="",LEN(TRIM('Raw Data'!AO178))=0),"",IF(AND(ISNUMBER('Raw Data'!AO178), IFERROR('Raw Data'!AO178 = ROUND('Raw Data'!AO178, 2),FALSE)),"",_xlfn.REGEXEXTRACT(CELL("address",AO178), "\$([A-Z]+)\$[0-9]+"))),_xlfn.REGEXEXTRACT(CELL("address",AO178), "\$([A-Z]+)\$[0-9]+"))</f>
        <v/>
      </c>
      <c r="AP178" s="7" t="str">
        <f t="array" aca="1" ref="AP178" ca="1">IFERROR(IF(OR('Raw Data'!AP178="",LEN(TRIM('Raw Data'!AP178))=0),"",IF(AND(ISNUMBER('Raw Data'!AP178), IFERROR('Raw Data'!AP178 = ROUND('Raw Data'!AP178, 2),FALSE)),"",_xlfn.REGEXEXTRACT(CELL("address",AP178), "\$([A-Z]+)\$[0-9]+"))),_xlfn.REGEXEXTRACT(CELL("address",AP178), "\$([A-Z]+)\$[0-9]+"))</f>
        <v/>
      </c>
    </row>
    <row r="179" spans="2:42" x14ac:dyDescent="0.25">
      <c r="B179" s="7" t="str">
        <f t="array" aca="1" ref="B179" ca="1">IFERROR(IF(OR('Raw Data'!B179="",LEN(TRIM('Raw Data'!B179))=0),"",IF(AND(LEN('Raw Data'!B179) &lt;= 255,LEN('Raw Data'!B179)&gt; 0),"",_xlfn.REGEXEXTRACT(CELL("address",'Raw Data'!B179),"\$([A-Z]+)\$[0-9]+"))),_xlfn.REGEXEXTRACT(CELL("address",'Raw Data'!B179),"\$([A-Z]+)\$[0-9]+"))</f>
        <v/>
      </c>
      <c r="C179" s="7" t="str">
        <f t="array" aca="1" ref="C179" ca="1">IFERROR(IF(OR('Raw Data'!C179="",LEN(TRIM('Raw Data'!C179))=0),"",IF(AND(LEN('Raw Data'!C179) &lt;= 50,LEN('Raw Data'!C179)&gt; 0),"",_xlfn.REGEXEXTRACT(CELL("address",'Raw Data'!C179),"\$([A-Z]+)\$[0-9]+"))),_xlfn.REGEXEXTRACT(CELL("address",'Raw Data'!C179),"\$([A-Z]+)\$[0-9]+"))</f>
        <v/>
      </c>
      <c r="D179" s="7" t="str">
        <f t="array" aca="1" ref="D179" ca="1">IFERROR(IF(OR('Raw Data'!D179="",LEN(TRIM('Raw Data'!D179))=0),"",IF(AND(LEN('Raw Data'!D179) &lt;= 500,LEN('Raw Data'!D179)&gt; 0),"",_xlfn.REGEXEXTRACT(CELL("address",'Raw Data'!D179),"\$([A-Z]+)\$[0-9]+"))),_xlfn.REGEXEXTRACT(CELL("address",'Raw Data'!D179),"\$([A-Z]+)\$[0-9]+"))</f>
        <v/>
      </c>
      <c r="E179" s="7" t="str">
        <f t="array" aca="1" ref="E179" ca="1">IFERROR(IF(OR('Raw Data'!E179="",LEN(TRIM('Raw Data'!E179))=0),"",IF(AND(LEN('Raw Data'!E179) &lt;= 50,LEN('Raw Data'!E179)&gt; 0),"",_xlfn.REGEXEXTRACT(CELL("address",'Raw Data'!E179),"\$([A-Z]+)\$[0-9]+"))),_xlfn.REGEXEXTRACT(CELL("address",'Raw Data'!E179),"\$([A-Z]+)\$[0-9]+"))</f>
        <v/>
      </c>
      <c r="F179" s="7" t="str">
        <f t="array" aca="1" ref="F179" ca="1">IFERROR(IF(OR('Raw Data'!F179="",LEN(TRIM('Raw Data'!F179))=0),"",IF(AND(LEN('Raw Data'!F179) &lt;= 50,LEN('Raw Data'!F179)&gt; 0),"",_xlfn.REGEXEXTRACT(CELL("address",'Raw Data'!F179),"\$([A-Z]+)\$[0-9]+"))),_xlfn.REGEXEXTRACT(CELL("address",'Raw Data'!F179),"\$([A-Z]+)\$[0-9]+"))</f>
        <v/>
      </c>
      <c r="G179" s="7" t="str">
        <f t="array" aca="1" ref="G179" ca="1">IFERROR(IF(OR('Raw Data'!G179="",LEN(TRIM('Raw Data'!G179))=0),"",IF(AND(LEN('Raw Data'!G179) &lt;= 50,LEN('Raw Data'!G179)&gt; 0),"",_xlfn.REGEXEXTRACT(CELL("address",'Raw Data'!G179),"\$([A-Z]+)\$[0-9]+"))),_xlfn.REGEXEXTRACT(CELL("address",'Raw Data'!G179),"\$([A-Z]+)\$[0-9]+"))</f>
        <v/>
      </c>
      <c r="H179" s="7" t="str">
        <f t="array" aca="1" ref="H179" ca="1">IFERROR(IF(OR('Raw Data'!H179="",LEN(TRIM('Raw Data'!H179))=0),"",IF(AND(LEN('Raw Data'!H179) &lt;= 50,LEN('Raw Data'!H179)&gt; 0),"",_xlfn.REGEXEXTRACT(CELL("address",'Raw Data'!H179),"\$([A-Z]+)\$[0-9]+"))),_xlfn.REGEXEXTRACT(CELL("address",'Raw Data'!H179),"\$([A-Z]+)\$[0-9]+"))</f>
        <v/>
      </c>
      <c r="I179" s="7" t="str">
        <f t="array" aca="1" ref="I179" ca="1">IFERROR(IF(OR('Raw Data'!I179="",LEN(TRIM('Raw Data'!I179))=0),"",IF(AND(LEN('Raw Data'!I179) &lt;= 50,LEN('Raw Data'!I179)&gt; 0),"",_xlfn.REGEXEXTRACT(CELL("address",'Raw Data'!I179),"\$([A-Z]+)\$[0-9]+"))),_xlfn.REGEXEXTRACT(CELL("address",'Raw Data'!I179),"\$([A-Z]+)\$[0-9]+"))</f>
        <v/>
      </c>
      <c r="J179" s="7" t="str">
        <f t="array" aca="1" ref="J179" ca="1">IFERROR(IF(OR('Raw Data'!J179="",LEN(TRIM('Raw Data'!J179))=0),"",IF(AND(ISNUMBER('Raw Data'!J179), IFERROR('Raw Data'!J179 = ROUND('Raw Data'!J179, 2),FALSE)),"",_xlfn.REGEXEXTRACT(CELL("address",J179), "\$([A-Z]+)\$[0-9]+"))),_xlfn.REGEXEXTRACT(CELL("address",J179), "\$([A-Z]+)\$[0-9]+"))</f>
        <v/>
      </c>
      <c r="K179" s="7" t="str">
        <f t="array" aca="1" ref="K179" ca="1">IFERROR(IF(OR('Raw Data'!K179="",LEN(TRIM('Raw Data'!K179))=0),"",IF(AND(ISNUMBER('Raw Data'!K179), IFERROR('Raw Data'!K179 = ROUND('Raw Data'!K179, 2),FALSE)),"",_xlfn.REGEXEXTRACT(CELL("address",K179), "\$([A-Z]+)\$[0-9]+"))),_xlfn.REGEXEXTRACT(CELL("address",K179), "\$([A-Z]+)\$[0-9]+"))</f>
        <v/>
      </c>
      <c r="L179" s="7" t="str">
        <f t="array" aca="1" ref="L179" ca="1">IFERROR(IF(OR('Raw Data'!L179="",LEN(TRIM('Raw Data'!L179))=0),"",IF(AND(ISNUMBER('Raw Data'!L179), IFERROR('Raw Data'!L179 = ROUND('Raw Data'!L179, 2),FALSE)),"",_xlfn.REGEXEXTRACT(CELL("address",L179), "\$([A-Z]+)\$[0-9]+"))),_xlfn.REGEXEXTRACT(CELL("address",L179), "\$([A-Z]+)\$[0-9]+"))</f>
        <v/>
      </c>
      <c r="M179" s="7" t="str">
        <f t="array" aca="1" ref="M179" ca="1">IFERROR(IF(OR('Raw Data'!M179="",LEN(TRIM('Raw Data'!M179))=0),"",IF(AND(ISNUMBER('Raw Data'!M179), IFERROR('Raw Data'!M179 = ROUND('Raw Data'!M179, 2),FALSE)),"",_xlfn.REGEXEXTRACT(CELL("address",M179), "\$([A-Z]+)\$[0-9]+"))),_xlfn.REGEXEXTRACT(CELL("address",M179), "\$([A-Z]+)\$[0-9]+"))</f>
        <v/>
      </c>
      <c r="N179" s="7" t="str">
        <f t="array" aca="1" ref="N179" ca="1">IFERROR(IF(OR('Raw Data'!N179="",LEN(TRIM('Raw Data'!N179))=0),"",IF(AND(ISNUMBER('Raw Data'!N179), IFERROR('Raw Data'!N179 = ROUND('Raw Data'!N179, 2),FALSE)),"",_xlfn.REGEXEXTRACT(CELL("address",N179), "\$([A-Z]+)\$[0-9]+"))),_xlfn.REGEXEXTRACT(CELL("address",N179), "\$([A-Z]+)\$[0-9]+"))</f>
        <v/>
      </c>
      <c r="O179" s="7" t="str">
        <f t="array" aca="1" ref="O179" ca="1">IFERROR(IF(OR('Raw Data'!O179="",LEN(TRIM('Raw Data'!O179))=0),"",IF(AND(ISNUMBER('Raw Data'!O179),'Raw Data'!O179&gt;=Configuration!$D$2),"",_xlfn.REGEXEXTRACT(CELL("address",'Raw Data'!O179),"\$([A-Z]+)\$[0-9]+"))),_xlfn.REGEXEXTRACT(CELL("address",O179), "\$([A-Z]+)\$[0-9]+"))</f>
        <v/>
      </c>
      <c r="P179" s="7" t="str">
        <f t="array" aca="1" ref="P179" ca="1">IFERROR(IF(OR('Raw Data'!P179="",LEN(TRIM('Raw Data'!P179))=0),"",IF(AND(ISNUMBER('Raw Data'!P179), IFERROR('Raw Data'!P179 = ROUND('Raw Data'!P179, 2),FALSE)),"",_xlfn.REGEXEXTRACT(CELL("address",P179), "\$([A-Z]+)\$[0-9]+"))),_xlfn.REGEXEXTRACT(CELL("address",P179), "\$([A-Z]+)\$[0-9]+"))</f>
        <v/>
      </c>
      <c r="Q179" s="7" t="str">
        <f t="array" aca="1" ref="Q179" ca="1">IFERROR(IF(OR('Raw Data'!Q179="",LEN(TRIM('Raw Data'!Q179))=0),"",IF(AND(ISNUMBER('Raw Data'!Q179), IFERROR('Raw Data'!Q179 = ROUND('Raw Data'!Q179, 2),FALSE)),"",_xlfn.REGEXEXTRACT(CELL("address",Q179), "\$([A-Z]+)\$[0-9]+"))),_xlfn.REGEXEXTRACT(CELL("address",Q179), "\$([A-Z]+)\$[0-9]+"))</f>
        <v/>
      </c>
      <c r="R179" s="7" t="str">
        <f t="array" aca="1" ref="R179" ca="1">IFERROR(IF(OR('Raw Data'!R179="",LEN(TRIM('Raw Data'!R179))=0),"",IF(AND(LEN('Raw Data'!R179) &lt;= 50,LEN('Raw Data'!R179)&gt; 0),"",_xlfn.REGEXEXTRACT(CELL("address",'Raw Data'!R179),"\$([A-Z]+)\$[0-9]+"))),_xlfn.REGEXEXTRACT(CELL("address",'Raw Data'!R179),"\$([A-Z]+)\$[0-9]+"))</f>
        <v/>
      </c>
      <c r="S179" s="7" t="str">
        <f t="array" aca="1" ref="S179" ca="1">IFERROR(IF(OR('Raw Data'!S179="",LEN(TRIM('Raw Data'!S179))=0),"",IF(AND(LEN('Raw Data'!S179) &lt;= 50,LEN('Raw Data'!S179)&gt; 0),"",_xlfn.REGEXEXTRACT(CELL("address",'Raw Data'!S179),"\$([A-Z]+)\$[0-9]+"))),_xlfn.REGEXEXTRACT(CELL("address",'Raw Data'!S179),"\$([A-Z]+)\$[0-9]+"))</f>
        <v/>
      </c>
      <c r="T179" s="7" t="str">
        <f t="array" aca="1" ref="T179" ca="1">IFERROR(IF(OR('Raw Data'!T179="",LEN(TRIM('Raw Data'!T179))=0),"",IF(AND(ISNUMBER('Raw Data'!T179), IFERROR('Raw Data'!T179 = ROUND('Raw Data'!T179, 2),FALSE)),"",_xlfn.REGEXEXTRACT(CELL("address",T179), "\$([A-Z]+)\$[0-9]+"))),_xlfn.REGEXEXTRACT(CELL("address",T179), "\$([A-Z]+)\$[0-9]+"))</f>
        <v/>
      </c>
      <c r="U179" s="7" t="str">
        <f t="array" aca="1" ref="U179" ca="1">IFERROR(IF(OR('Raw Data'!U179="",LEN(TRIM('Raw Data'!U179))=0),"",IF(AND(ISNUMBER('Raw Data'!U179), IFERROR('Raw Data'!U179 = ROUND('Raw Data'!U179, 2),FALSE)),"",_xlfn.REGEXEXTRACT(CELL("address",U179), "\$([A-Z]+)\$[0-9]+"))),_xlfn.REGEXEXTRACT(CELL("address",U179), "\$([A-Z]+)\$[0-9]+"))</f>
        <v/>
      </c>
      <c r="V179" s="7" t="str">
        <f t="array" aca="1" ref="V179" ca="1">IFERROR(IF(OR('Raw Data'!V179="",LEN(TRIM('Raw Data'!V179))=0),"",IF(AND(ISNUMBER('Raw Data'!V179), IFERROR('Raw Data'!V179 = ROUND('Raw Data'!V179, 2),FALSE)),"",_xlfn.REGEXEXTRACT(CELL("address",V179), "\$([A-Z]+)\$[0-9]+"))),_xlfn.REGEXEXTRACT(CELL("address",V179), "\$([A-Z]+)\$[0-9]+"))</f>
        <v/>
      </c>
      <c r="W179" s="7" t="str">
        <f t="array" aca="1" ref="W179" ca="1">IFERROR(IF(OR('Raw Data'!W179="",LEN(TRIM('Raw Data'!W179))=0),"",IF(AND(ISNUMBER('Raw Data'!W179), IFERROR('Raw Data'!W179 = ROUND('Raw Data'!W179, 2),FALSE)),"",_xlfn.REGEXEXTRACT(CELL("address",W179), "\$([A-Z]+)\$[0-9]+"))),_xlfn.REGEXEXTRACT(CELL("address",W179), "\$([A-Z]+)\$[0-9]+"))</f>
        <v/>
      </c>
      <c r="X179" s="7" t="str">
        <f t="array" aca="1" ref="X179" ca="1">IFERROR(IF(OR('Raw Data'!X179="",LEN(TRIM('Raw Data'!X179))=0),"",IF(AND(ISNUMBER('Raw Data'!X179), IFERROR('Raw Data'!X179 = ROUND('Raw Data'!X179, 2),FALSE)),"",_xlfn.REGEXEXTRACT(CELL("address",X179), "\$([A-Z]+)\$[0-9]+"))),_xlfn.REGEXEXTRACT(CELL("address",X179), "\$([A-Z]+)\$[0-9]+"))</f>
        <v/>
      </c>
      <c r="Y179" s="7" t="str">
        <f t="array" aca="1" ref="Y179" ca="1">IFERROR(IF(OR('Raw Data'!Y179="",LEN(TRIM('Raw Data'!Y179))=0),"",IF(AND(ISNUMBER('Raw Data'!Y179), IFERROR('Raw Data'!Y179 = ROUND('Raw Data'!Y179, 2),FALSE)),"",_xlfn.REGEXEXTRACT(CELL("address",Y179), "\$([A-Z]+)\$[0-9]+"))),_xlfn.REGEXEXTRACT(CELL("address",Y179), "\$([A-Z]+)\$[0-9]+"))</f>
        <v/>
      </c>
      <c r="Z179" s="7" t="str">
        <f t="array" aca="1" ref="Z179" ca="1">IFERROR(IF(OR('Raw Data'!Z179="",LEN(TRIM('Raw Data'!Z179))=0),"",IF(AND(ISNUMBER('Raw Data'!Z179), IFERROR('Raw Data'!Z179 = ROUND('Raw Data'!Z179, 2),FALSE)),"",_xlfn.REGEXEXTRACT(CELL("address",Z179), "\$([A-Z]+)\$[0-9]+"))),_xlfn.REGEXEXTRACT(CELL("address",Z179), "\$([A-Z]+)\$[0-9]+"))</f>
        <v/>
      </c>
      <c r="AA179" s="7" t="str">
        <f t="array" aca="1" ref="AA179" ca="1">IFERROR(IF(OR('Raw Data'!AA179="",LEN(TRIM('Raw Data'!AA179))=0),"",IF(AND(ISNUMBER('Raw Data'!AA179), IFERROR('Raw Data'!AA179 = ROUND('Raw Data'!AA179, 2),FALSE)),"",_xlfn.REGEXEXTRACT(CELL("address",AA179), "\$([A-Z]+)\$[0-9]+"))),_xlfn.REGEXEXTRACT(CELL("address",AA179), "\$([A-Z]+)\$[0-9]+"))</f>
        <v/>
      </c>
      <c r="AB179" s="7" t="str">
        <f t="array" aca="1" ref="AB179" ca="1">IFERROR(IF(OR('Raw Data'!AB179="",LEN(TRIM('Raw Data'!AB179))=0),"",IF(AND(ISNUMBER('Raw Data'!AB179), IFERROR('Raw Data'!AB179 = ROUND('Raw Data'!AB179, 2),FALSE)),"",_xlfn.REGEXEXTRACT(CELL("address",AB179), "\$([A-Z]+)\$[0-9]+"))),_xlfn.REGEXEXTRACT(CELL("address",AB179), "\$([A-Z]+)\$[0-9]+"))</f>
        <v/>
      </c>
      <c r="AC179" s="7" t="str">
        <f t="array" aca="1" ref="AC179" ca="1">IFERROR(IF(OR('Raw Data'!AC179="",LEN(TRIM('Raw Data'!AC179))=0),"",IF(AND(ISNUMBER('Raw Data'!AC179), IFERROR('Raw Data'!AC179 = ROUND('Raw Data'!AC179, 2),FALSE)),"",_xlfn.REGEXEXTRACT(CELL("address",AC179), "\$([A-Z]+)\$[0-9]+"))),_xlfn.REGEXEXTRACT(CELL("address",AC179), "\$([A-Z]+)\$[0-9]+"))</f>
        <v/>
      </c>
      <c r="AD179" s="7" t="str">
        <f t="array" aca="1" ref="AD179" ca="1">IFERROR(IF(OR('Raw Data'!AD179="",LEN(TRIM('Raw Data'!AD179))=0),"",IF(AND(ISNUMBER('Raw Data'!AD179), IFERROR('Raw Data'!AD179 = ROUND('Raw Data'!AD179, 2),FALSE)),"",_xlfn.REGEXEXTRACT(CELL("address",AD179), "\$([A-Z]+)\$[0-9]+"))),_xlfn.REGEXEXTRACT(CELL("address",AD179), "\$([A-Z]+)\$[0-9]+"))</f>
        <v/>
      </c>
      <c r="AE179" s="7" t="str">
        <f t="array" aca="1" ref="AE179" ca="1">IFERROR(IF(OR('Raw Data'!AE179="",LEN(TRIM('Raw Data'!AE179))=0),"",IF(AND(ISNUMBER('Raw Data'!AE179), IFERROR('Raw Data'!AE179 = ROUND('Raw Data'!AE179, 2),FALSE)),"",_xlfn.REGEXEXTRACT(CELL("address",AE179), "\$([A-Z]+)\$[0-9]+"))),_xlfn.REGEXEXTRACT(CELL("address",AE179), "\$([A-Z]+)\$[0-9]+"))</f>
        <v/>
      </c>
      <c r="AF179" s="7" t="str">
        <f t="array" aca="1" ref="AF179" ca="1">IFERROR(IF(OR('Raw Data'!AF179="",LEN(TRIM('Raw Data'!AF179))=0),"",IF(AND(ISNUMBER('Raw Data'!AF179), IFERROR('Raw Data'!AF179 = ROUND('Raw Data'!AF179, 2),FALSE)),"",_xlfn.REGEXEXTRACT(CELL("address",AF179), "\$([A-Z]+)\$[0-9]+"))),_xlfn.REGEXEXTRACT(CELL("address",AF179), "\$([A-Z]+)\$[0-9]+"))</f>
        <v/>
      </c>
      <c r="AG179" s="7" t="str">
        <f t="array" aca="1" ref="AG179" ca="1">IFERROR(IF(OR('Raw Data'!AG179="",LEN(TRIM('Raw Data'!AG179))=0),"",IF(AND(ISNUMBER('Raw Data'!AG179), IFERROR('Raw Data'!AG179 = ROUND('Raw Data'!AG179, 2),FALSE)),"",_xlfn.REGEXEXTRACT(CELL("address",AG179), "\$([A-Z]+)\$[0-9]+"))),_xlfn.REGEXEXTRACT(CELL("address",AG179), "\$([A-Z]+)\$[0-9]+"))</f>
        <v/>
      </c>
      <c r="AH179" s="7" t="str">
        <f t="array" aca="1" ref="AH179" ca="1">IFERROR(IF(OR('Raw Data'!AH179="",LEN(TRIM('Raw Data'!AH179))=0),"",IF(AND(ISNUMBER('Raw Data'!AH179), IFERROR('Raw Data'!AH179 = ROUND('Raw Data'!AH179, 2),FALSE)),"",_xlfn.REGEXEXTRACT(CELL("address",AH179), "\$([A-Z]+)\$[0-9]+"))),_xlfn.REGEXEXTRACT(CELL("address",AH179), "\$([A-Z]+)\$[0-9]+"))</f>
        <v/>
      </c>
      <c r="AI179" s="7" t="str">
        <f t="array" aca="1" ref="AI179" ca="1">IFERROR(IF(OR('Raw Data'!AI179="",LEN(TRIM('Raw Data'!AI179))=0),"",IF(AND(ISNUMBER('Raw Data'!AI179), IFERROR('Raw Data'!AI179 = ROUND('Raw Data'!AI179, 2),FALSE)),"",_xlfn.REGEXEXTRACT(CELL("address",AI179), "\$([A-Z]+)\$[0-9]+"))),_xlfn.REGEXEXTRACT(CELL("address",AI179), "\$([A-Z]+)\$[0-9]+"))</f>
        <v/>
      </c>
      <c r="AJ179" s="7" t="str">
        <f t="array" aca="1" ref="AJ179" ca="1">IFERROR(IF(OR('Raw Data'!AJ179="",LEN(TRIM('Raw Data'!AJ179))=0),"",IF(AND(ISNUMBER('Raw Data'!AJ179), IFERROR('Raw Data'!AJ179 = ROUND('Raw Data'!AJ179, 4),FALSE)),"",_xlfn.REGEXEXTRACT(CELL("address",AJ179), "\$([A-Z]+)\$[0-9]+"))),_xlfn.REGEXEXTRACT(CELL("address",AJ179), "\$([A-Z]+)\$[0-9]+"))</f>
        <v/>
      </c>
      <c r="AK179" s="7" t="str">
        <f t="array" aca="1" ref="AK179" ca="1">IFERROR(IF(OR('Raw Data'!AK179="",LEN(TRIM('Raw Data'!AK179))=0),"",IF(AND(ISNUMBER('Raw Data'!AK179), IFERROR('Raw Data'!AK179 = ROUND('Raw Data'!AK179, 2),FALSE)),"",_xlfn.REGEXEXTRACT(CELL("address",AK179), "\$([A-Z]+)\$[0-9]+"))),_xlfn.REGEXEXTRACT(CELL("address",AK179), "\$([A-Z]+)\$[0-9]+"))</f>
        <v/>
      </c>
      <c r="AL179" s="7" t="str">
        <f t="array" aca="1" ref="AL179" ca="1">IFERROR(IF(OR('Raw Data'!AL179="",LEN(TRIM('Raw Data'!AL179))=0),"",IF(AND(ISNUMBER('Raw Data'!AL179), IFERROR('Raw Data'!AL179 = ROUND('Raw Data'!AL179, 2),FALSE)),"",_xlfn.REGEXEXTRACT(CELL("address",AL179), "\$([A-Z]+)\$[0-9]+"))),_xlfn.REGEXEXTRACT(CELL("address",AL179), "\$([A-Z]+)\$[0-9]+"))</f>
        <v/>
      </c>
      <c r="AM179" s="7" t="str">
        <f t="array" aca="1" ref="AM179" ca="1">IFERROR(IF(OR('Raw Data'!AM179="",LEN(TRIM('Raw Data'!AM179))=0),"",IF(AND(ISNUMBER('Raw Data'!AM179), IFERROR('Raw Data'!AM179 = ROUND('Raw Data'!AM179, 2),FALSE)),"",_xlfn.REGEXEXTRACT(CELL("address",AM179), "\$([A-Z]+)\$[0-9]+"))),_xlfn.REGEXEXTRACT(CELL("address",AM179), "\$([A-Z]+)\$[0-9]+"))</f>
        <v/>
      </c>
      <c r="AN179" s="7" t="str">
        <f t="array" aca="1" ref="AN179" ca="1">IFERROR(IF(OR('Raw Data'!AN179="",LEN(TRIM('Raw Data'!AN179))=0),"",IF(AND(ISNUMBER('Raw Data'!AN179), IFERROR('Raw Data'!AN179 = ROUND('Raw Data'!AN179, 2),FALSE)),"",_xlfn.REGEXEXTRACT(CELL("address",AN179), "\$([A-Z]+)\$[0-9]+"))),_xlfn.REGEXEXTRACT(CELL("address",AN179), "\$([A-Z]+)\$[0-9]+"))</f>
        <v/>
      </c>
      <c r="AO179" s="7" t="str">
        <f t="array" aca="1" ref="AO179" ca="1">IFERROR(IF(OR('Raw Data'!AO179="",LEN(TRIM('Raw Data'!AO179))=0),"",IF(AND(ISNUMBER('Raw Data'!AO179), IFERROR('Raw Data'!AO179 = ROUND('Raw Data'!AO179, 2),FALSE)),"",_xlfn.REGEXEXTRACT(CELL("address",AO179), "\$([A-Z]+)\$[0-9]+"))),_xlfn.REGEXEXTRACT(CELL("address",AO179), "\$([A-Z]+)\$[0-9]+"))</f>
        <v/>
      </c>
      <c r="AP179" s="7" t="str">
        <f t="array" aca="1" ref="AP179" ca="1">IFERROR(IF(OR('Raw Data'!AP179="",LEN(TRIM('Raw Data'!AP179))=0),"",IF(AND(ISNUMBER('Raw Data'!AP179), IFERROR('Raw Data'!AP179 = ROUND('Raw Data'!AP179, 2),FALSE)),"",_xlfn.REGEXEXTRACT(CELL("address",AP179), "\$([A-Z]+)\$[0-9]+"))),_xlfn.REGEXEXTRACT(CELL("address",AP179), "\$([A-Z]+)\$[0-9]+"))</f>
        <v/>
      </c>
    </row>
    <row r="180" spans="2:42" x14ac:dyDescent="0.25">
      <c r="B180" s="7" t="str">
        <f t="array" aca="1" ref="B180" ca="1">IFERROR(IF(OR('Raw Data'!B180="",LEN(TRIM('Raw Data'!B180))=0),"",IF(AND(LEN('Raw Data'!B180) &lt;= 255,LEN('Raw Data'!B180)&gt; 0),"",_xlfn.REGEXEXTRACT(CELL("address",'Raw Data'!B180),"\$([A-Z]+)\$[0-9]+"))),_xlfn.REGEXEXTRACT(CELL("address",'Raw Data'!B180),"\$([A-Z]+)\$[0-9]+"))</f>
        <v/>
      </c>
      <c r="C180" s="7" t="str">
        <f t="array" aca="1" ref="C180" ca="1">IFERROR(IF(OR('Raw Data'!C180="",LEN(TRIM('Raw Data'!C180))=0),"",IF(AND(LEN('Raw Data'!C180) &lt;= 50,LEN('Raw Data'!C180)&gt; 0),"",_xlfn.REGEXEXTRACT(CELL("address",'Raw Data'!C180),"\$([A-Z]+)\$[0-9]+"))),_xlfn.REGEXEXTRACT(CELL("address",'Raw Data'!C180),"\$([A-Z]+)\$[0-9]+"))</f>
        <v/>
      </c>
      <c r="D180" s="7" t="str">
        <f t="array" aca="1" ref="D180" ca="1">IFERROR(IF(OR('Raw Data'!D180="",LEN(TRIM('Raw Data'!D180))=0),"",IF(AND(LEN('Raw Data'!D180) &lt;= 500,LEN('Raw Data'!D180)&gt; 0),"",_xlfn.REGEXEXTRACT(CELL("address",'Raw Data'!D180),"\$([A-Z]+)\$[0-9]+"))),_xlfn.REGEXEXTRACT(CELL("address",'Raw Data'!D180),"\$([A-Z]+)\$[0-9]+"))</f>
        <v/>
      </c>
      <c r="E180" s="7" t="str">
        <f t="array" aca="1" ref="E180" ca="1">IFERROR(IF(OR('Raw Data'!E180="",LEN(TRIM('Raw Data'!E180))=0),"",IF(AND(LEN('Raw Data'!E180) &lt;= 50,LEN('Raw Data'!E180)&gt; 0),"",_xlfn.REGEXEXTRACT(CELL("address",'Raw Data'!E180),"\$([A-Z]+)\$[0-9]+"))),_xlfn.REGEXEXTRACT(CELL("address",'Raw Data'!E180),"\$([A-Z]+)\$[0-9]+"))</f>
        <v/>
      </c>
      <c r="F180" s="7" t="str">
        <f t="array" aca="1" ref="F180" ca="1">IFERROR(IF(OR('Raw Data'!F180="",LEN(TRIM('Raw Data'!F180))=0),"",IF(AND(LEN('Raw Data'!F180) &lt;= 50,LEN('Raw Data'!F180)&gt; 0),"",_xlfn.REGEXEXTRACT(CELL("address",'Raw Data'!F180),"\$([A-Z]+)\$[0-9]+"))),_xlfn.REGEXEXTRACT(CELL("address",'Raw Data'!F180),"\$([A-Z]+)\$[0-9]+"))</f>
        <v/>
      </c>
      <c r="G180" s="7" t="str">
        <f t="array" aca="1" ref="G180" ca="1">IFERROR(IF(OR('Raw Data'!G180="",LEN(TRIM('Raw Data'!G180))=0),"",IF(AND(LEN('Raw Data'!G180) &lt;= 50,LEN('Raw Data'!G180)&gt; 0),"",_xlfn.REGEXEXTRACT(CELL("address",'Raw Data'!G180),"\$([A-Z]+)\$[0-9]+"))),_xlfn.REGEXEXTRACT(CELL("address",'Raw Data'!G180),"\$([A-Z]+)\$[0-9]+"))</f>
        <v/>
      </c>
      <c r="H180" s="7" t="str">
        <f t="array" aca="1" ref="H180" ca="1">IFERROR(IF(OR('Raw Data'!H180="",LEN(TRIM('Raw Data'!H180))=0),"",IF(AND(LEN('Raw Data'!H180) &lt;= 50,LEN('Raw Data'!H180)&gt; 0),"",_xlfn.REGEXEXTRACT(CELL("address",'Raw Data'!H180),"\$([A-Z]+)\$[0-9]+"))),_xlfn.REGEXEXTRACT(CELL("address",'Raw Data'!H180),"\$([A-Z]+)\$[0-9]+"))</f>
        <v/>
      </c>
      <c r="I180" s="7" t="str">
        <f t="array" aca="1" ref="I180" ca="1">IFERROR(IF(OR('Raw Data'!I180="",LEN(TRIM('Raw Data'!I180))=0),"",IF(AND(LEN('Raw Data'!I180) &lt;= 50,LEN('Raw Data'!I180)&gt; 0),"",_xlfn.REGEXEXTRACT(CELL("address",'Raw Data'!I180),"\$([A-Z]+)\$[0-9]+"))),_xlfn.REGEXEXTRACT(CELL("address",'Raw Data'!I180),"\$([A-Z]+)\$[0-9]+"))</f>
        <v/>
      </c>
      <c r="J180" s="7" t="str">
        <f t="array" aca="1" ref="J180" ca="1">IFERROR(IF(OR('Raw Data'!J180="",LEN(TRIM('Raw Data'!J180))=0),"",IF(AND(ISNUMBER('Raw Data'!J180), IFERROR('Raw Data'!J180 = ROUND('Raw Data'!J180, 2),FALSE)),"",_xlfn.REGEXEXTRACT(CELL("address",J180), "\$([A-Z]+)\$[0-9]+"))),_xlfn.REGEXEXTRACT(CELL("address",J180), "\$([A-Z]+)\$[0-9]+"))</f>
        <v/>
      </c>
      <c r="K180" s="7" t="str">
        <f t="array" aca="1" ref="K180" ca="1">IFERROR(IF(OR('Raw Data'!K180="",LEN(TRIM('Raw Data'!K180))=0),"",IF(AND(ISNUMBER('Raw Data'!K180), IFERROR('Raw Data'!K180 = ROUND('Raw Data'!K180, 2),FALSE)),"",_xlfn.REGEXEXTRACT(CELL("address",K180), "\$([A-Z]+)\$[0-9]+"))),_xlfn.REGEXEXTRACT(CELL("address",K180), "\$([A-Z]+)\$[0-9]+"))</f>
        <v/>
      </c>
      <c r="L180" s="7" t="str">
        <f t="array" aca="1" ref="L180" ca="1">IFERROR(IF(OR('Raw Data'!L180="",LEN(TRIM('Raw Data'!L180))=0),"",IF(AND(ISNUMBER('Raw Data'!L180), IFERROR('Raw Data'!L180 = ROUND('Raw Data'!L180, 2),FALSE)),"",_xlfn.REGEXEXTRACT(CELL("address",L180), "\$([A-Z]+)\$[0-9]+"))),_xlfn.REGEXEXTRACT(CELL("address",L180), "\$([A-Z]+)\$[0-9]+"))</f>
        <v/>
      </c>
      <c r="M180" s="7" t="str">
        <f t="array" aca="1" ref="M180" ca="1">IFERROR(IF(OR('Raw Data'!M180="",LEN(TRIM('Raw Data'!M180))=0),"",IF(AND(ISNUMBER('Raw Data'!M180), IFERROR('Raw Data'!M180 = ROUND('Raw Data'!M180, 2),FALSE)),"",_xlfn.REGEXEXTRACT(CELL("address",M180), "\$([A-Z]+)\$[0-9]+"))),_xlfn.REGEXEXTRACT(CELL("address",M180), "\$([A-Z]+)\$[0-9]+"))</f>
        <v/>
      </c>
      <c r="N180" s="7" t="str">
        <f t="array" aca="1" ref="N180" ca="1">IFERROR(IF(OR('Raw Data'!N180="",LEN(TRIM('Raw Data'!N180))=0),"",IF(AND(ISNUMBER('Raw Data'!N180), IFERROR('Raw Data'!N180 = ROUND('Raw Data'!N180, 2),FALSE)),"",_xlfn.REGEXEXTRACT(CELL("address",N180), "\$([A-Z]+)\$[0-9]+"))),_xlfn.REGEXEXTRACT(CELL("address",N180), "\$([A-Z]+)\$[0-9]+"))</f>
        <v/>
      </c>
      <c r="O180" s="7" t="str">
        <f t="array" aca="1" ref="O180" ca="1">IFERROR(IF(OR('Raw Data'!O180="",LEN(TRIM('Raw Data'!O180))=0),"",IF(AND(ISNUMBER('Raw Data'!O180),'Raw Data'!O180&gt;=Configuration!$D$2),"",_xlfn.REGEXEXTRACT(CELL("address",'Raw Data'!O180),"\$([A-Z]+)\$[0-9]+"))),_xlfn.REGEXEXTRACT(CELL("address",O180), "\$([A-Z]+)\$[0-9]+"))</f>
        <v/>
      </c>
      <c r="P180" s="7" t="str">
        <f t="array" aca="1" ref="P180" ca="1">IFERROR(IF(OR('Raw Data'!P180="",LEN(TRIM('Raw Data'!P180))=0),"",IF(AND(ISNUMBER('Raw Data'!P180), IFERROR('Raw Data'!P180 = ROUND('Raw Data'!P180, 2),FALSE)),"",_xlfn.REGEXEXTRACT(CELL("address",P180), "\$([A-Z]+)\$[0-9]+"))),_xlfn.REGEXEXTRACT(CELL("address",P180), "\$([A-Z]+)\$[0-9]+"))</f>
        <v/>
      </c>
      <c r="Q180" s="7" t="str">
        <f t="array" aca="1" ref="Q180" ca="1">IFERROR(IF(OR('Raw Data'!Q180="",LEN(TRIM('Raw Data'!Q180))=0),"",IF(AND(ISNUMBER('Raw Data'!Q180), IFERROR('Raw Data'!Q180 = ROUND('Raw Data'!Q180, 2),FALSE)),"",_xlfn.REGEXEXTRACT(CELL("address",Q180), "\$([A-Z]+)\$[0-9]+"))),_xlfn.REGEXEXTRACT(CELL("address",Q180), "\$([A-Z]+)\$[0-9]+"))</f>
        <v/>
      </c>
      <c r="R180" s="7" t="str">
        <f t="array" aca="1" ref="R180" ca="1">IFERROR(IF(OR('Raw Data'!R180="",LEN(TRIM('Raw Data'!R180))=0),"",IF(AND(LEN('Raw Data'!R180) &lt;= 50,LEN('Raw Data'!R180)&gt; 0),"",_xlfn.REGEXEXTRACT(CELL("address",'Raw Data'!R180),"\$([A-Z]+)\$[0-9]+"))),_xlfn.REGEXEXTRACT(CELL("address",'Raw Data'!R180),"\$([A-Z]+)\$[0-9]+"))</f>
        <v/>
      </c>
      <c r="S180" s="7" t="str">
        <f t="array" aca="1" ref="S180" ca="1">IFERROR(IF(OR('Raw Data'!S180="",LEN(TRIM('Raw Data'!S180))=0),"",IF(AND(LEN('Raw Data'!S180) &lt;= 50,LEN('Raw Data'!S180)&gt; 0),"",_xlfn.REGEXEXTRACT(CELL("address",'Raw Data'!S180),"\$([A-Z]+)\$[0-9]+"))),_xlfn.REGEXEXTRACT(CELL("address",'Raw Data'!S180),"\$([A-Z]+)\$[0-9]+"))</f>
        <v/>
      </c>
      <c r="T180" s="7" t="str">
        <f t="array" aca="1" ref="T180" ca="1">IFERROR(IF(OR('Raw Data'!T180="",LEN(TRIM('Raw Data'!T180))=0),"",IF(AND(ISNUMBER('Raw Data'!T180), IFERROR('Raw Data'!T180 = ROUND('Raw Data'!T180, 2),FALSE)),"",_xlfn.REGEXEXTRACT(CELL("address",T180), "\$([A-Z]+)\$[0-9]+"))),_xlfn.REGEXEXTRACT(CELL("address",T180), "\$([A-Z]+)\$[0-9]+"))</f>
        <v/>
      </c>
      <c r="U180" s="7" t="str">
        <f t="array" aca="1" ref="U180" ca="1">IFERROR(IF(OR('Raw Data'!U180="",LEN(TRIM('Raw Data'!U180))=0),"",IF(AND(ISNUMBER('Raw Data'!U180), IFERROR('Raw Data'!U180 = ROUND('Raw Data'!U180, 2),FALSE)),"",_xlfn.REGEXEXTRACT(CELL("address",U180), "\$([A-Z]+)\$[0-9]+"))),_xlfn.REGEXEXTRACT(CELL("address",U180), "\$([A-Z]+)\$[0-9]+"))</f>
        <v/>
      </c>
      <c r="V180" s="7" t="str">
        <f t="array" aca="1" ref="V180" ca="1">IFERROR(IF(OR('Raw Data'!V180="",LEN(TRIM('Raw Data'!V180))=0),"",IF(AND(ISNUMBER('Raw Data'!V180), IFERROR('Raw Data'!V180 = ROUND('Raw Data'!V180, 2),FALSE)),"",_xlfn.REGEXEXTRACT(CELL("address",V180), "\$([A-Z]+)\$[0-9]+"))),_xlfn.REGEXEXTRACT(CELL("address",V180), "\$([A-Z]+)\$[0-9]+"))</f>
        <v/>
      </c>
      <c r="W180" s="7" t="str">
        <f t="array" aca="1" ref="W180" ca="1">IFERROR(IF(OR('Raw Data'!W180="",LEN(TRIM('Raw Data'!W180))=0),"",IF(AND(ISNUMBER('Raw Data'!W180), IFERROR('Raw Data'!W180 = ROUND('Raw Data'!W180, 2),FALSE)),"",_xlfn.REGEXEXTRACT(CELL("address",W180), "\$([A-Z]+)\$[0-9]+"))),_xlfn.REGEXEXTRACT(CELL("address",W180), "\$([A-Z]+)\$[0-9]+"))</f>
        <v/>
      </c>
      <c r="X180" s="7" t="str">
        <f t="array" aca="1" ref="X180" ca="1">IFERROR(IF(OR('Raw Data'!X180="",LEN(TRIM('Raw Data'!X180))=0),"",IF(AND(ISNUMBER('Raw Data'!X180), IFERROR('Raw Data'!X180 = ROUND('Raw Data'!X180, 2),FALSE)),"",_xlfn.REGEXEXTRACT(CELL("address",X180), "\$([A-Z]+)\$[0-9]+"))),_xlfn.REGEXEXTRACT(CELL("address",X180), "\$([A-Z]+)\$[0-9]+"))</f>
        <v/>
      </c>
      <c r="Y180" s="7" t="str">
        <f t="array" aca="1" ref="Y180" ca="1">IFERROR(IF(OR('Raw Data'!Y180="",LEN(TRIM('Raw Data'!Y180))=0),"",IF(AND(ISNUMBER('Raw Data'!Y180), IFERROR('Raw Data'!Y180 = ROUND('Raw Data'!Y180, 2),FALSE)),"",_xlfn.REGEXEXTRACT(CELL("address",Y180), "\$([A-Z]+)\$[0-9]+"))),_xlfn.REGEXEXTRACT(CELL("address",Y180), "\$([A-Z]+)\$[0-9]+"))</f>
        <v/>
      </c>
      <c r="Z180" s="7" t="str">
        <f t="array" aca="1" ref="Z180" ca="1">IFERROR(IF(OR('Raw Data'!Z180="",LEN(TRIM('Raw Data'!Z180))=0),"",IF(AND(ISNUMBER('Raw Data'!Z180), IFERROR('Raw Data'!Z180 = ROUND('Raw Data'!Z180, 2),FALSE)),"",_xlfn.REGEXEXTRACT(CELL("address",Z180), "\$([A-Z]+)\$[0-9]+"))),_xlfn.REGEXEXTRACT(CELL("address",Z180), "\$([A-Z]+)\$[0-9]+"))</f>
        <v/>
      </c>
      <c r="AA180" s="7" t="str">
        <f t="array" aca="1" ref="AA180" ca="1">IFERROR(IF(OR('Raw Data'!AA180="",LEN(TRIM('Raw Data'!AA180))=0),"",IF(AND(ISNUMBER('Raw Data'!AA180), IFERROR('Raw Data'!AA180 = ROUND('Raw Data'!AA180, 2),FALSE)),"",_xlfn.REGEXEXTRACT(CELL("address",AA180), "\$([A-Z]+)\$[0-9]+"))),_xlfn.REGEXEXTRACT(CELL("address",AA180), "\$([A-Z]+)\$[0-9]+"))</f>
        <v/>
      </c>
      <c r="AB180" s="7" t="str">
        <f t="array" aca="1" ref="AB180" ca="1">IFERROR(IF(OR('Raw Data'!AB180="",LEN(TRIM('Raw Data'!AB180))=0),"",IF(AND(ISNUMBER('Raw Data'!AB180), IFERROR('Raw Data'!AB180 = ROUND('Raw Data'!AB180, 2),FALSE)),"",_xlfn.REGEXEXTRACT(CELL("address",AB180), "\$([A-Z]+)\$[0-9]+"))),_xlfn.REGEXEXTRACT(CELL("address",AB180), "\$([A-Z]+)\$[0-9]+"))</f>
        <v/>
      </c>
      <c r="AC180" s="7" t="str">
        <f t="array" aca="1" ref="AC180" ca="1">IFERROR(IF(OR('Raw Data'!AC180="",LEN(TRIM('Raw Data'!AC180))=0),"",IF(AND(ISNUMBER('Raw Data'!AC180), IFERROR('Raw Data'!AC180 = ROUND('Raw Data'!AC180, 2),FALSE)),"",_xlfn.REGEXEXTRACT(CELL("address",AC180), "\$([A-Z]+)\$[0-9]+"))),_xlfn.REGEXEXTRACT(CELL("address",AC180), "\$([A-Z]+)\$[0-9]+"))</f>
        <v/>
      </c>
      <c r="AD180" s="7" t="str">
        <f t="array" aca="1" ref="AD180" ca="1">IFERROR(IF(OR('Raw Data'!AD180="",LEN(TRIM('Raw Data'!AD180))=0),"",IF(AND(ISNUMBER('Raw Data'!AD180), IFERROR('Raw Data'!AD180 = ROUND('Raw Data'!AD180, 2),FALSE)),"",_xlfn.REGEXEXTRACT(CELL("address",AD180), "\$([A-Z]+)\$[0-9]+"))),_xlfn.REGEXEXTRACT(CELL("address",AD180), "\$([A-Z]+)\$[0-9]+"))</f>
        <v/>
      </c>
      <c r="AE180" s="7" t="str">
        <f t="array" aca="1" ref="AE180" ca="1">IFERROR(IF(OR('Raw Data'!AE180="",LEN(TRIM('Raw Data'!AE180))=0),"",IF(AND(ISNUMBER('Raw Data'!AE180), IFERROR('Raw Data'!AE180 = ROUND('Raw Data'!AE180, 2),FALSE)),"",_xlfn.REGEXEXTRACT(CELL("address",AE180), "\$([A-Z]+)\$[0-9]+"))),_xlfn.REGEXEXTRACT(CELL("address",AE180), "\$([A-Z]+)\$[0-9]+"))</f>
        <v/>
      </c>
      <c r="AF180" s="7" t="str">
        <f t="array" aca="1" ref="AF180" ca="1">IFERROR(IF(OR('Raw Data'!AF180="",LEN(TRIM('Raw Data'!AF180))=0),"",IF(AND(ISNUMBER('Raw Data'!AF180), IFERROR('Raw Data'!AF180 = ROUND('Raw Data'!AF180, 2),FALSE)),"",_xlfn.REGEXEXTRACT(CELL("address",AF180), "\$([A-Z]+)\$[0-9]+"))),_xlfn.REGEXEXTRACT(CELL("address",AF180), "\$([A-Z]+)\$[0-9]+"))</f>
        <v/>
      </c>
      <c r="AG180" s="7" t="str">
        <f t="array" aca="1" ref="AG180" ca="1">IFERROR(IF(OR('Raw Data'!AG180="",LEN(TRIM('Raw Data'!AG180))=0),"",IF(AND(ISNUMBER('Raw Data'!AG180), IFERROR('Raw Data'!AG180 = ROUND('Raw Data'!AG180, 2),FALSE)),"",_xlfn.REGEXEXTRACT(CELL("address",AG180), "\$([A-Z]+)\$[0-9]+"))),_xlfn.REGEXEXTRACT(CELL("address",AG180), "\$([A-Z]+)\$[0-9]+"))</f>
        <v/>
      </c>
      <c r="AH180" s="7" t="str">
        <f t="array" aca="1" ref="AH180" ca="1">IFERROR(IF(OR('Raw Data'!AH180="",LEN(TRIM('Raw Data'!AH180))=0),"",IF(AND(ISNUMBER('Raw Data'!AH180), IFERROR('Raw Data'!AH180 = ROUND('Raw Data'!AH180, 2),FALSE)),"",_xlfn.REGEXEXTRACT(CELL("address",AH180), "\$([A-Z]+)\$[0-9]+"))),_xlfn.REGEXEXTRACT(CELL("address",AH180), "\$([A-Z]+)\$[0-9]+"))</f>
        <v/>
      </c>
      <c r="AI180" s="7" t="str">
        <f t="array" aca="1" ref="AI180" ca="1">IFERROR(IF(OR('Raw Data'!AI180="",LEN(TRIM('Raw Data'!AI180))=0),"",IF(AND(ISNUMBER('Raw Data'!AI180), IFERROR('Raw Data'!AI180 = ROUND('Raw Data'!AI180, 2),FALSE)),"",_xlfn.REGEXEXTRACT(CELL("address",AI180), "\$([A-Z]+)\$[0-9]+"))),_xlfn.REGEXEXTRACT(CELL("address",AI180), "\$([A-Z]+)\$[0-9]+"))</f>
        <v/>
      </c>
      <c r="AJ180" s="7" t="str">
        <f t="array" aca="1" ref="AJ180" ca="1">IFERROR(IF(OR('Raw Data'!AJ180="",LEN(TRIM('Raw Data'!AJ180))=0),"",IF(AND(ISNUMBER('Raw Data'!AJ180), IFERROR('Raw Data'!AJ180 = ROUND('Raw Data'!AJ180, 4),FALSE)),"",_xlfn.REGEXEXTRACT(CELL("address",AJ180), "\$([A-Z]+)\$[0-9]+"))),_xlfn.REGEXEXTRACT(CELL("address",AJ180), "\$([A-Z]+)\$[0-9]+"))</f>
        <v/>
      </c>
      <c r="AK180" s="7" t="str">
        <f t="array" aca="1" ref="AK180" ca="1">IFERROR(IF(OR('Raw Data'!AK180="",LEN(TRIM('Raw Data'!AK180))=0),"",IF(AND(ISNUMBER('Raw Data'!AK180), IFERROR('Raw Data'!AK180 = ROUND('Raw Data'!AK180, 2),FALSE)),"",_xlfn.REGEXEXTRACT(CELL("address",AK180), "\$([A-Z]+)\$[0-9]+"))),_xlfn.REGEXEXTRACT(CELL("address",AK180), "\$([A-Z]+)\$[0-9]+"))</f>
        <v/>
      </c>
      <c r="AL180" s="7" t="str">
        <f t="array" aca="1" ref="AL180" ca="1">IFERROR(IF(OR('Raw Data'!AL180="",LEN(TRIM('Raw Data'!AL180))=0),"",IF(AND(ISNUMBER('Raw Data'!AL180), IFERROR('Raw Data'!AL180 = ROUND('Raw Data'!AL180, 2),FALSE)),"",_xlfn.REGEXEXTRACT(CELL("address",AL180), "\$([A-Z]+)\$[0-9]+"))),_xlfn.REGEXEXTRACT(CELL("address",AL180), "\$([A-Z]+)\$[0-9]+"))</f>
        <v/>
      </c>
      <c r="AM180" s="7" t="str">
        <f t="array" aca="1" ref="AM180" ca="1">IFERROR(IF(OR('Raw Data'!AM180="",LEN(TRIM('Raw Data'!AM180))=0),"",IF(AND(ISNUMBER('Raw Data'!AM180), IFERROR('Raw Data'!AM180 = ROUND('Raw Data'!AM180, 2),FALSE)),"",_xlfn.REGEXEXTRACT(CELL("address",AM180), "\$([A-Z]+)\$[0-9]+"))),_xlfn.REGEXEXTRACT(CELL("address",AM180), "\$([A-Z]+)\$[0-9]+"))</f>
        <v/>
      </c>
      <c r="AN180" s="7" t="str">
        <f t="array" aca="1" ref="AN180" ca="1">IFERROR(IF(OR('Raw Data'!AN180="",LEN(TRIM('Raw Data'!AN180))=0),"",IF(AND(ISNUMBER('Raw Data'!AN180), IFERROR('Raw Data'!AN180 = ROUND('Raw Data'!AN180, 2),FALSE)),"",_xlfn.REGEXEXTRACT(CELL("address",AN180), "\$([A-Z]+)\$[0-9]+"))),_xlfn.REGEXEXTRACT(CELL("address",AN180), "\$([A-Z]+)\$[0-9]+"))</f>
        <v/>
      </c>
      <c r="AO180" s="7" t="str">
        <f t="array" aca="1" ref="AO180" ca="1">IFERROR(IF(OR('Raw Data'!AO180="",LEN(TRIM('Raw Data'!AO180))=0),"",IF(AND(ISNUMBER('Raw Data'!AO180), IFERROR('Raw Data'!AO180 = ROUND('Raw Data'!AO180, 2),FALSE)),"",_xlfn.REGEXEXTRACT(CELL("address",AO180), "\$([A-Z]+)\$[0-9]+"))),_xlfn.REGEXEXTRACT(CELL("address",AO180), "\$([A-Z]+)\$[0-9]+"))</f>
        <v/>
      </c>
      <c r="AP180" s="7" t="str">
        <f t="array" aca="1" ref="AP180" ca="1">IFERROR(IF(OR('Raw Data'!AP180="",LEN(TRIM('Raw Data'!AP180))=0),"",IF(AND(ISNUMBER('Raw Data'!AP180), IFERROR('Raw Data'!AP180 = ROUND('Raw Data'!AP180, 2),FALSE)),"",_xlfn.REGEXEXTRACT(CELL("address",AP180), "\$([A-Z]+)\$[0-9]+"))),_xlfn.REGEXEXTRACT(CELL("address",AP180), "\$([A-Z]+)\$[0-9]+"))</f>
        <v/>
      </c>
    </row>
    <row r="181" spans="2:42" x14ac:dyDescent="0.25">
      <c r="B181" s="7" t="str">
        <f t="array" aca="1" ref="B181" ca="1">IFERROR(IF(OR('Raw Data'!B181="",LEN(TRIM('Raw Data'!B181))=0),"",IF(AND(LEN('Raw Data'!B181) &lt;= 255,LEN('Raw Data'!B181)&gt; 0),"",_xlfn.REGEXEXTRACT(CELL("address",'Raw Data'!B181),"\$([A-Z]+)\$[0-9]+"))),_xlfn.REGEXEXTRACT(CELL("address",'Raw Data'!B181),"\$([A-Z]+)\$[0-9]+"))</f>
        <v/>
      </c>
      <c r="C181" s="7" t="str">
        <f t="array" aca="1" ref="C181" ca="1">IFERROR(IF(OR('Raw Data'!C181="",LEN(TRIM('Raw Data'!C181))=0),"",IF(AND(LEN('Raw Data'!C181) &lt;= 50,LEN('Raw Data'!C181)&gt; 0),"",_xlfn.REGEXEXTRACT(CELL("address",'Raw Data'!C181),"\$([A-Z]+)\$[0-9]+"))),_xlfn.REGEXEXTRACT(CELL("address",'Raw Data'!C181),"\$([A-Z]+)\$[0-9]+"))</f>
        <v/>
      </c>
      <c r="D181" s="7" t="str">
        <f t="array" aca="1" ref="D181" ca="1">IFERROR(IF(OR('Raw Data'!D181="",LEN(TRIM('Raw Data'!D181))=0),"",IF(AND(LEN('Raw Data'!D181) &lt;= 500,LEN('Raw Data'!D181)&gt; 0),"",_xlfn.REGEXEXTRACT(CELL("address",'Raw Data'!D181),"\$([A-Z]+)\$[0-9]+"))),_xlfn.REGEXEXTRACT(CELL("address",'Raw Data'!D181),"\$([A-Z]+)\$[0-9]+"))</f>
        <v/>
      </c>
      <c r="E181" s="7" t="str">
        <f t="array" aca="1" ref="E181" ca="1">IFERROR(IF(OR('Raw Data'!E181="",LEN(TRIM('Raw Data'!E181))=0),"",IF(AND(LEN('Raw Data'!E181) &lt;= 50,LEN('Raw Data'!E181)&gt; 0),"",_xlfn.REGEXEXTRACT(CELL("address",'Raw Data'!E181),"\$([A-Z]+)\$[0-9]+"))),_xlfn.REGEXEXTRACT(CELL("address",'Raw Data'!E181),"\$([A-Z]+)\$[0-9]+"))</f>
        <v/>
      </c>
      <c r="F181" s="7" t="str">
        <f t="array" aca="1" ref="F181" ca="1">IFERROR(IF(OR('Raw Data'!F181="",LEN(TRIM('Raw Data'!F181))=0),"",IF(AND(LEN('Raw Data'!F181) &lt;= 50,LEN('Raw Data'!F181)&gt; 0),"",_xlfn.REGEXEXTRACT(CELL("address",'Raw Data'!F181),"\$([A-Z]+)\$[0-9]+"))),_xlfn.REGEXEXTRACT(CELL("address",'Raw Data'!F181),"\$([A-Z]+)\$[0-9]+"))</f>
        <v/>
      </c>
      <c r="G181" s="7" t="str">
        <f t="array" aca="1" ref="G181" ca="1">IFERROR(IF(OR('Raw Data'!G181="",LEN(TRIM('Raw Data'!G181))=0),"",IF(AND(LEN('Raw Data'!G181) &lt;= 50,LEN('Raw Data'!G181)&gt; 0),"",_xlfn.REGEXEXTRACT(CELL("address",'Raw Data'!G181),"\$([A-Z]+)\$[0-9]+"))),_xlfn.REGEXEXTRACT(CELL("address",'Raw Data'!G181),"\$([A-Z]+)\$[0-9]+"))</f>
        <v/>
      </c>
      <c r="H181" s="7" t="str">
        <f t="array" aca="1" ref="H181" ca="1">IFERROR(IF(OR('Raw Data'!H181="",LEN(TRIM('Raw Data'!H181))=0),"",IF(AND(LEN('Raw Data'!H181) &lt;= 50,LEN('Raw Data'!H181)&gt; 0),"",_xlfn.REGEXEXTRACT(CELL("address",'Raw Data'!H181),"\$([A-Z]+)\$[0-9]+"))),_xlfn.REGEXEXTRACT(CELL("address",'Raw Data'!H181),"\$([A-Z]+)\$[0-9]+"))</f>
        <v/>
      </c>
      <c r="I181" s="7" t="str">
        <f t="array" aca="1" ref="I181" ca="1">IFERROR(IF(OR('Raw Data'!I181="",LEN(TRIM('Raw Data'!I181))=0),"",IF(AND(LEN('Raw Data'!I181) &lt;= 50,LEN('Raw Data'!I181)&gt; 0),"",_xlfn.REGEXEXTRACT(CELL("address",'Raw Data'!I181),"\$([A-Z]+)\$[0-9]+"))),_xlfn.REGEXEXTRACT(CELL("address",'Raw Data'!I181),"\$([A-Z]+)\$[0-9]+"))</f>
        <v/>
      </c>
      <c r="J181" s="7" t="str">
        <f t="array" aca="1" ref="J181" ca="1">IFERROR(IF(OR('Raw Data'!J181="",LEN(TRIM('Raw Data'!J181))=0),"",IF(AND(ISNUMBER('Raw Data'!J181), IFERROR('Raw Data'!J181 = ROUND('Raw Data'!J181, 2),FALSE)),"",_xlfn.REGEXEXTRACT(CELL("address",J181), "\$([A-Z]+)\$[0-9]+"))),_xlfn.REGEXEXTRACT(CELL("address",J181), "\$([A-Z]+)\$[0-9]+"))</f>
        <v/>
      </c>
      <c r="K181" s="7" t="str">
        <f t="array" aca="1" ref="K181" ca="1">IFERROR(IF(OR('Raw Data'!K181="",LEN(TRIM('Raw Data'!K181))=0),"",IF(AND(ISNUMBER('Raw Data'!K181), IFERROR('Raw Data'!K181 = ROUND('Raw Data'!K181, 2),FALSE)),"",_xlfn.REGEXEXTRACT(CELL("address",K181), "\$([A-Z]+)\$[0-9]+"))),_xlfn.REGEXEXTRACT(CELL("address",K181), "\$([A-Z]+)\$[0-9]+"))</f>
        <v/>
      </c>
      <c r="L181" s="7" t="str">
        <f t="array" aca="1" ref="L181" ca="1">IFERROR(IF(OR('Raw Data'!L181="",LEN(TRIM('Raw Data'!L181))=0),"",IF(AND(ISNUMBER('Raw Data'!L181), IFERROR('Raw Data'!L181 = ROUND('Raw Data'!L181, 2),FALSE)),"",_xlfn.REGEXEXTRACT(CELL("address",L181), "\$([A-Z]+)\$[0-9]+"))),_xlfn.REGEXEXTRACT(CELL("address",L181), "\$([A-Z]+)\$[0-9]+"))</f>
        <v/>
      </c>
      <c r="M181" s="7" t="str">
        <f t="array" aca="1" ref="M181" ca="1">IFERROR(IF(OR('Raw Data'!M181="",LEN(TRIM('Raw Data'!M181))=0),"",IF(AND(ISNUMBER('Raw Data'!M181), IFERROR('Raw Data'!M181 = ROUND('Raw Data'!M181, 2),FALSE)),"",_xlfn.REGEXEXTRACT(CELL("address",M181), "\$([A-Z]+)\$[0-9]+"))),_xlfn.REGEXEXTRACT(CELL("address",M181), "\$([A-Z]+)\$[0-9]+"))</f>
        <v/>
      </c>
      <c r="N181" s="7" t="str">
        <f t="array" aca="1" ref="N181" ca="1">IFERROR(IF(OR('Raw Data'!N181="",LEN(TRIM('Raw Data'!N181))=0),"",IF(AND(ISNUMBER('Raw Data'!N181), IFERROR('Raw Data'!N181 = ROUND('Raw Data'!N181, 2),FALSE)),"",_xlfn.REGEXEXTRACT(CELL("address",N181), "\$([A-Z]+)\$[0-9]+"))),_xlfn.REGEXEXTRACT(CELL("address",N181), "\$([A-Z]+)\$[0-9]+"))</f>
        <v/>
      </c>
      <c r="O181" s="7" t="str">
        <f t="array" aca="1" ref="O181" ca="1">IFERROR(IF(OR('Raw Data'!O181="",LEN(TRIM('Raw Data'!O181))=0),"",IF(AND(ISNUMBER('Raw Data'!O181),'Raw Data'!O181&gt;=Configuration!$D$2),"",_xlfn.REGEXEXTRACT(CELL("address",'Raw Data'!O181),"\$([A-Z]+)\$[0-9]+"))),_xlfn.REGEXEXTRACT(CELL("address",O181), "\$([A-Z]+)\$[0-9]+"))</f>
        <v/>
      </c>
      <c r="P181" s="7" t="str">
        <f t="array" aca="1" ref="P181" ca="1">IFERROR(IF(OR('Raw Data'!P181="",LEN(TRIM('Raw Data'!P181))=0),"",IF(AND(ISNUMBER('Raw Data'!P181), IFERROR('Raw Data'!P181 = ROUND('Raw Data'!P181, 2),FALSE)),"",_xlfn.REGEXEXTRACT(CELL("address",P181), "\$([A-Z]+)\$[0-9]+"))),_xlfn.REGEXEXTRACT(CELL("address",P181), "\$([A-Z]+)\$[0-9]+"))</f>
        <v/>
      </c>
      <c r="Q181" s="7" t="str">
        <f t="array" aca="1" ref="Q181" ca="1">IFERROR(IF(OR('Raw Data'!Q181="",LEN(TRIM('Raw Data'!Q181))=0),"",IF(AND(ISNUMBER('Raw Data'!Q181), IFERROR('Raw Data'!Q181 = ROUND('Raw Data'!Q181, 2),FALSE)),"",_xlfn.REGEXEXTRACT(CELL("address",Q181), "\$([A-Z]+)\$[0-9]+"))),_xlfn.REGEXEXTRACT(CELL("address",Q181), "\$([A-Z]+)\$[0-9]+"))</f>
        <v/>
      </c>
      <c r="R181" s="7" t="str">
        <f t="array" aca="1" ref="R181" ca="1">IFERROR(IF(OR('Raw Data'!R181="",LEN(TRIM('Raw Data'!R181))=0),"",IF(AND(LEN('Raw Data'!R181) &lt;= 50,LEN('Raw Data'!R181)&gt; 0),"",_xlfn.REGEXEXTRACT(CELL("address",'Raw Data'!R181),"\$([A-Z]+)\$[0-9]+"))),_xlfn.REGEXEXTRACT(CELL("address",'Raw Data'!R181),"\$([A-Z]+)\$[0-9]+"))</f>
        <v/>
      </c>
      <c r="S181" s="7" t="str">
        <f t="array" aca="1" ref="S181" ca="1">IFERROR(IF(OR('Raw Data'!S181="",LEN(TRIM('Raw Data'!S181))=0),"",IF(AND(LEN('Raw Data'!S181) &lt;= 50,LEN('Raw Data'!S181)&gt; 0),"",_xlfn.REGEXEXTRACT(CELL("address",'Raw Data'!S181),"\$([A-Z]+)\$[0-9]+"))),_xlfn.REGEXEXTRACT(CELL("address",'Raw Data'!S181),"\$([A-Z]+)\$[0-9]+"))</f>
        <v/>
      </c>
      <c r="T181" s="7" t="str">
        <f t="array" aca="1" ref="T181" ca="1">IFERROR(IF(OR('Raw Data'!T181="",LEN(TRIM('Raw Data'!T181))=0),"",IF(AND(ISNUMBER('Raw Data'!T181), IFERROR('Raw Data'!T181 = ROUND('Raw Data'!T181, 2),FALSE)),"",_xlfn.REGEXEXTRACT(CELL("address",T181), "\$([A-Z]+)\$[0-9]+"))),_xlfn.REGEXEXTRACT(CELL("address",T181), "\$([A-Z]+)\$[0-9]+"))</f>
        <v/>
      </c>
      <c r="U181" s="7" t="str">
        <f t="array" aca="1" ref="U181" ca="1">IFERROR(IF(OR('Raw Data'!U181="",LEN(TRIM('Raw Data'!U181))=0),"",IF(AND(ISNUMBER('Raw Data'!U181), IFERROR('Raw Data'!U181 = ROUND('Raw Data'!U181, 2),FALSE)),"",_xlfn.REGEXEXTRACT(CELL("address",U181), "\$([A-Z]+)\$[0-9]+"))),_xlfn.REGEXEXTRACT(CELL("address",U181), "\$([A-Z]+)\$[0-9]+"))</f>
        <v/>
      </c>
      <c r="V181" s="7" t="str">
        <f t="array" aca="1" ref="V181" ca="1">IFERROR(IF(OR('Raw Data'!V181="",LEN(TRIM('Raw Data'!V181))=0),"",IF(AND(ISNUMBER('Raw Data'!V181), IFERROR('Raw Data'!V181 = ROUND('Raw Data'!V181, 2),FALSE)),"",_xlfn.REGEXEXTRACT(CELL("address",V181), "\$([A-Z]+)\$[0-9]+"))),_xlfn.REGEXEXTRACT(CELL("address",V181), "\$([A-Z]+)\$[0-9]+"))</f>
        <v/>
      </c>
      <c r="W181" s="7" t="str">
        <f t="array" aca="1" ref="W181" ca="1">IFERROR(IF(OR('Raw Data'!W181="",LEN(TRIM('Raw Data'!W181))=0),"",IF(AND(ISNUMBER('Raw Data'!W181), IFERROR('Raw Data'!W181 = ROUND('Raw Data'!W181, 2),FALSE)),"",_xlfn.REGEXEXTRACT(CELL("address",W181), "\$([A-Z]+)\$[0-9]+"))),_xlfn.REGEXEXTRACT(CELL("address",W181), "\$([A-Z]+)\$[0-9]+"))</f>
        <v/>
      </c>
      <c r="X181" s="7" t="str">
        <f t="array" aca="1" ref="X181" ca="1">IFERROR(IF(OR('Raw Data'!X181="",LEN(TRIM('Raw Data'!X181))=0),"",IF(AND(ISNUMBER('Raw Data'!X181), IFERROR('Raw Data'!X181 = ROUND('Raw Data'!X181, 2),FALSE)),"",_xlfn.REGEXEXTRACT(CELL("address",X181), "\$([A-Z]+)\$[0-9]+"))),_xlfn.REGEXEXTRACT(CELL("address",X181), "\$([A-Z]+)\$[0-9]+"))</f>
        <v/>
      </c>
      <c r="Y181" s="7" t="str">
        <f t="array" aca="1" ref="Y181" ca="1">IFERROR(IF(OR('Raw Data'!Y181="",LEN(TRIM('Raw Data'!Y181))=0),"",IF(AND(ISNUMBER('Raw Data'!Y181), IFERROR('Raw Data'!Y181 = ROUND('Raw Data'!Y181, 2),FALSE)),"",_xlfn.REGEXEXTRACT(CELL("address",Y181), "\$([A-Z]+)\$[0-9]+"))),_xlfn.REGEXEXTRACT(CELL("address",Y181), "\$([A-Z]+)\$[0-9]+"))</f>
        <v/>
      </c>
      <c r="Z181" s="7" t="str">
        <f t="array" aca="1" ref="Z181" ca="1">IFERROR(IF(OR('Raw Data'!Z181="",LEN(TRIM('Raw Data'!Z181))=0),"",IF(AND(ISNUMBER('Raw Data'!Z181), IFERROR('Raw Data'!Z181 = ROUND('Raw Data'!Z181, 2),FALSE)),"",_xlfn.REGEXEXTRACT(CELL("address",Z181), "\$([A-Z]+)\$[0-9]+"))),_xlfn.REGEXEXTRACT(CELL("address",Z181), "\$([A-Z]+)\$[0-9]+"))</f>
        <v/>
      </c>
      <c r="AA181" s="7" t="str">
        <f t="array" aca="1" ref="AA181" ca="1">IFERROR(IF(OR('Raw Data'!AA181="",LEN(TRIM('Raw Data'!AA181))=0),"",IF(AND(ISNUMBER('Raw Data'!AA181), IFERROR('Raw Data'!AA181 = ROUND('Raw Data'!AA181, 2),FALSE)),"",_xlfn.REGEXEXTRACT(CELL("address",AA181), "\$([A-Z]+)\$[0-9]+"))),_xlfn.REGEXEXTRACT(CELL("address",AA181), "\$([A-Z]+)\$[0-9]+"))</f>
        <v/>
      </c>
      <c r="AB181" s="7" t="str">
        <f t="array" aca="1" ref="AB181" ca="1">IFERROR(IF(OR('Raw Data'!AB181="",LEN(TRIM('Raw Data'!AB181))=0),"",IF(AND(ISNUMBER('Raw Data'!AB181), IFERROR('Raw Data'!AB181 = ROUND('Raw Data'!AB181, 2),FALSE)),"",_xlfn.REGEXEXTRACT(CELL("address",AB181), "\$([A-Z]+)\$[0-9]+"))),_xlfn.REGEXEXTRACT(CELL("address",AB181), "\$([A-Z]+)\$[0-9]+"))</f>
        <v/>
      </c>
      <c r="AC181" s="7" t="str">
        <f t="array" aca="1" ref="AC181" ca="1">IFERROR(IF(OR('Raw Data'!AC181="",LEN(TRIM('Raw Data'!AC181))=0),"",IF(AND(ISNUMBER('Raw Data'!AC181), IFERROR('Raw Data'!AC181 = ROUND('Raw Data'!AC181, 2),FALSE)),"",_xlfn.REGEXEXTRACT(CELL("address",AC181), "\$([A-Z]+)\$[0-9]+"))),_xlfn.REGEXEXTRACT(CELL("address",AC181), "\$([A-Z]+)\$[0-9]+"))</f>
        <v/>
      </c>
      <c r="AD181" s="7" t="str">
        <f t="array" aca="1" ref="AD181" ca="1">IFERROR(IF(OR('Raw Data'!AD181="",LEN(TRIM('Raw Data'!AD181))=0),"",IF(AND(ISNUMBER('Raw Data'!AD181), IFERROR('Raw Data'!AD181 = ROUND('Raw Data'!AD181, 2),FALSE)),"",_xlfn.REGEXEXTRACT(CELL("address",AD181), "\$([A-Z]+)\$[0-9]+"))),_xlfn.REGEXEXTRACT(CELL("address",AD181), "\$([A-Z]+)\$[0-9]+"))</f>
        <v/>
      </c>
      <c r="AE181" s="7" t="str">
        <f t="array" aca="1" ref="AE181" ca="1">IFERROR(IF(OR('Raw Data'!AE181="",LEN(TRIM('Raw Data'!AE181))=0),"",IF(AND(ISNUMBER('Raw Data'!AE181), IFERROR('Raw Data'!AE181 = ROUND('Raw Data'!AE181, 2),FALSE)),"",_xlfn.REGEXEXTRACT(CELL("address",AE181), "\$([A-Z]+)\$[0-9]+"))),_xlfn.REGEXEXTRACT(CELL("address",AE181), "\$([A-Z]+)\$[0-9]+"))</f>
        <v/>
      </c>
      <c r="AF181" s="7" t="str">
        <f t="array" aca="1" ref="AF181" ca="1">IFERROR(IF(OR('Raw Data'!AF181="",LEN(TRIM('Raw Data'!AF181))=0),"",IF(AND(ISNUMBER('Raw Data'!AF181), IFERROR('Raw Data'!AF181 = ROUND('Raw Data'!AF181, 2),FALSE)),"",_xlfn.REGEXEXTRACT(CELL("address",AF181), "\$([A-Z]+)\$[0-9]+"))),_xlfn.REGEXEXTRACT(CELL("address",AF181), "\$([A-Z]+)\$[0-9]+"))</f>
        <v/>
      </c>
      <c r="AG181" s="7" t="str">
        <f t="array" aca="1" ref="AG181" ca="1">IFERROR(IF(OR('Raw Data'!AG181="",LEN(TRIM('Raw Data'!AG181))=0),"",IF(AND(ISNUMBER('Raw Data'!AG181), IFERROR('Raw Data'!AG181 = ROUND('Raw Data'!AG181, 2),FALSE)),"",_xlfn.REGEXEXTRACT(CELL("address",AG181), "\$([A-Z]+)\$[0-9]+"))),_xlfn.REGEXEXTRACT(CELL("address",AG181), "\$([A-Z]+)\$[0-9]+"))</f>
        <v/>
      </c>
      <c r="AH181" s="7" t="str">
        <f t="array" aca="1" ref="AH181" ca="1">IFERROR(IF(OR('Raw Data'!AH181="",LEN(TRIM('Raw Data'!AH181))=0),"",IF(AND(ISNUMBER('Raw Data'!AH181), IFERROR('Raw Data'!AH181 = ROUND('Raw Data'!AH181, 2),FALSE)),"",_xlfn.REGEXEXTRACT(CELL("address",AH181), "\$([A-Z]+)\$[0-9]+"))),_xlfn.REGEXEXTRACT(CELL("address",AH181), "\$([A-Z]+)\$[0-9]+"))</f>
        <v/>
      </c>
      <c r="AI181" s="7" t="str">
        <f t="array" aca="1" ref="AI181" ca="1">IFERROR(IF(OR('Raw Data'!AI181="",LEN(TRIM('Raw Data'!AI181))=0),"",IF(AND(ISNUMBER('Raw Data'!AI181), IFERROR('Raw Data'!AI181 = ROUND('Raw Data'!AI181, 2),FALSE)),"",_xlfn.REGEXEXTRACT(CELL("address",AI181), "\$([A-Z]+)\$[0-9]+"))),_xlfn.REGEXEXTRACT(CELL("address",AI181), "\$([A-Z]+)\$[0-9]+"))</f>
        <v/>
      </c>
      <c r="AJ181" s="7" t="str">
        <f t="array" aca="1" ref="AJ181" ca="1">IFERROR(IF(OR('Raw Data'!AJ181="",LEN(TRIM('Raw Data'!AJ181))=0),"",IF(AND(ISNUMBER('Raw Data'!AJ181), IFERROR('Raw Data'!AJ181 = ROUND('Raw Data'!AJ181, 4),FALSE)),"",_xlfn.REGEXEXTRACT(CELL("address",AJ181), "\$([A-Z]+)\$[0-9]+"))),_xlfn.REGEXEXTRACT(CELL("address",AJ181), "\$([A-Z]+)\$[0-9]+"))</f>
        <v/>
      </c>
      <c r="AK181" s="7" t="str">
        <f t="array" aca="1" ref="AK181" ca="1">IFERROR(IF(OR('Raw Data'!AK181="",LEN(TRIM('Raw Data'!AK181))=0),"",IF(AND(ISNUMBER('Raw Data'!AK181), IFERROR('Raw Data'!AK181 = ROUND('Raw Data'!AK181, 2),FALSE)),"",_xlfn.REGEXEXTRACT(CELL("address",AK181), "\$([A-Z]+)\$[0-9]+"))),_xlfn.REGEXEXTRACT(CELL("address",AK181), "\$([A-Z]+)\$[0-9]+"))</f>
        <v/>
      </c>
      <c r="AL181" s="7" t="str">
        <f t="array" aca="1" ref="AL181" ca="1">IFERROR(IF(OR('Raw Data'!AL181="",LEN(TRIM('Raw Data'!AL181))=0),"",IF(AND(ISNUMBER('Raw Data'!AL181), IFERROR('Raw Data'!AL181 = ROUND('Raw Data'!AL181, 2),FALSE)),"",_xlfn.REGEXEXTRACT(CELL("address",AL181), "\$([A-Z]+)\$[0-9]+"))),_xlfn.REGEXEXTRACT(CELL("address",AL181), "\$([A-Z]+)\$[0-9]+"))</f>
        <v/>
      </c>
      <c r="AM181" s="7" t="str">
        <f t="array" aca="1" ref="AM181" ca="1">IFERROR(IF(OR('Raw Data'!AM181="",LEN(TRIM('Raw Data'!AM181))=0),"",IF(AND(ISNUMBER('Raw Data'!AM181), IFERROR('Raw Data'!AM181 = ROUND('Raw Data'!AM181, 2),FALSE)),"",_xlfn.REGEXEXTRACT(CELL("address",AM181), "\$([A-Z]+)\$[0-9]+"))),_xlfn.REGEXEXTRACT(CELL("address",AM181), "\$([A-Z]+)\$[0-9]+"))</f>
        <v/>
      </c>
      <c r="AN181" s="7" t="str">
        <f t="array" aca="1" ref="AN181" ca="1">IFERROR(IF(OR('Raw Data'!AN181="",LEN(TRIM('Raw Data'!AN181))=0),"",IF(AND(ISNUMBER('Raw Data'!AN181), IFERROR('Raw Data'!AN181 = ROUND('Raw Data'!AN181, 2),FALSE)),"",_xlfn.REGEXEXTRACT(CELL("address",AN181), "\$([A-Z]+)\$[0-9]+"))),_xlfn.REGEXEXTRACT(CELL("address",AN181), "\$([A-Z]+)\$[0-9]+"))</f>
        <v/>
      </c>
      <c r="AO181" s="7" t="str">
        <f t="array" aca="1" ref="AO181" ca="1">IFERROR(IF(OR('Raw Data'!AO181="",LEN(TRIM('Raw Data'!AO181))=0),"",IF(AND(ISNUMBER('Raw Data'!AO181), IFERROR('Raw Data'!AO181 = ROUND('Raw Data'!AO181, 2),FALSE)),"",_xlfn.REGEXEXTRACT(CELL("address",AO181), "\$([A-Z]+)\$[0-9]+"))),_xlfn.REGEXEXTRACT(CELL("address",AO181), "\$([A-Z]+)\$[0-9]+"))</f>
        <v/>
      </c>
      <c r="AP181" s="7" t="str">
        <f t="array" aca="1" ref="AP181" ca="1">IFERROR(IF(OR('Raw Data'!AP181="",LEN(TRIM('Raw Data'!AP181))=0),"",IF(AND(ISNUMBER('Raw Data'!AP181), IFERROR('Raw Data'!AP181 = ROUND('Raw Data'!AP181, 2),FALSE)),"",_xlfn.REGEXEXTRACT(CELL("address",AP181), "\$([A-Z]+)\$[0-9]+"))),_xlfn.REGEXEXTRACT(CELL("address",AP181), "\$([A-Z]+)\$[0-9]+"))</f>
        <v/>
      </c>
    </row>
    <row r="182" spans="2:42" x14ac:dyDescent="0.25">
      <c r="B182" s="7" t="str">
        <f t="array" aca="1" ref="B182" ca="1">IFERROR(IF(OR('Raw Data'!B182="",LEN(TRIM('Raw Data'!B182))=0),"",IF(AND(LEN('Raw Data'!B182) &lt;= 255,LEN('Raw Data'!B182)&gt; 0),"",_xlfn.REGEXEXTRACT(CELL("address",'Raw Data'!B182),"\$([A-Z]+)\$[0-9]+"))),_xlfn.REGEXEXTRACT(CELL("address",'Raw Data'!B182),"\$([A-Z]+)\$[0-9]+"))</f>
        <v/>
      </c>
      <c r="C182" s="7" t="str">
        <f t="array" aca="1" ref="C182" ca="1">IFERROR(IF(OR('Raw Data'!C182="",LEN(TRIM('Raw Data'!C182))=0),"",IF(AND(LEN('Raw Data'!C182) &lt;= 50,LEN('Raw Data'!C182)&gt; 0),"",_xlfn.REGEXEXTRACT(CELL("address",'Raw Data'!C182),"\$([A-Z]+)\$[0-9]+"))),_xlfn.REGEXEXTRACT(CELL("address",'Raw Data'!C182),"\$([A-Z]+)\$[0-9]+"))</f>
        <v/>
      </c>
      <c r="D182" s="7" t="str">
        <f t="array" aca="1" ref="D182" ca="1">IFERROR(IF(OR('Raw Data'!D182="",LEN(TRIM('Raw Data'!D182))=0),"",IF(AND(LEN('Raw Data'!D182) &lt;= 500,LEN('Raw Data'!D182)&gt; 0),"",_xlfn.REGEXEXTRACT(CELL("address",'Raw Data'!D182),"\$([A-Z]+)\$[0-9]+"))),_xlfn.REGEXEXTRACT(CELL("address",'Raw Data'!D182),"\$([A-Z]+)\$[0-9]+"))</f>
        <v/>
      </c>
      <c r="E182" s="7" t="str">
        <f t="array" aca="1" ref="E182" ca="1">IFERROR(IF(OR('Raw Data'!E182="",LEN(TRIM('Raw Data'!E182))=0),"",IF(AND(LEN('Raw Data'!E182) &lt;= 50,LEN('Raw Data'!E182)&gt; 0),"",_xlfn.REGEXEXTRACT(CELL("address",'Raw Data'!E182),"\$([A-Z]+)\$[0-9]+"))),_xlfn.REGEXEXTRACT(CELL("address",'Raw Data'!E182),"\$([A-Z]+)\$[0-9]+"))</f>
        <v/>
      </c>
      <c r="F182" s="7" t="str">
        <f t="array" aca="1" ref="F182" ca="1">IFERROR(IF(OR('Raw Data'!F182="",LEN(TRIM('Raw Data'!F182))=0),"",IF(AND(LEN('Raw Data'!F182) &lt;= 50,LEN('Raw Data'!F182)&gt; 0),"",_xlfn.REGEXEXTRACT(CELL("address",'Raw Data'!F182),"\$([A-Z]+)\$[0-9]+"))),_xlfn.REGEXEXTRACT(CELL("address",'Raw Data'!F182),"\$([A-Z]+)\$[0-9]+"))</f>
        <v/>
      </c>
      <c r="G182" s="7" t="str">
        <f t="array" aca="1" ref="G182" ca="1">IFERROR(IF(OR('Raw Data'!G182="",LEN(TRIM('Raw Data'!G182))=0),"",IF(AND(LEN('Raw Data'!G182) &lt;= 50,LEN('Raw Data'!G182)&gt; 0),"",_xlfn.REGEXEXTRACT(CELL("address",'Raw Data'!G182),"\$([A-Z]+)\$[0-9]+"))),_xlfn.REGEXEXTRACT(CELL("address",'Raw Data'!G182),"\$([A-Z]+)\$[0-9]+"))</f>
        <v/>
      </c>
      <c r="H182" s="7" t="str">
        <f t="array" aca="1" ref="H182" ca="1">IFERROR(IF(OR('Raw Data'!H182="",LEN(TRIM('Raw Data'!H182))=0),"",IF(AND(LEN('Raw Data'!H182) &lt;= 50,LEN('Raw Data'!H182)&gt; 0),"",_xlfn.REGEXEXTRACT(CELL("address",'Raw Data'!H182),"\$([A-Z]+)\$[0-9]+"))),_xlfn.REGEXEXTRACT(CELL("address",'Raw Data'!H182),"\$([A-Z]+)\$[0-9]+"))</f>
        <v/>
      </c>
      <c r="I182" s="7" t="str">
        <f t="array" aca="1" ref="I182" ca="1">IFERROR(IF(OR('Raw Data'!I182="",LEN(TRIM('Raw Data'!I182))=0),"",IF(AND(LEN('Raw Data'!I182) &lt;= 50,LEN('Raw Data'!I182)&gt; 0),"",_xlfn.REGEXEXTRACT(CELL("address",'Raw Data'!I182),"\$([A-Z]+)\$[0-9]+"))),_xlfn.REGEXEXTRACT(CELL("address",'Raw Data'!I182),"\$([A-Z]+)\$[0-9]+"))</f>
        <v/>
      </c>
      <c r="J182" s="7" t="str">
        <f t="array" aca="1" ref="J182" ca="1">IFERROR(IF(OR('Raw Data'!J182="",LEN(TRIM('Raw Data'!J182))=0),"",IF(AND(ISNUMBER('Raw Data'!J182), IFERROR('Raw Data'!J182 = ROUND('Raw Data'!J182, 2),FALSE)),"",_xlfn.REGEXEXTRACT(CELL("address",J182), "\$([A-Z]+)\$[0-9]+"))),_xlfn.REGEXEXTRACT(CELL("address",J182), "\$([A-Z]+)\$[0-9]+"))</f>
        <v/>
      </c>
      <c r="K182" s="7" t="str">
        <f t="array" aca="1" ref="K182" ca="1">IFERROR(IF(OR('Raw Data'!K182="",LEN(TRIM('Raw Data'!K182))=0),"",IF(AND(ISNUMBER('Raw Data'!K182), IFERROR('Raw Data'!K182 = ROUND('Raw Data'!K182, 2),FALSE)),"",_xlfn.REGEXEXTRACT(CELL("address",K182), "\$([A-Z]+)\$[0-9]+"))),_xlfn.REGEXEXTRACT(CELL("address",K182), "\$([A-Z]+)\$[0-9]+"))</f>
        <v/>
      </c>
      <c r="L182" s="7" t="str">
        <f t="array" aca="1" ref="L182" ca="1">IFERROR(IF(OR('Raw Data'!L182="",LEN(TRIM('Raw Data'!L182))=0),"",IF(AND(ISNUMBER('Raw Data'!L182), IFERROR('Raw Data'!L182 = ROUND('Raw Data'!L182, 2),FALSE)),"",_xlfn.REGEXEXTRACT(CELL("address",L182), "\$([A-Z]+)\$[0-9]+"))),_xlfn.REGEXEXTRACT(CELL("address",L182), "\$([A-Z]+)\$[0-9]+"))</f>
        <v/>
      </c>
      <c r="M182" s="7" t="str">
        <f t="array" aca="1" ref="M182" ca="1">IFERROR(IF(OR('Raw Data'!M182="",LEN(TRIM('Raw Data'!M182))=0),"",IF(AND(ISNUMBER('Raw Data'!M182), IFERROR('Raw Data'!M182 = ROUND('Raw Data'!M182, 2),FALSE)),"",_xlfn.REGEXEXTRACT(CELL("address",M182), "\$([A-Z]+)\$[0-9]+"))),_xlfn.REGEXEXTRACT(CELL("address",M182), "\$([A-Z]+)\$[0-9]+"))</f>
        <v/>
      </c>
      <c r="N182" s="7" t="str">
        <f t="array" aca="1" ref="N182" ca="1">IFERROR(IF(OR('Raw Data'!N182="",LEN(TRIM('Raw Data'!N182))=0),"",IF(AND(ISNUMBER('Raw Data'!N182), IFERROR('Raw Data'!N182 = ROUND('Raw Data'!N182, 2),FALSE)),"",_xlfn.REGEXEXTRACT(CELL("address",N182), "\$([A-Z]+)\$[0-9]+"))),_xlfn.REGEXEXTRACT(CELL("address",N182), "\$([A-Z]+)\$[0-9]+"))</f>
        <v/>
      </c>
      <c r="O182" s="7" t="str">
        <f t="array" aca="1" ref="O182" ca="1">IFERROR(IF(OR('Raw Data'!O182="",LEN(TRIM('Raw Data'!O182))=0),"",IF(AND(ISNUMBER('Raw Data'!O182),'Raw Data'!O182&gt;=Configuration!$D$2),"",_xlfn.REGEXEXTRACT(CELL("address",'Raw Data'!O182),"\$([A-Z]+)\$[0-9]+"))),_xlfn.REGEXEXTRACT(CELL("address",O182), "\$([A-Z]+)\$[0-9]+"))</f>
        <v/>
      </c>
      <c r="P182" s="7" t="str">
        <f t="array" aca="1" ref="P182" ca="1">IFERROR(IF(OR('Raw Data'!P182="",LEN(TRIM('Raw Data'!P182))=0),"",IF(AND(ISNUMBER('Raw Data'!P182), IFERROR('Raw Data'!P182 = ROUND('Raw Data'!P182, 2),FALSE)),"",_xlfn.REGEXEXTRACT(CELL("address",P182), "\$([A-Z]+)\$[0-9]+"))),_xlfn.REGEXEXTRACT(CELL("address",P182), "\$([A-Z]+)\$[0-9]+"))</f>
        <v/>
      </c>
      <c r="Q182" s="7" t="str">
        <f t="array" aca="1" ref="Q182" ca="1">IFERROR(IF(OR('Raw Data'!Q182="",LEN(TRIM('Raw Data'!Q182))=0),"",IF(AND(ISNUMBER('Raw Data'!Q182), IFERROR('Raw Data'!Q182 = ROUND('Raw Data'!Q182, 2),FALSE)),"",_xlfn.REGEXEXTRACT(CELL("address",Q182), "\$([A-Z]+)\$[0-9]+"))),_xlfn.REGEXEXTRACT(CELL("address",Q182), "\$([A-Z]+)\$[0-9]+"))</f>
        <v/>
      </c>
      <c r="R182" s="7" t="str">
        <f t="array" aca="1" ref="R182" ca="1">IFERROR(IF(OR('Raw Data'!R182="",LEN(TRIM('Raw Data'!R182))=0),"",IF(AND(LEN('Raw Data'!R182) &lt;= 50,LEN('Raw Data'!R182)&gt; 0),"",_xlfn.REGEXEXTRACT(CELL("address",'Raw Data'!R182),"\$([A-Z]+)\$[0-9]+"))),_xlfn.REGEXEXTRACT(CELL("address",'Raw Data'!R182),"\$([A-Z]+)\$[0-9]+"))</f>
        <v/>
      </c>
      <c r="S182" s="7" t="str">
        <f t="array" aca="1" ref="S182" ca="1">IFERROR(IF(OR('Raw Data'!S182="",LEN(TRIM('Raw Data'!S182))=0),"",IF(AND(LEN('Raw Data'!S182) &lt;= 50,LEN('Raw Data'!S182)&gt; 0),"",_xlfn.REGEXEXTRACT(CELL("address",'Raw Data'!S182),"\$([A-Z]+)\$[0-9]+"))),_xlfn.REGEXEXTRACT(CELL("address",'Raw Data'!S182),"\$([A-Z]+)\$[0-9]+"))</f>
        <v/>
      </c>
      <c r="T182" s="7" t="str">
        <f t="array" aca="1" ref="T182" ca="1">IFERROR(IF(OR('Raw Data'!T182="",LEN(TRIM('Raw Data'!T182))=0),"",IF(AND(ISNUMBER('Raw Data'!T182), IFERROR('Raw Data'!T182 = ROUND('Raw Data'!T182, 2),FALSE)),"",_xlfn.REGEXEXTRACT(CELL("address",T182), "\$([A-Z]+)\$[0-9]+"))),_xlfn.REGEXEXTRACT(CELL("address",T182), "\$([A-Z]+)\$[0-9]+"))</f>
        <v/>
      </c>
      <c r="U182" s="7" t="str">
        <f t="array" aca="1" ref="U182" ca="1">IFERROR(IF(OR('Raw Data'!U182="",LEN(TRIM('Raw Data'!U182))=0),"",IF(AND(ISNUMBER('Raw Data'!U182), IFERROR('Raw Data'!U182 = ROUND('Raw Data'!U182, 2),FALSE)),"",_xlfn.REGEXEXTRACT(CELL("address",U182), "\$([A-Z]+)\$[0-9]+"))),_xlfn.REGEXEXTRACT(CELL("address",U182), "\$([A-Z]+)\$[0-9]+"))</f>
        <v/>
      </c>
      <c r="V182" s="7" t="str">
        <f t="array" aca="1" ref="V182" ca="1">IFERROR(IF(OR('Raw Data'!V182="",LEN(TRIM('Raw Data'!V182))=0),"",IF(AND(ISNUMBER('Raw Data'!V182), IFERROR('Raw Data'!V182 = ROUND('Raw Data'!V182, 2),FALSE)),"",_xlfn.REGEXEXTRACT(CELL("address",V182), "\$([A-Z]+)\$[0-9]+"))),_xlfn.REGEXEXTRACT(CELL("address",V182), "\$([A-Z]+)\$[0-9]+"))</f>
        <v/>
      </c>
      <c r="W182" s="7" t="str">
        <f t="array" aca="1" ref="W182" ca="1">IFERROR(IF(OR('Raw Data'!W182="",LEN(TRIM('Raw Data'!W182))=0),"",IF(AND(ISNUMBER('Raw Data'!W182), IFERROR('Raw Data'!W182 = ROUND('Raw Data'!W182, 2),FALSE)),"",_xlfn.REGEXEXTRACT(CELL("address",W182), "\$([A-Z]+)\$[0-9]+"))),_xlfn.REGEXEXTRACT(CELL("address",W182), "\$([A-Z]+)\$[0-9]+"))</f>
        <v/>
      </c>
      <c r="X182" s="7" t="str">
        <f t="array" aca="1" ref="X182" ca="1">IFERROR(IF(OR('Raw Data'!X182="",LEN(TRIM('Raw Data'!X182))=0),"",IF(AND(ISNUMBER('Raw Data'!X182), IFERROR('Raw Data'!X182 = ROUND('Raw Data'!X182, 2),FALSE)),"",_xlfn.REGEXEXTRACT(CELL("address",X182), "\$([A-Z]+)\$[0-9]+"))),_xlfn.REGEXEXTRACT(CELL("address",X182), "\$([A-Z]+)\$[0-9]+"))</f>
        <v/>
      </c>
      <c r="Y182" s="7" t="str">
        <f t="array" aca="1" ref="Y182" ca="1">IFERROR(IF(OR('Raw Data'!Y182="",LEN(TRIM('Raw Data'!Y182))=0),"",IF(AND(ISNUMBER('Raw Data'!Y182), IFERROR('Raw Data'!Y182 = ROUND('Raw Data'!Y182, 2),FALSE)),"",_xlfn.REGEXEXTRACT(CELL("address",Y182), "\$([A-Z]+)\$[0-9]+"))),_xlfn.REGEXEXTRACT(CELL("address",Y182), "\$([A-Z]+)\$[0-9]+"))</f>
        <v/>
      </c>
      <c r="Z182" s="7" t="str">
        <f t="array" aca="1" ref="Z182" ca="1">IFERROR(IF(OR('Raw Data'!Z182="",LEN(TRIM('Raw Data'!Z182))=0),"",IF(AND(ISNUMBER('Raw Data'!Z182), IFERROR('Raw Data'!Z182 = ROUND('Raw Data'!Z182, 2),FALSE)),"",_xlfn.REGEXEXTRACT(CELL("address",Z182), "\$([A-Z]+)\$[0-9]+"))),_xlfn.REGEXEXTRACT(CELL("address",Z182), "\$([A-Z]+)\$[0-9]+"))</f>
        <v/>
      </c>
      <c r="AA182" s="7" t="str">
        <f t="array" aca="1" ref="AA182" ca="1">IFERROR(IF(OR('Raw Data'!AA182="",LEN(TRIM('Raw Data'!AA182))=0),"",IF(AND(ISNUMBER('Raw Data'!AA182), IFERROR('Raw Data'!AA182 = ROUND('Raw Data'!AA182, 2),FALSE)),"",_xlfn.REGEXEXTRACT(CELL("address",AA182), "\$([A-Z]+)\$[0-9]+"))),_xlfn.REGEXEXTRACT(CELL("address",AA182), "\$([A-Z]+)\$[0-9]+"))</f>
        <v/>
      </c>
      <c r="AB182" s="7" t="str">
        <f t="array" aca="1" ref="AB182" ca="1">IFERROR(IF(OR('Raw Data'!AB182="",LEN(TRIM('Raw Data'!AB182))=0),"",IF(AND(ISNUMBER('Raw Data'!AB182), IFERROR('Raw Data'!AB182 = ROUND('Raw Data'!AB182, 2),FALSE)),"",_xlfn.REGEXEXTRACT(CELL("address",AB182), "\$([A-Z]+)\$[0-9]+"))),_xlfn.REGEXEXTRACT(CELL("address",AB182), "\$([A-Z]+)\$[0-9]+"))</f>
        <v/>
      </c>
      <c r="AC182" s="7" t="str">
        <f t="array" aca="1" ref="AC182" ca="1">IFERROR(IF(OR('Raw Data'!AC182="",LEN(TRIM('Raw Data'!AC182))=0),"",IF(AND(ISNUMBER('Raw Data'!AC182), IFERROR('Raw Data'!AC182 = ROUND('Raw Data'!AC182, 2),FALSE)),"",_xlfn.REGEXEXTRACT(CELL("address",AC182), "\$([A-Z]+)\$[0-9]+"))),_xlfn.REGEXEXTRACT(CELL("address",AC182), "\$([A-Z]+)\$[0-9]+"))</f>
        <v/>
      </c>
      <c r="AD182" s="7" t="str">
        <f t="array" aca="1" ref="AD182" ca="1">IFERROR(IF(OR('Raw Data'!AD182="",LEN(TRIM('Raw Data'!AD182))=0),"",IF(AND(ISNUMBER('Raw Data'!AD182), IFERROR('Raw Data'!AD182 = ROUND('Raw Data'!AD182, 2),FALSE)),"",_xlfn.REGEXEXTRACT(CELL("address",AD182), "\$([A-Z]+)\$[0-9]+"))),_xlfn.REGEXEXTRACT(CELL("address",AD182), "\$([A-Z]+)\$[0-9]+"))</f>
        <v/>
      </c>
      <c r="AE182" s="7" t="str">
        <f t="array" aca="1" ref="AE182" ca="1">IFERROR(IF(OR('Raw Data'!AE182="",LEN(TRIM('Raw Data'!AE182))=0),"",IF(AND(ISNUMBER('Raw Data'!AE182), IFERROR('Raw Data'!AE182 = ROUND('Raw Data'!AE182, 2),FALSE)),"",_xlfn.REGEXEXTRACT(CELL("address",AE182), "\$([A-Z]+)\$[0-9]+"))),_xlfn.REGEXEXTRACT(CELL("address",AE182), "\$([A-Z]+)\$[0-9]+"))</f>
        <v/>
      </c>
      <c r="AF182" s="7" t="str">
        <f t="array" aca="1" ref="AF182" ca="1">IFERROR(IF(OR('Raw Data'!AF182="",LEN(TRIM('Raw Data'!AF182))=0),"",IF(AND(ISNUMBER('Raw Data'!AF182), IFERROR('Raw Data'!AF182 = ROUND('Raw Data'!AF182, 2),FALSE)),"",_xlfn.REGEXEXTRACT(CELL("address",AF182), "\$([A-Z]+)\$[0-9]+"))),_xlfn.REGEXEXTRACT(CELL("address",AF182), "\$([A-Z]+)\$[0-9]+"))</f>
        <v/>
      </c>
      <c r="AG182" s="7" t="str">
        <f t="array" aca="1" ref="AG182" ca="1">IFERROR(IF(OR('Raw Data'!AG182="",LEN(TRIM('Raw Data'!AG182))=0),"",IF(AND(ISNUMBER('Raw Data'!AG182), IFERROR('Raw Data'!AG182 = ROUND('Raw Data'!AG182, 2),FALSE)),"",_xlfn.REGEXEXTRACT(CELL("address",AG182), "\$([A-Z]+)\$[0-9]+"))),_xlfn.REGEXEXTRACT(CELL("address",AG182), "\$([A-Z]+)\$[0-9]+"))</f>
        <v/>
      </c>
      <c r="AH182" s="7" t="str">
        <f t="array" aca="1" ref="AH182" ca="1">IFERROR(IF(OR('Raw Data'!AH182="",LEN(TRIM('Raw Data'!AH182))=0),"",IF(AND(ISNUMBER('Raw Data'!AH182), IFERROR('Raw Data'!AH182 = ROUND('Raw Data'!AH182, 2),FALSE)),"",_xlfn.REGEXEXTRACT(CELL("address",AH182), "\$([A-Z]+)\$[0-9]+"))),_xlfn.REGEXEXTRACT(CELL("address",AH182), "\$([A-Z]+)\$[0-9]+"))</f>
        <v/>
      </c>
      <c r="AI182" s="7" t="str">
        <f t="array" aca="1" ref="AI182" ca="1">IFERROR(IF(OR('Raw Data'!AI182="",LEN(TRIM('Raw Data'!AI182))=0),"",IF(AND(ISNUMBER('Raw Data'!AI182), IFERROR('Raw Data'!AI182 = ROUND('Raw Data'!AI182, 2),FALSE)),"",_xlfn.REGEXEXTRACT(CELL("address",AI182), "\$([A-Z]+)\$[0-9]+"))),_xlfn.REGEXEXTRACT(CELL("address",AI182), "\$([A-Z]+)\$[0-9]+"))</f>
        <v/>
      </c>
      <c r="AJ182" s="7" t="str">
        <f t="array" aca="1" ref="AJ182" ca="1">IFERROR(IF(OR('Raw Data'!AJ182="",LEN(TRIM('Raw Data'!AJ182))=0),"",IF(AND(ISNUMBER('Raw Data'!AJ182), IFERROR('Raw Data'!AJ182 = ROUND('Raw Data'!AJ182, 4),FALSE)),"",_xlfn.REGEXEXTRACT(CELL("address",AJ182), "\$([A-Z]+)\$[0-9]+"))),_xlfn.REGEXEXTRACT(CELL("address",AJ182), "\$([A-Z]+)\$[0-9]+"))</f>
        <v/>
      </c>
      <c r="AK182" s="7" t="str">
        <f t="array" aca="1" ref="AK182" ca="1">IFERROR(IF(OR('Raw Data'!AK182="",LEN(TRIM('Raw Data'!AK182))=0),"",IF(AND(ISNUMBER('Raw Data'!AK182), IFERROR('Raw Data'!AK182 = ROUND('Raw Data'!AK182, 2),FALSE)),"",_xlfn.REGEXEXTRACT(CELL("address",AK182), "\$([A-Z]+)\$[0-9]+"))),_xlfn.REGEXEXTRACT(CELL("address",AK182), "\$([A-Z]+)\$[0-9]+"))</f>
        <v/>
      </c>
      <c r="AL182" s="7" t="str">
        <f t="array" aca="1" ref="AL182" ca="1">IFERROR(IF(OR('Raw Data'!AL182="",LEN(TRIM('Raw Data'!AL182))=0),"",IF(AND(ISNUMBER('Raw Data'!AL182), IFERROR('Raw Data'!AL182 = ROUND('Raw Data'!AL182, 2),FALSE)),"",_xlfn.REGEXEXTRACT(CELL("address",AL182), "\$([A-Z]+)\$[0-9]+"))),_xlfn.REGEXEXTRACT(CELL("address",AL182), "\$([A-Z]+)\$[0-9]+"))</f>
        <v/>
      </c>
      <c r="AM182" s="7" t="str">
        <f t="array" aca="1" ref="AM182" ca="1">IFERROR(IF(OR('Raw Data'!AM182="",LEN(TRIM('Raw Data'!AM182))=0),"",IF(AND(ISNUMBER('Raw Data'!AM182), IFERROR('Raw Data'!AM182 = ROUND('Raw Data'!AM182, 2),FALSE)),"",_xlfn.REGEXEXTRACT(CELL("address",AM182), "\$([A-Z]+)\$[0-9]+"))),_xlfn.REGEXEXTRACT(CELL("address",AM182), "\$([A-Z]+)\$[0-9]+"))</f>
        <v/>
      </c>
      <c r="AN182" s="7" t="str">
        <f t="array" aca="1" ref="AN182" ca="1">IFERROR(IF(OR('Raw Data'!AN182="",LEN(TRIM('Raw Data'!AN182))=0),"",IF(AND(ISNUMBER('Raw Data'!AN182), IFERROR('Raw Data'!AN182 = ROUND('Raw Data'!AN182, 2),FALSE)),"",_xlfn.REGEXEXTRACT(CELL("address",AN182), "\$([A-Z]+)\$[0-9]+"))),_xlfn.REGEXEXTRACT(CELL("address",AN182), "\$([A-Z]+)\$[0-9]+"))</f>
        <v/>
      </c>
      <c r="AO182" s="7" t="str">
        <f t="array" aca="1" ref="AO182" ca="1">IFERROR(IF(OR('Raw Data'!AO182="",LEN(TRIM('Raw Data'!AO182))=0),"",IF(AND(ISNUMBER('Raw Data'!AO182), IFERROR('Raw Data'!AO182 = ROUND('Raw Data'!AO182, 2),FALSE)),"",_xlfn.REGEXEXTRACT(CELL("address",AO182), "\$([A-Z]+)\$[0-9]+"))),_xlfn.REGEXEXTRACT(CELL("address",AO182), "\$([A-Z]+)\$[0-9]+"))</f>
        <v/>
      </c>
      <c r="AP182" s="7" t="str">
        <f t="array" aca="1" ref="AP182" ca="1">IFERROR(IF(OR('Raw Data'!AP182="",LEN(TRIM('Raw Data'!AP182))=0),"",IF(AND(ISNUMBER('Raw Data'!AP182), IFERROR('Raw Data'!AP182 = ROUND('Raw Data'!AP182, 2),FALSE)),"",_xlfn.REGEXEXTRACT(CELL("address",AP182), "\$([A-Z]+)\$[0-9]+"))),_xlfn.REGEXEXTRACT(CELL("address",AP182), "\$([A-Z]+)\$[0-9]+"))</f>
        <v/>
      </c>
    </row>
    <row r="183" spans="2:42" x14ac:dyDescent="0.25">
      <c r="B183" s="7" t="str">
        <f t="array" aca="1" ref="B183" ca="1">IFERROR(IF(OR('Raw Data'!B183="",LEN(TRIM('Raw Data'!B183))=0),"",IF(AND(LEN('Raw Data'!B183) &lt;= 255,LEN('Raw Data'!B183)&gt; 0),"",_xlfn.REGEXEXTRACT(CELL("address",'Raw Data'!B183),"\$([A-Z]+)\$[0-9]+"))),_xlfn.REGEXEXTRACT(CELL("address",'Raw Data'!B183),"\$([A-Z]+)\$[0-9]+"))</f>
        <v/>
      </c>
      <c r="C183" s="7" t="str">
        <f t="array" aca="1" ref="C183" ca="1">IFERROR(IF(OR('Raw Data'!C183="",LEN(TRIM('Raw Data'!C183))=0),"",IF(AND(LEN('Raw Data'!C183) &lt;= 50,LEN('Raw Data'!C183)&gt; 0),"",_xlfn.REGEXEXTRACT(CELL("address",'Raw Data'!C183),"\$([A-Z]+)\$[0-9]+"))),_xlfn.REGEXEXTRACT(CELL("address",'Raw Data'!C183),"\$([A-Z]+)\$[0-9]+"))</f>
        <v/>
      </c>
      <c r="D183" s="7" t="str">
        <f t="array" aca="1" ref="D183" ca="1">IFERROR(IF(OR('Raw Data'!D183="",LEN(TRIM('Raw Data'!D183))=0),"",IF(AND(LEN('Raw Data'!D183) &lt;= 500,LEN('Raw Data'!D183)&gt; 0),"",_xlfn.REGEXEXTRACT(CELL("address",'Raw Data'!D183),"\$([A-Z]+)\$[0-9]+"))),_xlfn.REGEXEXTRACT(CELL("address",'Raw Data'!D183),"\$([A-Z]+)\$[0-9]+"))</f>
        <v/>
      </c>
      <c r="E183" s="7" t="str">
        <f t="array" aca="1" ref="E183" ca="1">IFERROR(IF(OR('Raw Data'!E183="",LEN(TRIM('Raw Data'!E183))=0),"",IF(AND(LEN('Raw Data'!E183) &lt;= 50,LEN('Raw Data'!E183)&gt; 0),"",_xlfn.REGEXEXTRACT(CELL("address",'Raw Data'!E183),"\$([A-Z]+)\$[0-9]+"))),_xlfn.REGEXEXTRACT(CELL("address",'Raw Data'!E183),"\$([A-Z]+)\$[0-9]+"))</f>
        <v/>
      </c>
      <c r="F183" s="7" t="str">
        <f t="array" aca="1" ref="F183" ca="1">IFERROR(IF(OR('Raw Data'!F183="",LEN(TRIM('Raw Data'!F183))=0),"",IF(AND(LEN('Raw Data'!F183) &lt;= 50,LEN('Raw Data'!F183)&gt; 0),"",_xlfn.REGEXEXTRACT(CELL("address",'Raw Data'!F183),"\$([A-Z]+)\$[0-9]+"))),_xlfn.REGEXEXTRACT(CELL("address",'Raw Data'!F183),"\$([A-Z]+)\$[0-9]+"))</f>
        <v/>
      </c>
      <c r="G183" s="7" t="str">
        <f t="array" aca="1" ref="G183" ca="1">IFERROR(IF(OR('Raw Data'!G183="",LEN(TRIM('Raw Data'!G183))=0),"",IF(AND(LEN('Raw Data'!G183) &lt;= 50,LEN('Raw Data'!G183)&gt; 0),"",_xlfn.REGEXEXTRACT(CELL("address",'Raw Data'!G183),"\$([A-Z]+)\$[0-9]+"))),_xlfn.REGEXEXTRACT(CELL("address",'Raw Data'!G183),"\$([A-Z]+)\$[0-9]+"))</f>
        <v/>
      </c>
      <c r="H183" s="7" t="str">
        <f t="array" aca="1" ref="H183" ca="1">IFERROR(IF(OR('Raw Data'!H183="",LEN(TRIM('Raw Data'!H183))=0),"",IF(AND(LEN('Raw Data'!H183) &lt;= 50,LEN('Raw Data'!H183)&gt; 0),"",_xlfn.REGEXEXTRACT(CELL("address",'Raw Data'!H183),"\$([A-Z]+)\$[0-9]+"))),_xlfn.REGEXEXTRACT(CELL("address",'Raw Data'!H183),"\$([A-Z]+)\$[0-9]+"))</f>
        <v/>
      </c>
      <c r="I183" s="7" t="str">
        <f t="array" aca="1" ref="I183" ca="1">IFERROR(IF(OR('Raw Data'!I183="",LEN(TRIM('Raw Data'!I183))=0),"",IF(AND(LEN('Raw Data'!I183) &lt;= 50,LEN('Raw Data'!I183)&gt; 0),"",_xlfn.REGEXEXTRACT(CELL("address",'Raw Data'!I183),"\$([A-Z]+)\$[0-9]+"))),_xlfn.REGEXEXTRACT(CELL("address",'Raw Data'!I183),"\$([A-Z]+)\$[0-9]+"))</f>
        <v/>
      </c>
      <c r="J183" s="7" t="str">
        <f t="array" aca="1" ref="J183" ca="1">IFERROR(IF(OR('Raw Data'!J183="",LEN(TRIM('Raw Data'!J183))=0),"",IF(AND(ISNUMBER('Raw Data'!J183), IFERROR('Raw Data'!J183 = ROUND('Raw Data'!J183, 2),FALSE)),"",_xlfn.REGEXEXTRACT(CELL("address",J183), "\$([A-Z]+)\$[0-9]+"))),_xlfn.REGEXEXTRACT(CELL("address",J183), "\$([A-Z]+)\$[0-9]+"))</f>
        <v/>
      </c>
      <c r="K183" s="7" t="str">
        <f t="array" aca="1" ref="K183" ca="1">IFERROR(IF(OR('Raw Data'!K183="",LEN(TRIM('Raw Data'!K183))=0),"",IF(AND(ISNUMBER('Raw Data'!K183), IFERROR('Raw Data'!K183 = ROUND('Raw Data'!K183, 2),FALSE)),"",_xlfn.REGEXEXTRACT(CELL("address",K183), "\$([A-Z]+)\$[0-9]+"))),_xlfn.REGEXEXTRACT(CELL("address",K183), "\$([A-Z]+)\$[0-9]+"))</f>
        <v/>
      </c>
      <c r="L183" s="7" t="str">
        <f t="array" aca="1" ref="L183" ca="1">IFERROR(IF(OR('Raw Data'!L183="",LEN(TRIM('Raw Data'!L183))=0),"",IF(AND(ISNUMBER('Raw Data'!L183), IFERROR('Raw Data'!L183 = ROUND('Raw Data'!L183, 2),FALSE)),"",_xlfn.REGEXEXTRACT(CELL("address",L183), "\$([A-Z]+)\$[0-9]+"))),_xlfn.REGEXEXTRACT(CELL("address",L183), "\$([A-Z]+)\$[0-9]+"))</f>
        <v/>
      </c>
      <c r="M183" s="7" t="str">
        <f t="array" aca="1" ref="M183" ca="1">IFERROR(IF(OR('Raw Data'!M183="",LEN(TRIM('Raw Data'!M183))=0),"",IF(AND(ISNUMBER('Raw Data'!M183), IFERROR('Raw Data'!M183 = ROUND('Raw Data'!M183, 2),FALSE)),"",_xlfn.REGEXEXTRACT(CELL("address",M183), "\$([A-Z]+)\$[0-9]+"))),_xlfn.REGEXEXTRACT(CELL("address",M183), "\$([A-Z]+)\$[0-9]+"))</f>
        <v/>
      </c>
      <c r="N183" s="7" t="str">
        <f t="array" aca="1" ref="N183" ca="1">IFERROR(IF(OR('Raw Data'!N183="",LEN(TRIM('Raw Data'!N183))=0),"",IF(AND(ISNUMBER('Raw Data'!N183), IFERROR('Raw Data'!N183 = ROUND('Raw Data'!N183, 2),FALSE)),"",_xlfn.REGEXEXTRACT(CELL("address",N183), "\$([A-Z]+)\$[0-9]+"))),_xlfn.REGEXEXTRACT(CELL("address",N183), "\$([A-Z]+)\$[0-9]+"))</f>
        <v/>
      </c>
      <c r="O183" s="7" t="str">
        <f t="array" aca="1" ref="O183" ca="1">IFERROR(IF(OR('Raw Data'!O183="",LEN(TRIM('Raw Data'!O183))=0),"",IF(AND(ISNUMBER('Raw Data'!O183),'Raw Data'!O183&gt;=Configuration!$D$2),"",_xlfn.REGEXEXTRACT(CELL("address",'Raw Data'!O183),"\$([A-Z]+)\$[0-9]+"))),_xlfn.REGEXEXTRACT(CELL("address",O183), "\$([A-Z]+)\$[0-9]+"))</f>
        <v/>
      </c>
      <c r="P183" s="7" t="str">
        <f t="array" aca="1" ref="P183" ca="1">IFERROR(IF(OR('Raw Data'!P183="",LEN(TRIM('Raw Data'!P183))=0),"",IF(AND(ISNUMBER('Raw Data'!P183), IFERROR('Raw Data'!P183 = ROUND('Raw Data'!P183, 2),FALSE)),"",_xlfn.REGEXEXTRACT(CELL("address",P183), "\$([A-Z]+)\$[0-9]+"))),_xlfn.REGEXEXTRACT(CELL("address",P183), "\$([A-Z]+)\$[0-9]+"))</f>
        <v/>
      </c>
      <c r="Q183" s="7" t="str">
        <f t="array" aca="1" ref="Q183" ca="1">IFERROR(IF(OR('Raw Data'!Q183="",LEN(TRIM('Raw Data'!Q183))=0),"",IF(AND(ISNUMBER('Raw Data'!Q183), IFERROR('Raw Data'!Q183 = ROUND('Raw Data'!Q183, 2),FALSE)),"",_xlfn.REGEXEXTRACT(CELL("address",Q183), "\$([A-Z]+)\$[0-9]+"))),_xlfn.REGEXEXTRACT(CELL("address",Q183), "\$([A-Z]+)\$[0-9]+"))</f>
        <v/>
      </c>
      <c r="R183" s="7" t="str">
        <f t="array" aca="1" ref="R183" ca="1">IFERROR(IF(OR('Raw Data'!R183="",LEN(TRIM('Raw Data'!R183))=0),"",IF(AND(LEN('Raw Data'!R183) &lt;= 50,LEN('Raw Data'!R183)&gt; 0),"",_xlfn.REGEXEXTRACT(CELL("address",'Raw Data'!R183),"\$([A-Z]+)\$[0-9]+"))),_xlfn.REGEXEXTRACT(CELL("address",'Raw Data'!R183),"\$([A-Z]+)\$[0-9]+"))</f>
        <v/>
      </c>
      <c r="S183" s="7" t="str">
        <f t="array" aca="1" ref="S183" ca="1">IFERROR(IF(OR('Raw Data'!S183="",LEN(TRIM('Raw Data'!S183))=0),"",IF(AND(LEN('Raw Data'!S183) &lt;= 50,LEN('Raw Data'!S183)&gt; 0),"",_xlfn.REGEXEXTRACT(CELL("address",'Raw Data'!S183),"\$([A-Z]+)\$[0-9]+"))),_xlfn.REGEXEXTRACT(CELL("address",'Raw Data'!S183),"\$([A-Z]+)\$[0-9]+"))</f>
        <v/>
      </c>
      <c r="T183" s="7" t="str">
        <f t="array" aca="1" ref="T183" ca="1">IFERROR(IF(OR('Raw Data'!T183="",LEN(TRIM('Raw Data'!T183))=0),"",IF(AND(ISNUMBER('Raw Data'!T183), IFERROR('Raw Data'!T183 = ROUND('Raw Data'!T183, 2),FALSE)),"",_xlfn.REGEXEXTRACT(CELL("address",T183), "\$([A-Z]+)\$[0-9]+"))),_xlfn.REGEXEXTRACT(CELL("address",T183), "\$([A-Z]+)\$[0-9]+"))</f>
        <v/>
      </c>
      <c r="U183" s="7" t="str">
        <f t="array" aca="1" ref="U183" ca="1">IFERROR(IF(OR('Raw Data'!U183="",LEN(TRIM('Raw Data'!U183))=0),"",IF(AND(ISNUMBER('Raw Data'!U183), IFERROR('Raw Data'!U183 = ROUND('Raw Data'!U183, 2),FALSE)),"",_xlfn.REGEXEXTRACT(CELL("address",U183), "\$([A-Z]+)\$[0-9]+"))),_xlfn.REGEXEXTRACT(CELL("address",U183), "\$([A-Z]+)\$[0-9]+"))</f>
        <v/>
      </c>
      <c r="V183" s="7" t="str">
        <f t="array" aca="1" ref="V183" ca="1">IFERROR(IF(OR('Raw Data'!V183="",LEN(TRIM('Raw Data'!V183))=0),"",IF(AND(ISNUMBER('Raw Data'!V183), IFERROR('Raw Data'!V183 = ROUND('Raw Data'!V183, 2),FALSE)),"",_xlfn.REGEXEXTRACT(CELL("address",V183), "\$([A-Z]+)\$[0-9]+"))),_xlfn.REGEXEXTRACT(CELL("address",V183), "\$([A-Z]+)\$[0-9]+"))</f>
        <v/>
      </c>
      <c r="W183" s="7" t="str">
        <f t="array" aca="1" ref="W183" ca="1">IFERROR(IF(OR('Raw Data'!W183="",LEN(TRIM('Raw Data'!W183))=0),"",IF(AND(ISNUMBER('Raw Data'!W183), IFERROR('Raw Data'!W183 = ROUND('Raw Data'!W183, 2),FALSE)),"",_xlfn.REGEXEXTRACT(CELL("address",W183), "\$([A-Z]+)\$[0-9]+"))),_xlfn.REGEXEXTRACT(CELL("address",W183), "\$([A-Z]+)\$[0-9]+"))</f>
        <v/>
      </c>
      <c r="X183" s="7" t="str">
        <f t="array" aca="1" ref="X183" ca="1">IFERROR(IF(OR('Raw Data'!X183="",LEN(TRIM('Raw Data'!X183))=0),"",IF(AND(ISNUMBER('Raw Data'!X183), IFERROR('Raw Data'!X183 = ROUND('Raw Data'!X183, 2),FALSE)),"",_xlfn.REGEXEXTRACT(CELL("address",X183), "\$([A-Z]+)\$[0-9]+"))),_xlfn.REGEXEXTRACT(CELL("address",X183), "\$([A-Z]+)\$[0-9]+"))</f>
        <v/>
      </c>
      <c r="Y183" s="7" t="str">
        <f t="array" aca="1" ref="Y183" ca="1">IFERROR(IF(OR('Raw Data'!Y183="",LEN(TRIM('Raw Data'!Y183))=0),"",IF(AND(ISNUMBER('Raw Data'!Y183), IFERROR('Raw Data'!Y183 = ROUND('Raw Data'!Y183, 2),FALSE)),"",_xlfn.REGEXEXTRACT(CELL("address",Y183), "\$([A-Z]+)\$[0-9]+"))),_xlfn.REGEXEXTRACT(CELL("address",Y183), "\$([A-Z]+)\$[0-9]+"))</f>
        <v/>
      </c>
      <c r="Z183" s="7" t="str">
        <f t="array" aca="1" ref="Z183" ca="1">IFERROR(IF(OR('Raw Data'!Z183="",LEN(TRIM('Raw Data'!Z183))=0),"",IF(AND(ISNUMBER('Raw Data'!Z183), IFERROR('Raw Data'!Z183 = ROUND('Raw Data'!Z183, 2),FALSE)),"",_xlfn.REGEXEXTRACT(CELL("address",Z183), "\$([A-Z]+)\$[0-9]+"))),_xlfn.REGEXEXTRACT(CELL("address",Z183), "\$([A-Z]+)\$[0-9]+"))</f>
        <v/>
      </c>
      <c r="AA183" s="7" t="str">
        <f t="array" aca="1" ref="AA183" ca="1">IFERROR(IF(OR('Raw Data'!AA183="",LEN(TRIM('Raw Data'!AA183))=0),"",IF(AND(ISNUMBER('Raw Data'!AA183), IFERROR('Raw Data'!AA183 = ROUND('Raw Data'!AA183, 2),FALSE)),"",_xlfn.REGEXEXTRACT(CELL("address",AA183), "\$([A-Z]+)\$[0-9]+"))),_xlfn.REGEXEXTRACT(CELL("address",AA183), "\$([A-Z]+)\$[0-9]+"))</f>
        <v/>
      </c>
      <c r="AB183" s="7" t="str">
        <f t="array" aca="1" ref="AB183" ca="1">IFERROR(IF(OR('Raw Data'!AB183="",LEN(TRIM('Raw Data'!AB183))=0),"",IF(AND(ISNUMBER('Raw Data'!AB183), IFERROR('Raw Data'!AB183 = ROUND('Raw Data'!AB183, 2),FALSE)),"",_xlfn.REGEXEXTRACT(CELL("address",AB183), "\$([A-Z]+)\$[0-9]+"))),_xlfn.REGEXEXTRACT(CELL("address",AB183), "\$([A-Z]+)\$[0-9]+"))</f>
        <v/>
      </c>
      <c r="AC183" s="7" t="str">
        <f t="array" aca="1" ref="AC183" ca="1">IFERROR(IF(OR('Raw Data'!AC183="",LEN(TRIM('Raw Data'!AC183))=0),"",IF(AND(ISNUMBER('Raw Data'!AC183), IFERROR('Raw Data'!AC183 = ROUND('Raw Data'!AC183, 2),FALSE)),"",_xlfn.REGEXEXTRACT(CELL("address",AC183), "\$([A-Z]+)\$[0-9]+"))),_xlfn.REGEXEXTRACT(CELL("address",AC183), "\$([A-Z]+)\$[0-9]+"))</f>
        <v/>
      </c>
      <c r="AD183" s="7" t="str">
        <f t="array" aca="1" ref="AD183" ca="1">IFERROR(IF(OR('Raw Data'!AD183="",LEN(TRIM('Raw Data'!AD183))=0),"",IF(AND(ISNUMBER('Raw Data'!AD183), IFERROR('Raw Data'!AD183 = ROUND('Raw Data'!AD183, 2),FALSE)),"",_xlfn.REGEXEXTRACT(CELL("address",AD183), "\$([A-Z]+)\$[0-9]+"))),_xlfn.REGEXEXTRACT(CELL("address",AD183), "\$([A-Z]+)\$[0-9]+"))</f>
        <v/>
      </c>
      <c r="AE183" s="7" t="str">
        <f t="array" aca="1" ref="AE183" ca="1">IFERROR(IF(OR('Raw Data'!AE183="",LEN(TRIM('Raw Data'!AE183))=0),"",IF(AND(ISNUMBER('Raw Data'!AE183), IFERROR('Raw Data'!AE183 = ROUND('Raw Data'!AE183, 2),FALSE)),"",_xlfn.REGEXEXTRACT(CELL("address",AE183), "\$([A-Z]+)\$[0-9]+"))),_xlfn.REGEXEXTRACT(CELL("address",AE183), "\$([A-Z]+)\$[0-9]+"))</f>
        <v/>
      </c>
      <c r="AF183" s="7" t="str">
        <f t="array" aca="1" ref="AF183" ca="1">IFERROR(IF(OR('Raw Data'!AF183="",LEN(TRIM('Raw Data'!AF183))=0),"",IF(AND(ISNUMBER('Raw Data'!AF183), IFERROR('Raw Data'!AF183 = ROUND('Raw Data'!AF183, 2),FALSE)),"",_xlfn.REGEXEXTRACT(CELL("address",AF183), "\$([A-Z]+)\$[0-9]+"))),_xlfn.REGEXEXTRACT(CELL("address",AF183), "\$([A-Z]+)\$[0-9]+"))</f>
        <v/>
      </c>
      <c r="AG183" s="7" t="str">
        <f t="array" aca="1" ref="AG183" ca="1">IFERROR(IF(OR('Raw Data'!AG183="",LEN(TRIM('Raw Data'!AG183))=0),"",IF(AND(ISNUMBER('Raw Data'!AG183), IFERROR('Raw Data'!AG183 = ROUND('Raw Data'!AG183, 2),FALSE)),"",_xlfn.REGEXEXTRACT(CELL("address",AG183), "\$([A-Z]+)\$[0-9]+"))),_xlfn.REGEXEXTRACT(CELL("address",AG183), "\$([A-Z]+)\$[0-9]+"))</f>
        <v/>
      </c>
      <c r="AH183" s="7" t="str">
        <f t="array" aca="1" ref="AH183" ca="1">IFERROR(IF(OR('Raw Data'!AH183="",LEN(TRIM('Raw Data'!AH183))=0),"",IF(AND(ISNUMBER('Raw Data'!AH183), IFERROR('Raw Data'!AH183 = ROUND('Raw Data'!AH183, 2),FALSE)),"",_xlfn.REGEXEXTRACT(CELL("address",AH183), "\$([A-Z]+)\$[0-9]+"))),_xlfn.REGEXEXTRACT(CELL("address",AH183), "\$([A-Z]+)\$[0-9]+"))</f>
        <v/>
      </c>
      <c r="AI183" s="7" t="str">
        <f t="array" aca="1" ref="AI183" ca="1">IFERROR(IF(OR('Raw Data'!AI183="",LEN(TRIM('Raw Data'!AI183))=0),"",IF(AND(ISNUMBER('Raw Data'!AI183), IFERROR('Raw Data'!AI183 = ROUND('Raw Data'!AI183, 2),FALSE)),"",_xlfn.REGEXEXTRACT(CELL("address",AI183), "\$([A-Z]+)\$[0-9]+"))),_xlfn.REGEXEXTRACT(CELL("address",AI183), "\$([A-Z]+)\$[0-9]+"))</f>
        <v/>
      </c>
      <c r="AJ183" s="7" t="str">
        <f t="array" aca="1" ref="AJ183" ca="1">IFERROR(IF(OR('Raw Data'!AJ183="",LEN(TRIM('Raw Data'!AJ183))=0),"",IF(AND(ISNUMBER('Raw Data'!AJ183), IFERROR('Raw Data'!AJ183 = ROUND('Raw Data'!AJ183, 4),FALSE)),"",_xlfn.REGEXEXTRACT(CELL("address",AJ183), "\$([A-Z]+)\$[0-9]+"))),_xlfn.REGEXEXTRACT(CELL("address",AJ183), "\$([A-Z]+)\$[0-9]+"))</f>
        <v/>
      </c>
      <c r="AK183" s="7" t="str">
        <f t="array" aca="1" ref="AK183" ca="1">IFERROR(IF(OR('Raw Data'!AK183="",LEN(TRIM('Raw Data'!AK183))=0),"",IF(AND(ISNUMBER('Raw Data'!AK183), IFERROR('Raw Data'!AK183 = ROUND('Raw Data'!AK183, 2),FALSE)),"",_xlfn.REGEXEXTRACT(CELL("address",AK183), "\$([A-Z]+)\$[0-9]+"))),_xlfn.REGEXEXTRACT(CELL("address",AK183), "\$([A-Z]+)\$[0-9]+"))</f>
        <v/>
      </c>
      <c r="AL183" s="7" t="str">
        <f t="array" aca="1" ref="AL183" ca="1">IFERROR(IF(OR('Raw Data'!AL183="",LEN(TRIM('Raw Data'!AL183))=0),"",IF(AND(ISNUMBER('Raw Data'!AL183), IFERROR('Raw Data'!AL183 = ROUND('Raw Data'!AL183, 2),FALSE)),"",_xlfn.REGEXEXTRACT(CELL("address",AL183), "\$([A-Z]+)\$[0-9]+"))),_xlfn.REGEXEXTRACT(CELL("address",AL183), "\$([A-Z]+)\$[0-9]+"))</f>
        <v/>
      </c>
      <c r="AM183" s="7" t="str">
        <f t="array" aca="1" ref="AM183" ca="1">IFERROR(IF(OR('Raw Data'!AM183="",LEN(TRIM('Raw Data'!AM183))=0),"",IF(AND(ISNUMBER('Raw Data'!AM183), IFERROR('Raw Data'!AM183 = ROUND('Raw Data'!AM183, 2),FALSE)),"",_xlfn.REGEXEXTRACT(CELL("address",AM183), "\$([A-Z]+)\$[0-9]+"))),_xlfn.REGEXEXTRACT(CELL("address",AM183), "\$([A-Z]+)\$[0-9]+"))</f>
        <v/>
      </c>
      <c r="AN183" s="7" t="str">
        <f t="array" aca="1" ref="AN183" ca="1">IFERROR(IF(OR('Raw Data'!AN183="",LEN(TRIM('Raw Data'!AN183))=0),"",IF(AND(ISNUMBER('Raw Data'!AN183), IFERROR('Raw Data'!AN183 = ROUND('Raw Data'!AN183, 2),FALSE)),"",_xlfn.REGEXEXTRACT(CELL("address",AN183), "\$([A-Z]+)\$[0-9]+"))),_xlfn.REGEXEXTRACT(CELL("address",AN183), "\$([A-Z]+)\$[0-9]+"))</f>
        <v/>
      </c>
      <c r="AO183" s="7" t="str">
        <f t="array" aca="1" ref="AO183" ca="1">IFERROR(IF(OR('Raw Data'!AO183="",LEN(TRIM('Raw Data'!AO183))=0),"",IF(AND(ISNUMBER('Raw Data'!AO183), IFERROR('Raw Data'!AO183 = ROUND('Raw Data'!AO183, 2),FALSE)),"",_xlfn.REGEXEXTRACT(CELL("address",AO183), "\$([A-Z]+)\$[0-9]+"))),_xlfn.REGEXEXTRACT(CELL("address",AO183), "\$([A-Z]+)\$[0-9]+"))</f>
        <v/>
      </c>
      <c r="AP183" s="7" t="str">
        <f t="array" aca="1" ref="AP183" ca="1">IFERROR(IF(OR('Raw Data'!AP183="",LEN(TRIM('Raw Data'!AP183))=0),"",IF(AND(ISNUMBER('Raw Data'!AP183), IFERROR('Raw Data'!AP183 = ROUND('Raw Data'!AP183, 2),FALSE)),"",_xlfn.REGEXEXTRACT(CELL("address",AP183), "\$([A-Z]+)\$[0-9]+"))),_xlfn.REGEXEXTRACT(CELL("address",AP183), "\$([A-Z]+)\$[0-9]+"))</f>
        <v/>
      </c>
    </row>
    <row r="184" spans="2:42" x14ac:dyDescent="0.25">
      <c r="B184" s="7" t="str">
        <f t="array" aca="1" ref="B184" ca="1">IFERROR(IF(OR('Raw Data'!B184="",LEN(TRIM('Raw Data'!B184))=0),"",IF(AND(LEN('Raw Data'!B184) &lt;= 255,LEN('Raw Data'!B184)&gt; 0),"",_xlfn.REGEXEXTRACT(CELL("address",'Raw Data'!B184),"\$([A-Z]+)\$[0-9]+"))),_xlfn.REGEXEXTRACT(CELL("address",'Raw Data'!B184),"\$([A-Z]+)\$[0-9]+"))</f>
        <v/>
      </c>
      <c r="C184" s="7" t="str">
        <f t="array" aca="1" ref="C184" ca="1">IFERROR(IF(OR('Raw Data'!C184="",LEN(TRIM('Raw Data'!C184))=0),"",IF(AND(LEN('Raw Data'!C184) &lt;= 50,LEN('Raw Data'!C184)&gt; 0),"",_xlfn.REGEXEXTRACT(CELL("address",'Raw Data'!C184),"\$([A-Z]+)\$[0-9]+"))),_xlfn.REGEXEXTRACT(CELL("address",'Raw Data'!C184),"\$([A-Z]+)\$[0-9]+"))</f>
        <v/>
      </c>
      <c r="D184" s="7" t="str">
        <f t="array" aca="1" ref="D184" ca="1">IFERROR(IF(OR('Raw Data'!D184="",LEN(TRIM('Raw Data'!D184))=0),"",IF(AND(LEN('Raw Data'!D184) &lt;= 500,LEN('Raw Data'!D184)&gt; 0),"",_xlfn.REGEXEXTRACT(CELL("address",'Raw Data'!D184),"\$([A-Z]+)\$[0-9]+"))),_xlfn.REGEXEXTRACT(CELL("address",'Raw Data'!D184),"\$([A-Z]+)\$[0-9]+"))</f>
        <v/>
      </c>
      <c r="E184" s="7" t="str">
        <f t="array" aca="1" ref="E184" ca="1">IFERROR(IF(OR('Raw Data'!E184="",LEN(TRIM('Raw Data'!E184))=0),"",IF(AND(LEN('Raw Data'!E184) &lt;= 50,LEN('Raw Data'!E184)&gt; 0),"",_xlfn.REGEXEXTRACT(CELL("address",'Raw Data'!E184),"\$([A-Z]+)\$[0-9]+"))),_xlfn.REGEXEXTRACT(CELL("address",'Raw Data'!E184),"\$([A-Z]+)\$[0-9]+"))</f>
        <v/>
      </c>
      <c r="F184" s="7" t="str">
        <f t="array" aca="1" ref="F184" ca="1">IFERROR(IF(OR('Raw Data'!F184="",LEN(TRIM('Raw Data'!F184))=0),"",IF(AND(LEN('Raw Data'!F184) &lt;= 50,LEN('Raw Data'!F184)&gt; 0),"",_xlfn.REGEXEXTRACT(CELL("address",'Raw Data'!F184),"\$([A-Z]+)\$[0-9]+"))),_xlfn.REGEXEXTRACT(CELL("address",'Raw Data'!F184),"\$([A-Z]+)\$[0-9]+"))</f>
        <v/>
      </c>
      <c r="G184" s="7" t="str">
        <f t="array" aca="1" ref="G184" ca="1">IFERROR(IF(OR('Raw Data'!G184="",LEN(TRIM('Raw Data'!G184))=0),"",IF(AND(LEN('Raw Data'!G184) &lt;= 50,LEN('Raw Data'!G184)&gt; 0),"",_xlfn.REGEXEXTRACT(CELL("address",'Raw Data'!G184),"\$([A-Z]+)\$[0-9]+"))),_xlfn.REGEXEXTRACT(CELL("address",'Raw Data'!G184),"\$([A-Z]+)\$[0-9]+"))</f>
        <v/>
      </c>
      <c r="H184" s="7" t="str">
        <f t="array" aca="1" ref="H184" ca="1">IFERROR(IF(OR('Raw Data'!H184="",LEN(TRIM('Raw Data'!H184))=0),"",IF(AND(LEN('Raw Data'!H184) &lt;= 50,LEN('Raw Data'!H184)&gt; 0),"",_xlfn.REGEXEXTRACT(CELL("address",'Raw Data'!H184),"\$([A-Z]+)\$[0-9]+"))),_xlfn.REGEXEXTRACT(CELL("address",'Raw Data'!H184),"\$([A-Z]+)\$[0-9]+"))</f>
        <v/>
      </c>
      <c r="I184" s="7" t="str">
        <f t="array" aca="1" ref="I184" ca="1">IFERROR(IF(OR('Raw Data'!I184="",LEN(TRIM('Raw Data'!I184))=0),"",IF(AND(LEN('Raw Data'!I184) &lt;= 50,LEN('Raw Data'!I184)&gt; 0),"",_xlfn.REGEXEXTRACT(CELL("address",'Raw Data'!I184),"\$([A-Z]+)\$[0-9]+"))),_xlfn.REGEXEXTRACT(CELL("address",'Raw Data'!I184),"\$([A-Z]+)\$[0-9]+"))</f>
        <v/>
      </c>
      <c r="J184" s="7" t="str">
        <f t="array" aca="1" ref="J184" ca="1">IFERROR(IF(OR('Raw Data'!J184="",LEN(TRIM('Raw Data'!J184))=0),"",IF(AND(ISNUMBER('Raw Data'!J184), IFERROR('Raw Data'!J184 = ROUND('Raw Data'!J184, 2),FALSE)),"",_xlfn.REGEXEXTRACT(CELL("address",J184), "\$([A-Z]+)\$[0-9]+"))),_xlfn.REGEXEXTRACT(CELL("address",J184), "\$([A-Z]+)\$[0-9]+"))</f>
        <v/>
      </c>
      <c r="K184" s="7" t="str">
        <f t="array" aca="1" ref="K184" ca="1">IFERROR(IF(OR('Raw Data'!K184="",LEN(TRIM('Raw Data'!K184))=0),"",IF(AND(ISNUMBER('Raw Data'!K184), IFERROR('Raw Data'!K184 = ROUND('Raw Data'!K184, 2),FALSE)),"",_xlfn.REGEXEXTRACT(CELL("address",K184), "\$([A-Z]+)\$[0-9]+"))),_xlfn.REGEXEXTRACT(CELL("address",K184), "\$([A-Z]+)\$[0-9]+"))</f>
        <v/>
      </c>
      <c r="L184" s="7" t="str">
        <f t="array" aca="1" ref="L184" ca="1">IFERROR(IF(OR('Raw Data'!L184="",LEN(TRIM('Raw Data'!L184))=0),"",IF(AND(ISNUMBER('Raw Data'!L184), IFERROR('Raw Data'!L184 = ROUND('Raw Data'!L184, 2),FALSE)),"",_xlfn.REGEXEXTRACT(CELL("address",L184), "\$([A-Z]+)\$[0-9]+"))),_xlfn.REGEXEXTRACT(CELL("address",L184), "\$([A-Z]+)\$[0-9]+"))</f>
        <v/>
      </c>
      <c r="M184" s="7" t="str">
        <f t="array" aca="1" ref="M184" ca="1">IFERROR(IF(OR('Raw Data'!M184="",LEN(TRIM('Raw Data'!M184))=0),"",IF(AND(ISNUMBER('Raw Data'!M184), IFERROR('Raw Data'!M184 = ROUND('Raw Data'!M184, 2),FALSE)),"",_xlfn.REGEXEXTRACT(CELL("address",M184), "\$([A-Z]+)\$[0-9]+"))),_xlfn.REGEXEXTRACT(CELL("address",M184), "\$([A-Z]+)\$[0-9]+"))</f>
        <v/>
      </c>
      <c r="N184" s="7" t="str">
        <f t="array" aca="1" ref="N184" ca="1">IFERROR(IF(OR('Raw Data'!N184="",LEN(TRIM('Raw Data'!N184))=0),"",IF(AND(ISNUMBER('Raw Data'!N184), IFERROR('Raw Data'!N184 = ROUND('Raw Data'!N184, 2),FALSE)),"",_xlfn.REGEXEXTRACT(CELL("address",N184), "\$([A-Z]+)\$[0-9]+"))),_xlfn.REGEXEXTRACT(CELL("address",N184), "\$([A-Z]+)\$[0-9]+"))</f>
        <v/>
      </c>
      <c r="O184" s="7" t="str">
        <f t="array" aca="1" ref="O184" ca="1">IFERROR(IF(OR('Raw Data'!O184="",LEN(TRIM('Raw Data'!O184))=0),"",IF(AND(ISNUMBER('Raw Data'!O184),'Raw Data'!O184&gt;=Configuration!$D$2),"",_xlfn.REGEXEXTRACT(CELL("address",'Raw Data'!O184),"\$([A-Z]+)\$[0-9]+"))),_xlfn.REGEXEXTRACT(CELL("address",O184), "\$([A-Z]+)\$[0-9]+"))</f>
        <v/>
      </c>
      <c r="P184" s="7" t="str">
        <f t="array" aca="1" ref="P184" ca="1">IFERROR(IF(OR('Raw Data'!P184="",LEN(TRIM('Raw Data'!P184))=0),"",IF(AND(ISNUMBER('Raw Data'!P184), IFERROR('Raw Data'!P184 = ROUND('Raw Data'!P184, 2),FALSE)),"",_xlfn.REGEXEXTRACT(CELL("address",P184), "\$([A-Z]+)\$[0-9]+"))),_xlfn.REGEXEXTRACT(CELL("address",P184), "\$([A-Z]+)\$[0-9]+"))</f>
        <v/>
      </c>
      <c r="Q184" s="7" t="str">
        <f t="array" aca="1" ref="Q184" ca="1">IFERROR(IF(OR('Raw Data'!Q184="",LEN(TRIM('Raw Data'!Q184))=0),"",IF(AND(ISNUMBER('Raw Data'!Q184), IFERROR('Raw Data'!Q184 = ROUND('Raw Data'!Q184, 2),FALSE)),"",_xlfn.REGEXEXTRACT(CELL("address",Q184), "\$([A-Z]+)\$[0-9]+"))),_xlfn.REGEXEXTRACT(CELL("address",Q184), "\$([A-Z]+)\$[0-9]+"))</f>
        <v/>
      </c>
      <c r="R184" s="7" t="str">
        <f t="array" aca="1" ref="R184" ca="1">IFERROR(IF(OR('Raw Data'!R184="",LEN(TRIM('Raw Data'!R184))=0),"",IF(AND(LEN('Raw Data'!R184) &lt;= 50,LEN('Raw Data'!R184)&gt; 0),"",_xlfn.REGEXEXTRACT(CELL("address",'Raw Data'!R184),"\$([A-Z]+)\$[0-9]+"))),_xlfn.REGEXEXTRACT(CELL("address",'Raw Data'!R184),"\$([A-Z]+)\$[0-9]+"))</f>
        <v/>
      </c>
      <c r="S184" s="7" t="str">
        <f t="array" aca="1" ref="S184" ca="1">IFERROR(IF(OR('Raw Data'!S184="",LEN(TRIM('Raw Data'!S184))=0),"",IF(AND(LEN('Raw Data'!S184) &lt;= 50,LEN('Raw Data'!S184)&gt; 0),"",_xlfn.REGEXEXTRACT(CELL("address",'Raw Data'!S184),"\$([A-Z]+)\$[0-9]+"))),_xlfn.REGEXEXTRACT(CELL("address",'Raw Data'!S184),"\$([A-Z]+)\$[0-9]+"))</f>
        <v/>
      </c>
      <c r="T184" s="7" t="str">
        <f t="array" aca="1" ref="T184" ca="1">IFERROR(IF(OR('Raw Data'!T184="",LEN(TRIM('Raw Data'!T184))=0),"",IF(AND(ISNUMBER('Raw Data'!T184), IFERROR('Raw Data'!T184 = ROUND('Raw Data'!T184, 2),FALSE)),"",_xlfn.REGEXEXTRACT(CELL("address",T184), "\$([A-Z]+)\$[0-9]+"))),_xlfn.REGEXEXTRACT(CELL("address",T184), "\$([A-Z]+)\$[0-9]+"))</f>
        <v/>
      </c>
      <c r="U184" s="7" t="str">
        <f t="array" aca="1" ref="U184" ca="1">IFERROR(IF(OR('Raw Data'!U184="",LEN(TRIM('Raw Data'!U184))=0),"",IF(AND(ISNUMBER('Raw Data'!U184), IFERROR('Raw Data'!U184 = ROUND('Raw Data'!U184, 2),FALSE)),"",_xlfn.REGEXEXTRACT(CELL("address",U184), "\$([A-Z]+)\$[0-9]+"))),_xlfn.REGEXEXTRACT(CELL("address",U184), "\$([A-Z]+)\$[0-9]+"))</f>
        <v/>
      </c>
      <c r="V184" s="7" t="str">
        <f t="array" aca="1" ref="V184" ca="1">IFERROR(IF(OR('Raw Data'!V184="",LEN(TRIM('Raw Data'!V184))=0),"",IF(AND(ISNUMBER('Raw Data'!V184), IFERROR('Raw Data'!V184 = ROUND('Raw Data'!V184, 2),FALSE)),"",_xlfn.REGEXEXTRACT(CELL("address",V184), "\$([A-Z]+)\$[0-9]+"))),_xlfn.REGEXEXTRACT(CELL("address",V184), "\$([A-Z]+)\$[0-9]+"))</f>
        <v/>
      </c>
      <c r="W184" s="7" t="str">
        <f t="array" aca="1" ref="W184" ca="1">IFERROR(IF(OR('Raw Data'!W184="",LEN(TRIM('Raw Data'!W184))=0),"",IF(AND(ISNUMBER('Raw Data'!W184), IFERROR('Raw Data'!W184 = ROUND('Raw Data'!W184, 2),FALSE)),"",_xlfn.REGEXEXTRACT(CELL("address",W184), "\$([A-Z]+)\$[0-9]+"))),_xlfn.REGEXEXTRACT(CELL("address",W184), "\$([A-Z]+)\$[0-9]+"))</f>
        <v/>
      </c>
      <c r="X184" s="7" t="str">
        <f t="array" aca="1" ref="X184" ca="1">IFERROR(IF(OR('Raw Data'!X184="",LEN(TRIM('Raw Data'!X184))=0),"",IF(AND(ISNUMBER('Raw Data'!X184), IFERROR('Raw Data'!X184 = ROUND('Raw Data'!X184, 2),FALSE)),"",_xlfn.REGEXEXTRACT(CELL("address",X184), "\$([A-Z]+)\$[0-9]+"))),_xlfn.REGEXEXTRACT(CELL("address",X184), "\$([A-Z]+)\$[0-9]+"))</f>
        <v/>
      </c>
      <c r="Y184" s="7" t="str">
        <f t="array" aca="1" ref="Y184" ca="1">IFERROR(IF(OR('Raw Data'!Y184="",LEN(TRIM('Raw Data'!Y184))=0),"",IF(AND(ISNUMBER('Raw Data'!Y184), IFERROR('Raw Data'!Y184 = ROUND('Raw Data'!Y184, 2),FALSE)),"",_xlfn.REGEXEXTRACT(CELL("address",Y184), "\$([A-Z]+)\$[0-9]+"))),_xlfn.REGEXEXTRACT(CELL("address",Y184), "\$([A-Z]+)\$[0-9]+"))</f>
        <v/>
      </c>
      <c r="Z184" s="7" t="str">
        <f t="array" aca="1" ref="Z184" ca="1">IFERROR(IF(OR('Raw Data'!Z184="",LEN(TRIM('Raw Data'!Z184))=0),"",IF(AND(ISNUMBER('Raw Data'!Z184), IFERROR('Raw Data'!Z184 = ROUND('Raw Data'!Z184, 2),FALSE)),"",_xlfn.REGEXEXTRACT(CELL("address",Z184), "\$([A-Z]+)\$[0-9]+"))),_xlfn.REGEXEXTRACT(CELL("address",Z184), "\$([A-Z]+)\$[0-9]+"))</f>
        <v/>
      </c>
      <c r="AA184" s="7" t="str">
        <f t="array" aca="1" ref="AA184" ca="1">IFERROR(IF(OR('Raw Data'!AA184="",LEN(TRIM('Raw Data'!AA184))=0),"",IF(AND(ISNUMBER('Raw Data'!AA184), IFERROR('Raw Data'!AA184 = ROUND('Raw Data'!AA184, 2),FALSE)),"",_xlfn.REGEXEXTRACT(CELL("address",AA184), "\$([A-Z]+)\$[0-9]+"))),_xlfn.REGEXEXTRACT(CELL("address",AA184), "\$([A-Z]+)\$[0-9]+"))</f>
        <v/>
      </c>
      <c r="AB184" s="7" t="str">
        <f t="array" aca="1" ref="AB184" ca="1">IFERROR(IF(OR('Raw Data'!AB184="",LEN(TRIM('Raw Data'!AB184))=0),"",IF(AND(ISNUMBER('Raw Data'!AB184), IFERROR('Raw Data'!AB184 = ROUND('Raw Data'!AB184, 2),FALSE)),"",_xlfn.REGEXEXTRACT(CELL("address",AB184), "\$([A-Z]+)\$[0-9]+"))),_xlfn.REGEXEXTRACT(CELL("address",AB184), "\$([A-Z]+)\$[0-9]+"))</f>
        <v/>
      </c>
      <c r="AC184" s="7" t="str">
        <f t="array" aca="1" ref="AC184" ca="1">IFERROR(IF(OR('Raw Data'!AC184="",LEN(TRIM('Raw Data'!AC184))=0),"",IF(AND(ISNUMBER('Raw Data'!AC184), IFERROR('Raw Data'!AC184 = ROUND('Raw Data'!AC184, 2),FALSE)),"",_xlfn.REGEXEXTRACT(CELL("address",AC184), "\$([A-Z]+)\$[0-9]+"))),_xlfn.REGEXEXTRACT(CELL("address",AC184), "\$([A-Z]+)\$[0-9]+"))</f>
        <v/>
      </c>
      <c r="AD184" s="7" t="str">
        <f t="array" aca="1" ref="AD184" ca="1">IFERROR(IF(OR('Raw Data'!AD184="",LEN(TRIM('Raw Data'!AD184))=0),"",IF(AND(ISNUMBER('Raw Data'!AD184), IFERROR('Raw Data'!AD184 = ROUND('Raw Data'!AD184, 2),FALSE)),"",_xlfn.REGEXEXTRACT(CELL("address",AD184), "\$([A-Z]+)\$[0-9]+"))),_xlfn.REGEXEXTRACT(CELL("address",AD184), "\$([A-Z]+)\$[0-9]+"))</f>
        <v/>
      </c>
      <c r="AE184" s="7" t="str">
        <f t="array" aca="1" ref="AE184" ca="1">IFERROR(IF(OR('Raw Data'!AE184="",LEN(TRIM('Raw Data'!AE184))=0),"",IF(AND(ISNUMBER('Raw Data'!AE184), IFERROR('Raw Data'!AE184 = ROUND('Raw Data'!AE184, 2),FALSE)),"",_xlfn.REGEXEXTRACT(CELL("address",AE184), "\$([A-Z]+)\$[0-9]+"))),_xlfn.REGEXEXTRACT(CELL("address",AE184), "\$([A-Z]+)\$[0-9]+"))</f>
        <v/>
      </c>
      <c r="AF184" s="7" t="str">
        <f t="array" aca="1" ref="AF184" ca="1">IFERROR(IF(OR('Raw Data'!AF184="",LEN(TRIM('Raw Data'!AF184))=0),"",IF(AND(ISNUMBER('Raw Data'!AF184), IFERROR('Raw Data'!AF184 = ROUND('Raw Data'!AF184, 2),FALSE)),"",_xlfn.REGEXEXTRACT(CELL("address",AF184), "\$([A-Z]+)\$[0-9]+"))),_xlfn.REGEXEXTRACT(CELL("address",AF184), "\$([A-Z]+)\$[0-9]+"))</f>
        <v/>
      </c>
      <c r="AG184" s="7" t="str">
        <f t="array" aca="1" ref="AG184" ca="1">IFERROR(IF(OR('Raw Data'!AG184="",LEN(TRIM('Raw Data'!AG184))=0),"",IF(AND(ISNUMBER('Raw Data'!AG184), IFERROR('Raw Data'!AG184 = ROUND('Raw Data'!AG184, 2),FALSE)),"",_xlfn.REGEXEXTRACT(CELL("address",AG184), "\$([A-Z]+)\$[0-9]+"))),_xlfn.REGEXEXTRACT(CELL("address",AG184), "\$([A-Z]+)\$[0-9]+"))</f>
        <v/>
      </c>
      <c r="AH184" s="7" t="str">
        <f t="array" aca="1" ref="AH184" ca="1">IFERROR(IF(OR('Raw Data'!AH184="",LEN(TRIM('Raw Data'!AH184))=0),"",IF(AND(ISNUMBER('Raw Data'!AH184), IFERROR('Raw Data'!AH184 = ROUND('Raw Data'!AH184, 2),FALSE)),"",_xlfn.REGEXEXTRACT(CELL("address",AH184), "\$([A-Z]+)\$[0-9]+"))),_xlfn.REGEXEXTRACT(CELL("address",AH184), "\$([A-Z]+)\$[0-9]+"))</f>
        <v/>
      </c>
      <c r="AI184" s="7" t="str">
        <f t="array" aca="1" ref="AI184" ca="1">IFERROR(IF(OR('Raw Data'!AI184="",LEN(TRIM('Raw Data'!AI184))=0),"",IF(AND(ISNUMBER('Raw Data'!AI184), IFERROR('Raw Data'!AI184 = ROUND('Raw Data'!AI184, 2),FALSE)),"",_xlfn.REGEXEXTRACT(CELL("address",AI184), "\$([A-Z]+)\$[0-9]+"))),_xlfn.REGEXEXTRACT(CELL("address",AI184), "\$([A-Z]+)\$[0-9]+"))</f>
        <v/>
      </c>
      <c r="AJ184" s="7" t="str">
        <f t="array" aca="1" ref="AJ184" ca="1">IFERROR(IF(OR('Raw Data'!AJ184="",LEN(TRIM('Raw Data'!AJ184))=0),"",IF(AND(ISNUMBER('Raw Data'!AJ184), IFERROR('Raw Data'!AJ184 = ROUND('Raw Data'!AJ184, 4),FALSE)),"",_xlfn.REGEXEXTRACT(CELL("address",AJ184), "\$([A-Z]+)\$[0-9]+"))),_xlfn.REGEXEXTRACT(CELL("address",AJ184), "\$([A-Z]+)\$[0-9]+"))</f>
        <v/>
      </c>
      <c r="AK184" s="7" t="str">
        <f t="array" aca="1" ref="AK184" ca="1">IFERROR(IF(OR('Raw Data'!AK184="",LEN(TRIM('Raw Data'!AK184))=0),"",IF(AND(ISNUMBER('Raw Data'!AK184), IFERROR('Raw Data'!AK184 = ROUND('Raw Data'!AK184, 2),FALSE)),"",_xlfn.REGEXEXTRACT(CELL("address",AK184), "\$([A-Z]+)\$[0-9]+"))),_xlfn.REGEXEXTRACT(CELL("address",AK184), "\$([A-Z]+)\$[0-9]+"))</f>
        <v/>
      </c>
      <c r="AL184" s="7" t="str">
        <f t="array" aca="1" ref="AL184" ca="1">IFERROR(IF(OR('Raw Data'!AL184="",LEN(TRIM('Raw Data'!AL184))=0),"",IF(AND(ISNUMBER('Raw Data'!AL184), IFERROR('Raw Data'!AL184 = ROUND('Raw Data'!AL184, 2),FALSE)),"",_xlfn.REGEXEXTRACT(CELL("address",AL184), "\$([A-Z]+)\$[0-9]+"))),_xlfn.REGEXEXTRACT(CELL("address",AL184), "\$([A-Z]+)\$[0-9]+"))</f>
        <v/>
      </c>
      <c r="AM184" s="7" t="str">
        <f t="array" aca="1" ref="AM184" ca="1">IFERROR(IF(OR('Raw Data'!AM184="",LEN(TRIM('Raw Data'!AM184))=0),"",IF(AND(ISNUMBER('Raw Data'!AM184), IFERROR('Raw Data'!AM184 = ROUND('Raw Data'!AM184, 2),FALSE)),"",_xlfn.REGEXEXTRACT(CELL("address",AM184), "\$([A-Z]+)\$[0-9]+"))),_xlfn.REGEXEXTRACT(CELL("address",AM184), "\$([A-Z]+)\$[0-9]+"))</f>
        <v/>
      </c>
      <c r="AN184" s="7" t="str">
        <f t="array" aca="1" ref="AN184" ca="1">IFERROR(IF(OR('Raw Data'!AN184="",LEN(TRIM('Raw Data'!AN184))=0),"",IF(AND(ISNUMBER('Raw Data'!AN184), IFERROR('Raw Data'!AN184 = ROUND('Raw Data'!AN184, 2),FALSE)),"",_xlfn.REGEXEXTRACT(CELL("address",AN184), "\$([A-Z]+)\$[0-9]+"))),_xlfn.REGEXEXTRACT(CELL("address",AN184), "\$([A-Z]+)\$[0-9]+"))</f>
        <v/>
      </c>
      <c r="AO184" s="7" t="str">
        <f t="array" aca="1" ref="AO184" ca="1">IFERROR(IF(OR('Raw Data'!AO184="",LEN(TRIM('Raw Data'!AO184))=0),"",IF(AND(ISNUMBER('Raw Data'!AO184), IFERROR('Raw Data'!AO184 = ROUND('Raw Data'!AO184, 2),FALSE)),"",_xlfn.REGEXEXTRACT(CELL("address",AO184), "\$([A-Z]+)\$[0-9]+"))),_xlfn.REGEXEXTRACT(CELL("address",AO184), "\$([A-Z]+)\$[0-9]+"))</f>
        <v/>
      </c>
      <c r="AP184" s="7" t="str">
        <f t="array" aca="1" ref="AP184" ca="1">IFERROR(IF(OR('Raw Data'!AP184="",LEN(TRIM('Raw Data'!AP184))=0),"",IF(AND(ISNUMBER('Raw Data'!AP184), IFERROR('Raw Data'!AP184 = ROUND('Raw Data'!AP184, 2),FALSE)),"",_xlfn.REGEXEXTRACT(CELL("address",AP184), "\$([A-Z]+)\$[0-9]+"))),_xlfn.REGEXEXTRACT(CELL("address",AP184), "\$([A-Z]+)\$[0-9]+"))</f>
        <v/>
      </c>
    </row>
    <row r="185" spans="2:42" x14ac:dyDescent="0.25">
      <c r="B185" s="7" t="str">
        <f t="array" aca="1" ref="B185" ca="1">IFERROR(IF(OR('Raw Data'!B185="",LEN(TRIM('Raw Data'!B185))=0),"",IF(AND(LEN('Raw Data'!B185) &lt;= 255,LEN('Raw Data'!B185)&gt; 0),"",_xlfn.REGEXEXTRACT(CELL("address",'Raw Data'!B185),"\$([A-Z]+)\$[0-9]+"))),_xlfn.REGEXEXTRACT(CELL("address",'Raw Data'!B185),"\$([A-Z]+)\$[0-9]+"))</f>
        <v/>
      </c>
      <c r="C185" s="7" t="str">
        <f t="array" aca="1" ref="C185" ca="1">IFERROR(IF(OR('Raw Data'!C185="",LEN(TRIM('Raw Data'!C185))=0),"",IF(AND(LEN('Raw Data'!C185) &lt;= 50,LEN('Raw Data'!C185)&gt; 0),"",_xlfn.REGEXEXTRACT(CELL("address",'Raw Data'!C185),"\$([A-Z]+)\$[0-9]+"))),_xlfn.REGEXEXTRACT(CELL("address",'Raw Data'!C185),"\$([A-Z]+)\$[0-9]+"))</f>
        <v/>
      </c>
      <c r="D185" s="7" t="str">
        <f t="array" aca="1" ref="D185" ca="1">IFERROR(IF(OR('Raw Data'!D185="",LEN(TRIM('Raw Data'!D185))=0),"",IF(AND(LEN('Raw Data'!D185) &lt;= 500,LEN('Raw Data'!D185)&gt; 0),"",_xlfn.REGEXEXTRACT(CELL("address",'Raw Data'!D185),"\$([A-Z]+)\$[0-9]+"))),_xlfn.REGEXEXTRACT(CELL("address",'Raw Data'!D185),"\$([A-Z]+)\$[0-9]+"))</f>
        <v/>
      </c>
      <c r="E185" s="7" t="str">
        <f t="array" aca="1" ref="E185" ca="1">IFERROR(IF(OR('Raw Data'!E185="",LEN(TRIM('Raw Data'!E185))=0),"",IF(AND(LEN('Raw Data'!E185) &lt;= 50,LEN('Raw Data'!E185)&gt; 0),"",_xlfn.REGEXEXTRACT(CELL("address",'Raw Data'!E185),"\$([A-Z]+)\$[0-9]+"))),_xlfn.REGEXEXTRACT(CELL("address",'Raw Data'!E185),"\$([A-Z]+)\$[0-9]+"))</f>
        <v/>
      </c>
      <c r="F185" s="7" t="str">
        <f t="array" aca="1" ref="F185" ca="1">IFERROR(IF(OR('Raw Data'!F185="",LEN(TRIM('Raw Data'!F185))=0),"",IF(AND(LEN('Raw Data'!F185) &lt;= 50,LEN('Raw Data'!F185)&gt; 0),"",_xlfn.REGEXEXTRACT(CELL("address",'Raw Data'!F185),"\$([A-Z]+)\$[0-9]+"))),_xlfn.REGEXEXTRACT(CELL("address",'Raw Data'!F185),"\$([A-Z]+)\$[0-9]+"))</f>
        <v/>
      </c>
      <c r="G185" s="7" t="str">
        <f t="array" aca="1" ref="G185" ca="1">IFERROR(IF(OR('Raw Data'!G185="",LEN(TRIM('Raw Data'!G185))=0),"",IF(AND(LEN('Raw Data'!G185) &lt;= 50,LEN('Raw Data'!G185)&gt; 0),"",_xlfn.REGEXEXTRACT(CELL("address",'Raw Data'!G185),"\$([A-Z]+)\$[0-9]+"))),_xlfn.REGEXEXTRACT(CELL("address",'Raw Data'!G185),"\$([A-Z]+)\$[0-9]+"))</f>
        <v/>
      </c>
      <c r="H185" s="7" t="str">
        <f t="array" aca="1" ref="H185" ca="1">IFERROR(IF(OR('Raw Data'!H185="",LEN(TRIM('Raw Data'!H185))=0),"",IF(AND(LEN('Raw Data'!H185) &lt;= 50,LEN('Raw Data'!H185)&gt; 0),"",_xlfn.REGEXEXTRACT(CELL("address",'Raw Data'!H185),"\$([A-Z]+)\$[0-9]+"))),_xlfn.REGEXEXTRACT(CELL("address",'Raw Data'!H185),"\$([A-Z]+)\$[0-9]+"))</f>
        <v/>
      </c>
      <c r="I185" s="7" t="str">
        <f t="array" aca="1" ref="I185" ca="1">IFERROR(IF(OR('Raw Data'!I185="",LEN(TRIM('Raw Data'!I185))=0),"",IF(AND(LEN('Raw Data'!I185) &lt;= 50,LEN('Raw Data'!I185)&gt; 0),"",_xlfn.REGEXEXTRACT(CELL("address",'Raw Data'!I185),"\$([A-Z]+)\$[0-9]+"))),_xlfn.REGEXEXTRACT(CELL("address",'Raw Data'!I185),"\$([A-Z]+)\$[0-9]+"))</f>
        <v/>
      </c>
      <c r="J185" s="7" t="str">
        <f t="array" aca="1" ref="J185" ca="1">IFERROR(IF(OR('Raw Data'!J185="",LEN(TRIM('Raw Data'!J185))=0),"",IF(AND(ISNUMBER('Raw Data'!J185), IFERROR('Raw Data'!J185 = ROUND('Raw Data'!J185, 2),FALSE)),"",_xlfn.REGEXEXTRACT(CELL("address",J185), "\$([A-Z]+)\$[0-9]+"))),_xlfn.REGEXEXTRACT(CELL("address",J185), "\$([A-Z]+)\$[0-9]+"))</f>
        <v/>
      </c>
      <c r="K185" s="7" t="str">
        <f t="array" aca="1" ref="K185" ca="1">IFERROR(IF(OR('Raw Data'!K185="",LEN(TRIM('Raw Data'!K185))=0),"",IF(AND(ISNUMBER('Raw Data'!K185), IFERROR('Raw Data'!K185 = ROUND('Raw Data'!K185, 2),FALSE)),"",_xlfn.REGEXEXTRACT(CELL("address",K185), "\$([A-Z]+)\$[0-9]+"))),_xlfn.REGEXEXTRACT(CELL("address",K185), "\$([A-Z]+)\$[0-9]+"))</f>
        <v/>
      </c>
      <c r="L185" s="7" t="str">
        <f t="array" aca="1" ref="L185" ca="1">IFERROR(IF(OR('Raw Data'!L185="",LEN(TRIM('Raw Data'!L185))=0),"",IF(AND(ISNUMBER('Raw Data'!L185), IFERROR('Raw Data'!L185 = ROUND('Raw Data'!L185, 2),FALSE)),"",_xlfn.REGEXEXTRACT(CELL("address",L185), "\$([A-Z]+)\$[0-9]+"))),_xlfn.REGEXEXTRACT(CELL("address",L185), "\$([A-Z]+)\$[0-9]+"))</f>
        <v/>
      </c>
      <c r="M185" s="7" t="str">
        <f t="array" aca="1" ref="M185" ca="1">IFERROR(IF(OR('Raw Data'!M185="",LEN(TRIM('Raw Data'!M185))=0),"",IF(AND(ISNUMBER('Raw Data'!M185), IFERROR('Raw Data'!M185 = ROUND('Raw Data'!M185, 2),FALSE)),"",_xlfn.REGEXEXTRACT(CELL("address",M185), "\$([A-Z]+)\$[0-9]+"))),_xlfn.REGEXEXTRACT(CELL("address",M185), "\$([A-Z]+)\$[0-9]+"))</f>
        <v/>
      </c>
      <c r="N185" s="7" t="str">
        <f t="array" aca="1" ref="N185" ca="1">IFERROR(IF(OR('Raw Data'!N185="",LEN(TRIM('Raw Data'!N185))=0),"",IF(AND(ISNUMBER('Raw Data'!N185), IFERROR('Raw Data'!N185 = ROUND('Raw Data'!N185, 2),FALSE)),"",_xlfn.REGEXEXTRACT(CELL("address",N185), "\$([A-Z]+)\$[0-9]+"))),_xlfn.REGEXEXTRACT(CELL("address",N185), "\$([A-Z]+)\$[0-9]+"))</f>
        <v/>
      </c>
      <c r="O185" s="7" t="str">
        <f t="array" aca="1" ref="O185" ca="1">IFERROR(IF(OR('Raw Data'!O185="",LEN(TRIM('Raw Data'!O185))=0),"",IF(AND(ISNUMBER('Raw Data'!O185),'Raw Data'!O185&gt;=Configuration!$D$2),"",_xlfn.REGEXEXTRACT(CELL("address",'Raw Data'!O185),"\$([A-Z]+)\$[0-9]+"))),_xlfn.REGEXEXTRACT(CELL("address",O185), "\$([A-Z]+)\$[0-9]+"))</f>
        <v/>
      </c>
      <c r="P185" s="7" t="str">
        <f t="array" aca="1" ref="P185" ca="1">IFERROR(IF(OR('Raw Data'!P185="",LEN(TRIM('Raw Data'!P185))=0),"",IF(AND(ISNUMBER('Raw Data'!P185), IFERROR('Raw Data'!P185 = ROUND('Raw Data'!P185, 2),FALSE)),"",_xlfn.REGEXEXTRACT(CELL("address",P185), "\$([A-Z]+)\$[0-9]+"))),_xlfn.REGEXEXTRACT(CELL("address",P185), "\$([A-Z]+)\$[0-9]+"))</f>
        <v/>
      </c>
      <c r="Q185" s="7" t="str">
        <f t="array" aca="1" ref="Q185" ca="1">IFERROR(IF(OR('Raw Data'!Q185="",LEN(TRIM('Raw Data'!Q185))=0),"",IF(AND(ISNUMBER('Raw Data'!Q185), IFERROR('Raw Data'!Q185 = ROUND('Raw Data'!Q185, 2),FALSE)),"",_xlfn.REGEXEXTRACT(CELL("address",Q185), "\$([A-Z]+)\$[0-9]+"))),_xlfn.REGEXEXTRACT(CELL("address",Q185), "\$([A-Z]+)\$[0-9]+"))</f>
        <v/>
      </c>
      <c r="R185" s="7" t="str">
        <f t="array" aca="1" ref="R185" ca="1">IFERROR(IF(OR('Raw Data'!R185="",LEN(TRIM('Raw Data'!R185))=0),"",IF(AND(LEN('Raw Data'!R185) &lt;= 50,LEN('Raw Data'!R185)&gt; 0),"",_xlfn.REGEXEXTRACT(CELL("address",'Raw Data'!R185),"\$([A-Z]+)\$[0-9]+"))),_xlfn.REGEXEXTRACT(CELL("address",'Raw Data'!R185),"\$([A-Z]+)\$[0-9]+"))</f>
        <v/>
      </c>
      <c r="S185" s="7" t="str">
        <f t="array" aca="1" ref="S185" ca="1">IFERROR(IF(OR('Raw Data'!S185="",LEN(TRIM('Raw Data'!S185))=0),"",IF(AND(LEN('Raw Data'!S185) &lt;= 50,LEN('Raw Data'!S185)&gt; 0),"",_xlfn.REGEXEXTRACT(CELL("address",'Raw Data'!S185),"\$([A-Z]+)\$[0-9]+"))),_xlfn.REGEXEXTRACT(CELL("address",'Raw Data'!S185),"\$([A-Z]+)\$[0-9]+"))</f>
        <v/>
      </c>
      <c r="T185" s="7" t="str">
        <f t="array" aca="1" ref="T185" ca="1">IFERROR(IF(OR('Raw Data'!T185="",LEN(TRIM('Raw Data'!T185))=0),"",IF(AND(ISNUMBER('Raw Data'!T185), IFERROR('Raw Data'!T185 = ROUND('Raw Data'!T185, 2),FALSE)),"",_xlfn.REGEXEXTRACT(CELL("address",T185), "\$([A-Z]+)\$[0-9]+"))),_xlfn.REGEXEXTRACT(CELL("address",T185), "\$([A-Z]+)\$[0-9]+"))</f>
        <v/>
      </c>
      <c r="U185" s="7" t="str">
        <f t="array" aca="1" ref="U185" ca="1">IFERROR(IF(OR('Raw Data'!U185="",LEN(TRIM('Raw Data'!U185))=0),"",IF(AND(ISNUMBER('Raw Data'!U185), IFERROR('Raw Data'!U185 = ROUND('Raw Data'!U185, 2),FALSE)),"",_xlfn.REGEXEXTRACT(CELL("address",U185), "\$([A-Z]+)\$[0-9]+"))),_xlfn.REGEXEXTRACT(CELL("address",U185), "\$([A-Z]+)\$[0-9]+"))</f>
        <v/>
      </c>
      <c r="V185" s="7" t="str">
        <f t="array" aca="1" ref="V185" ca="1">IFERROR(IF(OR('Raw Data'!V185="",LEN(TRIM('Raw Data'!V185))=0),"",IF(AND(ISNUMBER('Raw Data'!V185), IFERROR('Raw Data'!V185 = ROUND('Raw Data'!V185, 2),FALSE)),"",_xlfn.REGEXEXTRACT(CELL("address",V185), "\$([A-Z]+)\$[0-9]+"))),_xlfn.REGEXEXTRACT(CELL("address",V185), "\$([A-Z]+)\$[0-9]+"))</f>
        <v/>
      </c>
      <c r="W185" s="7" t="str">
        <f t="array" aca="1" ref="W185" ca="1">IFERROR(IF(OR('Raw Data'!W185="",LEN(TRIM('Raw Data'!W185))=0),"",IF(AND(ISNUMBER('Raw Data'!W185), IFERROR('Raw Data'!W185 = ROUND('Raw Data'!W185, 2),FALSE)),"",_xlfn.REGEXEXTRACT(CELL("address",W185), "\$([A-Z]+)\$[0-9]+"))),_xlfn.REGEXEXTRACT(CELL("address",W185), "\$([A-Z]+)\$[0-9]+"))</f>
        <v/>
      </c>
      <c r="X185" s="7" t="str">
        <f t="array" aca="1" ref="X185" ca="1">IFERROR(IF(OR('Raw Data'!X185="",LEN(TRIM('Raw Data'!X185))=0),"",IF(AND(ISNUMBER('Raw Data'!X185), IFERROR('Raw Data'!X185 = ROUND('Raw Data'!X185, 2),FALSE)),"",_xlfn.REGEXEXTRACT(CELL("address",X185), "\$([A-Z]+)\$[0-9]+"))),_xlfn.REGEXEXTRACT(CELL("address",X185), "\$([A-Z]+)\$[0-9]+"))</f>
        <v/>
      </c>
      <c r="Y185" s="7" t="str">
        <f t="array" aca="1" ref="Y185" ca="1">IFERROR(IF(OR('Raw Data'!Y185="",LEN(TRIM('Raw Data'!Y185))=0),"",IF(AND(ISNUMBER('Raw Data'!Y185), IFERROR('Raw Data'!Y185 = ROUND('Raw Data'!Y185, 2),FALSE)),"",_xlfn.REGEXEXTRACT(CELL("address",Y185), "\$([A-Z]+)\$[0-9]+"))),_xlfn.REGEXEXTRACT(CELL("address",Y185), "\$([A-Z]+)\$[0-9]+"))</f>
        <v/>
      </c>
      <c r="Z185" s="7" t="str">
        <f t="array" aca="1" ref="Z185" ca="1">IFERROR(IF(OR('Raw Data'!Z185="",LEN(TRIM('Raw Data'!Z185))=0),"",IF(AND(ISNUMBER('Raw Data'!Z185), IFERROR('Raw Data'!Z185 = ROUND('Raw Data'!Z185, 2),FALSE)),"",_xlfn.REGEXEXTRACT(CELL("address",Z185), "\$([A-Z]+)\$[0-9]+"))),_xlfn.REGEXEXTRACT(CELL("address",Z185), "\$([A-Z]+)\$[0-9]+"))</f>
        <v/>
      </c>
      <c r="AA185" s="7" t="str">
        <f t="array" aca="1" ref="AA185" ca="1">IFERROR(IF(OR('Raw Data'!AA185="",LEN(TRIM('Raw Data'!AA185))=0),"",IF(AND(ISNUMBER('Raw Data'!AA185), IFERROR('Raw Data'!AA185 = ROUND('Raw Data'!AA185, 2),FALSE)),"",_xlfn.REGEXEXTRACT(CELL("address",AA185), "\$([A-Z]+)\$[0-9]+"))),_xlfn.REGEXEXTRACT(CELL("address",AA185), "\$([A-Z]+)\$[0-9]+"))</f>
        <v/>
      </c>
      <c r="AB185" s="7" t="str">
        <f t="array" aca="1" ref="AB185" ca="1">IFERROR(IF(OR('Raw Data'!AB185="",LEN(TRIM('Raw Data'!AB185))=0),"",IF(AND(ISNUMBER('Raw Data'!AB185), IFERROR('Raw Data'!AB185 = ROUND('Raw Data'!AB185, 2),FALSE)),"",_xlfn.REGEXEXTRACT(CELL("address",AB185), "\$([A-Z]+)\$[0-9]+"))),_xlfn.REGEXEXTRACT(CELL("address",AB185), "\$([A-Z]+)\$[0-9]+"))</f>
        <v/>
      </c>
      <c r="AC185" s="7" t="str">
        <f t="array" aca="1" ref="AC185" ca="1">IFERROR(IF(OR('Raw Data'!AC185="",LEN(TRIM('Raw Data'!AC185))=0),"",IF(AND(ISNUMBER('Raw Data'!AC185), IFERROR('Raw Data'!AC185 = ROUND('Raw Data'!AC185, 2),FALSE)),"",_xlfn.REGEXEXTRACT(CELL("address",AC185), "\$([A-Z]+)\$[0-9]+"))),_xlfn.REGEXEXTRACT(CELL("address",AC185), "\$([A-Z]+)\$[0-9]+"))</f>
        <v/>
      </c>
      <c r="AD185" s="7" t="str">
        <f t="array" aca="1" ref="AD185" ca="1">IFERROR(IF(OR('Raw Data'!AD185="",LEN(TRIM('Raw Data'!AD185))=0),"",IF(AND(ISNUMBER('Raw Data'!AD185), IFERROR('Raw Data'!AD185 = ROUND('Raw Data'!AD185, 2),FALSE)),"",_xlfn.REGEXEXTRACT(CELL("address",AD185), "\$([A-Z]+)\$[0-9]+"))),_xlfn.REGEXEXTRACT(CELL("address",AD185), "\$([A-Z]+)\$[0-9]+"))</f>
        <v/>
      </c>
      <c r="AE185" s="7" t="str">
        <f t="array" aca="1" ref="AE185" ca="1">IFERROR(IF(OR('Raw Data'!AE185="",LEN(TRIM('Raw Data'!AE185))=0),"",IF(AND(ISNUMBER('Raw Data'!AE185), IFERROR('Raw Data'!AE185 = ROUND('Raw Data'!AE185, 2),FALSE)),"",_xlfn.REGEXEXTRACT(CELL("address",AE185), "\$([A-Z]+)\$[0-9]+"))),_xlfn.REGEXEXTRACT(CELL("address",AE185), "\$([A-Z]+)\$[0-9]+"))</f>
        <v/>
      </c>
      <c r="AF185" s="7" t="str">
        <f t="array" aca="1" ref="AF185" ca="1">IFERROR(IF(OR('Raw Data'!AF185="",LEN(TRIM('Raw Data'!AF185))=0),"",IF(AND(ISNUMBER('Raw Data'!AF185), IFERROR('Raw Data'!AF185 = ROUND('Raw Data'!AF185, 2),FALSE)),"",_xlfn.REGEXEXTRACT(CELL("address",AF185), "\$([A-Z]+)\$[0-9]+"))),_xlfn.REGEXEXTRACT(CELL("address",AF185), "\$([A-Z]+)\$[0-9]+"))</f>
        <v/>
      </c>
      <c r="AG185" s="7" t="str">
        <f t="array" aca="1" ref="AG185" ca="1">IFERROR(IF(OR('Raw Data'!AG185="",LEN(TRIM('Raw Data'!AG185))=0),"",IF(AND(ISNUMBER('Raw Data'!AG185), IFERROR('Raw Data'!AG185 = ROUND('Raw Data'!AG185, 2),FALSE)),"",_xlfn.REGEXEXTRACT(CELL("address",AG185), "\$([A-Z]+)\$[0-9]+"))),_xlfn.REGEXEXTRACT(CELL("address",AG185), "\$([A-Z]+)\$[0-9]+"))</f>
        <v/>
      </c>
      <c r="AH185" s="7" t="str">
        <f t="array" aca="1" ref="AH185" ca="1">IFERROR(IF(OR('Raw Data'!AH185="",LEN(TRIM('Raw Data'!AH185))=0),"",IF(AND(ISNUMBER('Raw Data'!AH185), IFERROR('Raw Data'!AH185 = ROUND('Raw Data'!AH185, 2),FALSE)),"",_xlfn.REGEXEXTRACT(CELL("address",AH185), "\$([A-Z]+)\$[0-9]+"))),_xlfn.REGEXEXTRACT(CELL("address",AH185), "\$([A-Z]+)\$[0-9]+"))</f>
        <v/>
      </c>
      <c r="AI185" s="7" t="str">
        <f t="array" aca="1" ref="AI185" ca="1">IFERROR(IF(OR('Raw Data'!AI185="",LEN(TRIM('Raw Data'!AI185))=0),"",IF(AND(ISNUMBER('Raw Data'!AI185), IFERROR('Raw Data'!AI185 = ROUND('Raw Data'!AI185, 2),FALSE)),"",_xlfn.REGEXEXTRACT(CELL("address",AI185), "\$([A-Z]+)\$[0-9]+"))),_xlfn.REGEXEXTRACT(CELL("address",AI185), "\$([A-Z]+)\$[0-9]+"))</f>
        <v/>
      </c>
      <c r="AJ185" s="7" t="str">
        <f t="array" aca="1" ref="AJ185" ca="1">IFERROR(IF(OR('Raw Data'!AJ185="",LEN(TRIM('Raw Data'!AJ185))=0),"",IF(AND(ISNUMBER('Raw Data'!AJ185), IFERROR('Raw Data'!AJ185 = ROUND('Raw Data'!AJ185, 4),FALSE)),"",_xlfn.REGEXEXTRACT(CELL("address",AJ185), "\$([A-Z]+)\$[0-9]+"))),_xlfn.REGEXEXTRACT(CELL("address",AJ185), "\$([A-Z]+)\$[0-9]+"))</f>
        <v/>
      </c>
      <c r="AK185" s="7" t="str">
        <f t="array" aca="1" ref="AK185" ca="1">IFERROR(IF(OR('Raw Data'!AK185="",LEN(TRIM('Raw Data'!AK185))=0),"",IF(AND(ISNUMBER('Raw Data'!AK185), IFERROR('Raw Data'!AK185 = ROUND('Raw Data'!AK185, 2),FALSE)),"",_xlfn.REGEXEXTRACT(CELL("address",AK185), "\$([A-Z]+)\$[0-9]+"))),_xlfn.REGEXEXTRACT(CELL("address",AK185), "\$([A-Z]+)\$[0-9]+"))</f>
        <v/>
      </c>
      <c r="AL185" s="7" t="str">
        <f t="array" aca="1" ref="AL185" ca="1">IFERROR(IF(OR('Raw Data'!AL185="",LEN(TRIM('Raw Data'!AL185))=0),"",IF(AND(ISNUMBER('Raw Data'!AL185), IFERROR('Raw Data'!AL185 = ROUND('Raw Data'!AL185, 2),FALSE)),"",_xlfn.REGEXEXTRACT(CELL("address",AL185), "\$([A-Z]+)\$[0-9]+"))),_xlfn.REGEXEXTRACT(CELL("address",AL185), "\$([A-Z]+)\$[0-9]+"))</f>
        <v/>
      </c>
      <c r="AM185" s="7" t="str">
        <f t="array" aca="1" ref="AM185" ca="1">IFERROR(IF(OR('Raw Data'!AM185="",LEN(TRIM('Raw Data'!AM185))=0),"",IF(AND(ISNUMBER('Raw Data'!AM185), IFERROR('Raw Data'!AM185 = ROUND('Raw Data'!AM185, 2),FALSE)),"",_xlfn.REGEXEXTRACT(CELL("address",AM185), "\$([A-Z]+)\$[0-9]+"))),_xlfn.REGEXEXTRACT(CELL("address",AM185), "\$([A-Z]+)\$[0-9]+"))</f>
        <v/>
      </c>
      <c r="AN185" s="7" t="str">
        <f t="array" aca="1" ref="AN185" ca="1">IFERROR(IF(OR('Raw Data'!AN185="",LEN(TRIM('Raw Data'!AN185))=0),"",IF(AND(ISNUMBER('Raw Data'!AN185), IFERROR('Raw Data'!AN185 = ROUND('Raw Data'!AN185, 2),FALSE)),"",_xlfn.REGEXEXTRACT(CELL("address",AN185), "\$([A-Z]+)\$[0-9]+"))),_xlfn.REGEXEXTRACT(CELL("address",AN185), "\$([A-Z]+)\$[0-9]+"))</f>
        <v/>
      </c>
      <c r="AO185" s="7" t="str">
        <f t="array" aca="1" ref="AO185" ca="1">IFERROR(IF(OR('Raw Data'!AO185="",LEN(TRIM('Raw Data'!AO185))=0),"",IF(AND(ISNUMBER('Raw Data'!AO185), IFERROR('Raw Data'!AO185 = ROUND('Raw Data'!AO185, 2),FALSE)),"",_xlfn.REGEXEXTRACT(CELL("address",AO185), "\$([A-Z]+)\$[0-9]+"))),_xlfn.REGEXEXTRACT(CELL("address",AO185), "\$([A-Z]+)\$[0-9]+"))</f>
        <v/>
      </c>
      <c r="AP185" s="7" t="str">
        <f t="array" aca="1" ref="AP185" ca="1">IFERROR(IF(OR('Raw Data'!AP185="",LEN(TRIM('Raw Data'!AP185))=0),"",IF(AND(ISNUMBER('Raw Data'!AP185), IFERROR('Raw Data'!AP185 = ROUND('Raw Data'!AP185, 2),FALSE)),"",_xlfn.REGEXEXTRACT(CELL("address",AP185), "\$([A-Z]+)\$[0-9]+"))),_xlfn.REGEXEXTRACT(CELL("address",AP185), "\$([A-Z]+)\$[0-9]+"))</f>
        <v/>
      </c>
    </row>
    <row r="186" spans="2:42" x14ac:dyDescent="0.25">
      <c r="B186" s="7" t="str">
        <f t="array" aca="1" ref="B186" ca="1">IFERROR(IF(OR('Raw Data'!B186="",LEN(TRIM('Raw Data'!B186))=0),"",IF(AND(LEN('Raw Data'!B186) &lt;= 255,LEN('Raw Data'!B186)&gt; 0),"",_xlfn.REGEXEXTRACT(CELL("address",'Raw Data'!B186),"\$([A-Z]+)\$[0-9]+"))),_xlfn.REGEXEXTRACT(CELL("address",'Raw Data'!B186),"\$([A-Z]+)\$[0-9]+"))</f>
        <v/>
      </c>
      <c r="C186" s="7" t="str">
        <f t="array" aca="1" ref="C186" ca="1">IFERROR(IF(OR('Raw Data'!C186="",LEN(TRIM('Raw Data'!C186))=0),"",IF(AND(LEN('Raw Data'!C186) &lt;= 50,LEN('Raw Data'!C186)&gt; 0),"",_xlfn.REGEXEXTRACT(CELL("address",'Raw Data'!C186),"\$([A-Z]+)\$[0-9]+"))),_xlfn.REGEXEXTRACT(CELL("address",'Raw Data'!C186),"\$([A-Z]+)\$[0-9]+"))</f>
        <v/>
      </c>
      <c r="D186" s="7" t="str">
        <f t="array" aca="1" ref="D186" ca="1">IFERROR(IF(OR('Raw Data'!D186="",LEN(TRIM('Raw Data'!D186))=0),"",IF(AND(LEN('Raw Data'!D186) &lt;= 500,LEN('Raw Data'!D186)&gt; 0),"",_xlfn.REGEXEXTRACT(CELL("address",'Raw Data'!D186),"\$([A-Z]+)\$[0-9]+"))),_xlfn.REGEXEXTRACT(CELL("address",'Raw Data'!D186),"\$([A-Z]+)\$[0-9]+"))</f>
        <v/>
      </c>
      <c r="E186" s="7" t="str">
        <f t="array" aca="1" ref="E186" ca="1">IFERROR(IF(OR('Raw Data'!E186="",LEN(TRIM('Raw Data'!E186))=0),"",IF(AND(LEN('Raw Data'!E186) &lt;= 50,LEN('Raw Data'!E186)&gt; 0),"",_xlfn.REGEXEXTRACT(CELL("address",'Raw Data'!E186),"\$([A-Z]+)\$[0-9]+"))),_xlfn.REGEXEXTRACT(CELL("address",'Raw Data'!E186),"\$([A-Z]+)\$[0-9]+"))</f>
        <v/>
      </c>
      <c r="F186" s="7" t="str">
        <f t="array" aca="1" ref="F186" ca="1">IFERROR(IF(OR('Raw Data'!F186="",LEN(TRIM('Raw Data'!F186))=0),"",IF(AND(LEN('Raw Data'!F186) &lt;= 50,LEN('Raw Data'!F186)&gt; 0),"",_xlfn.REGEXEXTRACT(CELL("address",'Raw Data'!F186),"\$([A-Z]+)\$[0-9]+"))),_xlfn.REGEXEXTRACT(CELL("address",'Raw Data'!F186),"\$([A-Z]+)\$[0-9]+"))</f>
        <v/>
      </c>
      <c r="G186" s="7" t="str">
        <f t="array" aca="1" ref="G186" ca="1">IFERROR(IF(OR('Raw Data'!G186="",LEN(TRIM('Raw Data'!G186))=0),"",IF(AND(LEN('Raw Data'!G186) &lt;= 50,LEN('Raw Data'!G186)&gt; 0),"",_xlfn.REGEXEXTRACT(CELL("address",'Raw Data'!G186),"\$([A-Z]+)\$[0-9]+"))),_xlfn.REGEXEXTRACT(CELL("address",'Raw Data'!G186),"\$([A-Z]+)\$[0-9]+"))</f>
        <v/>
      </c>
      <c r="H186" s="7" t="str">
        <f t="array" aca="1" ref="H186" ca="1">IFERROR(IF(OR('Raw Data'!H186="",LEN(TRIM('Raw Data'!H186))=0),"",IF(AND(LEN('Raw Data'!H186) &lt;= 50,LEN('Raw Data'!H186)&gt; 0),"",_xlfn.REGEXEXTRACT(CELL("address",'Raw Data'!H186),"\$([A-Z]+)\$[0-9]+"))),_xlfn.REGEXEXTRACT(CELL("address",'Raw Data'!H186),"\$([A-Z]+)\$[0-9]+"))</f>
        <v/>
      </c>
      <c r="I186" s="7" t="str">
        <f t="array" aca="1" ref="I186" ca="1">IFERROR(IF(OR('Raw Data'!I186="",LEN(TRIM('Raw Data'!I186))=0),"",IF(AND(LEN('Raw Data'!I186) &lt;= 50,LEN('Raw Data'!I186)&gt; 0),"",_xlfn.REGEXEXTRACT(CELL("address",'Raw Data'!I186),"\$([A-Z]+)\$[0-9]+"))),_xlfn.REGEXEXTRACT(CELL("address",'Raw Data'!I186),"\$([A-Z]+)\$[0-9]+"))</f>
        <v/>
      </c>
      <c r="J186" s="7" t="str">
        <f t="array" aca="1" ref="J186" ca="1">IFERROR(IF(OR('Raw Data'!J186="",LEN(TRIM('Raw Data'!J186))=0),"",IF(AND(ISNUMBER('Raw Data'!J186), IFERROR('Raw Data'!J186 = ROUND('Raw Data'!J186, 2),FALSE)),"",_xlfn.REGEXEXTRACT(CELL("address",J186), "\$([A-Z]+)\$[0-9]+"))),_xlfn.REGEXEXTRACT(CELL("address",J186), "\$([A-Z]+)\$[0-9]+"))</f>
        <v/>
      </c>
      <c r="K186" s="7" t="str">
        <f t="array" aca="1" ref="K186" ca="1">IFERROR(IF(OR('Raw Data'!K186="",LEN(TRIM('Raw Data'!K186))=0),"",IF(AND(ISNUMBER('Raw Data'!K186), IFERROR('Raw Data'!K186 = ROUND('Raw Data'!K186, 2),FALSE)),"",_xlfn.REGEXEXTRACT(CELL("address",K186), "\$([A-Z]+)\$[0-9]+"))),_xlfn.REGEXEXTRACT(CELL("address",K186), "\$([A-Z]+)\$[0-9]+"))</f>
        <v/>
      </c>
      <c r="L186" s="7" t="str">
        <f t="array" aca="1" ref="L186" ca="1">IFERROR(IF(OR('Raw Data'!L186="",LEN(TRIM('Raw Data'!L186))=0),"",IF(AND(ISNUMBER('Raw Data'!L186), IFERROR('Raw Data'!L186 = ROUND('Raw Data'!L186, 2),FALSE)),"",_xlfn.REGEXEXTRACT(CELL("address",L186), "\$([A-Z]+)\$[0-9]+"))),_xlfn.REGEXEXTRACT(CELL("address",L186), "\$([A-Z]+)\$[0-9]+"))</f>
        <v/>
      </c>
      <c r="M186" s="7" t="str">
        <f t="array" aca="1" ref="M186" ca="1">IFERROR(IF(OR('Raw Data'!M186="",LEN(TRIM('Raw Data'!M186))=0),"",IF(AND(ISNUMBER('Raw Data'!M186), IFERROR('Raw Data'!M186 = ROUND('Raw Data'!M186, 2),FALSE)),"",_xlfn.REGEXEXTRACT(CELL("address",M186), "\$([A-Z]+)\$[0-9]+"))),_xlfn.REGEXEXTRACT(CELL("address",M186), "\$([A-Z]+)\$[0-9]+"))</f>
        <v/>
      </c>
      <c r="N186" s="7" t="str">
        <f t="array" aca="1" ref="N186" ca="1">IFERROR(IF(OR('Raw Data'!N186="",LEN(TRIM('Raw Data'!N186))=0),"",IF(AND(ISNUMBER('Raw Data'!N186), IFERROR('Raw Data'!N186 = ROUND('Raw Data'!N186, 2),FALSE)),"",_xlfn.REGEXEXTRACT(CELL("address",N186), "\$([A-Z]+)\$[0-9]+"))),_xlfn.REGEXEXTRACT(CELL("address",N186), "\$([A-Z]+)\$[0-9]+"))</f>
        <v/>
      </c>
      <c r="O186" s="7" t="str">
        <f t="array" aca="1" ref="O186" ca="1">IFERROR(IF(OR('Raw Data'!O186="",LEN(TRIM('Raw Data'!O186))=0),"",IF(AND(ISNUMBER('Raw Data'!O186),'Raw Data'!O186&gt;=Configuration!$D$2),"",_xlfn.REGEXEXTRACT(CELL("address",'Raw Data'!O186),"\$([A-Z]+)\$[0-9]+"))),_xlfn.REGEXEXTRACT(CELL("address",O186), "\$([A-Z]+)\$[0-9]+"))</f>
        <v/>
      </c>
      <c r="P186" s="7" t="str">
        <f t="array" aca="1" ref="P186" ca="1">IFERROR(IF(OR('Raw Data'!P186="",LEN(TRIM('Raw Data'!P186))=0),"",IF(AND(ISNUMBER('Raw Data'!P186), IFERROR('Raw Data'!P186 = ROUND('Raw Data'!P186, 2),FALSE)),"",_xlfn.REGEXEXTRACT(CELL("address",P186), "\$([A-Z]+)\$[0-9]+"))),_xlfn.REGEXEXTRACT(CELL("address",P186), "\$([A-Z]+)\$[0-9]+"))</f>
        <v/>
      </c>
      <c r="Q186" s="7" t="str">
        <f t="array" aca="1" ref="Q186" ca="1">IFERROR(IF(OR('Raw Data'!Q186="",LEN(TRIM('Raw Data'!Q186))=0),"",IF(AND(ISNUMBER('Raw Data'!Q186), IFERROR('Raw Data'!Q186 = ROUND('Raw Data'!Q186, 2),FALSE)),"",_xlfn.REGEXEXTRACT(CELL("address",Q186), "\$([A-Z]+)\$[0-9]+"))),_xlfn.REGEXEXTRACT(CELL("address",Q186), "\$([A-Z]+)\$[0-9]+"))</f>
        <v/>
      </c>
      <c r="R186" s="7" t="str">
        <f t="array" aca="1" ref="R186" ca="1">IFERROR(IF(OR('Raw Data'!R186="",LEN(TRIM('Raw Data'!R186))=0),"",IF(AND(LEN('Raw Data'!R186) &lt;= 50,LEN('Raw Data'!R186)&gt; 0),"",_xlfn.REGEXEXTRACT(CELL("address",'Raw Data'!R186),"\$([A-Z]+)\$[0-9]+"))),_xlfn.REGEXEXTRACT(CELL("address",'Raw Data'!R186),"\$([A-Z]+)\$[0-9]+"))</f>
        <v/>
      </c>
      <c r="S186" s="7" t="str">
        <f t="array" aca="1" ref="S186" ca="1">IFERROR(IF(OR('Raw Data'!S186="",LEN(TRIM('Raw Data'!S186))=0),"",IF(AND(LEN('Raw Data'!S186) &lt;= 50,LEN('Raw Data'!S186)&gt; 0),"",_xlfn.REGEXEXTRACT(CELL("address",'Raw Data'!S186),"\$([A-Z]+)\$[0-9]+"))),_xlfn.REGEXEXTRACT(CELL("address",'Raw Data'!S186),"\$([A-Z]+)\$[0-9]+"))</f>
        <v/>
      </c>
      <c r="T186" s="7" t="str">
        <f t="array" aca="1" ref="T186" ca="1">IFERROR(IF(OR('Raw Data'!T186="",LEN(TRIM('Raw Data'!T186))=0),"",IF(AND(ISNUMBER('Raw Data'!T186), IFERROR('Raw Data'!T186 = ROUND('Raw Data'!T186, 2),FALSE)),"",_xlfn.REGEXEXTRACT(CELL("address",T186), "\$([A-Z]+)\$[0-9]+"))),_xlfn.REGEXEXTRACT(CELL("address",T186), "\$([A-Z]+)\$[0-9]+"))</f>
        <v/>
      </c>
      <c r="U186" s="7" t="str">
        <f t="array" aca="1" ref="U186" ca="1">IFERROR(IF(OR('Raw Data'!U186="",LEN(TRIM('Raw Data'!U186))=0),"",IF(AND(ISNUMBER('Raw Data'!U186), IFERROR('Raw Data'!U186 = ROUND('Raw Data'!U186, 2),FALSE)),"",_xlfn.REGEXEXTRACT(CELL("address",U186), "\$([A-Z]+)\$[0-9]+"))),_xlfn.REGEXEXTRACT(CELL("address",U186), "\$([A-Z]+)\$[0-9]+"))</f>
        <v/>
      </c>
      <c r="V186" s="7" t="str">
        <f t="array" aca="1" ref="V186" ca="1">IFERROR(IF(OR('Raw Data'!V186="",LEN(TRIM('Raw Data'!V186))=0),"",IF(AND(ISNUMBER('Raw Data'!V186), IFERROR('Raw Data'!V186 = ROUND('Raw Data'!V186, 2),FALSE)),"",_xlfn.REGEXEXTRACT(CELL("address",V186), "\$([A-Z]+)\$[0-9]+"))),_xlfn.REGEXEXTRACT(CELL("address",V186), "\$([A-Z]+)\$[0-9]+"))</f>
        <v/>
      </c>
      <c r="W186" s="7" t="str">
        <f t="array" aca="1" ref="W186" ca="1">IFERROR(IF(OR('Raw Data'!W186="",LEN(TRIM('Raw Data'!W186))=0),"",IF(AND(ISNUMBER('Raw Data'!W186), IFERROR('Raw Data'!W186 = ROUND('Raw Data'!W186, 2),FALSE)),"",_xlfn.REGEXEXTRACT(CELL("address",W186), "\$([A-Z]+)\$[0-9]+"))),_xlfn.REGEXEXTRACT(CELL("address",W186), "\$([A-Z]+)\$[0-9]+"))</f>
        <v/>
      </c>
      <c r="X186" s="7" t="str">
        <f t="array" aca="1" ref="X186" ca="1">IFERROR(IF(OR('Raw Data'!X186="",LEN(TRIM('Raw Data'!X186))=0),"",IF(AND(ISNUMBER('Raw Data'!X186), IFERROR('Raw Data'!X186 = ROUND('Raw Data'!X186, 2),FALSE)),"",_xlfn.REGEXEXTRACT(CELL("address",X186), "\$([A-Z]+)\$[0-9]+"))),_xlfn.REGEXEXTRACT(CELL("address",X186), "\$([A-Z]+)\$[0-9]+"))</f>
        <v/>
      </c>
      <c r="Y186" s="7" t="str">
        <f t="array" aca="1" ref="Y186" ca="1">IFERROR(IF(OR('Raw Data'!Y186="",LEN(TRIM('Raw Data'!Y186))=0),"",IF(AND(ISNUMBER('Raw Data'!Y186), IFERROR('Raw Data'!Y186 = ROUND('Raw Data'!Y186, 2),FALSE)),"",_xlfn.REGEXEXTRACT(CELL("address",Y186), "\$([A-Z]+)\$[0-9]+"))),_xlfn.REGEXEXTRACT(CELL("address",Y186), "\$([A-Z]+)\$[0-9]+"))</f>
        <v/>
      </c>
      <c r="Z186" s="7" t="str">
        <f t="array" aca="1" ref="Z186" ca="1">IFERROR(IF(OR('Raw Data'!Z186="",LEN(TRIM('Raw Data'!Z186))=0),"",IF(AND(ISNUMBER('Raw Data'!Z186), IFERROR('Raw Data'!Z186 = ROUND('Raw Data'!Z186, 2),FALSE)),"",_xlfn.REGEXEXTRACT(CELL("address",Z186), "\$([A-Z]+)\$[0-9]+"))),_xlfn.REGEXEXTRACT(CELL("address",Z186), "\$([A-Z]+)\$[0-9]+"))</f>
        <v/>
      </c>
      <c r="AA186" s="7" t="str">
        <f t="array" aca="1" ref="AA186" ca="1">IFERROR(IF(OR('Raw Data'!AA186="",LEN(TRIM('Raw Data'!AA186))=0),"",IF(AND(ISNUMBER('Raw Data'!AA186), IFERROR('Raw Data'!AA186 = ROUND('Raw Data'!AA186, 2),FALSE)),"",_xlfn.REGEXEXTRACT(CELL("address",AA186), "\$([A-Z]+)\$[0-9]+"))),_xlfn.REGEXEXTRACT(CELL("address",AA186), "\$([A-Z]+)\$[0-9]+"))</f>
        <v/>
      </c>
      <c r="AB186" s="7" t="str">
        <f t="array" aca="1" ref="AB186" ca="1">IFERROR(IF(OR('Raw Data'!AB186="",LEN(TRIM('Raw Data'!AB186))=0),"",IF(AND(ISNUMBER('Raw Data'!AB186), IFERROR('Raw Data'!AB186 = ROUND('Raw Data'!AB186, 2),FALSE)),"",_xlfn.REGEXEXTRACT(CELL("address",AB186), "\$([A-Z]+)\$[0-9]+"))),_xlfn.REGEXEXTRACT(CELL("address",AB186), "\$([A-Z]+)\$[0-9]+"))</f>
        <v/>
      </c>
      <c r="AC186" s="7" t="str">
        <f t="array" aca="1" ref="AC186" ca="1">IFERROR(IF(OR('Raw Data'!AC186="",LEN(TRIM('Raw Data'!AC186))=0),"",IF(AND(ISNUMBER('Raw Data'!AC186), IFERROR('Raw Data'!AC186 = ROUND('Raw Data'!AC186, 2),FALSE)),"",_xlfn.REGEXEXTRACT(CELL("address",AC186), "\$([A-Z]+)\$[0-9]+"))),_xlfn.REGEXEXTRACT(CELL("address",AC186), "\$([A-Z]+)\$[0-9]+"))</f>
        <v/>
      </c>
      <c r="AD186" s="7" t="str">
        <f t="array" aca="1" ref="AD186" ca="1">IFERROR(IF(OR('Raw Data'!AD186="",LEN(TRIM('Raw Data'!AD186))=0),"",IF(AND(ISNUMBER('Raw Data'!AD186), IFERROR('Raw Data'!AD186 = ROUND('Raw Data'!AD186, 2),FALSE)),"",_xlfn.REGEXEXTRACT(CELL("address",AD186), "\$([A-Z]+)\$[0-9]+"))),_xlfn.REGEXEXTRACT(CELL("address",AD186), "\$([A-Z]+)\$[0-9]+"))</f>
        <v/>
      </c>
      <c r="AE186" s="7" t="str">
        <f t="array" aca="1" ref="AE186" ca="1">IFERROR(IF(OR('Raw Data'!AE186="",LEN(TRIM('Raw Data'!AE186))=0),"",IF(AND(ISNUMBER('Raw Data'!AE186), IFERROR('Raw Data'!AE186 = ROUND('Raw Data'!AE186, 2),FALSE)),"",_xlfn.REGEXEXTRACT(CELL("address",AE186), "\$([A-Z]+)\$[0-9]+"))),_xlfn.REGEXEXTRACT(CELL("address",AE186), "\$([A-Z]+)\$[0-9]+"))</f>
        <v/>
      </c>
      <c r="AF186" s="7" t="str">
        <f t="array" aca="1" ref="AF186" ca="1">IFERROR(IF(OR('Raw Data'!AF186="",LEN(TRIM('Raw Data'!AF186))=0),"",IF(AND(ISNUMBER('Raw Data'!AF186), IFERROR('Raw Data'!AF186 = ROUND('Raw Data'!AF186, 2),FALSE)),"",_xlfn.REGEXEXTRACT(CELL("address",AF186), "\$([A-Z]+)\$[0-9]+"))),_xlfn.REGEXEXTRACT(CELL("address",AF186), "\$([A-Z]+)\$[0-9]+"))</f>
        <v/>
      </c>
      <c r="AG186" s="7" t="str">
        <f t="array" aca="1" ref="AG186" ca="1">IFERROR(IF(OR('Raw Data'!AG186="",LEN(TRIM('Raw Data'!AG186))=0),"",IF(AND(ISNUMBER('Raw Data'!AG186), IFERROR('Raw Data'!AG186 = ROUND('Raw Data'!AG186, 2),FALSE)),"",_xlfn.REGEXEXTRACT(CELL("address",AG186), "\$([A-Z]+)\$[0-9]+"))),_xlfn.REGEXEXTRACT(CELL("address",AG186), "\$([A-Z]+)\$[0-9]+"))</f>
        <v/>
      </c>
      <c r="AH186" s="7" t="str">
        <f t="array" aca="1" ref="AH186" ca="1">IFERROR(IF(OR('Raw Data'!AH186="",LEN(TRIM('Raw Data'!AH186))=0),"",IF(AND(ISNUMBER('Raw Data'!AH186), IFERROR('Raw Data'!AH186 = ROUND('Raw Data'!AH186, 2),FALSE)),"",_xlfn.REGEXEXTRACT(CELL("address",AH186), "\$([A-Z]+)\$[0-9]+"))),_xlfn.REGEXEXTRACT(CELL("address",AH186), "\$([A-Z]+)\$[0-9]+"))</f>
        <v/>
      </c>
      <c r="AI186" s="7" t="str">
        <f t="array" aca="1" ref="AI186" ca="1">IFERROR(IF(OR('Raw Data'!AI186="",LEN(TRIM('Raw Data'!AI186))=0),"",IF(AND(ISNUMBER('Raw Data'!AI186), IFERROR('Raw Data'!AI186 = ROUND('Raw Data'!AI186, 2),FALSE)),"",_xlfn.REGEXEXTRACT(CELL("address",AI186), "\$([A-Z]+)\$[0-9]+"))),_xlfn.REGEXEXTRACT(CELL("address",AI186), "\$([A-Z]+)\$[0-9]+"))</f>
        <v/>
      </c>
      <c r="AJ186" s="7" t="str">
        <f t="array" aca="1" ref="AJ186" ca="1">IFERROR(IF(OR('Raw Data'!AJ186="",LEN(TRIM('Raw Data'!AJ186))=0),"",IF(AND(ISNUMBER('Raw Data'!AJ186), IFERROR('Raw Data'!AJ186 = ROUND('Raw Data'!AJ186, 4),FALSE)),"",_xlfn.REGEXEXTRACT(CELL("address",AJ186), "\$([A-Z]+)\$[0-9]+"))),_xlfn.REGEXEXTRACT(CELL("address",AJ186), "\$([A-Z]+)\$[0-9]+"))</f>
        <v/>
      </c>
      <c r="AK186" s="7" t="str">
        <f t="array" aca="1" ref="AK186" ca="1">IFERROR(IF(OR('Raw Data'!AK186="",LEN(TRIM('Raw Data'!AK186))=0),"",IF(AND(ISNUMBER('Raw Data'!AK186), IFERROR('Raw Data'!AK186 = ROUND('Raw Data'!AK186, 2),FALSE)),"",_xlfn.REGEXEXTRACT(CELL("address",AK186), "\$([A-Z]+)\$[0-9]+"))),_xlfn.REGEXEXTRACT(CELL("address",AK186), "\$([A-Z]+)\$[0-9]+"))</f>
        <v/>
      </c>
      <c r="AL186" s="7" t="str">
        <f t="array" aca="1" ref="AL186" ca="1">IFERROR(IF(OR('Raw Data'!AL186="",LEN(TRIM('Raw Data'!AL186))=0),"",IF(AND(ISNUMBER('Raw Data'!AL186), IFERROR('Raw Data'!AL186 = ROUND('Raw Data'!AL186, 2),FALSE)),"",_xlfn.REGEXEXTRACT(CELL("address",AL186), "\$([A-Z]+)\$[0-9]+"))),_xlfn.REGEXEXTRACT(CELL("address",AL186), "\$([A-Z]+)\$[0-9]+"))</f>
        <v/>
      </c>
      <c r="AM186" s="7" t="str">
        <f t="array" aca="1" ref="AM186" ca="1">IFERROR(IF(OR('Raw Data'!AM186="",LEN(TRIM('Raw Data'!AM186))=0),"",IF(AND(ISNUMBER('Raw Data'!AM186), IFERROR('Raw Data'!AM186 = ROUND('Raw Data'!AM186, 2),FALSE)),"",_xlfn.REGEXEXTRACT(CELL("address",AM186), "\$([A-Z]+)\$[0-9]+"))),_xlfn.REGEXEXTRACT(CELL("address",AM186), "\$([A-Z]+)\$[0-9]+"))</f>
        <v/>
      </c>
      <c r="AN186" s="7" t="str">
        <f t="array" aca="1" ref="AN186" ca="1">IFERROR(IF(OR('Raw Data'!AN186="",LEN(TRIM('Raw Data'!AN186))=0),"",IF(AND(ISNUMBER('Raw Data'!AN186), IFERROR('Raw Data'!AN186 = ROUND('Raw Data'!AN186, 2),FALSE)),"",_xlfn.REGEXEXTRACT(CELL("address",AN186), "\$([A-Z]+)\$[0-9]+"))),_xlfn.REGEXEXTRACT(CELL("address",AN186), "\$([A-Z]+)\$[0-9]+"))</f>
        <v/>
      </c>
      <c r="AO186" s="7" t="str">
        <f t="array" aca="1" ref="AO186" ca="1">IFERROR(IF(OR('Raw Data'!AO186="",LEN(TRIM('Raw Data'!AO186))=0),"",IF(AND(ISNUMBER('Raw Data'!AO186), IFERROR('Raw Data'!AO186 = ROUND('Raw Data'!AO186, 2),FALSE)),"",_xlfn.REGEXEXTRACT(CELL("address",AO186), "\$([A-Z]+)\$[0-9]+"))),_xlfn.REGEXEXTRACT(CELL("address",AO186), "\$([A-Z]+)\$[0-9]+"))</f>
        <v/>
      </c>
      <c r="AP186" s="7" t="str">
        <f t="array" aca="1" ref="AP186" ca="1">IFERROR(IF(OR('Raw Data'!AP186="",LEN(TRIM('Raw Data'!AP186))=0),"",IF(AND(ISNUMBER('Raw Data'!AP186), IFERROR('Raw Data'!AP186 = ROUND('Raw Data'!AP186, 2),FALSE)),"",_xlfn.REGEXEXTRACT(CELL("address",AP186), "\$([A-Z]+)\$[0-9]+"))),_xlfn.REGEXEXTRACT(CELL("address",AP186), "\$([A-Z]+)\$[0-9]+"))</f>
        <v/>
      </c>
    </row>
    <row r="187" spans="2:42" x14ac:dyDescent="0.25">
      <c r="B187" s="7" t="str">
        <f t="array" aca="1" ref="B187" ca="1">IFERROR(IF(OR('Raw Data'!B187="",LEN(TRIM('Raw Data'!B187))=0),"",IF(AND(LEN('Raw Data'!B187) &lt;= 255,LEN('Raw Data'!B187)&gt; 0),"",_xlfn.REGEXEXTRACT(CELL("address",'Raw Data'!B187),"\$([A-Z]+)\$[0-9]+"))),_xlfn.REGEXEXTRACT(CELL("address",'Raw Data'!B187),"\$([A-Z]+)\$[0-9]+"))</f>
        <v/>
      </c>
      <c r="C187" s="7" t="str">
        <f t="array" aca="1" ref="C187" ca="1">IFERROR(IF(OR('Raw Data'!C187="",LEN(TRIM('Raw Data'!C187))=0),"",IF(AND(LEN('Raw Data'!C187) &lt;= 50,LEN('Raw Data'!C187)&gt; 0),"",_xlfn.REGEXEXTRACT(CELL("address",'Raw Data'!C187),"\$([A-Z]+)\$[0-9]+"))),_xlfn.REGEXEXTRACT(CELL("address",'Raw Data'!C187),"\$([A-Z]+)\$[0-9]+"))</f>
        <v/>
      </c>
      <c r="D187" s="7" t="str">
        <f t="array" aca="1" ref="D187" ca="1">IFERROR(IF(OR('Raw Data'!D187="",LEN(TRIM('Raw Data'!D187))=0),"",IF(AND(LEN('Raw Data'!D187) &lt;= 500,LEN('Raw Data'!D187)&gt; 0),"",_xlfn.REGEXEXTRACT(CELL("address",'Raw Data'!D187),"\$([A-Z]+)\$[0-9]+"))),_xlfn.REGEXEXTRACT(CELL("address",'Raw Data'!D187),"\$([A-Z]+)\$[0-9]+"))</f>
        <v/>
      </c>
      <c r="E187" s="7" t="str">
        <f t="array" aca="1" ref="E187" ca="1">IFERROR(IF(OR('Raw Data'!E187="",LEN(TRIM('Raw Data'!E187))=0),"",IF(AND(LEN('Raw Data'!E187) &lt;= 50,LEN('Raw Data'!E187)&gt; 0),"",_xlfn.REGEXEXTRACT(CELL("address",'Raw Data'!E187),"\$([A-Z]+)\$[0-9]+"))),_xlfn.REGEXEXTRACT(CELL("address",'Raw Data'!E187),"\$([A-Z]+)\$[0-9]+"))</f>
        <v/>
      </c>
      <c r="F187" s="7" t="str">
        <f t="array" aca="1" ref="F187" ca="1">IFERROR(IF(OR('Raw Data'!F187="",LEN(TRIM('Raw Data'!F187))=0),"",IF(AND(LEN('Raw Data'!F187) &lt;= 50,LEN('Raw Data'!F187)&gt; 0),"",_xlfn.REGEXEXTRACT(CELL("address",'Raw Data'!F187),"\$([A-Z]+)\$[0-9]+"))),_xlfn.REGEXEXTRACT(CELL("address",'Raw Data'!F187),"\$([A-Z]+)\$[0-9]+"))</f>
        <v/>
      </c>
      <c r="G187" s="7" t="str">
        <f t="array" aca="1" ref="G187" ca="1">IFERROR(IF(OR('Raw Data'!G187="",LEN(TRIM('Raw Data'!G187))=0),"",IF(AND(LEN('Raw Data'!G187) &lt;= 50,LEN('Raw Data'!G187)&gt; 0),"",_xlfn.REGEXEXTRACT(CELL("address",'Raw Data'!G187),"\$([A-Z]+)\$[0-9]+"))),_xlfn.REGEXEXTRACT(CELL("address",'Raw Data'!G187),"\$([A-Z]+)\$[0-9]+"))</f>
        <v/>
      </c>
      <c r="H187" s="7" t="str">
        <f t="array" aca="1" ref="H187" ca="1">IFERROR(IF(OR('Raw Data'!H187="",LEN(TRIM('Raw Data'!H187))=0),"",IF(AND(LEN('Raw Data'!H187) &lt;= 50,LEN('Raw Data'!H187)&gt; 0),"",_xlfn.REGEXEXTRACT(CELL("address",'Raw Data'!H187),"\$([A-Z]+)\$[0-9]+"))),_xlfn.REGEXEXTRACT(CELL("address",'Raw Data'!H187),"\$([A-Z]+)\$[0-9]+"))</f>
        <v/>
      </c>
      <c r="I187" s="7" t="str">
        <f t="array" aca="1" ref="I187" ca="1">IFERROR(IF(OR('Raw Data'!I187="",LEN(TRIM('Raw Data'!I187))=0),"",IF(AND(LEN('Raw Data'!I187) &lt;= 50,LEN('Raw Data'!I187)&gt; 0),"",_xlfn.REGEXEXTRACT(CELL("address",'Raw Data'!I187),"\$([A-Z]+)\$[0-9]+"))),_xlfn.REGEXEXTRACT(CELL("address",'Raw Data'!I187),"\$([A-Z]+)\$[0-9]+"))</f>
        <v/>
      </c>
      <c r="J187" s="7" t="str">
        <f t="array" aca="1" ref="J187" ca="1">IFERROR(IF(OR('Raw Data'!J187="",LEN(TRIM('Raw Data'!J187))=0),"",IF(AND(ISNUMBER('Raw Data'!J187), IFERROR('Raw Data'!J187 = ROUND('Raw Data'!J187, 2),FALSE)),"",_xlfn.REGEXEXTRACT(CELL("address",J187), "\$([A-Z]+)\$[0-9]+"))),_xlfn.REGEXEXTRACT(CELL("address",J187), "\$([A-Z]+)\$[0-9]+"))</f>
        <v/>
      </c>
      <c r="K187" s="7" t="str">
        <f t="array" aca="1" ref="K187" ca="1">IFERROR(IF(OR('Raw Data'!K187="",LEN(TRIM('Raw Data'!K187))=0),"",IF(AND(ISNUMBER('Raw Data'!K187), IFERROR('Raw Data'!K187 = ROUND('Raw Data'!K187, 2),FALSE)),"",_xlfn.REGEXEXTRACT(CELL("address",K187), "\$([A-Z]+)\$[0-9]+"))),_xlfn.REGEXEXTRACT(CELL("address",K187), "\$([A-Z]+)\$[0-9]+"))</f>
        <v/>
      </c>
      <c r="L187" s="7" t="str">
        <f t="array" aca="1" ref="L187" ca="1">IFERROR(IF(OR('Raw Data'!L187="",LEN(TRIM('Raw Data'!L187))=0),"",IF(AND(ISNUMBER('Raw Data'!L187), IFERROR('Raw Data'!L187 = ROUND('Raw Data'!L187, 2),FALSE)),"",_xlfn.REGEXEXTRACT(CELL("address",L187), "\$([A-Z]+)\$[0-9]+"))),_xlfn.REGEXEXTRACT(CELL("address",L187), "\$([A-Z]+)\$[0-9]+"))</f>
        <v/>
      </c>
      <c r="M187" s="7" t="str">
        <f t="array" aca="1" ref="M187" ca="1">IFERROR(IF(OR('Raw Data'!M187="",LEN(TRIM('Raw Data'!M187))=0),"",IF(AND(ISNUMBER('Raw Data'!M187), IFERROR('Raw Data'!M187 = ROUND('Raw Data'!M187, 2),FALSE)),"",_xlfn.REGEXEXTRACT(CELL("address",M187), "\$([A-Z]+)\$[0-9]+"))),_xlfn.REGEXEXTRACT(CELL("address",M187), "\$([A-Z]+)\$[0-9]+"))</f>
        <v/>
      </c>
      <c r="N187" s="7" t="str">
        <f t="array" aca="1" ref="N187" ca="1">IFERROR(IF(OR('Raw Data'!N187="",LEN(TRIM('Raw Data'!N187))=0),"",IF(AND(ISNUMBER('Raw Data'!N187), IFERROR('Raw Data'!N187 = ROUND('Raw Data'!N187, 2),FALSE)),"",_xlfn.REGEXEXTRACT(CELL("address",N187), "\$([A-Z]+)\$[0-9]+"))),_xlfn.REGEXEXTRACT(CELL("address",N187), "\$([A-Z]+)\$[0-9]+"))</f>
        <v/>
      </c>
      <c r="O187" s="7" t="str">
        <f t="array" aca="1" ref="O187" ca="1">IFERROR(IF(OR('Raw Data'!O187="",LEN(TRIM('Raw Data'!O187))=0),"",IF(AND(ISNUMBER('Raw Data'!O187),'Raw Data'!O187&gt;=Configuration!$D$2),"",_xlfn.REGEXEXTRACT(CELL("address",'Raw Data'!O187),"\$([A-Z]+)\$[0-9]+"))),_xlfn.REGEXEXTRACT(CELL("address",O187), "\$([A-Z]+)\$[0-9]+"))</f>
        <v/>
      </c>
      <c r="P187" s="7" t="str">
        <f t="array" aca="1" ref="P187" ca="1">IFERROR(IF(OR('Raw Data'!P187="",LEN(TRIM('Raw Data'!P187))=0),"",IF(AND(ISNUMBER('Raw Data'!P187), IFERROR('Raw Data'!P187 = ROUND('Raw Data'!P187, 2),FALSE)),"",_xlfn.REGEXEXTRACT(CELL("address",P187), "\$([A-Z]+)\$[0-9]+"))),_xlfn.REGEXEXTRACT(CELL("address",P187), "\$([A-Z]+)\$[0-9]+"))</f>
        <v/>
      </c>
      <c r="Q187" s="7" t="str">
        <f t="array" aca="1" ref="Q187" ca="1">IFERROR(IF(OR('Raw Data'!Q187="",LEN(TRIM('Raw Data'!Q187))=0),"",IF(AND(ISNUMBER('Raw Data'!Q187), IFERROR('Raw Data'!Q187 = ROUND('Raw Data'!Q187, 2),FALSE)),"",_xlfn.REGEXEXTRACT(CELL("address",Q187), "\$([A-Z]+)\$[0-9]+"))),_xlfn.REGEXEXTRACT(CELL("address",Q187), "\$([A-Z]+)\$[0-9]+"))</f>
        <v/>
      </c>
      <c r="R187" s="7" t="str">
        <f t="array" aca="1" ref="R187" ca="1">IFERROR(IF(OR('Raw Data'!R187="",LEN(TRIM('Raw Data'!R187))=0),"",IF(AND(LEN('Raw Data'!R187) &lt;= 50,LEN('Raw Data'!R187)&gt; 0),"",_xlfn.REGEXEXTRACT(CELL("address",'Raw Data'!R187),"\$([A-Z]+)\$[0-9]+"))),_xlfn.REGEXEXTRACT(CELL("address",'Raw Data'!R187),"\$([A-Z]+)\$[0-9]+"))</f>
        <v/>
      </c>
      <c r="S187" s="7" t="str">
        <f t="array" aca="1" ref="S187" ca="1">IFERROR(IF(OR('Raw Data'!S187="",LEN(TRIM('Raw Data'!S187))=0),"",IF(AND(LEN('Raw Data'!S187) &lt;= 50,LEN('Raw Data'!S187)&gt; 0),"",_xlfn.REGEXEXTRACT(CELL("address",'Raw Data'!S187),"\$([A-Z]+)\$[0-9]+"))),_xlfn.REGEXEXTRACT(CELL("address",'Raw Data'!S187),"\$([A-Z]+)\$[0-9]+"))</f>
        <v/>
      </c>
      <c r="T187" s="7" t="str">
        <f t="array" aca="1" ref="T187" ca="1">IFERROR(IF(OR('Raw Data'!T187="",LEN(TRIM('Raw Data'!T187))=0),"",IF(AND(ISNUMBER('Raw Data'!T187), IFERROR('Raw Data'!T187 = ROUND('Raw Data'!T187, 2),FALSE)),"",_xlfn.REGEXEXTRACT(CELL("address",T187), "\$([A-Z]+)\$[0-9]+"))),_xlfn.REGEXEXTRACT(CELL("address",T187), "\$([A-Z]+)\$[0-9]+"))</f>
        <v/>
      </c>
      <c r="U187" s="7" t="str">
        <f t="array" aca="1" ref="U187" ca="1">IFERROR(IF(OR('Raw Data'!U187="",LEN(TRIM('Raw Data'!U187))=0),"",IF(AND(ISNUMBER('Raw Data'!U187), IFERROR('Raw Data'!U187 = ROUND('Raw Data'!U187, 2),FALSE)),"",_xlfn.REGEXEXTRACT(CELL("address",U187), "\$([A-Z]+)\$[0-9]+"))),_xlfn.REGEXEXTRACT(CELL("address",U187), "\$([A-Z]+)\$[0-9]+"))</f>
        <v/>
      </c>
      <c r="V187" s="7" t="str">
        <f t="array" aca="1" ref="V187" ca="1">IFERROR(IF(OR('Raw Data'!V187="",LEN(TRIM('Raw Data'!V187))=0),"",IF(AND(ISNUMBER('Raw Data'!V187), IFERROR('Raw Data'!V187 = ROUND('Raw Data'!V187, 2),FALSE)),"",_xlfn.REGEXEXTRACT(CELL("address",V187), "\$([A-Z]+)\$[0-9]+"))),_xlfn.REGEXEXTRACT(CELL("address",V187), "\$([A-Z]+)\$[0-9]+"))</f>
        <v/>
      </c>
      <c r="W187" s="7" t="str">
        <f t="array" aca="1" ref="W187" ca="1">IFERROR(IF(OR('Raw Data'!W187="",LEN(TRIM('Raw Data'!W187))=0),"",IF(AND(ISNUMBER('Raw Data'!W187), IFERROR('Raw Data'!W187 = ROUND('Raw Data'!W187, 2),FALSE)),"",_xlfn.REGEXEXTRACT(CELL("address",W187), "\$([A-Z]+)\$[0-9]+"))),_xlfn.REGEXEXTRACT(CELL("address",W187), "\$([A-Z]+)\$[0-9]+"))</f>
        <v/>
      </c>
      <c r="X187" s="7" t="str">
        <f t="array" aca="1" ref="X187" ca="1">IFERROR(IF(OR('Raw Data'!X187="",LEN(TRIM('Raw Data'!X187))=0),"",IF(AND(ISNUMBER('Raw Data'!X187), IFERROR('Raw Data'!X187 = ROUND('Raw Data'!X187, 2),FALSE)),"",_xlfn.REGEXEXTRACT(CELL("address",X187), "\$([A-Z]+)\$[0-9]+"))),_xlfn.REGEXEXTRACT(CELL("address",X187), "\$([A-Z]+)\$[0-9]+"))</f>
        <v/>
      </c>
      <c r="Y187" s="7" t="str">
        <f t="array" aca="1" ref="Y187" ca="1">IFERROR(IF(OR('Raw Data'!Y187="",LEN(TRIM('Raw Data'!Y187))=0),"",IF(AND(ISNUMBER('Raw Data'!Y187), IFERROR('Raw Data'!Y187 = ROUND('Raw Data'!Y187, 2),FALSE)),"",_xlfn.REGEXEXTRACT(CELL("address",Y187), "\$([A-Z]+)\$[0-9]+"))),_xlfn.REGEXEXTRACT(CELL("address",Y187), "\$([A-Z]+)\$[0-9]+"))</f>
        <v/>
      </c>
      <c r="Z187" s="7" t="str">
        <f t="array" aca="1" ref="Z187" ca="1">IFERROR(IF(OR('Raw Data'!Z187="",LEN(TRIM('Raw Data'!Z187))=0),"",IF(AND(ISNUMBER('Raw Data'!Z187), IFERROR('Raw Data'!Z187 = ROUND('Raw Data'!Z187, 2),FALSE)),"",_xlfn.REGEXEXTRACT(CELL("address",Z187), "\$([A-Z]+)\$[0-9]+"))),_xlfn.REGEXEXTRACT(CELL("address",Z187), "\$([A-Z]+)\$[0-9]+"))</f>
        <v/>
      </c>
      <c r="AA187" s="7" t="str">
        <f t="array" aca="1" ref="AA187" ca="1">IFERROR(IF(OR('Raw Data'!AA187="",LEN(TRIM('Raw Data'!AA187))=0),"",IF(AND(ISNUMBER('Raw Data'!AA187), IFERROR('Raw Data'!AA187 = ROUND('Raw Data'!AA187, 2),FALSE)),"",_xlfn.REGEXEXTRACT(CELL("address",AA187), "\$([A-Z]+)\$[0-9]+"))),_xlfn.REGEXEXTRACT(CELL("address",AA187), "\$([A-Z]+)\$[0-9]+"))</f>
        <v/>
      </c>
      <c r="AB187" s="7" t="str">
        <f t="array" aca="1" ref="AB187" ca="1">IFERROR(IF(OR('Raw Data'!AB187="",LEN(TRIM('Raw Data'!AB187))=0),"",IF(AND(ISNUMBER('Raw Data'!AB187), IFERROR('Raw Data'!AB187 = ROUND('Raw Data'!AB187, 2),FALSE)),"",_xlfn.REGEXEXTRACT(CELL("address",AB187), "\$([A-Z]+)\$[0-9]+"))),_xlfn.REGEXEXTRACT(CELL("address",AB187), "\$([A-Z]+)\$[0-9]+"))</f>
        <v/>
      </c>
      <c r="AC187" s="7" t="str">
        <f t="array" aca="1" ref="AC187" ca="1">IFERROR(IF(OR('Raw Data'!AC187="",LEN(TRIM('Raw Data'!AC187))=0),"",IF(AND(ISNUMBER('Raw Data'!AC187), IFERROR('Raw Data'!AC187 = ROUND('Raw Data'!AC187, 2),FALSE)),"",_xlfn.REGEXEXTRACT(CELL("address",AC187), "\$([A-Z]+)\$[0-9]+"))),_xlfn.REGEXEXTRACT(CELL("address",AC187), "\$([A-Z]+)\$[0-9]+"))</f>
        <v/>
      </c>
      <c r="AD187" s="7" t="str">
        <f t="array" aca="1" ref="AD187" ca="1">IFERROR(IF(OR('Raw Data'!AD187="",LEN(TRIM('Raw Data'!AD187))=0),"",IF(AND(ISNUMBER('Raw Data'!AD187), IFERROR('Raw Data'!AD187 = ROUND('Raw Data'!AD187, 2),FALSE)),"",_xlfn.REGEXEXTRACT(CELL("address",AD187), "\$([A-Z]+)\$[0-9]+"))),_xlfn.REGEXEXTRACT(CELL("address",AD187), "\$([A-Z]+)\$[0-9]+"))</f>
        <v/>
      </c>
      <c r="AE187" s="7" t="str">
        <f t="array" aca="1" ref="AE187" ca="1">IFERROR(IF(OR('Raw Data'!AE187="",LEN(TRIM('Raw Data'!AE187))=0),"",IF(AND(ISNUMBER('Raw Data'!AE187), IFERROR('Raw Data'!AE187 = ROUND('Raw Data'!AE187, 2),FALSE)),"",_xlfn.REGEXEXTRACT(CELL("address",AE187), "\$([A-Z]+)\$[0-9]+"))),_xlfn.REGEXEXTRACT(CELL("address",AE187), "\$([A-Z]+)\$[0-9]+"))</f>
        <v/>
      </c>
      <c r="AF187" s="7" t="str">
        <f t="array" aca="1" ref="AF187" ca="1">IFERROR(IF(OR('Raw Data'!AF187="",LEN(TRIM('Raw Data'!AF187))=0),"",IF(AND(ISNUMBER('Raw Data'!AF187), IFERROR('Raw Data'!AF187 = ROUND('Raw Data'!AF187, 2),FALSE)),"",_xlfn.REGEXEXTRACT(CELL("address",AF187), "\$([A-Z]+)\$[0-9]+"))),_xlfn.REGEXEXTRACT(CELL("address",AF187), "\$([A-Z]+)\$[0-9]+"))</f>
        <v/>
      </c>
      <c r="AG187" s="7" t="str">
        <f t="array" aca="1" ref="AG187" ca="1">IFERROR(IF(OR('Raw Data'!AG187="",LEN(TRIM('Raw Data'!AG187))=0),"",IF(AND(ISNUMBER('Raw Data'!AG187), IFERROR('Raw Data'!AG187 = ROUND('Raw Data'!AG187, 2),FALSE)),"",_xlfn.REGEXEXTRACT(CELL("address",AG187), "\$([A-Z]+)\$[0-9]+"))),_xlfn.REGEXEXTRACT(CELL("address",AG187), "\$([A-Z]+)\$[0-9]+"))</f>
        <v/>
      </c>
      <c r="AH187" s="7" t="str">
        <f t="array" aca="1" ref="AH187" ca="1">IFERROR(IF(OR('Raw Data'!AH187="",LEN(TRIM('Raw Data'!AH187))=0),"",IF(AND(ISNUMBER('Raw Data'!AH187), IFERROR('Raw Data'!AH187 = ROUND('Raw Data'!AH187, 2),FALSE)),"",_xlfn.REGEXEXTRACT(CELL("address",AH187), "\$([A-Z]+)\$[0-9]+"))),_xlfn.REGEXEXTRACT(CELL("address",AH187), "\$([A-Z]+)\$[0-9]+"))</f>
        <v/>
      </c>
      <c r="AI187" s="7" t="str">
        <f t="array" aca="1" ref="AI187" ca="1">IFERROR(IF(OR('Raw Data'!AI187="",LEN(TRIM('Raw Data'!AI187))=0),"",IF(AND(ISNUMBER('Raw Data'!AI187), IFERROR('Raw Data'!AI187 = ROUND('Raw Data'!AI187, 2),FALSE)),"",_xlfn.REGEXEXTRACT(CELL("address",AI187), "\$([A-Z]+)\$[0-9]+"))),_xlfn.REGEXEXTRACT(CELL("address",AI187), "\$([A-Z]+)\$[0-9]+"))</f>
        <v/>
      </c>
      <c r="AJ187" s="7" t="str">
        <f t="array" aca="1" ref="AJ187" ca="1">IFERROR(IF(OR('Raw Data'!AJ187="",LEN(TRIM('Raw Data'!AJ187))=0),"",IF(AND(ISNUMBER('Raw Data'!AJ187), IFERROR('Raw Data'!AJ187 = ROUND('Raw Data'!AJ187, 4),FALSE)),"",_xlfn.REGEXEXTRACT(CELL("address",AJ187), "\$([A-Z]+)\$[0-9]+"))),_xlfn.REGEXEXTRACT(CELL("address",AJ187), "\$([A-Z]+)\$[0-9]+"))</f>
        <v/>
      </c>
      <c r="AK187" s="7" t="str">
        <f t="array" aca="1" ref="AK187" ca="1">IFERROR(IF(OR('Raw Data'!AK187="",LEN(TRIM('Raw Data'!AK187))=0),"",IF(AND(ISNUMBER('Raw Data'!AK187), IFERROR('Raw Data'!AK187 = ROUND('Raw Data'!AK187, 2),FALSE)),"",_xlfn.REGEXEXTRACT(CELL("address",AK187), "\$([A-Z]+)\$[0-9]+"))),_xlfn.REGEXEXTRACT(CELL("address",AK187), "\$([A-Z]+)\$[0-9]+"))</f>
        <v/>
      </c>
      <c r="AL187" s="7" t="str">
        <f t="array" aca="1" ref="AL187" ca="1">IFERROR(IF(OR('Raw Data'!AL187="",LEN(TRIM('Raw Data'!AL187))=0),"",IF(AND(ISNUMBER('Raw Data'!AL187), IFERROR('Raw Data'!AL187 = ROUND('Raw Data'!AL187, 2),FALSE)),"",_xlfn.REGEXEXTRACT(CELL("address",AL187), "\$([A-Z]+)\$[0-9]+"))),_xlfn.REGEXEXTRACT(CELL("address",AL187), "\$([A-Z]+)\$[0-9]+"))</f>
        <v/>
      </c>
      <c r="AM187" s="7" t="str">
        <f t="array" aca="1" ref="AM187" ca="1">IFERROR(IF(OR('Raw Data'!AM187="",LEN(TRIM('Raw Data'!AM187))=0),"",IF(AND(ISNUMBER('Raw Data'!AM187), IFERROR('Raw Data'!AM187 = ROUND('Raw Data'!AM187, 2),FALSE)),"",_xlfn.REGEXEXTRACT(CELL("address",AM187), "\$([A-Z]+)\$[0-9]+"))),_xlfn.REGEXEXTRACT(CELL("address",AM187), "\$([A-Z]+)\$[0-9]+"))</f>
        <v/>
      </c>
      <c r="AN187" s="7" t="str">
        <f t="array" aca="1" ref="AN187" ca="1">IFERROR(IF(OR('Raw Data'!AN187="",LEN(TRIM('Raw Data'!AN187))=0),"",IF(AND(ISNUMBER('Raw Data'!AN187), IFERROR('Raw Data'!AN187 = ROUND('Raw Data'!AN187, 2),FALSE)),"",_xlfn.REGEXEXTRACT(CELL("address",AN187), "\$([A-Z]+)\$[0-9]+"))),_xlfn.REGEXEXTRACT(CELL("address",AN187), "\$([A-Z]+)\$[0-9]+"))</f>
        <v/>
      </c>
      <c r="AO187" s="7" t="str">
        <f t="array" aca="1" ref="AO187" ca="1">IFERROR(IF(OR('Raw Data'!AO187="",LEN(TRIM('Raw Data'!AO187))=0),"",IF(AND(ISNUMBER('Raw Data'!AO187), IFERROR('Raw Data'!AO187 = ROUND('Raw Data'!AO187, 2),FALSE)),"",_xlfn.REGEXEXTRACT(CELL("address",AO187), "\$([A-Z]+)\$[0-9]+"))),_xlfn.REGEXEXTRACT(CELL("address",AO187), "\$([A-Z]+)\$[0-9]+"))</f>
        <v/>
      </c>
      <c r="AP187" s="7" t="str">
        <f t="array" aca="1" ref="AP187" ca="1">IFERROR(IF(OR('Raw Data'!AP187="",LEN(TRIM('Raw Data'!AP187))=0),"",IF(AND(ISNUMBER('Raw Data'!AP187), IFERROR('Raw Data'!AP187 = ROUND('Raw Data'!AP187, 2),FALSE)),"",_xlfn.REGEXEXTRACT(CELL("address",AP187), "\$([A-Z]+)\$[0-9]+"))),_xlfn.REGEXEXTRACT(CELL("address",AP187), "\$([A-Z]+)\$[0-9]+"))</f>
        <v/>
      </c>
    </row>
    <row r="188" spans="2:42" x14ac:dyDescent="0.25">
      <c r="B188" s="7" t="str">
        <f t="array" aca="1" ref="B188" ca="1">IFERROR(IF(OR('Raw Data'!B188="",LEN(TRIM('Raw Data'!B188))=0),"",IF(AND(LEN('Raw Data'!B188) &lt;= 255,LEN('Raw Data'!B188)&gt; 0),"",_xlfn.REGEXEXTRACT(CELL("address",'Raw Data'!B188),"\$([A-Z]+)\$[0-9]+"))),_xlfn.REGEXEXTRACT(CELL("address",'Raw Data'!B188),"\$([A-Z]+)\$[0-9]+"))</f>
        <v/>
      </c>
      <c r="C188" s="7" t="str">
        <f t="array" aca="1" ref="C188" ca="1">IFERROR(IF(OR('Raw Data'!C188="",LEN(TRIM('Raw Data'!C188))=0),"",IF(AND(LEN('Raw Data'!C188) &lt;= 50,LEN('Raw Data'!C188)&gt; 0),"",_xlfn.REGEXEXTRACT(CELL("address",'Raw Data'!C188),"\$([A-Z]+)\$[0-9]+"))),_xlfn.REGEXEXTRACT(CELL("address",'Raw Data'!C188),"\$([A-Z]+)\$[0-9]+"))</f>
        <v/>
      </c>
      <c r="D188" s="7" t="str">
        <f t="array" aca="1" ref="D188" ca="1">IFERROR(IF(OR('Raw Data'!D188="",LEN(TRIM('Raw Data'!D188))=0),"",IF(AND(LEN('Raw Data'!D188) &lt;= 500,LEN('Raw Data'!D188)&gt; 0),"",_xlfn.REGEXEXTRACT(CELL("address",'Raw Data'!D188),"\$([A-Z]+)\$[0-9]+"))),_xlfn.REGEXEXTRACT(CELL("address",'Raw Data'!D188),"\$([A-Z]+)\$[0-9]+"))</f>
        <v/>
      </c>
      <c r="E188" s="7" t="str">
        <f t="array" aca="1" ref="E188" ca="1">IFERROR(IF(OR('Raw Data'!E188="",LEN(TRIM('Raw Data'!E188))=0),"",IF(AND(LEN('Raw Data'!E188) &lt;= 50,LEN('Raw Data'!E188)&gt; 0),"",_xlfn.REGEXEXTRACT(CELL("address",'Raw Data'!E188),"\$([A-Z]+)\$[0-9]+"))),_xlfn.REGEXEXTRACT(CELL("address",'Raw Data'!E188),"\$([A-Z]+)\$[0-9]+"))</f>
        <v/>
      </c>
      <c r="F188" s="7" t="str">
        <f t="array" aca="1" ref="F188" ca="1">IFERROR(IF(OR('Raw Data'!F188="",LEN(TRIM('Raw Data'!F188))=0),"",IF(AND(LEN('Raw Data'!F188) &lt;= 50,LEN('Raw Data'!F188)&gt; 0),"",_xlfn.REGEXEXTRACT(CELL("address",'Raw Data'!F188),"\$([A-Z]+)\$[0-9]+"))),_xlfn.REGEXEXTRACT(CELL("address",'Raw Data'!F188),"\$([A-Z]+)\$[0-9]+"))</f>
        <v/>
      </c>
      <c r="G188" s="7" t="str">
        <f t="array" aca="1" ref="G188" ca="1">IFERROR(IF(OR('Raw Data'!G188="",LEN(TRIM('Raw Data'!G188))=0),"",IF(AND(LEN('Raw Data'!G188) &lt;= 50,LEN('Raw Data'!G188)&gt; 0),"",_xlfn.REGEXEXTRACT(CELL("address",'Raw Data'!G188),"\$([A-Z]+)\$[0-9]+"))),_xlfn.REGEXEXTRACT(CELL("address",'Raw Data'!G188),"\$([A-Z]+)\$[0-9]+"))</f>
        <v/>
      </c>
      <c r="H188" s="7" t="str">
        <f t="array" aca="1" ref="H188" ca="1">IFERROR(IF(OR('Raw Data'!H188="",LEN(TRIM('Raw Data'!H188))=0),"",IF(AND(LEN('Raw Data'!H188) &lt;= 50,LEN('Raw Data'!H188)&gt; 0),"",_xlfn.REGEXEXTRACT(CELL("address",'Raw Data'!H188),"\$([A-Z]+)\$[0-9]+"))),_xlfn.REGEXEXTRACT(CELL("address",'Raw Data'!H188),"\$([A-Z]+)\$[0-9]+"))</f>
        <v/>
      </c>
      <c r="I188" s="7" t="str">
        <f t="array" aca="1" ref="I188" ca="1">IFERROR(IF(OR('Raw Data'!I188="",LEN(TRIM('Raw Data'!I188))=0),"",IF(AND(LEN('Raw Data'!I188) &lt;= 50,LEN('Raw Data'!I188)&gt; 0),"",_xlfn.REGEXEXTRACT(CELL("address",'Raw Data'!I188),"\$([A-Z]+)\$[0-9]+"))),_xlfn.REGEXEXTRACT(CELL("address",'Raw Data'!I188),"\$([A-Z]+)\$[0-9]+"))</f>
        <v/>
      </c>
      <c r="J188" s="7" t="str">
        <f t="array" aca="1" ref="J188" ca="1">IFERROR(IF(OR('Raw Data'!J188="",LEN(TRIM('Raw Data'!J188))=0),"",IF(AND(ISNUMBER('Raw Data'!J188), IFERROR('Raw Data'!J188 = ROUND('Raw Data'!J188, 2),FALSE)),"",_xlfn.REGEXEXTRACT(CELL("address",J188), "\$([A-Z]+)\$[0-9]+"))),_xlfn.REGEXEXTRACT(CELL("address",J188), "\$([A-Z]+)\$[0-9]+"))</f>
        <v/>
      </c>
      <c r="K188" s="7" t="str">
        <f t="array" aca="1" ref="K188" ca="1">IFERROR(IF(OR('Raw Data'!K188="",LEN(TRIM('Raw Data'!K188))=0),"",IF(AND(ISNUMBER('Raw Data'!K188), IFERROR('Raw Data'!K188 = ROUND('Raw Data'!K188, 2),FALSE)),"",_xlfn.REGEXEXTRACT(CELL("address",K188), "\$([A-Z]+)\$[0-9]+"))),_xlfn.REGEXEXTRACT(CELL("address",K188), "\$([A-Z]+)\$[0-9]+"))</f>
        <v/>
      </c>
      <c r="L188" s="7" t="str">
        <f t="array" aca="1" ref="L188" ca="1">IFERROR(IF(OR('Raw Data'!L188="",LEN(TRIM('Raw Data'!L188))=0),"",IF(AND(ISNUMBER('Raw Data'!L188), IFERROR('Raw Data'!L188 = ROUND('Raw Data'!L188, 2),FALSE)),"",_xlfn.REGEXEXTRACT(CELL("address",L188), "\$([A-Z]+)\$[0-9]+"))),_xlfn.REGEXEXTRACT(CELL("address",L188), "\$([A-Z]+)\$[0-9]+"))</f>
        <v/>
      </c>
      <c r="M188" s="7" t="str">
        <f t="array" aca="1" ref="M188" ca="1">IFERROR(IF(OR('Raw Data'!M188="",LEN(TRIM('Raw Data'!M188))=0),"",IF(AND(ISNUMBER('Raw Data'!M188), IFERROR('Raw Data'!M188 = ROUND('Raw Data'!M188, 2),FALSE)),"",_xlfn.REGEXEXTRACT(CELL("address",M188), "\$([A-Z]+)\$[0-9]+"))),_xlfn.REGEXEXTRACT(CELL("address",M188), "\$([A-Z]+)\$[0-9]+"))</f>
        <v/>
      </c>
      <c r="N188" s="7" t="str">
        <f t="array" aca="1" ref="N188" ca="1">IFERROR(IF(OR('Raw Data'!N188="",LEN(TRIM('Raw Data'!N188))=0),"",IF(AND(ISNUMBER('Raw Data'!N188), IFERROR('Raw Data'!N188 = ROUND('Raw Data'!N188, 2),FALSE)),"",_xlfn.REGEXEXTRACT(CELL("address",N188), "\$([A-Z]+)\$[0-9]+"))),_xlfn.REGEXEXTRACT(CELL("address",N188), "\$([A-Z]+)\$[0-9]+"))</f>
        <v/>
      </c>
      <c r="O188" s="7" t="str">
        <f t="array" aca="1" ref="O188" ca="1">IFERROR(IF(OR('Raw Data'!O188="",LEN(TRIM('Raw Data'!O188))=0),"",IF(AND(ISNUMBER('Raw Data'!O188),'Raw Data'!O188&gt;=Configuration!$D$2),"",_xlfn.REGEXEXTRACT(CELL("address",'Raw Data'!O188),"\$([A-Z]+)\$[0-9]+"))),_xlfn.REGEXEXTRACT(CELL("address",O188), "\$([A-Z]+)\$[0-9]+"))</f>
        <v/>
      </c>
      <c r="P188" s="7" t="str">
        <f t="array" aca="1" ref="P188" ca="1">IFERROR(IF(OR('Raw Data'!P188="",LEN(TRIM('Raw Data'!P188))=0),"",IF(AND(ISNUMBER('Raw Data'!P188), IFERROR('Raw Data'!P188 = ROUND('Raw Data'!P188, 2),FALSE)),"",_xlfn.REGEXEXTRACT(CELL("address",P188), "\$([A-Z]+)\$[0-9]+"))),_xlfn.REGEXEXTRACT(CELL("address",P188), "\$([A-Z]+)\$[0-9]+"))</f>
        <v/>
      </c>
      <c r="Q188" s="7" t="str">
        <f t="array" aca="1" ref="Q188" ca="1">IFERROR(IF(OR('Raw Data'!Q188="",LEN(TRIM('Raw Data'!Q188))=0),"",IF(AND(ISNUMBER('Raw Data'!Q188), IFERROR('Raw Data'!Q188 = ROUND('Raw Data'!Q188, 2),FALSE)),"",_xlfn.REGEXEXTRACT(CELL("address",Q188), "\$([A-Z]+)\$[0-9]+"))),_xlfn.REGEXEXTRACT(CELL("address",Q188), "\$([A-Z]+)\$[0-9]+"))</f>
        <v/>
      </c>
      <c r="R188" s="7" t="str">
        <f t="array" aca="1" ref="R188" ca="1">IFERROR(IF(OR('Raw Data'!R188="",LEN(TRIM('Raw Data'!R188))=0),"",IF(AND(LEN('Raw Data'!R188) &lt;= 50,LEN('Raw Data'!R188)&gt; 0),"",_xlfn.REGEXEXTRACT(CELL("address",'Raw Data'!R188),"\$([A-Z]+)\$[0-9]+"))),_xlfn.REGEXEXTRACT(CELL("address",'Raw Data'!R188),"\$([A-Z]+)\$[0-9]+"))</f>
        <v/>
      </c>
      <c r="S188" s="7" t="str">
        <f t="array" aca="1" ref="S188" ca="1">IFERROR(IF(OR('Raw Data'!S188="",LEN(TRIM('Raw Data'!S188))=0),"",IF(AND(LEN('Raw Data'!S188) &lt;= 50,LEN('Raw Data'!S188)&gt; 0),"",_xlfn.REGEXEXTRACT(CELL("address",'Raw Data'!S188),"\$([A-Z]+)\$[0-9]+"))),_xlfn.REGEXEXTRACT(CELL("address",'Raw Data'!S188),"\$([A-Z]+)\$[0-9]+"))</f>
        <v/>
      </c>
      <c r="T188" s="7" t="str">
        <f t="array" aca="1" ref="T188" ca="1">IFERROR(IF(OR('Raw Data'!T188="",LEN(TRIM('Raw Data'!T188))=0),"",IF(AND(ISNUMBER('Raw Data'!T188), IFERROR('Raw Data'!T188 = ROUND('Raw Data'!T188, 2),FALSE)),"",_xlfn.REGEXEXTRACT(CELL("address",T188), "\$([A-Z]+)\$[0-9]+"))),_xlfn.REGEXEXTRACT(CELL("address",T188), "\$([A-Z]+)\$[0-9]+"))</f>
        <v/>
      </c>
      <c r="U188" s="7" t="str">
        <f t="array" aca="1" ref="U188" ca="1">IFERROR(IF(OR('Raw Data'!U188="",LEN(TRIM('Raw Data'!U188))=0),"",IF(AND(ISNUMBER('Raw Data'!U188), IFERROR('Raw Data'!U188 = ROUND('Raw Data'!U188, 2),FALSE)),"",_xlfn.REGEXEXTRACT(CELL("address",U188), "\$([A-Z]+)\$[0-9]+"))),_xlfn.REGEXEXTRACT(CELL("address",U188), "\$([A-Z]+)\$[0-9]+"))</f>
        <v/>
      </c>
      <c r="V188" s="7" t="str">
        <f t="array" aca="1" ref="V188" ca="1">IFERROR(IF(OR('Raw Data'!V188="",LEN(TRIM('Raw Data'!V188))=0),"",IF(AND(ISNUMBER('Raw Data'!V188), IFERROR('Raw Data'!V188 = ROUND('Raw Data'!V188, 2),FALSE)),"",_xlfn.REGEXEXTRACT(CELL("address",V188), "\$([A-Z]+)\$[0-9]+"))),_xlfn.REGEXEXTRACT(CELL("address",V188), "\$([A-Z]+)\$[0-9]+"))</f>
        <v/>
      </c>
      <c r="W188" s="7" t="str">
        <f t="array" aca="1" ref="W188" ca="1">IFERROR(IF(OR('Raw Data'!W188="",LEN(TRIM('Raw Data'!W188))=0),"",IF(AND(ISNUMBER('Raw Data'!W188), IFERROR('Raw Data'!W188 = ROUND('Raw Data'!W188, 2),FALSE)),"",_xlfn.REGEXEXTRACT(CELL("address",W188), "\$([A-Z]+)\$[0-9]+"))),_xlfn.REGEXEXTRACT(CELL("address",W188), "\$([A-Z]+)\$[0-9]+"))</f>
        <v/>
      </c>
      <c r="X188" s="7" t="str">
        <f t="array" aca="1" ref="X188" ca="1">IFERROR(IF(OR('Raw Data'!X188="",LEN(TRIM('Raw Data'!X188))=0),"",IF(AND(ISNUMBER('Raw Data'!X188), IFERROR('Raw Data'!X188 = ROUND('Raw Data'!X188, 2),FALSE)),"",_xlfn.REGEXEXTRACT(CELL("address",X188), "\$([A-Z]+)\$[0-9]+"))),_xlfn.REGEXEXTRACT(CELL("address",X188), "\$([A-Z]+)\$[0-9]+"))</f>
        <v/>
      </c>
      <c r="Y188" s="7" t="str">
        <f t="array" aca="1" ref="Y188" ca="1">IFERROR(IF(OR('Raw Data'!Y188="",LEN(TRIM('Raw Data'!Y188))=0),"",IF(AND(ISNUMBER('Raw Data'!Y188), IFERROR('Raw Data'!Y188 = ROUND('Raw Data'!Y188, 2),FALSE)),"",_xlfn.REGEXEXTRACT(CELL("address",Y188), "\$([A-Z]+)\$[0-9]+"))),_xlfn.REGEXEXTRACT(CELL("address",Y188), "\$([A-Z]+)\$[0-9]+"))</f>
        <v/>
      </c>
      <c r="Z188" s="7" t="str">
        <f t="array" aca="1" ref="Z188" ca="1">IFERROR(IF(OR('Raw Data'!Z188="",LEN(TRIM('Raw Data'!Z188))=0),"",IF(AND(ISNUMBER('Raw Data'!Z188), IFERROR('Raw Data'!Z188 = ROUND('Raw Data'!Z188, 2),FALSE)),"",_xlfn.REGEXEXTRACT(CELL("address",Z188), "\$([A-Z]+)\$[0-9]+"))),_xlfn.REGEXEXTRACT(CELL("address",Z188), "\$([A-Z]+)\$[0-9]+"))</f>
        <v/>
      </c>
      <c r="AA188" s="7" t="str">
        <f t="array" aca="1" ref="AA188" ca="1">IFERROR(IF(OR('Raw Data'!AA188="",LEN(TRIM('Raw Data'!AA188))=0),"",IF(AND(ISNUMBER('Raw Data'!AA188), IFERROR('Raw Data'!AA188 = ROUND('Raw Data'!AA188, 2),FALSE)),"",_xlfn.REGEXEXTRACT(CELL("address",AA188), "\$([A-Z]+)\$[0-9]+"))),_xlfn.REGEXEXTRACT(CELL("address",AA188), "\$([A-Z]+)\$[0-9]+"))</f>
        <v/>
      </c>
      <c r="AB188" s="7" t="str">
        <f t="array" aca="1" ref="AB188" ca="1">IFERROR(IF(OR('Raw Data'!AB188="",LEN(TRIM('Raw Data'!AB188))=0),"",IF(AND(ISNUMBER('Raw Data'!AB188), IFERROR('Raw Data'!AB188 = ROUND('Raw Data'!AB188, 2),FALSE)),"",_xlfn.REGEXEXTRACT(CELL("address",AB188), "\$([A-Z]+)\$[0-9]+"))),_xlfn.REGEXEXTRACT(CELL("address",AB188), "\$([A-Z]+)\$[0-9]+"))</f>
        <v/>
      </c>
      <c r="AC188" s="7" t="str">
        <f t="array" aca="1" ref="AC188" ca="1">IFERROR(IF(OR('Raw Data'!AC188="",LEN(TRIM('Raw Data'!AC188))=0),"",IF(AND(ISNUMBER('Raw Data'!AC188), IFERROR('Raw Data'!AC188 = ROUND('Raw Data'!AC188, 2),FALSE)),"",_xlfn.REGEXEXTRACT(CELL("address",AC188), "\$([A-Z]+)\$[0-9]+"))),_xlfn.REGEXEXTRACT(CELL("address",AC188), "\$([A-Z]+)\$[0-9]+"))</f>
        <v/>
      </c>
      <c r="AD188" s="7" t="str">
        <f t="array" aca="1" ref="AD188" ca="1">IFERROR(IF(OR('Raw Data'!AD188="",LEN(TRIM('Raw Data'!AD188))=0),"",IF(AND(ISNUMBER('Raw Data'!AD188), IFERROR('Raw Data'!AD188 = ROUND('Raw Data'!AD188, 2),FALSE)),"",_xlfn.REGEXEXTRACT(CELL("address",AD188), "\$([A-Z]+)\$[0-9]+"))),_xlfn.REGEXEXTRACT(CELL("address",AD188), "\$([A-Z]+)\$[0-9]+"))</f>
        <v/>
      </c>
      <c r="AE188" s="7" t="str">
        <f t="array" aca="1" ref="AE188" ca="1">IFERROR(IF(OR('Raw Data'!AE188="",LEN(TRIM('Raw Data'!AE188))=0),"",IF(AND(ISNUMBER('Raw Data'!AE188), IFERROR('Raw Data'!AE188 = ROUND('Raw Data'!AE188, 2),FALSE)),"",_xlfn.REGEXEXTRACT(CELL("address",AE188), "\$([A-Z]+)\$[0-9]+"))),_xlfn.REGEXEXTRACT(CELL("address",AE188), "\$([A-Z]+)\$[0-9]+"))</f>
        <v/>
      </c>
      <c r="AF188" s="7" t="str">
        <f t="array" aca="1" ref="AF188" ca="1">IFERROR(IF(OR('Raw Data'!AF188="",LEN(TRIM('Raw Data'!AF188))=0),"",IF(AND(ISNUMBER('Raw Data'!AF188), IFERROR('Raw Data'!AF188 = ROUND('Raw Data'!AF188, 2),FALSE)),"",_xlfn.REGEXEXTRACT(CELL("address",AF188), "\$([A-Z]+)\$[0-9]+"))),_xlfn.REGEXEXTRACT(CELL("address",AF188), "\$([A-Z]+)\$[0-9]+"))</f>
        <v/>
      </c>
      <c r="AG188" s="7" t="str">
        <f t="array" aca="1" ref="AG188" ca="1">IFERROR(IF(OR('Raw Data'!AG188="",LEN(TRIM('Raw Data'!AG188))=0),"",IF(AND(ISNUMBER('Raw Data'!AG188), IFERROR('Raw Data'!AG188 = ROUND('Raw Data'!AG188, 2),FALSE)),"",_xlfn.REGEXEXTRACT(CELL("address",AG188), "\$([A-Z]+)\$[0-9]+"))),_xlfn.REGEXEXTRACT(CELL("address",AG188), "\$([A-Z]+)\$[0-9]+"))</f>
        <v/>
      </c>
      <c r="AH188" s="7" t="str">
        <f t="array" aca="1" ref="AH188" ca="1">IFERROR(IF(OR('Raw Data'!AH188="",LEN(TRIM('Raw Data'!AH188))=0),"",IF(AND(ISNUMBER('Raw Data'!AH188), IFERROR('Raw Data'!AH188 = ROUND('Raw Data'!AH188, 2),FALSE)),"",_xlfn.REGEXEXTRACT(CELL("address",AH188), "\$([A-Z]+)\$[0-9]+"))),_xlfn.REGEXEXTRACT(CELL("address",AH188), "\$([A-Z]+)\$[0-9]+"))</f>
        <v/>
      </c>
      <c r="AI188" s="7" t="str">
        <f t="array" aca="1" ref="AI188" ca="1">IFERROR(IF(OR('Raw Data'!AI188="",LEN(TRIM('Raw Data'!AI188))=0),"",IF(AND(ISNUMBER('Raw Data'!AI188), IFERROR('Raw Data'!AI188 = ROUND('Raw Data'!AI188, 2),FALSE)),"",_xlfn.REGEXEXTRACT(CELL("address",AI188), "\$([A-Z]+)\$[0-9]+"))),_xlfn.REGEXEXTRACT(CELL("address",AI188), "\$([A-Z]+)\$[0-9]+"))</f>
        <v/>
      </c>
      <c r="AJ188" s="7" t="str">
        <f t="array" aca="1" ref="AJ188" ca="1">IFERROR(IF(OR('Raw Data'!AJ188="",LEN(TRIM('Raw Data'!AJ188))=0),"",IF(AND(ISNUMBER('Raw Data'!AJ188), IFERROR('Raw Data'!AJ188 = ROUND('Raw Data'!AJ188, 4),FALSE)),"",_xlfn.REGEXEXTRACT(CELL("address",AJ188), "\$([A-Z]+)\$[0-9]+"))),_xlfn.REGEXEXTRACT(CELL("address",AJ188), "\$([A-Z]+)\$[0-9]+"))</f>
        <v/>
      </c>
      <c r="AK188" s="7" t="str">
        <f t="array" aca="1" ref="AK188" ca="1">IFERROR(IF(OR('Raw Data'!AK188="",LEN(TRIM('Raw Data'!AK188))=0),"",IF(AND(ISNUMBER('Raw Data'!AK188), IFERROR('Raw Data'!AK188 = ROUND('Raw Data'!AK188, 2),FALSE)),"",_xlfn.REGEXEXTRACT(CELL("address",AK188), "\$([A-Z]+)\$[0-9]+"))),_xlfn.REGEXEXTRACT(CELL("address",AK188), "\$([A-Z]+)\$[0-9]+"))</f>
        <v/>
      </c>
      <c r="AL188" s="7" t="str">
        <f t="array" aca="1" ref="AL188" ca="1">IFERROR(IF(OR('Raw Data'!AL188="",LEN(TRIM('Raw Data'!AL188))=0),"",IF(AND(ISNUMBER('Raw Data'!AL188), IFERROR('Raw Data'!AL188 = ROUND('Raw Data'!AL188, 2),FALSE)),"",_xlfn.REGEXEXTRACT(CELL("address",AL188), "\$([A-Z]+)\$[0-9]+"))),_xlfn.REGEXEXTRACT(CELL("address",AL188), "\$([A-Z]+)\$[0-9]+"))</f>
        <v/>
      </c>
      <c r="AM188" s="7" t="str">
        <f t="array" aca="1" ref="AM188" ca="1">IFERROR(IF(OR('Raw Data'!AM188="",LEN(TRIM('Raw Data'!AM188))=0),"",IF(AND(ISNUMBER('Raw Data'!AM188), IFERROR('Raw Data'!AM188 = ROUND('Raw Data'!AM188, 2),FALSE)),"",_xlfn.REGEXEXTRACT(CELL("address",AM188), "\$([A-Z]+)\$[0-9]+"))),_xlfn.REGEXEXTRACT(CELL("address",AM188), "\$([A-Z]+)\$[0-9]+"))</f>
        <v/>
      </c>
      <c r="AN188" s="7" t="str">
        <f t="array" aca="1" ref="AN188" ca="1">IFERROR(IF(OR('Raw Data'!AN188="",LEN(TRIM('Raw Data'!AN188))=0),"",IF(AND(ISNUMBER('Raw Data'!AN188), IFERROR('Raw Data'!AN188 = ROUND('Raw Data'!AN188, 2),FALSE)),"",_xlfn.REGEXEXTRACT(CELL("address",AN188), "\$([A-Z]+)\$[0-9]+"))),_xlfn.REGEXEXTRACT(CELL("address",AN188), "\$([A-Z]+)\$[0-9]+"))</f>
        <v/>
      </c>
      <c r="AO188" s="7" t="str">
        <f t="array" aca="1" ref="AO188" ca="1">IFERROR(IF(OR('Raw Data'!AO188="",LEN(TRIM('Raw Data'!AO188))=0),"",IF(AND(ISNUMBER('Raw Data'!AO188), IFERROR('Raw Data'!AO188 = ROUND('Raw Data'!AO188, 2),FALSE)),"",_xlfn.REGEXEXTRACT(CELL("address",AO188), "\$([A-Z]+)\$[0-9]+"))),_xlfn.REGEXEXTRACT(CELL("address",AO188), "\$([A-Z]+)\$[0-9]+"))</f>
        <v/>
      </c>
      <c r="AP188" s="7" t="str">
        <f t="array" aca="1" ref="AP188" ca="1">IFERROR(IF(OR('Raw Data'!AP188="",LEN(TRIM('Raw Data'!AP188))=0),"",IF(AND(ISNUMBER('Raw Data'!AP188), IFERROR('Raw Data'!AP188 = ROUND('Raw Data'!AP188, 2),FALSE)),"",_xlfn.REGEXEXTRACT(CELL("address",AP188), "\$([A-Z]+)\$[0-9]+"))),_xlfn.REGEXEXTRACT(CELL("address",AP188), "\$([A-Z]+)\$[0-9]+"))</f>
        <v/>
      </c>
    </row>
    <row r="189" spans="2:42" x14ac:dyDescent="0.25">
      <c r="B189" s="7" t="str">
        <f t="array" aca="1" ref="B189" ca="1">IFERROR(IF(OR('Raw Data'!B189="",LEN(TRIM('Raw Data'!B189))=0),"",IF(AND(LEN('Raw Data'!B189) &lt;= 255,LEN('Raw Data'!B189)&gt; 0),"",_xlfn.REGEXEXTRACT(CELL("address",'Raw Data'!B189),"\$([A-Z]+)\$[0-9]+"))),_xlfn.REGEXEXTRACT(CELL("address",'Raw Data'!B189),"\$([A-Z]+)\$[0-9]+"))</f>
        <v/>
      </c>
      <c r="C189" s="7" t="str">
        <f t="array" aca="1" ref="C189" ca="1">IFERROR(IF(OR('Raw Data'!C189="",LEN(TRIM('Raw Data'!C189))=0),"",IF(AND(LEN('Raw Data'!C189) &lt;= 50,LEN('Raw Data'!C189)&gt; 0),"",_xlfn.REGEXEXTRACT(CELL("address",'Raw Data'!C189),"\$([A-Z]+)\$[0-9]+"))),_xlfn.REGEXEXTRACT(CELL("address",'Raw Data'!C189),"\$([A-Z]+)\$[0-9]+"))</f>
        <v/>
      </c>
      <c r="D189" s="7" t="str">
        <f t="array" aca="1" ref="D189" ca="1">IFERROR(IF(OR('Raw Data'!D189="",LEN(TRIM('Raw Data'!D189))=0),"",IF(AND(LEN('Raw Data'!D189) &lt;= 500,LEN('Raw Data'!D189)&gt; 0),"",_xlfn.REGEXEXTRACT(CELL("address",'Raw Data'!D189),"\$([A-Z]+)\$[0-9]+"))),_xlfn.REGEXEXTRACT(CELL("address",'Raw Data'!D189),"\$([A-Z]+)\$[0-9]+"))</f>
        <v/>
      </c>
      <c r="E189" s="7" t="str">
        <f t="array" aca="1" ref="E189" ca="1">IFERROR(IF(OR('Raw Data'!E189="",LEN(TRIM('Raw Data'!E189))=0),"",IF(AND(LEN('Raw Data'!E189) &lt;= 50,LEN('Raw Data'!E189)&gt; 0),"",_xlfn.REGEXEXTRACT(CELL("address",'Raw Data'!E189),"\$([A-Z]+)\$[0-9]+"))),_xlfn.REGEXEXTRACT(CELL("address",'Raw Data'!E189),"\$([A-Z]+)\$[0-9]+"))</f>
        <v/>
      </c>
      <c r="F189" s="7" t="str">
        <f t="array" aca="1" ref="F189" ca="1">IFERROR(IF(OR('Raw Data'!F189="",LEN(TRIM('Raw Data'!F189))=0),"",IF(AND(LEN('Raw Data'!F189) &lt;= 50,LEN('Raw Data'!F189)&gt; 0),"",_xlfn.REGEXEXTRACT(CELL("address",'Raw Data'!F189),"\$([A-Z]+)\$[0-9]+"))),_xlfn.REGEXEXTRACT(CELL("address",'Raw Data'!F189),"\$([A-Z]+)\$[0-9]+"))</f>
        <v/>
      </c>
      <c r="G189" s="7" t="str">
        <f t="array" aca="1" ref="G189" ca="1">IFERROR(IF(OR('Raw Data'!G189="",LEN(TRIM('Raw Data'!G189))=0),"",IF(AND(LEN('Raw Data'!G189) &lt;= 50,LEN('Raw Data'!G189)&gt; 0),"",_xlfn.REGEXEXTRACT(CELL("address",'Raw Data'!G189),"\$([A-Z]+)\$[0-9]+"))),_xlfn.REGEXEXTRACT(CELL("address",'Raw Data'!G189),"\$([A-Z]+)\$[0-9]+"))</f>
        <v/>
      </c>
      <c r="H189" s="7" t="str">
        <f t="array" aca="1" ref="H189" ca="1">IFERROR(IF(OR('Raw Data'!H189="",LEN(TRIM('Raw Data'!H189))=0),"",IF(AND(LEN('Raw Data'!H189) &lt;= 50,LEN('Raw Data'!H189)&gt; 0),"",_xlfn.REGEXEXTRACT(CELL("address",'Raw Data'!H189),"\$([A-Z]+)\$[0-9]+"))),_xlfn.REGEXEXTRACT(CELL("address",'Raw Data'!H189),"\$([A-Z]+)\$[0-9]+"))</f>
        <v/>
      </c>
      <c r="I189" s="7" t="str">
        <f t="array" aca="1" ref="I189" ca="1">IFERROR(IF(OR('Raw Data'!I189="",LEN(TRIM('Raw Data'!I189))=0),"",IF(AND(LEN('Raw Data'!I189) &lt;= 50,LEN('Raw Data'!I189)&gt; 0),"",_xlfn.REGEXEXTRACT(CELL("address",'Raw Data'!I189),"\$([A-Z]+)\$[0-9]+"))),_xlfn.REGEXEXTRACT(CELL("address",'Raw Data'!I189),"\$([A-Z]+)\$[0-9]+"))</f>
        <v/>
      </c>
      <c r="J189" s="7" t="str">
        <f t="array" aca="1" ref="J189" ca="1">IFERROR(IF(OR('Raw Data'!J189="",LEN(TRIM('Raw Data'!J189))=0),"",IF(AND(ISNUMBER('Raw Data'!J189), IFERROR('Raw Data'!J189 = ROUND('Raw Data'!J189, 2),FALSE)),"",_xlfn.REGEXEXTRACT(CELL("address",J189), "\$([A-Z]+)\$[0-9]+"))),_xlfn.REGEXEXTRACT(CELL("address",J189), "\$([A-Z]+)\$[0-9]+"))</f>
        <v/>
      </c>
      <c r="K189" s="7" t="str">
        <f t="array" aca="1" ref="K189" ca="1">IFERROR(IF(OR('Raw Data'!K189="",LEN(TRIM('Raw Data'!K189))=0),"",IF(AND(ISNUMBER('Raw Data'!K189), IFERROR('Raw Data'!K189 = ROUND('Raw Data'!K189, 2),FALSE)),"",_xlfn.REGEXEXTRACT(CELL("address",K189), "\$([A-Z]+)\$[0-9]+"))),_xlfn.REGEXEXTRACT(CELL("address",K189), "\$([A-Z]+)\$[0-9]+"))</f>
        <v/>
      </c>
      <c r="L189" s="7" t="str">
        <f t="array" aca="1" ref="L189" ca="1">IFERROR(IF(OR('Raw Data'!L189="",LEN(TRIM('Raw Data'!L189))=0),"",IF(AND(ISNUMBER('Raw Data'!L189), IFERROR('Raw Data'!L189 = ROUND('Raw Data'!L189, 2),FALSE)),"",_xlfn.REGEXEXTRACT(CELL("address",L189), "\$([A-Z]+)\$[0-9]+"))),_xlfn.REGEXEXTRACT(CELL("address",L189), "\$([A-Z]+)\$[0-9]+"))</f>
        <v/>
      </c>
      <c r="M189" s="7" t="str">
        <f t="array" aca="1" ref="M189" ca="1">IFERROR(IF(OR('Raw Data'!M189="",LEN(TRIM('Raw Data'!M189))=0),"",IF(AND(ISNUMBER('Raw Data'!M189), IFERROR('Raw Data'!M189 = ROUND('Raw Data'!M189, 2),FALSE)),"",_xlfn.REGEXEXTRACT(CELL("address",M189), "\$([A-Z]+)\$[0-9]+"))),_xlfn.REGEXEXTRACT(CELL("address",M189), "\$([A-Z]+)\$[0-9]+"))</f>
        <v/>
      </c>
      <c r="N189" s="7" t="str">
        <f t="array" aca="1" ref="N189" ca="1">IFERROR(IF(OR('Raw Data'!N189="",LEN(TRIM('Raw Data'!N189))=0),"",IF(AND(ISNUMBER('Raw Data'!N189), IFERROR('Raw Data'!N189 = ROUND('Raw Data'!N189, 2),FALSE)),"",_xlfn.REGEXEXTRACT(CELL("address",N189), "\$([A-Z]+)\$[0-9]+"))),_xlfn.REGEXEXTRACT(CELL("address",N189), "\$([A-Z]+)\$[0-9]+"))</f>
        <v/>
      </c>
      <c r="O189" s="7" t="str">
        <f t="array" aca="1" ref="O189" ca="1">IFERROR(IF(OR('Raw Data'!O189="",LEN(TRIM('Raw Data'!O189))=0),"",IF(AND(ISNUMBER('Raw Data'!O189),'Raw Data'!O189&gt;=Configuration!$D$2),"",_xlfn.REGEXEXTRACT(CELL("address",'Raw Data'!O189),"\$([A-Z]+)\$[0-9]+"))),_xlfn.REGEXEXTRACT(CELL("address",O189), "\$([A-Z]+)\$[0-9]+"))</f>
        <v/>
      </c>
      <c r="P189" s="7" t="str">
        <f t="array" aca="1" ref="P189" ca="1">IFERROR(IF(OR('Raw Data'!P189="",LEN(TRIM('Raw Data'!P189))=0),"",IF(AND(ISNUMBER('Raw Data'!P189), IFERROR('Raw Data'!P189 = ROUND('Raw Data'!P189, 2),FALSE)),"",_xlfn.REGEXEXTRACT(CELL("address",P189), "\$([A-Z]+)\$[0-9]+"))),_xlfn.REGEXEXTRACT(CELL("address",P189), "\$([A-Z]+)\$[0-9]+"))</f>
        <v/>
      </c>
      <c r="Q189" s="7" t="str">
        <f t="array" aca="1" ref="Q189" ca="1">IFERROR(IF(OR('Raw Data'!Q189="",LEN(TRIM('Raw Data'!Q189))=0),"",IF(AND(ISNUMBER('Raw Data'!Q189), IFERROR('Raw Data'!Q189 = ROUND('Raw Data'!Q189, 2),FALSE)),"",_xlfn.REGEXEXTRACT(CELL("address",Q189), "\$([A-Z]+)\$[0-9]+"))),_xlfn.REGEXEXTRACT(CELL("address",Q189), "\$([A-Z]+)\$[0-9]+"))</f>
        <v/>
      </c>
      <c r="R189" s="7" t="str">
        <f t="array" aca="1" ref="R189" ca="1">IFERROR(IF(OR('Raw Data'!R189="",LEN(TRIM('Raw Data'!R189))=0),"",IF(AND(LEN('Raw Data'!R189) &lt;= 50,LEN('Raw Data'!R189)&gt; 0),"",_xlfn.REGEXEXTRACT(CELL("address",'Raw Data'!R189),"\$([A-Z]+)\$[0-9]+"))),_xlfn.REGEXEXTRACT(CELL("address",'Raw Data'!R189),"\$([A-Z]+)\$[0-9]+"))</f>
        <v/>
      </c>
      <c r="S189" s="7" t="str">
        <f t="array" aca="1" ref="S189" ca="1">IFERROR(IF(OR('Raw Data'!S189="",LEN(TRIM('Raw Data'!S189))=0),"",IF(AND(LEN('Raw Data'!S189) &lt;= 50,LEN('Raw Data'!S189)&gt; 0),"",_xlfn.REGEXEXTRACT(CELL("address",'Raw Data'!S189),"\$([A-Z]+)\$[0-9]+"))),_xlfn.REGEXEXTRACT(CELL("address",'Raw Data'!S189),"\$([A-Z]+)\$[0-9]+"))</f>
        <v/>
      </c>
      <c r="T189" s="7" t="str">
        <f t="array" aca="1" ref="T189" ca="1">IFERROR(IF(OR('Raw Data'!T189="",LEN(TRIM('Raw Data'!T189))=0),"",IF(AND(ISNUMBER('Raw Data'!T189), IFERROR('Raw Data'!T189 = ROUND('Raw Data'!T189, 2),FALSE)),"",_xlfn.REGEXEXTRACT(CELL("address",T189), "\$([A-Z]+)\$[0-9]+"))),_xlfn.REGEXEXTRACT(CELL("address",T189), "\$([A-Z]+)\$[0-9]+"))</f>
        <v/>
      </c>
      <c r="U189" s="7" t="str">
        <f t="array" aca="1" ref="U189" ca="1">IFERROR(IF(OR('Raw Data'!U189="",LEN(TRIM('Raw Data'!U189))=0),"",IF(AND(ISNUMBER('Raw Data'!U189), IFERROR('Raw Data'!U189 = ROUND('Raw Data'!U189, 2),FALSE)),"",_xlfn.REGEXEXTRACT(CELL("address",U189), "\$([A-Z]+)\$[0-9]+"))),_xlfn.REGEXEXTRACT(CELL("address",U189), "\$([A-Z]+)\$[0-9]+"))</f>
        <v/>
      </c>
      <c r="V189" s="7" t="str">
        <f t="array" aca="1" ref="V189" ca="1">IFERROR(IF(OR('Raw Data'!V189="",LEN(TRIM('Raw Data'!V189))=0),"",IF(AND(ISNUMBER('Raw Data'!V189), IFERROR('Raw Data'!V189 = ROUND('Raw Data'!V189, 2),FALSE)),"",_xlfn.REGEXEXTRACT(CELL("address",V189), "\$([A-Z]+)\$[0-9]+"))),_xlfn.REGEXEXTRACT(CELL("address",V189), "\$([A-Z]+)\$[0-9]+"))</f>
        <v/>
      </c>
      <c r="W189" s="7" t="str">
        <f t="array" aca="1" ref="W189" ca="1">IFERROR(IF(OR('Raw Data'!W189="",LEN(TRIM('Raw Data'!W189))=0),"",IF(AND(ISNUMBER('Raw Data'!W189), IFERROR('Raw Data'!W189 = ROUND('Raw Data'!W189, 2),FALSE)),"",_xlfn.REGEXEXTRACT(CELL("address",W189), "\$([A-Z]+)\$[0-9]+"))),_xlfn.REGEXEXTRACT(CELL("address",W189), "\$([A-Z]+)\$[0-9]+"))</f>
        <v/>
      </c>
      <c r="X189" s="7" t="str">
        <f t="array" aca="1" ref="X189" ca="1">IFERROR(IF(OR('Raw Data'!X189="",LEN(TRIM('Raw Data'!X189))=0),"",IF(AND(ISNUMBER('Raw Data'!X189), IFERROR('Raw Data'!X189 = ROUND('Raw Data'!X189, 2),FALSE)),"",_xlfn.REGEXEXTRACT(CELL("address",X189), "\$([A-Z]+)\$[0-9]+"))),_xlfn.REGEXEXTRACT(CELL("address",X189), "\$([A-Z]+)\$[0-9]+"))</f>
        <v/>
      </c>
      <c r="Y189" s="7" t="str">
        <f t="array" aca="1" ref="Y189" ca="1">IFERROR(IF(OR('Raw Data'!Y189="",LEN(TRIM('Raw Data'!Y189))=0),"",IF(AND(ISNUMBER('Raw Data'!Y189), IFERROR('Raw Data'!Y189 = ROUND('Raw Data'!Y189, 2),FALSE)),"",_xlfn.REGEXEXTRACT(CELL("address",Y189), "\$([A-Z]+)\$[0-9]+"))),_xlfn.REGEXEXTRACT(CELL("address",Y189), "\$([A-Z]+)\$[0-9]+"))</f>
        <v/>
      </c>
      <c r="Z189" s="7" t="str">
        <f t="array" aca="1" ref="Z189" ca="1">IFERROR(IF(OR('Raw Data'!Z189="",LEN(TRIM('Raw Data'!Z189))=0),"",IF(AND(ISNUMBER('Raw Data'!Z189), IFERROR('Raw Data'!Z189 = ROUND('Raw Data'!Z189, 2),FALSE)),"",_xlfn.REGEXEXTRACT(CELL("address",Z189), "\$([A-Z]+)\$[0-9]+"))),_xlfn.REGEXEXTRACT(CELL("address",Z189), "\$([A-Z]+)\$[0-9]+"))</f>
        <v/>
      </c>
      <c r="AA189" s="7" t="str">
        <f t="array" aca="1" ref="AA189" ca="1">IFERROR(IF(OR('Raw Data'!AA189="",LEN(TRIM('Raw Data'!AA189))=0),"",IF(AND(ISNUMBER('Raw Data'!AA189), IFERROR('Raw Data'!AA189 = ROUND('Raw Data'!AA189, 2),FALSE)),"",_xlfn.REGEXEXTRACT(CELL("address",AA189), "\$([A-Z]+)\$[0-9]+"))),_xlfn.REGEXEXTRACT(CELL("address",AA189), "\$([A-Z]+)\$[0-9]+"))</f>
        <v/>
      </c>
      <c r="AB189" s="7" t="str">
        <f t="array" aca="1" ref="AB189" ca="1">IFERROR(IF(OR('Raw Data'!AB189="",LEN(TRIM('Raw Data'!AB189))=0),"",IF(AND(ISNUMBER('Raw Data'!AB189), IFERROR('Raw Data'!AB189 = ROUND('Raw Data'!AB189, 2),FALSE)),"",_xlfn.REGEXEXTRACT(CELL("address",AB189), "\$([A-Z]+)\$[0-9]+"))),_xlfn.REGEXEXTRACT(CELL("address",AB189), "\$([A-Z]+)\$[0-9]+"))</f>
        <v/>
      </c>
      <c r="AC189" s="7" t="str">
        <f t="array" aca="1" ref="AC189" ca="1">IFERROR(IF(OR('Raw Data'!AC189="",LEN(TRIM('Raw Data'!AC189))=0),"",IF(AND(ISNUMBER('Raw Data'!AC189), IFERROR('Raw Data'!AC189 = ROUND('Raw Data'!AC189, 2),FALSE)),"",_xlfn.REGEXEXTRACT(CELL("address",AC189), "\$([A-Z]+)\$[0-9]+"))),_xlfn.REGEXEXTRACT(CELL("address",AC189), "\$([A-Z]+)\$[0-9]+"))</f>
        <v/>
      </c>
      <c r="AD189" s="7" t="str">
        <f t="array" aca="1" ref="AD189" ca="1">IFERROR(IF(OR('Raw Data'!AD189="",LEN(TRIM('Raw Data'!AD189))=0),"",IF(AND(ISNUMBER('Raw Data'!AD189), IFERROR('Raw Data'!AD189 = ROUND('Raw Data'!AD189, 2),FALSE)),"",_xlfn.REGEXEXTRACT(CELL("address",AD189), "\$([A-Z]+)\$[0-9]+"))),_xlfn.REGEXEXTRACT(CELL("address",AD189), "\$([A-Z]+)\$[0-9]+"))</f>
        <v/>
      </c>
      <c r="AE189" s="7" t="str">
        <f t="array" aca="1" ref="AE189" ca="1">IFERROR(IF(OR('Raw Data'!AE189="",LEN(TRIM('Raw Data'!AE189))=0),"",IF(AND(ISNUMBER('Raw Data'!AE189), IFERROR('Raw Data'!AE189 = ROUND('Raw Data'!AE189, 2),FALSE)),"",_xlfn.REGEXEXTRACT(CELL("address",AE189), "\$([A-Z]+)\$[0-9]+"))),_xlfn.REGEXEXTRACT(CELL("address",AE189), "\$([A-Z]+)\$[0-9]+"))</f>
        <v/>
      </c>
      <c r="AF189" s="7" t="str">
        <f t="array" aca="1" ref="AF189" ca="1">IFERROR(IF(OR('Raw Data'!AF189="",LEN(TRIM('Raw Data'!AF189))=0),"",IF(AND(ISNUMBER('Raw Data'!AF189), IFERROR('Raw Data'!AF189 = ROUND('Raw Data'!AF189, 2),FALSE)),"",_xlfn.REGEXEXTRACT(CELL("address",AF189), "\$([A-Z]+)\$[0-9]+"))),_xlfn.REGEXEXTRACT(CELL("address",AF189), "\$([A-Z]+)\$[0-9]+"))</f>
        <v/>
      </c>
      <c r="AG189" s="7" t="str">
        <f t="array" aca="1" ref="AG189" ca="1">IFERROR(IF(OR('Raw Data'!AG189="",LEN(TRIM('Raw Data'!AG189))=0),"",IF(AND(ISNUMBER('Raw Data'!AG189), IFERROR('Raw Data'!AG189 = ROUND('Raw Data'!AG189, 2),FALSE)),"",_xlfn.REGEXEXTRACT(CELL("address",AG189), "\$([A-Z]+)\$[0-9]+"))),_xlfn.REGEXEXTRACT(CELL("address",AG189), "\$([A-Z]+)\$[0-9]+"))</f>
        <v/>
      </c>
      <c r="AH189" s="7" t="str">
        <f t="array" aca="1" ref="AH189" ca="1">IFERROR(IF(OR('Raw Data'!AH189="",LEN(TRIM('Raw Data'!AH189))=0),"",IF(AND(ISNUMBER('Raw Data'!AH189), IFERROR('Raw Data'!AH189 = ROUND('Raw Data'!AH189, 2),FALSE)),"",_xlfn.REGEXEXTRACT(CELL("address",AH189), "\$([A-Z]+)\$[0-9]+"))),_xlfn.REGEXEXTRACT(CELL("address",AH189), "\$([A-Z]+)\$[0-9]+"))</f>
        <v/>
      </c>
      <c r="AI189" s="7" t="str">
        <f t="array" aca="1" ref="AI189" ca="1">IFERROR(IF(OR('Raw Data'!AI189="",LEN(TRIM('Raw Data'!AI189))=0),"",IF(AND(ISNUMBER('Raw Data'!AI189), IFERROR('Raw Data'!AI189 = ROUND('Raw Data'!AI189, 2),FALSE)),"",_xlfn.REGEXEXTRACT(CELL("address",AI189), "\$([A-Z]+)\$[0-9]+"))),_xlfn.REGEXEXTRACT(CELL("address",AI189), "\$([A-Z]+)\$[0-9]+"))</f>
        <v/>
      </c>
      <c r="AJ189" s="7" t="str">
        <f t="array" aca="1" ref="AJ189" ca="1">IFERROR(IF(OR('Raw Data'!AJ189="",LEN(TRIM('Raw Data'!AJ189))=0),"",IF(AND(ISNUMBER('Raw Data'!AJ189), IFERROR('Raw Data'!AJ189 = ROUND('Raw Data'!AJ189, 4),FALSE)),"",_xlfn.REGEXEXTRACT(CELL("address",AJ189), "\$([A-Z]+)\$[0-9]+"))),_xlfn.REGEXEXTRACT(CELL("address",AJ189), "\$([A-Z]+)\$[0-9]+"))</f>
        <v/>
      </c>
      <c r="AK189" s="7" t="str">
        <f t="array" aca="1" ref="AK189" ca="1">IFERROR(IF(OR('Raw Data'!AK189="",LEN(TRIM('Raw Data'!AK189))=0),"",IF(AND(ISNUMBER('Raw Data'!AK189), IFERROR('Raw Data'!AK189 = ROUND('Raw Data'!AK189, 2),FALSE)),"",_xlfn.REGEXEXTRACT(CELL("address",AK189), "\$([A-Z]+)\$[0-9]+"))),_xlfn.REGEXEXTRACT(CELL("address",AK189), "\$([A-Z]+)\$[0-9]+"))</f>
        <v/>
      </c>
      <c r="AL189" s="7" t="str">
        <f t="array" aca="1" ref="AL189" ca="1">IFERROR(IF(OR('Raw Data'!AL189="",LEN(TRIM('Raw Data'!AL189))=0),"",IF(AND(ISNUMBER('Raw Data'!AL189), IFERROR('Raw Data'!AL189 = ROUND('Raw Data'!AL189, 2),FALSE)),"",_xlfn.REGEXEXTRACT(CELL("address",AL189), "\$([A-Z]+)\$[0-9]+"))),_xlfn.REGEXEXTRACT(CELL("address",AL189), "\$([A-Z]+)\$[0-9]+"))</f>
        <v/>
      </c>
      <c r="AM189" s="7" t="str">
        <f t="array" aca="1" ref="AM189" ca="1">IFERROR(IF(OR('Raw Data'!AM189="",LEN(TRIM('Raw Data'!AM189))=0),"",IF(AND(ISNUMBER('Raw Data'!AM189), IFERROR('Raw Data'!AM189 = ROUND('Raw Data'!AM189, 2),FALSE)),"",_xlfn.REGEXEXTRACT(CELL("address",AM189), "\$([A-Z]+)\$[0-9]+"))),_xlfn.REGEXEXTRACT(CELL("address",AM189), "\$([A-Z]+)\$[0-9]+"))</f>
        <v/>
      </c>
      <c r="AN189" s="7" t="str">
        <f t="array" aca="1" ref="AN189" ca="1">IFERROR(IF(OR('Raw Data'!AN189="",LEN(TRIM('Raw Data'!AN189))=0),"",IF(AND(ISNUMBER('Raw Data'!AN189), IFERROR('Raw Data'!AN189 = ROUND('Raw Data'!AN189, 2),FALSE)),"",_xlfn.REGEXEXTRACT(CELL("address",AN189), "\$([A-Z]+)\$[0-9]+"))),_xlfn.REGEXEXTRACT(CELL("address",AN189), "\$([A-Z]+)\$[0-9]+"))</f>
        <v/>
      </c>
      <c r="AO189" s="7" t="str">
        <f t="array" aca="1" ref="AO189" ca="1">IFERROR(IF(OR('Raw Data'!AO189="",LEN(TRIM('Raw Data'!AO189))=0),"",IF(AND(ISNUMBER('Raw Data'!AO189), IFERROR('Raw Data'!AO189 = ROUND('Raw Data'!AO189, 2),FALSE)),"",_xlfn.REGEXEXTRACT(CELL("address",AO189), "\$([A-Z]+)\$[0-9]+"))),_xlfn.REGEXEXTRACT(CELL("address",AO189), "\$([A-Z]+)\$[0-9]+"))</f>
        <v/>
      </c>
      <c r="AP189" s="7" t="str">
        <f t="array" aca="1" ref="AP189" ca="1">IFERROR(IF(OR('Raw Data'!AP189="",LEN(TRIM('Raw Data'!AP189))=0),"",IF(AND(ISNUMBER('Raw Data'!AP189), IFERROR('Raw Data'!AP189 = ROUND('Raw Data'!AP189, 2),FALSE)),"",_xlfn.REGEXEXTRACT(CELL("address",AP189), "\$([A-Z]+)\$[0-9]+"))),_xlfn.REGEXEXTRACT(CELL("address",AP189), "\$([A-Z]+)\$[0-9]+"))</f>
        <v/>
      </c>
    </row>
    <row r="190" spans="2:42" x14ac:dyDescent="0.25">
      <c r="B190" s="7" t="str">
        <f t="array" aca="1" ref="B190" ca="1">IFERROR(IF(OR('Raw Data'!B190="",LEN(TRIM('Raw Data'!B190))=0),"",IF(AND(LEN('Raw Data'!B190) &lt;= 255,LEN('Raw Data'!B190)&gt; 0),"",_xlfn.REGEXEXTRACT(CELL("address",'Raw Data'!B190),"\$([A-Z]+)\$[0-9]+"))),_xlfn.REGEXEXTRACT(CELL("address",'Raw Data'!B190),"\$([A-Z]+)\$[0-9]+"))</f>
        <v/>
      </c>
      <c r="C190" s="7" t="str">
        <f t="array" aca="1" ref="C190" ca="1">IFERROR(IF(OR('Raw Data'!C190="",LEN(TRIM('Raw Data'!C190))=0),"",IF(AND(LEN('Raw Data'!C190) &lt;= 50,LEN('Raw Data'!C190)&gt; 0),"",_xlfn.REGEXEXTRACT(CELL("address",'Raw Data'!C190),"\$([A-Z]+)\$[0-9]+"))),_xlfn.REGEXEXTRACT(CELL("address",'Raw Data'!C190),"\$([A-Z]+)\$[0-9]+"))</f>
        <v/>
      </c>
      <c r="D190" s="7" t="str">
        <f t="array" aca="1" ref="D190" ca="1">IFERROR(IF(OR('Raw Data'!D190="",LEN(TRIM('Raw Data'!D190))=0),"",IF(AND(LEN('Raw Data'!D190) &lt;= 500,LEN('Raw Data'!D190)&gt; 0),"",_xlfn.REGEXEXTRACT(CELL("address",'Raw Data'!D190),"\$([A-Z]+)\$[0-9]+"))),_xlfn.REGEXEXTRACT(CELL("address",'Raw Data'!D190),"\$([A-Z]+)\$[0-9]+"))</f>
        <v/>
      </c>
      <c r="E190" s="7" t="str">
        <f t="array" aca="1" ref="E190" ca="1">IFERROR(IF(OR('Raw Data'!E190="",LEN(TRIM('Raw Data'!E190))=0),"",IF(AND(LEN('Raw Data'!E190) &lt;= 50,LEN('Raw Data'!E190)&gt; 0),"",_xlfn.REGEXEXTRACT(CELL("address",'Raw Data'!E190),"\$([A-Z]+)\$[0-9]+"))),_xlfn.REGEXEXTRACT(CELL("address",'Raw Data'!E190),"\$([A-Z]+)\$[0-9]+"))</f>
        <v/>
      </c>
      <c r="F190" s="7" t="str">
        <f t="array" aca="1" ref="F190" ca="1">IFERROR(IF(OR('Raw Data'!F190="",LEN(TRIM('Raw Data'!F190))=0),"",IF(AND(LEN('Raw Data'!F190) &lt;= 50,LEN('Raw Data'!F190)&gt; 0),"",_xlfn.REGEXEXTRACT(CELL("address",'Raw Data'!F190),"\$([A-Z]+)\$[0-9]+"))),_xlfn.REGEXEXTRACT(CELL("address",'Raw Data'!F190),"\$([A-Z]+)\$[0-9]+"))</f>
        <v/>
      </c>
      <c r="G190" s="7" t="str">
        <f t="array" aca="1" ref="G190" ca="1">IFERROR(IF(OR('Raw Data'!G190="",LEN(TRIM('Raw Data'!G190))=0),"",IF(AND(LEN('Raw Data'!G190) &lt;= 50,LEN('Raw Data'!G190)&gt; 0),"",_xlfn.REGEXEXTRACT(CELL("address",'Raw Data'!G190),"\$([A-Z]+)\$[0-9]+"))),_xlfn.REGEXEXTRACT(CELL("address",'Raw Data'!G190),"\$([A-Z]+)\$[0-9]+"))</f>
        <v/>
      </c>
      <c r="H190" s="7" t="str">
        <f t="array" aca="1" ref="H190" ca="1">IFERROR(IF(OR('Raw Data'!H190="",LEN(TRIM('Raw Data'!H190))=0),"",IF(AND(LEN('Raw Data'!H190) &lt;= 50,LEN('Raw Data'!H190)&gt; 0),"",_xlfn.REGEXEXTRACT(CELL("address",'Raw Data'!H190),"\$([A-Z]+)\$[0-9]+"))),_xlfn.REGEXEXTRACT(CELL("address",'Raw Data'!H190),"\$([A-Z]+)\$[0-9]+"))</f>
        <v/>
      </c>
      <c r="I190" s="7" t="str">
        <f t="array" aca="1" ref="I190" ca="1">IFERROR(IF(OR('Raw Data'!I190="",LEN(TRIM('Raw Data'!I190))=0),"",IF(AND(LEN('Raw Data'!I190) &lt;= 50,LEN('Raw Data'!I190)&gt; 0),"",_xlfn.REGEXEXTRACT(CELL("address",'Raw Data'!I190),"\$([A-Z]+)\$[0-9]+"))),_xlfn.REGEXEXTRACT(CELL("address",'Raw Data'!I190),"\$([A-Z]+)\$[0-9]+"))</f>
        <v/>
      </c>
      <c r="J190" s="7" t="str">
        <f t="array" aca="1" ref="J190" ca="1">IFERROR(IF(OR('Raw Data'!J190="",LEN(TRIM('Raw Data'!J190))=0),"",IF(AND(ISNUMBER('Raw Data'!J190), IFERROR('Raw Data'!J190 = ROUND('Raw Data'!J190, 2),FALSE)),"",_xlfn.REGEXEXTRACT(CELL("address",J190), "\$([A-Z]+)\$[0-9]+"))),_xlfn.REGEXEXTRACT(CELL("address",J190), "\$([A-Z]+)\$[0-9]+"))</f>
        <v/>
      </c>
      <c r="K190" s="7" t="str">
        <f t="array" aca="1" ref="K190" ca="1">IFERROR(IF(OR('Raw Data'!K190="",LEN(TRIM('Raw Data'!K190))=0),"",IF(AND(ISNUMBER('Raw Data'!K190), IFERROR('Raw Data'!K190 = ROUND('Raw Data'!K190, 2),FALSE)),"",_xlfn.REGEXEXTRACT(CELL("address",K190), "\$([A-Z]+)\$[0-9]+"))),_xlfn.REGEXEXTRACT(CELL("address",K190), "\$([A-Z]+)\$[0-9]+"))</f>
        <v/>
      </c>
      <c r="L190" s="7" t="str">
        <f t="array" aca="1" ref="L190" ca="1">IFERROR(IF(OR('Raw Data'!L190="",LEN(TRIM('Raw Data'!L190))=0),"",IF(AND(ISNUMBER('Raw Data'!L190), IFERROR('Raw Data'!L190 = ROUND('Raw Data'!L190, 2),FALSE)),"",_xlfn.REGEXEXTRACT(CELL("address",L190), "\$([A-Z]+)\$[0-9]+"))),_xlfn.REGEXEXTRACT(CELL("address",L190), "\$([A-Z]+)\$[0-9]+"))</f>
        <v/>
      </c>
      <c r="M190" s="7" t="str">
        <f t="array" aca="1" ref="M190" ca="1">IFERROR(IF(OR('Raw Data'!M190="",LEN(TRIM('Raw Data'!M190))=0),"",IF(AND(ISNUMBER('Raw Data'!M190), IFERROR('Raw Data'!M190 = ROUND('Raw Data'!M190, 2),FALSE)),"",_xlfn.REGEXEXTRACT(CELL("address",M190), "\$([A-Z]+)\$[0-9]+"))),_xlfn.REGEXEXTRACT(CELL("address",M190), "\$([A-Z]+)\$[0-9]+"))</f>
        <v/>
      </c>
      <c r="N190" s="7" t="str">
        <f t="array" aca="1" ref="N190" ca="1">IFERROR(IF(OR('Raw Data'!N190="",LEN(TRIM('Raw Data'!N190))=0),"",IF(AND(ISNUMBER('Raw Data'!N190), IFERROR('Raw Data'!N190 = ROUND('Raw Data'!N190, 2),FALSE)),"",_xlfn.REGEXEXTRACT(CELL("address",N190), "\$([A-Z]+)\$[0-9]+"))),_xlfn.REGEXEXTRACT(CELL("address",N190), "\$([A-Z]+)\$[0-9]+"))</f>
        <v/>
      </c>
      <c r="O190" s="7" t="str">
        <f t="array" aca="1" ref="O190" ca="1">IFERROR(IF(OR('Raw Data'!O190="",LEN(TRIM('Raw Data'!O190))=0),"",IF(AND(ISNUMBER('Raw Data'!O190),'Raw Data'!O190&gt;=Configuration!$D$2),"",_xlfn.REGEXEXTRACT(CELL("address",'Raw Data'!O190),"\$([A-Z]+)\$[0-9]+"))),_xlfn.REGEXEXTRACT(CELL("address",O190), "\$([A-Z]+)\$[0-9]+"))</f>
        <v/>
      </c>
      <c r="P190" s="7" t="str">
        <f t="array" aca="1" ref="P190" ca="1">IFERROR(IF(OR('Raw Data'!P190="",LEN(TRIM('Raw Data'!P190))=0),"",IF(AND(ISNUMBER('Raw Data'!P190), IFERROR('Raw Data'!P190 = ROUND('Raw Data'!P190, 2),FALSE)),"",_xlfn.REGEXEXTRACT(CELL("address",P190), "\$([A-Z]+)\$[0-9]+"))),_xlfn.REGEXEXTRACT(CELL("address",P190), "\$([A-Z]+)\$[0-9]+"))</f>
        <v/>
      </c>
      <c r="Q190" s="7" t="str">
        <f t="array" aca="1" ref="Q190" ca="1">IFERROR(IF(OR('Raw Data'!Q190="",LEN(TRIM('Raw Data'!Q190))=0),"",IF(AND(ISNUMBER('Raw Data'!Q190), IFERROR('Raw Data'!Q190 = ROUND('Raw Data'!Q190, 2),FALSE)),"",_xlfn.REGEXEXTRACT(CELL("address",Q190), "\$([A-Z]+)\$[0-9]+"))),_xlfn.REGEXEXTRACT(CELL("address",Q190), "\$([A-Z]+)\$[0-9]+"))</f>
        <v/>
      </c>
      <c r="R190" s="7" t="str">
        <f t="array" aca="1" ref="R190" ca="1">IFERROR(IF(OR('Raw Data'!R190="",LEN(TRIM('Raw Data'!R190))=0),"",IF(AND(LEN('Raw Data'!R190) &lt;= 50,LEN('Raw Data'!R190)&gt; 0),"",_xlfn.REGEXEXTRACT(CELL("address",'Raw Data'!R190),"\$([A-Z]+)\$[0-9]+"))),_xlfn.REGEXEXTRACT(CELL("address",'Raw Data'!R190),"\$([A-Z]+)\$[0-9]+"))</f>
        <v/>
      </c>
      <c r="S190" s="7" t="str">
        <f t="array" aca="1" ref="S190" ca="1">IFERROR(IF(OR('Raw Data'!S190="",LEN(TRIM('Raw Data'!S190))=0),"",IF(AND(LEN('Raw Data'!S190) &lt;= 50,LEN('Raw Data'!S190)&gt; 0),"",_xlfn.REGEXEXTRACT(CELL("address",'Raw Data'!S190),"\$([A-Z]+)\$[0-9]+"))),_xlfn.REGEXEXTRACT(CELL("address",'Raw Data'!S190),"\$([A-Z]+)\$[0-9]+"))</f>
        <v/>
      </c>
      <c r="T190" s="7" t="str">
        <f t="array" aca="1" ref="T190" ca="1">IFERROR(IF(OR('Raw Data'!T190="",LEN(TRIM('Raw Data'!T190))=0),"",IF(AND(ISNUMBER('Raw Data'!T190), IFERROR('Raw Data'!T190 = ROUND('Raw Data'!T190, 2),FALSE)),"",_xlfn.REGEXEXTRACT(CELL("address",T190), "\$([A-Z]+)\$[0-9]+"))),_xlfn.REGEXEXTRACT(CELL("address",T190), "\$([A-Z]+)\$[0-9]+"))</f>
        <v/>
      </c>
      <c r="U190" s="7" t="str">
        <f t="array" aca="1" ref="U190" ca="1">IFERROR(IF(OR('Raw Data'!U190="",LEN(TRIM('Raw Data'!U190))=0),"",IF(AND(ISNUMBER('Raw Data'!U190), IFERROR('Raw Data'!U190 = ROUND('Raw Data'!U190, 2),FALSE)),"",_xlfn.REGEXEXTRACT(CELL("address",U190), "\$([A-Z]+)\$[0-9]+"))),_xlfn.REGEXEXTRACT(CELL("address",U190), "\$([A-Z]+)\$[0-9]+"))</f>
        <v/>
      </c>
      <c r="V190" s="7" t="str">
        <f t="array" aca="1" ref="V190" ca="1">IFERROR(IF(OR('Raw Data'!V190="",LEN(TRIM('Raw Data'!V190))=0),"",IF(AND(ISNUMBER('Raw Data'!V190), IFERROR('Raw Data'!V190 = ROUND('Raw Data'!V190, 2),FALSE)),"",_xlfn.REGEXEXTRACT(CELL("address",V190), "\$([A-Z]+)\$[0-9]+"))),_xlfn.REGEXEXTRACT(CELL("address",V190), "\$([A-Z]+)\$[0-9]+"))</f>
        <v/>
      </c>
      <c r="W190" s="7" t="str">
        <f t="array" aca="1" ref="W190" ca="1">IFERROR(IF(OR('Raw Data'!W190="",LEN(TRIM('Raw Data'!W190))=0),"",IF(AND(ISNUMBER('Raw Data'!W190), IFERROR('Raw Data'!W190 = ROUND('Raw Data'!W190, 2),FALSE)),"",_xlfn.REGEXEXTRACT(CELL("address",W190), "\$([A-Z]+)\$[0-9]+"))),_xlfn.REGEXEXTRACT(CELL("address",W190), "\$([A-Z]+)\$[0-9]+"))</f>
        <v/>
      </c>
      <c r="X190" s="7" t="str">
        <f t="array" aca="1" ref="X190" ca="1">IFERROR(IF(OR('Raw Data'!X190="",LEN(TRIM('Raw Data'!X190))=0),"",IF(AND(ISNUMBER('Raw Data'!X190), IFERROR('Raw Data'!X190 = ROUND('Raw Data'!X190, 2),FALSE)),"",_xlfn.REGEXEXTRACT(CELL("address",X190), "\$([A-Z]+)\$[0-9]+"))),_xlfn.REGEXEXTRACT(CELL("address",X190), "\$([A-Z]+)\$[0-9]+"))</f>
        <v/>
      </c>
      <c r="Y190" s="7" t="str">
        <f t="array" aca="1" ref="Y190" ca="1">IFERROR(IF(OR('Raw Data'!Y190="",LEN(TRIM('Raw Data'!Y190))=0),"",IF(AND(ISNUMBER('Raw Data'!Y190), IFERROR('Raw Data'!Y190 = ROUND('Raw Data'!Y190, 2),FALSE)),"",_xlfn.REGEXEXTRACT(CELL("address",Y190), "\$([A-Z]+)\$[0-9]+"))),_xlfn.REGEXEXTRACT(CELL("address",Y190), "\$([A-Z]+)\$[0-9]+"))</f>
        <v/>
      </c>
      <c r="Z190" s="7" t="str">
        <f t="array" aca="1" ref="Z190" ca="1">IFERROR(IF(OR('Raw Data'!Z190="",LEN(TRIM('Raw Data'!Z190))=0),"",IF(AND(ISNUMBER('Raw Data'!Z190), IFERROR('Raw Data'!Z190 = ROUND('Raw Data'!Z190, 2),FALSE)),"",_xlfn.REGEXEXTRACT(CELL("address",Z190), "\$([A-Z]+)\$[0-9]+"))),_xlfn.REGEXEXTRACT(CELL("address",Z190), "\$([A-Z]+)\$[0-9]+"))</f>
        <v/>
      </c>
      <c r="AA190" s="7" t="str">
        <f t="array" aca="1" ref="AA190" ca="1">IFERROR(IF(OR('Raw Data'!AA190="",LEN(TRIM('Raw Data'!AA190))=0),"",IF(AND(ISNUMBER('Raw Data'!AA190), IFERROR('Raw Data'!AA190 = ROUND('Raw Data'!AA190, 2),FALSE)),"",_xlfn.REGEXEXTRACT(CELL("address",AA190), "\$([A-Z]+)\$[0-9]+"))),_xlfn.REGEXEXTRACT(CELL("address",AA190), "\$([A-Z]+)\$[0-9]+"))</f>
        <v/>
      </c>
      <c r="AB190" s="7" t="str">
        <f t="array" aca="1" ref="AB190" ca="1">IFERROR(IF(OR('Raw Data'!AB190="",LEN(TRIM('Raw Data'!AB190))=0),"",IF(AND(ISNUMBER('Raw Data'!AB190), IFERROR('Raw Data'!AB190 = ROUND('Raw Data'!AB190, 2),FALSE)),"",_xlfn.REGEXEXTRACT(CELL("address",AB190), "\$([A-Z]+)\$[0-9]+"))),_xlfn.REGEXEXTRACT(CELL("address",AB190), "\$([A-Z]+)\$[0-9]+"))</f>
        <v/>
      </c>
      <c r="AC190" s="7" t="str">
        <f t="array" aca="1" ref="AC190" ca="1">IFERROR(IF(OR('Raw Data'!AC190="",LEN(TRIM('Raw Data'!AC190))=0),"",IF(AND(ISNUMBER('Raw Data'!AC190), IFERROR('Raw Data'!AC190 = ROUND('Raw Data'!AC190, 2),FALSE)),"",_xlfn.REGEXEXTRACT(CELL("address",AC190), "\$([A-Z]+)\$[0-9]+"))),_xlfn.REGEXEXTRACT(CELL("address",AC190), "\$([A-Z]+)\$[0-9]+"))</f>
        <v/>
      </c>
      <c r="AD190" s="7" t="str">
        <f t="array" aca="1" ref="AD190" ca="1">IFERROR(IF(OR('Raw Data'!AD190="",LEN(TRIM('Raw Data'!AD190))=0),"",IF(AND(ISNUMBER('Raw Data'!AD190), IFERROR('Raw Data'!AD190 = ROUND('Raw Data'!AD190, 2),FALSE)),"",_xlfn.REGEXEXTRACT(CELL("address",AD190), "\$([A-Z]+)\$[0-9]+"))),_xlfn.REGEXEXTRACT(CELL("address",AD190), "\$([A-Z]+)\$[0-9]+"))</f>
        <v/>
      </c>
      <c r="AE190" s="7" t="str">
        <f t="array" aca="1" ref="AE190" ca="1">IFERROR(IF(OR('Raw Data'!AE190="",LEN(TRIM('Raw Data'!AE190))=0),"",IF(AND(ISNUMBER('Raw Data'!AE190), IFERROR('Raw Data'!AE190 = ROUND('Raw Data'!AE190, 2),FALSE)),"",_xlfn.REGEXEXTRACT(CELL("address",AE190), "\$([A-Z]+)\$[0-9]+"))),_xlfn.REGEXEXTRACT(CELL("address",AE190), "\$([A-Z]+)\$[0-9]+"))</f>
        <v/>
      </c>
      <c r="AF190" s="7" t="str">
        <f t="array" aca="1" ref="AF190" ca="1">IFERROR(IF(OR('Raw Data'!AF190="",LEN(TRIM('Raw Data'!AF190))=0),"",IF(AND(ISNUMBER('Raw Data'!AF190), IFERROR('Raw Data'!AF190 = ROUND('Raw Data'!AF190, 2),FALSE)),"",_xlfn.REGEXEXTRACT(CELL("address",AF190), "\$([A-Z]+)\$[0-9]+"))),_xlfn.REGEXEXTRACT(CELL("address",AF190), "\$([A-Z]+)\$[0-9]+"))</f>
        <v/>
      </c>
      <c r="AG190" s="7" t="str">
        <f t="array" aca="1" ref="AG190" ca="1">IFERROR(IF(OR('Raw Data'!AG190="",LEN(TRIM('Raw Data'!AG190))=0),"",IF(AND(ISNUMBER('Raw Data'!AG190), IFERROR('Raw Data'!AG190 = ROUND('Raw Data'!AG190, 2),FALSE)),"",_xlfn.REGEXEXTRACT(CELL("address",AG190), "\$([A-Z]+)\$[0-9]+"))),_xlfn.REGEXEXTRACT(CELL("address",AG190), "\$([A-Z]+)\$[0-9]+"))</f>
        <v/>
      </c>
      <c r="AH190" s="7" t="str">
        <f t="array" aca="1" ref="AH190" ca="1">IFERROR(IF(OR('Raw Data'!AH190="",LEN(TRIM('Raw Data'!AH190))=0),"",IF(AND(ISNUMBER('Raw Data'!AH190), IFERROR('Raw Data'!AH190 = ROUND('Raw Data'!AH190, 2),FALSE)),"",_xlfn.REGEXEXTRACT(CELL("address",AH190), "\$([A-Z]+)\$[0-9]+"))),_xlfn.REGEXEXTRACT(CELL("address",AH190), "\$([A-Z]+)\$[0-9]+"))</f>
        <v/>
      </c>
      <c r="AI190" s="7" t="str">
        <f t="array" aca="1" ref="AI190" ca="1">IFERROR(IF(OR('Raw Data'!AI190="",LEN(TRIM('Raw Data'!AI190))=0),"",IF(AND(ISNUMBER('Raw Data'!AI190), IFERROR('Raw Data'!AI190 = ROUND('Raw Data'!AI190, 2),FALSE)),"",_xlfn.REGEXEXTRACT(CELL("address",AI190), "\$([A-Z]+)\$[0-9]+"))),_xlfn.REGEXEXTRACT(CELL("address",AI190), "\$([A-Z]+)\$[0-9]+"))</f>
        <v/>
      </c>
      <c r="AJ190" s="7" t="str">
        <f t="array" aca="1" ref="AJ190" ca="1">IFERROR(IF(OR('Raw Data'!AJ190="",LEN(TRIM('Raw Data'!AJ190))=0),"",IF(AND(ISNUMBER('Raw Data'!AJ190), IFERROR('Raw Data'!AJ190 = ROUND('Raw Data'!AJ190, 4),FALSE)),"",_xlfn.REGEXEXTRACT(CELL("address",AJ190), "\$([A-Z]+)\$[0-9]+"))),_xlfn.REGEXEXTRACT(CELL("address",AJ190), "\$([A-Z]+)\$[0-9]+"))</f>
        <v/>
      </c>
      <c r="AK190" s="7" t="str">
        <f t="array" aca="1" ref="AK190" ca="1">IFERROR(IF(OR('Raw Data'!AK190="",LEN(TRIM('Raw Data'!AK190))=0),"",IF(AND(ISNUMBER('Raw Data'!AK190), IFERROR('Raw Data'!AK190 = ROUND('Raw Data'!AK190, 2),FALSE)),"",_xlfn.REGEXEXTRACT(CELL("address",AK190), "\$([A-Z]+)\$[0-9]+"))),_xlfn.REGEXEXTRACT(CELL("address",AK190), "\$([A-Z]+)\$[0-9]+"))</f>
        <v/>
      </c>
      <c r="AL190" s="7" t="str">
        <f t="array" aca="1" ref="AL190" ca="1">IFERROR(IF(OR('Raw Data'!AL190="",LEN(TRIM('Raw Data'!AL190))=0),"",IF(AND(ISNUMBER('Raw Data'!AL190), IFERROR('Raw Data'!AL190 = ROUND('Raw Data'!AL190, 2),FALSE)),"",_xlfn.REGEXEXTRACT(CELL("address",AL190), "\$([A-Z]+)\$[0-9]+"))),_xlfn.REGEXEXTRACT(CELL("address",AL190), "\$([A-Z]+)\$[0-9]+"))</f>
        <v/>
      </c>
      <c r="AM190" s="7" t="str">
        <f t="array" aca="1" ref="AM190" ca="1">IFERROR(IF(OR('Raw Data'!AM190="",LEN(TRIM('Raw Data'!AM190))=0),"",IF(AND(ISNUMBER('Raw Data'!AM190), IFERROR('Raw Data'!AM190 = ROUND('Raw Data'!AM190, 2),FALSE)),"",_xlfn.REGEXEXTRACT(CELL("address",AM190), "\$([A-Z]+)\$[0-9]+"))),_xlfn.REGEXEXTRACT(CELL("address",AM190), "\$([A-Z]+)\$[0-9]+"))</f>
        <v/>
      </c>
      <c r="AN190" s="7" t="str">
        <f t="array" aca="1" ref="AN190" ca="1">IFERROR(IF(OR('Raw Data'!AN190="",LEN(TRIM('Raw Data'!AN190))=0),"",IF(AND(ISNUMBER('Raw Data'!AN190), IFERROR('Raw Data'!AN190 = ROUND('Raw Data'!AN190, 2),FALSE)),"",_xlfn.REGEXEXTRACT(CELL("address",AN190), "\$([A-Z]+)\$[0-9]+"))),_xlfn.REGEXEXTRACT(CELL("address",AN190), "\$([A-Z]+)\$[0-9]+"))</f>
        <v/>
      </c>
      <c r="AO190" s="7" t="str">
        <f t="array" aca="1" ref="AO190" ca="1">IFERROR(IF(OR('Raw Data'!AO190="",LEN(TRIM('Raw Data'!AO190))=0),"",IF(AND(ISNUMBER('Raw Data'!AO190), IFERROR('Raw Data'!AO190 = ROUND('Raw Data'!AO190, 2),FALSE)),"",_xlfn.REGEXEXTRACT(CELL("address",AO190), "\$([A-Z]+)\$[0-9]+"))),_xlfn.REGEXEXTRACT(CELL("address",AO190), "\$([A-Z]+)\$[0-9]+"))</f>
        <v/>
      </c>
      <c r="AP190" s="7" t="str">
        <f t="array" aca="1" ref="AP190" ca="1">IFERROR(IF(OR('Raw Data'!AP190="",LEN(TRIM('Raw Data'!AP190))=0),"",IF(AND(ISNUMBER('Raw Data'!AP190), IFERROR('Raw Data'!AP190 = ROUND('Raw Data'!AP190, 2),FALSE)),"",_xlfn.REGEXEXTRACT(CELL("address",AP190), "\$([A-Z]+)\$[0-9]+"))),_xlfn.REGEXEXTRACT(CELL("address",AP190), "\$([A-Z]+)\$[0-9]+"))</f>
        <v/>
      </c>
    </row>
    <row r="191" spans="2:42" x14ac:dyDescent="0.25">
      <c r="B191" s="7" t="str">
        <f t="array" aca="1" ref="B191" ca="1">IFERROR(IF(OR('Raw Data'!B191="",LEN(TRIM('Raw Data'!B191))=0),"",IF(AND(LEN('Raw Data'!B191) &lt;= 255,LEN('Raw Data'!B191)&gt; 0),"",_xlfn.REGEXEXTRACT(CELL("address",'Raw Data'!B191),"\$([A-Z]+)\$[0-9]+"))),_xlfn.REGEXEXTRACT(CELL("address",'Raw Data'!B191),"\$([A-Z]+)\$[0-9]+"))</f>
        <v/>
      </c>
      <c r="C191" s="7" t="str">
        <f t="array" aca="1" ref="C191" ca="1">IFERROR(IF(OR('Raw Data'!C191="",LEN(TRIM('Raw Data'!C191))=0),"",IF(AND(LEN('Raw Data'!C191) &lt;= 50,LEN('Raw Data'!C191)&gt; 0),"",_xlfn.REGEXEXTRACT(CELL("address",'Raw Data'!C191),"\$([A-Z]+)\$[0-9]+"))),_xlfn.REGEXEXTRACT(CELL("address",'Raw Data'!C191),"\$([A-Z]+)\$[0-9]+"))</f>
        <v/>
      </c>
      <c r="D191" s="7" t="str">
        <f t="array" aca="1" ref="D191" ca="1">IFERROR(IF(OR('Raw Data'!D191="",LEN(TRIM('Raw Data'!D191))=0),"",IF(AND(LEN('Raw Data'!D191) &lt;= 500,LEN('Raw Data'!D191)&gt; 0),"",_xlfn.REGEXEXTRACT(CELL("address",'Raw Data'!D191),"\$([A-Z]+)\$[0-9]+"))),_xlfn.REGEXEXTRACT(CELL("address",'Raw Data'!D191),"\$([A-Z]+)\$[0-9]+"))</f>
        <v/>
      </c>
      <c r="E191" s="7" t="str">
        <f t="array" aca="1" ref="E191" ca="1">IFERROR(IF(OR('Raw Data'!E191="",LEN(TRIM('Raw Data'!E191))=0),"",IF(AND(LEN('Raw Data'!E191) &lt;= 50,LEN('Raw Data'!E191)&gt; 0),"",_xlfn.REGEXEXTRACT(CELL("address",'Raw Data'!E191),"\$([A-Z]+)\$[0-9]+"))),_xlfn.REGEXEXTRACT(CELL("address",'Raw Data'!E191),"\$([A-Z]+)\$[0-9]+"))</f>
        <v/>
      </c>
      <c r="F191" s="7" t="str">
        <f t="array" aca="1" ref="F191" ca="1">IFERROR(IF(OR('Raw Data'!F191="",LEN(TRIM('Raw Data'!F191))=0),"",IF(AND(LEN('Raw Data'!F191) &lt;= 50,LEN('Raw Data'!F191)&gt; 0),"",_xlfn.REGEXEXTRACT(CELL("address",'Raw Data'!F191),"\$([A-Z]+)\$[0-9]+"))),_xlfn.REGEXEXTRACT(CELL("address",'Raw Data'!F191),"\$([A-Z]+)\$[0-9]+"))</f>
        <v/>
      </c>
      <c r="G191" s="7" t="str">
        <f t="array" aca="1" ref="G191" ca="1">IFERROR(IF(OR('Raw Data'!G191="",LEN(TRIM('Raw Data'!G191))=0),"",IF(AND(LEN('Raw Data'!G191) &lt;= 50,LEN('Raw Data'!G191)&gt; 0),"",_xlfn.REGEXEXTRACT(CELL("address",'Raw Data'!G191),"\$([A-Z]+)\$[0-9]+"))),_xlfn.REGEXEXTRACT(CELL("address",'Raw Data'!G191),"\$([A-Z]+)\$[0-9]+"))</f>
        <v/>
      </c>
      <c r="H191" s="7" t="str">
        <f t="array" aca="1" ref="H191" ca="1">IFERROR(IF(OR('Raw Data'!H191="",LEN(TRIM('Raw Data'!H191))=0),"",IF(AND(LEN('Raw Data'!H191) &lt;= 50,LEN('Raw Data'!H191)&gt; 0),"",_xlfn.REGEXEXTRACT(CELL("address",'Raw Data'!H191),"\$([A-Z]+)\$[0-9]+"))),_xlfn.REGEXEXTRACT(CELL("address",'Raw Data'!H191),"\$([A-Z]+)\$[0-9]+"))</f>
        <v/>
      </c>
      <c r="I191" s="7" t="str">
        <f t="array" aca="1" ref="I191" ca="1">IFERROR(IF(OR('Raw Data'!I191="",LEN(TRIM('Raw Data'!I191))=0),"",IF(AND(LEN('Raw Data'!I191) &lt;= 50,LEN('Raw Data'!I191)&gt; 0),"",_xlfn.REGEXEXTRACT(CELL("address",'Raw Data'!I191),"\$([A-Z]+)\$[0-9]+"))),_xlfn.REGEXEXTRACT(CELL("address",'Raw Data'!I191),"\$([A-Z]+)\$[0-9]+"))</f>
        <v/>
      </c>
      <c r="J191" s="7" t="str">
        <f t="array" aca="1" ref="J191" ca="1">IFERROR(IF(OR('Raw Data'!J191="",LEN(TRIM('Raw Data'!J191))=0),"",IF(AND(ISNUMBER('Raw Data'!J191), IFERROR('Raw Data'!J191 = ROUND('Raw Data'!J191, 2),FALSE)),"",_xlfn.REGEXEXTRACT(CELL("address",J191), "\$([A-Z]+)\$[0-9]+"))),_xlfn.REGEXEXTRACT(CELL("address",J191), "\$([A-Z]+)\$[0-9]+"))</f>
        <v/>
      </c>
      <c r="K191" s="7" t="str">
        <f t="array" aca="1" ref="K191" ca="1">IFERROR(IF(OR('Raw Data'!K191="",LEN(TRIM('Raw Data'!K191))=0),"",IF(AND(ISNUMBER('Raw Data'!K191), IFERROR('Raw Data'!K191 = ROUND('Raw Data'!K191, 2),FALSE)),"",_xlfn.REGEXEXTRACT(CELL("address",K191), "\$([A-Z]+)\$[0-9]+"))),_xlfn.REGEXEXTRACT(CELL("address",K191), "\$([A-Z]+)\$[0-9]+"))</f>
        <v/>
      </c>
      <c r="L191" s="7" t="str">
        <f t="array" aca="1" ref="L191" ca="1">IFERROR(IF(OR('Raw Data'!L191="",LEN(TRIM('Raw Data'!L191))=0),"",IF(AND(ISNUMBER('Raw Data'!L191), IFERROR('Raw Data'!L191 = ROUND('Raw Data'!L191, 2),FALSE)),"",_xlfn.REGEXEXTRACT(CELL("address",L191), "\$([A-Z]+)\$[0-9]+"))),_xlfn.REGEXEXTRACT(CELL("address",L191), "\$([A-Z]+)\$[0-9]+"))</f>
        <v/>
      </c>
      <c r="M191" s="7" t="str">
        <f t="array" aca="1" ref="M191" ca="1">IFERROR(IF(OR('Raw Data'!M191="",LEN(TRIM('Raw Data'!M191))=0),"",IF(AND(ISNUMBER('Raw Data'!M191), IFERROR('Raw Data'!M191 = ROUND('Raw Data'!M191, 2),FALSE)),"",_xlfn.REGEXEXTRACT(CELL("address",M191), "\$([A-Z]+)\$[0-9]+"))),_xlfn.REGEXEXTRACT(CELL("address",M191), "\$([A-Z]+)\$[0-9]+"))</f>
        <v/>
      </c>
      <c r="N191" s="7" t="str">
        <f t="array" aca="1" ref="N191" ca="1">IFERROR(IF(OR('Raw Data'!N191="",LEN(TRIM('Raw Data'!N191))=0),"",IF(AND(ISNUMBER('Raw Data'!N191), IFERROR('Raw Data'!N191 = ROUND('Raw Data'!N191, 2),FALSE)),"",_xlfn.REGEXEXTRACT(CELL("address",N191), "\$([A-Z]+)\$[0-9]+"))),_xlfn.REGEXEXTRACT(CELL("address",N191), "\$([A-Z]+)\$[0-9]+"))</f>
        <v/>
      </c>
      <c r="O191" s="7" t="str">
        <f t="array" aca="1" ref="O191" ca="1">IFERROR(IF(OR('Raw Data'!O191="",LEN(TRIM('Raw Data'!O191))=0),"",IF(AND(ISNUMBER('Raw Data'!O191),'Raw Data'!O191&gt;=Configuration!$D$2),"",_xlfn.REGEXEXTRACT(CELL("address",'Raw Data'!O191),"\$([A-Z]+)\$[0-9]+"))),_xlfn.REGEXEXTRACT(CELL("address",O191), "\$([A-Z]+)\$[0-9]+"))</f>
        <v/>
      </c>
      <c r="P191" s="7" t="str">
        <f t="array" aca="1" ref="P191" ca="1">IFERROR(IF(OR('Raw Data'!P191="",LEN(TRIM('Raw Data'!P191))=0),"",IF(AND(ISNUMBER('Raw Data'!P191), IFERROR('Raw Data'!P191 = ROUND('Raw Data'!P191, 2),FALSE)),"",_xlfn.REGEXEXTRACT(CELL("address",P191), "\$([A-Z]+)\$[0-9]+"))),_xlfn.REGEXEXTRACT(CELL("address",P191), "\$([A-Z]+)\$[0-9]+"))</f>
        <v/>
      </c>
      <c r="Q191" s="7" t="str">
        <f t="array" aca="1" ref="Q191" ca="1">IFERROR(IF(OR('Raw Data'!Q191="",LEN(TRIM('Raw Data'!Q191))=0),"",IF(AND(ISNUMBER('Raw Data'!Q191), IFERROR('Raw Data'!Q191 = ROUND('Raw Data'!Q191, 2),FALSE)),"",_xlfn.REGEXEXTRACT(CELL("address",Q191), "\$([A-Z]+)\$[0-9]+"))),_xlfn.REGEXEXTRACT(CELL("address",Q191), "\$([A-Z]+)\$[0-9]+"))</f>
        <v/>
      </c>
      <c r="R191" s="7" t="str">
        <f t="array" aca="1" ref="R191" ca="1">IFERROR(IF(OR('Raw Data'!R191="",LEN(TRIM('Raw Data'!R191))=0),"",IF(AND(LEN('Raw Data'!R191) &lt;= 50,LEN('Raw Data'!R191)&gt; 0),"",_xlfn.REGEXEXTRACT(CELL("address",'Raw Data'!R191),"\$([A-Z]+)\$[0-9]+"))),_xlfn.REGEXEXTRACT(CELL("address",'Raw Data'!R191),"\$([A-Z]+)\$[0-9]+"))</f>
        <v/>
      </c>
      <c r="S191" s="7" t="str">
        <f t="array" aca="1" ref="S191" ca="1">IFERROR(IF(OR('Raw Data'!S191="",LEN(TRIM('Raw Data'!S191))=0),"",IF(AND(LEN('Raw Data'!S191) &lt;= 50,LEN('Raw Data'!S191)&gt; 0),"",_xlfn.REGEXEXTRACT(CELL("address",'Raw Data'!S191),"\$([A-Z]+)\$[0-9]+"))),_xlfn.REGEXEXTRACT(CELL("address",'Raw Data'!S191),"\$([A-Z]+)\$[0-9]+"))</f>
        <v/>
      </c>
      <c r="T191" s="7" t="str">
        <f t="array" aca="1" ref="T191" ca="1">IFERROR(IF(OR('Raw Data'!T191="",LEN(TRIM('Raw Data'!T191))=0),"",IF(AND(ISNUMBER('Raw Data'!T191), IFERROR('Raw Data'!T191 = ROUND('Raw Data'!T191, 2),FALSE)),"",_xlfn.REGEXEXTRACT(CELL("address",T191), "\$([A-Z]+)\$[0-9]+"))),_xlfn.REGEXEXTRACT(CELL("address",T191), "\$([A-Z]+)\$[0-9]+"))</f>
        <v/>
      </c>
      <c r="U191" s="7" t="str">
        <f t="array" aca="1" ref="U191" ca="1">IFERROR(IF(OR('Raw Data'!U191="",LEN(TRIM('Raw Data'!U191))=0),"",IF(AND(ISNUMBER('Raw Data'!U191), IFERROR('Raw Data'!U191 = ROUND('Raw Data'!U191, 2),FALSE)),"",_xlfn.REGEXEXTRACT(CELL("address",U191), "\$([A-Z]+)\$[0-9]+"))),_xlfn.REGEXEXTRACT(CELL("address",U191), "\$([A-Z]+)\$[0-9]+"))</f>
        <v/>
      </c>
      <c r="V191" s="7" t="str">
        <f t="array" aca="1" ref="V191" ca="1">IFERROR(IF(OR('Raw Data'!V191="",LEN(TRIM('Raw Data'!V191))=0),"",IF(AND(ISNUMBER('Raw Data'!V191), IFERROR('Raw Data'!V191 = ROUND('Raw Data'!V191, 2),FALSE)),"",_xlfn.REGEXEXTRACT(CELL("address",V191), "\$([A-Z]+)\$[0-9]+"))),_xlfn.REGEXEXTRACT(CELL("address",V191), "\$([A-Z]+)\$[0-9]+"))</f>
        <v/>
      </c>
      <c r="W191" s="7" t="str">
        <f t="array" aca="1" ref="W191" ca="1">IFERROR(IF(OR('Raw Data'!W191="",LEN(TRIM('Raw Data'!W191))=0),"",IF(AND(ISNUMBER('Raw Data'!W191), IFERROR('Raw Data'!W191 = ROUND('Raw Data'!W191, 2),FALSE)),"",_xlfn.REGEXEXTRACT(CELL("address",W191), "\$([A-Z]+)\$[0-9]+"))),_xlfn.REGEXEXTRACT(CELL("address",W191), "\$([A-Z]+)\$[0-9]+"))</f>
        <v/>
      </c>
      <c r="X191" s="7" t="str">
        <f t="array" aca="1" ref="X191" ca="1">IFERROR(IF(OR('Raw Data'!X191="",LEN(TRIM('Raw Data'!X191))=0),"",IF(AND(ISNUMBER('Raw Data'!X191), IFERROR('Raw Data'!X191 = ROUND('Raw Data'!X191, 2),FALSE)),"",_xlfn.REGEXEXTRACT(CELL("address",X191), "\$([A-Z]+)\$[0-9]+"))),_xlfn.REGEXEXTRACT(CELL("address",X191), "\$([A-Z]+)\$[0-9]+"))</f>
        <v/>
      </c>
      <c r="Y191" s="7" t="str">
        <f t="array" aca="1" ref="Y191" ca="1">IFERROR(IF(OR('Raw Data'!Y191="",LEN(TRIM('Raw Data'!Y191))=0),"",IF(AND(ISNUMBER('Raw Data'!Y191), IFERROR('Raw Data'!Y191 = ROUND('Raw Data'!Y191, 2),FALSE)),"",_xlfn.REGEXEXTRACT(CELL("address",Y191), "\$([A-Z]+)\$[0-9]+"))),_xlfn.REGEXEXTRACT(CELL("address",Y191), "\$([A-Z]+)\$[0-9]+"))</f>
        <v/>
      </c>
      <c r="Z191" s="7" t="str">
        <f t="array" aca="1" ref="Z191" ca="1">IFERROR(IF(OR('Raw Data'!Z191="",LEN(TRIM('Raw Data'!Z191))=0),"",IF(AND(ISNUMBER('Raw Data'!Z191), IFERROR('Raw Data'!Z191 = ROUND('Raw Data'!Z191, 2),FALSE)),"",_xlfn.REGEXEXTRACT(CELL("address",Z191), "\$([A-Z]+)\$[0-9]+"))),_xlfn.REGEXEXTRACT(CELL("address",Z191), "\$([A-Z]+)\$[0-9]+"))</f>
        <v/>
      </c>
      <c r="AA191" s="7" t="str">
        <f t="array" aca="1" ref="AA191" ca="1">IFERROR(IF(OR('Raw Data'!AA191="",LEN(TRIM('Raw Data'!AA191))=0),"",IF(AND(ISNUMBER('Raw Data'!AA191), IFERROR('Raw Data'!AA191 = ROUND('Raw Data'!AA191, 2),FALSE)),"",_xlfn.REGEXEXTRACT(CELL("address",AA191), "\$([A-Z]+)\$[0-9]+"))),_xlfn.REGEXEXTRACT(CELL("address",AA191), "\$([A-Z]+)\$[0-9]+"))</f>
        <v/>
      </c>
      <c r="AB191" s="7" t="str">
        <f t="array" aca="1" ref="AB191" ca="1">IFERROR(IF(OR('Raw Data'!AB191="",LEN(TRIM('Raw Data'!AB191))=0),"",IF(AND(ISNUMBER('Raw Data'!AB191), IFERROR('Raw Data'!AB191 = ROUND('Raw Data'!AB191, 2),FALSE)),"",_xlfn.REGEXEXTRACT(CELL("address",AB191), "\$([A-Z]+)\$[0-9]+"))),_xlfn.REGEXEXTRACT(CELL("address",AB191), "\$([A-Z]+)\$[0-9]+"))</f>
        <v/>
      </c>
      <c r="AC191" s="7" t="str">
        <f t="array" aca="1" ref="AC191" ca="1">IFERROR(IF(OR('Raw Data'!AC191="",LEN(TRIM('Raw Data'!AC191))=0),"",IF(AND(ISNUMBER('Raw Data'!AC191), IFERROR('Raw Data'!AC191 = ROUND('Raw Data'!AC191, 2),FALSE)),"",_xlfn.REGEXEXTRACT(CELL("address",AC191), "\$([A-Z]+)\$[0-9]+"))),_xlfn.REGEXEXTRACT(CELL("address",AC191), "\$([A-Z]+)\$[0-9]+"))</f>
        <v/>
      </c>
      <c r="AD191" s="7" t="str">
        <f t="array" aca="1" ref="AD191" ca="1">IFERROR(IF(OR('Raw Data'!AD191="",LEN(TRIM('Raw Data'!AD191))=0),"",IF(AND(ISNUMBER('Raw Data'!AD191), IFERROR('Raw Data'!AD191 = ROUND('Raw Data'!AD191, 2),FALSE)),"",_xlfn.REGEXEXTRACT(CELL("address",AD191), "\$([A-Z]+)\$[0-9]+"))),_xlfn.REGEXEXTRACT(CELL("address",AD191), "\$([A-Z]+)\$[0-9]+"))</f>
        <v/>
      </c>
      <c r="AE191" s="7" t="str">
        <f t="array" aca="1" ref="AE191" ca="1">IFERROR(IF(OR('Raw Data'!AE191="",LEN(TRIM('Raw Data'!AE191))=0),"",IF(AND(ISNUMBER('Raw Data'!AE191), IFERROR('Raw Data'!AE191 = ROUND('Raw Data'!AE191, 2),FALSE)),"",_xlfn.REGEXEXTRACT(CELL("address",AE191), "\$([A-Z]+)\$[0-9]+"))),_xlfn.REGEXEXTRACT(CELL("address",AE191), "\$([A-Z]+)\$[0-9]+"))</f>
        <v/>
      </c>
      <c r="AF191" s="7" t="str">
        <f t="array" aca="1" ref="AF191" ca="1">IFERROR(IF(OR('Raw Data'!AF191="",LEN(TRIM('Raw Data'!AF191))=0),"",IF(AND(ISNUMBER('Raw Data'!AF191), IFERROR('Raw Data'!AF191 = ROUND('Raw Data'!AF191, 2),FALSE)),"",_xlfn.REGEXEXTRACT(CELL("address",AF191), "\$([A-Z]+)\$[0-9]+"))),_xlfn.REGEXEXTRACT(CELL("address",AF191), "\$([A-Z]+)\$[0-9]+"))</f>
        <v/>
      </c>
      <c r="AG191" s="7" t="str">
        <f t="array" aca="1" ref="AG191" ca="1">IFERROR(IF(OR('Raw Data'!AG191="",LEN(TRIM('Raw Data'!AG191))=0),"",IF(AND(ISNUMBER('Raw Data'!AG191), IFERROR('Raw Data'!AG191 = ROUND('Raw Data'!AG191, 2),FALSE)),"",_xlfn.REGEXEXTRACT(CELL("address",AG191), "\$([A-Z]+)\$[0-9]+"))),_xlfn.REGEXEXTRACT(CELL("address",AG191), "\$([A-Z]+)\$[0-9]+"))</f>
        <v/>
      </c>
      <c r="AH191" s="7" t="str">
        <f t="array" aca="1" ref="AH191" ca="1">IFERROR(IF(OR('Raw Data'!AH191="",LEN(TRIM('Raw Data'!AH191))=0),"",IF(AND(ISNUMBER('Raw Data'!AH191), IFERROR('Raw Data'!AH191 = ROUND('Raw Data'!AH191, 2),FALSE)),"",_xlfn.REGEXEXTRACT(CELL("address",AH191), "\$([A-Z]+)\$[0-9]+"))),_xlfn.REGEXEXTRACT(CELL("address",AH191), "\$([A-Z]+)\$[0-9]+"))</f>
        <v/>
      </c>
      <c r="AI191" s="7" t="str">
        <f t="array" aca="1" ref="AI191" ca="1">IFERROR(IF(OR('Raw Data'!AI191="",LEN(TRIM('Raw Data'!AI191))=0),"",IF(AND(ISNUMBER('Raw Data'!AI191), IFERROR('Raw Data'!AI191 = ROUND('Raw Data'!AI191, 2),FALSE)),"",_xlfn.REGEXEXTRACT(CELL("address",AI191), "\$([A-Z]+)\$[0-9]+"))),_xlfn.REGEXEXTRACT(CELL("address",AI191), "\$([A-Z]+)\$[0-9]+"))</f>
        <v/>
      </c>
      <c r="AJ191" s="7" t="str">
        <f t="array" aca="1" ref="AJ191" ca="1">IFERROR(IF(OR('Raw Data'!AJ191="",LEN(TRIM('Raw Data'!AJ191))=0),"",IF(AND(ISNUMBER('Raw Data'!AJ191), IFERROR('Raw Data'!AJ191 = ROUND('Raw Data'!AJ191, 4),FALSE)),"",_xlfn.REGEXEXTRACT(CELL("address",AJ191), "\$([A-Z]+)\$[0-9]+"))),_xlfn.REGEXEXTRACT(CELL("address",AJ191), "\$([A-Z]+)\$[0-9]+"))</f>
        <v/>
      </c>
      <c r="AK191" s="7" t="str">
        <f t="array" aca="1" ref="AK191" ca="1">IFERROR(IF(OR('Raw Data'!AK191="",LEN(TRIM('Raw Data'!AK191))=0),"",IF(AND(ISNUMBER('Raw Data'!AK191), IFERROR('Raw Data'!AK191 = ROUND('Raw Data'!AK191, 2),FALSE)),"",_xlfn.REGEXEXTRACT(CELL("address",AK191), "\$([A-Z]+)\$[0-9]+"))),_xlfn.REGEXEXTRACT(CELL("address",AK191), "\$([A-Z]+)\$[0-9]+"))</f>
        <v/>
      </c>
      <c r="AL191" s="7" t="str">
        <f t="array" aca="1" ref="AL191" ca="1">IFERROR(IF(OR('Raw Data'!AL191="",LEN(TRIM('Raw Data'!AL191))=0),"",IF(AND(ISNUMBER('Raw Data'!AL191), IFERROR('Raw Data'!AL191 = ROUND('Raw Data'!AL191, 2),FALSE)),"",_xlfn.REGEXEXTRACT(CELL("address",AL191), "\$([A-Z]+)\$[0-9]+"))),_xlfn.REGEXEXTRACT(CELL("address",AL191), "\$([A-Z]+)\$[0-9]+"))</f>
        <v/>
      </c>
      <c r="AM191" s="7" t="str">
        <f t="array" aca="1" ref="AM191" ca="1">IFERROR(IF(OR('Raw Data'!AM191="",LEN(TRIM('Raw Data'!AM191))=0),"",IF(AND(ISNUMBER('Raw Data'!AM191), IFERROR('Raw Data'!AM191 = ROUND('Raw Data'!AM191, 2),FALSE)),"",_xlfn.REGEXEXTRACT(CELL("address",AM191), "\$([A-Z]+)\$[0-9]+"))),_xlfn.REGEXEXTRACT(CELL("address",AM191), "\$([A-Z]+)\$[0-9]+"))</f>
        <v/>
      </c>
      <c r="AN191" s="7" t="str">
        <f t="array" aca="1" ref="AN191" ca="1">IFERROR(IF(OR('Raw Data'!AN191="",LEN(TRIM('Raw Data'!AN191))=0),"",IF(AND(ISNUMBER('Raw Data'!AN191), IFERROR('Raw Data'!AN191 = ROUND('Raw Data'!AN191, 2),FALSE)),"",_xlfn.REGEXEXTRACT(CELL("address",AN191), "\$([A-Z]+)\$[0-9]+"))),_xlfn.REGEXEXTRACT(CELL("address",AN191), "\$([A-Z]+)\$[0-9]+"))</f>
        <v/>
      </c>
      <c r="AO191" s="7" t="str">
        <f t="array" aca="1" ref="AO191" ca="1">IFERROR(IF(OR('Raw Data'!AO191="",LEN(TRIM('Raw Data'!AO191))=0),"",IF(AND(ISNUMBER('Raw Data'!AO191), IFERROR('Raw Data'!AO191 = ROUND('Raw Data'!AO191, 2),FALSE)),"",_xlfn.REGEXEXTRACT(CELL("address",AO191), "\$([A-Z]+)\$[0-9]+"))),_xlfn.REGEXEXTRACT(CELL("address",AO191), "\$([A-Z]+)\$[0-9]+"))</f>
        <v/>
      </c>
      <c r="AP191" s="7" t="str">
        <f t="array" aca="1" ref="AP191" ca="1">IFERROR(IF(OR('Raw Data'!AP191="",LEN(TRIM('Raw Data'!AP191))=0),"",IF(AND(ISNUMBER('Raw Data'!AP191), IFERROR('Raw Data'!AP191 = ROUND('Raw Data'!AP191, 2),FALSE)),"",_xlfn.REGEXEXTRACT(CELL("address",AP191), "\$([A-Z]+)\$[0-9]+"))),_xlfn.REGEXEXTRACT(CELL("address",AP191), "\$([A-Z]+)\$[0-9]+"))</f>
        <v/>
      </c>
    </row>
    <row r="192" spans="2:42" x14ac:dyDescent="0.25">
      <c r="B192" s="7" t="str">
        <f t="array" aca="1" ref="B192" ca="1">IFERROR(IF(OR('Raw Data'!B192="",LEN(TRIM('Raw Data'!B192))=0),"",IF(AND(LEN('Raw Data'!B192) &lt;= 255,LEN('Raw Data'!B192)&gt; 0),"",_xlfn.REGEXEXTRACT(CELL("address",'Raw Data'!B192),"\$([A-Z]+)\$[0-9]+"))),_xlfn.REGEXEXTRACT(CELL("address",'Raw Data'!B192),"\$([A-Z]+)\$[0-9]+"))</f>
        <v/>
      </c>
      <c r="C192" s="7" t="str">
        <f t="array" aca="1" ref="C192" ca="1">IFERROR(IF(OR('Raw Data'!C192="",LEN(TRIM('Raw Data'!C192))=0),"",IF(AND(LEN('Raw Data'!C192) &lt;= 50,LEN('Raw Data'!C192)&gt; 0),"",_xlfn.REGEXEXTRACT(CELL("address",'Raw Data'!C192),"\$([A-Z]+)\$[0-9]+"))),_xlfn.REGEXEXTRACT(CELL("address",'Raw Data'!C192),"\$([A-Z]+)\$[0-9]+"))</f>
        <v/>
      </c>
      <c r="D192" s="7" t="str">
        <f t="array" aca="1" ref="D192" ca="1">IFERROR(IF(OR('Raw Data'!D192="",LEN(TRIM('Raw Data'!D192))=0),"",IF(AND(LEN('Raw Data'!D192) &lt;= 500,LEN('Raw Data'!D192)&gt; 0),"",_xlfn.REGEXEXTRACT(CELL("address",'Raw Data'!D192),"\$([A-Z]+)\$[0-9]+"))),_xlfn.REGEXEXTRACT(CELL("address",'Raw Data'!D192),"\$([A-Z]+)\$[0-9]+"))</f>
        <v/>
      </c>
      <c r="E192" s="7" t="str">
        <f t="array" aca="1" ref="E192" ca="1">IFERROR(IF(OR('Raw Data'!E192="",LEN(TRIM('Raw Data'!E192))=0),"",IF(AND(LEN('Raw Data'!E192) &lt;= 50,LEN('Raw Data'!E192)&gt; 0),"",_xlfn.REGEXEXTRACT(CELL("address",'Raw Data'!E192),"\$([A-Z]+)\$[0-9]+"))),_xlfn.REGEXEXTRACT(CELL("address",'Raw Data'!E192),"\$([A-Z]+)\$[0-9]+"))</f>
        <v/>
      </c>
      <c r="F192" s="7" t="str">
        <f t="array" aca="1" ref="F192" ca="1">IFERROR(IF(OR('Raw Data'!F192="",LEN(TRIM('Raw Data'!F192))=0),"",IF(AND(LEN('Raw Data'!F192) &lt;= 50,LEN('Raw Data'!F192)&gt; 0),"",_xlfn.REGEXEXTRACT(CELL("address",'Raw Data'!F192),"\$([A-Z]+)\$[0-9]+"))),_xlfn.REGEXEXTRACT(CELL("address",'Raw Data'!F192),"\$([A-Z]+)\$[0-9]+"))</f>
        <v/>
      </c>
      <c r="G192" s="7" t="str">
        <f t="array" aca="1" ref="G192" ca="1">IFERROR(IF(OR('Raw Data'!G192="",LEN(TRIM('Raw Data'!G192))=0),"",IF(AND(LEN('Raw Data'!G192) &lt;= 50,LEN('Raw Data'!G192)&gt; 0),"",_xlfn.REGEXEXTRACT(CELL("address",'Raw Data'!G192),"\$([A-Z]+)\$[0-9]+"))),_xlfn.REGEXEXTRACT(CELL("address",'Raw Data'!G192),"\$([A-Z]+)\$[0-9]+"))</f>
        <v/>
      </c>
      <c r="H192" s="7" t="str">
        <f t="array" aca="1" ref="H192" ca="1">IFERROR(IF(OR('Raw Data'!H192="",LEN(TRIM('Raw Data'!H192))=0),"",IF(AND(LEN('Raw Data'!H192) &lt;= 50,LEN('Raw Data'!H192)&gt; 0),"",_xlfn.REGEXEXTRACT(CELL("address",'Raw Data'!H192),"\$([A-Z]+)\$[0-9]+"))),_xlfn.REGEXEXTRACT(CELL("address",'Raw Data'!H192),"\$([A-Z]+)\$[0-9]+"))</f>
        <v/>
      </c>
      <c r="I192" s="7" t="str">
        <f t="array" aca="1" ref="I192" ca="1">IFERROR(IF(OR('Raw Data'!I192="",LEN(TRIM('Raw Data'!I192))=0),"",IF(AND(LEN('Raw Data'!I192) &lt;= 50,LEN('Raw Data'!I192)&gt; 0),"",_xlfn.REGEXEXTRACT(CELL("address",'Raw Data'!I192),"\$([A-Z]+)\$[0-9]+"))),_xlfn.REGEXEXTRACT(CELL("address",'Raw Data'!I192),"\$([A-Z]+)\$[0-9]+"))</f>
        <v/>
      </c>
      <c r="J192" s="7" t="str">
        <f t="array" aca="1" ref="J192" ca="1">IFERROR(IF(OR('Raw Data'!J192="",LEN(TRIM('Raw Data'!J192))=0),"",IF(AND(ISNUMBER('Raw Data'!J192), IFERROR('Raw Data'!J192 = ROUND('Raw Data'!J192, 2),FALSE)),"",_xlfn.REGEXEXTRACT(CELL("address",J192), "\$([A-Z]+)\$[0-9]+"))),_xlfn.REGEXEXTRACT(CELL("address",J192), "\$([A-Z]+)\$[0-9]+"))</f>
        <v/>
      </c>
      <c r="K192" s="7" t="str">
        <f t="array" aca="1" ref="K192" ca="1">IFERROR(IF(OR('Raw Data'!K192="",LEN(TRIM('Raw Data'!K192))=0),"",IF(AND(ISNUMBER('Raw Data'!K192), IFERROR('Raw Data'!K192 = ROUND('Raw Data'!K192, 2),FALSE)),"",_xlfn.REGEXEXTRACT(CELL("address",K192), "\$([A-Z]+)\$[0-9]+"))),_xlfn.REGEXEXTRACT(CELL("address",K192), "\$([A-Z]+)\$[0-9]+"))</f>
        <v/>
      </c>
      <c r="L192" s="7" t="str">
        <f t="array" aca="1" ref="L192" ca="1">IFERROR(IF(OR('Raw Data'!L192="",LEN(TRIM('Raw Data'!L192))=0),"",IF(AND(ISNUMBER('Raw Data'!L192), IFERROR('Raw Data'!L192 = ROUND('Raw Data'!L192, 2),FALSE)),"",_xlfn.REGEXEXTRACT(CELL("address",L192), "\$([A-Z]+)\$[0-9]+"))),_xlfn.REGEXEXTRACT(CELL("address",L192), "\$([A-Z]+)\$[0-9]+"))</f>
        <v/>
      </c>
      <c r="M192" s="7" t="str">
        <f t="array" aca="1" ref="M192" ca="1">IFERROR(IF(OR('Raw Data'!M192="",LEN(TRIM('Raw Data'!M192))=0),"",IF(AND(ISNUMBER('Raw Data'!M192), IFERROR('Raw Data'!M192 = ROUND('Raw Data'!M192, 2),FALSE)),"",_xlfn.REGEXEXTRACT(CELL("address",M192), "\$([A-Z]+)\$[0-9]+"))),_xlfn.REGEXEXTRACT(CELL("address",M192), "\$([A-Z]+)\$[0-9]+"))</f>
        <v/>
      </c>
      <c r="N192" s="7" t="str">
        <f t="array" aca="1" ref="N192" ca="1">IFERROR(IF(OR('Raw Data'!N192="",LEN(TRIM('Raw Data'!N192))=0),"",IF(AND(ISNUMBER('Raw Data'!N192), IFERROR('Raw Data'!N192 = ROUND('Raw Data'!N192, 2),FALSE)),"",_xlfn.REGEXEXTRACT(CELL("address",N192), "\$([A-Z]+)\$[0-9]+"))),_xlfn.REGEXEXTRACT(CELL("address",N192), "\$([A-Z]+)\$[0-9]+"))</f>
        <v/>
      </c>
      <c r="O192" s="7" t="str">
        <f t="array" aca="1" ref="O192" ca="1">IFERROR(IF(OR('Raw Data'!O192="",LEN(TRIM('Raw Data'!O192))=0),"",IF(AND(ISNUMBER('Raw Data'!O192),'Raw Data'!O192&gt;=Configuration!$D$2),"",_xlfn.REGEXEXTRACT(CELL("address",'Raw Data'!O192),"\$([A-Z]+)\$[0-9]+"))),_xlfn.REGEXEXTRACT(CELL("address",O192), "\$([A-Z]+)\$[0-9]+"))</f>
        <v/>
      </c>
      <c r="P192" s="7" t="str">
        <f t="array" aca="1" ref="P192" ca="1">IFERROR(IF(OR('Raw Data'!P192="",LEN(TRIM('Raw Data'!P192))=0),"",IF(AND(ISNUMBER('Raw Data'!P192), IFERROR('Raw Data'!P192 = ROUND('Raw Data'!P192, 2),FALSE)),"",_xlfn.REGEXEXTRACT(CELL("address",P192), "\$([A-Z]+)\$[0-9]+"))),_xlfn.REGEXEXTRACT(CELL("address",P192), "\$([A-Z]+)\$[0-9]+"))</f>
        <v/>
      </c>
      <c r="Q192" s="7" t="str">
        <f t="array" aca="1" ref="Q192" ca="1">IFERROR(IF(OR('Raw Data'!Q192="",LEN(TRIM('Raw Data'!Q192))=0),"",IF(AND(ISNUMBER('Raw Data'!Q192), IFERROR('Raw Data'!Q192 = ROUND('Raw Data'!Q192, 2),FALSE)),"",_xlfn.REGEXEXTRACT(CELL("address",Q192), "\$([A-Z]+)\$[0-9]+"))),_xlfn.REGEXEXTRACT(CELL("address",Q192), "\$([A-Z]+)\$[0-9]+"))</f>
        <v/>
      </c>
      <c r="R192" s="7" t="str">
        <f t="array" aca="1" ref="R192" ca="1">IFERROR(IF(OR('Raw Data'!R192="",LEN(TRIM('Raw Data'!R192))=0),"",IF(AND(LEN('Raw Data'!R192) &lt;= 50,LEN('Raw Data'!R192)&gt; 0),"",_xlfn.REGEXEXTRACT(CELL("address",'Raw Data'!R192),"\$([A-Z]+)\$[0-9]+"))),_xlfn.REGEXEXTRACT(CELL("address",'Raw Data'!R192),"\$([A-Z]+)\$[0-9]+"))</f>
        <v/>
      </c>
      <c r="S192" s="7" t="str">
        <f t="array" aca="1" ref="S192" ca="1">IFERROR(IF(OR('Raw Data'!S192="",LEN(TRIM('Raw Data'!S192))=0),"",IF(AND(LEN('Raw Data'!S192) &lt;= 50,LEN('Raw Data'!S192)&gt; 0),"",_xlfn.REGEXEXTRACT(CELL("address",'Raw Data'!S192),"\$([A-Z]+)\$[0-9]+"))),_xlfn.REGEXEXTRACT(CELL("address",'Raw Data'!S192),"\$([A-Z]+)\$[0-9]+"))</f>
        <v/>
      </c>
      <c r="T192" s="7" t="str">
        <f t="array" aca="1" ref="T192" ca="1">IFERROR(IF(OR('Raw Data'!T192="",LEN(TRIM('Raw Data'!T192))=0),"",IF(AND(ISNUMBER('Raw Data'!T192), IFERROR('Raw Data'!T192 = ROUND('Raw Data'!T192, 2),FALSE)),"",_xlfn.REGEXEXTRACT(CELL("address",T192), "\$([A-Z]+)\$[0-9]+"))),_xlfn.REGEXEXTRACT(CELL("address",T192), "\$([A-Z]+)\$[0-9]+"))</f>
        <v/>
      </c>
      <c r="U192" s="7" t="str">
        <f t="array" aca="1" ref="U192" ca="1">IFERROR(IF(OR('Raw Data'!U192="",LEN(TRIM('Raw Data'!U192))=0),"",IF(AND(ISNUMBER('Raw Data'!U192), IFERROR('Raw Data'!U192 = ROUND('Raw Data'!U192, 2),FALSE)),"",_xlfn.REGEXEXTRACT(CELL("address",U192), "\$([A-Z]+)\$[0-9]+"))),_xlfn.REGEXEXTRACT(CELL("address",U192), "\$([A-Z]+)\$[0-9]+"))</f>
        <v/>
      </c>
      <c r="V192" s="7" t="str">
        <f t="array" aca="1" ref="V192" ca="1">IFERROR(IF(OR('Raw Data'!V192="",LEN(TRIM('Raw Data'!V192))=0),"",IF(AND(ISNUMBER('Raw Data'!V192), IFERROR('Raw Data'!V192 = ROUND('Raw Data'!V192, 2),FALSE)),"",_xlfn.REGEXEXTRACT(CELL("address",V192), "\$([A-Z]+)\$[0-9]+"))),_xlfn.REGEXEXTRACT(CELL("address",V192), "\$([A-Z]+)\$[0-9]+"))</f>
        <v/>
      </c>
      <c r="W192" s="7" t="str">
        <f t="array" aca="1" ref="W192" ca="1">IFERROR(IF(OR('Raw Data'!W192="",LEN(TRIM('Raw Data'!W192))=0),"",IF(AND(ISNUMBER('Raw Data'!W192), IFERROR('Raw Data'!W192 = ROUND('Raw Data'!W192, 2),FALSE)),"",_xlfn.REGEXEXTRACT(CELL("address",W192), "\$([A-Z]+)\$[0-9]+"))),_xlfn.REGEXEXTRACT(CELL("address",W192), "\$([A-Z]+)\$[0-9]+"))</f>
        <v/>
      </c>
      <c r="X192" s="7" t="str">
        <f t="array" aca="1" ref="X192" ca="1">IFERROR(IF(OR('Raw Data'!X192="",LEN(TRIM('Raw Data'!X192))=0),"",IF(AND(ISNUMBER('Raw Data'!X192), IFERROR('Raw Data'!X192 = ROUND('Raw Data'!X192, 2),FALSE)),"",_xlfn.REGEXEXTRACT(CELL("address",X192), "\$([A-Z]+)\$[0-9]+"))),_xlfn.REGEXEXTRACT(CELL("address",X192), "\$([A-Z]+)\$[0-9]+"))</f>
        <v/>
      </c>
      <c r="Y192" s="7" t="str">
        <f t="array" aca="1" ref="Y192" ca="1">IFERROR(IF(OR('Raw Data'!Y192="",LEN(TRIM('Raw Data'!Y192))=0),"",IF(AND(ISNUMBER('Raw Data'!Y192), IFERROR('Raw Data'!Y192 = ROUND('Raw Data'!Y192, 2),FALSE)),"",_xlfn.REGEXEXTRACT(CELL("address",Y192), "\$([A-Z]+)\$[0-9]+"))),_xlfn.REGEXEXTRACT(CELL("address",Y192), "\$([A-Z]+)\$[0-9]+"))</f>
        <v/>
      </c>
      <c r="Z192" s="7" t="str">
        <f t="array" aca="1" ref="Z192" ca="1">IFERROR(IF(OR('Raw Data'!Z192="",LEN(TRIM('Raw Data'!Z192))=0),"",IF(AND(ISNUMBER('Raw Data'!Z192), IFERROR('Raw Data'!Z192 = ROUND('Raw Data'!Z192, 2),FALSE)),"",_xlfn.REGEXEXTRACT(CELL("address",Z192), "\$([A-Z]+)\$[0-9]+"))),_xlfn.REGEXEXTRACT(CELL("address",Z192), "\$([A-Z]+)\$[0-9]+"))</f>
        <v/>
      </c>
      <c r="AA192" s="7" t="str">
        <f t="array" aca="1" ref="AA192" ca="1">IFERROR(IF(OR('Raw Data'!AA192="",LEN(TRIM('Raw Data'!AA192))=0),"",IF(AND(ISNUMBER('Raw Data'!AA192), IFERROR('Raw Data'!AA192 = ROUND('Raw Data'!AA192, 2),FALSE)),"",_xlfn.REGEXEXTRACT(CELL("address",AA192), "\$([A-Z]+)\$[0-9]+"))),_xlfn.REGEXEXTRACT(CELL("address",AA192), "\$([A-Z]+)\$[0-9]+"))</f>
        <v/>
      </c>
      <c r="AB192" s="7" t="str">
        <f t="array" aca="1" ref="AB192" ca="1">IFERROR(IF(OR('Raw Data'!AB192="",LEN(TRIM('Raw Data'!AB192))=0),"",IF(AND(ISNUMBER('Raw Data'!AB192), IFERROR('Raw Data'!AB192 = ROUND('Raw Data'!AB192, 2),FALSE)),"",_xlfn.REGEXEXTRACT(CELL("address",AB192), "\$([A-Z]+)\$[0-9]+"))),_xlfn.REGEXEXTRACT(CELL("address",AB192), "\$([A-Z]+)\$[0-9]+"))</f>
        <v/>
      </c>
      <c r="AC192" s="7" t="str">
        <f t="array" aca="1" ref="AC192" ca="1">IFERROR(IF(OR('Raw Data'!AC192="",LEN(TRIM('Raw Data'!AC192))=0),"",IF(AND(ISNUMBER('Raw Data'!AC192), IFERROR('Raw Data'!AC192 = ROUND('Raw Data'!AC192, 2),FALSE)),"",_xlfn.REGEXEXTRACT(CELL("address",AC192), "\$([A-Z]+)\$[0-9]+"))),_xlfn.REGEXEXTRACT(CELL("address",AC192), "\$([A-Z]+)\$[0-9]+"))</f>
        <v/>
      </c>
      <c r="AD192" s="7" t="str">
        <f t="array" aca="1" ref="AD192" ca="1">IFERROR(IF(OR('Raw Data'!AD192="",LEN(TRIM('Raw Data'!AD192))=0),"",IF(AND(ISNUMBER('Raw Data'!AD192), IFERROR('Raw Data'!AD192 = ROUND('Raw Data'!AD192, 2),FALSE)),"",_xlfn.REGEXEXTRACT(CELL("address",AD192), "\$([A-Z]+)\$[0-9]+"))),_xlfn.REGEXEXTRACT(CELL("address",AD192), "\$([A-Z]+)\$[0-9]+"))</f>
        <v/>
      </c>
      <c r="AE192" s="7" t="str">
        <f t="array" aca="1" ref="AE192" ca="1">IFERROR(IF(OR('Raw Data'!AE192="",LEN(TRIM('Raw Data'!AE192))=0),"",IF(AND(ISNUMBER('Raw Data'!AE192), IFERROR('Raw Data'!AE192 = ROUND('Raw Data'!AE192, 2),FALSE)),"",_xlfn.REGEXEXTRACT(CELL("address",AE192), "\$([A-Z]+)\$[0-9]+"))),_xlfn.REGEXEXTRACT(CELL("address",AE192), "\$([A-Z]+)\$[0-9]+"))</f>
        <v/>
      </c>
      <c r="AF192" s="7" t="str">
        <f t="array" aca="1" ref="AF192" ca="1">IFERROR(IF(OR('Raw Data'!AF192="",LEN(TRIM('Raw Data'!AF192))=0),"",IF(AND(ISNUMBER('Raw Data'!AF192), IFERROR('Raw Data'!AF192 = ROUND('Raw Data'!AF192, 2),FALSE)),"",_xlfn.REGEXEXTRACT(CELL("address",AF192), "\$([A-Z]+)\$[0-9]+"))),_xlfn.REGEXEXTRACT(CELL("address",AF192), "\$([A-Z]+)\$[0-9]+"))</f>
        <v/>
      </c>
      <c r="AG192" s="7" t="str">
        <f t="array" aca="1" ref="AG192" ca="1">IFERROR(IF(OR('Raw Data'!AG192="",LEN(TRIM('Raw Data'!AG192))=0),"",IF(AND(ISNUMBER('Raw Data'!AG192), IFERROR('Raw Data'!AG192 = ROUND('Raw Data'!AG192, 2),FALSE)),"",_xlfn.REGEXEXTRACT(CELL("address",AG192), "\$([A-Z]+)\$[0-9]+"))),_xlfn.REGEXEXTRACT(CELL("address",AG192), "\$([A-Z]+)\$[0-9]+"))</f>
        <v/>
      </c>
      <c r="AH192" s="7" t="str">
        <f t="array" aca="1" ref="AH192" ca="1">IFERROR(IF(OR('Raw Data'!AH192="",LEN(TRIM('Raw Data'!AH192))=0),"",IF(AND(ISNUMBER('Raw Data'!AH192), IFERROR('Raw Data'!AH192 = ROUND('Raw Data'!AH192, 2),FALSE)),"",_xlfn.REGEXEXTRACT(CELL("address",AH192), "\$([A-Z]+)\$[0-9]+"))),_xlfn.REGEXEXTRACT(CELL("address",AH192), "\$([A-Z]+)\$[0-9]+"))</f>
        <v/>
      </c>
      <c r="AI192" s="7" t="str">
        <f t="array" aca="1" ref="AI192" ca="1">IFERROR(IF(OR('Raw Data'!AI192="",LEN(TRIM('Raw Data'!AI192))=0),"",IF(AND(ISNUMBER('Raw Data'!AI192), IFERROR('Raw Data'!AI192 = ROUND('Raw Data'!AI192, 2),FALSE)),"",_xlfn.REGEXEXTRACT(CELL("address",AI192), "\$([A-Z]+)\$[0-9]+"))),_xlfn.REGEXEXTRACT(CELL("address",AI192), "\$([A-Z]+)\$[0-9]+"))</f>
        <v/>
      </c>
      <c r="AJ192" s="7" t="str">
        <f t="array" aca="1" ref="AJ192" ca="1">IFERROR(IF(OR('Raw Data'!AJ192="",LEN(TRIM('Raw Data'!AJ192))=0),"",IF(AND(ISNUMBER('Raw Data'!AJ192), IFERROR('Raw Data'!AJ192 = ROUND('Raw Data'!AJ192, 4),FALSE)),"",_xlfn.REGEXEXTRACT(CELL("address",AJ192), "\$([A-Z]+)\$[0-9]+"))),_xlfn.REGEXEXTRACT(CELL("address",AJ192), "\$([A-Z]+)\$[0-9]+"))</f>
        <v/>
      </c>
      <c r="AK192" s="7" t="str">
        <f t="array" aca="1" ref="AK192" ca="1">IFERROR(IF(OR('Raw Data'!AK192="",LEN(TRIM('Raw Data'!AK192))=0),"",IF(AND(ISNUMBER('Raw Data'!AK192), IFERROR('Raw Data'!AK192 = ROUND('Raw Data'!AK192, 2),FALSE)),"",_xlfn.REGEXEXTRACT(CELL("address",AK192), "\$([A-Z]+)\$[0-9]+"))),_xlfn.REGEXEXTRACT(CELL("address",AK192), "\$([A-Z]+)\$[0-9]+"))</f>
        <v/>
      </c>
      <c r="AL192" s="7" t="str">
        <f t="array" aca="1" ref="AL192" ca="1">IFERROR(IF(OR('Raw Data'!AL192="",LEN(TRIM('Raw Data'!AL192))=0),"",IF(AND(ISNUMBER('Raw Data'!AL192), IFERROR('Raw Data'!AL192 = ROUND('Raw Data'!AL192, 2),FALSE)),"",_xlfn.REGEXEXTRACT(CELL("address",AL192), "\$([A-Z]+)\$[0-9]+"))),_xlfn.REGEXEXTRACT(CELL("address",AL192), "\$([A-Z]+)\$[0-9]+"))</f>
        <v/>
      </c>
      <c r="AM192" s="7" t="str">
        <f t="array" aca="1" ref="AM192" ca="1">IFERROR(IF(OR('Raw Data'!AM192="",LEN(TRIM('Raw Data'!AM192))=0),"",IF(AND(ISNUMBER('Raw Data'!AM192), IFERROR('Raw Data'!AM192 = ROUND('Raw Data'!AM192, 2),FALSE)),"",_xlfn.REGEXEXTRACT(CELL("address",AM192), "\$([A-Z]+)\$[0-9]+"))),_xlfn.REGEXEXTRACT(CELL("address",AM192), "\$([A-Z]+)\$[0-9]+"))</f>
        <v/>
      </c>
      <c r="AN192" s="7" t="str">
        <f t="array" aca="1" ref="AN192" ca="1">IFERROR(IF(OR('Raw Data'!AN192="",LEN(TRIM('Raw Data'!AN192))=0),"",IF(AND(ISNUMBER('Raw Data'!AN192), IFERROR('Raw Data'!AN192 = ROUND('Raw Data'!AN192, 2),FALSE)),"",_xlfn.REGEXEXTRACT(CELL("address",AN192), "\$([A-Z]+)\$[0-9]+"))),_xlfn.REGEXEXTRACT(CELL("address",AN192), "\$([A-Z]+)\$[0-9]+"))</f>
        <v/>
      </c>
      <c r="AO192" s="7" t="str">
        <f t="array" aca="1" ref="AO192" ca="1">IFERROR(IF(OR('Raw Data'!AO192="",LEN(TRIM('Raw Data'!AO192))=0),"",IF(AND(ISNUMBER('Raw Data'!AO192), IFERROR('Raw Data'!AO192 = ROUND('Raw Data'!AO192, 2),FALSE)),"",_xlfn.REGEXEXTRACT(CELL("address",AO192), "\$([A-Z]+)\$[0-9]+"))),_xlfn.REGEXEXTRACT(CELL("address",AO192), "\$([A-Z]+)\$[0-9]+"))</f>
        <v/>
      </c>
      <c r="AP192" s="7" t="str">
        <f t="array" aca="1" ref="AP192" ca="1">IFERROR(IF(OR('Raw Data'!AP192="",LEN(TRIM('Raw Data'!AP192))=0),"",IF(AND(ISNUMBER('Raw Data'!AP192), IFERROR('Raw Data'!AP192 = ROUND('Raw Data'!AP192, 2),FALSE)),"",_xlfn.REGEXEXTRACT(CELL("address",AP192), "\$([A-Z]+)\$[0-9]+"))),_xlfn.REGEXEXTRACT(CELL("address",AP192), "\$([A-Z]+)\$[0-9]+"))</f>
        <v/>
      </c>
    </row>
    <row r="193" spans="2:42" x14ac:dyDescent="0.25">
      <c r="B193" s="7" t="str">
        <f t="array" aca="1" ref="B193" ca="1">IFERROR(IF(OR('Raw Data'!B193="",LEN(TRIM('Raw Data'!B193))=0),"",IF(AND(LEN('Raw Data'!B193) &lt;= 255,LEN('Raw Data'!B193)&gt; 0),"",_xlfn.REGEXEXTRACT(CELL("address",'Raw Data'!B193),"\$([A-Z]+)\$[0-9]+"))),_xlfn.REGEXEXTRACT(CELL("address",'Raw Data'!B193),"\$([A-Z]+)\$[0-9]+"))</f>
        <v/>
      </c>
      <c r="C193" s="7" t="str">
        <f t="array" aca="1" ref="C193" ca="1">IFERROR(IF(OR('Raw Data'!C193="",LEN(TRIM('Raw Data'!C193))=0),"",IF(AND(LEN('Raw Data'!C193) &lt;= 50,LEN('Raw Data'!C193)&gt; 0),"",_xlfn.REGEXEXTRACT(CELL("address",'Raw Data'!C193),"\$([A-Z]+)\$[0-9]+"))),_xlfn.REGEXEXTRACT(CELL("address",'Raw Data'!C193),"\$([A-Z]+)\$[0-9]+"))</f>
        <v/>
      </c>
      <c r="D193" s="7" t="str">
        <f t="array" aca="1" ref="D193" ca="1">IFERROR(IF(OR('Raw Data'!D193="",LEN(TRIM('Raw Data'!D193))=0),"",IF(AND(LEN('Raw Data'!D193) &lt;= 500,LEN('Raw Data'!D193)&gt; 0),"",_xlfn.REGEXEXTRACT(CELL("address",'Raw Data'!D193),"\$([A-Z]+)\$[0-9]+"))),_xlfn.REGEXEXTRACT(CELL("address",'Raw Data'!D193),"\$([A-Z]+)\$[0-9]+"))</f>
        <v/>
      </c>
      <c r="E193" s="7" t="str">
        <f t="array" aca="1" ref="E193" ca="1">IFERROR(IF(OR('Raw Data'!E193="",LEN(TRIM('Raw Data'!E193))=0),"",IF(AND(LEN('Raw Data'!E193) &lt;= 50,LEN('Raw Data'!E193)&gt; 0),"",_xlfn.REGEXEXTRACT(CELL("address",'Raw Data'!E193),"\$([A-Z]+)\$[0-9]+"))),_xlfn.REGEXEXTRACT(CELL("address",'Raw Data'!E193),"\$([A-Z]+)\$[0-9]+"))</f>
        <v/>
      </c>
      <c r="F193" s="7" t="str">
        <f t="array" aca="1" ref="F193" ca="1">IFERROR(IF(OR('Raw Data'!F193="",LEN(TRIM('Raw Data'!F193))=0),"",IF(AND(LEN('Raw Data'!F193) &lt;= 50,LEN('Raw Data'!F193)&gt; 0),"",_xlfn.REGEXEXTRACT(CELL("address",'Raw Data'!F193),"\$([A-Z]+)\$[0-9]+"))),_xlfn.REGEXEXTRACT(CELL("address",'Raw Data'!F193),"\$([A-Z]+)\$[0-9]+"))</f>
        <v/>
      </c>
      <c r="G193" s="7" t="str">
        <f t="array" aca="1" ref="G193" ca="1">IFERROR(IF(OR('Raw Data'!G193="",LEN(TRIM('Raw Data'!G193))=0),"",IF(AND(LEN('Raw Data'!G193) &lt;= 50,LEN('Raw Data'!G193)&gt; 0),"",_xlfn.REGEXEXTRACT(CELL("address",'Raw Data'!G193),"\$([A-Z]+)\$[0-9]+"))),_xlfn.REGEXEXTRACT(CELL("address",'Raw Data'!G193),"\$([A-Z]+)\$[0-9]+"))</f>
        <v/>
      </c>
      <c r="H193" s="7" t="str">
        <f t="array" aca="1" ref="H193" ca="1">IFERROR(IF(OR('Raw Data'!H193="",LEN(TRIM('Raw Data'!H193))=0),"",IF(AND(LEN('Raw Data'!H193) &lt;= 50,LEN('Raw Data'!H193)&gt; 0),"",_xlfn.REGEXEXTRACT(CELL("address",'Raw Data'!H193),"\$([A-Z]+)\$[0-9]+"))),_xlfn.REGEXEXTRACT(CELL("address",'Raw Data'!H193),"\$([A-Z]+)\$[0-9]+"))</f>
        <v/>
      </c>
      <c r="I193" s="7" t="str">
        <f t="array" aca="1" ref="I193" ca="1">IFERROR(IF(OR('Raw Data'!I193="",LEN(TRIM('Raw Data'!I193))=0),"",IF(AND(LEN('Raw Data'!I193) &lt;= 50,LEN('Raw Data'!I193)&gt; 0),"",_xlfn.REGEXEXTRACT(CELL("address",'Raw Data'!I193),"\$([A-Z]+)\$[0-9]+"))),_xlfn.REGEXEXTRACT(CELL("address",'Raw Data'!I193),"\$([A-Z]+)\$[0-9]+"))</f>
        <v/>
      </c>
      <c r="J193" s="7" t="str">
        <f t="array" aca="1" ref="J193" ca="1">IFERROR(IF(OR('Raw Data'!J193="",LEN(TRIM('Raw Data'!J193))=0),"",IF(AND(ISNUMBER('Raw Data'!J193), IFERROR('Raw Data'!J193 = ROUND('Raw Data'!J193, 2),FALSE)),"",_xlfn.REGEXEXTRACT(CELL("address",J193), "\$([A-Z]+)\$[0-9]+"))),_xlfn.REGEXEXTRACT(CELL("address",J193), "\$([A-Z]+)\$[0-9]+"))</f>
        <v/>
      </c>
      <c r="K193" s="7" t="str">
        <f t="array" aca="1" ref="K193" ca="1">IFERROR(IF(OR('Raw Data'!K193="",LEN(TRIM('Raw Data'!K193))=0),"",IF(AND(ISNUMBER('Raw Data'!K193), IFERROR('Raw Data'!K193 = ROUND('Raw Data'!K193, 2),FALSE)),"",_xlfn.REGEXEXTRACT(CELL("address",K193), "\$([A-Z]+)\$[0-9]+"))),_xlfn.REGEXEXTRACT(CELL("address",K193), "\$([A-Z]+)\$[0-9]+"))</f>
        <v/>
      </c>
      <c r="L193" s="7" t="str">
        <f t="array" aca="1" ref="L193" ca="1">IFERROR(IF(OR('Raw Data'!L193="",LEN(TRIM('Raw Data'!L193))=0),"",IF(AND(ISNUMBER('Raw Data'!L193), IFERROR('Raw Data'!L193 = ROUND('Raw Data'!L193, 2),FALSE)),"",_xlfn.REGEXEXTRACT(CELL("address",L193), "\$([A-Z]+)\$[0-9]+"))),_xlfn.REGEXEXTRACT(CELL("address",L193), "\$([A-Z]+)\$[0-9]+"))</f>
        <v/>
      </c>
      <c r="M193" s="7" t="str">
        <f t="array" aca="1" ref="M193" ca="1">IFERROR(IF(OR('Raw Data'!M193="",LEN(TRIM('Raw Data'!M193))=0),"",IF(AND(ISNUMBER('Raw Data'!M193), IFERROR('Raw Data'!M193 = ROUND('Raw Data'!M193, 2),FALSE)),"",_xlfn.REGEXEXTRACT(CELL("address",M193), "\$([A-Z]+)\$[0-9]+"))),_xlfn.REGEXEXTRACT(CELL("address",M193), "\$([A-Z]+)\$[0-9]+"))</f>
        <v/>
      </c>
      <c r="N193" s="7" t="str">
        <f t="array" aca="1" ref="N193" ca="1">IFERROR(IF(OR('Raw Data'!N193="",LEN(TRIM('Raw Data'!N193))=0),"",IF(AND(ISNUMBER('Raw Data'!N193), IFERROR('Raw Data'!N193 = ROUND('Raw Data'!N193, 2),FALSE)),"",_xlfn.REGEXEXTRACT(CELL("address",N193), "\$([A-Z]+)\$[0-9]+"))),_xlfn.REGEXEXTRACT(CELL("address",N193), "\$([A-Z]+)\$[0-9]+"))</f>
        <v/>
      </c>
      <c r="O193" s="7" t="str">
        <f t="array" aca="1" ref="O193" ca="1">IFERROR(IF(OR('Raw Data'!O193="",LEN(TRIM('Raw Data'!O193))=0),"",IF(AND(ISNUMBER('Raw Data'!O193),'Raw Data'!O193&gt;=Configuration!$D$2),"",_xlfn.REGEXEXTRACT(CELL("address",'Raw Data'!O193),"\$([A-Z]+)\$[0-9]+"))),_xlfn.REGEXEXTRACT(CELL("address",O193), "\$([A-Z]+)\$[0-9]+"))</f>
        <v/>
      </c>
      <c r="P193" s="7" t="str">
        <f t="array" aca="1" ref="P193" ca="1">IFERROR(IF(OR('Raw Data'!P193="",LEN(TRIM('Raw Data'!P193))=0),"",IF(AND(ISNUMBER('Raw Data'!P193), IFERROR('Raw Data'!P193 = ROUND('Raw Data'!P193, 2),FALSE)),"",_xlfn.REGEXEXTRACT(CELL("address",P193), "\$([A-Z]+)\$[0-9]+"))),_xlfn.REGEXEXTRACT(CELL("address",P193), "\$([A-Z]+)\$[0-9]+"))</f>
        <v/>
      </c>
      <c r="Q193" s="7" t="str">
        <f t="array" aca="1" ref="Q193" ca="1">IFERROR(IF(OR('Raw Data'!Q193="",LEN(TRIM('Raw Data'!Q193))=0),"",IF(AND(ISNUMBER('Raw Data'!Q193), IFERROR('Raw Data'!Q193 = ROUND('Raw Data'!Q193, 2),FALSE)),"",_xlfn.REGEXEXTRACT(CELL("address",Q193), "\$([A-Z]+)\$[0-9]+"))),_xlfn.REGEXEXTRACT(CELL("address",Q193), "\$([A-Z]+)\$[0-9]+"))</f>
        <v/>
      </c>
      <c r="R193" s="7" t="str">
        <f t="array" aca="1" ref="R193" ca="1">IFERROR(IF(OR('Raw Data'!R193="",LEN(TRIM('Raw Data'!R193))=0),"",IF(AND(LEN('Raw Data'!R193) &lt;= 50,LEN('Raw Data'!R193)&gt; 0),"",_xlfn.REGEXEXTRACT(CELL("address",'Raw Data'!R193),"\$([A-Z]+)\$[0-9]+"))),_xlfn.REGEXEXTRACT(CELL("address",'Raw Data'!R193),"\$([A-Z]+)\$[0-9]+"))</f>
        <v/>
      </c>
      <c r="S193" s="7" t="str">
        <f t="array" aca="1" ref="S193" ca="1">IFERROR(IF(OR('Raw Data'!S193="",LEN(TRIM('Raw Data'!S193))=0),"",IF(AND(LEN('Raw Data'!S193) &lt;= 50,LEN('Raw Data'!S193)&gt; 0),"",_xlfn.REGEXEXTRACT(CELL("address",'Raw Data'!S193),"\$([A-Z]+)\$[0-9]+"))),_xlfn.REGEXEXTRACT(CELL("address",'Raw Data'!S193),"\$([A-Z]+)\$[0-9]+"))</f>
        <v/>
      </c>
      <c r="T193" s="7" t="str">
        <f t="array" aca="1" ref="T193" ca="1">IFERROR(IF(OR('Raw Data'!T193="",LEN(TRIM('Raw Data'!T193))=0),"",IF(AND(ISNUMBER('Raw Data'!T193), IFERROR('Raw Data'!T193 = ROUND('Raw Data'!T193, 2),FALSE)),"",_xlfn.REGEXEXTRACT(CELL("address",T193), "\$([A-Z]+)\$[0-9]+"))),_xlfn.REGEXEXTRACT(CELL("address",T193), "\$([A-Z]+)\$[0-9]+"))</f>
        <v/>
      </c>
      <c r="U193" s="7" t="str">
        <f t="array" aca="1" ref="U193" ca="1">IFERROR(IF(OR('Raw Data'!U193="",LEN(TRIM('Raw Data'!U193))=0),"",IF(AND(ISNUMBER('Raw Data'!U193), IFERROR('Raw Data'!U193 = ROUND('Raw Data'!U193, 2),FALSE)),"",_xlfn.REGEXEXTRACT(CELL("address",U193), "\$([A-Z]+)\$[0-9]+"))),_xlfn.REGEXEXTRACT(CELL("address",U193), "\$([A-Z]+)\$[0-9]+"))</f>
        <v/>
      </c>
      <c r="V193" s="7" t="str">
        <f t="array" aca="1" ref="V193" ca="1">IFERROR(IF(OR('Raw Data'!V193="",LEN(TRIM('Raw Data'!V193))=0),"",IF(AND(ISNUMBER('Raw Data'!V193), IFERROR('Raw Data'!V193 = ROUND('Raw Data'!V193, 2),FALSE)),"",_xlfn.REGEXEXTRACT(CELL("address",V193), "\$([A-Z]+)\$[0-9]+"))),_xlfn.REGEXEXTRACT(CELL("address",V193), "\$([A-Z]+)\$[0-9]+"))</f>
        <v/>
      </c>
      <c r="W193" s="7" t="str">
        <f t="array" aca="1" ref="W193" ca="1">IFERROR(IF(OR('Raw Data'!W193="",LEN(TRIM('Raw Data'!W193))=0),"",IF(AND(ISNUMBER('Raw Data'!W193), IFERROR('Raw Data'!W193 = ROUND('Raw Data'!W193, 2),FALSE)),"",_xlfn.REGEXEXTRACT(CELL("address",W193), "\$([A-Z]+)\$[0-9]+"))),_xlfn.REGEXEXTRACT(CELL("address",W193), "\$([A-Z]+)\$[0-9]+"))</f>
        <v/>
      </c>
      <c r="X193" s="7" t="str">
        <f t="array" aca="1" ref="X193" ca="1">IFERROR(IF(OR('Raw Data'!X193="",LEN(TRIM('Raw Data'!X193))=0),"",IF(AND(ISNUMBER('Raw Data'!X193), IFERROR('Raw Data'!X193 = ROUND('Raw Data'!X193, 2),FALSE)),"",_xlfn.REGEXEXTRACT(CELL("address",X193), "\$([A-Z]+)\$[0-9]+"))),_xlfn.REGEXEXTRACT(CELL("address",X193), "\$([A-Z]+)\$[0-9]+"))</f>
        <v/>
      </c>
      <c r="Y193" s="7" t="str">
        <f t="array" aca="1" ref="Y193" ca="1">IFERROR(IF(OR('Raw Data'!Y193="",LEN(TRIM('Raw Data'!Y193))=0),"",IF(AND(ISNUMBER('Raw Data'!Y193), IFERROR('Raw Data'!Y193 = ROUND('Raw Data'!Y193, 2),FALSE)),"",_xlfn.REGEXEXTRACT(CELL("address",Y193), "\$([A-Z]+)\$[0-9]+"))),_xlfn.REGEXEXTRACT(CELL("address",Y193), "\$([A-Z]+)\$[0-9]+"))</f>
        <v/>
      </c>
      <c r="Z193" s="7" t="str">
        <f t="array" aca="1" ref="Z193" ca="1">IFERROR(IF(OR('Raw Data'!Z193="",LEN(TRIM('Raw Data'!Z193))=0),"",IF(AND(ISNUMBER('Raw Data'!Z193), IFERROR('Raw Data'!Z193 = ROUND('Raw Data'!Z193, 2),FALSE)),"",_xlfn.REGEXEXTRACT(CELL("address",Z193), "\$([A-Z]+)\$[0-9]+"))),_xlfn.REGEXEXTRACT(CELL("address",Z193), "\$([A-Z]+)\$[0-9]+"))</f>
        <v/>
      </c>
      <c r="AA193" s="7" t="str">
        <f t="array" aca="1" ref="AA193" ca="1">IFERROR(IF(OR('Raw Data'!AA193="",LEN(TRIM('Raw Data'!AA193))=0),"",IF(AND(ISNUMBER('Raw Data'!AA193), IFERROR('Raw Data'!AA193 = ROUND('Raw Data'!AA193, 2),FALSE)),"",_xlfn.REGEXEXTRACT(CELL("address",AA193), "\$([A-Z]+)\$[0-9]+"))),_xlfn.REGEXEXTRACT(CELL("address",AA193), "\$([A-Z]+)\$[0-9]+"))</f>
        <v/>
      </c>
      <c r="AB193" s="7" t="str">
        <f t="array" aca="1" ref="AB193" ca="1">IFERROR(IF(OR('Raw Data'!AB193="",LEN(TRIM('Raw Data'!AB193))=0),"",IF(AND(ISNUMBER('Raw Data'!AB193), IFERROR('Raw Data'!AB193 = ROUND('Raw Data'!AB193, 2),FALSE)),"",_xlfn.REGEXEXTRACT(CELL("address",AB193), "\$([A-Z]+)\$[0-9]+"))),_xlfn.REGEXEXTRACT(CELL("address",AB193), "\$([A-Z]+)\$[0-9]+"))</f>
        <v/>
      </c>
      <c r="AC193" s="7" t="str">
        <f t="array" aca="1" ref="AC193" ca="1">IFERROR(IF(OR('Raw Data'!AC193="",LEN(TRIM('Raw Data'!AC193))=0),"",IF(AND(ISNUMBER('Raw Data'!AC193), IFERROR('Raw Data'!AC193 = ROUND('Raw Data'!AC193, 2),FALSE)),"",_xlfn.REGEXEXTRACT(CELL("address",AC193), "\$([A-Z]+)\$[0-9]+"))),_xlfn.REGEXEXTRACT(CELL("address",AC193), "\$([A-Z]+)\$[0-9]+"))</f>
        <v/>
      </c>
      <c r="AD193" s="7" t="str">
        <f t="array" aca="1" ref="AD193" ca="1">IFERROR(IF(OR('Raw Data'!AD193="",LEN(TRIM('Raw Data'!AD193))=0),"",IF(AND(ISNUMBER('Raw Data'!AD193), IFERROR('Raw Data'!AD193 = ROUND('Raw Data'!AD193, 2),FALSE)),"",_xlfn.REGEXEXTRACT(CELL("address",AD193), "\$([A-Z]+)\$[0-9]+"))),_xlfn.REGEXEXTRACT(CELL("address",AD193), "\$([A-Z]+)\$[0-9]+"))</f>
        <v/>
      </c>
      <c r="AE193" s="7" t="str">
        <f t="array" aca="1" ref="AE193" ca="1">IFERROR(IF(OR('Raw Data'!AE193="",LEN(TRIM('Raw Data'!AE193))=0),"",IF(AND(ISNUMBER('Raw Data'!AE193), IFERROR('Raw Data'!AE193 = ROUND('Raw Data'!AE193, 2),FALSE)),"",_xlfn.REGEXEXTRACT(CELL("address",AE193), "\$([A-Z]+)\$[0-9]+"))),_xlfn.REGEXEXTRACT(CELL("address",AE193), "\$([A-Z]+)\$[0-9]+"))</f>
        <v/>
      </c>
      <c r="AF193" s="7" t="str">
        <f t="array" aca="1" ref="AF193" ca="1">IFERROR(IF(OR('Raw Data'!AF193="",LEN(TRIM('Raw Data'!AF193))=0),"",IF(AND(ISNUMBER('Raw Data'!AF193), IFERROR('Raw Data'!AF193 = ROUND('Raw Data'!AF193, 2),FALSE)),"",_xlfn.REGEXEXTRACT(CELL("address",AF193), "\$([A-Z]+)\$[0-9]+"))),_xlfn.REGEXEXTRACT(CELL("address",AF193), "\$([A-Z]+)\$[0-9]+"))</f>
        <v/>
      </c>
      <c r="AG193" s="7" t="str">
        <f t="array" aca="1" ref="AG193" ca="1">IFERROR(IF(OR('Raw Data'!AG193="",LEN(TRIM('Raw Data'!AG193))=0),"",IF(AND(ISNUMBER('Raw Data'!AG193), IFERROR('Raw Data'!AG193 = ROUND('Raw Data'!AG193, 2),FALSE)),"",_xlfn.REGEXEXTRACT(CELL("address",AG193), "\$([A-Z]+)\$[0-9]+"))),_xlfn.REGEXEXTRACT(CELL("address",AG193), "\$([A-Z]+)\$[0-9]+"))</f>
        <v/>
      </c>
      <c r="AH193" s="7" t="str">
        <f t="array" aca="1" ref="AH193" ca="1">IFERROR(IF(OR('Raw Data'!AH193="",LEN(TRIM('Raw Data'!AH193))=0),"",IF(AND(ISNUMBER('Raw Data'!AH193), IFERROR('Raw Data'!AH193 = ROUND('Raw Data'!AH193, 2),FALSE)),"",_xlfn.REGEXEXTRACT(CELL("address",AH193), "\$([A-Z]+)\$[0-9]+"))),_xlfn.REGEXEXTRACT(CELL("address",AH193), "\$([A-Z]+)\$[0-9]+"))</f>
        <v/>
      </c>
      <c r="AI193" s="7" t="str">
        <f t="array" aca="1" ref="AI193" ca="1">IFERROR(IF(OR('Raw Data'!AI193="",LEN(TRIM('Raw Data'!AI193))=0),"",IF(AND(ISNUMBER('Raw Data'!AI193), IFERROR('Raw Data'!AI193 = ROUND('Raw Data'!AI193, 2),FALSE)),"",_xlfn.REGEXEXTRACT(CELL("address",AI193), "\$([A-Z]+)\$[0-9]+"))),_xlfn.REGEXEXTRACT(CELL("address",AI193), "\$([A-Z]+)\$[0-9]+"))</f>
        <v/>
      </c>
      <c r="AJ193" s="7" t="str">
        <f t="array" aca="1" ref="AJ193" ca="1">IFERROR(IF(OR('Raw Data'!AJ193="",LEN(TRIM('Raw Data'!AJ193))=0),"",IF(AND(ISNUMBER('Raw Data'!AJ193), IFERROR('Raw Data'!AJ193 = ROUND('Raw Data'!AJ193, 4),FALSE)),"",_xlfn.REGEXEXTRACT(CELL("address",AJ193), "\$([A-Z]+)\$[0-9]+"))),_xlfn.REGEXEXTRACT(CELL("address",AJ193), "\$([A-Z]+)\$[0-9]+"))</f>
        <v/>
      </c>
      <c r="AK193" s="7" t="str">
        <f t="array" aca="1" ref="AK193" ca="1">IFERROR(IF(OR('Raw Data'!AK193="",LEN(TRIM('Raw Data'!AK193))=0),"",IF(AND(ISNUMBER('Raw Data'!AK193), IFERROR('Raw Data'!AK193 = ROUND('Raw Data'!AK193, 2),FALSE)),"",_xlfn.REGEXEXTRACT(CELL("address",AK193), "\$([A-Z]+)\$[0-9]+"))),_xlfn.REGEXEXTRACT(CELL("address",AK193), "\$([A-Z]+)\$[0-9]+"))</f>
        <v/>
      </c>
      <c r="AL193" s="7" t="str">
        <f t="array" aca="1" ref="AL193" ca="1">IFERROR(IF(OR('Raw Data'!AL193="",LEN(TRIM('Raw Data'!AL193))=0),"",IF(AND(ISNUMBER('Raw Data'!AL193), IFERROR('Raw Data'!AL193 = ROUND('Raw Data'!AL193, 2),FALSE)),"",_xlfn.REGEXEXTRACT(CELL("address",AL193), "\$([A-Z]+)\$[0-9]+"))),_xlfn.REGEXEXTRACT(CELL("address",AL193), "\$([A-Z]+)\$[0-9]+"))</f>
        <v/>
      </c>
      <c r="AM193" s="7" t="str">
        <f t="array" aca="1" ref="AM193" ca="1">IFERROR(IF(OR('Raw Data'!AM193="",LEN(TRIM('Raw Data'!AM193))=0),"",IF(AND(ISNUMBER('Raw Data'!AM193), IFERROR('Raw Data'!AM193 = ROUND('Raw Data'!AM193, 2),FALSE)),"",_xlfn.REGEXEXTRACT(CELL("address",AM193), "\$([A-Z]+)\$[0-9]+"))),_xlfn.REGEXEXTRACT(CELL("address",AM193), "\$([A-Z]+)\$[0-9]+"))</f>
        <v/>
      </c>
      <c r="AN193" s="7" t="str">
        <f t="array" aca="1" ref="AN193" ca="1">IFERROR(IF(OR('Raw Data'!AN193="",LEN(TRIM('Raw Data'!AN193))=0),"",IF(AND(ISNUMBER('Raw Data'!AN193), IFERROR('Raw Data'!AN193 = ROUND('Raw Data'!AN193, 2),FALSE)),"",_xlfn.REGEXEXTRACT(CELL("address",AN193), "\$([A-Z]+)\$[0-9]+"))),_xlfn.REGEXEXTRACT(CELL("address",AN193), "\$([A-Z]+)\$[0-9]+"))</f>
        <v/>
      </c>
      <c r="AO193" s="7" t="str">
        <f t="array" aca="1" ref="AO193" ca="1">IFERROR(IF(OR('Raw Data'!AO193="",LEN(TRIM('Raw Data'!AO193))=0),"",IF(AND(ISNUMBER('Raw Data'!AO193), IFERROR('Raw Data'!AO193 = ROUND('Raw Data'!AO193, 2),FALSE)),"",_xlfn.REGEXEXTRACT(CELL("address",AO193), "\$([A-Z]+)\$[0-9]+"))),_xlfn.REGEXEXTRACT(CELL("address",AO193), "\$([A-Z]+)\$[0-9]+"))</f>
        <v/>
      </c>
      <c r="AP193" s="7" t="str">
        <f t="array" aca="1" ref="AP193" ca="1">IFERROR(IF(OR('Raw Data'!AP193="",LEN(TRIM('Raw Data'!AP193))=0),"",IF(AND(ISNUMBER('Raw Data'!AP193), IFERROR('Raw Data'!AP193 = ROUND('Raw Data'!AP193, 2),FALSE)),"",_xlfn.REGEXEXTRACT(CELL("address",AP193), "\$([A-Z]+)\$[0-9]+"))),_xlfn.REGEXEXTRACT(CELL("address",AP193), "\$([A-Z]+)\$[0-9]+"))</f>
        <v/>
      </c>
    </row>
    <row r="194" spans="2:42" x14ac:dyDescent="0.25">
      <c r="B194" s="7" t="str">
        <f t="array" aca="1" ref="B194" ca="1">IFERROR(IF(OR('Raw Data'!B194="",LEN(TRIM('Raw Data'!B194))=0),"",IF(AND(LEN('Raw Data'!B194) &lt;= 255,LEN('Raw Data'!B194)&gt; 0),"",_xlfn.REGEXEXTRACT(CELL("address",'Raw Data'!B194),"\$([A-Z]+)\$[0-9]+"))),_xlfn.REGEXEXTRACT(CELL("address",'Raw Data'!B194),"\$([A-Z]+)\$[0-9]+"))</f>
        <v/>
      </c>
      <c r="C194" s="7" t="str">
        <f t="array" aca="1" ref="C194" ca="1">IFERROR(IF(OR('Raw Data'!C194="",LEN(TRIM('Raw Data'!C194))=0),"",IF(AND(LEN('Raw Data'!C194) &lt;= 50,LEN('Raw Data'!C194)&gt; 0),"",_xlfn.REGEXEXTRACT(CELL("address",'Raw Data'!C194),"\$([A-Z]+)\$[0-9]+"))),_xlfn.REGEXEXTRACT(CELL("address",'Raw Data'!C194),"\$([A-Z]+)\$[0-9]+"))</f>
        <v/>
      </c>
      <c r="D194" s="7" t="str">
        <f t="array" aca="1" ref="D194" ca="1">IFERROR(IF(OR('Raw Data'!D194="",LEN(TRIM('Raw Data'!D194))=0),"",IF(AND(LEN('Raw Data'!D194) &lt;= 500,LEN('Raw Data'!D194)&gt; 0),"",_xlfn.REGEXEXTRACT(CELL("address",'Raw Data'!D194),"\$([A-Z]+)\$[0-9]+"))),_xlfn.REGEXEXTRACT(CELL("address",'Raw Data'!D194),"\$([A-Z]+)\$[0-9]+"))</f>
        <v/>
      </c>
      <c r="E194" s="7" t="str">
        <f t="array" aca="1" ref="E194" ca="1">IFERROR(IF(OR('Raw Data'!E194="",LEN(TRIM('Raw Data'!E194))=0),"",IF(AND(LEN('Raw Data'!E194) &lt;= 50,LEN('Raw Data'!E194)&gt; 0),"",_xlfn.REGEXEXTRACT(CELL("address",'Raw Data'!E194),"\$([A-Z]+)\$[0-9]+"))),_xlfn.REGEXEXTRACT(CELL("address",'Raw Data'!E194),"\$([A-Z]+)\$[0-9]+"))</f>
        <v/>
      </c>
      <c r="F194" s="7" t="str">
        <f t="array" aca="1" ref="F194" ca="1">IFERROR(IF(OR('Raw Data'!F194="",LEN(TRIM('Raw Data'!F194))=0),"",IF(AND(LEN('Raw Data'!F194) &lt;= 50,LEN('Raw Data'!F194)&gt; 0),"",_xlfn.REGEXEXTRACT(CELL("address",'Raw Data'!F194),"\$([A-Z]+)\$[0-9]+"))),_xlfn.REGEXEXTRACT(CELL("address",'Raw Data'!F194),"\$([A-Z]+)\$[0-9]+"))</f>
        <v/>
      </c>
      <c r="G194" s="7" t="str">
        <f t="array" aca="1" ref="G194" ca="1">IFERROR(IF(OR('Raw Data'!G194="",LEN(TRIM('Raw Data'!G194))=0),"",IF(AND(LEN('Raw Data'!G194) &lt;= 50,LEN('Raw Data'!G194)&gt; 0),"",_xlfn.REGEXEXTRACT(CELL("address",'Raw Data'!G194),"\$([A-Z]+)\$[0-9]+"))),_xlfn.REGEXEXTRACT(CELL("address",'Raw Data'!G194),"\$([A-Z]+)\$[0-9]+"))</f>
        <v/>
      </c>
      <c r="H194" s="7" t="str">
        <f t="array" aca="1" ref="H194" ca="1">IFERROR(IF(OR('Raw Data'!H194="",LEN(TRIM('Raw Data'!H194))=0),"",IF(AND(LEN('Raw Data'!H194) &lt;= 50,LEN('Raw Data'!H194)&gt; 0),"",_xlfn.REGEXEXTRACT(CELL("address",'Raw Data'!H194),"\$([A-Z]+)\$[0-9]+"))),_xlfn.REGEXEXTRACT(CELL("address",'Raw Data'!H194),"\$([A-Z]+)\$[0-9]+"))</f>
        <v/>
      </c>
      <c r="I194" s="7" t="str">
        <f t="array" aca="1" ref="I194" ca="1">IFERROR(IF(OR('Raw Data'!I194="",LEN(TRIM('Raw Data'!I194))=0),"",IF(AND(LEN('Raw Data'!I194) &lt;= 50,LEN('Raw Data'!I194)&gt; 0),"",_xlfn.REGEXEXTRACT(CELL("address",'Raw Data'!I194),"\$([A-Z]+)\$[0-9]+"))),_xlfn.REGEXEXTRACT(CELL("address",'Raw Data'!I194),"\$([A-Z]+)\$[0-9]+"))</f>
        <v/>
      </c>
      <c r="J194" s="7" t="str">
        <f t="array" aca="1" ref="J194" ca="1">IFERROR(IF(OR('Raw Data'!J194="",LEN(TRIM('Raw Data'!J194))=0),"",IF(AND(ISNUMBER('Raw Data'!J194), IFERROR('Raw Data'!J194 = ROUND('Raw Data'!J194, 2),FALSE)),"",_xlfn.REGEXEXTRACT(CELL("address",J194), "\$([A-Z]+)\$[0-9]+"))),_xlfn.REGEXEXTRACT(CELL("address",J194), "\$([A-Z]+)\$[0-9]+"))</f>
        <v/>
      </c>
      <c r="K194" s="7" t="str">
        <f t="array" aca="1" ref="K194" ca="1">IFERROR(IF(OR('Raw Data'!K194="",LEN(TRIM('Raw Data'!K194))=0),"",IF(AND(ISNUMBER('Raw Data'!K194), IFERROR('Raw Data'!K194 = ROUND('Raw Data'!K194, 2),FALSE)),"",_xlfn.REGEXEXTRACT(CELL("address",K194), "\$([A-Z]+)\$[0-9]+"))),_xlfn.REGEXEXTRACT(CELL("address",K194), "\$([A-Z]+)\$[0-9]+"))</f>
        <v/>
      </c>
      <c r="L194" s="7" t="str">
        <f t="array" aca="1" ref="L194" ca="1">IFERROR(IF(OR('Raw Data'!L194="",LEN(TRIM('Raw Data'!L194))=0),"",IF(AND(ISNUMBER('Raw Data'!L194), IFERROR('Raw Data'!L194 = ROUND('Raw Data'!L194, 2),FALSE)),"",_xlfn.REGEXEXTRACT(CELL("address",L194), "\$([A-Z]+)\$[0-9]+"))),_xlfn.REGEXEXTRACT(CELL("address",L194), "\$([A-Z]+)\$[0-9]+"))</f>
        <v/>
      </c>
      <c r="M194" s="7" t="str">
        <f t="array" aca="1" ref="M194" ca="1">IFERROR(IF(OR('Raw Data'!M194="",LEN(TRIM('Raw Data'!M194))=0),"",IF(AND(ISNUMBER('Raw Data'!M194), IFERROR('Raw Data'!M194 = ROUND('Raw Data'!M194, 2),FALSE)),"",_xlfn.REGEXEXTRACT(CELL("address",M194), "\$([A-Z]+)\$[0-9]+"))),_xlfn.REGEXEXTRACT(CELL("address",M194), "\$([A-Z]+)\$[0-9]+"))</f>
        <v/>
      </c>
      <c r="N194" s="7" t="str">
        <f t="array" aca="1" ref="N194" ca="1">IFERROR(IF(OR('Raw Data'!N194="",LEN(TRIM('Raw Data'!N194))=0),"",IF(AND(ISNUMBER('Raw Data'!N194), IFERROR('Raw Data'!N194 = ROUND('Raw Data'!N194, 2),FALSE)),"",_xlfn.REGEXEXTRACT(CELL("address",N194), "\$([A-Z]+)\$[0-9]+"))),_xlfn.REGEXEXTRACT(CELL("address",N194), "\$([A-Z]+)\$[0-9]+"))</f>
        <v/>
      </c>
      <c r="O194" s="7" t="str">
        <f t="array" aca="1" ref="O194" ca="1">IFERROR(IF(OR('Raw Data'!O194="",LEN(TRIM('Raw Data'!O194))=0),"",IF(AND(ISNUMBER('Raw Data'!O194),'Raw Data'!O194&gt;=Configuration!$D$2),"",_xlfn.REGEXEXTRACT(CELL("address",'Raw Data'!O194),"\$([A-Z]+)\$[0-9]+"))),_xlfn.REGEXEXTRACT(CELL("address",O194), "\$([A-Z]+)\$[0-9]+"))</f>
        <v/>
      </c>
      <c r="P194" s="7" t="str">
        <f t="array" aca="1" ref="P194" ca="1">IFERROR(IF(OR('Raw Data'!P194="",LEN(TRIM('Raw Data'!P194))=0),"",IF(AND(ISNUMBER('Raw Data'!P194), IFERROR('Raw Data'!P194 = ROUND('Raw Data'!P194, 2),FALSE)),"",_xlfn.REGEXEXTRACT(CELL("address",P194), "\$([A-Z]+)\$[0-9]+"))),_xlfn.REGEXEXTRACT(CELL("address",P194), "\$([A-Z]+)\$[0-9]+"))</f>
        <v/>
      </c>
      <c r="Q194" s="7" t="str">
        <f t="array" aca="1" ref="Q194" ca="1">IFERROR(IF(OR('Raw Data'!Q194="",LEN(TRIM('Raw Data'!Q194))=0),"",IF(AND(ISNUMBER('Raw Data'!Q194), IFERROR('Raw Data'!Q194 = ROUND('Raw Data'!Q194, 2),FALSE)),"",_xlfn.REGEXEXTRACT(CELL("address",Q194), "\$([A-Z]+)\$[0-9]+"))),_xlfn.REGEXEXTRACT(CELL("address",Q194), "\$([A-Z]+)\$[0-9]+"))</f>
        <v/>
      </c>
      <c r="R194" s="7" t="str">
        <f t="array" aca="1" ref="R194" ca="1">IFERROR(IF(OR('Raw Data'!R194="",LEN(TRIM('Raw Data'!R194))=0),"",IF(AND(LEN('Raw Data'!R194) &lt;= 50,LEN('Raw Data'!R194)&gt; 0),"",_xlfn.REGEXEXTRACT(CELL("address",'Raw Data'!R194),"\$([A-Z]+)\$[0-9]+"))),_xlfn.REGEXEXTRACT(CELL("address",'Raw Data'!R194),"\$([A-Z]+)\$[0-9]+"))</f>
        <v/>
      </c>
      <c r="S194" s="7" t="str">
        <f t="array" aca="1" ref="S194" ca="1">IFERROR(IF(OR('Raw Data'!S194="",LEN(TRIM('Raw Data'!S194))=0),"",IF(AND(LEN('Raw Data'!S194) &lt;= 50,LEN('Raw Data'!S194)&gt; 0),"",_xlfn.REGEXEXTRACT(CELL("address",'Raw Data'!S194),"\$([A-Z]+)\$[0-9]+"))),_xlfn.REGEXEXTRACT(CELL("address",'Raw Data'!S194),"\$([A-Z]+)\$[0-9]+"))</f>
        <v/>
      </c>
      <c r="T194" s="7" t="str">
        <f t="array" aca="1" ref="T194" ca="1">IFERROR(IF(OR('Raw Data'!T194="",LEN(TRIM('Raw Data'!T194))=0),"",IF(AND(ISNUMBER('Raw Data'!T194), IFERROR('Raw Data'!T194 = ROUND('Raw Data'!T194, 2),FALSE)),"",_xlfn.REGEXEXTRACT(CELL("address",T194), "\$([A-Z]+)\$[0-9]+"))),_xlfn.REGEXEXTRACT(CELL("address",T194), "\$([A-Z]+)\$[0-9]+"))</f>
        <v/>
      </c>
      <c r="U194" s="7" t="str">
        <f t="array" aca="1" ref="U194" ca="1">IFERROR(IF(OR('Raw Data'!U194="",LEN(TRIM('Raw Data'!U194))=0),"",IF(AND(ISNUMBER('Raw Data'!U194), IFERROR('Raw Data'!U194 = ROUND('Raw Data'!U194, 2),FALSE)),"",_xlfn.REGEXEXTRACT(CELL("address",U194), "\$([A-Z]+)\$[0-9]+"))),_xlfn.REGEXEXTRACT(CELL("address",U194), "\$([A-Z]+)\$[0-9]+"))</f>
        <v/>
      </c>
      <c r="V194" s="7" t="str">
        <f t="array" aca="1" ref="V194" ca="1">IFERROR(IF(OR('Raw Data'!V194="",LEN(TRIM('Raw Data'!V194))=0),"",IF(AND(ISNUMBER('Raw Data'!V194), IFERROR('Raw Data'!V194 = ROUND('Raw Data'!V194, 2),FALSE)),"",_xlfn.REGEXEXTRACT(CELL("address",V194), "\$([A-Z]+)\$[0-9]+"))),_xlfn.REGEXEXTRACT(CELL("address",V194), "\$([A-Z]+)\$[0-9]+"))</f>
        <v/>
      </c>
      <c r="W194" s="7" t="str">
        <f t="array" aca="1" ref="W194" ca="1">IFERROR(IF(OR('Raw Data'!W194="",LEN(TRIM('Raw Data'!W194))=0),"",IF(AND(ISNUMBER('Raw Data'!W194), IFERROR('Raw Data'!W194 = ROUND('Raw Data'!W194, 2),FALSE)),"",_xlfn.REGEXEXTRACT(CELL("address",W194), "\$([A-Z]+)\$[0-9]+"))),_xlfn.REGEXEXTRACT(CELL("address",W194), "\$([A-Z]+)\$[0-9]+"))</f>
        <v/>
      </c>
      <c r="X194" s="7" t="str">
        <f t="array" aca="1" ref="X194" ca="1">IFERROR(IF(OR('Raw Data'!X194="",LEN(TRIM('Raw Data'!X194))=0),"",IF(AND(ISNUMBER('Raw Data'!X194), IFERROR('Raw Data'!X194 = ROUND('Raw Data'!X194, 2),FALSE)),"",_xlfn.REGEXEXTRACT(CELL("address",X194), "\$([A-Z]+)\$[0-9]+"))),_xlfn.REGEXEXTRACT(CELL("address",X194), "\$([A-Z]+)\$[0-9]+"))</f>
        <v/>
      </c>
      <c r="Y194" s="7" t="str">
        <f t="array" aca="1" ref="Y194" ca="1">IFERROR(IF(OR('Raw Data'!Y194="",LEN(TRIM('Raw Data'!Y194))=0),"",IF(AND(ISNUMBER('Raw Data'!Y194), IFERROR('Raw Data'!Y194 = ROUND('Raw Data'!Y194, 2),FALSE)),"",_xlfn.REGEXEXTRACT(CELL("address",Y194), "\$([A-Z]+)\$[0-9]+"))),_xlfn.REGEXEXTRACT(CELL("address",Y194), "\$([A-Z]+)\$[0-9]+"))</f>
        <v/>
      </c>
      <c r="Z194" s="7" t="str">
        <f t="array" aca="1" ref="Z194" ca="1">IFERROR(IF(OR('Raw Data'!Z194="",LEN(TRIM('Raw Data'!Z194))=0),"",IF(AND(ISNUMBER('Raw Data'!Z194), IFERROR('Raw Data'!Z194 = ROUND('Raw Data'!Z194, 2),FALSE)),"",_xlfn.REGEXEXTRACT(CELL("address",Z194), "\$([A-Z]+)\$[0-9]+"))),_xlfn.REGEXEXTRACT(CELL("address",Z194), "\$([A-Z]+)\$[0-9]+"))</f>
        <v/>
      </c>
      <c r="AA194" s="7" t="str">
        <f t="array" aca="1" ref="AA194" ca="1">IFERROR(IF(OR('Raw Data'!AA194="",LEN(TRIM('Raw Data'!AA194))=0),"",IF(AND(ISNUMBER('Raw Data'!AA194), IFERROR('Raw Data'!AA194 = ROUND('Raw Data'!AA194, 2),FALSE)),"",_xlfn.REGEXEXTRACT(CELL("address",AA194), "\$([A-Z]+)\$[0-9]+"))),_xlfn.REGEXEXTRACT(CELL("address",AA194), "\$([A-Z]+)\$[0-9]+"))</f>
        <v/>
      </c>
      <c r="AB194" s="7" t="str">
        <f t="array" aca="1" ref="AB194" ca="1">IFERROR(IF(OR('Raw Data'!AB194="",LEN(TRIM('Raw Data'!AB194))=0),"",IF(AND(ISNUMBER('Raw Data'!AB194), IFERROR('Raw Data'!AB194 = ROUND('Raw Data'!AB194, 2),FALSE)),"",_xlfn.REGEXEXTRACT(CELL("address",AB194), "\$([A-Z]+)\$[0-9]+"))),_xlfn.REGEXEXTRACT(CELL("address",AB194), "\$([A-Z]+)\$[0-9]+"))</f>
        <v/>
      </c>
      <c r="AC194" s="7" t="str">
        <f t="array" aca="1" ref="AC194" ca="1">IFERROR(IF(OR('Raw Data'!AC194="",LEN(TRIM('Raw Data'!AC194))=0),"",IF(AND(ISNUMBER('Raw Data'!AC194), IFERROR('Raw Data'!AC194 = ROUND('Raw Data'!AC194, 2),FALSE)),"",_xlfn.REGEXEXTRACT(CELL("address",AC194), "\$([A-Z]+)\$[0-9]+"))),_xlfn.REGEXEXTRACT(CELL("address",AC194), "\$([A-Z]+)\$[0-9]+"))</f>
        <v/>
      </c>
      <c r="AD194" s="7" t="str">
        <f t="array" aca="1" ref="AD194" ca="1">IFERROR(IF(OR('Raw Data'!AD194="",LEN(TRIM('Raw Data'!AD194))=0),"",IF(AND(ISNUMBER('Raw Data'!AD194), IFERROR('Raw Data'!AD194 = ROUND('Raw Data'!AD194, 2),FALSE)),"",_xlfn.REGEXEXTRACT(CELL("address",AD194), "\$([A-Z]+)\$[0-9]+"))),_xlfn.REGEXEXTRACT(CELL("address",AD194), "\$([A-Z]+)\$[0-9]+"))</f>
        <v/>
      </c>
      <c r="AE194" s="7" t="str">
        <f t="array" aca="1" ref="AE194" ca="1">IFERROR(IF(OR('Raw Data'!AE194="",LEN(TRIM('Raw Data'!AE194))=0),"",IF(AND(ISNUMBER('Raw Data'!AE194), IFERROR('Raw Data'!AE194 = ROUND('Raw Data'!AE194, 2),FALSE)),"",_xlfn.REGEXEXTRACT(CELL("address",AE194), "\$([A-Z]+)\$[0-9]+"))),_xlfn.REGEXEXTRACT(CELL("address",AE194), "\$([A-Z]+)\$[0-9]+"))</f>
        <v/>
      </c>
      <c r="AF194" s="7" t="str">
        <f t="array" aca="1" ref="AF194" ca="1">IFERROR(IF(OR('Raw Data'!AF194="",LEN(TRIM('Raw Data'!AF194))=0),"",IF(AND(ISNUMBER('Raw Data'!AF194), IFERROR('Raw Data'!AF194 = ROUND('Raw Data'!AF194, 2),FALSE)),"",_xlfn.REGEXEXTRACT(CELL("address",AF194), "\$([A-Z]+)\$[0-9]+"))),_xlfn.REGEXEXTRACT(CELL("address",AF194), "\$([A-Z]+)\$[0-9]+"))</f>
        <v/>
      </c>
      <c r="AG194" s="7" t="str">
        <f t="array" aca="1" ref="AG194" ca="1">IFERROR(IF(OR('Raw Data'!AG194="",LEN(TRIM('Raw Data'!AG194))=0),"",IF(AND(ISNUMBER('Raw Data'!AG194), IFERROR('Raw Data'!AG194 = ROUND('Raw Data'!AG194, 2),FALSE)),"",_xlfn.REGEXEXTRACT(CELL("address",AG194), "\$([A-Z]+)\$[0-9]+"))),_xlfn.REGEXEXTRACT(CELL("address",AG194), "\$([A-Z]+)\$[0-9]+"))</f>
        <v/>
      </c>
      <c r="AH194" s="7" t="str">
        <f t="array" aca="1" ref="AH194" ca="1">IFERROR(IF(OR('Raw Data'!AH194="",LEN(TRIM('Raw Data'!AH194))=0),"",IF(AND(ISNUMBER('Raw Data'!AH194), IFERROR('Raw Data'!AH194 = ROUND('Raw Data'!AH194, 2),FALSE)),"",_xlfn.REGEXEXTRACT(CELL("address",AH194), "\$([A-Z]+)\$[0-9]+"))),_xlfn.REGEXEXTRACT(CELL("address",AH194), "\$([A-Z]+)\$[0-9]+"))</f>
        <v/>
      </c>
      <c r="AI194" s="7" t="str">
        <f t="array" aca="1" ref="AI194" ca="1">IFERROR(IF(OR('Raw Data'!AI194="",LEN(TRIM('Raw Data'!AI194))=0),"",IF(AND(ISNUMBER('Raw Data'!AI194), IFERROR('Raw Data'!AI194 = ROUND('Raw Data'!AI194, 2),FALSE)),"",_xlfn.REGEXEXTRACT(CELL("address",AI194), "\$([A-Z]+)\$[0-9]+"))),_xlfn.REGEXEXTRACT(CELL("address",AI194), "\$([A-Z]+)\$[0-9]+"))</f>
        <v/>
      </c>
      <c r="AJ194" s="7" t="str">
        <f t="array" aca="1" ref="AJ194" ca="1">IFERROR(IF(OR('Raw Data'!AJ194="",LEN(TRIM('Raw Data'!AJ194))=0),"",IF(AND(ISNUMBER('Raw Data'!AJ194), IFERROR('Raw Data'!AJ194 = ROUND('Raw Data'!AJ194, 4),FALSE)),"",_xlfn.REGEXEXTRACT(CELL("address",AJ194), "\$([A-Z]+)\$[0-9]+"))),_xlfn.REGEXEXTRACT(CELL("address",AJ194), "\$([A-Z]+)\$[0-9]+"))</f>
        <v/>
      </c>
      <c r="AK194" s="7" t="str">
        <f t="array" aca="1" ref="AK194" ca="1">IFERROR(IF(OR('Raw Data'!AK194="",LEN(TRIM('Raw Data'!AK194))=0),"",IF(AND(ISNUMBER('Raw Data'!AK194), IFERROR('Raw Data'!AK194 = ROUND('Raw Data'!AK194, 2),FALSE)),"",_xlfn.REGEXEXTRACT(CELL("address",AK194), "\$([A-Z]+)\$[0-9]+"))),_xlfn.REGEXEXTRACT(CELL("address",AK194), "\$([A-Z]+)\$[0-9]+"))</f>
        <v/>
      </c>
      <c r="AL194" s="7" t="str">
        <f t="array" aca="1" ref="AL194" ca="1">IFERROR(IF(OR('Raw Data'!AL194="",LEN(TRIM('Raw Data'!AL194))=0),"",IF(AND(ISNUMBER('Raw Data'!AL194), IFERROR('Raw Data'!AL194 = ROUND('Raw Data'!AL194, 2),FALSE)),"",_xlfn.REGEXEXTRACT(CELL("address",AL194), "\$([A-Z]+)\$[0-9]+"))),_xlfn.REGEXEXTRACT(CELL("address",AL194), "\$([A-Z]+)\$[0-9]+"))</f>
        <v/>
      </c>
      <c r="AM194" s="7" t="str">
        <f t="array" aca="1" ref="AM194" ca="1">IFERROR(IF(OR('Raw Data'!AM194="",LEN(TRIM('Raw Data'!AM194))=0),"",IF(AND(ISNUMBER('Raw Data'!AM194), IFERROR('Raw Data'!AM194 = ROUND('Raw Data'!AM194, 2),FALSE)),"",_xlfn.REGEXEXTRACT(CELL("address",AM194), "\$([A-Z]+)\$[0-9]+"))),_xlfn.REGEXEXTRACT(CELL("address",AM194), "\$([A-Z]+)\$[0-9]+"))</f>
        <v/>
      </c>
      <c r="AN194" s="7" t="str">
        <f t="array" aca="1" ref="AN194" ca="1">IFERROR(IF(OR('Raw Data'!AN194="",LEN(TRIM('Raw Data'!AN194))=0),"",IF(AND(ISNUMBER('Raw Data'!AN194), IFERROR('Raw Data'!AN194 = ROUND('Raw Data'!AN194, 2),FALSE)),"",_xlfn.REGEXEXTRACT(CELL("address",AN194), "\$([A-Z]+)\$[0-9]+"))),_xlfn.REGEXEXTRACT(CELL("address",AN194), "\$([A-Z]+)\$[0-9]+"))</f>
        <v/>
      </c>
      <c r="AO194" s="7" t="str">
        <f t="array" aca="1" ref="AO194" ca="1">IFERROR(IF(OR('Raw Data'!AO194="",LEN(TRIM('Raw Data'!AO194))=0),"",IF(AND(ISNUMBER('Raw Data'!AO194), IFERROR('Raw Data'!AO194 = ROUND('Raw Data'!AO194, 2),FALSE)),"",_xlfn.REGEXEXTRACT(CELL("address",AO194), "\$([A-Z]+)\$[0-9]+"))),_xlfn.REGEXEXTRACT(CELL("address",AO194), "\$([A-Z]+)\$[0-9]+"))</f>
        <v/>
      </c>
      <c r="AP194" s="7" t="str">
        <f t="array" aca="1" ref="AP194" ca="1">IFERROR(IF(OR('Raw Data'!AP194="",LEN(TRIM('Raw Data'!AP194))=0),"",IF(AND(ISNUMBER('Raw Data'!AP194), IFERROR('Raw Data'!AP194 = ROUND('Raw Data'!AP194, 2),FALSE)),"",_xlfn.REGEXEXTRACT(CELL("address",AP194), "\$([A-Z]+)\$[0-9]+"))),_xlfn.REGEXEXTRACT(CELL("address",AP194), "\$([A-Z]+)\$[0-9]+"))</f>
        <v/>
      </c>
    </row>
    <row r="195" spans="2:42" x14ac:dyDescent="0.25">
      <c r="B195" s="7" t="str">
        <f t="array" aca="1" ref="B195" ca="1">IFERROR(IF(OR('Raw Data'!B195="",LEN(TRIM('Raw Data'!B195))=0),"",IF(AND(LEN('Raw Data'!B195) &lt;= 255,LEN('Raw Data'!B195)&gt; 0),"",_xlfn.REGEXEXTRACT(CELL("address",'Raw Data'!B195),"\$([A-Z]+)\$[0-9]+"))),_xlfn.REGEXEXTRACT(CELL("address",'Raw Data'!B195),"\$([A-Z]+)\$[0-9]+"))</f>
        <v/>
      </c>
      <c r="C195" s="7" t="str">
        <f t="array" aca="1" ref="C195" ca="1">IFERROR(IF(OR('Raw Data'!C195="",LEN(TRIM('Raw Data'!C195))=0),"",IF(AND(LEN('Raw Data'!C195) &lt;= 50,LEN('Raw Data'!C195)&gt; 0),"",_xlfn.REGEXEXTRACT(CELL("address",'Raw Data'!C195),"\$([A-Z]+)\$[0-9]+"))),_xlfn.REGEXEXTRACT(CELL("address",'Raw Data'!C195),"\$([A-Z]+)\$[0-9]+"))</f>
        <v/>
      </c>
      <c r="D195" s="7" t="str">
        <f t="array" aca="1" ref="D195" ca="1">IFERROR(IF(OR('Raw Data'!D195="",LEN(TRIM('Raw Data'!D195))=0),"",IF(AND(LEN('Raw Data'!D195) &lt;= 500,LEN('Raw Data'!D195)&gt; 0),"",_xlfn.REGEXEXTRACT(CELL("address",'Raw Data'!D195),"\$([A-Z]+)\$[0-9]+"))),_xlfn.REGEXEXTRACT(CELL("address",'Raw Data'!D195),"\$([A-Z]+)\$[0-9]+"))</f>
        <v/>
      </c>
      <c r="E195" s="7" t="str">
        <f t="array" aca="1" ref="E195" ca="1">IFERROR(IF(OR('Raw Data'!E195="",LEN(TRIM('Raw Data'!E195))=0),"",IF(AND(LEN('Raw Data'!E195) &lt;= 50,LEN('Raw Data'!E195)&gt; 0),"",_xlfn.REGEXEXTRACT(CELL("address",'Raw Data'!E195),"\$([A-Z]+)\$[0-9]+"))),_xlfn.REGEXEXTRACT(CELL("address",'Raw Data'!E195),"\$([A-Z]+)\$[0-9]+"))</f>
        <v/>
      </c>
      <c r="F195" s="7" t="str">
        <f t="array" aca="1" ref="F195" ca="1">IFERROR(IF(OR('Raw Data'!F195="",LEN(TRIM('Raw Data'!F195))=0),"",IF(AND(LEN('Raw Data'!F195) &lt;= 50,LEN('Raw Data'!F195)&gt; 0),"",_xlfn.REGEXEXTRACT(CELL("address",'Raw Data'!F195),"\$([A-Z]+)\$[0-9]+"))),_xlfn.REGEXEXTRACT(CELL("address",'Raw Data'!F195),"\$([A-Z]+)\$[0-9]+"))</f>
        <v/>
      </c>
      <c r="G195" s="7" t="str">
        <f t="array" aca="1" ref="G195" ca="1">IFERROR(IF(OR('Raw Data'!G195="",LEN(TRIM('Raw Data'!G195))=0),"",IF(AND(LEN('Raw Data'!G195) &lt;= 50,LEN('Raw Data'!G195)&gt; 0),"",_xlfn.REGEXEXTRACT(CELL("address",'Raw Data'!G195),"\$([A-Z]+)\$[0-9]+"))),_xlfn.REGEXEXTRACT(CELL("address",'Raw Data'!G195),"\$([A-Z]+)\$[0-9]+"))</f>
        <v/>
      </c>
      <c r="H195" s="7" t="str">
        <f t="array" aca="1" ref="H195" ca="1">IFERROR(IF(OR('Raw Data'!H195="",LEN(TRIM('Raw Data'!H195))=0),"",IF(AND(LEN('Raw Data'!H195) &lt;= 50,LEN('Raw Data'!H195)&gt; 0),"",_xlfn.REGEXEXTRACT(CELL("address",'Raw Data'!H195),"\$([A-Z]+)\$[0-9]+"))),_xlfn.REGEXEXTRACT(CELL("address",'Raw Data'!H195),"\$([A-Z]+)\$[0-9]+"))</f>
        <v/>
      </c>
      <c r="I195" s="7" t="str">
        <f t="array" aca="1" ref="I195" ca="1">IFERROR(IF(OR('Raw Data'!I195="",LEN(TRIM('Raw Data'!I195))=0),"",IF(AND(LEN('Raw Data'!I195) &lt;= 50,LEN('Raw Data'!I195)&gt; 0),"",_xlfn.REGEXEXTRACT(CELL("address",'Raw Data'!I195),"\$([A-Z]+)\$[0-9]+"))),_xlfn.REGEXEXTRACT(CELL("address",'Raw Data'!I195),"\$([A-Z]+)\$[0-9]+"))</f>
        <v/>
      </c>
      <c r="J195" s="7" t="str">
        <f t="array" aca="1" ref="J195" ca="1">IFERROR(IF(OR('Raw Data'!J195="",LEN(TRIM('Raw Data'!J195))=0),"",IF(AND(ISNUMBER('Raw Data'!J195), IFERROR('Raw Data'!J195 = ROUND('Raw Data'!J195, 2),FALSE)),"",_xlfn.REGEXEXTRACT(CELL("address",J195), "\$([A-Z]+)\$[0-9]+"))),_xlfn.REGEXEXTRACT(CELL("address",J195), "\$([A-Z]+)\$[0-9]+"))</f>
        <v/>
      </c>
      <c r="K195" s="7" t="str">
        <f t="array" aca="1" ref="K195" ca="1">IFERROR(IF(OR('Raw Data'!K195="",LEN(TRIM('Raw Data'!K195))=0),"",IF(AND(ISNUMBER('Raw Data'!K195), IFERROR('Raw Data'!K195 = ROUND('Raw Data'!K195, 2),FALSE)),"",_xlfn.REGEXEXTRACT(CELL("address",K195), "\$([A-Z]+)\$[0-9]+"))),_xlfn.REGEXEXTRACT(CELL("address",K195), "\$([A-Z]+)\$[0-9]+"))</f>
        <v/>
      </c>
      <c r="L195" s="7" t="str">
        <f t="array" aca="1" ref="L195" ca="1">IFERROR(IF(OR('Raw Data'!L195="",LEN(TRIM('Raw Data'!L195))=0),"",IF(AND(ISNUMBER('Raw Data'!L195), IFERROR('Raw Data'!L195 = ROUND('Raw Data'!L195, 2),FALSE)),"",_xlfn.REGEXEXTRACT(CELL("address",L195), "\$([A-Z]+)\$[0-9]+"))),_xlfn.REGEXEXTRACT(CELL("address",L195), "\$([A-Z]+)\$[0-9]+"))</f>
        <v/>
      </c>
      <c r="M195" s="7" t="str">
        <f t="array" aca="1" ref="M195" ca="1">IFERROR(IF(OR('Raw Data'!M195="",LEN(TRIM('Raw Data'!M195))=0),"",IF(AND(ISNUMBER('Raw Data'!M195), IFERROR('Raw Data'!M195 = ROUND('Raw Data'!M195, 2),FALSE)),"",_xlfn.REGEXEXTRACT(CELL("address",M195), "\$([A-Z]+)\$[0-9]+"))),_xlfn.REGEXEXTRACT(CELL("address",M195), "\$([A-Z]+)\$[0-9]+"))</f>
        <v/>
      </c>
      <c r="N195" s="7" t="str">
        <f t="array" aca="1" ref="N195" ca="1">IFERROR(IF(OR('Raw Data'!N195="",LEN(TRIM('Raw Data'!N195))=0),"",IF(AND(ISNUMBER('Raw Data'!N195), IFERROR('Raw Data'!N195 = ROUND('Raw Data'!N195, 2),FALSE)),"",_xlfn.REGEXEXTRACT(CELL("address",N195), "\$([A-Z]+)\$[0-9]+"))),_xlfn.REGEXEXTRACT(CELL("address",N195), "\$([A-Z]+)\$[0-9]+"))</f>
        <v/>
      </c>
      <c r="O195" s="7" t="str">
        <f t="array" aca="1" ref="O195" ca="1">IFERROR(IF(OR('Raw Data'!O195="",LEN(TRIM('Raw Data'!O195))=0),"",IF(AND(ISNUMBER('Raw Data'!O195),'Raw Data'!O195&gt;=Configuration!$D$2),"",_xlfn.REGEXEXTRACT(CELL("address",'Raw Data'!O195),"\$([A-Z]+)\$[0-9]+"))),_xlfn.REGEXEXTRACT(CELL("address",O195), "\$([A-Z]+)\$[0-9]+"))</f>
        <v/>
      </c>
      <c r="P195" s="7" t="str">
        <f t="array" aca="1" ref="P195" ca="1">IFERROR(IF(OR('Raw Data'!P195="",LEN(TRIM('Raw Data'!P195))=0),"",IF(AND(ISNUMBER('Raw Data'!P195), IFERROR('Raw Data'!P195 = ROUND('Raw Data'!P195, 2),FALSE)),"",_xlfn.REGEXEXTRACT(CELL("address",P195), "\$([A-Z]+)\$[0-9]+"))),_xlfn.REGEXEXTRACT(CELL("address",P195), "\$([A-Z]+)\$[0-9]+"))</f>
        <v/>
      </c>
      <c r="Q195" s="7" t="str">
        <f t="array" aca="1" ref="Q195" ca="1">IFERROR(IF(OR('Raw Data'!Q195="",LEN(TRIM('Raw Data'!Q195))=0),"",IF(AND(ISNUMBER('Raw Data'!Q195), IFERROR('Raw Data'!Q195 = ROUND('Raw Data'!Q195, 2),FALSE)),"",_xlfn.REGEXEXTRACT(CELL("address",Q195), "\$([A-Z]+)\$[0-9]+"))),_xlfn.REGEXEXTRACT(CELL("address",Q195), "\$([A-Z]+)\$[0-9]+"))</f>
        <v/>
      </c>
      <c r="R195" s="7" t="str">
        <f t="array" aca="1" ref="R195" ca="1">IFERROR(IF(OR('Raw Data'!R195="",LEN(TRIM('Raw Data'!R195))=0),"",IF(AND(LEN('Raw Data'!R195) &lt;= 50,LEN('Raw Data'!R195)&gt; 0),"",_xlfn.REGEXEXTRACT(CELL("address",'Raw Data'!R195),"\$([A-Z]+)\$[0-9]+"))),_xlfn.REGEXEXTRACT(CELL("address",'Raw Data'!R195),"\$([A-Z]+)\$[0-9]+"))</f>
        <v/>
      </c>
      <c r="S195" s="7" t="str">
        <f t="array" aca="1" ref="S195" ca="1">IFERROR(IF(OR('Raw Data'!S195="",LEN(TRIM('Raw Data'!S195))=0),"",IF(AND(LEN('Raw Data'!S195) &lt;= 50,LEN('Raw Data'!S195)&gt; 0),"",_xlfn.REGEXEXTRACT(CELL("address",'Raw Data'!S195),"\$([A-Z]+)\$[0-9]+"))),_xlfn.REGEXEXTRACT(CELL("address",'Raw Data'!S195),"\$([A-Z]+)\$[0-9]+"))</f>
        <v/>
      </c>
      <c r="T195" s="7" t="str">
        <f t="array" aca="1" ref="T195" ca="1">IFERROR(IF(OR('Raw Data'!T195="",LEN(TRIM('Raw Data'!T195))=0),"",IF(AND(ISNUMBER('Raw Data'!T195), IFERROR('Raw Data'!T195 = ROUND('Raw Data'!T195, 2),FALSE)),"",_xlfn.REGEXEXTRACT(CELL("address",T195), "\$([A-Z]+)\$[0-9]+"))),_xlfn.REGEXEXTRACT(CELL("address",T195), "\$([A-Z]+)\$[0-9]+"))</f>
        <v/>
      </c>
      <c r="U195" s="7" t="str">
        <f t="array" aca="1" ref="U195" ca="1">IFERROR(IF(OR('Raw Data'!U195="",LEN(TRIM('Raw Data'!U195))=0),"",IF(AND(ISNUMBER('Raw Data'!U195), IFERROR('Raw Data'!U195 = ROUND('Raw Data'!U195, 2),FALSE)),"",_xlfn.REGEXEXTRACT(CELL("address",U195), "\$([A-Z]+)\$[0-9]+"))),_xlfn.REGEXEXTRACT(CELL("address",U195), "\$([A-Z]+)\$[0-9]+"))</f>
        <v/>
      </c>
      <c r="V195" s="7" t="str">
        <f t="array" aca="1" ref="V195" ca="1">IFERROR(IF(OR('Raw Data'!V195="",LEN(TRIM('Raw Data'!V195))=0),"",IF(AND(ISNUMBER('Raw Data'!V195), IFERROR('Raw Data'!V195 = ROUND('Raw Data'!V195, 2),FALSE)),"",_xlfn.REGEXEXTRACT(CELL("address",V195), "\$([A-Z]+)\$[0-9]+"))),_xlfn.REGEXEXTRACT(CELL("address",V195), "\$([A-Z]+)\$[0-9]+"))</f>
        <v/>
      </c>
      <c r="W195" s="7" t="str">
        <f t="array" aca="1" ref="W195" ca="1">IFERROR(IF(OR('Raw Data'!W195="",LEN(TRIM('Raw Data'!W195))=0),"",IF(AND(ISNUMBER('Raw Data'!W195), IFERROR('Raw Data'!W195 = ROUND('Raw Data'!W195, 2),FALSE)),"",_xlfn.REGEXEXTRACT(CELL("address",W195), "\$([A-Z]+)\$[0-9]+"))),_xlfn.REGEXEXTRACT(CELL("address",W195), "\$([A-Z]+)\$[0-9]+"))</f>
        <v/>
      </c>
      <c r="X195" s="7" t="str">
        <f t="array" aca="1" ref="X195" ca="1">IFERROR(IF(OR('Raw Data'!X195="",LEN(TRIM('Raw Data'!X195))=0),"",IF(AND(ISNUMBER('Raw Data'!X195), IFERROR('Raw Data'!X195 = ROUND('Raw Data'!X195, 2),FALSE)),"",_xlfn.REGEXEXTRACT(CELL("address",X195), "\$([A-Z]+)\$[0-9]+"))),_xlfn.REGEXEXTRACT(CELL("address",X195), "\$([A-Z]+)\$[0-9]+"))</f>
        <v/>
      </c>
      <c r="Y195" s="7" t="str">
        <f t="array" aca="1" ref="Y195" ca="1">IFERROR(IF(OR('Raw Data'!Y195="",LEN(TRIM('Raw Data'!Y195))=0),"",IF(AND(ISNUMBER('Raw Data'!Y195), IFERROR('Raw Data'!Y195 = ROUND('Raw Data'!Y195, 2),FALSE)),"",_xlfn.REGEXEXTRACT(CELL("address",Y195), "\$([A-Z]+)\$[0-9]+"))),_xlfn.REGEXEXTRACT(CELL("address",Y195), "\$([A-Z]+)\$[0-9]+"))</f>
        <v/>
      </c>
      <c r="Z195" s="7" t="str">
        <f t="array" aca="1" ref="Z195" ca="1">IFERROR(IF(OR('Raw Data'!Z195="",LEN(TRIM('Raw Data'!Z195))=0),"",IF(AND(ISNUMBER('Raw Data'!Z195), IFERROR('Raw Data'!Z195 = ROUND('Raw Data'!Z195, 2),FALSE)),"",_xlfn.REGEXEXTRACT(CELL("address",Z195), "\$([A-Z]+)\$[0-9]+"))),_xlfn.REGEXEXTRACT(CELL("address",Z195), "\$([A-Z]+)\$[0-9]+"))</f>
        <v/>
      </c>
      <c r="AA195" s="7" t="str">
        <f t="array" aca="1" ref="AA195" ca="1">IFERROR(IF(OR('Raw Data'!AA195="",LEN(TRIM('Raw Data'!AA195))=0),"",IF(AND(ISNUMBER('Raw Data'!AA195), IFERROR('Raw Data'!AA195 = ROUND('Raw Data'!AA195, 2),FALSE)),"",_xlfn.REGEXEXTRACT(CELL("address",AA195), "\$([A-Z]+)\$[0-9]+"))),_xlfn.REGEXEXTRACT(CELL("address",AA195), "\$([A-Z]+)\$[0-9]+"))</f>
        <v/>
      </c>
      <c r="AB195" s="7" t="str">
        <f t="array" aca="1" ref="AB195" ca="1">IFERROR(IF(OR('Raw Data'!AB195="",LEN(TRIM('Raw Data'!AB195))=0),"",IF(AND(ISNUMBER('Raw Data'!AB195), IFERROR('Raw Data'!AB195 = ROUND('Raw Data'!AB195, 2),FALSE)),"",_xlfn.REGEXEXTRACT(CELL("address",AB195), "\$([A-Z]+)\$[0-9]+"))),_xlfn.REGEXEXTRACT(CELL("address",AB195), "\$([A-Z]+)\$[0-9]+"))</f>
        <v/>
      </c>
      <c r="AC195" s="7" t="str">
        <f t="array" aca="1" ref="AC195" ca="1">IFERROR(IF(OR('Raw Data'!AC195="",LEN(TRIM('Raw Data'!AC195))=0),"",IF(AND(ISNUMBER('Raw Data'!AC195), IFERROR('Raw Data'!AC195 = ROUND('Raw Data'!AC195, 2),FALSE)),"",_xlfn.REGEXEXTRACT(CELL("address",AC195), "\$([A-Z]+)\$[0-9]+"))),_xlfn.REGEXEXTRACT(CELL("address",AC195), "\$([A-Z]+)\$[0-9]+"))</f>
        <v/>
      </c>
      <c r="AD195" s="7" t="str">
        <f t="array" aca="1" ref="AD195" ca="1">IFERROR(IF(OR('Raw Data'!AD195="",LEN(TRIM('Raw Data'!AD195))=0),"",IF(AND(ISNUMBER('Raw Data'!AD195), IFERROR('Raw Data'!AD195 = ROUND('Raw Data'!AD195, 2),FALSE)),"",_xlfn.REGEXEXTRACT(CELL("address",AD195), "\$([A-Z]+)\$[0-9]+"))),_xlfn.REGEXEXTRACT(CELL("address",AD195), "\$([A-Z]+)\$[0-9]+"))</f>
        <v/>
      </c>
      <c r="AE195" s="7" t="str">
        <f t="array" aca="1" ref="AE195" ca="1">IFERROR(IF(OR('Raw Data'!AE195="",LEN(TRIM('Raw Data'!AE195))=0),"",IF(AND(ISNUMBER('Raw Data'!AE195), IFERROR('Raw Data'!AE195 = ROUND('Raw Data'!AE195, 2),FALSE)),"",_xlfn.REGEXEXTRACT(CELL("address",AE195), "\$([A-Z]+)\$[0-9]+"))),_xlfn.REGEXEXTRACT(CELL("address",AE195), "\$([A-Z]+)\$[0-9]+"))</f>
        <v/>
      </c>
      <c r="AF195" s="7" t="str">
        <f t="array" aca="1" ref="AF195" ca="1">IFERROR(IF(OR('Raw Data'!AF195="",LEN(TRIM('Raw Data'!AF195))=0),"",IF(AND(ISNUMBER('Raw Data'!AF195), IFERROR('Raw Data'!AF195 = ROUND('Raw Data'!AF195, 2),FALSE)),"",_xlfn.REGEXEXTRACT(CELL("address",AF195), "\$([A-Z]+)\$[0-9]+"))),_xlfn.REGEXEXTRACT(CELL("address",AF195), "\$([A-Z]+)\$[0-9]+"))</f>
        <v/>
      </c>
      <c r="AG195" s="7" t="str">
        <f t="array" aca="1" ref="AG195" ca="1">IFERROR(IF(OR('Raw Data'!AG195="",LEN(TRIM('Raw Data'!AG195))=0),"",IF(AND(ISNUMBER('Raw Data'!AG195), IFERROR('Raw Data'!AG195 = ROUND('Raw Data'!AG195, 2),FALSE)),"",_xlfn.REGEXEXTRACT(CELL("address",AG195), "\$([A-Z]+)\$[0-9]+"))),_xlfn.REGEXEXTRACT(CELL("address",AG195), "\$([A-Z]+)\$[0-9]+"))</f>
        <v/>
      </c>
      <c r="AH195" s="7" t="str">
        <f t="array" aca="1" ref="AH195" ca="1">IFERROR(IF(OR('Raw Data'!AH195="",LEN(TRIM('Raw Data'!AH195))=0),"",IF(AND(ISNUMBER('Raw Data'!AH195), IFERROR('Raw Data'!AH195 = ROUND('Raw Data'!AH195, 2),FALSE)),"",_xlfn.REGEXEXTRACT(CELL("address",AH195), "\$([A-Z]+)\$[0-9]+"))),_xlfn.REGEXEXTRACT(CELL("address",AH195), "\$([A-Z]+)\$[0-9]+"))</f>
        <v/>
      </c>
      <c r="AI195" s="7" t="str">
        <f t="array" aca="1" ref="AI195" ca="1">IFERROR(IF(OR('Raw Data'!AI195="",LEN(TRIM('Raw Data'!AI195))=0),"",IF(AND(ISNUMBER('Raw Data'!AI195), IFERROR('Raw Data'!AI195 = ROUND('Raw Data'!AI195, 2),FALSE)),"",_xlfn.REGEXEXTRACT(CELL("address",AI195), "\$([A-Z]+)\$[0-9]+"))),_xlfn.REGEXEXTRACT(CELL("address",AI195), "\$([A-Z]+)\$[0-9]+"))</f>
        <v/>
      </c>
      <c r="AJ195" s="7" t="str">
        <f t="array" aca="1" ref="AJ195" ca="1">IFERROR(IF(OR('Raw Data'!AJ195="",LEN(TRIM('Raw Data'!AJ195))=0),"",IF(AND(ISNUMBER('Raw Data'!AJ195), IFERROR('Raw Data'!AJ195 = ROUND('Raw Data'!AJ195, 4),FALSE)),"",_xlfn.REGEXEXTRACT(CELL("address",AJ195), "\$([A-Z]+)\$[0-9]+"))),_xlfn.REGEXEXTRACT(CELL("address",AJ195), "\$([A-Z]+)\$[0-9]+"))</f>
        <v/>
      </c>
      <c r="AK195" s="7" t="str">
        <f t="array" aca="1" ref="AK195" ca="1">IFERROR(IF(OR('Raw Data'!AK195="",LEN(TRIM('Raw Data'!AK195))=0),"",IF(AND(ISNUMBER('Raw Data'!AK195), IFERROR('Raw Data'!AK195 = ROUND('Raw Data'!AK195, 2),FALSE)),"",_xlfn.REGEXEXTRACT(CELL("address",AK195), "\$([A-Z]+)\$[0-9]+"))),_xlfn.REGEXEXTRACT(CELL("address",AK195), "\$([A-Z]+)\$[0-9]+"))</f>
        <v/>
      </c>
      <c r="AL195" s="7" t="str">
        <f t="array" aca="1" ref="AL195" ca="1">IFERROR(IF(OR('Raw Data'!AL195="",LEN(TRIM('Raw Data'!AL195))=0),"",IF(AND(ISNUMBER('Raw Data'!AL195), IFERROR('Raw Data'!AL195 = ROUND('Raw Data'!AL195, 2),FALSE)),"",_xlfn.REGEXEXTRACT(CELL("address",AL195), "\$([A-Z]+)\$[0-9]+"))),_xlfn.REGEXEXTRACT(CELL("address",AL195), "\$([A-Z]+)\$[0-9]+"))</f>
        <v/>
      </c>
      <c r="AM195" s="7" t="str">
        <f t="array" aca="1" ref="AM195" ca="1">IFERROR(IF(OR('Raw Data'!AM195="",LEN(TRIM('Raw Data'!AM195))=0),"",IF(AND(ISNUMBER('Raw Data'!AM195), IFERROR('Raw Data'!AM195 = ROUND('Raw Data'!AM195, 2),FALSE)),"",_xlfn.REGEXEXTRACT(CELL("address",AM195), "\$([A-Z]+)\$[0-9]+"))),_xlfn.REGEXEXTRACT(CELL("address",AM195), "\$([A-Z]+)\$[0-9]+"))</f>
        <v/>
      </c>
      <c r="AN195" s="7" t="str">
        <f t="array" aca="1" ref="AN195" ca="1">IFERROR(IF(OR('Raw Data'!AN195="",LEN(TRIM('Raw Data'!AN195))=0),"",IF(AND(ISNUMBER('Raw Data'!AN195), IFERROR('Raw Data'!AN195 = ROUND('Raw Data'!AN195, 2),FALSE)),"",_xlfn.REGEXEXTRACT(CELL("address",AN195), "\$([A-Z]+)\$[0-9]+"))),_xlfn.REGEXEXTRACT(CELL("address",AN195), "\$([A-Z]+)\$[0-9]+"))</f>
        <v/>
      </c>
      <c r="AO195" s="7" t="str">
        <f t="array" aca="1" ref="AO195" ca="1">IFERROR(IF(OR('Raw Data'!AO195="",LEN(TRIM('Raw Data'!AO195))=0),"",IF(AND(ISNUMBER('Raw Data'!AO195), IFERROR('Raw Data'!AO195 = ROUND('Raw Data'!AO195, 2),FALSE)),"",_xlfn.REGEXEXTRACT(CELL("address",AO195), "\$([A-Z]+)\$[0-9]+"))),_xlfn.REGEXEXTRACT(CELL("address",AO195), "\$([A-Z]+)\$[0-9]+"))</f>
        <v/>
      </c>
      <c r="AP195" s="7" t="str">
        <f t="array" aca="1" ref="AP195" ca="1">IFERROR(IF(OR('Raw Data'!AP195="",LEN(TRIM('Raw Data'!AP195))=0),"",IF(AND(ISNUMBER('Raw Data'!AP195), IFERROR('Raw Data'!AP195 = ROUND('Raw Data'!AP195, 2),FALSE)),"",_xlfn.REGEXEXTRACT(CELL("address",AP195), "\$([A-Z]+)\$[0-9]+"))),_xlfn.REGEXEXTRACT(CELL("address",AP195), "\$([A-Z]+)\$[0-9]+"))</f>
        <v/>
      </c>
    </row>
    <row r="196" spans="2:42" x14ac:dyDescent="0.25">
      <c r="B196" s="7" t="str">
        <f t="array" aca="1" ref="B196" ca="1">IFERROR(IF(OR('Raw Data'!B196="",LEN(TRIM('Raw Data'!B196))=0),"",IF(AND(LEN('Raw Data'!B196) &lt;= 255,LEN('Raw Data'!B196)&gt; 0),"",_xlfn.REGEXEXTRACT(CELL("address",'Raw Data'!B196),"\$([A-Z]+)\$[0-9]+"))),_xlfn.REGEXEXTRACT(CELL("address",'Raw Data'!B196),"\$([A-Z]+)\$[0-9]+"))</f>
        <v/>
      </c>
      <c r="C196" s="7" t="str">
        <f t="array" aca="1" ref="C196" ca="1">IFERROR(IF(OR('Raw Data'!C196="",LEN(TRIM('Raw Data'!C196))=0),"",IF(AND(LEN('Raw Data'!C196) &lt;= 50,LEN('Raw Data'!C196)&gt; 0),"",_xlfn.REGEXEXTRACT(CELL("address",'Raw Data'!C196),"\$([A-Z]+)\$[0-9]+"))),_xlfn.REGEXEXTRACT(CELL("address",'Raw Data'!C196),"\$([A-Z]+)\$[0-9]+"))</f>
        <v/>
      </c>
      <c r="D196" s="7" t="str">
        <f t="array" aca="1" ref="D196" ca="1">IFERROR(IF(OR('Raw Data'!D196="",LEN(TRIM('Raw Data'!D196))=0),"",IF(AND(LEN('Raw Data'!D196) &lt;= 500,LEN('Raw Data'!D196)&gt; 0),"",_xlfn.REGEXEXTRACT(CELL("address",'Raw Data'!D196),"\$([A-Z]+)\$[0-9]+"))),_xlfn.REGEXEXTRACT(CELL("address",'Raw Data'!D196),"\$([A-Z]+)\$[0-9]+"))</f>
        <v/>
      </c>
      <c r="E196" s="7" t="str">
        <f t="array" aca="1" ref="E196" ca="1">IFERROR(IF(OR('Raw Data'!E196="",LEN(TRIM('Raw Data'!E196))=0),"",IF(AND(LEN('Raw Data'!E196) &lt;= 50,LEN('Raw Data'!E196)&gt; 0),"",_xlfn.REGEXEXTRACT(CELL("address",'Raw Data'!E196),"\$([A-Z]+)\$[0-9]+"))),_xlfn.REGEXEXTRACT(CELL("address",'Raw Data'!E196),"\$([A-Z]+)\$[0-9]+"))</f>
        <v/>
      </c>
      <c r="F196" s="7" t="str">
        <f t="array" aca="1" ref="F196" ca="1">IFERROR(IF(OR('Raw Data'!F196="",LEN(TRIM('Raw Data'!F196))=0),"",IF(AND(LEN('Raw Data'!F196) &lt;= 50,LEN('Raw Data'!F196)&gt; 0),"",_xlfn.REGEXEXTRACT(CELL("address",'Raw Data'!F196),"\$([A-Z]+)\$[0-9]+"))),_xlfn.REGEXEXTRACT(CELL("address",'Raw Data'!F196),"\$([A-Z]+)\$[0-9]+"))</f>
        <v/>
      </c>
      <c r="G196" s="7" t="str">
        <f t="array" aca="1" ref="G196" ca="1">IFERROR(IF(OR('Raw Data'!G196="",LEN(TRIM('Raw Data'!G196))=0),"",IF(AND(LEN('Raw Data'!G196) &lt;= 50,LEN('Raw Data'!G196)&gt; 0),"",_xlfn.REGEXEXTRACT(CELL("address",'Raw Data'!G196),"\$([A-Z]+)\$[0-9]+"))),_xlfn.REGEXEXTRACT(CELL("address",'Raw Data'!G196),"\$([A-Z]+)\$[0-9]+"))</f>
        <v/>
      </c>
      <c r="H196" s="7" t="str">
        <f t="array" aca="1" ref="H196" ca="1">IFERROR(IF(OR('Raw Data'!H196="",LEN(TRIM('Raw Data'!H196))=0),"",IF(AND(LEN('Raw Data'!H196) &lt;= 50,LEN('Raw Data'!H196)&gt; 0),"",_xlfn.REGEXEXTRACT(CELL("address",'Raw Data'!H196),"\$([A-Z]+)\$[0-9]+"))),_xlfn.REGEXEXTRACT(CELL("address",'Raw Data'!H196),"\$([A-Z]+)\$[0-9]+"))</f>
        <v/>
      </c>
      <c r="I196" s="7" t="str">
        <f t="array" aca="1" ref="I196" ca="1">IFERROR(IF(OR('Raw Data'!I196="",LEN(TRIM('Raw Data'!I196))=0),"",IF(AND(LEN('Raw Data'!I196) &lt;= 50,LEN('Raw Data'!I196)&gt; 0),"",_xlfn.REGEXEXTRACT(CELL("address",'Raw Data'!I196),"\$([A-Z]+)\$[0-9]+"))),_xlfn.REGEXEXTRACT(CELL("address",'Raw Data'!I196),"\$([A-Z]+)\$[0-9]+"))</f>
        <v/>
      </c>
      <c r="J196" s="7" t="str">
        <f t="array" aca="1" ref="J196" ca="1">IFERROR(IF(OR('Raw Data'!J196="",LEN(TRIM('Raw Data'!J196))=0),"",IF(AND(ISNUMBER('Raw Data'!J196), IFERROR('Raw Data'!J196 = ROUND('Raw Data'!J196, 2),FALSE)),"",_xlfn.REGEXEXTRACT(CELL("address",J196), "\$([A-Z]+)\$[0-9]+"))),_xlfn.REGEXEXTRACT(CELL("address",J196), "\$([A-Z]+)\$[0-9]+"))</f>
        <v/>
      </c>
      <c r="K196" s="7" t="str">
        <f t="array" aca="1" ref="K196" ca="1">IFERROR(IF(OR('Raw Data'!K196="",LEN(TRIM('Raw Data'!K196))=0),"",IF(AND(ISNUMBER('Raw Data'!K196), IFERROR('Raw Data'!K196 = ROUND('Raw Data'!K196, 2),FALSE)),"",_xlfn.REGEXEXTRACT(CELL("address",K196), "\$([A-Z]+)\$[0-9]+"))),_xlfn.REGEXEXTRACT(CELL("address",K196), "\$([A-Z]+)\$[0-9]+"))</f>
        <v/>
      </c>
      <c r="L196" s="7" t="str">
        <f t="array" aca="1" ref="L196" ca="1">IFERROR(IF(OR('Raw Data'!L196="",LEN(TRIM('Raw Data'!L196))=0),"",IF(AND(ISNUMBER('Raw Data'!L196), IFERROR('Raw Data'!L196 = ROUND('Raw Data'!L196, 2),FALSE)),"",_xlfn.REGEXEXTRACT(CELL("address",L196), "\$([A-Z]+)\$[0-9]+"))),_xlfn.REGEXEXTRACT(CELL("address",L196), "\$([A-Z]+)\$[0-9]+"))</f>
        <v/>
      </c>
      <c r="M196" s="7" t="str">
        <f t="array" aca="1" ref="M196" ca="1">IFERROR(IF(OR('Raw Data'!M196="",LEN(TRIM('Raw Data'!M196))=0),"",IF(AND(ISNUMBER('Raw Data'!M196), IFERROR('Raw Data'!M196 = ROUND('Raw Data'!M196, 2),FALSE)),"",_xlfn.REGEXEXTRACT(CELL("address",M196), "\$([A-Z]+)\$[0-9]+"))),_xlfn.REGEXEXTRACT(CELL("address",M196), "\$([A-Z]+)\$[0-9]+"))</f>
        <v/>
      </c>
      <c r="N196" s="7" t="str">
        <f t="array" aca="1" ref="N196" ca="1">IFERROR(IF(OR('Raw Data'!N196="",LEN(TRIM('Raw Data'!N196))=0),"",IF(AND(ISNUMBER('Raw Data'!N196), IFERROR('Raw Data'!N196 = ROUND('Raw Data'!N196, 2),FALSE)),"",_xlfn.REGEXEXTRACT(CELL("address",N196), "\$([A-Z]+)\$[0-9]+"))),_xlfn.REGEXEXTRACT(CELL("address",N196), "\$([A-Z]+)\$[0-9]+"))</f>
        <v/>
      </c>
      <c r="O196" s="7" t="str">
        <f t="array" aca="1" ref="O196" ca="1">IFERROR(IF(OR('Raw Data'!O196="",LEN(TRIM('Raw Data'!O196))=0),"",IF(AND(ISNUMBER('Raw Data'!O196),'Raw Data'!O196&gt;=Configuration!$D$2),"",_xlfn.REGEXEXTRACT(CELL("address",'Raw Data'!O196),"\$([A-Z]+)\$[0-9]+"))),_xlfn.REGEXEXTRACT(CELL("address",O196), "\$([A-Z]+)\$[0-9]+"))</f>
        <v/>
      </c>
      <c r="P196" s="7" t="str">
        <f t="array" aca="1" ref="P196" ca="1">IFERROR(IF(OR('Raw Data'!P196="",LEN(TRIM('Raw Data'!P196))=0),"",IF(AND(ISNUMBER('Raw Data'!P196), IFERROR('Raw Data'!P196 = ROUND('Raw Data'!P196, 2),FALSE)),"",_xlfn.REGEXEXTRACT(CELL("address",P196), "\$([A-Z]+)\$[0-9]+"))),_xlfn.REGEXEXTRACT(CELL("address",P196), "\$([A-Z]+)\$[0-9]+"))</f>
        <v/>
      </c>
      <c r="Q196" s="7" t="str">
        <f t="array" aca="1" ref="Q196" ca="1">IFERROR(IF(OR('Raw Data'!Q196="",LEN(TRIM('Raw Data'!Q196))=0),"",IF(AND(ISNUMBER('Raw Data'!Q196), IFERROR('Raw Data'!Q196 = ROUND('Raw Data'!Q196, 2),FALSE)),"",_xlfn.REGEXEXTRACT(CELL("address",Q196), "\$([A-Z]+)\$[0-9]+"))),_xlfn.REGEXEXTRACT(CELL("address",Q196), "\$([A-Z]+)\$[0-9]+"))</f>
        <v/>
      </c>
      <c r="R196" s="7" t="str">
        <f t="array" aca="1" ref="R196" ca="1">IFERROR(IF(OR('Raw Data'!R196="",LEN(TRIM('Raw Data'!R196))=0),"",IF(AND(LEN('Raw Data'!R196) &lt;= 50,LEN('Raw Data'!R196)&gt; 0),"",_xlfn.REGEXEXTRACT(CELL("address",'Raw Data'!R196),"\$([A-Z]+)\$[0-9]+"))),_xlfn.REGEXEXTRACT(CELL("address",'Raw Data'!R196),"\$([A-Z]+)\$[0-9]+"))</f>
        <v/>
      </c>
      <c r="S196" s="7" t="str">
        <f t="array" aca="1" ref="S196" ca="1">IFERROR(IF(OR('Raw Data'!S196="",LEN(TRIM('Raw Data'!S196))=0),"",IF(AND(LEN('Raw Data'!S196) &lt;= 50,LEN('Raw Data'!S196)&gt; 0),"",_xlfn.REGEXEXTRACT(CELL("address",'Raw Data'!S196),"\$([A-Z]+)\$[0-9]+"))),_xlfn.REGEXEXTRACT(CELL("address",'Raw Data'!S196),"\$([A-Z]+)\$[0-9]+"))</f>
        <v/>
      </c>
      <c r="T196" s="7" t="str">
        <f t="array" aca="1" ref="T196" ca="1">IFERROR(IF(OR('Raw Data'!T196="",LEN(TRIM('Raw Data'!T196))=0),"",IF(AND(ISNUMBER('Raw Data'!T196), IFERROR('Raw Data'!T196 = ROUND('Raw Data'!T196, 2),FALSE)),"",_xlfn.REGEXEXTRACT(CELL("address",T196), "\$([A-Z]+)\$[0-9]+"))),_xlfn.REGEXEXTRACT(CELL("address",T196), "\$([A-Z]+)\$[0-9]+"))</f>
        <v/>
      </c>
      <c r="U196" s="7" t="str">
        <f t="array" aca="1" ref="U196" ca="1">IFERROR(IF(OR('Raw Data'!U196="",LEN(TRIM('Raw Data'!U196))=0),"",IF(AND(ISNUMBER('Raw Data'!U196), IFERROR('Raw Data'!U196 = ROUND('Raw Data'!U196, 2),FALSE)),"",_xlfn.REGEXEXTRACT(CELL("address",U196), "\$([A-Z]+)\$[0-9]+"))),_xlfn.REGEXEXTRACT(CELL("address",U196), "\$([A-Z]+)\$[0-9]+"))</f>
        <v/>
      </c>
      <c r="V196" s="7" t="str">
        <f t="array" aca="1" ref="V196" ca="1">IFERROR(IF(OR('Raw Data'!V196="",LEN(TRIM('Raw Data'!V196))=0),"",IF(AND(ISNUMBER('Raw Data'!V196), IFERROR('Raw Data'!V196 = ROUND('Raw Data'!V196, 2),FALSE)),"",_xlfn.REGEXEXTRACT(CELL("address",V196), "\$([A-Z]+)\$[0-9]+"))),_xlfn.REGEXEXTRACT(CELL("address",V196), "\$([A-Z]+)\$[0-9]+"))</f>
        <v/>
      </c>
      <c r="W196" s="7" t="str">
        <f t="array" aca="1" ref="W196" ca="1">IFERROR(IF(OR('Raw Data'!W196="",LEN(TRIM('Raw Data'!W196))=0),"",IF(AND(ISNUMBER('Raw Data'!W196), IFERROR('Raw Data'!W196 = ROUND('Raw Data'!W196, 2),FALSE)),"",_xlfn.REGEXEXTRACT(CELL("address",W196), "\$([A-Z]+)\$[0-9]+"))),_xlfn.REGEXEXTRACT(CELL("address",W196), "\$([A-Z]+)\$[0-9]+"))</f>
        <v/>
      </c>
      <c r="X196" s="7" t="str">
        <f t="array" aca="1" ref="X196" ca="1">IFERROR(IF(OR('Raw Data'!X196="",LEN(TRIM('Raw Data'!X196))=0),"",IF(AND(ISNUMBER('Raw Data'!X196), IFERROR('Raw Data'!X196 = ROUND('Raw Data'!X196, 2),FALSE)),"",_xlfn.REGEXEXTRACT(CELL("address",X196), "\$([A-Z]+)\$[0-9]+"))),_xlfn.REGEXEXTRACT(CELL("address",X196), "\$([A-Z]+)\$[0-9]+"))</f>
        <v/>
      </c>
      <c r="Y196" s="7" t="str">
        <f t="array" aca="1" ref="Y196" ca="1">IFERROR(IF(OR('Raw Data'!Y196="",LEN(TRIM('Raw Data'!Y196))=0),"",IF(AND(ISNUMBER('Raw Data'!Y196), IFERROR('Raw Data'!Y196 = ROUND('Raw Data'!Y196, 2),FALSE)),"",_xlfn.REGEXEXTRACT(CELL("address",Y196), "\$([A-Z]+)\$[0-9]+"))),_xlfn.REGEXEXTRACT(CELL("address",Y196), "\$([A-Z]+)\$[0-9]+"))</f>
        <v/>
      </c>
      <c r="Z196" s="7" t="str">
        <f t="array" aca="1" ref="Z196" ca="1">IFERROR(IF(OR('Raw Data'!Z196="",LEN(TRIM('Raw Data'!Z196))=0),"",IF(AND(ISNUMBER('Raw Data'!Z196), IFERROR('Raw Data'!Z196 = ROUND('Raw Data'!Z196, 2),FALSE)),"",_xlfn.REGEXEXTRACT(CELL("address",Z196), "\$([A-Z]+)\$[0-9]+"))),_xlfn.REGEXEXTRACT(CELL("address",Z196), "\$([A-Z]+)\$[0-9]+"))</f>
        <v/>
      </c>
      <c r="AA196" s="7" t="str">
        <f t="array" aca="1" ref="AA196" ca="1">IFERROR(IF(OR('Raw Data'!AA196="",LEN(TRIM('Raw Data'!AA196))=0),"",IF(AND(ISNUMBER('Raw Data'!AA196), IFERROR('Raw Data'!AA196 = ROUND('Raw Data'!AA196, 2),FALSE)),"",_xlfn.REGEXEXTRACT(CELL("address",AA196), "\$([A-Z]+)\$[0-9]+"))),_xlfn.REGEXEXTRACT(CELL("address",AA196), "\$([A-Z]+)\$[0-9]+"))</f>
        <v/>
      </c>
      <c r="AB196" s="7" t="str">
        <f t="array" aca="1" ref="AB196" ca="1">IFERROR(IF(OR('Raw Data'!AB196="",LEN(TRIM('Raw Data'!AB196))=0),"",IF(AND(ISNUMBER('Raw Data'!AB196), IFERROR('Raw Data'!AB196 = ROUND('Raw Data'!AB196, 2),FALSE)),"",_xlfn.REGEXEXTRACT(CELL("address",AB196), "\$([A-Z]+)\$[0-9]+"))),_xlfn.REGEXEXTRACT(CELL("address",AB196), "\$([A-Z]+)\$[0-9]+"))</f>
        <v/>
      </c>
      <c r="AC196" s="7" t="str">
        <f t="array" aca="1" ref="AC196" ca="1">IFERROR(IF(OR('Raw Data'!AC196="",LEN(TRIM('Raw Data'!AC196))=0),"",IF(AND(ISNUMBER('Raw Data'!AC196), IFERROR('Raw Data'!AC196 = ROUND('Raw Data'!AC196, 2),FALSE)),"",_xlfn.REGEXEXTRACT(CELL("address",AC196), "\$([A-Z]+)\$[0-9]+"))),_xlfn.REGEXEXTRACT(CELL("address",AC196), "\$([A-Z]+)\$[0-9]+"))</f>
        <v/>
      </c>
      <c r="AD196" s="7" t="str">
        <f t="array" aca="1" ref="AD196" ca="1">IFERROR(IF(OR('Raw Data'!AD196="",LEN(TRIM('Raw Data'!AD196))=0),"",IF(AND(ISNUMBER('Raw Data'!AD196), IFERROR('Raw Data'!AD196 = ROUND('Raw Data'!AD196, 2),FALSE)),"",_xlfn.REGEXEXTRACT(CELL("address",AD196), "\$([A-Z]+)\$[0-9]+"))),_xlfn.REGEXEXTRACT(CELL("address",AD196), "\$([A-Z]+)\$[0-9]+"))</f>
        <v/>
      </c>
      <c r="AE196" s="7" t="str">
        <f t="array" aca="1" ref="AE196" ca="1">IFERROR(IF(OR('Raw Data'!AE196="",LEN(TRIM('Raw Data'!AE196))=0),"",IF(AND(ISNUMBER('Raw Data'!AE196), IFERROR('Raw Data'!AE196 = ROUND('Raw Data'!AE196, 2),FALSE)),"",_xlfn.REGEXEXTRACT(CELL("address",AE196), "\$([A-Z]+)\$[0-9]+"))),_xlfn.REGEXEXTRACT(CELL("address",AE196), "\$([A-Z]+)\$[0-9]+"))</f>
        <v/>
      </c>
      <c r="AF196" s="7" t="str">
        <f t="array" aca="1" ref="AF196" ca="1">IFERROR(IF(OR('Raw Data'!AF196="",LEN(TRIM('Raw Data'!AF196))=0),"",IF(AND(ISNUMBER('Raw Data'!AF196), IFERROR('Raw Data'!AF196 = ROUND('Raw Data'!AF196, 2),FALSE)),"",_xlfn.REGEXEXTRACT(CELL("address",AF196), "\$([A-Z]+)\$[0-9]+"))),_xlfn.REGEXEXTRACT(CELL("address",AF196), "\$([A-Z]+)\$[0-9]+"))</f>
        <v/>
      </c>
      <c r="AG196" s="7" t="str">
        <f t="array" aca="1" ref="AG196" ca="1">IFERROR(IF(OR('Raw Data'!AG196="",LEN(TRIM('Raw Data'!AG196))=0),"",IF(AND(ISNUMBER('Raw Data'!AG196), IFERROR('Raw Data'!AG196 = ROUND('Raw Data'!AG196, 2),FALSE)),"",_xlfn.REGEXEXTRACT(CELL("address",AG196), "\$([A-Z]+)\$[0-9]+"))),_xlfn.REGEXEXTRACT(CELL("address",AG196), "\$([A-Z]+)\$[0-9]+"))</f>
        <v/>
      </c>
      <c r="AH196" s="7" t="str">
        <f t="array" aca="1" ref="AH196" ca="1">IFERROR(IF(OR('Raw Data'!AH196="",LEN(TRIM('Raw Data'!AH196))=0),"",IF(AND(ISNUMBER('Raw Data'!AH196), IFERROR('Raw Data'!AH196 = ROUND('Raw Data'!AH196, 2),FALSE)),"",_xlfn.REGEXEXTRACT(CELL("address",AH196), "\$([A-Z]+)\$[0-9]+"))),_xlfn.REGEXEXTRACT(CELL("address",AH196), "\$([A-Z]+)\$[0-9]+"))</f>
        <v/>
      </c>
      <c r="AI196" s="7" t="str">
        <f t="array" aca="1" ref="AI196" ca="1">IFERROR(IF(OR('Raw Data'!AI196="",LEN(TRIM('Raw Data'!AI196))=0),"",IF(AND(ISNUMBER('Raw Data'!AI196), IFERROR('Raw Data'!AI196 = ROUND('Raw Data'!AI196, 2),FALSE)),"",_xlfn.REGEXEXTRACT(CELL("address",AI196), "\$([A-Z]+)\$[0-9]+"))),_xlfn.REGEXEXTRACT(CELL("address",AI196), "\$([A-Z]+)\$[0-9]+"))</f>
        <v/>
      </c>
      <c r="AJ196" s="7" t="str">
        <f t="array" aca="1" ref="AJ196" ca="1">IFERROR(IF(OR('Raw Data'!AJ196="",LEN(TRIM('Raw Data'!AJ196))=0),"",IF(AND(ISNUMBER('Raw Data'!AJ196), IFERROR('Raw Data'!AJ196 = ROUND('Raw Data'!AJ196, 4),FALSE)),"",_xlfn.REGEXEXTRACT(CELL("address",AJ196), "\$([A-Z]+)\$[0-9]+"))),_xlfn.REGEXEXTRACT(CELL("address",AJ196), "\$([A-Z]+)\$[0-9]+"))</f>
        <v/>
      </c>
      <c r="AK196" s="7" t="str">
        <f t="array" aca="1" ref="AK196" ca="1">IFERROR(IF(OR('Raw Data'!AK196="",LEN(TRIM('Raw Data'!AK196))=0),"",IF(AND(ISNUMBER('Raw Data'!AK196), IFERROR('Raw Data'!AK196 = ROUND('Raw Data'!AK196, 2),FALSE)),"",_xlfn.REGEXEXTRACT(CELL("address",AK196), "\$([A-Z]+)\$[0-9]+"))),_xlfn.REGEXEXTRACT(CELL("address",AK196), "\$([A-Z]+)\$[0-9]+"))</f>
        <v/>
      </c>
      <c r="AL196" s="7" t="str">
        <f t="array" aca="1" ref="AL196" ca="1">IFERROR(IF(OR('Raw Data'!AL196="",LEN(TRIM('Raw Data'!AL196))=0),"",IF(AND(ISNUMBER('Raw Data'!AL196), IFERROR('Raw Data'!AL196 = ROUND('Raw Data'!AL196, 2),FALSE)),"",_xlfn.REGEXEXTRACT(CELL("address",AL196), "\$([A-Z]+)\$[0-9]+"))),_xlfn.REGEXEXTRACT(CELL("address",AL196), "\$([A-Z]+)\$[0-9]+"))</f>
        <v/>
      </c>
      <c r="AM196" s="7" t="str">
        <f t="array" aca="1" ref="AM196" ca="1">IFERROR(IF(OR('Raw Data'!AM196="",LEN(TRIM('Raw Data'!AM196))=0),"",IF(AND(ISNUMBER('Raw Data'!AM196), IFERROR('Raw Data'!AM196 = ROUND('Raw Data'!AM196, 2),FALSE)),"",_xlfn.REGEXEXTRACT(CELL("address",AM196), "\$([A-Z]+)\$[0-9]+"))),_xlfn.REGEXEXTRACT(CELL("address",AM196), "\$([A-Z]+)\$[0-9]+"))</f>
        <v/>
      </c>
      <c r="AN196" s="7" t="str">
        <f t="array" aca="1" ref="AN196" ca="1">IFERROR(IF(OR('Raw Data'!AN196="",LEN(TRIM('Raw Data'!AN196))=0),"",IF(AND(ISNUMBER('Raw Data'!AN196), IFERROR('Raw Data'!AN196 = ROUND('Raw Data'!AN196, 2),FALSE)),"",_xlfn.REGEXEXTRACT(CELL("address",AN196), "\$([A-Z]+)\$[0-9]+"))),_xlfn.REGEXEXTRACT(CELL("address",AN196), "\$([A-Z]+)\$[0-9]+"))</f>
        <v/>
      </c>
      <c r="AO196" s="7" t="str">
        <f t="array" aca="1" ref="AO196" ca="1">IFERROR(IF(OR('Raw Data'!AO196="",LEN(TRIM('Raw Data'!AO196))=0),"",IF(AND(ISNUMBER('Raw Data'!AO196), IFERROR('Raw Data'!AO196 = ROUND('Raw Data'!AO196, 2),FALSE)),"",_xlfn.REGEXEXTRACT(CELL("address",AO196), "\$([A-Z]+)\$[0-9]+"))),_xlfn.REGEXEXTRACT(CELL("address",AO196), "\$([A-Z]+)\$[0-9]+"))</f>
        <v/>
      </c>
      <c r="AP196" s="7" t="str">
        <f t="array" aca="1" ref="AP196" ca="1">IFERROR(IF(OR('Raw Data'!AP196="",LEN(TRIM('Raw Data'!AP196))=0),"",IF(AND(ISNUMBER('Raw Data'!AP196), IFERROR('Raw Data'!AP196 = ROUND('Raw Data'!AP196, 2),FALSE)),"",_xlfn.REGEXEXTRACT(CELL("address",AP196), "\$([A-Z]+)\$[0-9]+"))),_xlfn.REGEXEXTRACT(CELL("address",AP196), "\$([A-Z]+)\$[0-9]+"))</f>
        <v/>
      </c>
    </row>
    <row r="197" spans="2:42" x14ac:dyDescent="0.25">
      <c r="B197" s="7" t="str">
        <f t="array" aca="1" ref="B197" ca="1">IFERROR(IF(OR('Raw Data'!B197="",LEN(TRIM('Raw Data'!B197))=0),"",IF(AND(LEN('Raw Data'!B197) &lt;= 255,LEN('Raw Data'!B197)&gt; 0),"",_xlfn.REGEXEXTRACT(CELL("address",'Raw Data'!B197),"\$([A-Z]+)\$[0-9]+"))),_xlfn.REGEXEXTRACT(CELL("address",'Raw Data'!B197),"\$([A-Z]+)\$[0-9]+"))</f>
        <v/>
      </c>
      <c r="C197" s="7" t="str">
        <f t="array" aca="1" ref="C197" ca="1">IFERROR(IF(OR('Raw Data'!C197="",LEN(TRIM('Raw Data'!C197))=0),"",IF(AND(LEN('Raw Data'!C197) &lt;= 50,LEN('Raw Data'!C197)&gt; 0),"",_xlfn.REGEXEXTRACT(CELL("address",'Raw Data'!C197),"\$([A-Z]+)\$[0-9]+"))),_xlfn.REGEXEXTRACT(CELL("address",'Raw Data'!C197),"\$([A-Z]+)\$[0-9]+"))</f>
        <v/>
      </c>
      <c r="D197" s="7" t="str">
        <f t="array" aca="1" ref="D197" ca="1">IFERROR(IF(OR('Raw Data'!D197="",LEN(TRIM('Raw Data'!D197))=0),"",IF(AND(LEN('Raw Data'!D197) &lt;= 500,LEN('Raw Data'!D197)&gt; 0),"",_xlfn.REGEXEXTRACT(CELL("address",'Raw Data'!D197),"\$([A-Z]+)\$[0-9]+"))),_xlfn.REGEXEXTRACT(CELL("address",'Raw Data'!D197),"\$([A-Z]+)\$[0-9]+"))</f>
        <v/>
      </c>
      <c r="E197" s="7" t="str">
        <f t="array" aca="1" ref="E197" ca="1">IFERROR(IF(OR('Raw Data'!E197="",LEN(TRIM('Raw Data'!E197))=0),"",IF(AND(LEN('Raw Data'!E197) &lt;= 50,LEN('Raw Data'!E197)&gt; 0),"",_xlfn.REGEXEXTRACT(CELL("address",'Raw Data'!E197),"\$([A-Z]+)\$[0-9]+"))),_xlfn.REGEXEXTRACT(CELL("address",'Raw Data'!E197),"\$([A-Z]+)\$[0-9]+"))</f>
        <v/>
      </c>
      <c r="F197" s="7" t="str">
        <f t="array" aca="1" ref="F197" ca="1">IFERROR(IF(OR('Raw Data'!F197="",LEN(TRIM('Raw Data'!F197))=0),"",IF(AND(LEN('Raw Data'!F197) &lt;= 50,LEN('Raw Data'!F197)&gt; 0),"",_xlfn.REGEXEXTRACT(CELL("address",'Raw Data'!F197),"\$([A-Z]+)\$[0-9]+"))),_xlfn.REGEXEXTRACT(CELL("address",'Raw Data'!F197),"\$([A-Z]+)\$[0-9]+"))</f>
        <v/>
      </c>
      <c r="G197" s="7" t="str">
        <f t="array" aca="1" ref="G197" ca="1">IFERROR(IF(OR('Raw Data'!G197="",LEN(TRIM('Raw Data'!G197))=0),"",IF(AND(LEN('Raw Data'!G197) &lt;= 50,LEN('Raw Data'!G197)&gt; 0),"",_xlfn.REGEXEXTRACT(CELL("address",'Raw Data'!G197),"\$([A-Z]+)\$[0-9]+"))),_xlfn.REGEXEXTRACT(CELL("address",'Raw Data'!G197),"\$([A-Z]+)\$[0-9]+"))</f>
        <v/>
      </c>
      <c r="H197" s="7" t="str">
        <f t="array" aca="1" ref="H197" ca="1">IFERROR(IF(OR('Raw Data'!H197="",LEN(TRIM('Raw Data'!H197))=0),"",IF(AND(LEN('Raw Data'!H197) &lt;= 50,LEN('Raw Data'!H197)&gt; 0),"",_xlfn.REGEXEXTRACT(CELL("address",'Raw Data'!H197),"\$([A-Z]+)\$[0-9]+"))),_xlfn.REGEXEXTRACT(CELL("address",'Raw Data'!H197),"\$([A-Z]+)\$[0-9]+"))</f>
        <v/>
      </c>
      <c r="I197" s="7" t="str">
        <f t="array" aca="1" ref="I197" ca="1">IFERROR(IF(OR('Raw Data'!I197="",LEN(TRIM('Raw Data'!I197))=0),"",IF(AND(LEN('Raw Data'!I197) &lt;= 50,LEN('Raw Data'!I197)&gt; 0),"",_xlfn.REGEXEXTRACT(CELL("address",'Raw Data'!I197),"\$([A-Z]+)\$[0-9]+"))),_xlfn.REGEXEXTRACT(CELL("address",'Raw Data'!I197),"\$([A-Z]+)\$[0-9]+"))</f>
        <v/>
      </c>
      <c r="J197" s="7" t="str">
        <f t="array" aca="1" ref="J197" ca="1">IFERROR(IF(OR('Raw Data'!J197="",LEN(TRIM('Raw Data'!J197))=0),"",IF(AND(ISNUMBER('Raw Data'!J197), IFERROR('Raw Data'!J197 = ROUND('Raw Data'!J197, 2),FALSE)),"",_xlfn.REGEXEXTRACT(CELL("address",J197), "\$([A-Z]+)\$[0-9]+"))),_xlfn.REGEXEXTRACT(CELL("address",J197), "\$([A-Z]+)\$[0-9]+"))</f>
        <v/>
      </c>
      <c r="K197" s="7" t="str">
        <f t="array" aca="1" ref="K197" ca="1">IFERROR(IF(OR('Raw Data'!K197="",LEN(TRIM('Raw Data'!K197))=0),"",IF(AND(ISNUMBER('Raw Data'!K197), IFERROR('Raw Data'!K197 = ROUND('Raw Data'!K197, 2),FALSE)),"",_xlfn.REGEXEXTRACT(CELL("address",K197), "\$([A-Z]+)\$[0-9]+"))),_xlfn.REGEXEXTRACT(CELL("address",K197), "\$([A-Z]+)\$[0-9]+"))</f>
        <v/>
      </c>
      <c r="L197" s="7" t="str">
        <f t="array" aca="1" ref="L197" ca="1">IFERROR(IF(OR('Raw Data'!L197="",LEN(TRIM('Raw Data'!L197))=0),"",IF(AND(ISNUMBER('Raw Data'!L197), IFERROR('Raw Data'!L197 = ROUND('Raw Data'!L197, 2),FALSE)),"",_xlfn.REGEXEXTRACT(CELL("address",L197), "\$([A-Z]+)\$[0-9]+"))),_xlfn.REGEXEXTRACT(CELL("address",L197), "\$([A-Z]+)\$[0-9]+"))</f>
        <v/>
      </c>
      <c r="M197" s="7" t="str">
        <f t="array" aca="1" ref="M197" ca="1">IFERROR(IF(OR('Raw Data'!M197="",LEN(TRIM('Raw Data'!M197))=0),"",IF(AND(ISNUMBER('Raw Data'!M197), IFERROR('Raw Data'!M197 = ROUND('Raw Data'!M197, 2),FALSE)),"",_xlfn.REGEXEXTRACT(CELL("address",M197), "\$([A-Z]+)\$[0-9]+"))),_xlfn.REGEXEXTRACT(CELL("address",M197), "\$([A-Z]+)\$[0-9]+"))</f>
        <v/>
      </c>
      <c r="N197" s="7" t="str">
        <f t="array" aca="1" ref="N197" ca="1">IFERROR(IF(OR('Raw Data'!N197="",LEN(TRIM('Raw Data'!N197))=0),"",IF(AND(ISNUMBER('Raw Data'!N197), IFERROR('Raw Data'!N197 = ROUND('Raw Data'!N197, 2),FALSE)),"",_xlfn.REGEXEXTRACT(CELL("address",N197), "\$([A-Z]+)\$[0-9]+"))),_xlfn.REGEXEXTRACT(CELL("address",N197), "\$([A-Z]+)\$[0-9]+"))</f>
        <v/>
      </c>
      <c r="O197" s="7" t="str">
        <f t="array" aca="1" ref="O197" ca="1">IFERROR(IF(OR('Raw Data'!O197="",LEN(TRIM('Raw Data'!O197))=0),"",IF(AND(ISNUMBER('Raw Data'!O197),'Raw Data'!O197&gt;=Configuration!$D$2),"",_xlfn.REGEXEXTRACT(CELL("address",'Raw Data'!O197),"\$([A-Z]+)\$[0-9]+"))),_xlfn.REGEXEXTRACT(CELL("address",O197), "\$([A-Z]+)\$[0-9]+"))</f>
        <v/>
      </c>
      <c r="P197" s="7" t="str">
        <f t="array" aca="1" ref="P197" ca="1">IFERROR(IF(OR('Raw Data'!P197="",LEN(TRIM('Raw Data'!P197))=0),"",IF(AND(ISNUMBER('Raw Data'!P197), IFERROR('Raw Data'!P197 = ROUND('Raw Data'!P197, 2),FALSE)),"",_xlfn.REGEXEXTRACT(CELL("address",P197), "\$([A-Z]+)\$[0-9]+"))),_xlfn.REGEXEXTRACT(CELL("address",P197), "\$([A-Z]+)\$[0-9]+"))</f>
        <v/>
      </c>
      <c r="Q197" s="7" t="str">
        <f t="array" aca="1" ref="Q197" ca="1">IFERROR(IF(OR('Raw Data'!Q197="",LEN(TRIM('Raw Data'!Q197))=0),"",IF(AND(ISNUMBER('Raw Data'!Q197), IFERROR('Raw Data'!Q197 = ROUND('Raw Data'!Q197, 2),FALSE)),"",_xlfn.REGEXEXTRACT(CELL("address",Q197), "\$([A-Z]+)\$[0-9]+"))),_xlfn.REGEXEXTRACT(CELL("address",Q197), "\$([A-Z]+)\$[0-9]+"))</f>
        <v/>
      </c>
      <c r="R197" s="7" t="str">
        <f t="array" aca="1" ref="R197" ca="1">IFERROR(IF(OR('Raw Data'!R197="",LEN(TRIM('Raw Data'!R197))=0),"",IF(AND(LEN('Raw Data'!R197) &lt;= 50,LEN('Raw Data'!R197)&gt; 0),"",_xlfn.REGEXEXTRACT(CELL("address",'Raw Data'!R197),"\$([A-Z]+)\$[0-9]+"))),_xlfn.REGEXEXTRACT(CELL("address",'Raw Data'!R197),"\$([A-Z]+)\$[0-9]+"))</f>
        <v/>
      </c>
      <c r="S197" s="7" t="str">
        <f t="array" aca="1" ref="S197" ca="1">IFERROR(IF(OR('Raw Data'!S197="",LEN(TRIM('Raw Data'!S197))=0),"",IF(AND(LEN('Raw Data'!S197) &lt;= 50,LEN('Raw Data'!S197)&gt; 0),"",_xlfn.REGEXEXTRACT(CELL("address",'Raw Data'!S197),"\$([A-Z]+)\$[0-9]+"))),_xlfn.REGEXEXTRACT(CELL("address",'Raw Data'!S197),"\$([A-Z]+)\$[0-9]+"))</f>
        <v/>
      </c>
      <c r="T197" s="7" t="str">
        <f t="array" aca="1" ref="T197" ca="1">IFERROR(IF(OR('Raw Data'!T197="",LEN(TRIM('Raw Data'!T197))=0),"",IF(AND(ISNUMBER('Raw Data'!T197), IFERROR('Raw Data'!T197 = ROUND('Raw Data'!T197, 2),FALSE)),"",_xlfn.REGEXEXTRACT(CELL("address",T197), "\$([A-Z]+)\$[0-9]+"))),_xlfn.REGEXEXTRACT(CELL("address",T197), "\$([A-Z]+)\$[0-9]+"))</f>
        <v/>
      </c>
      <c r="U197" s="7" t="str">
        <f t="array" aca="1" ref="U197" ca="1">IFERROR(IF(OR('Raw Data'!U197="",LEN(TRIM('Raw Data'!U197))=0),"",IF(AND(ISNUMBER('Raw Data'!U197), IFERROR('Raw Data'!U197 = ROUND('Raw Data'!U197, 2),FALSE)),"",_xlfn.REGEXEXTRACT(CELL("address",U197), "\$([A-Z]+)\$[0-9]+"))),_xlfn.REGEXEXTRACT(CELL("address",U197), "\$([A-Z]+)\$[0-9]+"))</f>
        <v/>
      </c>
      <c r="V197" s="7" t="str">
        <f t="array" aca="1" ref="V197" ca="1">IFERROR(IF(OR('Raw Data'!V197="",LEN(TRIM('Raw Data'!V197))=0),"",IF(AND(ISNUMBER('Raw Data'!V197), IFERROR('Raw Data'!V197 = ROUND('Raw Data'!V197, 2),FALSE)),"",_xlfn.REGEXEXTRACT(CELL("address",V197), "\$([A-Z]+)\$[0-9]+"))),_xlfn.REGEXEXTRACT(CELL("address",V197), "\$([A-Z]+)\$[0-9]+"))</f>
        <v/>
      </c>
      <c r="W197" s="7" t="str">
        <f t="array" aca="1" ref="W197" ca="1">IFERROR(IF(OR('Raw Data'!W197="",LEN(TRIM('Raw Data'!W197))=0),"",IF(AND(ISNUMBER('Raw Data'!W197), IFERROR('Raw Data'!W197 = ROUND('Raw Data'!W197, 2),FALSE)),"",_xlfn.REGEXEXTRACT(CELL("address",W197), "\$([A-Z]+)\$[0-9]+"))),_xlfn.REGEXEXTRACT(CELL("address",W197), "\$([A-Z]+)\$[0-9]+"))</f>
        <v/>
      </c>
      <c r="X197" s="7" t="str">
        <f t="array" aca="1" ref="X197" ca="1">IFERROR(IF(OR('Raw Data'!X197="",LEN(TRIM('Raw Data'!X197))=0),"",IF(AND(ISNUMBER('Raw Data'!X197), IFERROR('Raw Data'!X197 = ROUND('Raw Data'!X197, 2),FALSE)),"",_xlfn.REGEXEXTRACT(CELL("address",X197), "\$([A-Z]+)\$[0-9]+"))),_xlfn.REGEXEXTRACT(CELL("address",X197), "\$([A-Z]+)\$[0-9]+"))</f>
        <v/>
      </c>
      <c r="Y197" s="7" t="str">
        <f t="array" aca="1" ref="Y197" ca="1">IFERROR(IF(OR('Raw Data'!Y197="",LEN(TRIM('Raw Data'!Y197))=0),"",IF(AND(ISNUMBER('Raw Data'!Y197), IFERROR('Raw Data'!Y197 = ROUND('Raw Data'!Y197, 2),FALSE)),"",_xlfn.REGEXEXTRACT(CELL("address",Y197), "\$([A-Z]+)\$[0-9]+"))),_xlfn.REGEXEXTRACT(CELL("address",Y197), "\$([A-Z]+)\$[0-9]+"))</f>
        <v/>
      </c>
      <c r="Z197" s="7" t="str">
        <f t="array" aca="1" ref="Z197" ca="1">IFERROR(IF(OR('Raw Data'!Z197="",LEN(TRIM('Raw Data'!Z197))=0),"",IF(AND(ISNUMBER('Raw Data'!Z197), IFERROR('Raw Data'!Z197 = ROUND('Raw Data'!Z197, 2),FALSE)),"",_xlfn.REGEXEXTRACT(CELL("address",Z197), "\$([A-Z]+)\$[0-9]+"))),_xlfn.REGEXEXTRACT(CELL("address",Z197), "\$([A-Z]+)\$[0-9]+"))</f>
        <v/>
      </c>
      <c r="AA197" s="7" t="str">
        <f t="array" aca="1" ref="AA197" ca="1">IFERROR(IF(OR('Raw Data'!AA197="",LEN(TRIM('Raw Data'!AA197))=0),"",IF(AND(ISNUMBER('Raw Data'!AA197), IFERROR('Raw Data'!AA197 = ROUND('Raw Data'!AA197, 2),FALSE)),"",_xlfn.REGEXEXTRACT(CELL("address",AA197), "\$([A-Z]+)\$[0-9]+"))),_xlfn.REGEXEXTRACT(CELL("address",AA197), "\$([A-Z]+)\$[0-9]+"))</f>
        <v/>
      </c>
      <c r="AB197" s="7" t="str">
        <f t="array" aca="1" ref="AB197" ca="1">IFERROR(IF(OR('Raw Data'!AB197="",LEN(TRIM('Raw Data'!AB197))=0),"",IF(AND(ISNUMBER('Raw Data'!AB197), IFERROR('Raw Data'!AB197 = ROUND('Raw Data'!AB197, 2),FALSE)),"",_xlfn.REGEXEXTRACT(CELL("address",AB197), "\$([A-Z]+)\$[0-9]+"))),_xlfn.REGEXEXTRACT(CELL("address",AB197), "\$([A-Z]+)\$[0-9]+"))</f>
        <v/>
      </c>
      <c r="AC197" s="7" t="str">
        <f t="array" aca="1" ref="AC197" ca="1">IFERROR(IF(OR('Raw Data'!AC197="",LEN(TRIM('Raw Data'!AC197))=0),"",IF(AND(ISNUMBER('Raw Data'!AC197), IFERROR('Raw Data'!AC197 = ROUND('Raw Data'!AC197, 2),FALSE)),"",_xlfn.REGEXEXTRACT(CELL("address",AC197), "\$([A-Z]+)\$[0-9]+"))),_xlfn.REGEXEXTRACT(CELL("address",AC197), "\$([A-Z]+)\$[0-9]+"))</f>
        <v/>
      </c>
      <c r="AD197" s="7" t="str">
        <f t="array" aca="1" ref="AD197" ca="1">IFERROR(IF(OR('Raw Data'!AD197="",LEN(TRIM('Raw Data'!AD197))=0),"",IF(AND(ISNUMBER('Raw Data'!AD197), IFERROR('Raw Data'!AD197 = ROUND('Raw Data'!AD197, 2),FALSE)),"",_xlfn.REGEXEXTRACT(CELL("address",AD197), "\$([A-Z]+)\$[0-9]+"))),_xlfn.REGEXEXTRACT(CELL("address",AD197), "\$([A-Z]+)\$[0-9]+"))</f>
        <v/>
      </c>
      <c r="AE197" s="7" t="str">
        <f t="array" aca="1" ref="AE197" ca="1">IFERROR(IF(OR('Raw Data'!AE197="",LEN(TRIM('Raw Data'!AE197))=0),"",IF(AND(ISNUMBER('Raw Data'!AE197), IFERROR('Raw Data'!AE197 = ROUND('Raw Data'!AE197, 2),FALSE)),"",_xlfn.REGEXEXTRACT(CELL("address",AE197), "\$([A-Z]+)\$[0-9]+"))),_xlfn.REGEXEXTRACT(CELL("address",AE197), "\$([A-Z]+)\$[0-9]+"))</f>
        <v/>
      </c>
      <c r="AF197" s="7" t="str">
        <f t="array" aca="1" ref="AF197" ca="1">IFERROR(IF(OR('Raw Data'!AF197="",LEN(TRIM('Raw Data'!AF197))=0),"",IF(AND(ISNUMBER('Raw Data'!AF197), IFERROR('Raw Data'!AF197 = ROUND('Raw Data'!AF197, 2),FALSE)),"",_xlfn.REGEXEXTRACT(CELL("address",AF197), "\$([A-Z]+)\$[0-9]+"))),_xlfn.REGEXEXTRACT(CELL("address",AF197), "\$([A-Z]+)\$[0-9]+"))</f>
        <v/>
      </c>
      <c r="AG197" s="7" t="str">
        <f t="array" aca="1" ref="AG197" ca="1">IFERROR(IF(OR('Raw Data'!AG197="",LEN(TRIM('Raw Data'!AG197))=0),"",IF(AND(ISNUMBER('Raw Data'!AG197), IFERROR('Raw Data'!AG197 = ROUND('Raw Data'!AG197, 2),FALSE)),"",_xlfn.REGEXEXTRACT(CELL("address",AG197), "\$([A-Z]+)\$[0-9]+"))),_xlfn.REGEXEXTRACT(CELL("address",AG197), "\$([A-Z]+)\$[0-9]+"))</f>
        <v/>
      </c>
      <c r="AH197" s="7" t="str">
        <f t="array" aca="1" ref="AH197" ca="1">IFERROR(IF(OR('Raw Data'!AH197="",LEN(TRIM('Raw Data'!AH197))=0),"",IF(AND(ISNUMBER('Raw Data'!AH197), IFERROR('Raw Data'!AH197 = ROUND('Raw Data'!AH197, 2),FALSE)),"",_xlfn.REGEXEXTRACT(CELL("address",AH197), "\$([A-Z]+)\$[0-9]+"))),_xlfn.REGEXEXTRACT(CELL("address",AH197), "\$([A-Z]+)\$[0-9]+"))</f>
        <v/>
      </c>
      <c r="AI197" s="7" t="str">
        <f t="array" aca="1" ref="AI197" ca="1">IFERROR(IF(OR('Raw Data'!AI197="",LEN(TRIM('Raw Data'!AI197))=0),"",IF(AND(ISNUMBER('Raw Data'!AI197), IFERROR('Raw Data'!AI197 = ROUND('Raw Data'!AI197, 2),FALSE)),"",_xlfn.REGEXEXTRACT(CELL("address",AI197), "\$([A-Z]+)\$[0-9]+"))),_xlfn.REGEXEXTRACT(CELL("address",AI197), "\$([A-Z]+)\$[0-9]+"))</f>
        <v/>
      </c>
      <c r="AJ197" s="7" t="str">
        <f t="array" aca="1" ref="AJ197" ca="1">IFERROR(IF(OR('Raw Data'!AJ197="",LEN(TRIM('Raw Data'!AJ197))=0),"",IF(AND(ISNUMBER('Raw Data'!AJ197), IFERROR('Raw Data'!AJ197 = ROUND('Raw Data'!AJ197, 4),FALSE)),"",_xlfn.REGEXEXTRACT(CELL("address",AJ197), "\$([A-Z]+)\$[0-9]+"))),_xlfn.REGEXEXTRACT(CELL("address",AJ197), "\$([A-Z]+)\$[0-9]+"))</f>
        <v/>
      </c>
      <c r="AK197" s="7" t="str">
        <f t="array" aca="1" ref="AK197" ca="1">IFERROR(IF(OR('Raw Data'!AK197="",LEN(TRIM('Raw Data'!AK197))=0),"",IF(AND(ISNUMBER('Raw Data'!AK197), IFERROR('Raw Data'!AK197 = ROUND('Raw Data'!AK197, 2),FALSE)),"",_xlfn.REGEXEXTRACT(CELL("address",AK197), "\$([A-Z]+)\$[0-9]+"))),_xlfn.REGEXEXTRACT(CELL("address",AK197), "\$([A-Z]+)\$[0-9]+"))</f>
        <v/>
      </c>
      <c r="AL197" s="7" t="str">
        <f t="array" aca="1" ref="AL197" ca="1">IFERROR(IF(OR('Raw Data'!AL197="",LEN(TRIM('Raw Data'!AL197))=0),"",IF(AND(ISNUMBER('Raw Data'!AL197), IFERROR('Raw Data'!AL197 = ROUND('Raw Data'!AL197, 2),FALSE)),"",_xlfn.REGEXEXTRACT(CELL("address",AL197), "\$([A-Z]+)\$[0-9]+"))),_xlfn.REGEXEXTRACT(CELL("address",AL197), "\$([A-Z]+)\$[0-9]+"))</f>
        <v/>
      </c>
      <c r="AM197" s="7" t="str">
        <f t="array" aca="1" ref="AM197" ca="1">IFERROR(IF(OR('Raw Data'!AM197="",LEN(TRIM('Raw Data'!AM197))=0),"",IF(AND(ISNUMBER('Raw Data'!AM197), IFERROR('Raw Data'!AM197 = ROUND('Raw Data'!AM197, 2),FALSE)),"",_xlfn.REGEXEXTRACT(CELL("address",AM197), "\$([A-Z]+)\$[0-9]+"))),_xlfn.REGEXEXTRACT(CELL("address",AM197), "\$([A-Z]+)\$[0-9]+"))</f>
        <v/>
      </c>
      <c r="AN197" s="7" t="str">
        <f t="array" aca="1" ref="AN197" ca="1">IFERROR(IF(OR('Raw Data'!AN197="",LEN(TRIM('Raw Data'!AN197))=0),"",IF(AND(ISNUMBER('Raw Data'!AN197), IFERROR('Raw Data'!AN197 = ROUND('Raw Data'!AN197, 2),FALSE)),"",_xlfn.REGEXEXTRACT(CELL("address",AN197), "\$([A-Z]+)\$[0-9]+"))),_xlfn.REGEXEXTRACT(CELL("address",AN197), "\$([A-Z]+)\$[0-9]+"))</f>
        <v/>
      </c>
      <c r="AO197" s="7" t="str">
        <f t="array" aca="1" ref="AO197" ca="1">IFERROR(IF(OR('Raw Data'!AO197="",LEN(TRIM('Raw Data'!AO197))=0),"",IF(AND(ISNUMBER('Raw Data'!AO197), IFERROR('Raw Data'!AO197 = ROUND('Raw Data'!AO197, 2),FALSE)),"",_xlfn.REGEXEXTRACT(CELL("address",AO197), "\$([A-Z]+)\$[0-9]+"))),_xlfn.REGEXEXTRACT(CELL("address",AO197), "\$([A-Z]+)\$[0-9]+"))</f>
        <v/>
      </c>
      <c r="AP197" s="7" t="str">
        <f t="array" aca="1" ref="AP197" ca="1">IFERROR(IF(OR('Raw Data'!AP197="",LEN(TRIM('Raw Data'!AP197))=0),"",IF(AND(ISNUMBER('Raw Data'!AP197), IFERROR('Raw Data'!AP197 = ROUND('Raw Data'!AP197, 2),FALSE)),"",_xlfn.REGEXEXTRACT(CELL("address",AP197), "\$([A-Z]+)\$[0-9]+"))),_xlfn.REGEXEXTRACT(CELL("address",AP197), "\$([A-Z]+)\$[0-9]+"))</f>
        <v/>
      </c>
    </row>
    <row r="198" spans="2:42" x14ac:dyDescent="0.25">
      <c r="B198" s="7" t="str">
        <f t="array" aca="1" ref="B198" ca="1">IFERROR(IF(OR('Raw Data'!B198="",LEN(TRIM('Raw Data'!B198))=0),"",IF(AND(LEN('Raw Data'!B198) &lt;= 255,LEN('Raw Data'!B198)&gt; 0),"",_xlfn.REGEXEXTRACT(CELL("address",'Raw Data'!B198),"\$([A-Z]+)\$[0-9]+"))),_xlfn.REGEXEXTRACT(CELL("address",'Raw Data'!B198),"\$([A-Z]+)\$[0-9]+"))</f>
        <v/>
      </c>
      <c r="C198" s="7" t="str">
        <f t="array" aca="1" ref="C198" ca="1">IFERROR(IF(OR('Raw Data'!C198="",LEN(TRIM('Raw Data'!C198))=0),"",IF(AND(LEN('Raw Data'!C198) &lt;= 50,LEN('Raw Data'!C198)&gt; 0),"",_xlfn.REGEXEXTRACT(CELL("address",'Raw Data'!C198),"\$([A-Z]+)\$[0-9]+"))),_xlfn.REGEXEXTRACT(CELL("address",'Raw Data'!C198),"\$([A-Z]+)\$[0-9]+"))</f>
        <v/>
      </c>
      <c r="D198" s="7" t="str">
        <f t="array" aca="1" ref="D198" ca="1">IFERROR(IF(OR('Raw Data'!D198="",LEN(TRIM('Raw Data'!D198))=0),"",IF(AND(LEN('Raw Data'!D198) &lt;= 500,LEN('Raw Data'!D198)&gt; 0),"",_xlfn.REGEXEXTRACT(CELL("address",'Raw Data'!D198),"\$([A-Z]+)\$[0-9]+"))),_xlfn.REGEXEXTRACT(CELL("address",'Raw Data'!D198),"\$([A-Z]+)\$[0-9]+"))</f>
        <v/>
      </c>
      <c r="E198" s="7" t="str">
        <f t="array" aca="1" ref="E198" ca="1">IFERROR(IF(OR('Raw Data'!E198="",LEN(TRIM('Raw Data'!E198))=0),"",IF(AND(LEN('Raw Data'!E198) &lt;= 50,LEN('Raw Data'!E198)&gt; 0),"",_xlfn.REGEXEXTRACT(CELL("address",'Raw Data'!E198),"\$([A-Z]+)\$[0-9]+"))),_xlfn.REGEXEXTRACT(CELL("address",'Raw Data'!E198),"\$([A-Z]+)\$[0-9]+"))</f>
        <v/>
      </c>
      <c r="F198" s="7" t="str">
        <f t="array" aca="1" ref="F198" ca="1">IFERROR(IF(OR('Raw Data'!F198="",LEN(TRIM('Raw Data'!F198))=0),"",IF(AND(LEN('Raw Data'!F198) &lt;= 50,LEN('Raw Data'!F198)&gt; 0),"",_xlfn.REGEXEXTRACT(CELL("address",'Raw Data'!F198),"\$([A-Z]+)\$[0-9]+"))),_xlfn.REGEXEXTRACT(CELL("address",'Raw Data'!F198),"\$([A-Z]+)\$[0-9]+"))</f>
        <v/>
      </c>
      <c r="G198" s="7" t="str">
        <f t="array" aca="1" ref="G198" ca="1">IFERROR(IF(OR('Raw Data'!G198="",LEN(TRIM('Raw Data'!G198))=0),"",IF(AND(LEN('Raw Data'!G198) &lt;= 50,LEN('Raw Data'!G198)&gt; 0),"",_xlfn.REGEXEXTRACT(CELL("address",'Raw Data'!G198),"\$([A-Z]+)\$[0-9]+"))),_xlfn.REGEXEXTRACT(CELL("address",'Raw Data'!G198),"\$([A-Z]+)\$[0-9]+"))</f>
        <v/>
      </c>
      <c r="H198" s="7" t="str">
        <f t="array" aca="1" ref="H198" ca="1">IFERROR(IF(OR('Raw Data'!H198="",LEN(TRIM('Raw Data'!H198))=0),"",IF(AND(LEN('Raw Data'!H198) &lt;= 50,LEN('Raw Data'!H198)&gt; 0),"",_xlfn.REGEXEXTRACT(CELL("address",'Raw Data'!H198),"\$([A-Z]+)\$[0-9]+"))),_xlfn.REGEXEXTRACT(CELL("address",'Raw Data'!H198),"\$([A-Z]+)\$[0-9]+"))</f>
        <v/>
      </c>
      <c r="I198" s="7" t="str">
        <f t="array" aca="1" ref="I198" ca="1">IFERROR(IF(OR('Raw Data'!I198="",LEN(TRIM('Raw Data'!I198))=0),"",IF(AND(LEN('Raw Data'!I198) &lt;= 50,LEN('Raw Data'!I198)&gt; 0),"",_xlfn.REGEXEXTRACT(CELL("address",'Raw Data'!I198),"\$([A-Z]+)\$[0-9]+"))),_xlfn.REGEXEXTRACT(CELL("address",'Raw Data'!I198),"\$([A-Z]+)\$[0-9]+"))</f>
        <v/>
      </c>
      <c r="J198" s="7" t="str">
        <f t="array" aca="1" ref="J198" ca="1">IFERROR(IF(OR('Raw Data'!J198="",LEN(TRIM('Raw Data'!J198))=0),"",IF(AND(ISNUMBER('Raw Data'!J198), IFERROR('Raw Data'!J198 = ROUND('Raw Data'!J198, 2),FALSE)),"",_xlfn.REGEXEXTRACT(CELL("address",J198), "\$([A-Z]+)\$[0-9]+"))),_xlfn.REGEXEXTRACT(CELL("address",J198), "\$([A-Z]+)\$[0-9]+"))</f>
        <v/>
      </c>
      <c r="K198" s="7" t="str">
        <f t="array" aca="1" ref="K198" ca="1">IFERROR(IF(OR('Raw Data'!K198="",LEN(TRIM('Raw Data'!K198))=0),"",IF(AND(ISNUMBER('Raw Data'!K198), IFERROR('Raw Data'!K198 = ROUND('Raw Data'!K198, 2),FALSE)),"",_xlfn.REGEXEXTRACT(CELL("address",K198), "\$([A-Z]+)\$[0-9]+"))),_xlfn.REGEXEXTRACT(CELL("address",K198), "\$([A-Z]+)\$[0-9]+"))</f>
        <v/>
      </c>
      <c r="L198" s="7" t="str">
        <f t="array" aca="1" ref="L198" ca="1">IFERROR(IF(OR('Raw Data'!L198="",LEN(TRIM('Raw Data'!L198))=0),"",IF(AND(ISNUMBER('Raw Data'!L198), IFERROR('Raw Data'!L198 = ROUND('Raw Data'!L198, 2),FALSE)),"",_xlfn.REGEXEXTRACT(CELL("address",L198), "\$([A-Z]+)\$[0-9]+"))),_xlfn.REGEXEXTRACT(CELL("address",L198), "\$([A-Z]+)\$[0-9]+"))</f>
        <v/>
      </c>
      <c r="M198" s="7" t="str">
        <f t="array" aca="1" ref="M198" ca="1">IFERROR(IF(OR('Raw Data'!M198="",LEN(TRIM('Raw Data'!M198))=0),"",IF(AND(ISNUMBER('Raw Data'!M198), IFERROR('Raw Data'!M198 = ROUND('Raw Data'!M198, 2),FALSE)),"",_xlfn.REGEXEXTRACT(CELL("address",M198), "\$([A-Z]+)\$[0-9]+"))),_xlfn.REGEXEXTRACT(CELL("address",M198), "\$([A-Z]+)\$[0-9]+"))</f>
        <v/>
      </c>
      <c r="N198" s="7" t="str">
        <f t="array" aca="1" ref="N198" ca="1">IFERROR(IF(OR('Raw Data'!N198="",LEN(TRIM('Raw Data'!N198))=0),"",IF(AND(ISNUMBER('Raw Data'!N198), IFERROR('Raw Data'!N198 = ROUND('Raw Data'!N198, 2),FALSE)),"",_xlfn.REGEXEXTRACT(CELL("address",N198), "\$([A-Z]+)\$[0-9]+"))),_xlfn.REGEXEXTRACT(CELL("address",N198), "\$([A-Z]+)\$[0-9]+"))</f>
        <v/>
      </c>
      <c r="O198" s="7" t="str">
        <f t="array" aca="1" ref="O198" ca="1">IFERROR(IF(OR('Raw Data'!O198="",LEN(TRIM('Raw Data'!O198))=0),"",IF(AND(ISNUMBER('Raw Data'!O198),'Raw Data'!O198&gt;=Configuration!$D$2),"",_xlfn.REGEXEXTRACT(CELL("address",'Raw Data'!O198),"\$([A-Z]+)\$[0-9]+"))),_xlfn.REGEXEXTRACT(CELL("address",O198), "\$([A-Z]+)\$[0-9]+"))</f>
        <v/>
      </c>
      <c r="P198" s="7" t="str">
        <f t="array" aca="1" ref="P198" ca="1">IFERROR(IF(OR('Raw Data'!P198="",LEN(TRIM('Raw Data'!P198))=0),"",IF(AND(ISNUMBER('Raw Data'!P198), IFERROR('Raw Data'!P198 = ROUND('Raw Data'!P198, 2),FALSE)),"",_xlfn.REGEXEXTRACT(CELL("address",P198), "\$([A-Z]+)\$[0-9]+"))),_xlfn.REGEXEXTRACT(CELL("address",P198), "\$([A-Z]+)\$[0-9]+"))</f>
        <v/>
      </c>
      <c r="Q198" s="7" t="str">
        <f t="array" aca="1" ref="Q198" ca="1">IFERROR(IF(OR('Raw Data'!Q198="",LEN(TRIM('Raw Data'!Q198))=0),"",IF(AND(ISNUMBER('Raw Data'!Q198), IFERROR('Raw Data'!Q198 = ROUND('Raw Data'!Q198, 2),FALSE)),"",_xlfn.REGEXEXTRACT(CELL("address",Q198), "\$([A-Z]+)\$[0-9]+"))),_xlfn.REGEXEXTRACT(CELL("address",Q198), "\$([A-Z]+)\$[0-9]+"))</f>
        <v/>
      </c>
      <c r="R198" s="7" t="str">
        <f t="array" aca="1" ref="R198" ca="1">IFERROR(IF(OR('Raw Data'!R198="",LEN(TRIM('Raw Data'!R198))=0),"",IF(AND(LEN('Raw Data'!R198) &lt;= 50,LEN('Raw Data'!R198)&gt; 0),"",_xlfn.REGEXEXTRACT(CELL("address",'Raw Data'!R198),"\$([A-Z]+)\$[0-9]+"))),_xlfn.REGEXEXTRACT(CELL("address",'Raw Data'!R198),"\$([A-Z]+)\$[0-9]+"))</f>
        <v/>
      </c>
      <c r="S198" s="7" t="str">
        <f t="array" aca="1" ref="S198" ca="1">IFERROR(IF(OR('Raw Data'!S198="",LEN(TRIM('Raw Data'!S198))=0),"",IF(AND(LEN('Raw Data'!S198) &lt;= 50,LEN('Raw Data'!S198)&gt; 0),"",_xlfn.REGEXEXTRACT(CELL("address",'Raw Data'!S198),"\$([A-Z]+)\$[0-9]+"))),_xlfn.REGEXEXTRACT(CELL("address",'Raw Data'!S198),"\$([A-Z]+)\$[0-9]+"))</f>
        <v/>
      </c>
      <c r="T198" s="7" t="str">
        <f t="array" aca="1" ref="T198" ca="1">IFERROR(IF(OR('Raw Data'!T198="",LEN(TRIM('Raw Data'!T198))=0),"",IF(AND(ISNUMBER('Raw Data'!T198), IFERROR('Raw Data'!T198 = ROUND('Raw Data'!T198, 2),FALSE)),"",_xlfn.REGEXEXTRACT(CELL("address",T198), "\$([A-Z]+)\$[0-9]+"))),_xlfn.REGEXEXTRACT(CELL("address",T198), "\$([A-Z]+)\$[0-9]+"))</f>
        <v/>
      </c>
      <c r="U198" s="7" t="str">
        <f t="array" aca="1" ref="U198" ca="1">IFERROR(IF(OR('Raw Data'!U198="",LEN(TRIM('Raw Data'!U198))=0),"",IF(AND(ISNUMBER('Raw Data'!U198), IFERROR('Raw Data'!U198 = ROUND('Raw Data'!U198, 2),FALSE)),"",_xlfn.REGEXEXTRACT(CELL("address",U198), "\$([A-Z]+)\$[0-9]+"))),_xlfn.REGEXEXTRACT(CELL("address",U198), "\$([A-Z]+)\$[0-9]+"))</f>
        <v/>
      </c>
      <c r="V198" s="7" t="str">
        <f t="array" aca="1" ref="V198" ca="1">IFERROR(IF(OR('Raw Data'!V198="",LEN(TRIM('Raw Data'!V198))=0),"",IF(AND(ISNUMBER('Raw Data'!V198), IFERROR('Raw Data'!V198 = ROUND('Raw Data'!V198, 2),FALSE)),"",_xlfn.REGEXEXTRACT(CELL("address",V198), "\$([A-Z]+)\$[0-9]+"))),_xlfn.REGEXEXTRACT(CELL("address",V198), "\$([A-Z]+)\$[0-9]+"))</f>
        <v/>
      </c>
      <c r="W198" s="7" t="str">
        <f t="array" aca="1" ref="W198" ca="1">IFERROR(IF(OR('Raw Data'!W198="",LEN(TRIM('Raw Data'!W198))=0),"",IF(AND(ISNUMBER('Raw Data'!W198), IFERROR('Raw Data'!W198 = ROUND('Raw Data'!W198, 2),FALSE)),"",_xlfn.REGEXEXTRACT(CELL("address",W198), "\$([A-Z]+)\$[0-9]+"))),_xlfn.REGEXEXTRACT(CELL("address",W198), "\$([A-Z]+)\$[0-9]+"))</f>
        <v/>
      </c>
      <c r="X198" s="7" t="str">
        <f t="array" aca="1" ref="X198" ca="1">IFERROR(IF(OR('Raw Data'!X198="",LEN(TRIM('Raw Data'!X198))=0),"",IF(AND(ISNUMBER('Raw Data'!X198), IFERROR('Raw Data'!X198 = ROUND('Raw Data'!X198, 2),FALSE)),"",_xlfn.REGEXEXTRACT(CELL("address",X198), "\$([A-Z]+)\$[0-9]+"))),_xlfn.REGEXEXTRACT(CELL("address",X198), "\$([A-Z]+)\$[0-9]+"))</f>
        <v/>
      </c>
      <c r="Y198" s="7" t="str">
        <f t="array" aca="1" ref="Y198" ca="1">IFERROR(IF(OR('Raw Data'!Y198="",LEN(TRIM('Raw Data'!Y198))=0),"",IF(AND(ISNUMBER('Raw Data'!Y198), IFERROR('Raw Data'!Y198 = ROUND('Raw Data'!Y198, 2),FALSE)),"",_xlfn.REGEXEXTRACT(CELL("address",Y198), "\$([A-Z]+)\$[0-9]+"))),_xlfn.REGEXEXTRACT(CELL("address",Y198), "\$([A-Z]+)\$[0-9]+"))</f>
        <v/>
      </c>
      <c r="Z198" s="7" t="str">
        <f t="array" aca="1" ref="Z198" ca="1">IFERROR(IF(OR('Raw Data'!Z198="",LEN(TRIM('Raw Data'!Z198))=0),"",IF(AND(ISNUMBER('Raw Data'!Z198), IFERROR('Raw Data'!Z198 = ROUND('Raw Data'!Z198, 2),FALSE)),"",_xlfn.REGEXEXTRACT(CELL("address",Z198), "\$([A-Z]+)\$[0-9]+"))),_xlfn.REGEXEXTRACT(CELL("address",Z198), "\$([A-Z]+)\$[0-9]+"))</f>
        <v/>
      </c>
      <c r="AA198" s="7" t="str">
        <f t="array" aca="1" ref="AA198" ca="1">IFERROR(IF(OR('Raw Data'!AA198="",LEN(TRIM('Raw Data'!AA198))=0),"",IF(AND(ISNUMBER('Raw Data'!AA198), IFERROR('Raw Data'!AA198 = ROUND('Raw Data'!AA198, 2),FALSE)),"",_xlfn.REGEXEXTRACT(CELL("address",AA198), "\$([A-Z]+)\$[0-9]+"))),_xlfn.REGEXEXTRACT(CELL("address",AA198), "\$([A-Z]+)\$[0-9]+"))</f>
        <v/>
      </c>
      <c r="AB198" s="7" t="str">
        <f t="array" aca="1" ref="AB198" ca="1">IFERROR(IF(OR('Raw Data'!AB198="",LEN(TRIM('Raw Data'!AB198))=0),"",IF(AND(ISNUMBER('Raw Data'!AB198), IFERROR('Raw Data'!AB198 = ROUND('Raw Data'!AB198, 2),FALSE)),"",_xlfn.REGEXEXTRACT(CELL("address",AB198), "\$([A-Z]+)\$[0-9]+"))),_xlfn.REGEXEXTRACT(CELL("address",AB198), "\$([A-Z]+)\$[0-9]+"))</f>
        <v/>
      </c>
      <c r="AC198" s="7" t="str">
        <f t="array" aca="1" ref="AC198" ca="1">IFERROR(IF(OR('Raw Data'!AC198="",LEN(TRIM('Raw Data'!AC198))=0),"",IF(AND(ISNUMBER('Raw Data'!AC198), IFERROR('Raw Data'!AC198 = ROUND('Raw Data'!AC198, 2),FALSE)),"",_xlfn.REGEXEXTRACT(CELL("address",AC198), "\$([A-Z]+)\$[0-9]+"))),_xlfn.REGEXEXTRACT(CELL("address",AC198), "\$([A-Z]+)\$[0-9]+"))</f>
        <v/>
      </c>
      <c r="AD198" s="7" t="str">
        <f t="array" aca="1" ref="AD198" ca="1">IFERROR(IF(OR('Raw Data'!AD198="",LEN(TRIM('Raw Data'!AD198))=0),"",IF(AND(ISNUMBER('Raw Data'!AD198), IFERROR('Raw Data'!AD198 = ROUND('Raw Data'!AD198, 2),FALSE)),"",_xlfn.REGEXEXTRACT(CELL("address",AD198), "\$([A-Z]+)\$[0-9]+"))),_xlfn.REGEXEXTRACT(CELL("address",AD198), "\$([A-Z]+)\$[0-9]+"))</f>
        <v/>
      </c>
      <c r="AE198" s="7" t="str">
        <f t="array" aca="1" ref="AE198" ca="1">IFERROR(IF(OR('Raw Data'!AE198="",LEN(TRIM('Raw Data'!AE198))=0),"",IF(AND(ISNUMBER('Raw Data'!AE198), IFERROR('Raw Data'!AE198 = ROUND('Raw Data'!AE198, 2),FALSE)),"",_xlfn.REGEXEXTRACT(CELL("address",AE198), "\$([A-Z]+)\$[0-9]+"))),_xlfn.REGEXEXTRACT(CELL("address",AE198), "\$([A-Z]+)\$[0-9]+"))</f>
        <v/>
      </c>
      <c r="AF198" s="7" t="str">
        <f t="array" aca="1" ref="AF198" ca="1">IFERROR(IF(OR('Raw Data'!AF198="",LEN(TRIM('Raw Data'!AF198))=0),"",IF(AND(ISNUMBER('Raw Data'!AF198), IFERROR('Raw Data'!AF198 = ROUND('Raw Data'!AF198, 2),FALSE)),"",_xlfn.REGEXEXTRACT(CELL("address",AF198), "\$([A-Z]+)\$[0-9]+"))),_xlfn.REGEXEXTRACT(CELL("address",AF198), "\$([A-Z]+)\$[0-9]+"))</f>
        <v/>
      </c>
      <c r="AG198" s="7" t="str">
        <f t="array" aca="1" ref="AG198" ca="1">IFERROR(IF(OR('Raw Data'!AG198="",LEN(TRIM('Raw Data'!AG198))=0),"",IF(AND(ISNUMBER('Raw Data'!AG198), IFERROR('Raw Data'!AG198 = ROUND('Raw Data'!AG198, 2),FALSE)),"",_xlfn.REGEXEXTRACT(CELL("address",AG198), "\$([A-Z]+)\$[0-9]+"))),_xlfn.REGEXEXTRACT(CELL("address",AG198), "\$([A-Z]+)\$[0-9]+"))</f>
        <v/>
      </c>
      <c r="AH198" s="7" t="str">
        <f t="array" aca="1" ref="AH198" ca="1">IFERROR(IF(OR('Raw Data'!AH198="",LEN(TRIM('Raw Data'!AH198))=0),"",IF(AND(ISNUMBER('Raw Data'!AH198), IFERROR('Raw Data'!AH198 = ROUND('Raw Data'!AH198, 2),FALSE)),"",_xlfn.REGEXEXTRACT(CELL("address",AH198), "\$([A-Z]+)\$[0-9]+"))),_xlfn.REGEXEXTRACT(CELL("address",AH198), "\$([A-Z]+)\$[0-9]+"))</f>
        <v/>
      </c>
      <c r="AI198" s="7" t="str">
        <f t="array" aca="1" ref="AI198" ca="1">IFERROR(IF(OR('Raw Data'!AI198="",LEN(TRIM('Raw Data'!AI198))=0),"",IF(AND(ISNUMBER('Raw Data'!AI198), IFERROR('Raw Data'!AI198 = ROUND('Raw Data'!AI198, 2),FALSE)),"",_xlfn.REGEXEXTRACT(CELL("address",AI198), "\$([A-Z]+)\$[0-9]+"))),_xlfn.REGEXEXTRACT(CELL("address",AI198), "\$([A-Z]+)\$[0-9]+"))</f>
        <v/>
      </c>
      <c r="AJ198" s="7" t="str">
        <f t="array" aca="1" ref="AJ198" ca="1">IFERROR(IF(OR('Raw Data'!AJ198="",LEN(TRIM('Raw Data'!AJ198))=0),"",IF(AND(ISNUMBER('Raw Data'!AJ198), IFERROR('Raw Data'!AJ198 = ROUND('Raw Data'!AJ198, 4),FALSE)),"",_xlfn.REGEXEXTRACT(CELL("address",AJ198), "\$([A-Z]+)\$[0-9]+"))),_xlfn.REGEXEXTRACT(CELL("address",AJ198), "\$([A-Z]+)\$[0-9]+"))</f>
        <v/>
      </c>
      <c r="AK198" s="7" t="str">
        <f t="array" aca="1" ref="AK198" ca="1">IFERROR(IF(OR('Raw Data'!AK198="",LEN(TRIM('Raw Data'!AK198))=0),"",IF(AND(ISNUMBER('Raw Data'!AK198), IFERROR('Raw Data'!AK198 = ROUND('Raw Data'!AK198, 2),FALSE)),"",_xlfn.REGEXEXTRACT(CELL("address",AK198), "\$([A-Z]+)\$[0-9]+"))),_xlfn.REGEXEXTRACT(CELL("address",AK198), "\$([A-Z]+)\$[0-9]+"))</f>
        <v/>
      </c>
      <c r="AL198" s="7" t="str">
        <f t="array" aca="1" ref="AL198" ca="1">IFERROR(IF(OR('Raw Data'!AL198="",LEN(TRIM('Raw Data'!AL198))=0),"",IF(AND(ISNUMBER('Raw Data'!AL198), IFERROR('Raw Data'!AL198 = ROUND('Raw Data'!AL198, 2),FALSE)),"",_xlfn.REGEXEXTRACT(CELL("address",AL198), "\$([A-Z]+)\$[0-9]+"))),_xlfn.REGEXEXTRACT(CELL("address",AL198), "\$([A-Z]+)\$[0-9]+"))</f>
        <v/>
      </c>
      <c r="AM198" s="7" t="str">
        <f t="array" aca="1" ref="AM198" ca="1">IFERROR(IF(OR('Raw Data'!AM198="",LEN(TRIM('Raw Data'!AM198))=0),"",IF(AND(ISNUMBER('Raw Data'!AM198), IFERROR('Raw Data'!AM198 = ROUND('Raw Data'!AM198, 2),FALSE)),"",_xlfn.REGEXEXTRACT(CELL("address",AM198), "\$([A-Z]+)\$[0-9]+"))),_xlfn.REGEXEXTRACT(CELL("address",AM198), "\$([A-Z]+)\$[0-9]+"))</f>
        <v/>
      </c>
      <c r="AN198" s="7" t="str">
        <f t="array" aca="1" ref="AN198" ca="1">IFERROR(IF(OR('Raw Data'!AN198="",LEN(TRIM('Raw Data'!AN198))=0),"",IF(AND(ISNUMBER('Raw Data'!AN198), IFERROR('Raw Data'!AN198 = ROUND('Raw Data'!AN198, 2),FALSE)),"",_xlfn.REGEXEXTRACT(CELL("address",AN198), "\$([A-Z]+)\$[0-9]+"))),_xlfn.REGEXEXTRACT(CELL("address",AN198), "\$([A-Z]+)\$[0-9]+"))</f>
        <v/>
      </c>
      <c r="AO198" s="7" t="str">
        <f t="array" aca="1" ref="AO198" ca="1">IFERROR(IF(OR('Raw Data'!AO198="",LEN(TRIM('Raw Data'!AO198))=0),"",IF(AND(ISNUMBER('Raw Data'!AO198), IFERROR('Raw Data'!AO198 = ROUND('Raw Data'!AO198, 2),FALSE)),"",_xlfn.REGEXEXTRACT(CELL("address",AO198), "\$([A-Z]+)\$[0-9]+"))),_xlfn.REGEXEXTRACT(CELL("address",AO198), "\$([A-Z]+)\$[0-9]+"))</f>
        <v/>
      </c>
      <c r="AP198" s="7" t="str">
        <f t="array" aca="1" ref="AP198" ca="1">IFERROR(IF(OR('Raw Data'!AP198="",LEN(TRIM('Raw Data'!AP198))=0),"",IF(AND(ISNUMBER('Raw Data'!AP198), IFERROR('Raw Data'!AP198 = ROUND('Raw Data'!AP198, 2),FALSE)),"",_xlfn.REGEXEXTRACT(CELL("address",AP198), "\$([A-Z]+)\$[0-9]+"))),_xlfn.REGEXEXTRACT(CELL("address",AP198), "\$([A-Z]+)\$[0-9]+"))</f>
        <v/>
      </c>
    </row>
    <row r="199" spans="2:42" x14ac:dyDescent="0.25">
      <c r="B199" s="7" t="str">
        <f t="array" aca="1" ref="B199" ca="1">IFERROR(IF(OR('Raw Data'!B199="",LEN(TRIM('Raw Data'!B199))=0),"",IF(AND(LEN('Raw Data'!B199) &lt;= 255,LEN('Raw Data'!B199)&gt; 0),"",_xlfn.REGEXEXTRACT(CELL("address",'Raw Data'!B199),"\$([A-Z]+)\$[0-9]+"))),_xlfn.REGEXEXTRACT(CELL("address",'Raw Data'!B199),"\$([A-Z]+)\$[0-9]+"))</f>
        <v/>
      </c>
      <c r="C199" s="7" t="str">
        <f t="array" aca="1" ref="C199" ca="1">IFERROR(IF(OR('Raw Data'!C199="",LEN(TRIM('Raw Data'!C199))=0),"",IF(AND(LEN('Raw Data'!C199) &lt;= 50,LEN('Raw Data'!C199)&gt; 0),"",_xlfn.REGEXEXTRACT(CELL("address",'Raw Data'!C199),"\$([A-Z]+)\$[0-9]+"))),_xlfn.REGEXEXTRACT(CELL("address",'Raw Data'!C199),"\$([A-Z]+)\$[0-9]+"))</f>
        <v/>
      </c>
      <c r="D199" s="7" t="str">
        <f t="array" aca="1" ref="D199" ca="1">IFERROR(IF(OR('Raw Data'!D199="",LEN(TRIM('Raw Data'!D199))=0),"",IF(AND(LEN('Raw Data'!D199) &lt;= 500,LEN('Raw Data'!D199)&gt; 0),"",_xlfn.REGEXEXTRACT(CELL("address",'Raw Data'!D199),"\$([A-Z]+)\$[0-9]+"))),_xlfn.REGEXEXTRACT(CELL("address",'Raw Data'!D199),"\$([A-Z]+)\$[0-9]+"))</f>
        <v/>
      </c>
      <c r="E199" s="7" t="str">
        <f t="array" aca="1" ref="E199" ca="1">IFERROR(IF(OR('Raw Data'!E199="",LEN(TRIM('Raw Data'!E199))=0),"",IF(AND(LEN('Raw Data'!E199) &lt;= 50,LEN('Raw Data'!E199)&gt; 0),"",_xlfn.REGEXEXTRACT(CELL("address",'Raw Data'!E199),"\$([A-Z]+)\$[0-9]+"))),_xlfn.REGEXEXTRACT(CELL("address",'Raw Data'!E199),"\$([A-Z]+)\$[0-9]+"))</f>
        <v/>
      </c>
      <c r="F199" s="7" t="str">
        <f t="array" aca="1" ref="F199" ca="1">IFERROR(IF(OR('Raw Data'!F199="",LEN(TRIM('Raw Data'!F199))=0),"",IF(AND(LEN('Raw Data'!F199) &lt;= 50,LEN('Raw Data'!F199)&gt; 0),"",_xlfn.REGEXEXTRACT(CELL("address",'Raw Data'!F199),"\$([A-Z]+)\$[0-9]+"))),_xlfn.REGEXEXTRACT(CELL("address",'Raw Data'!F199),"\$([A-Z]+)\$[0-9]+"))</f>
        <v/>
      </c>
      <c r="G199" s="7" t="str">
        <f t="array" aca="1" ref="G199" ca="1">IFERROR(IF(OR('Raw Data'!G199="",LEN(TRIM('Raw Data'!G199))=0),"",IF(AND(LEN('Raw Data'!G199) &lt;= 50,LEN('Raw Data'!G199)&gt; 0),"",_xlfn.REGEXEXTRACT(CELL("address",'Raw Data'!G199),"\$([A-Z]+)\$[0-9]+"))),_xlfn.REGEXEXTRACT(CELL("address",'Raw Data'!G199),"\$([A-Z]+)\$[0-9]+"))</f>
        <v/>
      </c>
      <c r="H199" s="7" t="str">
        <f t="array" aca="1" ref="H199" ca="1">IFERROR(IF(OR('Raw Data'!H199="",LEN(TRIM('Raw Data'!H199))=0),"",IF(AND(LEN('Raw Data'!H199) &lt;= 50,LEN('Raw Data'!H199)&gt; 0),"",_xlfn.REGEXEXTRACT(CELL("address",'Raw Data'!H199),"\$([A-Z]+)\$[0-9]+"))),_xlfn.REGEXEXTRACT(CELL("address",'Raw Data'!H199),"\$([A-Z]+)\$[0-9]+"))</f>
        <v/>
      </c>
      <c r="I199" s="7" t="str">
        <f t="array" aca="1" ref="I199" ca="1">IFERROR(IF(OR('Raw Data'!I199="",LEN(TRIM('Raw Data'!I199))=0),"",IF(AND(LEN('Raw Data'!I199) &lt;= 50,LEN('Raw Data'!I199)&gt; 0),"",_xlfn.REGEXEXTRACT(CELL("address",'Raw Data'!I199),"\$([A-Z]+)\$[0-9]+"))),_xlfn.REGEXEXTRACT(CELL("address",'Raw Data'!I199),"\$([A-Z]+)\$[0-9]+"))</f>
        <v/>
      </c>
      <c r="J199" s="7" t="str">
        <f t="array" aca="1" ref="J199" ca="1">IFERROR(IF(OR('Raw Data'!J199="",LEN(TRIM('Raw Data'!J199))=0),"",IF(AND(ISNUMBER('Raw Data'!J199), IFERROR('Raw Data'!J199 = ROUND('Raw Data'!J199, 2),FALSE)),"",_xlfn.REGEXEXTRACT(CELL("address",J199), "\$([A-Z]+)\$[0-9]+"))),_xlfn.REGEXEXTRACT(CELL("address",J199), "\$([A-Z]+)\$[0-9]+"))</f>
        <v/>
      </c>
      <c r="K199" s="7" t="str">
        <f t="array" aca="1" ref="K199" ca="1">IFERROR(IF(OR('Raw Data'!K199="",LEN(TRIM('Raw Data'!K199))=0),"",IF(AND(ISNUMBER('Raw Data'!K199), IFERROR('Raw Data'!K199 = ROUND('Raw Data'!K199, 2),FALSE)),"",_xlfn.REGEXEXTRACT(CELL("address",K199), "\$([A-Z]+)\$[0-9]+"))),_xlfn.REGEXEXTRACT(CELL("address",K199), "\$([A-Z]+)\$[0-9]+"))</f>
        <v/>
      </c>
      <c r="L199" s="7" t="str">
        <f t="array" aca="1" ref="L199" ca="1">IFERROR(IF(OR('Raw Data'!L199="",LEN(TRIM('Raw Data'!L199))=0),"",IF(AND(ISNUMBER('Raw Data'!L199), IFERROR('Raw Data'!L199 = ROUND('Raw Data'!L199, 2),FALSE)),"",_xlfn.REGEXEXTRACT(CELL("address",L199), "\$([A-Z]+)\$[0-9]+"))),_xlfn.REGEXEXTRACT(CELL("address",L199), "\$([A-Z]+)\$[0-9]+"))</f>
        <v/>
      </c>
      <c r="M199" s="7" t="str">
        <f t="array" aca="1" ref="M199" ca="1">IFERROR(IF(OR('Raw Data'!M199="",LEN(TRIM('Raw Data'!M199))=0),"",IF(AND(ISNUMBER('Raw Data'!M199), IFERROR('Raw Data'!M199 = ROUND('Raw Data'!M199, 2),FALSE)),"",_xlfn.REGEXEXTRACT(CELL("address",M199), "\$([A-Z]+)\$[0-9]+"))),_xlfn.REGEXEXTRACT(CELL("address",M199), "\$([A-Z]+)\$[0-9]+"))</f>
        <v/>
      </c>
      <c r="N199" s="7" t="str">
        <f t="array" aca="1" ref="N199" ca="1">IFERROR(IF(OR('Raw Data'!N199="",LEN(TRIM('Raw Data'!N199))=0),"",IF(AND(ISNUMBER('Raw Data'!N199), IFERROR('Raw Data'!N199 = ROUND('Raw Data'!N199, 2),FALSE)),"",_xlfn.REGEXEXTRACT(CELL("address",N199), "\$([A-Z]+)\$[0-9]+"))),_xlfn.REGEXEXTRACT(CELL("address",N199), "\$([A-Z]+)\$[0-9]+"))</f>
        <v/>
      </c>
      <c r="O199" s="7" t="str">
        <f t="array" aca="1" ref="O199" ca="1">IFERROR(IF(OR('Raw Data'!O199="",LEN(TRIM('Raw Data'!O199))=0),"",IF(AND(ISNUMBER('Raw Data'!O199),'Raw Data'!O199&gt;=Configuration!$D$2),"",_xlfn.REGEXEXTRACT(CELL("address",'Raw Data'!O199),"\$([A-Z]+)\$[0-9]+"))),_xlfn.REGEXEXTRACT(CELL("address",O199), "\$([A-Z]+)\$[0-9]+"))</f>
        <v/>
      </c>
      <c r="P199" s="7" t="str">
        <f t="array" aca="1" ref="P199" ca="1">IFERROR(IF(OR('Raw Data'!P199="",LEN(TRIM('Raw Data'!P199))=0),"",IF(AND(ISNUMBER('Raw Data'!P199), IFERROR('Raw Data'!P199 = ROUND('Raw Data'!P199, 2),FALSE)),"",_xlfn.REGEXEXTRACT(CELL("address",P199), "\$([A-Z]+)\$[0-9]+"))),_xlfn.REGEXEXTRACT(CELL("address",P199), "\$([A-Z]+)\$[0-9]+"))</f>
        <v/>
      </c>
      <c r="Q199" s="7" t="str">
        <f t="array" aca="1" ref="Q199" ca="1">IFERROR(IF(OR('Raw Data'!Q199="",LEN(TRIM('Raw Data'!Q199))=0),"",IF(AND(ISNUMBER('Raw Data'!Q199), IFERROR('Raw Data'!Q199 = ROUND('Raw Data'!Q199, 2),FALSE)),"",_xlfn.REGEXEXTRACT(CELL("address",Q199), "\$([A-Z]+)\$[0-9]+"))),_xlfn.REGEXEXTRACT(CELL("address",Q199), "\$([A-Z]+)\$[0-9]+"))</f>
        <v/>
      </c>
      <c r="R199" s="7" t="str">
        <f t="array" aca="1" ref="R199" ca="1">IFERROR(IF(OR('Raw Data'!R199="",LEN(TRIM('Raw Data'!R199))=0),"",IF(AND(LEN('Raw Data'!R199) &lt;= 50,LEN('Raw Data'!R199)&gt; 0),"",_xlfn.REGEXEXTRACT(CELL("address",'Raw Data'!R199),"\$([A-Z]+)\$[0-9]+"))),_xlfn.REGEXEXTRACT(CELL("address",'Raw Data'!R199),"\$([A-Z]+)\$[0-9]+"))</f>
        <v/>
      </c>
      <c r="S199" s="7" t="str">
        <f t="array" aca="1" ref="S199" ca="1">IFERROR(IF(OR('Raw Data'!S199="",LEN(TRIM('Raw Data'!S199))=0),"",IF(AND(LEN('Raw Data'!S199) &lt;= 50,LEN('Raw Data'!S199)&gt; 0),"",_xlfn.REGEXEXTRACT(CELL("address",'Raw Data'!S199),"\$([A-Z]+)\$[0-9]+"))),_xlfn.REGEXEXTRACT(CELL("address",'Raw Data'!S199),"\$([A-Z]+)\$[0-9]+"))</f>
        <v/>
      </c>
      <c r="T199" s="7" t="str">
        <f t="array" aca="1" ref="T199" ca="1">IFERROR(IF(OR('Raw Data'!T199="",LEN(TRIM('Raw Data'!T199))=0),"",IF(AND(ISNUMBER('Raw Data'!T199), IFERROR('Raw Data'!T199 = ROUND('Raw Data'!T199, 2),FALSE)),"",_xlfn.REGEXEXTRACT(CELL("address",T199), "\$([A-Z]+)\$[0-9]+"))),_xlfn.REGEXEXTRACT(CELL("address",T199), "\$([A-Z]+)\$[0-9]+"))</f>
        <v/>
      </c>
      <c r="U199" s="7" t="str">
        <f t="array" aca="1" ref="U199" ca="1">IFERROR(IF(OR('Raw Data'!U199="",LEN(TRIM('Raw Data'!U199))=0),"",IF(AND(ISNUMBER('Raw Data'!U199), IFERROR('Raw Data'!U199 = ROUND('Raw Data'!U199, 2),FALSE)),"",_xlfn.REGEXEXTRACT(CELL("address",U199), "\$([A-Z]+)\$[0-9]+"))),_xlfn.REGEXEXTRACT(CELL("address",U199), "\$([A-Z]+)\$[0-9]+"))</f>
        <v/>
      </c>
      <c r="V199" s="7" t="str">
        <f t="array" aca="1" ref="V199" ca="1">IFERROR(IF(OR('Raw Data'!V199="",LEN(TRIM('Raw Data'!V199))=0),"",IF(AND(ISNUMBER('Raw Data'!V199), IFERROR('Raw Data'!V199 = ROUND('Raw Data'!V199, 2),FALSE)),"",_xlfn.REGEXEXTRACT(CELL("address",V199), "\$([A-Z]+)\$[0-9]+"))),_xlfn.REGEXEXTRACT(CELL("address",V199), "\$([A-Z]+)\$[0-9]+"))</f>
        <v/>
      </c>
      <c r="W199" s="7" t="str">
        <f t="array" aca="1" ref="W199" ca="1">IFERROR(IF(OR('Raw Data'!W199="",LEN(TRIM('Raw Data'!W199))=0),"",IF(AND(ISNUMBER('Raw Data'!W199), IFERROR('Raw Data'!W199 = ROUND('Raw Data'!W199, 2),FALSE)),"",_xlfn.REGEXEXTRACT(CELL("address",W199), "\$([A-Z]+)\$[0-9]+"))),_xlfn.REGEXEXTRACT(CELL("address",W199), "\$([A-Z]+)\$[0-9]+"))</f>
        <v/>
      </c>
      <c r="X199" s="7" t="str">
        <f t="array" aca="1" ref="X199" ca="1">IFERROR(IF(OR('Raw Data'!X199="",LEN(TRIM('Raw Data'!X199))=0),"",IF(AND(ISNUMBER('Raw Data'!X199), IFERROR('Raw Data'!X199 = ROUND('Raw Data'!X199, 2),FALSE)),"",_xlfn.REGEXEXTRACT(CELL("address",X199), "\$([A-Z]+)\$[0-9]+"))),_xlfn.REGEXEXTRACT(CELL("address",X199), "\$([A-Z]+)\$[0-9]+"))</f>
        <v/>
      </c>
      <c r="Y199" s="7" t="str">
        <f t="array" aca="1" ref="Y199" ca="1">IFERROR(IF(OR('Raw Data'!Y199="",LEN(TRIM('Raw Data'!Y199))=0),"",IF(AND(ISNUMBER('Raw Data'!Y199), IFERROR('Raw Data'!Y199 = ROUND('Raw Data'!Y199, 2),FALSE)),"",_xlfn.REGEXEXTRACT(CELL("address",Y199), "\$([A-Z]+)\$[0-9]+"))),_xlfn.REGEXEXTRACT(CELL("address",Y199), "\$([A-Z]+)\$[0-9]+"))</f>
        <v/>
      </c>
      <c r="Z199" s="7" t="str">
        <f t="array" aca="1" ref="Z199" ca="1">IFERROR(IF(OR('Raw Data'!Z199="",LEN(TRIM('Raw Data'!Z199))=0),"",IF(AND(ISNUMBER('Raw Data'!Z199), IFERROR('Raw Data'!Z199 = ROUND('Raw Data'!Z199, 2),FALSE)),"",_xlfn.REGEXEXTRACT(CELL("address",Z199), "\$([A-Z]+)\$[0-9]+"))),_xlfn.REGEXEXTRACT(CELL("address",Z199), "\$([A-Z]+)\$[0-9]+"))</f>
        <v/>
      </c>
      <c r="AA199" s="7" t="str">
        <f t="array" aca="1" ref="AA199" ca="1">IFERROR(IF(OR('Raw Data'!AA199="",LEN(TRIM('Raw Data'!AA199))=0),"",IF(AND(ISNUMBER('Raw Data'!AA199), IFERROR('Raw Data'!AA199 = ROUND('Raw Data'!AA199, 2),FALSE)),"",_xlfn.REGEXEXTRACT(CELL("address",AA199), "\$([A-Z]+)\$[0-9]+"))),_xlfn.REGEXEXTRACT(CELL("address",AA199), "\$([A-Z]+)\$[0-9]+"))</f>
        <v/>
      </c>
      <c r="AB199" s="7" t="str">
        <f t="array" aca="1" ref="AB199" ca="1">IFERROR(IF(OR('Raw Data'!AB199="",LEN(TRIM('Raw Data'!AB199))=0),"",IF(AND(ISNUMBER('Raw Data'!AB199), IFERROR('Raw Data'!AB199 = ROUND('Raw Data'!AB199, 2),FALSE)),"",_xlfn.REGEXEXTRACT(CELL("address",AB199), "\$([A-Z]+)\$[0-9]+"))),_xlfn.REGEXEXTRACT(CELL("address",AB199), "\$([A-Z]+)\$[0-9]+"))</f>
        <v/>
      </c>
      <c r="AC199" s="7" t="str">
        <f t="array" aca="1" ref="AC199" ca="1">IFERROR(IF(OR('Raw Data'!AC199="",LEN(TRIM('Raw Data'!AC199))=0),"",IF(AND(ISNUMBER('Raw Data'!AC199), IFERROR('Raw Data'!AC199 = ROUND('Raw Data'!AC199, 2),FALSE)),"",_xlfn.REGEXEXTRACT(CELL("address",AC199), "\$([A-Z]+)\$[0-9]+"))),_xlfn.REGEXEXTRACT(CELL("address",AC199), "\$([A-Z]+)\$[0-9]+"))</f>
        <v/>
      </c>
      <c r="AD199" s="7" t="str">
        <f t="array" aca="1" ref="AD199" ca="1">IFERROR(IF(OR('Raw Data'!AD199="",LEN(TRIM('Raw Data'!AD199))=0),"",IF(AND(ISNUMBER('Raw Data'!AD199), IFERROR('Raw Data'!AD199 = ROUND('Raw Data'!AD199, 2),FALSE)),"",_xlfn.REGEXEXTRACT(CELL("address",AD199), "\$([A-Z]+)\$[0-9]+"))),_xlfn.REGEXEXTRACT(CELL("address",AD199), "\$([A-Z]+)\$[0-9]+"))</f>
        <v/>
      </c>
      <c r="AE199" s="7" t="str">
        <f t="array" aca="1" ref="AE199" ca="1">IFERROR(IF(OR('Raw Data'!AE199="",LEN(TRIM('Raw Data'!AE199))=0),"",IF(AND(ISNUMBER('Raw Data'!AE199), IFERROR('Raw Data'!AE199 = ROUND('Raw Data'!AE199, 2),FALSE)),"",_xlfn.REGEXEXTRACT(CELL("address",AE199), "\$([A-Z]+)\$[0-9]+"))),_xlfn.REGEXEXTRACT(CELL("address",AE199), "\$([A-Z]+)\$[0-9]+"))</f>
        <v/>
      </c>
      <c r="AF199" s="7" t="str">
        <f t="array" aca="1" ref="AF199" ca="1">IFERROR(IF(OR('Raw Data'!AF199="",LEN(TRIM('Raw Data'!AF199))=0),"",IF(AND(ISNUMBER('Raw Data'!AF199), IFERROR('Raw Data'!AF199 = ROUND('Raw Data'!AF199, 2),FALSE)),"",_xlfn.REGEXEXTRACT(CELL("address",AF199), "\$([A-Z]+)\$[0-9]+"))),_xlfn.REGEXEXTRACT(CELL("address",AF199), "\$([A-Z]+)\$[0-9]+"))</f>
        <v/>
      </c>
      <c r="AG199" s="7" t="str">
        <f t="array" aca="1" ref="AG199" ca="1">IFERROR(IF(OR('Raw Data'!AG199="",LEN(TRIM('Raw Data'!AG199))=0),"",IF(AND(ISNUMBER('Raw Data'!AG199), IFERROR('Raw Data'!AG199 = ROUND('Raw Data'!AG199, 2),FALSE)),"",_xlfn.REGEXEXTRACT(CELL("address",AG199), "\$([A-Z]+)\$[0-9]+"))),_xlfn.REGEXEXTRACT(CELL("address",AG199), "\$([A-Z]+)\$[0-9]+"))</f>
        <v/>
      </c>
      <c r="AH199" s="7" t="str">
        <f t="array" aca="1" ref="AH199" ca="1">IFERROR(IF(OR('Raw Data'!AH199="",LEN(TRIM('Raw Data'!AH199))=0),"",IF(AND(ISNUMBER('Raw Data'!AH199), IFERROR('Raw Data'!AH199 = ROUND('Raw Data'!AH199, 2),FALSE)),"",_xlfn.REGEXEXTRACT(CELL("address",AH199), "\$([A-Z]+)\$[0-9]+"))),_xlfn.REGEXEXTRACT(CELL("address",AH199), "\$([A-Z]+)\$[0-9]+"))</f>
        <v/>
      </c>
      <c r="AI199" s="7" t="str">
        <f t="array" aca="1" ref="AI199" ca="1">IFERROR(IF(OR('Raw Data'!AI199="",LEN(TRIM('Raw Data'!AI199))=0),"",IF(AND(ISNUMBER('Raw Data'!AI199), IFERROR('Raw Data'!AI199 = ROUND('Raw Data'!AI199, 2),FALSE)),"",_xlfn.REGEXEXTRACT(CELL("address",AI199), "\$([A-Z]+)\$[0-9]+"))),_xlfn.REGEXEXTRACT(CELL("address",AI199), "\$([A-Z]+)\$[0-9]+"))</f>
        <v/>
      </c>
      <c r="AJ199" s="7" t="str">
        <f t="array" aca="1" ref="AJ199" ca="1">IFERROR(IF(OR('Raw Data'!AJ199="",LEN(TRIM('Raw Data'!AJ199))=0),"",IF(AND(ISNUMBER('Raw Data'!AJ199), IFERROR('Raw Data'!AJ199 = ROUND('Raw Data'!AJ199, 4),FALSE)),"",_xlfn.REGEXEXTRACT(CELL("address",AJ199), "\$([A-Z]+)\$[0-9]+"))),_xlfn.REGEXEXTRACT(CELL("address",AJ199), "\$([A-Z]+)\$[0-9]+"))</f>
        <v/>
      </c>
      <c r="AK199" s="7" t="str">
        <f t="array" aca="1" ref="AK199" ca="1">IFERROR(IF(OR('Raw Data'!AK199="",LEN(TRIM('Raw Data'!AK199))=0),"",IF(AND(ISNUMBER('Raw Data'!AK199), IFERROR('Raw Data'!AK199 = ROUND('Raw Data'!AK199, 2),FALSE)),"",_xlfn.REGEXEXTRACT(CELL("address",AK199), "\$([A-Z]+)\$[0-9]+"))),_xlfn.REGEXEXTRACT(CELL("address",AK199), "\$([A-Z]+)\$[0-9]+"))</f>
        <v/>
      </c>
      <c r="AL199" s="7" t="str">
        <f t="array" aca="1" ref="AL199" ca="1">IFERROR(IF(OR('Raw Data'!AL199="",LEN(TRIM('Raw Data'!AL199))=0),"",IF(AND(ISNUMBER('Raw Data'!AL199), IFERROR('Raw Data'!AL199 = ROUND('Raw Data'!AL199, 2),FALSE)),"",_xlfn.REGEXEXTRACT(CELL("address",AL199), "\$([A-Z]+)\$[0-9]+"))),_xlfn.REGEXEXTRACT(CELL("address",AL199), "\$([A-Z]+)\$[0-9]+"))</f>
        <v/>
      </c>
      <c r="AM199" s="7" t="str">
        <f t="array" aca="1" ref="AM199" ca="1">IFERROR(IF(OR('Raw Data'!AM199="",LEN(TRIM('Raw Data'!AM199))=0),"",IF(AND(ISNUMBER('Raw Data'!AM199), IFERROR('Raw Data'!AM199 = ROUND('Raw Data'!AM199, 2),FALSE)),"",_xlfn.REGEXEXTRACT(CELL("address",AM199), "\$([A-Z]+)\$[0-9]+"))),_xlfn.REGEXEXTRACT(CELL("address",AM199), "\$([A-Z]+)\$[0-9]+"))</f>
        <v/>
      </c>
      <c r="AN199" s="7" t="str">
        <f t="array" aca="1" ref="AN199" ca="1">IFERROR(IF(OR('Raw Data'!AN199="",LEN(TRIM('Raw Data'!AN199))=0),"",IF(AND(ISNUMBER('Raw Data'!AN199), IFERROR('Raw Data'!AN199 = ROUND('Raw Data'!AN199, 2),FALSE)),"",_xlfn.REGEXEXTRACT(CELL("address",AN199), "\$([A-Z]+)\$[0-9]+"))),_xlfn.REGEXEXTRACT(CELL("address",AN199), "\$([A-Z]+)\$[0-9]+"))</f>
        <v/>
      </c>
      <c r="AO199" s="7" t="str">
        <f t="array" aca="1" ref="AO199" ca="1">IFERROR(IF(OR('Raw Data'!AO199="",LEN(TRIM('Raw Data'!AO199))=0),"",IF(AND(ISNUMBER('Raw Data'!AO199), IFERROR('Raw Data'!AO199 = ROUND('Raw Data'!AO199, 2),FALSE)),"",_xlfn.REGEXEXTRACT(CELL("address",AO199), "\$([A-Z]+)\$[0-9]+"))),_xlfn.REGEXEXTRACT(CELL("address",AO199), "\$([A-Z]+)\$[0-9]+"))</f>
        <v/>
      </c>
      <c r="AP199" s="7" t="str">
        <f t="array" aca="1" ref="AP199" ca="1">IFERROR(IF(OR('Raw Data'!AP199="",LEN(TRIM('Raw Data'!AP199))=0),"",IF(AND(ISNUMBER('Raw Data'!AP199), IFERROR('Raw Data'!AP199 = ROUND('Raw Data'!AP199, 2),FALSE)),"",_xlfn.REGEXEXTRACT(CELL("address",AP199), "\$([A-Z]+)\$[0-9]+"))),_xlfn.REGEXEXTRACT(CELL("address",AP199), "\$([A-Z]+)\$[0-9]+"))</f>
        <v/>
      </c>
    </row>
    <row r="200" spans="2:42" x14ac:dyDescent="0.25">
      <c r="B200" s="7" t="str">
        <f t="array" aca="1" ref="B200" ca="1">IFERROR(IF(OR('Raw Data'!B200="",LEN(TRIM('Raw Data'!B200))=0),"",IF(AND(LEN('Raw Data'!B200) &lt;= 255,LEN('Raw Data'!B200)&gt; 0),"",_xlfn.REGEXEXTRACT(CELL("address",'Raw Data'!B200),"\$([A-Z]+)\$[0-9]+"))),_xlfn.REGEXEXTRACT(CELL("address",'Raw Data'!B200),"\$([A-Z]+)\$[0-9]+"))</f>
        <v/>
      </c>
      <c r="C200" s="7" t="str">
        <f t="array" aca="1" ref="C200" ca="1">IFERROR(IF(OR('Raw Data'!C200="",LEN(TRIM('Raw Data'!C200))=0),"",IF(AND(LEN('Raw Data'!C200) &lt;= 50,LEN('Raw Data'!C200)&gt; 0),"",_xlfn.REGEXEXTRACT(CELL("address",'Raw Data'!C200),"\$([A-Z]+)\$[0-9]+"))),_xlfn.REGEXEXTRACT(CELL("address",'Raw Data'!C200),"\$([A-Z]+)\$[0-9]+"))</f>
        <v/>
      </c>
      <c r="D200" s="7" t="str">
        <f t="array" aca="1" ref="D200" ca="1">IFERROR(IF(OR('Raw Data'!D200="",LEN(TRIM('Raw Data'!D200))=0),"",IF(AND(LEN('Raw Data'!D200) &lt;= 500,LEN('Raw Data'!D200)&gt; 0),"",_xlfn.REGEXEXTRACT(CELL("address",'Raw Data'!D200),"\$([A-Z]+)\$[0-9]+"))),_xlfn.REGEXEXTRACT(CELL("address",'Raw Data'!D200),"\$([A-Z]+)\$[0-9]+"))</f>
        <v/>
      </c>
      <c r="E200" s="7" t="str">
        <f t="array" aca="1" ref="E200" ca="1">IFERROR(IF(OR('Raw Data'!E200="",LEN(TRIM('Raw Data'!E200))=0),"",IF(AND(LEN('Raw Data'!E200) &lt;= 50,LEN('Raw Data'!E200)&gt; 0),"",_xlfn.REGEXEXTRACT(CELL("address",'Raw Data'!E200),"\$([A-Z]+)\$[0-9]+"))),_xlfn.REGEXEXTRACT(CELL("address",'Raw Data'!E200),"\$([A-Z]+)\$[0-9]+"))</f>
        <v/>
      </c>
      <c r="F200" s="7" t="str">
        <f t="array" aca="1" ref="F200" ca="1">IFERROR(IF(OR('Raw Data'!F200="",LEN(TRIM('Raw Data'!F200))=0),"",IF(AND(LEN('Raw Data'!F200) &lt;= 50,LEN('Raw Data'!F200)&gt; 0),"",_xlfn.REGEXEXTRACT(CELL("address",'Raw Data'!F200),"\$([A-Z]+)\$[0-9]+"))),_xlfn.REGEXEXTRACT(CELL("address",'Raw Data'!F200),"\$([A-Z]+)\$[0-9]+"))</f>
        <v/>
      </c>
      <c r="G200" s="7" t="str">
        <f t="array" aca="1" ref="G200" ca="1">IFERROR(IF(OR('Raw Data'!G200="",LEN(TRIM('Raw Data'!G200))=0),"",IF(AND(LEN('Raw Data'!G200) &lt;= 50,LEN('Raw Data'!G200)&gt; 0),"",_xlfn.REGEXEXTRACT(CELL("address",'Raw Data'!G200),"\$([A-Z]+)\$[0-9]+"))),_xlfn.REGEXEXTRACT(CELL("address",'Raw Data'!G200),"\$([A-Z]+)\$[0-9]+"))</f>
        <v/>
      </c>
      <c r="H200" s="7" t="str">
        <f t="array" aca="1" ref="H200" ca="1">IFERROR(IF(OR('Raw Data'!H200="",LEN(TRIM('Raw Data'!H200))=0),"",IF(AND(LEN('Raw Data'!H200) &lt;= 50,LEN('Raw Data'!H200)&gt; 0),"",_xlfn.REGEXEXTRACT(CELL("address",'Raw Data'!H200),"\$([A-Z]+)\$[0-9]+"))),_xlfn.REGEXEXTRACT(CELL("address",'Raw Data'!H200),"\$([A-Z]+)\$[0-9]+"))</f>
        <v/>
      </c>
      <c r="I200" s="7" t="str">
        <f t="array" aca="1" ref="I200" ca="1">IFERROR(IF(OR('Raw Data'!I200="",LEN(TRIM('Raw Data'!I200))=0),"",IF(AND(LEN('Raw Data'!I200) &lt;= 50,LEN('Raw Data'!I200)&gt; 0),"",_xlfn.REGEXEXTRACT(CELL("address",'Raw Data'!I200),"\$([A-Z]+)\$[0-9]+"))),_xlfn.REGEXEXTRACT(CELL("address",'Raw Data'!I200),"\$([A-Z]+)\$[0-9]+"))</f>
        <v/>
      </c>
      <c r="J200" s="7" t="str">
        <f t="array" aca="1" ref="J200" ca="1">IFERROR(IF(OR('Raw Data'!J200="",LEN(TRIM('Raw Data'!J200))=0),"",IF(AND(ISNUMBER('Raw Data'!J200), IFERROR('Raw Data'!J200 = ROUND('Raw Data'!J200, 2),FALSE)),"",_xlfn.REGEXEXTRACT(CELL("address",J200), "\$([A-Z]+)\$[0-9]+"))),_xlfn.REGEXEXTRACT(CELL("address",J200), "\$([A-Z]+)\$[0-9]+"))</f>
        <v/>
      </c>
      <c r="K200" s="7" t="str">
        <f t="array" aca="1" ref="K200" ca="1">IFERROR(IF(OR('Raw Data'!K200="",LEN(TRIM('Raw Data'!K200))=0),"",IF(AND(ISNUMBER('Raw Data'!K200), IFERROR('Raw Data'!K200 = ROUND('Raw Data'!K200, 2),FALSE)),"",_xlfn.REGEXEXTRACT(CELL("address",K200), "\$([A-Z]+)\$[0-9]+"))),_xlfn.REGEXEXTRACT(CELL("address",K200), "\$([A-Z]+)\$[0-9]+"))</f>
        <v/>
      </c>
      <c r="L200" s="7" t="str">
        <f t="array" aca="1" ref="L200" ca="1">IFERROR(IF(OR('Raw Data'!L200="",LEN(TRIM('Raw Data'!L200))=0),"",IF(AND(ISNUMBER('Raw Data'!L200), IFERROR('Raw Data'!L200 = ROUND('Raw Data'!L200, 2),FALSE)),"",_xlfn.REGEXEXTRACT(CELL("address",L200), "\$([A-Z]+)\$[0-9]+"))),_xlfn.REGEXEXTRACT(CELL("address",L200), "\$([A-Z]+)\$[0-9]+"))</f>
        <v/>
      </c>
      <c r="M200" s="7" t="str">
        <f t="array" aca="1" ref="M200" ca="1">IFERROR(IF(OR('Raw Data'!M200="",LEN(TRIM('Raw Data'!M200))=0),"",IF(AND(ISNUMBER('Raw Data'!M200), IFERROR('Raw Data'!M200 = ROUND('Raw Data'!M200, 2),FALSE)),"",_xlfn.REGEXEXTRACT(CELL("address",M200), "\$([A-Z]+)\$[0-9]+"))),_xlfn.REGEXEXTRACT(CELL("address",M200), "\$([A-Z]+)\$[0-9]+"))</f>
        <v/>
      </c>
      <c r="N200" s="7" t="str">
        <f t="array" aca="1" ref="N200" ca="1">IFERROR(IF(OR('Raw Data'!N200="",LEN(TRIM('Raw Data'!N200))=0),"",IF(AND(ISNUMBER('Raw Data'!N200), IFERROR('Raw Data'!N200 = ROUND('Raw Data'!N200, 2),FALSE)),"",_xlfn.REGEXEXTRACT(CELL("address",N200), "\$([A-Z]+)\$[0-9]+"))),_xlfn.REGEXEXTRACT(CELL("address",N200), "\$([A-Z]+)\$[0-9]+"))</f>
        <v/>
      </c>
      <c r="O200" s="7" t="str">
        <f t="array" aca="1" ref="O200" ca="1">IFERROR(IF(OR('Raw Data'!O200="",LEN(TRIM('Raw Data'!O200))=0),"",IF(AND(ISNUMBER('Raw Data'!O200),'Raw Data'!O200&gt;=Configuration!$D$2),"",_xlfn.REGEXEXTRACT(CELL("address",'Raw Data'!O200),"\$([A-Z]+)\$[0-9]+"))),_xlfn.REGEXEXTRACT(CELL("address",O200), "\$([A-Z]+)\$[0-9]+"))</f>
        <v/>
      </c>
      <c r="P200" s="7" t="str">
        <f t="array" aca="1" ref="P200" ca="1">IFERROR(IF(OR('Raw Data'!P200="",LEN(TRIM('Raw Data'!P200))=0),"",IF(AND(ISNUMBER('Raw Data'!P200), IFERROR('Raw Data'!P200 = ROUND('Raw Data'!P200, 2),FALSE)),"",_xlfn.REGEXEXTRACT(CELL("address",P200), "\$([A-Z]+)\$[0-9]+"))),_xlfn.REGEXEXTRACT(CELL("address",P200), "\$([A-Z]+)\$[0-9]+"))</f>
        <v/>
      </c>
      <c r="Q200" s="7" t="str">
        <f t="array" aca="1" ref="Q200" ca="1">IFERROR(IF(OR('Raw Data'!Q200="",LEN(TRIM('Raw Data'!Q200))=0),"",IF(AND(ISNUMBER('Raw Data'!Q200), IFERROR('Raw Data'!Q200 = ROUND('Raw Data'!Q200, 2),FALSE)),"",_xlfn.REGEXEXTRACT(CELL("address",Q200), "\$([A-Z]+)\$[0-9]+"))),_xlfn.REGEXEXTRACT(CELL("address",Q200), "\$([A-Z]+)\$[0-9]+"))</f>
        <v/>
      </c>
      <c r="R200" s="7" t="str">
        <f t="array" aca="1" ref="R200" ca="1">IFERROR(IF(OR('Raw Data'!R200="",LEN(TRIM('Raw Data'!R200))=0),"",IF(AND(LEN('Raw Data'!R200) &lt;= 50,LEN('Raw Data'!R200)&gt; 0),"",_xlfn.REGEXEXTRACT(CELL("address",'Raw Data'!R200),"\$([A-Z]+)\$[0-9]+"))),_xlfn.REGEXEXTRACT(CELL("address",'Raw Data'!R200),"\$([A-Z]+)\$[0-9]+"))</f>
        <v/>
      </c>
      <c r="S200" s="7" t="str">
        <f t="array" aca="1" ref="S200" ca="1">IFERROR(IF(OR('Raw Data'!S200="",LEN(TRIM('Raw Data'!S200))=0),"",IF(AND(LEN('Raw Data'!S200) &lt;= 50,LEN('Raw Data'!S200)&gt; 0),"",_xlfn.REGEXEXTRACT(CELL("address",'Raw Data'!S200),"\$([A-Z]+)\$[0-9]+"))),_xlfn.REGEXEXTRACT(CELL("address",'Raw Data'!S200),"\$([A-Z]+)\$[0-9]+"))</f>
        <v/>
      </c>
      <c r="T200" s="7" t="str">
        <f t="array" aca="1" ref="T200" ca="1">IFERROR(IF(OR('Raw Data'!T200="",LEN(TRIM('Raw Data'!T200))=0),"",IF(AND(ISNUMBER('Raw Data'!T200), IFERROR('Raw Data'!T200 = ROUND('Raw Data'!T200, 2),FALSE)),"",_xlfn.REGEXEXTRACT(CELL("address",T200), "\$([A-Z]+)\$[0-9]+"))),_xlfn.REGEXEXTRACT(CELL("address",T200), "\$([A-Z]+)\$[0-9]+"))</f>
        <v/>
      </c>
      <c r="U200" s="7" t="str">
        <f t="array" aca="1" ref="U200" ca="1">IFERROR(IF(OR('Raw Data'!U200="",LEN(TRIM('Raw Data'!U200))=0),"",IF(AND(ISNUMBER('Raw Data'!U200), IFERROR('Raw Data'!U200 = ROUND('Raw Data'!U200, 2),FALSE)),"",_xlfn.REGEXEXTRACT(CELL("address",U200), "\$([A-Z]+)\$[0-9]+"))),_xlfn.REGEXEXTRACT(CELL("address",U200), "\$([A-Z]+)\$[0-9]+"))</f>
        <v/>
      </c>
      <c r="V200" s="7" t="str">
        <f t="array" aca="1" ref="V200" ca="1">IFERROR(IF(OR('Raw Data'!V200="",LEN(TRIM('Raw Data'!V200))=0),"",IF(AND(ISNUMBER('Raw Data'!V200), IFERROR('Raw Data'!V200 = ROUND('Raw Data'!V200, 2),FALSE)),"",_xlfn.REGEXEXTRACT(CELL("address",V200), "\$([A-Z]+)\$[0-9]+"))),_xlfn.REGEXEXTRACT(CELL("address",V200), "\$([A-Z]+)\$[0-9]+"))</f>
        <v/>
      </c>
      <c r="W200" s="7" t="str">
        <f t="array" aca="1" ref="W200" ca="1">IFERROR(IF(OR('Raw Data'!W200="",LEN(TRIM('Raw Data'!W200))=0),"",IF(AND(ISNUMBER('Raw Data'!W200), IFERROR('Raw Data'!W200 = ROUND('Raw Data'!W200, 2),FALSE)),"",_xlfn.REGEXEXTRACT(CELL("address",W200), "\$([A-Z]+)\$[0-9]+"))),_xlfn.REGEXEXTRACT(CELL("address",W200), "\$([A-Z]+)\$[0-9]+"))</f>
        <v/>
      </c>
      <c r="X200" s="7" t="str">
        <f t="array" aca="1" ref="X200" ca="1">IFERROR(IF(OR('Raw Data'!X200="",LEN(TRIM('Raw Data'!X200))=0),"",IF(AND(ISNUMBER('Raw Data'!X200), IFERROR('Raw Data'!X200 = ROUND('Raw Data'!X200, 2),FALSE)),"",_xlfn.REGEXEXTRACT(CELL("address",X200), "\$([A-Z]+)\$[0-9]+"))),_xlfn.REGEXEXTRACT(CELL("address",X200), "\$([A-Z]+)\$[0-9]+"))</f>
        <v/>
      </c>
      <c r="Y200" s="7" t="str">
        <f t="array" aca="1" ref="Y200" ca="1">IFERROR(IF(OR('Raw Data'!Y200="",LEN(TRIM('Raw Data'!Y200))=0),"",IF(AND(ISNUMBER('Raw Data'!Y200), IFERROR('Raw Data'!Y200 = ROUND('Raw Data'!Y200, 2),FALSE)),"",_xlfn.REGEXEXTRACT(CELL("address",Y200), "\$([A-Z]+)\$[0-9]+"))),_xlfn.REGEXEXTRACT(CELL("address",Y200), "\$([A-Z]+)\$[0-9]+"))</f>
        <v/>
      </c>
      <c r="Z200" s="7" t="str">
        <f t="array" aca="1" ref="Z200" ca="1">IFERROR(IF(OR('Raw Data'!Z200="",LEN(TRIM('Raw Data'!Z200))=0),"",IF(AND(ISNUMBER('Raw Data'!Z200), IFERROR('Raw Data'!Z200 = ROUND('Raw Data'!Z200, 2),FALSE)),"",_xlfn.REGEXEXTRACT(CELL("address",Z200), "\$([A-Z]+)\$[0-9]+"))),_xlfn.REGEXEXTRACT(CELL("address",Z200), "\$([A-Z]+)\$[0-9]+"))</f>
        <v/>
      </c>
      <c r="AA200" s="7" t="str">
        <f t="array" aca="1" ref="AA200" ca="1">IFERROR(IF(OR('Raw Data'!AA200="",LEN(TRIM('Raw Data'!AA200))=0),"",IF(AND(ISNUMBER('Raw Data'!AA200), IFERROR('Raw Data'!AA200 = ROUND('Raw Data'!AA200, 2),FALSE)),"",_xlfn.REGEXEXTRACT(CELL("address",AA200), "\$([A-Z]+)\$[0-9]+"))),_xlfn.REGEXEXTRACT(CELL("address",AA200), "\$([A-Z]+)\$[0-9]+"))</f>
        <v/>
      </c>
      <c r="AB200" s="7" t="str">
        <f t="array" aca="1" ref="AB200" ca="1">IFERROR(IF(OR('Raw Data'!AB200="",LEN(TRIM('Raw Data'!AB200))=0),"",IF(AND(ISNUMBER('Raw Data'!AB200), IFERROR('Raw Data'!AB200 = ROUND('Raw Data'!AB200, 2),FALSE)),"",_xlfn.REGEXEXTRACT(CELL("address",AB200), "\$([A-Z]+)\$[0-9]+"))),_xlfn.REGEXEXTRACT(CELL("address",AB200), "\$([A-Z]+)\$[0-9]+"))</f>
        <v/>
      </c>
      <c r="AC200" s="7" t="str">
        <f t="array" aca="1" ref="AC200" ca="1">IFERROR(IF(OR('Raw Data'!AC200="",LEN(TRIM('Raw Data'!AC200))=0),"",IF(AND(ISNUMBER('Raw Data'!AC200), IFERROR('Raw Data'!AC200 = ROUND('Raw Data'!AC200, 2),FALSE)),"",_xlfn.REGEXEXTRACT(CELL("address",AC200), "\$([A-Z]+)\$[0-9]+"))),_xlfn.REGEXEXTRACT(CELL("address",AC200), "\$([A-Z]+)\$[0-9]+"))</f>
        <v/>
      </c>
      <c r="AD200" s="7" t="str">
        <f t="array" aca="1" ref="AD200" ca="1">IFERROR(IF(OR('Raw Data'!AD200="",LEN(TRIM('Raw Data'!AD200))=0),"",IF(AND(ISNUMBER('Raw Data'!AD200), IFERROR('Raw Data'!AD200 = ROUND('Raw Data'!AD200, 2),FALSE)),"",_xlfn.REGEXEXTRACT(CELL("address",AD200), "\$([A-Z]+)\$[0-9]+"))),_xlfn.REGEXEXTRACT(CELL("address",AD200), "\$([A-Z]+)\$[0-9]+"))</f>
        <v/>
      </c>
      <c r="AE200" s="7" t="str">
        <f t="array" aca="1" ref="AE200" ca="1">IFERROR(IF(OR('Raw Data'!AE200="",LEN(TRIM('Raw Data'!AE200))=0),"",IF(AND(ISNUMBER('Raw Data'!AE200), IFERROR('Raw Data'!AE200 = ROUND('Raw Data'!AE200, 2),FALSE)),"",_xlfn.REGEXEXTRACT(CELL("address",AE200), "\$([A-Z]+)\$[0-9]+"))),_xlfn.REGEXEXTRACT(CELL("address",AE200), "\$([A-Z]+)\$[0-9]+"))</f>
        <v/>
      </c>
      <c r="AF200" s="7" t="str">
        <f t="array" aca="1" ref="AF200" ca="1">IFERROR(IF(OR('Raw Data'!AF200="",LEN(TRIM('Raw Data'!AF200))=0),"",IF(AND(ISNUMBER('Raw Data'!AF200), IFERROR('Raw Data'!AF200 = ROUND('Raw Data'!AF200, 2),FALSE)),"",_xlfn.REGEXEXTRACT(CELL("address",AF200), "\$([A-Z]+)\$[0-9]+"))),_xlfn.REGEXEXTRACT(CELL("address",AF200), "\$([A-Z]+)\$[0-9]+"))</f>
        <v/>
      </c>
      <c r="AG200" s="7" t="str">
        <f t="array" aca="1" ref="AG200" ca="1">IFERROR(IF(OR('Raw Data'!AG200="",LEN(TRIM('Raw Data'!AG200))=0),"",IF(AND(ISNUMBER('Raw Data'!AG200), IFERROR('Raw Data'!AG200 = ROUND('Raw Data'!AG200, 2),FALSE)),"",_xlfn.REGEXEXTRACT(CELL("address",AG200), "\$([A-Z]+)\$[0-9]+"))),_xlfn.REGEXEXTRACT(CELL("address",AG200), "\$([A-Z]+)\$[0-9]+"))</f>
        <v/>
      </c>
      <c r="AH200" s="7" t="str">
        <f t="array" aca="1" ref="AH200" ca="1">IFERROR(IF(OR('Raw Data'!AH200="",LEN(TRIM('Raw Data'!AH200))=0),"",IF(AND(ISNUMBER('Raw Data'!AH200), IFERROR('Raw Data'!AH200 = ROUND('Raw Data'!AH200, 2),FALSE)),"",_xlfn.REGEXEXTRACT(CELL("address",AH200), "\$([A-Z]+)\$[0-9]+"))),_xlfn.REGEXEXTRACT(CELL("address",AH200), "\$([A-Z]+)\$[0-9]+"))</f>
        <v/>
      </c>
      <c r="AI200" s="7" t="str">
        <f t="array" aca="1" ref="AI200" ca="1">IFERROR(IF(OR('Raw Data'!AI200="",LEN(TRIM('Raw Data'!AI200))=0),"",IF(AND(ISNUMBER('Raw Data'!AI200), IFERROR('Raw Data'!AI200 = ROUND('Raw Data'!AI200, 2),FALSE)),"",_xlfn.REGEXEXTRACT(CELL("address",AI200), "\$([A-Z]+)\$[0-9]+"))),_xlfn.REGEXEXTRACT(CELL("address",AI200), "\$([A-Z]+)\$[0-9]+"))</f>
        <v/>
      </c>
      <c r="AJ200" s="7" t="str">
        <f t="array" aca="1" ref="AJ200" ca="1">IFERROR(IF(OR('Raw Data'!AJ200="",LEN(TRIM('Raw Data'!AJ200))=0),"",IF(AND(ISNUMBER('Raw Data'!AJ200), IFERROR('Raw Data'!AJ200 = ROUND('Raw Data'!AJ200, 4),FALSE)),"",_xlfn.REGEXEXTRACT(CELL("address",AJ200), "\$([A-Z]+)\$[0-9]+"))),_xlfn.REGEXEXTRACT(CELL("address",AJ200), "\$([A-Z]+)\$[0-9]+"))</f>
        <v/>
      </c>
      <c r="AK200" s="7" t="str">
        <f t="array" aca="1" ref="AK200" ca="1">IFERROR(IF(OR('Raw Data'!AK200="",LEN(TRIM('Raw Data'!AK200))=0),"",IF(AND(ISNUMBER('Raw Data'!AK200), IFERROR('Raw Data'!AK200 = ROUND('Raw Data'!AK200, 2),FALSE)),"",_xlfn.REGEXEXTRACT(CELL("address",AK200), "\$([A-Z]+)\$[0-9]+"))),_xlfn.REGEXEXTRACT(CELL("address",AK200), "\$([A-Z]+)\$[0-9]+"))</f>
        <v/>
      </c>
      <c r="AL200" s="7" t="str">
        <f t="array" aca="1" ref="AL200" ca="1">IFERROR(IF(OR('Raw Data'!AL200="",LEN(TRIM('Raw Data'!AL200))=0),"",IF(AND(ISNUMBER('Raw Data'!AL200), IFERROR('Raw Data'!AL200 = ROUND('Raw Data'!AL200, 2),FALSE)),"",_xlfn.REGEXEXTRACT(CELL("address",AL200), "\$([A-Z]+)\$[0-9]+"))),_xlfn.REGEXEXTRACT(CELL("address",AL200), "\$([A-Z]+)\$[0-9]+"))</f>
        <v/>
      </c>
      <c r="AM200" s="7" t="str">
        <f t="array" aca="1" ref="AM200" ca="1">IFERROR(IF(OR('Raw Data'!AM200="",LEN(TRIM('Raw Data'!AM200))=0),"",IF(AND(ISNUMBER('Raw Data'!AM200), IFERROR('Raw Data'!AM200 = ROUND('Raw Data'!AM200, 2),FALSE)),"",_xlfn.REGEXEXTRACT(CELL("address",AM200), "\$([A-Z]+)\$[0-9]+"))),_xlfn.REGEXEXTRACT(CELL("address",AM200), "\$([A-Z]+)\$[0-9]+"))</f>
        <v/>
      </c>
      <c r="AN200" s="7" t="str">
        <f t="array" aca="1" ref="AN200" ca="1">IFERROR(IF(OR('Raw Data'!AN200="",LEN(TRIM('Raw Data'!AN200))=0),"",IF(AND(ISNUMBER('Raw Data'!AN200), IFERROR('Raw Data'!AN200 = ROUND('Raw Data'!AN200, 2),FALSE)),"",_xlfn.REGEXEXTRACT(CELL("address",AN200), "\$([A-Z]+)\$[0-9]+"))),_xlfn.REGEXEXTRACT(CELL("address",AN200), "\$([A-Z]+)\$[0-9]+"))</f>
        <v/>
      </c>
      <c r="AO200" s="7" t="str">
        <f t="array" aca="1" ref="AO200" ca="1">IFERROR(IF(OR('Raw Data'!AO200="",LEN(TRIM('Raw Data'!AO200))=0),"",IF(AND(ISNUMBER('Raw Data'!AO200), IFERROR('Raw Data'!AO200 = ROUND('Raw Data'!AO200, 2),FALSE)),"",_xlfn.REGEXEXTRACT(CELL("address",AO200), "\$([A-Z]+)\$[0-9]+"))),_xlfn.REGEXEXTRACT(CELL("address",AO200), "\$([A-Z]+)\$[0-9]+"))</f>
        <v/>
      </c>
      <c r="AP200" s="7" t="str">
        <f t="array" aca="1" ref="AP200" ca="1">IFERROR(IF(OR('Raw Data'!AP200="",LEN(TRIM('Raw Data'!AP200))=0),"",IF(AND(ISNUMBER('Raw Data'!AP200), IFERROR('Raw Data'!AP200 = ROUND('Raw Data'!AP200, 2),FALSE)),"",_xlfn.REGEXEXTRACT(CELL("address",AP200), "\$([A-Z]+)\$[0-9]+"))),_xlfn.REGEXEXTRACT(CELL("address",AP200), "\$([A-Z]+)\$[0-9]+"))</f>
        <v/>
      </c>
    </row>
    <row r="201" spans="2:42" x14ac:dyDescent="0.25">
      <c r="B201" s="7" t="str">
        <f t="array" aca="1" ref="B201" ca="1">IFERROR(IF(OR('Raw Data'!B201="",LEN(TRIM('Raw Data'!B201))=0),"",IF(AND(LEN('Raw Data'!B201) &lt;= 255,LEN('Raw Data'!B201)&gt; 0),"",_xlfn.REGEXEXTRACT(CELL("address",'Raw Data'!B201),"\$([A-Z]+)\$[0-9]+"))),_xlfn.REGEXEXTRACT(CELL("address",'Raw Data'!B201),"\$([A-Z]+)\$[0-9]+"))</f>
        <v/>
      </c>
      <c r="C201" s="7" t="str">
        <f t="array" aca="1" ref="C201" ca="1">IFERROR(IF(OR('Raw Data'!C201="",LEN(TRIM('Raw Data'!C201))=0),"",IF(AND(LEN('Raw Data'!C201) &lt;= 50,LEN('Raw Data'!C201)&gt; 0),"",_xlfn.REGEXEXTRACT(CELL("address",'Raw Data'!C201),"\$([A-Z]+)\$[0-9]+"))),_xlfn.REGEXEXTRACT(CELL("address",'Raw Data'!C201),"\$([A-Z]+)\$[0-9]+"))</f>
        <v/>
      </c>
      <c r="D201" s="7" t="str">
        <f t="array" aca="1" ref="D201" ca="1">IFERROR(IF(OR('Raw Data'!D201="",LEN(TRIM('Raw Data'!D201))=0),"",IF(AND(LEN('Raw Data'!D201) &lt;= 500,LEN('Raw Data'!D201)&gt; 0),"",_xlfn.REGEXEXTRACT(CELL("address",'Raw Data'!D201),"\$([A-Z]+)\$[0-9]+"))),_xlfn.REGEXEXTRACT(CELL("address",'Raw Data'!D201),"\$([A-Z]+)\$[0-9]+"))</f>
        <v/>
      </c>
      <c r="E201" s="7" t="str">
        <f t="array" aca="1" ref="E201" ca="1">IFERROR(IF(OR('Raw Data'!E201="",LEN(TRIM('Raw Data'!E201))=0),"",IF(AND(LEN('Raw Data'!E201) &lt;= 50,LEN('Raw Data'!E201)&gt; 0),"",_xlfn.REGEXEXTRACT(CELL("address",'Raw Data'!E201),"\$([A-Z]+)\$[0-9]+"))),_xlfn.REGEXEXTRACT(CELL("address",'Raw Data'!E201),"\$([A-Z]+)\$[0-9]+"))</f>
        <v/>
      </c>
      <c r="F201" s="7" t="str">
        <f t="array" aca="1" ref="F201" ca="1">IFERROR(IF(OR('Raw Data'!F201="",LEN(TRIM('Raw Data'!F201))=0),"",IF(AND(LEN('Raw Data'!F201) &lt;= 50,LEN('Raw Data'!F201)&gt; 0),"",_xlfn.REGEXEXTRACT(CELL("address",'Raw Data'!F201),"\$([A-Z]+)\$[0-9]+"))),_xlfn.REGEXEXTRACT(CELL("address",'Raw Data'!F201),"\$([A-Z]+)\$[0-9]+"))</f>
        <v/>
      </c>
      <c r="G201" s="7" t="str">
        <f t="array" aca="1" ref="G201" ca="1">IFERROR(IF(OR('Raw Data'!G201="",LEN(TRIM('Raw Data'!G201))=0),"",IF(AND(LEN('Raw Data'!G201) &lt;= 50,LEN('Raw Data'!G201)&gt; 0),"",_xlfn.REGEXEXTRACT(CELL("address",'Raw Data'!G201),"\$([A-Z]+)\$[0-9]+"))),_xlfn.REGEXEXTRACT(CELL("address",'Raw Data'!G201),"\$([A-Z]+)\$[0-9]+"))</f>
        <v/>
      </c>
      <c r="H201" s="7" t="str">
        <f t="array" aca="1" ref="H201" ca="1">IFERROR(IF(OR('Raw Data'!H201="",LEN(TRIM('Raw Data'!H201))=0),"",IF(AND(LEN('Raw Data'!H201) &lt;= 50,LEN('Raw Data'!H201)&gt; 0),"",_xlfn.REGEXEXTRACT(CELL("address",'Raw Data'!H201),"\$([A-Z]+)\$[0-9]+"))),_xlfn.REGEXEXTRACT(CELL("address",'Raw Data'!H201),"\$([A-Z]+)\$[0-9]+"))</f>
        <v/>
      </c>
      <c r="I201" s="7" t="str">
        <f t="array" aca="1" ref="I201" ca="1">IFERROR(IF(OR('Raw Data'!I201="",LEN(TRIM('Raw Data'!I201))=0),"",IF(AND(LEN('Raw Data'!I201) &lt;= 50,LEN('Raw Data'!I201)&gt; 0),"",_xlfn.REGEXEXTRACT(CELL("address",'Raw Data'!I201),"\$([A-Z]+)\$[0-9]+"))),_xlfn.REGEXEXTRACT(CELL("address",'Raw Data'!I201),"\$([A-Z]+)\$[0-9]+"))</f>
        <v/>
      </c>
      <c r="J201" s="7" t="str">
        <f t="array" aca="1" ref="J201" ca="1">IFERROR(IF(OR('Raw Data'!J201="",LEN(TRIM('Raw Data'!J201))=0),"",IF(AND(ISNUMBER('Raw Data'!J201), IFERROR('Raw Data'!J201 = ROUND('Raw Data'!J201, 2),FALSE)),"",_xlfn.REGEXEXTRACT(CELL("address",J201), "\$([A-Z]+)\$[0-9]+"))),_xlfn.REGEXEXTRACT(CELL("address",J201), "\$([A-Z]+)\$[0-9]+"))</f>
        <v/>
      </c>
      <c r="K201" s="7" t="str">
        <f t="array" aca="1" ref="K201" ca="1">IFERROR(IF(OR('Raw Data'!K201="",LEN(TRIM('Raw Data'!K201))=0),"",IF(AND(ISNUMBER('Raw Data'!K201), IFERROR('Raw Data'!K201 = ROUND('Raw Data'!K201, 2),FALSE)),"",_xlfn.REGEXEXTRACT(CELL("address",K201), "\$([A-Z]+)\$[0-9]+"))),_xlfn.REGEXEXTRACT(CELL("address",K201), "\$([A-Z]+)\$[0-9]+"))</f>
        <v/>
      </c>
      <c r="L201" s="7" t="str">
        <f t="array" aca="1" ref="L201" ca="1">IFERROR(IF(OR('Raw Data'!L201="",LEN(TRIM('Raw Data'!L201))=0),"",IF(AND(ISNUMBER('Raw Data'!L201), IFERROR('Raw Data'!L201 = ROUND('Raw Data'!L201, 2),FALSE)),"",_xlfn.REGEXEXTRACT(CELL("address",L201), "\$([A-Z]+)\$[0-9]+"))),_xlfn.REGEXEXTRACT(CELL("address",L201), "\$([A-Z]+)\$[0-9]+"))</f>
        <v/>
      </c>
      <c r="M201" s="7" t="str">
        <f t="array" aca="1" ref="M201" ca="1">IFERROR(IF(OR('Raw Data'!M201="",LEN(TRIM('Raw Data'!M201))=0),"",IF(AND(ISNUMBER('Raw Data'!M201), IFERROR('Raw Data'!M201 = ROUND('Raw Data'!M201, 2),FALSE)),"",_xlfn.REGEXEXTRACT(CELL("address",M201), "\$([A-Z]+)\$[0-9]+"))),_xlfn.REGEXEXTRACT(CELL("address",M201), "\$([A-Z]+)\$[0-9]+"))</f>
        <v/>
      </c>
      <c r="N201" s="7" t="str">
        <f t="array" aca="1" ref="N201" ca="1">IFERROR(IF(OR('Raw Data'!N201="",LEN(TRIM('Raw Data'!N201))=0),"",IF(AND(ISNUMBER('Raw Data'!N201), IFERROR('Raw Data'!N201 = ROUND('Raw Data'!N201, 2),FALSE)),"",_xlfn.REGEXEXTRACT(CELL("address",N201), "\$([A-Z]+)\$[0-9]+"))),_xlfn.REGEXEXTRACT(CELL("address",N201), "\$([A-Z]+)\$[0-9]+"))</f>
        <v/>
      </c>
      <c r="O201" s="7" t="str">
        <f t="array" aca="1" ref="O201" ca="1">IFERROR(IF(OR('Raw Data'!O201="",LEN(TRIM('Raw Data'!O201))=0),"",IF(AND(ISNUMBER('Raw Data'!O201),'Raw Data'!O201&gt;=Configuration!$D$2),"",_xlfn.REGEXEXTRACT(CELL("address",'Raw Data'!O201),"\$([A-Z]+)\$[0-9]+"))),_xlfn.REGEXEXTRACT(CELL("address",O201), "\$([A-Z]+)\$[0-9]+"))</f>
        <v/>
      </c>
      <c r="P201" s="7" t="str">
        <f t="array" aca="1" ref="P201" ca="1">IFERROR(IF(OR('Raw Data'!P201="",LEN(TRIM('Raw Data'!P201))=0),"",IF(AND(ISNUMBER('Raw Data'!P201), IFERROR('Raw Data'!P201 = ROUND('Raw Data'!P201, 2),FALSE)),"",_xlfn.REGEXEXTRACT(CELL("address",P201), "\$([A-Z]+)\$[0-9]+"))),_xlfn.REGEXEXTRACT(CELL("address",P201), "\$([A-Z]+)\$[0-9]+"))</f>
        <v/>
      </c>
      <c r="Q201" s="7" t="str">
        <f t="array" aca="1" ref="Q201" ca="1">IFERROR(IF(OR('Raw Data'!Q201="",LEN(TRIM('Raw Data'!Q201))=0),"",IF(AND(ISNUMBER('Raw Data'!Q201), IFERROR('Raw Data'!Q201 = ROUND('Raw Data'!Q201, 2),FALSE)),"",_xlfn.REGEXEXTRACT(CELL("address",Q201), "\$([A-Z]+)\$[0-9]+"))),_xlfn.REGEXEXTRACT(CELL("address",Q201), "\$([A-Z]+)\$[0-9]+"))</f>
        <v/>
      </c>
      <c r="R201" s="7" t="str">
        <f t="array" aca="1" ref="R201" ca="1">IFERROR(IF(OR('Raw Data'!R201="",LEN(TRIM('Raw Data'!R201))=0),"",IF(AND(LEN('Raw Data'!R201) &lt;= 50,LEN('Raw Data'!R201)&gt; 0),"",_xlfn.REGEXEXTRACT(CELL("address",'Raw Data'!R201),"\$([A-Z]+)\$[0-9]+"))),_xlfn.REGEXEXTRACT(CELL("address",'Raw Data'!R201),"\$([A-Z]+)\$[0-9]+"))</f>
        <v/>
      </c>
      <c r="S201" s="7" t="str">
        <f t="array" aca="1" ref="S201" ca="1">IFERROR(IF(OR('Raw Data'!S201="",LEN(TRIM('Raw Data'!S201))=0),"",IF(AND(LEN('Raw Data'!S201) &lt;= 50,LEN('Raw Data'!S201)&gt; 0),"",_xlfn.REGEXEXTRACT(CELL("address",'Raw Data'!S201),"\$([A-Z]+)\$[0-9]+"))),_xlfn.REGEXEXTRACT(CELL("address",'Raw Data'!S201),"\$([A-Z]+)\$[0-9]+"))</f>
        <v/>
      </c>
      <c r="T201" s="7" t="str">
        <f t="array" aca="1" ref="T201" ca="1">IFERROR(IF(OR('Raw Data'!T201="",LEN(TRIM('Raw Data'!T201))=0),"",IF(AND(ISNUMBER('Raw Data'!T201), IFERROR('Raw Data'!T201 = ROUND('Raw Data'!T201, 2),FALSE)),"",_xlfn.REGEXEXTRACT(CELL("address",T201), "\$([A-Z]+)\$[0-9]+"))),_xlfn.REGEXEXTRACT(CELL("address",T201), "\$([A-Z]+)\$[0-9]+"))</f>
        <v/>
      </c>
      <c r="U201" s="7" t="str">
        <f t="array" aca="1" ref="U201" ca="1">IFERROR(IF(OR('Raw Data'!U201="",LEN(TRIM('Raw Data'!U201))=0),"",IF(AND(ISNUMBER('Raw Data'!U201), IFERROR('Raw Data'!U201 = ROUND('Raw Data'!U201, 2),FALSE)),"",_xlfn.REGEXEXTRACT(CELL("address",U201), "\$([A-Z]+)\$[0-9]+"))),_xlfn.REGEXEXTRACT(CELL("address",U201), "\$([A-Z]+)\$[0-9]+"))</f>
        <v/>
      </c>
      <c r="V201" s="7" t="str">
        <f t="array" aca="1" ref="V201" ca="1">IFERROR(IF(OR('Raw Data'!V201="",LEN(TRIM('Raw Data'!V201))=0),"",IF(AND(ISNUMBER('Raw Data'!V201), IFERROR('Raw Data'!V201 = ROUND('Raw Data'!V201, 2),FALSE)),"",_xlfn.REGEXEXTRACT(CELL("address",V201), "\$([A-Z]+)\$[0-9]+"))),_xlfn.REGEXEXTRACT(CELL("address",V201), "\$([A-Z]+)\$[0-9]+"))</f>
        <v/>
      </c>
      <c r="W201" s="7" t="str">
        <f t="array" aca="1" ref="W201" ca="1">IFERROR(IF(OR('Raw Data'!W201="",LEN(TRIM('Raw Data'!W201))=0),"",IF(AND(ISNUMBER('Raw Data'!W201), IFERROR('Raw Data'!W201 = ROUND('Raw Data'!W201, 2),FALSE)),"",_xlfn.REGEXEXTRACT(CELL("address",W201), "\$([A-Z]+)\$[0-9]+"))),_xlfn.REGEXEXTRACT(CELL("address",W201), "\$([A-Z]+)\$[0-9]+"))</f>
        <v/>
      </c>
      <c r="X201" s="7" t="str">
        <f t="array" aca="1" ref="X201" ca="1">IFERROR(IF(OR('Raw Data'!X201="",LEN(TRIM('Raw Data'!X201))=0),"",IF(AND(ISNUMBER('Raw Data'!X201), IFERROR('Raw Data'!X201 = ROUND('Raw Data'!X201, 2),FALSE)),"",_xlfn.REGEXEXTRACT(CELL("address",X201), "\$([A-Z]+)\$[0-9]+"))),_xlfn.REGEXEXTRACT(CELL("address",X201), "\$([A-Z]+)\$[0-9]+"))</f>
        <v/>
      </c>
      <c r="Y201" s="7" t="str">
        <f t="array" aca="1" ref="Y201" ca="1">IFERROR(IF(OR('Raw Data'!Y201="",LEN(TRIM('Raw Data'!Y201))=0),"",IF(AND(ISNUMBER('Raw Data'!Y201), IFERROR('Raw Data'!Y201 = ROUND('Raw Data'!Y201, 2),FALSE)),"",_xlfn.REGEXEXTRACT(CELL("address",Y201), "\$([A-Z]+)\$[0-9]+"))),_xlfn.REGEXEXTRACT(CELL("address",Y201), "\$([A-Z]+)\$[0-9]+"))</f>
        <v/>
      </c>
      <c r="Z201" s="7" t="str">
        <f t="array" aca="1" ref="Z201" ca="1">IFERROR(IF(OR('Raw Data'!Z201="",LEN(TRIM('Raw Data'!Z201))=0),"",IF(AND(ISNUMBER('Raw Data'!Z201), IFERROR('Raw Data'!Z201 = ROUND('Raw Data'!Z201, 2),FALSE)),"",_xlfn.REGEXEXTRACT(CELL("address",Z201), "\$([A-Z]+)\$[0-9]+"))),_xlfn.REGEXEXTRACT(CELL("address",Z201), "\$([A-Z]+)\$[0-9]+"))</f>
        <v/>
      </c>
      <c r="AA201" s="7" t="str">
        <f t="array" aca="1" ref="AA201" ca="1">IFERROR(IF(OR('Raw Data'!AA201="",LEN(TRIM('Raw Data'!AA201))=0),"",IF(AND(ISNUMBER('Raw Data'!AA201), IFERROR('Raw Data'!AA201 = ROUND('Raw Data'!AA201, 2),FALSE)),"",_xlfn.REGEXEXTRACT(CELL("address",AA201), "\$([A-Z]+)\$[0-9]+"))),_xlfn.REGEXEXTRACT(CELL("address",AA201), "\$([A-Z]+)\$[0-9]+"))</f>
        <v/>
      </c>
      <c r="AB201" s="7" t="str">
        <f t="array" aca="1" ref="AB201" ca="1">IFERROR(IF(OR('Raw Data'!AB201="",LEN(TRIM('Raw Data'!AB201))=0),"",IF(AND(ISNUMBER('Raw Data'!AB201), IFERROR('Raw Data'!AB201 = ROUND('Raw Data'!AB201, 2),FALSE)),"",_xlfn.REGEXEXTRACT(CELL("address",AB201), "\$([A-Z]+)\$[0-9]+"))),_xlfn.REGEXEXTRACT(CELL("address",AB201), "\$([A-Z]+)\$[0-9]+"))</f>
        <v/>
      </c>
      <c r="AC201" s="7" t="str">
        <f t="array" aca="1" ref="AC201" ca="1">IFERROR(IF(OR('Raw Data'!AC201="",LEN(TRIM('Raw Data'!AC201))=0),"",IF(AND(ISNUMBER('Raw Data'!AC201), IFERROR('Raw Data'!AC201 = ROUND('Raw Data'!AC201, 2),FALSE)),"",_xlfn.REGEXEXTRACT(CELL("address",AC201), "\$([A-Z]+)\$[0-9]+"))),_xlfn.REGEXEXTRACT(CELL("address",AC201), "\$([A-Z]+)\$[0-9]+"))</f>
        <v/>
      </c>
      <c r="AD201" s="7" t="str">
        <f t="array" aca="1" ref="AD201" ca="1">IFERROR(IF(OR('Raw Data'!AD201="",LEN(TRIM('Raw Data'!AD201))=0),"",IF(AND(ISNUMBER('Raw Data'!AD201), IFERROR('Raw Data'!AD201 = ROUND('Raw Data'!AD201, 2),FALSE)),"",_xlfn.REGEXEXTRACT(CELL("address",AD201), "\$([A-Z]+)\$[0-9]+"))),_xlfn.REGEXEXTRACT(CELL("address",AD201), "\$([A-Z]+)\$[0-9]+"))</f>
        <v/>
      </c>
      <c r="AE201" s="7" t="str">
        <f t="array" aca="1" ref="AE201" ca="1">IFERROR(IF(OR('Raw Data'!AE201="",LEN(TRIM('Raw Data'!AE201))=0),"",IF(AND(ISNUMBER('Raw Data'!AE201), IFERROR('Raw Data'!AE201 = ROUND('Raw Data'!AE201, 2),FALSE)),"",_xlfn.REGEXEXTRACT(CELL("address",AE201), "\$([A-Z]+)\$[0-9]+"))),_xlfn.REGEXEXTRACT(CELL("address",AE201), "\$([A-Z]+)\$[0-9]+"))</f>
        <v/>
      </c>
      <c r="AF201" s="7" t="str">
        <f t="array" aca="1" ref="AF201" ca="1">IFERROR(IF(OR('Raw Data'!AF201="",LEN(TRIM('Raw Data'!AF201))=0),"",IF(AND(ISNUMBER('Raw Data'!AF201), IFERROR('Raw Data'!AF201 = ROUND('Raw Data'!AF201, 2),FALSE)),"",_xlfn.REGEXEXTRACT(CELL("address",AF201), "\$([A-Z]+)\$[0-9]+"))),_xlfn.REGEXEXTRACT(CELL("address",AF201), "\$([A-Z]+)\$[0-9]+"))</f>
        <v/>
      </c>
      <c r="AG201" s="7" t="str">
        <f t="array" aca="1" ref="AG201" ca="1">IFERROR(IF(OR('Raw Data'!AG201="",LEN(TRIM('Raw Data'!AG201))=0),"",IF(AND(ISNUMBER('Raw Data'!AG201), IFERROR('Raw Data'!AG201 = ROUND('Raw Data'!AG201, 2),FALSE)),"",_xlfn.REGEXEXTRACT(CELL("address",AG201), "\$([A-Z]+)\$[0-9]+"))),_xlfn.REGEXEXTRACT(CELL("address",AG201), "\$([A-Z]+)\$[0-9]+"))</f>
        <v/>
      </c>
      <c r="AH201" s="7" t="str">
        <f t="array" aca="1" ref="AH201" ca="1">IFERROR(IF(OR('Raw Data'!AH201="",LEN(TRIM('Raw Data'!AH201))=0),"",IF(AND(ISNUMBER('Raw Data'!AH201), IFERROR('Raw Data'!AH201 = ROUND('Raw Data'!AH201, 2),FALSE)),"",_xlfn.REGEXEXTRACT(CELL("address",AH201), "\$([A-Z]+)\$[0-9]+"))),_xlfn.REGEXEXTRACT(CELL("address",AH201), "\$([A-Z]+)\$[0-9]+"))</f>
        <v/>
      </c>
      <c r="AI201" s="7" t="str">
        <f t="array" aca="1" ref="AI201" ca="1">IFERROR(IF(OR('Raw Data'!AI201="",LEN(TRIM('Raw Data'!AI201))=0),"",IF(AND(ISNUMBER('Raw Data'!AI201), IFERROR('Raw Data'!AI201 = ROUND('Raw Data'!AI201, 2),FALSE)),"",_xlfn.REGEXEXTRACT(CELL("address",AI201), "\$([A-Z]+)\$[0-9]+"))),_xlfn.REGEXEXTRACT(CELL("address",AI201), "\$([A-Z]+)\$[0-9]+"))</f>
        <v/>
      </c>
      <c r="AJ201" s="7" t="str">
        <f t="array" aca="1" ref="AJ201" ca="1">IFERROR(IF(OR('Raw Data'!AJ201="",LEN(TRIM('Raw Data'!AJ201))=0),"",IF(AND(ISNUMBER('Raw Data'!AJ201), IFERROR('Raw Data'!AJ201 = ROUND('Raw Data'!AJ201, 4),FALSE)),"",_xlfn.REGEXEXTRACT(CELL("address",AJ201), "\$([A-Z]+)\$[0-9]+"))),_xlfn.REGEXEXTRACT(CELL("address",AJ201), "\$([A-Z]+)\$[0-9]+"))</f>
        <v/>
      </c>
      <c r="AK201" s="7" t="str">
        <f t="array" aca="1" ref="AK201" ca="1">IFERROR(IF(OR('Raw Data'!AK201="",LEN(TRIM('Raw Data'!AK201))=0),"",IF(AND(ISNUMBER('Raw Data'!AK201), IFERROR('Raw Data'!AK201 = ROUND('Raw Data'!AK201, 2),FALSE)),"",_xlfn.REGEXEXTRACT(CELL("address",AK201), "\$([A-Z]+)\$[0-9]+"))),_xlfn.REGEXEXTRACT(CELL("address",AK201), "\$([A-Z]+)\$[0-9]+"))</f>
        <v/>
      </c>
      <c r="AL201" s="7" t="str">
        <f t="array" aca="1" ref="AL201" ca="1">IFERROR(IF(OR('Raw Data'!AL201="",LEN(TRIM('Raw Data'!AL201))=0),"",IF(AND(ISNUMBER('Raw Data'!AL201), IFERROR('Raw Data'!AL201 = ROUND('Raw Data'!AL201, 2),FALSE)),"",_xlfn.REGEXEXTRACT(CELL("address",AL201), "\$([A-Z]+)\$[0-9]+"))),_xlfn.REGEXEXTRACT(CELL("address",AL201), "\$([A-Z]+)\$[0-9]+"))</f>
        <v/>
      </c>
      <c r="AM201" s="7" t="str">
        <f t="array" aca="1" ref="AM201" ca="1">IFERROR(IF(OR('Raw Data'!AM201="",LEN(TRIM('Raw Data'!AM201))=0),"",IF(AND(ISNUMBER('Raw Data'!AM201), IFERROR('Raw Data'!AM201 = ROUND('Raw Data'!AM201, 2),FALSE)),"",_xlfn.REGEXEXTRACT(CELL("address",AM201), "\$([A-Z]+)\$[0-9]+"))),_xlfn.REGEXEXTRACT(CELL("address",AM201), "\$([A-Z]+)\$[0-9]+"))</f>
        <v/>
      </c>
      <c r="AN201" s="7" t="str">
        <f t="array" aca="1" ref="AN201" ca="1">IFERROR(IF(OR('Raw Data'!AN201="",LEN(TRIM('Raw Data'!AN201))=0),"",IF(AND(ISNUMBER('Raw Data'!AN201), IFERROR('Raw Data'!AN201 = ROUND('Raw Data'!AN201, 2),FALSE)),"",_xlfn.REGEXEXTRACT(CELL("address",AN201), "\$([A-Z]+)\$[0-9]+"))),_xlfn.REGEXEXTRACT(CELL("address",AN201), "\$([A-Z]+)\$[0-9]+"))</f>
        <v/>
      </c>
      <c r="AO201" s="7" t="str">
        <f t="array" aca="1" ref="AO201" ca="1">IFERROR(IF(OR('Raw Data'!AO201="",LEN(TRIM('Raw Data'!AO201))=0),"",IF(AND(ISNUMBER('Raw Data'!AO201), IFERROR('Raw Data'!AO201 = ROUND('Raw Data'!AO201, 2),FALSE)),"",_xlfn.REGEXEXTRACT(CELL("address",AO201), "\$([A-Z]+)\$[0-9]+"))),_xlfn.REGEXEXTRACT(CELL("address",AO201), "\$([A-Z]+)\$[0-9]+"))</f>
        <v/>
      </c>
      <c r="AP201" s="7" t="str">
        <f t="array" aca="1" ref="AP201" ca="1">IFERROR(IF(OR('Raw Data'!AP201="",LEN(TRIM('Raw Data'!AP201))=0),"",IF(AND(ISNUMBER('Raw Data'!AP201), IFERROR('Raw Data'!AP201 = ROUND('Raw Data'!AP201, 2),FALSE)),"",_xlfn.REGEXEXTRACT(CELL("address",AP201), "\$([A-Z]+)\$[0-9]+"))),_xlfn.REGEXEXTRACT(CELL("address",AP201), "\$([A-Z]+)\$[0-9]+"))</f>
        <v/>
      </c>
    </row>
    <row r="202" spans="2:42" x14ac:dyDescent="0.25">
      <c r="B202" s="7" t="str">
        <f t="array" aca="1" ref="B202" ca="1">IFERROR(IF(OR('Raw Data'!B202="",LEN(TRIM('Raw Data'!B202))=0),"",IF(AND(LEN('Raw Data'!B202) &lt;= 255,LEN('Raw Data'!B202)&gt; 0),"",_xlfn.REGEXEXTRACT(CELL("address",'Raw Data'!B202),"\$([A-Z]+)\$[0-9]+"))),_xlfn.REGEXEXTRACT(CELL("address",'Raw Data'!B202),"\$([A-Z]+)\$[0-9]+"))</f>
        <v/>
      </c>
      <c r="C202" s="7" t="str">
        <f t="array" aca="1" ref="C202" ca="1">IFERROR(IF(OR('Raw Data'!C202="",LEN(TRIM('Raw Data'!C202))=0),"",IF(AND(LEN('Raw Data'!C202) &lt;= 50,LEN('Raw Data'!C202)&gt; 0),"",_xlfn.REGEXEXTRACT(CELL("address",'Raw Data'!C202),"\$([A-Z]+)\$[0-9]+"))),_xlfn.REGEXEXTRACT(CELL("address",'Raw Data'!C202),"\$([A-Z]+)\$[0-9]+"))</f>
        <v/>
      </c>
      <c r="D202" s="7" t="str">
        <f t="array" aca="1" ref="D202" ca="1">IFERROR(IF(OR('Raw Data'!D202="",LEN(TRIM('Raw Data'!D202))=0),"",IF(AND(LEN('Raw Data'!D202) &lt;= 500,LEN('Raw Data'!D202)&gt; 0),"",_xlfn.REGEXEXTRACT(CELL("address",'Raw Data'!D202),"\$([A-Z]+)\$[0-9]+"))),_xlfn.REGEXEXTRACT(CELL("address",'Raw Data'!D202),"\$([A-Z]+)\$[0-9]+"))</f>
        <v/>
      </c>
      <c r="E202" s="7" t="str">
        <f t="array" aca="1" ref="E202" ca="1">IFERROR(IF(OR('Raw Data'!E202="",LEN(TRIM('Raw Data'!E202))=0),"",IF(AND(LEN('Raw Data'!E202) &lt;= 50,LEN('Raw Data'!E202)&gt; 0),"",_xlfn.REGEXEXTRACT(CELL("address",'Raw Data'!E202),"\$([A-Z]+)\$[0-9]+"))),_xlfn.REGEXEXTRACT(CELL("address",'Raw Data'!E202),"\$([A-Z]+)\$[0-9]+"))</f>
        <v/>
      </c>
      <c r="F202" s="7" t="str">
        <f t="array" aca="1" ref="F202" ca="1">IFERROR(IF(OR('Raw Data'!F202="",LEN(TRIM('Raw Data'!F202))=0),"",IF(AND(LEN('Raw Data'!F202) &lt;= 50,LEN('Raw Data'!F202)&gt; 0),"",_xlfn.REGEXEXTRACT(CELL("address",'Raw Data'!F202),"\$([A-Z]+)\$[0-9]+"))),_xlfn.REGEXEXTRACT(CELL("address",'Raw Data'!F202),"\$([A-Z]+)\$[0-9]+"))</f>
        <v/>
      </c>
      <c r="G202" s="7" t="str">
        <f t="array" aca="1" ref="G202" ca="1">IFERROR(IF(OR('Raw Data'!G202="",LEN(TRIM('Raw Data'!G202))=0),"",IF(AND(LEN('Raw Data'!G202) &lt;= 50,LEN('Raw Data'!G202)&gt; 0),"",_xlfn.REGEXEXTRACT(CELL("address",'Raw Data'!G202),"\$([A-Z]+)\$[0-9]+"))),_xlfn.REGEXEXTRACT(CELL("address",'Raw Data'!G202),"\$([A-Z]+)\$[0-9]+"))</f>
        <v/>
      </c>
      <c r="H202" s="7" t="str">
        <f t="array" aca="1" ref="H202" ca="1">IFERROR(IF(OR('Raw Data'!H202="",LEN(TRIM('Raw Data'!H202))=0),"",IF(AND(LEN('Raw Data'!H202) &lt;= 50,LEN('Raw Data'!H202)&gt; 0),"",_xlfn.REGEXEXTRACT(CELL("address",'Raw Data'!H202),"\$([A-Z]+)\$[0-9]+"))),_xlfn.REGEXEXTRACT(CELL("address",'Raw Data'!H202),"\$([A-Z]+)\$[0-9]+"))</f>
        <v/>
      </c>
      <c r="I202" s="7" t="str">
        <f t="array" aca="1" ref="I202" ca="1">IFERROR(IF(OR('Raw Data'!I202="",LEN(TRIM('Raw Data'!I202))=0),"",IF(AND(LEN('Raw Data'!I202) &lt;= 50,LEN('Raw Data'!I202)&gt; 0),"",_xlfn.REGEXEXTRACT(CELL("address",'Raw Data'!I202),"\$([A-Z]+)\$[0-9]+"))),_xlfn.REGEXEXTRACT(CELL("address",'Raw Data'!I202),"\$([A-Z]+)\$[0-9]+"))</f>
        <v/>
      </c>
      <c r="J202" s="7" t="str">
        <f t="array" aca="1" ref="J202" ca="1">IFERROR(IF(OR('Raw Data'!J202="",LEN(TRIM('Raw Data'!J202))=0),"",IF(AND(ISNUMBER('Raw Data'!J202), IFERROR('Raw Data'!J202 = ROUND('Raw Data'!J202, 2),FALSE)),"",_xlfn.REGEXEXTRACT(CELL("address",J202), "\$([A-Z]+)\$[0-9]+"))),_xlfn.REGEXEXTRACT(CELL("address",J202), "\$([A-Z]+)\$[0-9]+"))</f>
        <v/>
      </c>
      <c r="K202" s="7" t="str">
        <f t="array" aca="1" ref="K202" ca="1">IFERROR(IF(OR('Raw Data'!K202="",LEN(TRIM('Raw Data'!K202))=0),"",IF(AND(ISNUMBER('Raw Data'!K202), IFERROR('Raw Data'!K202 = ROUND('Raw Data'!K202, 2),FALSE)),"",_xlfn.REGEXEXTRACT(CELL("address",K202), "\$([A-Z]+)\$[0-9]+"))),_xlfn.REGEXEXTRACT(CELL("address",K202), "\$([A-Z]+)\$[0-9]+"))</f>
        <v/>
      </c>
      <c r="L202" s="7" t="str">
        <f t="array" aca="1" ref="L202" ca="1">IFERROR(IF(OR('Raw Data'!L202="",LEN(TRIM('Raw Data'!L202))=0),"",IF(AND(ISNUMBER('Raw Data'!L202), IFERROR('Raw Data'!L202 = ROUND('Raw Data'!L202, 2),FALSE)),"",_xlfn.REGEXEXTRACT(CELL("address",L202), "\$([A-Z]+)\$[0-9]+"))),_xlfn.REGEXEXTRACT(CELL("address",L202), "\$([A-Z]+)\$[0-9]+"))</f>
        <v/>
      </c>
      <c r="M202" s="7" t="str">
        <f t="array" aca="1" ref="M202" ca="1">IFERROR(IF(OR('Raw Data'!M202="",LEN(TRIM('Raw Data'!M202))=0),"",IF(AND(ISNUMBER('Raw Data'!M202), IFERROR('Raw Data'!M202 = ROUND('Raw Data'!M202, 2),FALSE)),"",_xlfn.REGEXEXTRACT(CELL("address",M202), "\$([A-Z]+)\$[0-9]+"))),_xlfn.REGEXEXTRACT(CELL("address",M202), "\$([A-Z]+)\$[0-9]+"))</f>
        <v/>
      </c>
      <c r="N202" s="7" t="str">
        <f t="array" aca="1" ref="N202" ca="1">IFERROR(IF(OR('Raw Data'!N202="",LEN(TRIM('Raw Data'!N202))=0),"",IF(AND(ISNUMBER('Raw Data'!N202), IFERROR('Raw Data'!N202 = ROUND('Raw Data'!N202, 2),FALSE)),"",_xlfn.REGEXEXTRACT(CELL("address",N202), "\$([A-Z]+)\$[0-9]+"))),_xlfn.REGEXEXTRACT(CELL("address",N202), "\$([A-Z]+)\$[0-9]+"))</f>
        <v/>
      </c>
      <c r="O202" s="7" t="str">
        <f t="array" aca="1" ref="O202" ca="1">IFERROR(IF(OR('Raw Data'!O202="",LEN(TRIM('Raw Data'!O202))=0),"",IF(AND(ISNUMBER('Raw Data'!O202),'Raw Data'!O202&gt;=Configuration!$D$2),"",_xlfn.REGEXEXTRACT(CELL("address",'Raw Data'!O202),"\$([A-Z]+)\$[0-9]+"))),_xlfn.REGEXEXTRACT(CELL("address",O202), "\$([A-Z]+)\$[0-9]+"))</f>
        <v/>
      </c>
      <c r="P202" s="7" t="str">
        <f t="array" aca="1" ref="P202" ca="1">IFERROR(IF(OR('Raw Data'!P202="",LEN(TRIM('Raw Data'!P202))=0),"",IF(AND(ISNUMBER('Raw Data'!P202), IFERROR('Raw Data'!P202 = ROUND('Raw Data'!P202, 2),FALSE)),"",_xlfn.REGEXEXTRACT(CELL("address",P202), "\$([A-Z]+)\$[0-9]+"))),_xlfn.REGEXEXTRACT(CELL("address",P202), "\$([A-Z]+)\$[0-9]+"))</f>
        <v/>
      </c>
      <c r="Q202" s="7" t="str">
        <f t="array" aca="1" ref="Q202" ca="1">IFERROR(IF(OR('Raw Data'!Q202="",LEN(TRIM('Raw Data'!Q202))=0),"",IF(AND(ISNUMBER('Raw Data'!Q202), IFERROR('Raw Data'!Q202 = ROUND('Raw Data'!Q202, 2),FALSE)),"",_xlfn.REGEXEXTRACT(CELL("address",Q202), "\$([A-Z]+)\$[0-9]+"))),_xlfn.REGEXEXTRACT(CELL("address",Q202), "\$([A-Z]+)\$[0-9]+"))</f>
        <v/>
      </c>
      <c r="R202" s="7" t="str">
        <f t="array" aca="1" ref="R202" ca="1">IFERROR(IF(OR('Raw Data'!R202="",LEN(TRIM('Raw Data'!R202))=0),"",IF(AND(LEN('Raw Data'!R202) &lt;= 50,LEN('Raw Data'!R202)&gt; 0),"",_xlfn.REGEXEXTRACT(CELL("address",'Raw Data'!R202),"\$([A-Z]+)\$[0-9]+"))),_xlfn.REGEXEXTRACT(CELL("address",'Raw Data'!R202),"\$([A-Z]+)\$[0-9]+"))</f>
        <v/>
      </c>
      <c r="S202" s="7" t="str">
        <f t="array" aca="1" ref="S202" ca="1">IFERROR(IF(OR('Raw Data'!S202="",LEN(TRIM('Raw Data'!S202))=0),"",IF(AND(LEN('Raw Data'!S202) &lt;= 50,LEN('Raw Data'!S202)&gt; 0),"",_xlfn.REGEXEXTRACT(CELL("address",'Raw Data'!S202),"\$([A-Z]+)\$[0-9]+"))),_xlfn.REGEXEXTRACT(CELL("address",'Raw Data'!S202),"\$([A-Z]+)\$[0-9]+"))</f>
        <v/>
      </c>
      <c r="T202" s="7" t="str">
        <f t="array" aca="1" ref="T202" ca="1">IFERROR(IF(OR('Raw Data'!T202="",LEN(TRIM('Raw Data'!T202))=0),"",IF(AND(ISNUMBER('Raw Data'!T202), IFERROR('Raw Data'!T202 = ROUND('Raw Data'!T202, 2),FALSE)),"",_xlfn.REGEXEXTRACT(CELL("address",T202), "\$([A-Z]+)\$[0-9]+"))),_xlfn.REGEXEXTRACT(CELL("address",T202), "\$([A-Z]+)\$[0-9]+"))</f>
        <v/>
      </c>
      <c r="U202" s="7" t="str">
        <f t="array" aca="1" ref="U202" ca="1">IFERROR(IF(OR('Raw Data'!U202="",LEN(TRIM('Raw Data'!U202))=0),"",IF(AND(ISNUMBER('Raw Data'!U202), IFERROR('Raw Data'!U202 = ROUND('Raw Data'!U202, 2),FALSE)),"",_xlfn.REGEXEXTRACT(CELL("address",U202), "\$([A-Z]+)\$[0-9]+"))),_xlfn.REGEXEXTRACT(CELL("address",U202), "\$([A-Z]+)\$[0-9]+"))</f>
        <v/>
      </c>
      <c r="V202" s="7" t="str">
        <f t="array" aca="1" ref="V202" ca="1">IFERROR(IF(OR('Raw Data'!V202="",LEN(TRIM('Raw Data'!V202))=0),"",IF(AND(ISNUMBER('Raw Data'!V202), IFERROR('Raw Data'!V202 = ROUND('Raw Data'!V202, 2),FALSE)),"",_xlfn.REGEXEXTRACT(CELL("address",V202), "\$([A-Z]+)\$[0-9]+"))),_xlfn.REGEXEXTRACT(CELL("address",V202), "\$([A-Z]+)\$[0-9]+"))</f>
        <v/>
      </c>
      <c r="W202" s="7" t="str">
        <f t="array" aca="1" ref="W202" ca="1">IFERROR(IF(OR('Raw Data'!W202="",LEN(TRIM('Raw Data'!W202))=0),"",IF(AND(ISNUMBER('Raw Data'!W202), IFERROR('Raw Data'!W202 = ROUND('Raw Data'!W202, 2),FALSE)),"",_xlfn.REGEXEXTRACT(CELL("address",W202), "\$([A-Z]+)\$[0-9]+"))),_xlfn.REGEXEXTRACT(CELL("address",W202), "\$([A-Z]+)\$[0-9]+"))</f>
        <v/>
      </c>
      <c r="X202" s="7" t="str">
        <f t="array" aca="1" ref="X202" ca="1">IFERROR(IF(OR('Raw Data'!X202="",LEN(TRIM('Raw Data'!X202))=0),"",IF(AND(ISNUMBER('Raw Data'!X202), IFERROR('Raw Data'!X202 = ROUND('Raw Data'!X202, 2),FALSE)),"",_xlfn.REGEXEXTRACT(CELL("address",X202), "\$([A-Z]+)\$[0-9]+"))),_xlfn.REGEXEXTRACT(CELL("address",X202), "\$([A-Z]+)\$[0-9]+"))</f>
        <v/>
      </c>
      <c r="Y202" s="7" t="str">
        <f t="array" aca="1" ref="Y202" ca="1">IFERROR(IF(OR('Raw Data'!Y202="",LEN(TRIM('Raw Data'!Y202))=0),"",IF(AND(ISNUMBER('Raw Data'!Y202), IFERROR('Raw Data'!Y202 = ROUND('Raw Data'!Y202, 2),FALSE)),"",_xlfn.REGEXEXTRACT(CELL("address",Y202), "\$([A-Z]+)\$[0-9]+"))),_xlfn.REGEXEXTRACT(CELL("address",Y202), "\$([A-Z]+)\$[0-9]+"))</f>
        <v/>
      </c>
      <c r="Z202" s="7" t="str">
        <f t="array" aca="1" ref="Z202" ca="1">IFERROR(IF(OR('Raw Data'!Z202="",LEN(TRIM('Raw Data'!Z202))=0),"",IF(AND(ISNUMBER('Raw Data'!Z202), IFERROR('Raw Data'!Z202 = ROUND('Raw Data'!Z202, 2),FALSE)),"",_xlfn.REGEXEXTRACT(CELL("address",Z202), "\$([A-Z]+)\$[0-9]+"))),_xlfn.REGEXEXTRACT(CELL("address",Z202), "\$([A-Z]+)\$[0-9]+"))</f>
        <v/>
      </c>
      <c r="AA202" s="7" t="str">
        <f t="array" aca="1" ref="AA202" ca="1">IFERROR(IF(OR('Raw Data'!AA202="",LEN(TRIM('Raw Data'!AA202))=0),"",IF(AND(ISNUMBER('Raw Data'!AA202), IFERROR('Raw Data'!AA202 = ROUND('Raw Data'!AA202, 2),FALSE)),"",_xlfn.REGEXEXTRACT(CELL("address",AA202), "\$([A-Z]+)\$[0-9]+"))),_xlfn.REGEXEXTRACT(CELL("address",AA202), "\$([A-Z]+)\$[0-9]+"))</f>
        <v/>
      </c>
      <c r="AB202" s="7" t="str">
        <f t="array" aca="1" ref="AB202" ca="1">IFERROR(IF(OR('Raw Data'!AB202="",LEN(TRIM('Raw Data'!AB202))=0),"",IF(AND(ISNUMBER('Raw Data'!AB202), IFERROR('Raw Data'!AB202 = ROUND('Raw Data'!AB202, 2),FALSE)),"",_xlfn.REGEXEXTRACT(CELL("address",AB202), "\$([A-Z]+)\$[0-9]+"))),_xlfn.REGEXEXTRACT(CELL("address",AB202), "\$([A-Z]+)\$[0-9]+"))</f>
        <v/>
      </c>
      <c r="AC202" s="7" t="str">
        <f t="array" aca="1" ref="AC202" ca="1">IFERROR(IF(OR('Raw Data'!AC202="",LEN(TRIM('Raw Data'!AC202))=0),"",IF(AND(ISNUMBER('Raw Data'!AC202), IFERROR('Raw Data'!AC202 = ROUND('Raw Data'!AC202, 2),FALSE)),"",_xlfn.REGEXEXTRACT(CELL("address",AC202), "\$([A-Z]+)\$[0-9]+"))),_xlfn.REGEXEXTRACT(CELL("address",AC202), "\$([A-Z]+)\$[0-9]+"))</f>
        <v/>
      </c>
      <c r="AD202" s="7" t="str">
        <f t="array" aca="1" ref="AD202" ca="1">IFERROR(IF(OR('Raw Data'!AD202="",LEN(TRIM('Raw Data'!AD202))=0),"",IF(AND(ISNUMBER('Raw Data'!AD202), IFERROR('Raw Data'!AD202 = ROUND('Raw Data'!AD202, 2),FALSE)),"",_xlfn.REGEXEXTRACT(CELL("address",AD202), "\$([A-Z]+)\$[0-9]+"))),_xlfn.REGEXEXTRACT(CELL("address",AD202), "\$([A-Z]+)\$[0-9]+"))</f>
        <v/>
      </c>
      <c r="AE202" s="7" t="str">
        <f t="array" aca="1" ref="AE202" ca="1">IFERROR(IF(OR('Raw Data'!AE202="",LEN(TRIM('Raw Data'!AE202))=0),"",IF(AND(ISNUMBER('Raw Data'!AE202), IFERROR('Raw Data'!AE202 = ROUND('Raw Data'!AE202, 2),FALSE)),"",_xlfn.REGEXEXTRACT(CELL("address",AE202), "\$([A-Z]+)\$[0-9]+"))),_xlfn.REGEXEXTRACT(CELL("address",AE202), "\$([A-Z]+)\$[0-9]+"))</f>
        <v/>
      </c>
      <c r="AF202" s="7" t="str">
        <f t="array" aca="1" ref="AF202" ca="1">IFERROR(IF(OR('Raw Data'!AF202="",LEN(TRIM('Raw Data'!AF202))=0),"",IF(AND(ISNUMBER('Raw Data'!AF202), IFERROR('Raw Data'!AF202 = ROUND('Raw Data'!AF202, 2),FALSE)),"",_xlfn.REGEXEXTRACT(CELL("address",AF202), "\$([A-Z]+)\$[0-9]+"))),_xlfn.REGEXEXTRACT(CELL("address",AF202), "\$([A-Z]+)\$[0-9]+"))</f>
        <v/>
      </c>
      <c r="AG202" s="7" t="str">
        <f t="array" aca="1" ref="AG202" ca="1">IFERROR(IF(OR('Raw Data'!AG202="",LEN(TRIM('Raw Data'!AG202))=0),"",IF(AND(ISNUMBER('Raw Data'!AG202), IFERROR('Raw Data'!AG202 = ROUND('Raw Data'!AG202, 2),FALSE)),"",_xlfn.REGEXEXTRACT(CELL("address",AG202), "\$([A-Z]+)\$[0-9]+"))),_xlfn.REGEXEXTRACT(CELL("address",AG202), "\$([A-Z]+)\$[0-9]+"))</f>
        <v/>
      </c>
      <c r="AH202" s="7" t="str">
        <f t="array" aca="1" ref="AH202" ca="1">IFERROR(IF(OR('Raw Data'!AH202="",LEN(TRIM('Raw Data'!AH202))=0),"",IF(AND(ISNUMBER('Raw Data'!AH202), IFERROR('Raw Data'!AH202 = ROUND('Raw Data'!AH202, 2),FALSE)),"",_xlfn.REGEXEXTRACT(CELL("address",AH202), "\$([A-Z]+)\$[0-9]+"))),_xlfn.REGEXEXTRACT(CELL("address",AH202), "\$([A-Z]+)\$[0-9]+"))</f>
        <v/>
      </c>
      <c r="AI202" s="7" t="str">
        <f t="array" aca="1" ref="AI202" ca="1">IFERROR(IF(OR('Raw Data'!AI202="",LEN(TRIM('Raw Data'!AI202))=0),"",IF(AND(ISNUMBER('Raw Data'!AI202), IFERROR('Raw Data'!AI202 = ROUND('Raw Data'!AI202, 2),FALSE)),"",_xlfn.REGEXEXTRACT(CELL("address",AI202), "\$([A-Z]+)\$[0-9]+"))),_xlfn.REGEXEXTRACT(CELL("address",AI202), "\$([A-Z]+)\$[0-9]+"))</f>
        <v/>
      </c>
      <c r="AJ202" s="7" t="str">
        <f t="array" aca="1" ref="AJ202" ca="1">IFERROR(IF(OR('Raw Data'!AJ202="",LEN(TRIM('Raw Data'!AJ202))=0),"",IF(AND(ISNUMBER('Raw Data'!AJ202), IFERROR('Raw Data'!AJ202 = ROUND('Raw Data'!AJ202, 4),FALSE)),"",_xlfn.REGEXEXTRACT(CELL("address",AJ202), "\$([A-Z]+)\$[0-9]+"))),_xlfn.REGEXEXTRACT(CELL("address",AJ202), "\$([A-Z]+)\$[0-9]+"))</f>
        <v/>
      </c>
      <c r="AK202" s="7" t="str">
        <f t="array" aca="1" ref="AK202" ca="1">IFERROR(IF(OR('Raw Data'!AK202="",LEN(TRIM('Raw Data'!AK202))=0),"",IF(AND(ISNUMBER('Raw Data'!AK202), IFERROR('Raw Data'!AK202 = ROUND('Raw Data'!AK202, 2),FALSE)),"",_xlfn.REGEXEXTRACT(CELL("address",AK202), "\$([A-Z]+)\$[0-9]+"))),_xlfn.REGEXEXTRACT(CELL("address",AK202), "\$([A-Z]+)\$[0-9]+"))</f>
        <v/>
      </c>
      <c r="AL202" s="7" t="str">
        <f t="array" aca="1" ref="AL202" ca="1">IFERROR(IF(OR('Raw Data'!AL202="",LEN(TRIM('Raw Data'!AL202))=0),"",IF(AND(ISNUMBER('Raw Data'!AL202), IFERROR('Raw Data'!AL202 = ROUND('Raw Data'!AL202, 2),FALSE)),"",_xlfn.REGEXEXTRACT(CELL("address",AL202), "\$([A-Z]+)\$[0-9]+"))),_xlfn.REGEXEXTRACT(CELL("address",AL202), "\$([A-Z]+)\$[0-9]+"))</f>
        <v/>
      </c>
      <c r="AM202" s="7" t="str">
        <f t="array" aca="1" ref="AM202" ca="1">IFERROR(IF(OR('Raw Data'!AM202="",LEN(TRIM('Raw Data'!AM202))=0),"",IF(AND(ISNUMBER('Raw Data'!AM202), IFERROR('Raw Data'!AM202 = ROUND('Raw Data'!AM202, 2),FALSE)),"",_xlfn.REGEXEXTRACT(CELL("address",AM202), "\$([A-Z]+)\$[0-9]+"))),_xlfn.REGEXEXTRACT(CELL("address",AM202), "\$([A-Z]+)\$[0-9]+"))</f>
        <v/>
      </c>
      <c r="AN202" s="7" t="str">
        <f t="array" aca="1" ref="AN202" ca="1">IFERROR(IF(OR('Raw Data'!AN202="",LEN(TRIM('Raw Data'!AN202))=0),"",IF(AND(ISNUMBER('Raw Data'!AN202), IFERROR('Raw Data'!AN202 = ROUND('Raw Data'!AN202, 2),FALSE)),"",_xlfn.REGEXEXTRACT(CELL("address",AN202), "\$([A-Z]+)\$[0-9]+"))),_xlfn.REGEXEXTRACT(CELL("address",AN202), "\$([A-Z]+)\$[0-9]+"))</f>
        <v/>
      </c>
      <c r="AO202" s="7" t="str">
        <f t="array" aca="1" ref="AO202" ca="1">IFERROR(IF(OR('Raw Data'!AO202="",LEN(TRIM('Raw Data'!AO202))=0),"",IF(AND(ISNUMBER('Raw Data'!AO202), IFERROR('Raw Data'!AO202 = ROUND('Raw Data'!AO202, 2),FALSE)),"",_xlfn.REGEXEXTRACT(CELL("address",AO202), "\$([A-Z]+)\$[0-9]+"))),_xlfn.REGEXEXTRACT(CELL("address",AO202), "\$([A-Z]+)\$[0-9]+"))</f>
        <v/>
      </c>
      <c r="AP202" s="7" t="str">
        <f t="array" aca="1" ref="AP202" ca="1">IFERROR(IF(OR('Raw Data'!AP202="",LEN(TRIM('Raw Data'!AP202))=0),"",IF(AND(ISNUMBER('Raw Data'!AP202), IFERROR('Raw Data'!AP202 = ROUND('Raw Data'!AP202, 2),FALSE)),"",_xlfn.REGEXEXTRACT(CELL("address",AP202), "\$([A-Z]+)\$[0-9]+"))),_xlfn.REGEXEXTRACT(CELL("address",AP202), "\$([A-Z]+)\$[0-9]+"))</f>
        <v/>
      </c>
    </row>
    <row r="203" spans="2:42" x14ac:dyDescent="0.25">
      <c r="B203" s="7" t="str">
        <f t="array" aca="1" ref="B203" ca="1">IFERROR(IF(OR('Raw Data'!B203="",LEN(TRIM('Raw Data'!B203))=0),"",IF(AND(LEN('Raw Data'!B203) &lt;= 255,LEN('Raw Data'!B203)&gt; 0),"",_xlfn.REGEXEXTRACT(CELL("address",'Raw Data'!B203),"\$([A-Z]+)\$[0-9]+"))),_xlfn.REGEXEXTRACT(CELL("address",'Raw Data'!B203),"\$([A-Z]+)\$[0-9]+"))</f>
        <v/>
      </c>
      <c r="C203" s="7" t="str">
        <f t="array" aca="1" ref="C203" ca="1">IFERROR(IF(OR('Raw Data'!C203="",LEN(TRIM('Raw Data'!C203))=0),"",IF(AND(LEN('Raw Data'!C203) &lt;= 50,LEN('Raw Data'!C203)&gt; 0),"",_xlfn.REGEXEXTRACT(CELL("address",'Raw Data'!C203),"\$([A-Z]+)\$[0-9]+"))),_xlfn.REGEXEXTRACT(CELL("address",'Raw Data'!C203),"\$([A-Z]+)\$[0-9]+"))</f>
        <v/>
      </c>
      <c r="D203" s="7" t="str">
        <f t="array" aca="1" ref="D203" ca="1">IFERROR(IF(OR('Raw Data'!D203="",LEN(TRIM('Raw Data'!D203))=0),"",IF(AND(LEN('Raw Data'!D203) &lt;= 500,LEN('Raw Data'!D203)&gt; 0),"",_xlfn.REGEXEXTRACT(CELL("address",'Raw Data'!D203),"\$([A-Z]+)\$[0-9]+"))),_xlfn.REGEXEXTRACT(CELL("address",'Raw Data'!D203),"\$([A-Z]+)\$[0-9]+"))</f>
        <v/>
      </c>
      <c r="E203" s="7" t="str">
        <f t="array" aca="1" ref="E203" ca="1">IFERROR(IF(OR('Raw Data'!E203="",LEN(TRIM('Raw Data'!E203))=0),"",IF(AND(LEN('Raw Data'!E203) &lt;= 50,LEN('Raw Data'!E203)&gt; 0),"",_xlfn.REGEXEXTRACT(CELL("address",'Raw Data'!E203),"\$([A-Z]+)\$[0-9]+"))),_xlfn.REGEXEXTRACT(CELL("address",'Raw Data'!E203),"\$([A-Z]+)\$[0-9]+"))</f>
        <v/>
      </c>
      <c r="F203" s="7" t="str">
        <f t="array" aca="1" ref="F203" ca="1">IFERROR(IF(OR('Raw Data'!F203="",LEN(TRIM('Raw Data'!F203))=0),"",IF(AND(LEN('Raw Data'!F203) &lt;= 50,LEN('Raw Data'!F203)&gt; 0),"",_xlfn.REGEXEXTRACT(CELL("address",'Raw Data'!F203),"\$([A-Z]+)\$[0-9]+"))),_xlfn.REGEXEXTRACT(CELL("address",'Raw Data'!F203),"\$([A-Z]+)\$[0-9]+"))</f>
        <v/>
      </c>
      <c r="G203" s="7" t="str">
        <f t="array" aca="1" ref="G203" ca="1">IFERROR(IF(OR('Raw Data'!G203="",LEN(TRIM('Raw Data'!G203))=0),"",IF(AND(LEN('Raw Data'!G203) &lt;= 50,LEN('Raw Data'!G203)&gt; 0),"",_xlfn.REGEXEXTRACT(CELL("address",'Raw Data'!G203),"\$([A-Z]+)\$[0-9]+"))),_xlfn.REGEXEXTRACT(CELL("address",'Raw Data'!G203),"\$([A-Z]+)\$[0-9]+"))</f>
        <v/>
      </c>
      <c r="H203" s="7" t="str">
        <f t="array" aca="1" ref="H203" ca="1">IFERROR(IF(OR('Raw Data'!H203="",LEN(TRIM('Raw Data'!H203))=0),"",IF(AND(LEN('Raw Data'!H203) &lt;= 50,LEN('Raw Data'!H203)&gt; 0),"",_xlfn.REGEXEXTRACT(CELL("address",'Raw Data'!H203),"\$([A-Z]+)\$[0-9]+"))),_xlfn.REGEXEXTRACT(CELL("address",'Raw Data'!H203),"\$([A-Z]+)\$[0-9]+"))</f>
        <v/>
      </c>
      <c r="I203" s="7" t="str">
        <f t="array" aca="1" ref="I203" ca="1">IFERROR(IF(OR('Raw Data'!I203="",LEN(TRIM('Raw Data'!I203))=0),"",IF(AND(LEN('Raw Data'!I203) &lt;= 50,LEN('Raw Data'!I203)&gt; 0),"",_xlfn.REGEXEXTRACT(CELL("address",'Raw Data'!I203),"\$([A-Z]+)\$[0-9]+"))),_xlfn.REGEXEXTRACT(CELL("address",'Raw Data'!I203),"\$([A-Z]+)\$[0-9]+"))</f>
        <v/>
      </c>
      <c r="J203" s="7" t="str">
        <f t="array" aca="1" ref="J203" ca="1">IFERROR(IF(OR('Raw Data'!J203="",LEN(TRIM('Raw Data'!J203))=0),"",IF(AND(ISNUMBER('Raw Data'!J203), IFERROR('Raw Data'!J203 = ROUND('Raw Data'!J203, 2),FALSE)),"",_xlfn.REGEXEXTRACT(CELL("address",J203), "\$([A-Z]+)\$[0-9]+"))),_xlfn.REGEXEXTRACT(CELL("address",J203), "\$([A-Z]+)\$[0-9]+"))</f>
        <v/>
      </c>
      <c r="K203" s="7" t="str">
        <f t="array" aca="1" ref="K203" ca="1">IFERROR(IF(OR('Raw Data'!K203="",LEN(TRIM('Raw Data'!K203))=0),"",IF(AND(ISNUMBER('Raw Data'!K203), IFERROR('Raw Data'!K203 = ROUND('Raw Data'!K203, 2),FALSE)),"",_xlfn.REGEXEXTRACT(CELL("address",K203), "\$([A-Z]+)\$[0-9]+"))),_xlfn.REGEXEXTRACT(CELL("address",K203), "\$([A-Z]+)\$[0-9]+"))</f>
        <v/>
      </c>
      <c r="L203" s="7" t="str">
        <f t="array" aca="1" ref="L203" ca="1">IFERROR(IF(OR('Raw Data'!L203="",LEN(TRIM('Raw Data'!L203))=0),"",IF(AND(ISNUMBER('Raw Data'!L203), IFERROR('Raw Data'!L203 = ROUND('Raw Data'!L203, 2),FALSE)),"",_xlfn.REGEXEXTRACT(CELL("address",L203), "\$([A-Z]+)\$[0-9]+"))),_xlfn.REGEXEXTRACT(CELL("address",L203), "\$([A-Z]+)\$[0-9]+"))</f>
        <v/>
      </c>
      <c r="M203" s="7" t="str">
        <f t="array" aca="1" ref="M203" ca="1">IFERROR(IF(OR('Raw Data'!M203="",LEN(TRIM('Raw Data'!M203))=0),"",IF(AND(ISNUMBER('Raw Data'!M203), IFERROR('Raw Data'!M203 = ROUND('Raw Data'!M203, 2),FALSE)),"",_xlfn.REGEXEXTRACT(CELL("address",M203), "\$([A-Z]+)\$[0-9]+"))),_xlfn.REGEXEXTRACT(CELL("address",M203), "\$([A-Z]+)\$[0-9]+"))</f>
        <v/>
      </c>
      <c r="N203" s="7" t="str">
        <f t="array" aca="1" ref="N203" ca="1">IFERROR(IF(OR('Raw Data'!N203="",LEN(TRIM('Raw Data'!N203))=0),"",IF(AND(ISNUMBER('Raw Data'!N203), IFERROR('Raw Data'!N203 = ROUND('Raw Data'!N203, 2),FALSE)),"",_xlfn.REGEXEXTRACT(CELL("address",N203), "\$([A-Z]+)\$[0-9]+"))),_xlfn.REGEXEXTRACT(CELL("address",N203), "\$([A-Z]+)\$[0-9]+"))</f>
        <v/>
      </c>
      <c r="O203" s="7" t="str">
        <f t="array" aca="1" ref="O203" ca="1">IFERROR(IF(OR('Raw Data'!O203="",LEN(TRIM('Raw Data'!O203))=0),"",IF(AND(ISNUMBER('Raw Data'!O203),'Raw Data'!O203&gt;=Configuration!$D$2),"",_xlfn.REGEXEXTRACT(CELL("address",'Raw Data'!O203),"\$([A-Z]+)\$[0-9]+"))),_xlfn.REGEXEXTRACT(CELL("address",O203), "\$([A-Z]+)\$[0-9]+"))</f>
        <v/>
      </c>
      <c r="P203" s="7" t="str">
        <f t="array" aca="1" ref="P203" ca="1">IFERROR(IF(OR('Raw Data'!P203="",LEN(TRIM('Raw Data'!P203))=0),"",IF(AND(ISNUMBER('Raw Data'!P203), IFERROR('Raw Data'!P203 = ROUND('Raw Data'!P203, 2),FALSE)),"",_xlfn.REGEXEXTRACT(CELL("address",P203), "\$([A-Z]+)\$[0-9]+"))),_xlfn.REGEXEXTRACT(CELL("address",P203), "\$([A-Z]+)\$[0-9]+"))</f>
        <v/>
      </c>
      <c r="Q203" s="7" t="str">
        <f t="array" aca="1" ref="Q203" ca="1">IFERROR(IF(OR('Raw Data'!Q203="",LEN(TRIM('Raw Data'!Q203))=0),"",IF(AND(ISNUMBER('Raw Data'!Q203), IFERROR('Raw Data'!Q203 = ROUND('Raw Data'!Q203, 2),FALSE)),"",_xlfn.REGEXEXTRACT(CELL("address",Q203), "\$([A-Z]+)\$[0-9]+"))),_xlfn.REGEXEXTRACT(CELL("address",Q203), "\$([A-Z]+)\$[0-9]+"))</f>
        <v/>
      </c>
      <c r="R203" s="7" t="str">
        <f t="array" aca="1" ref="R203" ca="1">IFERROR(IF(OR('Raw Data'!R203="",LEN(TRIM('Raw Data'!R203))=0),"",IF(AND(LEN('Raw Data'!R203) &lt;= 50,LEN('Raw Data'!R203)&gt; 0),"",_xlfn.REGEXEXTRACT(CELL("address",'Raw Data'!R203),"\$([A-Z]+)\$[0-9]+"))),_xlfn.REGEXEXTRACT(CELL("address",'Raw Data'!R203),"\$([A-Z]+)\$[0-9]+"))</f>
        <v/>
      </c>
      <c r="S203" s="7" t="str">
        <f t="array" aca="1" ref="S203" ca="1">IFERROR(IF(OR('Raw Data'!S203="",LEN(TRIM('Raw Data'!S203))=0),"",IF(AND(LEN('Raw Data'!S203) &lt;= 50,LEN('Raw Data'!S203)&gt; 0),"",_xlfn.REGEXEXTRACT(CELL("address",'Raw Data'!S203),"\$([A-Z]+)\$[0-9]+"))),_xlfn.REGEXEXTRACT(CELL("address",'Raw Data'!S203),"\$([A-Z]+)\$[0-9]+"))</f>
        <v/>
      </c>
      <c r="T203" s="7" t="str">
        <f t="array" aca="1" ref="T203" ca="1">IFERROR(IF(OR('Raw Data'!T203="",LEN(TRIM('Raw Data'!T203))=0),"",IF(AND(ISNUMBER('Raw Data'!T203), IFERROR('Raw Data'!T203 = ROUND('Raw Data'!T203, 2),FALSE)),"",_xlfn.REGEXEXTRACT(CELL("address",T203), "\$([A-Z]+)\$[0-9]+"))),_xlfn.REGEXEXTRACT(CELL("address",T203), "\$([A-Z]+)\$[0-9]+"))</f>
        <v/>
      </c>
      <c r="U203" s="7" t="str">
        <f t="array" aca="1" ref="U203" ca="1">IFERROR(IF(OR('Raw Data'!U203="",LEN(TRIM('Raw Data'!U203))=0),"",IF(AND(ISNUMBER('Raw Data'!U203), IFERROR('Raw Data'!U203 = ROUND('Raw Data'!U203, 2),FALSE)),"",_xlfn.REGEXEXTRACT(CELL("address",U203), "\$([A-Z]+)\$[0-9]+"))),_xlfn.REGEXEXTRACT(CELL("address",U203), "\$([A-Z]+)\$[0-9]+"))</f>
        <v/>
      </c>
      <c r="V203" s="7" t="str">
        <f t="array" aca="1" ref="V203" ca="1">IFERROR(IF(OR('Raw Data'!V203="",LEN(TRIM('Raw Data'!V203))=0),"",IF(AND(ISNUMBER('Raw Data'!V203), IFERROR('Raw Data'!V203 = ROUND('Raw Data'!V203, 2),FALSE)),"",_xlfn.REGEXEXTRACT(CELL("address",V203), "\$([A-Z]+)\$[0-9]+"))),_xlfn.REGEXEXTRACT(CELL("address",V203), "\$([A-Z]+)\$[0-9]+"))</f>
        <v/>
      </c>
      <c r="W203" s="7" t="str">
        <f t="array" aca="1" ref="W203" ca="1">IFERROR(IF(OR('Raw Data'!W203="",LEN(TRIM('Raw Data'!W203))=0),"",IF(AND(ISNUMBER('Raw Data'!W203), IFERROR('Raw Data'!W203 = ROUND('Raw Data'!W203, 2),FALSE)),"",_xlfn.REGEXEXTRACT(CELL("address",W203), "\$([A-Z]+)\$[0-9]+"))),_xlfn.REGEXEXTRACT(CELL("address",W203), "\$([A-Z]+)\$[0-9]+"))</f>
        <v/>
      </c>
      <c r="X203" s="7" t="str">
        <f t="array" aca="1" ref="X203" ca="1">IFERROR(IF(OR('Raw Data'!X203="",LEN(TRIM('Raw Data'!X203))=0),"",IF(AND(ISNUMBER('Raw Data'!X203), IFERROR('Raw Data'!X203 = ROUND('Raw Data'!X203, 2),FALSE)),"",_xlfn.REGEXEXTRACT(CELL("address",X203), "\$([A-Z]+)\$[0-9]+"))),_xlfn.REGEXEXTRACT(CELL("address",X203), "\$([A-Z]+)\$[0-9]+"))</f>
        <v/>
      </c>
      <c r="Y203" s="7" t="str">
        <f t="array" aca="1" ref="Y203" ca="1">IFERROR(IF(OR('Raw Data'!Y203="",LEN(TRIM('Raw Data'!Y203))=0),"",IF(AND(ISNUMBER('Raw Data'!Y203), IFERROR('Raw Data'!Y203 = ROUND('Raw Data'!Y203, 2),FALSE)),"",_xlfn.REGEXEXTRACT(CELL("address",Y203), "\$([A-Z]+)\$[0-9]+"))),_xlfn.REGEXEXTRACT(CELL("address",Y203), "\$([A-Z]+)\$[0-9]+"))</f>
        <v/>
      </c>
      <c r="Z203" s="7" t="str">
        <f t="array" aca="1" ref="Z203" ca="1">IFERROR(IF(OR('Raw Data'!Z203="",LEN(TRIM('Raw Data'!Z203))=0),"",IF(AND(ISNUMBER('Raw Data'!Z203), IFERROR('Raw Data'!Z203 = ROUND('Raw Data'!Z203, 2),FALSE)),"",_xlfn.REGEXEXTRACT(CELL("address",Z203), "\$([A-Z]+)\$[0-9]+"))),_xlfn.REGEXEXTRACT(CELL("address",Z203), "\$([A-Z]+)\$[0-9]+"))</f>
        <v/>
      </c>
      <c r="AA203" s="7" t="str">
        <f t="array" aca="1" ref="AA203" ca="1">IFERROR(IF(OR('Raw Data'!AA203="",LEN(TRIM('Raw Data'!AA203))=0),"",IF(AND(ISNUMBER('Raw Data'!AA203), IFERROR('Raw Data'!AA203 = ROUND('Raw Data'!AA203, 2),FALSE)),"",_xlfn.REGEXEXTRACT(CELL("address",AA203), "\$([A-Z]+)\$[0-9]+"))),_xlfn.REGEXEXTRACT(CELL("address",AA203), "\$([A-Z]+)\$[0-9]+"))</f>
        <v/>
      </c>
      <c r="AB203" s="7" t="str">
        <f t="array" aca="1" ref="AB203" ca="1">IFERROR(IF(OR('Raw Data'!AB203="",LEN(TRIM('Raw Data'!AB203))=0),"",IF(AND(ISNUMBER('Raw Data'!AB203), IFERROR('Raw Data'!AB203 = ROUND('Raw Data'!AB203, 2),FALSE)),"",_xlfn.REGEXEXTRACT(CELL("address",AB203), "\$([A-Z]+)\$[0-9]+"))),_xlfn.REGEXEXTRACT(CELL("address",AB203), "\$([A-Z]+)\$[0-9]+"))</f>
        <v/>
      </c>
      <c r="AC203" s="7" t="str">
        <f t="array" aca="1" ref="AC203" ca="1">IFERROR(IF(OR('Raw Data'!AC203="",LEN(TRIM('Raw Data'!AC203))=0),"",IF(AND(ISNUMBER('Raw Data'!AC203), IFERROR('Raw Data'!AC203 = ROUND('Raw Data'!AC203, 2),FALSE)),"",_xlfn.REGEXEXTRACT(CELL("address",AC203), "\$([A-Z]+)\$[0-9]+"))),_xlfn.REGEXEXTRACT(CELL("address",AC203), "\$([A-Z]+)\$[0-9]+"))</f>
        <v/>
      </c>
      <c r="AD203" s="7" t="str">
        <f t="array" aca="1" ref="AD203" ca="1">IFERROR(IF(OR('Raw Data'!AD203="",LEN(TRIM('Raw Data'!AD203))=0),"",IF(AND(ISNUMBER('Raw Data'!AD203), IFERROR('Raw Data'!AD203 = ROUND('Raw Data'!AD203, 2),FALSE)),"",_xlfn.REGEXEXTRACT(CELL("address",AD203), "\$([A-Z]+)\$[0-9]+"))),_xlfn.REGEXEXTRACT(CELL("address",AD203), "\$([A-Z]+)\$[0-9]+"))</f>
        <v/>
      </c>
      <c r="AE203" s="7" t="str">
        <f t="array" aca="1" ref="AE203" ca="1">IFERROR(IF(OR('Raw Data'!AE203="",LEN(TRIM('Raw Data'!AE203))=0),"",IF(AND(ISNUMBER('Raw Data'!AE203), IFERROR('Raw Data'!AE203 = ROUND('Raw Data'!AE203, 2),FALSE)),"",_xlfn.REGEXEXTRACT(CELL("address",AE203), "\$([A-Z]+)\$[0-9]+"))),_xlfn.REGEXEXTRACT(CELL("address",AE203), "\$([A-Z]+)\$[0-9]+"))</f>
        <v/>
      </c>
      <c r="AF203" s="7" t="str">
        <f t="array" aca="1" ref="AF203" ca="1">IFERROR(IF(OR('Raw Data'!AF203="",LEN(TRIM('Raw Data'!AF203))=0),"",IF(AND(ISNUMBER('Raw Data'!AF203), IFERROR('Raw Data'!AF203 = ROUND('Raw Data'!AF203, 2),FALSE)),"",_xlfn.REGEXEXTRACT(CELL("address",AF203), "\$([A-Z]+)\$[0-9]+"))),_xlfn.REGEXEXTRACT(CELL("address",AF203), "\$([A-Z]+)\$[0-9]+"))</f>
        <v/>
      </c>
      <c r="AG203" s="7" t="str">
        <f t="array" aca="1" ref="AG203" ca="1">IFERROR(IF(OR('Raw Data'!AG203="",LEN(TRIM('Raw Data'!AG203))=0),"",IF(AND(ISNUMBER('Raw Data'!AG203), IFERROR('Raw Data'!AG203 = ROUND('Raw Data'!AG203, 2),FALSE)),"",_xlfn.REGEXEXTRACT(CELL("address",AG203), "\$([A-Z]+)\$[0-9]+"))),_xlfn.REGEXEXTRACT(CELL("address",AG203), "\$([A-Z]+)\$[0-9]+"))</f>
        <v/>
      </c>
      <c r="AH203" s="7" t="str">
        <f t="array" aca="1" ref="AH203" ca="1">IFERROR(IF(OR('Raw Data'!AH203="",LEN(TRIM('Raw Data'!AH203))=0),"",IF(AND(ISNUMBER('Raw Data'!AH203), IFERROR('Raw Data'!AH203 = ROUND('Raw Data'!AH203, 2),FALSE)),"",_xlfn.REGEXEXTRACT(CELL("address",AH203), "\$([A-Z]+)\$[0-9]+"))),_xlfn.REGEXEXTRACT(CELL("address",AH203), "\$([A-Z]+)\$[0-9]+"))</f>
        <v/>
      </c>
      <c r="AI203" s="7" t="str">
        <f t="array" aca="1" ref="AI203" ca="1">IFERROR(IF(OR('Raw Data'!AI203="",LEN(TRIM('Raw Data'!AI203))=0),"",IF(AND(ISNUMBER('Raw Data'!AI203), IFERROR('Raw Data'!AI203 = ROUND('Raw Data'!AI203, 2),FALSE)),"",_xlfn.REGEXEXTRACT(CELL("address",AI203), "\$([A-Z]+)\$[0-9]+"))),_xlfn.REGEXEXTRACT(CELL("address",AI203), "\$([A-Z]+)\$[0-9]+"))</f>
        <v/>
      </c>
      <c r="AJ203" s="7" t="str">
        <f t="array" aca="1" ref="AJ203" ca="1">IFERROR(IF(OR('Raw Data'!AJ203="",LEN(TRIM('Raw Data'!AJ203))=0),"",IF(AND(ISNUMBER('Raw Data'!AJ203), IFERROR('Raw Data'!AJ203 = ROUND('Raw Data'!AJ203, 4),FALSE)),"",_xlfn.REGEXEXTRACT(CELL("address",AJ203), "\$([A-Z]+)\$[0-9]+"))),_xlfn.REGEXEXTRACT(CELL("address",AJ203), "\$([A-Z]+)\$[0-9]+"))</f>
        <v/>
      </c>
      <c r="AK203" s="7" t="str">
        <f t="array" aca="1" ref="AK203" ca="1">IFERROR(IF(OR('Raw Data'!AK203="",LEN(TRIM('Raw Data'!AK203))=0),"",IF(AND(ISNUMBER('Raw Data'!AK203), IFERROR('Raw Data'!AK203 = ROUND('Raw Data'!AK203, 2),FALSE)),"",_xlfn.REGEXEXTRACT(CELL("address",AK203), "\$([A-Z]+)\$[0-9]+"))),_xlfn.REGEXEXTRACT(CELL("address",AK203), "\$([A-Z]+)\$[0-9]+"))</f>
        <v/>
      </c>
      <c r="AL203" s="7" t="str">
        <f t="array" aca="1" ref="AL203" ca="1">IFERROR(IF(OR('Raw Data'!AL203="",LEN(TRIM('Raw Data'!AL203))=0),"",IF(AND(ISNUMBER('Raw Data'!AL203), IFERROR('Raw Data'!AL203 = ROUND('Raw Data'!AL203, 2),FALSE)),"",_xlfn.REGEXEXTRACT(CELL("address",AL203), "\$([A-Z]+)\$[0-9]+"))),_xlfn.REGEXEXTRACT(CELL("address",AL203), "\$([A-Z]+)\$[0-9]+"))</f>
        <v/>
      </c>
      <c r="AM203" s="7" t="str">
        <f t="array" aca="1" ref="AM203" ca="1">IFERROR(IF(OR('Raw Data'!AM203="",LEN(TRIM('Raw Data'!AM203))=0),"",IF(AND(ISNUMBER('Raw Data'!AM203), IFERROR('Raw Data'!AM203 = ROUND('Raw Data'!AM203, 2),FALSE)),"",_xlfn.REGEXEXTRACT(CELL("address",AM203), "\$([A-Z]+)\$[0-9]+"))),_xlfn.REGEXEXTRACT(CELL("address",AM203), "\$([A-Z]+)\$[0-9]+"))</f>
        <v/>
      </c>
      <c r="AN203" s="7" t="str">
        <f t="array" aca="1" ref="AN203" ca="1">IFERROR(IF(OR('Raw Data'!AN203="",LEN(TRIM('Raw Data'!AN203))=0),"",IF(AND(ISNUMBER('Raw Data'!AN203), IFERROR('Raw Data'!AN203 = ROUND('Raw Data'!AN203, 2),FALSE)),"",_xlfn.REGEXEXTRACT(CELL("address",AN203), "\$([A-Z]+)\$[0-9]+"))),_xlfn.REGEXEXTRACT(CELL("address",AN203), "\$([A-Z]+)\$[0-9]+"))</f>
        <v/>
      </c>
      <c r="AO203" s="7" t="str">
        <f t="array" aca="1" ref="AO203" ca="1">IFERROR(IF(OR('Raw Data'!AO203="",LEN(TRIM('Raw Data'!AO203))=0),"",IF(AND(ISNUMBER('Raw Data'!AO203), IFERROR('Raw Data'!AO203 = ROUND('Raw Data'!AO203, 2),FALSE)),"",_xlfn.REGEXEXTRACT(CELL("address",AO203), "\$([A-Z]+)\$[0-9]+"))),_xlfn.REGEXEXTRACT(CELL("address",AO203), "\$([A-Z]+)\$[0-9]+"))</f>
        <v/>
      </c>
      <c r="AP203" s="7" t="str">
        <f t="array" aca="1" ref="AP203" ca="1">IFERROR(IF(OR('Raw Data'!AP203="",LEN(TRIM('Raw Data'!AP203))=0),"",IF(AND(ISNUMBER('Raw Data'!AP203), IFERROR('Raw Data'!AP203 = ROUND('Raw Data'!AP203, 2),FALSE)),"",_xlfn.REGEXEXTRACT(CELL("address",AP203), "\$([A-Z]+)\$[0-9]+"))),_xlfn.REGEXEXTRACT(CELL("address",AP203), "\$([A-Z]+)\$[0-9]+"))</f>
        <v/>
      </c>
    </row>
    <row r="204" spans="2:42" x14ac:dyDescent="0.25">
      <c r="B204" s="7" t="str">
        <f t="array" aca="1" ref="B204" ca="1">IFERROR(IF(OR('Raw Data'!B204="",LEN(TRIM('Raw Data'!B204))=0),"",IF(AND(LEN('Raw Data'!B204) &lt;= 255,LEN('Raw Data'!B204)&gt; 0),"",_xlfn.REGEXEXTRACT(CELL("address",'Raw Data'!B204),"\$([A-Z]+)\$[0-9]+"))),_xlfn.REGEXEXTRACT(CELL("address",'Raw Data'!B204),"\$([A-Z]+)\$[0-9]+"))</f>
        <v/>
      </c>
      <c r="C204" s="7" t="str">
        <f t="array" aca="1" ref="C204" ca="1">IFERROR(IF(OR('Raw Data'!C204="",LEN(TRIM('Raw Data'!C204))=0),"",IF(AND(LEN('Raw Data'!C204) &lt;= 50,LEN('Raw Data'!C204)&gt; 0),"",_xlfn.REGEXEXTRACT(CELL("address",'Raw Data'!C204),"\$([A-Z]+)\$[0-9]+"))),_xlfn.REGEXEXTRACT(CELL("address",'Raw Data'!C204),"\$([A-Z]+)\$[0-9]+"))</f>
        <v/>
      </c>
      <c r="D204" s="7" t="str">
        <f t="array" aca="1" ref="D204" ca="1">IFERROR(IF(OR('Raw Data'!D204="",LEN(TRIM('Raw Data'!D204))=0),"",IF(AND(LEN('Raw Data'!D204) &lt;= 500,LEN('Raw Data'!D204)&gt; 0),"",_xlfn.REGEXEXTRACT(CELL("address",'Raw Data'!D204),"\$([A-Z]+)\$[0-9]+"))),_xlfn.REGEXEXTRACT(CELL("address",'Raw Data'!D204),"\$([A-Z]+)\$[0-9]+"))</f>
        <v/>
      </c>
      <c r="E204" s="7" t="str">
        <f t="array" aca="1" ref="E204" ca="1">IFERROR(IF(OR('Raw Data'!E204="",LEN(TRIM('Raw Data'!E204))=0),"",IF(AND(LEN('Raw Data'!E204) &lt;= 50,LEN('Raw Data'!E204)&gt; 0),"",_xlfn.REGEXEXTRACT(CELL("address",'Raw Data'!E204),"\$([A-Z]+)\$[0-9]+"))),_xlfn.REGEXEXTRACT(CELL("address",'Raw Data'!E204),"\$([A-Z]+)\$[0-9]+"))</f>
        <v/>
      </c>
      <c r="F204" s="7" t="str">
        <f t="array" aca="1" ref="F204" ca="1">IFERROR(IF(OR('Raw Data'!F204="",LEN(TRIM('Raw Data'!F204))=0),"",IF(AND(LEN('Raw Data'!F204) &lt;= 50,LEN('Raw Data'!F204)&gt; 0),"",_xlfn.REGEXEXTRACT(CELL("address",'Raw Data'!F204),"\$([A-Z]+)\$[0-9]+"))),_xlfn.REGEXEXTRACT(CELL("address",'Raw Data'!F204),"\$([A-Z]+)\$[0-9]+"))</f>
        <v/>
      </c>
      <c r="G204" s="7" t="str">
        <f t="array" aca="1" ref="G204" ca="1">IFERROR(IF(OR('Raw Data'!G204="",LEN(TRIM('Raw Data'!G204))=0),"",IF(AND(LEN('Raw Data'!G204) &lt;= 50,LEN('Raw Data'!G204)&gt; 0),"",_xlfn.REGEXEXTRACT(CELL("address",'Raw Data'!G204),"\$([A-Z]+)\$[0-9]+"))),_xlfn.REGEXEXTRACT(CELL("address",'Raw Data'!G204),"\$([A-Z]+)\$[0-9]+"))</f>
        <v/>
      </c>
      <c r="H204" s="7" t="str">
        <f t="array" aca="1" ref="H204" ca="1">IFERROR(IF(OR('Raw Data'!H204="",LEN(TRIM('Raw Data'!H204))=0),"",IF(AND(LEN('Raw Data'!H204) &lt;= 50,LEN('Raw Data'!H204)&gt; 0),"",_xlfn.REGEXEXTRACT(CELL("address",'Raw Data'!H204),"\$([A-Z]+)\$[0-9]+"))),_xlfn.REGEXEXTRACT(CELL("address",'Raw Data'!H204),"\$([A-Z]+)\$[0-9]+"))</f>
        <v/>
      </c>
      <c r="I204" s="7" t="str">
        <f t="array" aca="1" ref="I204" ca="1">IFERROR(IF(OR('Raw Data'!I204="",LEN(TRIM('Raw Data'!I204))=0),"",IF(AND(LEN('Raw Data'!I204) &lt;= 50,LEN('Raw Data'!I204)&gt; 0),"",_xlfn.REGEXEXTRACT(CELL("address",'Raw Data'!I204),"\$([A-Z]+)\$[0-9]+"))),_xlfn.REGEXEXTRACT(CELL("address",'Raw Data'!I204),"\$([A-Z]+)\$[0-9]+"))</f>
        <v/>
      </c>
      <c r="J204" s="7" t="str">
        <f t="array" aca="1" ref="J204" ca="1">IFERROR(IF(OR('Raw Data'!J204="",LEN(TRIM('Raw Data'!J204))=0),"",IF(AND(ISNUMBER('Raw Data'!J204), IFERROR('Raw Data'!J204 = ROUND('Raw Data'!J204, 2),FALSE)),"",_xlfn.REGEXEXTRACT(CELL("address",J204), "\$([A-Z]+)\$[0-9]+"))),_xlfn.REGEXEXTRACT(CELL("address",J204), "\$([A-Z]+)\$[0-9]+"))</f>
        <v/>
      </c>
      <c r="K204" s="7" t="str">
        <f t="array" aca="1" ref="K204" ca="1">IFERROR(IF(OR('Raw Data'!K204="",LEN(TRIM('Raw Data'!K204))=0),"",IF(AND(ISNUMBER('Raw Data'!K204), IFERROR('Raw Data'!K204 = ROUND('Raw Data'!K204, 2),FALSE)),"",_xlfn.REGEXEXTRACT(CELL("address",K204), "\$([A-Z]+)\$[0-9]+"))),_xlfn.REGEXEXTRACT(CELL("address",K204), "\$([A-Z]+)\$[0-9]+"))</f>
        <v/>
      </c>
      <c r="L204" s="7" t="str">
        <f t="array" aca="1" ref="L204" ca="1">IFERROR(IF(OR('Raw Data'!L204="",LEN(TRIM('Raw Data'!L204))=0),"",IF(AND(ISNUMBER('Raw Data'!L204), IFERROR('Raw Data'!L204 = ROUND('Raw Data'!L204, 2),FALSE)),"",_xlfn.REGEXEXTRACT(CELL("address",L204), "\$([A-Z]+)\$[0-9]+"))),_xlfn.REGEXEXTRACT(CELL("address",L204), "\$([A-Z]+)\$[0-9]+"))</f>
        <v/>
      </c>
      <c r="M204" s="7" t="str">
        <f t="array" aca="1" ref="M204" ca="1">IFERROR(IF(OR('Raw Data'!M204="",LEN(TRIM('Raw Data'!M204))=0),"",IF(AND(ISNUMBER('Raw Data'!M204), IFERROR('Raw Data'!M204 = ROUND('Raw Data'!M204, 2),FALSE)),"",_xlfn.REGEXEXTRACT(CELL("address",M204), "\$([A-Z]+)\$[0-9]+"))),_xlfn.REGEXEXTRACT(CELL("address",M204), "\$([A-Z]+)\$[0-9]+"))</f>
        <v/>
      </c>
      <c r="N204" s="7" t="str">
        <f t="array" aca="1" ref="N204" ca="1">IFERROR(IF(OR('Raw Data'!N204="",LEN(TRIM('Raw Data'!N204))=0),"",IF(AND(ISNUMBER('Raw Data'!N204), IFERROR('Raw Data'!N204 = ROUND('Raw Data'!N204, 2),FALSE)),"",_xlfn.REGEXEXTRACT(CELL("address",N204), "\$([A-Z]+)\$[0-9]+"))),_xlfn.REGEXEXTRACT(CELL("address",N204), "\$([A-Z]+)\$[0-9]+"))</f>
        <v/>
      </c>
      <c r="O204" s="7" t="str">
        <f t="array" aca="1" ref="O204" ca="1">IFERROR(IF(OR('Raw Data'!O204="",LEN(TRIM('Raw Data'!O204))=0),"",IF(AND(ISNUMBER('Raw Data'!O204),'Raw Data'!O204&gt;=Configuration!$D$2),"",_xlfn.REGEXEXTRACT(CELL("address",'Raw Data'!O204),"\$([A-Z]+)\$[0-9]+"))),_xlfn.REGEXEXTRACT(CELL("address",O204), "\$([A-Z]+)\$[0-9]+"))</f>
        <v/>
      </c>
      <c r="P204" s="7" t="str">
        <f t="array" aca="1" ref="P204" ca="1">IFERROR(IF(OR('Raw Data'!P204="",LEN(TRIM('Raw Data'!P204))=0),"",IF(AND(ISNUMBER('Raw Data'!P204), IFERROR('Raw Data'!P204 = ROUND('Raw Data'!P204, 2),FALSE)),"",_xlfn.REGEXEXTRACT(CELL("address",P204), "\$([A-Z]+)\$[0-9]+"))),_xlfn.REGEXEXTRACT(CELL("address",P204), "\$([A-Z]+)\$[0-9]+"))</f>
        <v/>
      </c>
      <c r="Q204" s="7" t="str">
        <f t="array" aca="1" ref="Q204" ca="1">IFERROR(IF(OR('Raw Data'!Q204="",LEN(TRIM('Raw Data'!Q204))=0),"",IF(AND(ISNUMBER('Raw Data'!Q204), IFERROR('Raw Data'!Q204 = ROUND('Raw Data'!Q204, 2),FALSE)),"",_xlfn.REGEXEXTRACT(CELL("address",Q204), "\$([A-Z]+)\$[0-9]+"))),_xlfn.REGEXEXTRACT(CELL("address",Q204), "\$([A-Z]+)\$[0-9]+"))</f>
        <v/>
      </c>
      <c r="R204" s="7" t="str">
        <f t="array" aca="1" ref="R204" ca="1">IFERROR(IF(OR('Raw Data'!R204="",LEN(TRIM('Raw Data'!R204))=0),"",IF(AND(LEN('Raw Data'!R204) &lt;= 50,LEN('Raw Data'!R204)&gt; 0),"",_xlfn.REGEXEXTRACT(CELL("address",'Raw Data'!R204),"\$([A-Z]+)\$[0-9]+"))),_xlfn.REGEXEXTRACT(CELL("address",'Raw Data'!R204),"\$([A-Z]+)\$[0-9]+"))</f>
        <v/>
      </c>
      <c r="S204" s="7" t="str">
        <f t="array" aca="1" ref="S204" ca="1">IFERROR(IF(OR('Raw Data'!S204="",LEN(TRIM('Raw Data'!S204))=0),"",IF(AND(LEN('Raw Data'!S204) &lt;= 50,LEN('Raw Data'!S204)&gt; 0),"",_xlfn.REGEXEXTRACT(CELL("address",'Raw Data'!S204),"\$([A-Z]+)\$[0-9]+"))),_xlfn.REGEXEXTRACT(CELL("address",'Raw Data'!S204),"\$([A-Z]+)\$[0-9]+"))</f>
        <v/>
      </c>
      <c r="T204" s="7" t="str">
        <f t="array" aca="1" ref="T204" ca="1">IFERROR(IF(OR('Raw Data'!T204="",LEN(TRIM('Raw Data'!T204))=0),"",IF(AND(ISNUMBER('Raw Data'!T204), IFERROR('Raw Data'!T204 = ROUND('Raw Data'!T204, 2),FALSE)),"",_xlfn.REGEXEXTRACT(CELL("address",T204), "\$([A-Z]+)\$[0-9]+"))),_xlfn.REGEXEXTRACT(CELL("address",T204), "\$([A-Z]+)\$[0-9]+"))</f>
        <v/>
      </c>
      <c r="U204" s="7" t="str">
        <f t="array" aca="1" ref="U204" ca="1">IFERROR(IF(OR('Raw Data'!U204="",LEN(TRIM('Raw Data'!U204))=0),"",IF(AND(ISNUMBER('Raw Data'!U204), IFERROR('Raw Data'!U204 = ROUND('Raw Data'!U204, 2),FALSE)),"",_xlfn.REGEXEXTRACT(CELL("address",U204), "\$([A-Z]+)\$[0-9]+"))),_xlfn.REGEXEXTRACT(CELL("address",U204), "\$([A-Z]+)\$[0-9]+"))</f>
        <v/>
      </c>
      <c r="V204" s="7" t="str">
        <f t="array" aca="1" ref="V204" ca="1">IFERROR(IF(OR('Raw Data'!V204="",LEN(TRIM('Raw Data'!V204))=0),"",IF(AND(ISNUMBER('Raw Data'!V204), IFERROR('Raw Data'!V204 = ROUND('Raw Data'!V204, 2),FALSE)),"",_xlfn.REGEXEXTRACT(CELL("address",V204), "\$([A-Z]+)\$[0-9]+"))),_xlfn.REGEXEXTRACT(CELL("address",V204), "\$([A-Z]+)\$[0-9]+"))</f>
        <v/>
      </c>
      <c r="W204" s="7" t="str">
        <f t="array" aca="1" ref="W204" ca="1">IFERROR(IF(OR('Raw Data'!W204="",LEN(TRIM('Raw Data'!W204))=0),"",IF(AND(ISNUMBER('Raw Data'!W204), IFERROR('Raw Data'!W204 = ROUND('Raw Data'!W204, 2),FALSE)),"",_xlfn.REGEXEXTRACT(CELL("address",W204), "\$([A-Z]+)\$[0-9]+"))),_xlfn.REGEXEXTRACT(CELL("address",W204), "\$([A-Z]+)\$[0-9]+"))</f>
        <v/>
      </c>
      <c r="X204" s="7" t="str">
        <f t="array" aca="1" ref="X204" ca="1">IFERROR(IF(OR('Raw Data'!X204="",LEN(TRIM('Raw Data'!X204))=0),"",IF(AND(ISNUMBER('Raw Data'!X204), IFERROR('Raw Data'!X204 = ROUND('Raw Data'!X204, 2),FALSE)),"",_xlfn.REGEXEXTRACT(CELL("address",X204), "\$([A-Z]+)\$[0-9]+"))),_xlfn.REGEXEXTRACT(CELL("address",X204), "\$([A-Z]+)\$[0-9]+"))</f>
        <v/>
      </c>
      <c r="Y204" s="7" t="str">
        <f t="array" aca="1" ref="Y204" ca="1">IFERROR(IF(OR('Raw Data'!Y204="",LEN(TRIM('Raw Data'!Y204))=0),"",IF(AND(ISNUMBER('Raw Data'!Y204), IFERROR('Raw Data'!Y204 = ROUND('Raw Data'!Y204, 2),FALSE)),"",_xlfn.REGEXEXTRACT(CELL("address",Y204), "\$([A-Z]+)\$[0-9]+"))),_xlfn.REGEXEXTRACT(CELL("address",Y204), "\$([A-Z]+)\$[0-9]+"))</f>
        <v/>
      </c>
      <c r="Z204" s="7" t="str">
        <f t="array" aca="1" ref="Z204" ca="1">IFERROR(IF(OR('Raw Data'!Z204="",LEN(TRIM('Raw Data'!Z204))=0),"",IF(AND(ISNUMBER('Raw Data'!Z204), IFERROR('Raw Data'!Z204 = ROUND('Raw Data'!Z204, 2),FALSE)),"",_xlfn.REGEXEXTRACT(CELL("address",Z204), "\$([A-Z]+)\$[0-9]+"))),_xlfn.REGEXEXTRACT(CELL("address",Z204), "\$([A-Z]+)\$[0-9]+"))</f>
        <v/>
      </c>
      <c r="AA204" s="7" t="str">
        <f t="array" aca="1" ref="AA204" ca="1">IFERROR(IF(OR('Raw Data'!AA204="",LEN(TRIM('Raw Data'!AA204))=0),"",IF(AND(ISNUMBER('Raw Data'!AA204), IFERROR('Raw Data'!AA204 = ROUND('Raw Data'!AA204, 2),FALSE)),"",_xlfn.REGEXEXTRACT(CELL("address",AA204), "\$([A-Z]+)\$[0-9]+"))),_xlfn.REGEXEXTRACT(CELL("address",AA204), "\$([A-Z]+)\$[0-9]+"))</f>
        <v/>
      </c>
      <c r="AB204" s="7" t="str">
        <f t="array" aca="1" ref="AB204" ca="1">IFERROR(IF(OR('Raw Data'!AB204="",LEN(TRIM('Raw Data'!AB204))=0),"",IF(AND(ISNUMBER('Raw Data'!AB204), IFERROR('Raw Data'!AB204 = ROUND('Raw Data'!AB204, 2),FALSE)),"",_xlfn.REGEXEXTRACT(CELL("address",AB204), "\$([A-Z]+)\$[0-9]+"))),_xlfn.REGEXEXTRACT(CELL("address",AB204), "\$([A-Z]+)\$[0-9]+"))</f>
        <v/>
      </c>
      <c r="AC204" s="7" t="str">
        <f t="array" aca="1" ref="AC204" ca="1">IFERROR(IF(OR('Raw Data'!AC204="",LEN(TRIM('Raw Data'!AC204))=0),"",IF(AND(ISNUMBER('Raw Data'!AC204), IFERROR('Raw Data'!AC204 = ROUND('Raw Data'!AC204, 2),FALSE)),"",_xlfn.REGEXEXTRACT(CELL("address",AC204), "\$([A-Z]+)\$[0-9]+"))),_xlfn.REGEXEXTRACT(CELL("address",AC204), "\$([A-Z]+)\$[0-9]+"))</f>
        <v/>
      </c>
      <c r="AD204" s="7" t="str">
        <f t="array" aca="1" ref="AD204" ca="1">IFERROR(IF(OR('Raw Data'!AD204="",LEN(TRIM('Raw Data'!AD204))=0),"",IF(AND(ISNUMBER('Raw Data'!AD204), IFERROR('Raw Data'!AD204 = ROUND('Raw Data'!AD204, 2),FALSE)),"",_xlfn.REGEXEXTRACT(CELL("address",AD204), "\$([A-Z]+)\$[0-9]+"))),_xlfn.REGEXEXTRACT(CELL("address",AD204), "\$([A-Z]+)\$[0-9]+"))</f>
        <v/>
      </c>
      <c r="AE204" s="7" t="str">
        <f t="array" aca="1" ref="AE204" ca="1">IFERROR(IF(OR('Raw Data'!AE204="",LEN(TRIM('Raw Data'!AE204))=0),"",IF(AND(ISNUMBER('Raw Data'!AE204), IFERROR('Raw Data'!AE204 = ROUND('Raw Data'!AE204, 2),FALSE)),"",_xlfn.REGEXEXTRACT(CELL("address",AE204), "\$([A-Z]+)\$[0-9]+"))),_xlfn.REGEXEXTRACT(CELL("address",AE204), "\$([A-Z]+)\$[0-9]+"))</f>
        <v/>
      </c>
      <c r="AF204" s="7" t="str">
        <f t="array" aca="1" ref="AF204" ca="1">IFERROR(IF(OR('Raw Data'!AF204="",LEN(TRIM('Raw Data'!AF204))=0),"",IF(AND(ISNUMBER('Raw Data'!AF204), IFERROR('Raw Data'!AF204 = ROUND('Raw Data'!AF204, 2),FALSE)),"",_xlfn.REGEXEXTRACT(CELL("address",AF204), "\$([A-Z]+)\$[0-9]+"))),_xlfn.REGEXEXTRACT(CELL("address",AF204), "\$([A-Z]+)\$[0-9]+"))</f>
        <v/>
      </c>
      <c r="AG204" s="7" t="str">
        <f t="array" aca="1" ref="AG204" ca="1">IFERROR(IF(OR('Raw Data'!AG204="",LEN(TRIM('Raw Data'!AG204))=0),"",IF(AND(ISNUMBER('Raw Data'!AG204), IFERROR('Raw Data'!AG204 = ROUND('Raw Data'!AG204, 2),FALSE)),"",_xlfn.REGEXEXTRACT(CELL("address",AG204), "\$([A-Z]+)\$[0-9]+"))),_xlfn.REGEXEXTRACT(CELL("address",AG204), "\$([A-Z]+)\$[0-9]+"))</f>
        <v/>
      </c>
      <c r="AH204" s="7" t="str">
        <f t="array" aca="1" ref="AH204" ca="1">IFERROR(IF(OR('Raw Data'!AH204="",LEN(TRIM('Raw Data'!AH204))=0),"",IF(AND(ISNUMBER('Raw Data'!AH204), IFERROR('Raw Data'!AH204 = ROUND('Raw Data'!AH204, 2),FALSE)),"",_xlfn.REGEXEXTRACT(CELL("address",AH204), "\$([A-Z]+)\$[0-9]+"))),_xlfn.REGEXEXTRACT(CELL("address",AH204), "\$([A-Z]+)\$[0-9]+"))</f>
        <v/>
      </c>
      <c r="AI204" s="7" t="str">
        <f t="array" aca="1" ref="AI204" ca="1">IFERROR(IF(OR('Raw Data'!AI204="",LEN(TRIM('Raw Data'!AI204))=0),"",IF(AND(ISNUMBER('Raw Data'!AI204), IFERROR('Raw Data'!AI204 = ROUND('Raw Data'!AI204, 2),FALSE)),"",_xlfn.REGEXEXTRACT(CELL("address",AI204), "\$([A-Z]+)\$[0-9]+"))),_xlfn.REGEXEXTRACT(CELL("address",AI204), "\$([A-Z]+)\$[0-9]+"))</f>
        <v/>
      </c>
      <c r="AJ204" s="7" t="str">
        <f t="array" aca="1" ref="AJ204" ca="1">IFERROR(IF(OR('Raw Data'!AJ204="",LEN(TRIM('Raw Data'!AJ204))=0),"",IF(AND(ISNUMBER('Raw Data'!AJ204), IFERROR('Raw Data'!AJ204 = ROUND('Raw Data'!AJ204, 4),FALSE)),"",_xlfn.REGEXEXTRACT(CELL("address",AJ204), "\$([A-Z]+)\$[0-9]+"))),_xlfn.REGEXEXTRACT(CELL("address",AJ204), "\$([A-Z]+)\$[0-9]+"))</f>
        <v/>
      </c>
      <c r="AK204" s="7" t="str">
        <f t="array" aca="1" ref="AK204" ca="1">IFERROR(IF(OR('Raw Data'!AK204="",LEN(TRIM('Raw Data'!AK204))=0),"",IF(AND(ISNUMBER('Raw Data'!AK204), IFERROR('Raw Data'!AK204 = ROUND('Raw Data'!AK204, 2),FALSE)),"",_xlfn.REGEXEXTRACT(CELL("address",AK204), "\$([A-Z]+)\$[0-9]+"))),_xlfn.REGEXEXTRACT(CELL("address",AK204), "\$([A-Z]+)\$[0-9]+"))</f>
        <v/>
      </c>
      <c r="AL204" s="7" t="str">
        <f t="array" aca="1" ref="AL204" ca="1">IFERROR(IF(OR('Raw Data'!AL204="",LEN(TRIM('Raw Data'!AL204))=0),"",IF(AND(ISNUMBER('Raw Data'!AL204), IFERROR('Raw Data'!AL204 = ROUND('Raw Data'!AL204, 2),FALSE)),"",_xlfn.REGEXEXTRACT(CELL("address",AL204), "\$([A-Z]+)\$[0-9]+"))),_xlfn.REGEXEXTRACT(CELL("address",AL204), "\$([A-Z]+)\$[0-9]+"))</f>
        <v/>
      </c>
      <c r="AM204" s="7" t="str">
        <f t="array" aca="1" ref="AM204" ca="1">IFERROR(IF(OR('Raw Data'!AM204="",LEN(TRIM('Raw Data'!AM204))=0),"",IF(AND(ISNUMBER('Raw Data'!AM204), IFERROR('Raw Data'!AM204 = ROUND('Raw Data'!AM204, 2),FALSE)),"",_xlfn.REGEXEXTRACT(CELL("address",AM204), "\$([A-Z]+)\$[0-9]+"))),_xlfn.REGEXEXTRACT(CELL("address",AM204), "\$([A-Z]+)\$[0-9]+"))</f>
        <v/>
      </c>
      <c r="AN204" s="7" t="str">
        <f t="array" aca="1" ref="AN204" ca="1">IFERROR(IF(OR('Raw Data'!AN204="",LEN(TRIM('Raw Data'!AN204))=0),"",IF(AND(ISNUMBER('Raw Data'!AN204), IFERROR('Raw Data'!AN204 = ROUND('Raw Data'!AN204, 2),FALSE)),"",_xlfn.REGEXEXTRACT(CELL("address",AN204), "\$([A-Z]+)\$[0-9]+"))),_xlfn.REGEXEXTRACT(CELL("address",AN204), "\$([A-Z]+)\$[0-9]+"))</f>
        <v/>
      </c>
      <c r="AO204" s="7" t="str">
        <f t="array" aca="1" ref="AO204" ca="1">IFERROR(IF(OR('Raw Data'!AO204="",LEN(TRIM('Raw Data'!AO204))=0),"",IF(AND(ISNUMBER('Raw Data'!AO204), IFERROR('Raw Data'!AO204 = ROUND('Raw Data'!AO204, 2),FALSE)),"",_xlfn.REGEXEXTRACT(CELL("address",AO204), "\$([A-Z]+)\$[0-9]+"))),_xlfn.REGEXEXTRACT(CELL("address",AO204), "\$([A-Z]+)\$[0-9]+"))</f>
        <v/>
      </c>
      <c r="AP204" s="7" t="str">
        <f t="array" aca="1" ref="AP204" ca="1">IFERROR(IF(OR('Raw Data'!AP204="",LEN(TRIM('Raw Data'!AP204))=0),"",IF(AND(ISNUMBER('Raw Data'!AP204), IFERROR('Raw Data'!AP204 = ROUND('Raw Data'!AP204, 2),FALSE)),"",_xlfn.REGEXEXTRACT(CELL("address",AP204), "\$([A-Z]+)\$[0-9]+"))),_xlfn.REGEXEXTRACT(CELL("address",AP204), "\$([A-Z]+)\$[0-9]+"))</f>
        <v/>
      </c>
    </row>
    <row r="205" spans="2:42" x14ac:dyDescent="0.25">
      <c r="B205" s="7" t="str">
        <f t="array" aca="1" ref="B205" ca="1">IFERROR(IF(OR('Raw Data'!B205="",LEN(TRIM('Raw Data'!B205))=0),"",IF(AND(LEN('Raw Data'!B205) &lt;= 255,LEN('Raw Data'!B205)&gt; 0),"",_xlfn.REGEXEXTRACT(CELL("address",'Raw Data'!B205),"\$([A-Z]+)\$[0-9]+"))),_xlfn.REGEXEXTRACT(CELL("address",'Raw Data'!B205),"\$([A-Z]+)\$[0-9]+"))</f>
        <v/>
      </c>
      <c r="C205" s="7" t="str">
        <f t="array" aca="1" ref="C205" ca="1">IFERROR(IF(OR('Raw Data'!C205="",LEN(TRIM('Raw Data'!C205))=0),"",IF(AND(LEN('Raw Data'!C205) &lt;= 50,LEN('Raw Data'!C205)&gt; 0),"",_xlfn.REGEXEXTRACT(CELL("address",'Raw Data'!C205),"\$([A-Z]+)\$[0-9]+"))),_xlfn.REGEXEXTRACT(CELL("address",'Raw Data'!C205),"\$([A-Z]+)\$[0-9]+"))</f>
        <v/>
      </c>
      <c r="D205" s="7" t="str">
        <f t="array" aca="1" ref="D205" ca="1">IFERROR(IF(OR('Raw Data'!D205="",LEN(TRIM('Raw Data'!D205))=0),"",IF(AND(LEN('Raw Data'!D205) &lt;= 500,LEN('Raw Data'!D205)&gt; 0),"",_xlfn.REGEXEXTRACT(CELL("address",'Raw Data'!D205),"\$([A-Z]+)\$[0-9]+"))),_xlfn.REGEXEXTRACT(CELL("address",'Raw Data'!D205),"\$([A-Z]+)\$[0-9]+"))</f>
        <v/>
      </c>
      <c r="E205" s="7" t="str">
        <f t="array" aca="1" ref="E205" ca="1">IFERROR(IF(OR('Raw Data'!E205="",LEN(TRIM('Raw Data'!E205))=0),"",IF(AND(LEN('Raw Data'!E205) &lt;= 50,LEN('Raw Data'!E205)&gt; 0),"",_xlfn.REGEXEXTRACT(CELL("address",'Raw Data'!E205),"\$([A-Z]+)\$[0-9]+"))),_xlfn.REGEXEXTRACT(CELL("address",'Raw Data'!E205),"\$([A-Z]+)\$[0-9]+"))</f>
        <v/>
      </c>
      <c r="F205" s="7" t="str">
        <f t="array" aca="1" ref="F205" ca="1">IFERROR(IF(OR('Raw Data'!F205="",LEN(TRIM('Raw Data'!F205))=0),"",IF(AND(LEN('Raw Data'!F205) &lt;= 50,LEN('Raw Data'!F205)&gt; 0),"",_xlfn.REGEXEXTRACT(CELL("address",'Raw Data'!F205),"\$([A-Z]+)\$[0-9]+"))),_xlfn.REGEXEXTRACT(CELL("address",'Raw Data'!F205),"\$([A-Z]+)\$[0-9]+"))</f>
        <v/>
      </c>
      <c r="G205" s="7" t="str">
        <f t="array" aca="1" ref="G205" ca="1">IFERROR(IF(OR('Raw Data'!G205="",LEN(TRIM('Raw Data'!G205))=0),"",IF(AND(LEN('Raw Data'!G205) &lt;= 50,LEN('Raw Data'!G205)&gt; 0),"",_xlfn.REGEXEXTRACT(CELL("address",'Raw Data'!G205),"\$([A-Z]+)\$[0-9]+"))),_xlfn.REGEXEXTRACT(CELL("address",'Raw Data'!G205),"\$([A-Z]+)\$[0-9]+"))</f>
        <v/>
      </c>
      <c r="H205" s="7" t="str">
        <f t="array" aca="1" ref="H205" ca="1">IFERROR(IF(OR('Raw Data'!H205="",LEN(TRIM('Raw Data'!H205))=0),"",IF(AND(LEN('Raw Data'!H205) &lt;= 50,LEN('Raw Data'!H205)&gt; 0),"",_xlfn.REGEXEXTRACT(CELL("address",'Raw Data'!H205),"\$([A-Z]+)\$[0-9]+"))),_xlfn.REGEXEXTRACT(CELL("address",'Raw Data'!H205),"\$([A-Z]+)\$[0-9]+"))</f>
        <v/>
      </c>
      <c r="I205" s="7" t="str">
        <f t="array" aca="1" ref="I205" ca="1">IFERROR(IF(OR('Raw Data'!I205="",LEN(TRIM('Raw Data'!I205))=0),"",IF(AND(LEN('Raw Data'!I205) &lt;= 50,LEN('Raw Data'!I205)&gt; 0),"",_xlfn.REGEXEXTRACT(CELL("address",'Raw Data'!I205),"\$([A-Z]+)\$[0-9]+"))),_xlfn.REGEXEXTRACT(CELL("address",'Raw Data'!I205),"\$([A-Z]+)\$[0-9]+"))</f>
        <v/>
      </c>
      <c r="J205" s="7" t="str">
        <f t="array" aca="1" ref="J205" ca="1">IFERROR(IF(OR('Raw Data'!J205="",LEN(TRIM('Raw Data'!J205))=0),"",IF(AND(ISNUMBER('Raw Data'!J205), IFERROR('Raw Data'!J205 = ROUND('Raw Data'!J205, 2),FALSE)),"",_xlfn.REGEXEXTRACT(CELL("address",J205), "\$([A-Z]+)\$[0-9]+"))),_xlfn.REGEXEXTRACT(CELL("address",J205), "\$([A-Z]+)\$[0-9]+"))</f>
        <v/>
      </c>
      <c r="K205" s="7" t="str">
        <f t="array" aca="1" ref="K205" ca="1">IFERROR(IF(OR('Raw Data'!K205="",LEN(TRIM('Raw Data'!K205))=0),"",IF(AND(ISNUMBER('Raw Data'!K205), IFERROR('Raw Data'!K205 = ROUND('Raw Data'!K205, 2),FALSE)),"",_xlfn.REGEXEXTRACT(CELL("address",K205), "\$([A-Z]+)\$[0-9]+"))),_xlfn.REGEXEXTRACT(CELL("address",K205), "\$([A-Z]+)\$[0-9]+"))</f>
        <v/>
      </c>
      <c r="L205" s="7" t="str">
        <f t="array" aca="1" ref="L205" ca="1">IFERROR(IF(OR('Raw Data'!L205="",LEN(TRIM('Raw Data'!L205))=0),"",IF(AND(ISNUMBER('Raw Data'!L205), IFERROR('Raw Data'!L205 = ROUND('Raw Data'!L205, 2),FALSE)),"",_xlfn.REGEXEXTRACT(CELL("address",L205), "\$([A-Z]+)\$[0-9]+"))),_xlfn.REGEXEXTRACT(CELL("address",L205), "\$([A-Z]+)\$[0-9]+"))</f>
        <v/>
      </c>
      <c r="M205" s="7" t="str">
        <f t="array" aca="1" ref="M205" ca="1">IFERROR(IF(OR('Raw Data'!M205="",LEN(TRIM('Raw Data'!M205))=0),"",IF(AND(ISNUMBER('Raw Data'!M205), IFERROR('Raw Data'!M205 = ROUND('Raw Data'!M205, 2),FALSE)),"",_xlfn.REGEXEXTRACT(CELL("address",M205), "\$([A-Z]+)\$[0-9]+"))),_xlfn.REGEXEXTRACT(CELL("address",M205), "\$([A-Z]+)\$[0-9]+"))</f>
        <v/>
      </c>
      <c r="N205" s="7" t="str">
        <f t="array" aca="1" ref="N205" ca="1">IFERROR(IF(OR('Raw Data'!N205="",LEN(TRIM('Raw Data'!N205))=0),"",IF(AND(ISNUMBER('Raw Data'!N205), IFERROR('Raw Data'!N205 = ROUND('Raw Data'!N205, 2),FALSE)),"",_xlfn.REGEXEXTRACT(CELL("address",N205), "\$([A-Z]+)\$[0-9]+"))),_xlfn.REGEXEXTRACT(CELL("address",N205), "\$([A-Z]+)\$[0-9]+"))</f>
        <v/>
      </c>
      <c r="O205" s="7" t="str">
        <f t="array" aca="1" ref="O205" ca="1">IFERROR(IF(OR('Raw Data'!O205="",LEN(TRIM('Raw Data'!O205))=0),"",IF(AND(ISNUMBER('Raw Data'!O205),'Raw Data'!O205&gt;=Configuration!$D$2),"",_xlfn.REGEXEXTRACT(CELL("address",'Raw Data'!O205),"\$([A-Z]+)\$[0-9]+"))),_xlfn.REGEXEXTRACT(CELL("address",O205), "\$([A-Z]+)\$[0-9]+"))</f>
        <v/>
      </c>
      <c r="P205" s="7" t="str">
        <f t="array" aca="1" ref="P205" ca="1">IFERROR(IF(OR('Raw Data'!P205="",LEN(TRIM('Raw Data'!P205))=0),"",IF(AND(ISNUMBER('Raw Data'!P205), IFERROR('Raw Data'!P205 = ROUND('Raw Data'!P205, 2),FALSE)),"",_xlfn.REGEXEXTRACT(CELL("address",P205), "\$([A-Z]+)\$[0-9]+"))),_xlfn.REGEXEXTRACT(CELL("address",P205), "\$([A-Z]+)\$[0-9]+"))</f>
        <v/>
      </c>
      <c r="Q205" s="7" t="str">
        <f t="array" aca="1" ref="Q205" ca="1">IFERROR(IF(OR('Raw Data'!Q205="",LEN(TRIM('Raw Data'!Q205))=0),"",IF(AND(ISNUMBER('Raw Data'!Q205), IFERROR('Raw Data'!Q205 = ROUND('Raw Data'!Q205, 2),FALSE)),"",_xlfn.REGEXEXTRACT(CELL("address",Q205), "\$([A-Z]+)\$[0-9]+"))),_xlfn.REGEXEXTRACT(CELL("address",Q205), "\$([A-Z]+)\$[0-9]+"))</f>
        <v/>
      </c>
      <c r="R205" s="7" t="str">
        <f t="array" aca="1" ref="R205" ca="1">IFERROR(IF(OR('Raw Data'!R205="",LEN(TRIM('Raw Data'!R205))=0),"",IF(AND(LEN('Raw Data'!R205) &lt;= 50,LEN('Raw Data'!R205)&gt; 0),"",_xlfn.REGEXEXTRACT(CELL("address",'Raw Data'!R205),"\$([A-Z]+)\$[0-9]+"))),_xlfn.REGEXEXTRACT(CELL("address",'Raw Data'!R205),"\$([A-Z]+)\$[0-9]+"))</f>
        <v/>
      </c>
      <c r="S205" s="7" t="str">
        <f t="array" aca="1" ref="S205" ca="1">IFERROR(IF(OR('Raw Data'!S205="",LEN(TRIM('Raw Data'!S205))=0),"",IF(AND(LEN('Raw Data'!S205) &lt;= 50,LEN('Raw Data'!S205)&gt; 0),"",_xlfn.REGEXEXTRACT(CELL("address",'Raw Data'!S205),"\$([A-Z]+)\$[0-9]+"))),_xlfn.REGEXEXTRACT(CELL("address",'Raw Data'!S205),"\$([A-Z]+)\$[0-9]+"))</f>
        <v/>
      </c>
      <c r="T205" s="7" t="str">
        <f t="array" aca="1" ref="T205" ca="1">IFERROR(IF(OR('Raw Data'!T205="",LEN(TRIM('Raw Data'!T205))=0),"",IF(AND(ISNUMBER('Raw Data'!T205), IFERROR('Raw Data'!T205 = ROUND('Raw Data'!T205, 2),FALSE)),"",_xlfn.REGEXEXTRACT(CELL("address",T205), "\$([A-Z]+)\$[0-9]+"))),_xlfn.REGEXEXTRACT(CELL("address",T205), "\$([A-Z]+)\$[0-9]+"))</f>
        <v/>
      </c>
      <c r="U205" s="7" t="str">
        <f t="array" aca="1" ref="U205" ca="1">IFERROR(IF(OR('Raw Data'!U205="",LEN(TRIM('Raw Data'!U205))=0),"",IF(AND(ISNUMBER('Raw Data'!U205), IFERROR('Raw Data'!U205 = ROUND('Raw Data'!U205, 2),FALSE)),"",_xlfn.REGEXEXTRACT(CELL("address",U205), "\$([A-Z]+)\$[0-9]+"))),_xlfn.REGEXEXTRACT(CELL("address",U205), "\$([A-Z]+)\$[0-9]+"))</f>
        <v/>
      </c>
      <c r="V205" s="7" t="str">
        <f t="array" aca="1" ref="V205" ca="1">IFERROR(IF(OR('Raw Data'!V205="",LEN(TRIM('Raw Data'!V205))=0),"",IF(AND(ISNUMBER('Raw Data'!V205), IFERROR('Raw Data'!V205 = ROUND('Raw Data'!V205, 2),FALSE)),"",_xlfn.REGEXEXTRACT(CELL("address",V205), "\$([A-Z]+)\$[0-9]+"))),_xlfn.REGEXEXTRACT(CELL("address",V205), "\$([A-Z]+)\$[0-9]+"))</f>
        <v/>
      </c>
      <c r="W205" s="7" t="str">
        <f t="array" aca="1" ref="W205" ca="1">IFERROR(IF(OR('Raw Data'!W205="",LEN(TRIM('Raw Data'!W205))=0),"",IF(AND(ISNUMBER('Raw Data'!W205), IFERROR('Raw Data'!W205 = ROUND('Raw Data'!W205, 2),FALSE)),"",_xlfn.REGEXEXTRACT(CELL("address",W205), "\$([A-Z]+)\$[0-9]+"))),_xlfn.REGEXEXTRACT(CELL("address",W205), "\$([A-Z]+)\$[0-9]+"))</f>
        <v/>
      </c>
      <c r="X205" s="7" t="str">
        <f t="array" aca="1" ref="X205" ca="1">IFERROR(IF(OR('Raw Data'!X205="",LEN(TRIM('Raw Data'!X205))=0),"",IF(AND(ISNUMBER('Raw Data'!X205), IFERROR('Raw Data'!X205 = ROUND('Raw Data'!X205, 2),FALSE)),"",_xlfn.REGEXEXTRACT(CELL("address",X205), "\$([A-Z]+)\$[0-9]+"))),_xlfn.REGEXEXTRACT(CELL("address",X205), "\$([A-Z]+)\$[0-9]+"))</f>
        <v/>
      </c>
      <c r="Y205" s="7" t="str">
        <f t="array" aca="1" ref="Y205" ca="1">IFERROR(IF(OR('Raw Data'!Y205="",LEN(TRIM('Raw Data'!Y205))=0),"",IF(AND(ISNUMBER('Raw Data'!Y205), IFERROR('Raw Data'!Y205 = ROUND('Raw Data'!Y205, 2),FALSE)),"",_xlfn.REGEXEXTRACT(CELL("address",Y205), "\$([A-Z]+)\$[0-9]+"))),_xlfn.REGEXEXTRACT(CELL("address",Y205), "\$([A-Z]+)\$[0-9]+"))</f>
        <v/>
      </c>
      <c r="Z205" s="7" t="str">
        <f t="array" aca="1" ref="Z205" ca="1">IFERROR(IF(OR('Raw Data'!Z205="",LEN(TRIM('Raw Data'!Z205))=0),"",IF(AND(ISNUMBER('Raw Data'!Z205), IFERROR('Raw Data'!Z205 = ROUND('Raw Data'!Z205, 2),FALSE)),"",_xlfn.REGEXEXTRACT(CELL("address",Z205), "\$([A-Z]+)\$[0-9]+"))),_xlfn.REGEXEXTRACT(CELL("address",Z205), "\$([A-Z]+)\$[0-9]+"))</f>
        <v/>
      </c>
      <c r="AA205" s="7" t="str">
        <f t="array" aca="1" ref="AA205" ca="1">IFERROR(IF(OR('Raw Data'!AA205="",LEN(TRIM('Raw Data'!AA205))=0),"",IF(AND(ISNUMBER('Raw Data'!AA205), IFERROR('Raw Data'!AA205 = ROUND('Raw Data'!AA205, 2),FALSE)),"",_xlfn.REGEXEXTRACT(CELL("address",AA205), "\$([A-Z]+)\$[0-9]+"))),_xlfn.REGEXEXTRACT(CELL("address",AA205), "\$([A-Z]+)\$[0-9]+"))</f>
        <v/>
      </c>
      <c r="AB205" s="7" t="str">
        <f t="array" aca="1" ref="AB205" ca="1">IFERROR(IF(OR('Raw Data'!AB205="",LEN(TRIM('Raw Data'!AB205))=0),"",IF(AND(ISNUMBER('Raw Data'!AB205), IFERROR('Raw Data'!AB205 = ROUND('Raw Data'!AB205, 2),FALSE)),"",_xlfn.REGEXEXTRACT(CELL("address",AB205), "\$([A-Z]+)\$[0-9]+"))),_xlfn.REGEXEXTRACT(CELL("address",AB205), "\$([A-Z]+)\$[0-9]+"))</f>
        <v/>
      </c>
      <c r="AC205" s="7" t="str">
        <f t="array" aca="1" ref="AC205" ca="1">IFERROR(IF(OR('Raw Data'!AC205="",LEN(TRIM('Raw Data'!AC205))=0),"",IF(AND(ISNUMBER('Raw Data'!AC205), IFERROR('Raw Data'!AC205 = ROUND('Raw Data'!AC205, 2),FALSE)),"",_xlfn.REGEXEXTRACT(CELL("address",AC205), "\$([A-Z]+)\$[0-9]+"))),_xlfn.REGEXEXTRACT(CELL("address",AC205), "\$([A-Z]+)\$[0-9]+"))</f>
        <v/>
      </c>
      <c r="AD205" s="7" t="str">
        <f t="array" aca="1" ref="AD205" ca="1">IFERROR(IF(OR('Raw Data'!AD205="",LEN(TRIM('Raw Data'!AD205))=0),"",IF(AND(ISNUMBER('Raw Data'!AD205), IFERROR('Raw Data'!AD205 = ROUND('Raw Data'!AD205, 2),FALSE)),"",_xlfn.REGEXEXTRACT(CELL("address",AD205), "\$([A-Z]+)\$[0-9]+"))),_xlfn.REGEXEXTRACT(CELL("address",AD205), "\$([A-Z]+)\$[0-9]+"))</f>
        <v/>
      </c>
      <c r="AE205" s="7" t="str">
        <f t="array" aca="1" ref="AE205" ca="1">IFERROR(IF(OR('Raw Data'!AE205="",LEN(TRIM('Raw Data'!AE205))=0),"",IF(AND(ISNUMBER('Raw Data'!AE205), IFERROR('Raw Data'!AE205 = ROUND('Raw Data'!AE205, 2),FALSE)),"",_xlfn.REGEXEXTRACT(CELL("address",AE205), "\$([A-Z]+)\$[0-9]+"))),_xlfn.REGEXEXTRACT(CELL("address",AE205), "\$([A-Z]+)\$[0-9]+"))</f>
        <v/>
      </c>
      <c r="AF205" s="7" t="str">
        <f t="array" aca="1" ref="AF205" ca="1">IFERROR(IF(OR('Raw Data'!AF205="",LEN(TRIM('Raw Data'!AF205))=0),"",IF(AND(ISNUMBER('Raw Data'!AF205), IFERROR('Raw Data'!AF205 = ROUND('Raw Data'!AF205, 2),FALSE)),"",_xlfn.REGEXEXTRACT(CELL("address",AF205), "\$([A-Z]+)\$[0-9]+"))),_xlfn.REGEXEXTRACT(CELL("address",AF205), "\$([A-Z]+)\$[0-9]+"))</f>
        <v/>
      </c>
      <c r="AG205" s="7" t="str">
        <f t="array" aca="1" ref="AG205" ca="1">IFERROR(IF(OR('Raw Data'!AG205="",LEN(TRIM('Raw Data'!AG205))=0),"",IF(AND(ISNUMBER('Raw Data'!AG205), IFERROR('Raw Data'!AG205 = ROUND('Raw Data'!AG205, 2),FALSE)),"",_xlfn.REGEXEXTRACT(CELL("address",AG205), "\$([A-Z]+)\$[0-9]+"))),_xlfn.REGEXEXTRACT(CELL("address",AG205), "\$([A-Z]+)\$[0-9]+"))</f>
        <v/>
      </c>
      <c r="AH205" s="7" t="str">
        <f t="array" aca="1" ref="AH205" ca="1">IFERROR(IF(OR('Raw Data'!AH205="",LEN(TRIM('Raw Data'!AH205))=0),"",IF(AND(ISNUMBER('Raw Data'!AH205), IFERROR('Raw Data'!AH205 = ROUND('Raw Data'!AH205, 2),FALSE)),"",_xlfn.REGEXEXTRACT(CELL("address",AH205), "\$([A-Z]+)\$[0-9]+"))),_xlfn.REGEXEXTRACT(CELL("address",AH205), "\$([A-Z]+)\$[0-9]+"))</f>
        <v/>
      </c>
      <c r="AI205" s="7" t="str">
        <f t="array" aca="1" ref="AI205" ca="1">IFERROR(IF(OR('Raw Data'!AI205="",LEN(TRIM('Raw Data'!AI205))=0),"",IF(AND(ISNUMBER('Raw Data'!AI205), IFERROR('Raw Data'!AI205 = ROUND('Raw Data'!AI205, 2),FALSE)),"",_xlfn.REGEXEXTRACT(CELL("address",AI205), "\$([A-Z]+)\$[0-9]+"))),_xlfn.REGEXEXTRACT(CELL("address",AI205), "\$([A-Z]+)\$[0-9]+"))</f>
        <v/>
      </c>
      <c r="AJ205" s="7" t="str">
        <f t="array" aca="1" ref="AJ205" ca="1">IFERROR(IF(OR('Raw Data'!AJ205="",LEN(TRIM('Raw Data'!AJ205))=0),"",IF(AND(ISNUMBER('Raw Data'!AJ205), IFERROR('Raw Data'!AJ205 = ROUND('Raw Data'!AJ205, 4),FALSE)),"",_xlfn.REGEXEXTRACT(CELL("address",AJ205), "\$([A-Z]+)\$[0-9]+"))),_xlfn.REGEXEXTRACT(CELL("address",AJ205), "\$([A-Z]+)\$[0-9]+"))</f>
        <v/>
      </c>
      <c r="AK205" s="7" t="str">
        <f t="array" aca="1" ref="AK205" ca="1">IFERROR(IF(OR('Raw Data'!AK205="",LEN(TRIM('Raw Data'!AK205))=0),"",IF(AND(ISNUMBER('Raw Data'!AK205), IFERROR('Raw Data'!AK205 = ROUND('Raw Data'!AK205, 2),FALSE)),"",_xlfn.REGEXEXTRACT(CELL("address",AK205), "\$([A-Z]+)\$[0-9]+"))),_xlfn.REGEXEXTRACT(CELL("address",AK205), "\$([A-Z]+)\$[0-9]+"))</f>
        <v/>
      </c>
      <c r="AL205" s="7" t="str">
        <f t="array" aca="1" ref="AL205" ca="1">IFERROR(IF(OR('Raw Data'!AL205="",LEN(TRIM('Raw Data'!AL205))=0),"",IF(AND(ISNUMBER('Raw Data'!AL205), IFERROR('Raw Data'!AL205 = ROUND('Raw Data'!AL205, 2),FALSE)),"",_xlfn.REGEXEXTRACT(CELL("address",AL205), "\$([A-Z]+)\$[0-9]+"))),_xlfn.REGEXEXTRACT(CELL("address",AL205), "\$([A-Z]+)\$[0-9]+"))</f>
        <v/>
      </c>
      <c r="AM205" s="7" t="str">
        <f t="array" aca="1" ref="AM205" ca="1">IFERROR(IF(OR('Raw Data'!AM205="",LEN(TRIM('Raw Data'!AM205))=0),"",IF(AND(ISNUMBER('Raw Data'!AM205), IFERROR('Raw Data'!AM205 = ROUND('Raw Data'!AM205, 2),FALSE)),"",_xlfn.REGEXEXTRACT(CELL("address",AM205), "\$([A-Z]+)\$[0-9]+"))),_xlfn.REGEXEXTRACT(CELL("address",AM205), "\$([A-Z]+)\$[0-9]+"))</f>
        <v/>
      </c>
      <c r="AN205" s="7" t="str">
        <f t="array" aca="1" ref="AN205" ca="1">IFERROR(IF(OR('Raw Data'!AN205="",LEN(TRIM('Raw Data'!AN205))=0),"",IF(AND(ISNUMBER('Raw Data'!AN205), IFERROR('Raw Data'!AN205 = ROUND('Raw Data'!AN205, 2),FALSE)),"",_xlfn.REGEXEXTRACT(CELL("address",AN205), "\$([A-Z]+)\$[0-9]+"))),_xlfn.REGEXEXTRACT(CELL("address",AN205), "\$([A-Z]+)\$[0-9]+"))</f>
        <v/>
      </c>
      <c r="AO205" s="7" t="str">
        <f t="array" aca="1" ref="AO205" ca="1">IFERROR(IF(OR('Raw Data'!AO205="",LEN(TRIM('Raw Data'!AO205))=0),"",IF(AND(ISNUMBER('Raw Data'!AO205), IFERROR('Raw Data'!AO205 = ROUND('Raw Data'!AO205, 2),FALSE)),"",_xlfn.REGEXEXTRACT(CELL("address",AO205), "\$([A-Z]+)\$[0-9]+"))),_xlfn.REGEXEXTRACT(CELL("address",AO205), "\$([A-Z]+)\$[0-9]+"))</f>
        <v/>
      </c>
      <c r="AP205" s="7" t="str">
        <f t="array" aca="1" ref="AP205" ca="1">IFERROR(IF(OR('Raw Data'!AP205="",LEN(TRIM('Raw Data'!AP205))=0),"",IF(AND(ISNUMBER('Raw Data'!AP205), IFERROR('Raw Data'!AP205 = ROUND('Raw Data'!AP205, 2),FALSE)),"",_xlfn.REGEXEXTRACT(CELL("address",AP205), "\$([A-Z]+)\$[0-9]+"))),_xlfn.REGEXEXTRACT(CELL("address",AP205), "\$([A-Z]+)\$[0-9]+"))</f>
        <v/>
      </c>
    </row>
    <row r="206" spans="2:42" x14ac:dyDescent="0.25">
      <c r="B206" s="7" t="str">
        <f t="array" aca="1" ref="B206" ca="1">IFERROR(IF(OR('Raw Data'!B206="",LEN(TRIM('Raw Data'!B206))=0),"",IF(AND(LEN('Raw Data'!B206) &lt;= 255,LEN('Raw Data'!B206)&gt; 0),"",_xlfn.REGEXEXTRACT(CELL("address",'Raw Data'!B206),"\$([A-Z]+)\$[0-9]+"))),_xlfn.REGEXEXTRACT(CELL("address",'Raw Data'!B206),"\$([A-Z]+)\$[0-9]+"))</f>
        <v/>
      </c>
      <c r="C206" s="7" t="str">
        <f t="array" aca="1" ref="C206" ca="1">IFERROR(IF(OR('Raw Data'!C206="",LEN(TRIM('Raw Data'!C206))=0),"",IF(AND(LEN('Raw Data'!C206) &lt;= 50,LEN('Raw Data'!C206)&gt; 0),"",_xlfn.REGEXEXTRACT(CELL("address",'Raw Data'!C206),"\$([A-Z]+)\$[0-9]+"))),_xlfn.REGEXEXTRACT(CELL("address",'Raw Data'!C206),"\$([A-Z]+)\$[0-9]+"))</f>
        <v/>
      </c>
      <c r="D206" s="7" t="str">
        <f t="array" aca="1" ref="D206" ca="1">IFERROR(IF(OR('Raw Data'!D206="",LEN(TRIM('Raw Data'!D206))=0),"",IF(AND(LEN('Raw Data'!D206) &lt;= 500,LEN('Raw Data'!D206)&gt; 0),"",_xlfn.REGEXEXTRACT(CELL("address",'Raw Data'!D206),"\$([A-Z]+)\$[0-9]+"))),_xlfn.REGEXEXTRACT(CELL("address",'Raw Data'!D206),"\$([A-Z]+)\$[0-9]+"))</f>
        <v/>
      </c>
      <c r="E206" s="7" t="str">
        <f t="array" aca="1" ref="E206" ca="1">IFERROR(IF(OR('Raw Data'!E206="",LEN(TRIM('Raw Data'!E206))=0),"",IF(AND(LEN('Raw Data'!E206) &lt;= 50,LEN('Raw Data'!E206)&gt; 0),"",_xlfn.REGEXEXTRACT(CELL("address",'Raw Data'!E206),"\$([A-Z]+)\$[0-9]+"))),_xlfn.REGEXEXTRACT(CELL("address",'Raw Data'!E206),"\$([A-Z]+)\$[0-9]+"))</f>
        <v/>
      </c>
      <c r="F206" s="7" t="str">
        <f t="array" aca="1" ref="F206" ca="1">IFERROR(IF(OR('Raw Data'!F206="",LEN(TRIM('Raw Data'!F206))=0),"",IF(AND(LEN('Raw Data'!F206) &lt;= 50,LEN('Raw Data'!F206)&gt; 0),"",_xlfn.REGEXEXTRACT(CELL("address",'Raw Data'!F206),"\$([A-Z]+)\$[0-9]+"))),_xlfn.REGEXEXTRACT(CELL("address",'Raw Data'!F206),"\$([A-Z]+)\$[0-9]+"))</f>
        <v/>
      </c>
      <c r="G206" s="7" t="str">
        <f t="array" aca="1" ref="G206" ca="1">IFERROR(IF(OR('Raw Data'!G206="",LEN(TRIM('Raw Data'!G206))=0),"",IF(AND(LEN('Raw Data'!G206) &lt;= 50,LEN('Raw Data'!G206)&gt; 0),"",_xlfn.REGEXEXTRACT(CELL("address",'Raw Data'!G206),"\$([A-Z]+)\$[0-9]+"))),_xlfn.REGEXEXTRACT(CELL("address",'Raw Data'!G206),"\$([A-Z]+)\$[0-9]+"))</f>
        <v/>
      </c>
      <c r="H206" s="7" t="str">
        <f t="array" aca="1" ref="H206" ca="1">IFERROR(IF(OR('Raw Data'!H206="",LEN(TRIM('Raw Data'!H206))=0),"",IF(AND(LEN('Raw Data'!H206) &lt;= 50,LEN('Raw Data'!H206)&gt; 0),"",_xlfn.REGEXEXTRACT(CELL("address",'Raw Data'!H206),"\$([A-Z]+)\$[0-9]+"))),_xlfn.REGEXEXTRACT(CELL("address",'Raw Data'!H206),"\$([A-Z]+)\$[0-9]+"))</f>
        <v/>
      </c>
      <c r="I206" s="7" t="str">
        <f t="array" aca="1" ref="I206" ca="1">IFERROR(IF(OR('Raw Data'!I206="",LEN(TRIM('Raw Data'!I206))=0),"",IF(AND(LEN('Raw Data'!I206) &lt;= 50,LEN('Raw Data'!I206)&gt; 0),"",_xlfn.REGEXEXTRACT(CELL("address",'Raw Data'!I206),"\$([A-Z]+)\$[0-9]+"))),_xlfn.REGEXEXTRACT(CELL("address",'Raw Data'!I206),"\$([A-Z]+)\$[0-9]+"))</f>
        <v/>
      </c>
      <c r="J206" s="7" t="str">
        <f t="array" aca="1" ref="J206" ca="1">IFERROR(IF(OR('Raw Data'!J206="",LEN(TRIM('Raw Data'!J206))=0),"",IF(AND(ISNUMBER('Raw Data'!J206), IFERROR('Raw Data'!J206 = ROUND('Raw Data'!J206, 2),FALSE)),"",_xlfn.REGEXEXTRACT(CELL("address",J206), "\$([A-Z]+)\$[0-9]+"))),_xlfn.REGEXEXTRACT(CELL("address",J206), "\$([A-Z]+)\$[0-9]+"))</f>
        <v/>
      </c>
      <c r="K206" s="7" t="str">
        <f t="array" aca="1" ref="K206" ca="1">IFERROR(IF(OR('Raw Data'!K206="",LEN(TRIM('Raw Data'!K206))=0),"",IF(AND(ISNUMBER('Raw Data'!K206), IFERROR('Raw Data'!K206 = ROUND('Raw Data'!K206, 2),FALSE)),"",_xlfn.REGEXEXTRACT(CELL("address",K206), "\$([A-Z]+)\$[0-9]+"))),_xlfn.REGEXEXTRACT(CELL("address",K206), "\$([A-Z]+)\$[0-9]+"))</f>
        <v/>
      </c>
      <c r="L206" s="7" t="str">
        <f t="array" aca="1" ref="L206" ca="1">IFERROR(IF(OR('Raw Data'!L206="",LEN(TRIM('Raw Data'!L206))=0),"",IF(AND(ISNUMBER('Raw Data'!L206), IFERROR('Raw Data'!L206 = ROUND('Raw Data'!L206, 2),FALSE)),"",_xlfn.REGEXEXTRACT(CELL("address",L206), "\$([A-Z]+)\$[0-9]+"))),_xlfn.REGEXEXTRACT(CELL("address",L206), "\$([A-Z]+)\$[0-9]+"))</f>
        <v/>
      </c>
      <c r="M206" s="7" t="str">
        <f t="array" aca="1" ref="M206" ca="1">IFERROR(IF(OR('Raw Data'!M206="",LEN(TRIM('Raw Data'!M206))=0),"",IF(AND(ISNUMBER('Raw Data'!M206), IFERROR('Raw Data'!M206 = ROUND('Raw Data'!M206, 2),FALSE)),"",_xlfn.REGEXEXTRACT(CELL("address",M206), "\$([A-Z]+)\$[0-9]+"))),_xlfn.REGEXEXTRACT(CELL("address",M206), "\$([A-Z]+)\$[0-9]+"))</f>
        <v/>
      </c>
      <c r="N206" s="7" t="str">
        <f t="array" aca="1" ref="N206" ca="1">IFERROR(IF(OR('Raw Data'!N206="",LEN(TRIM('Raw Data'!N206))=0),"",IF(AND(ISNUMBER('Raw Data'!N206), IFERROR('Raw Data'!N206 = ROUND('Raw Data'!N206, 2),FALSE)),"",_xlfn.REGEXEXTRACT(CELL("address",N206), "\$([A-Z]+)\$[0-9]+"))),_xlfn.REGEXEXTRACT(CELL("address",N206), "\$([A-Z]+)\$[0-9]+"))</f>
        <v/>
      </c>
      <c r="O206" s="7" t="str">
        <f t="array" aca="1" ref="O206" ca="1">IFERROR(IF(OR('Raw Data'!O206="",LEN(TRIM('Raw Data'!O206))=0),"",IF(AND(ISNUMBER('Raw Data'!O206),'Raw Data'!O206&gt;=Configuration!$D$2),"",_xlfn.REGEXEXTRACT(CELL("address",'Raw Data'!O206),"\$([A-Z]+)\$[0-9]+"))),_xlfn.REGEXEXTRACT(CELL("address",O206), "\$([A-Z]+)\$[0-9]+"))</f>
        <v/>
      </c>
      <c r="P206" s="7" t="str">
        <f t="array" aca="1" ref="P206" ca="1">IFERROR(IF(OR('Raw Data'!P206="",LEN(TRIM('Raw Data'!P206))=0),"",IF(AND(ISNUMBER('Raw Data'!P206), IFERROR('Raw Data'!P206 = ROUND('Raw Data'!P206, 2),FALSE)),"",_xlfn.REGEXEXTRACT(CELL("address",P206), "\$([A-Z]+)\$[0-9]+"))),_xlfn.REGEXEXTRACT(CELL("address",P206), "\$([A-Z]+)\$[0-9]+"))</f>
        <v/>
      </c>
      <c r="Q206" s="7" t="str">
        <f t="array" aca="1" ref="Q206" ca="1">IFERROR(IF(OR('Raw Data'!Q206="",LEN(TRIM('Raw Data'!Q206))=0),"",IF(AND(ISNUMBER('Raw Data'!Q206), IFERROR('Raw Data'!Q206 = ROUND('Raw Data'!Q206, 2),FALSE)),"",_xlfn.REGEXEXTRACT(CELL("address",Q206), "\$([A-Z]+)\$[0-9]+"))),_xlfn.REGEXEXTRACT(CELL("address",Q206), "\$([A-Z]+)\$[0-9]+"))</f>
        <v/>
      </c>
      <c r="R206" s="7" t="str">
        <f t="array" aca="1" ref="R206" ca="1">IFERROR(IF(OR('Raw Data'!R206="",LEN(TRIM('Raw Data'!R206))=0),"",IF(AND(LEN('Raw Data'!R206) &lt;= 50,LEN('Raw Data'!R206)&gt; 0),"",_xlfn.REGEXEXTRACT(CELL("address",'Raw Data'!R206),"\$([A-Z]+)\$[0-9]+"))),_xlfn.REGEXEXTRACT(CELL("address",'Raw Data'!R206),"\$([A-Z]+)\$[0-9]+"))</f>
        <v/>
      </c>
      <c r="S206" s="7" t="str">
        <f t="array" aca="1" ref="S206" ca="1">IFERROR(IF(OR('Raw Data'!S206="",LEN(TRIM('Raw Data'!S206))=0),"",IF(AND(LEN('Raw Data'!S206) &lt;= 50,LEN('Raw Data'!S206)&gt; 0),"",_xlfn.REGEXEXTRACT(CELL("address",'Raw Data'!S206),"\$([A-Z]+)\$[0-9]+"))),_xlfn.REGEXEXTRACT(CELL("address",'Raw Data'!S206),"\$([A-Z]+)\$[0-9]+"))</f>
        <v/>
      </c>
      <c r="T206" s="7" t="str">
        <f t="array" aca="1" ref="T206" ca="1">IFERROR(IF(OR('Raw Data'!T206="",LEN(TRIM('Raw Data'!T206))=0),"",IF(AND(ISNUMBER('Raw Data'!T206), IFERROR('Raw Data'!T206 = ROUND('Raw Data'!T206, 2),FALSE)),"",_xlfn.REGEXEXTRACT(CELL("address",T206), "\$([A-Z]+)\$[0-9]+"))),_xlfn.REGEXEXTRACT(CELL("address",T206), "\$([A-Z]+)\$[0-9]+"))</f>
        <v/>
      </c>
      <c r="U206" s="7" t="str">
        <f t="array" aca="1" ref="U206" ca="1">IFERROR(IF(OR('Raw Data'!U206="",LEN(TRIM('Raw Data'!U206))=0),"",IF(AND(ISNUMBER('Raw Data'!U206), IFERROR('Raw Data'!U206 = ROUND('Raw Data'!U206, 2),FALSE)),"",_xlfn.REGEXEXTRACT(CELL("address",U206), "\$([A-Z]+)\$[0-9]+"))),_xlfn.REGEXEXTRACT(CELL("address",U206), "\$([A-Z]+)\$[0-9]+"))</f>
        <v/>
      </c>
      <c r="V206" s="7" t="str">
        <f t="array" aca="1" ref="V206" ca="1">IFERROR(IF(OR('Raw Data'!V206="",LEN(TRIM('Raw Data'!V206))=0),"",IF(AND(ISNUMBER('Raw Data'!V206), IFERROR('Raw Data'!V206 = ROUND('Raw Data'!V206, 2),FALSE)),"",_xlfn.REGEXEXTRACT(CELL("address",V206), "\$([A-Z]+)\$[0-9]+"))),_xlfn.REGEXEXTRACT(CELL("address",V206), "\$([A-Z]+)\$[0-9]+"))</f>
        <v/>
      </c>
      <c r="W206" s="7" t="str">
        <f t="array" aca="1" ref="W206" ca="1">IFERROR(IF(OR('Raw Data'!W206="",LEN(TRIM('Raw Data'!W206))=0),"",IF(AND(ISNUMBER('Raw Data'!W206), IFERROR('Raw Data'!W206 = ROUND('Raw Data'!W206, 2),FALSE)),"",_xlfn.REGEXEXTRACT(CELL("address",W206), "\$([A-Z]+)\$[0-9]+"))),_xlfn.REGEXEXTRACT(CELL("address",W206), "\$([A-Z]+)\$[0-9]+"))</f>
        <v/>
      </c>
      <c r="X206" s="7" t="str">
        <f t="array" aca="1" ref="X206" ca="1">IFERROR(IF(OR('Raw Data'!X206="",LEN(TRIM('Raw Data'!X206))=0),"",IF(AND(ISNUMBER('Raw Data'!X206), IFERROR('Raw Data'!X206 = ROUND('Raw Data'!X206, 2),FALSE)),"",_xlfn.REGEXEXTRACT(CELL("address",X206), "\$([A-Z]+)\$[0-9]+"))),_xlfn.REGEXEXTRACT(CELL("address",X206), "\$([A-Z]+)\$[0-9]+"))</f>
        <v/>
      </c>
      <c r="Y206" s="7" t="str">
        <f t="array" aca="1" ref="Y206" ca="1">IFERROR(IF(OR('Raw Data'!Y206="",LEN(TRIM('Raw Data'!Y206))=0),"",IF(AND(ISNUMBER('Raw Data'!Y206), IFERROR('Raw Data'!Y206 = ROUND('Raw Data'!Y206, 2),FALSE)),"",_xlfn.REGEXEXTRACT(CELL("address",Y206), "\$([A-Z]+)\$[0-9]+"))),_xlfn.REGEXEXTRACT(CELL("address",Y206), "\$([A-Z]+)\$[0-9]+"))</f>
        <v/>
      </c>
      <c r="Z206" s="7" t="str">
        <f t="array" aca="1" ref="Z206" ca="1">IFERROR(IF(OR('Raw Data'!Z206="",LEN(TRIM('Raw Data'!Z206))=0),"",IF(AND(ISNUMBER('Raw Data'!Z206), IFERROR('Raw Data'!Z206 = ROUND('Raw Data'!Z206, 2),FALSE)),"",_xlfn.REGEXEXTRACT(CELL("address",Z206), "\$([A-Z]+)\$[0-9]+"))),_xlfn.REGEXEXTRACT(CELL("address",Z206), "\$([A-Z]+)\$[0-9]+"))</f>
        <v/>
      </c>
      <c r="AA206" s="7" t="str">
        <f t="array" aca="1" ref="AA206" ca="1">IFERROR(IF(OR('Raw Data'!AA206="",LEN(TRIM('Raw Data'!AA206))=0),"",IF(AND(ISNUMBER('Raw Data'!AA206), IFERROR('Raw Data'!AA206 = ROUND('Raw Data'!AA206, 2),FALSE)),"",_xlfn.REGEXEXTRACT(CELL("address",AA206), "\$([A-Z]+)\$[0-9]+"))),_xlfn.REGEXEXTRACT(CELL("address",AA206), "\$([A-Z]+)\$[0-9]+"))</f>
        <v/>
      </c>
      <c r="AB206" s="7" t="str">
        <f t="array" aca="1" ref="AB206" ca="1">IFERROR(IF(OR('Raw Data'!AB206="",LEN(TRIM('Raw Data'!AB206))=0),"",IF(AND(ISNUMBER('Raw Data'!AB206), IFERROR('Raw Data'!AB206 = ROUND('Raw Data'!AB206, 2),FALSE)),"",_xlfn.REGEXEXTRACT(CELL("address",AB206), "\$([A-Z]+)\$[0-9]+"))),_xlfn.REGEXEXTRACT(CELL("address",AB206), "\$([A-Z]+)\$[0-9]+"))</f>
        <v/>
      </c>
      <c r="AC206" s="7" t="str">
        <f t="array" aca="1" ref="AC206" ca="1">IFERROR(IF(OR('Raw Data'!AC206="",LEN(TRIM('Raw Data'!AC206))=0),"",IF(AND(ISNUMBER('Raw Data'!AC206), IFERROR('Raw Data'!AC206 = ROUND('Raw Data'!AC206, 2),FALSE)),"",_xlfn.REGEXEXTRACT(CELL("address",AC206), "\$([A-Z]+)\$[0-9]+"))),_xlfn.REGEXEXTRACT(CELL("address",AC206), "\$([A-Z]+)\$[0-9]+"))</f>
        <v/>
      </c>
      <c r="AD206" s="7" t="str">
        <f t="array" aca="1" ref="AD206" ca="1">IFERROR(IF(OR('Raw Data'!AD206="",LEN(TRIM('Raw Data'!AD206))=0),"",IF(AND(ISNUMBER('Raw Data'!AD206), IFERROR('Raw Data'!AD206 = ROUND('Raw Data'!AD206, 2),FALSE)),"",_xlfn.REGEXEXTRACT(CELL("address",AD206), "\$([A-Z]+)\$[0-9]+"))),_xlfn.REGEXEXTRACT(CELL("address",AD206), "\$([A-Z]+)\$[0-9]+"))</f>
        <v/>
      </c>
      <c r="AE206" s="7" t="str">
        <f t="array" aca="1" ref="AE206" ca="1">IFERROR(IF(OR('Raw Data'!AE206="",LEN(TRIM('Raw Data'!AE206))=0),"",IF(AND(ISNUMBER('Raw Data'!AE206), IFERROR('Raw Data'!AE206 = ROUND('Raw Data'!AE206, 2),FALSE)),"",_xlfn.REGEXEXTRACT(CELL("address",AE206), "\$([A-Z]+)\$[0-9]+"))),_xlfn.REGEXEXTRACT(CELL("address",AE206), "\$([A-Z]+)\$[0-9]+"))</f>
        <v/>
      </c>
      <c r="AF206" s="7" t="str">
        <f t="array" aca="1" ref="AF206" ca="1">IFERROR(IF(OR('Raw Data'!AF206="",LEN(TRIM('Raw Data'!AF206))=0),"",IF(AND(ISNUMBER('Raw Data'!AF206), IFERROR('Raw Data'!AF206 = ROUND('Raw Data'!AF206, 2),FALSE)),"",_xlfn.REGEXEXTRACT(CELL("address",AF206), "\$([A-Z]+)\$[0-9]+"))),_xlfn.REGEXEXTRACT(CELL("address",AF206), "\$([A-Z]+)\$[0-9]+"))</f>
        <v/>
      </c>
      <c r="AG206" s="7" t="str">
        <f t="array" aca="1" ref="AG206" ca="1">IFERROR(IF(OR('Raw Data'!AG206="",LEN(TRIM('Raw Data'!AG206))=0),"",IF(AND(ISNUMBER('Raw Data'!AG206), IFERROR('Raw Data'!AG206 = ROUND('Raw Data'!AG206, 2),FALSE)),"",_xlfn.REGEXEXTRACT(CELL("address",AG206), "\$([A-Z]+)\$[0-9]+"))),_xlfn.REGEXEXTRACT(CELL("address",AG206), "\$([A-Z]+)\$[0-9]+"))</f>
        <v/>
      </c>
      <c r="AH206" s="7" t="str">
        <f t="array" aca="1" ref="AH206" ca="1">IFERROR(IF(OR('Raw Data'!AH206="",LEN(TRIM('Raw Data'!AH206))=0),"",IF(AND(ISNUMBER('Raw Data'!AH206), IFERROR('Raw Data'!AH206 = ROUND('Raw Data'!AH206, 2),FALSE)),"",_xlfn.REGEXEXTRACT(CELL("address",AH206), "\$([A-Z]+)\$[0-9]+"))),_xlfn.REGEXEXTRACT(CELL("address",AH206), "\$([A-Z]+)\$[0-9]+"))</f>
        <v/>
      </c>
      <c r="AI206" s="7" t="str">
        <f t="array" aca="1" ref="AI206" ca="1">IFERROR(IF(OR('Raw Data'!AI206="",LEN(TRIM('Raw Data'!AI206))=0),"",IF(AND(ISNUMBER('Raw Data'!AI206), IFERROR('Raw Data'!AI206 = ROUND('Raw Data'!AI206, 2),FALSE)),"",_xlfn.REGEXEXTRACT(CELL("address",AI206), "\$([A-Z]+)\$[0-9]+"))),_xlfn.REGEXEXTRACT(CELL("address",AI206), "\$([A-Z]+)\$[0-9]+"))</f>
        <v/>
      </c>
      <c r="AJ206" s="7" t="str">
        <f t="array" aca="1" ref="AJ206" ca="1">IFERROR(IF(OR('Raw Data'!AJ206="",LEN(TRIM('Raw Data'!AJ206))=0),"",IF(AND(ISNUMBER('Raw Data'!AJ206), IFERROR('Raw Data'!AJ206 = ROUND('Raw Data'!AJ206, 4),FALSE)),"",_xlfn.REGEXEXTRACT(CELL("address",AJ206), "\$([A-Z]+)\$[0-9]+"))),_xlfn.REGEXEXTRACT(CELL("address",AJ206), "\$([A-Z]+)\$[0-9]+"))</f>
        <v/>
      </c>
      <c r="AK206" s="7" t="str">
        <f t="array" aca="1" ref="AK206" ca="1">IFERROR(IF(OR('Raw Data'!AK206="",LEN(TRIM('Raw Data'!AK206))=0),"",IF(AND(ISNUMBER('Raw Data'!AK206), IFERROR('Raw Data'!AK206 = ROUND('Raw Data'!AK206, 2),FALSE)),"",_xlfn.REGEXEXTRACT(CELL("address",AK206), "\$([A-Z]+)\$[0-9]+"))),_xlfn.REGEXEXTRACT(CELL("address",AK206), "\$([A-Z]+)\$[0-9]+"))</f>
        <v/>
      </c>
      <c r="AL206" s="7" t="str">
        <f t="array" aca="1" ref="AL206" ca="1">IFERROR(IF(OR('Raw Data'!AL206="",LEN(TRIM('Raw Data'!AL206))=0),"",IF(AND(ISNUMBER('Raw Data'!AL206), IFERROR('Raw Data'!AL206 = ROUND('Raw Data'!AL206, 2),FALSE)),"",_xlfn.REGEXEXTRACT(CELL("address",AL206), "\$([A-Z]+)\$[0-9]+"))),_xlfn.REGEXEXTRACT(CELL("address",AL206), "\$([A-Z]+)\$[0-9]+"))</f>
        <v/>
      </c>
      <c r="AM206" s="7" t="str">
        <f t="array" aca="1" ref="AM206" ca="1">IFERROR(IF(OR('Raw Data'!AM206="",LEN(TRIM('Raw Data'!AM206))=0),"",IF(AND(ISNUMBER('Raw Data'!AM206), IFERROR('Raw Data'!AM206 = ROUND('Raw Data'!AM206, 2),FALSE)),"",_xlfn.REGEXEXTRACT(CELL("address",AM206), "\$([A-Z]+)\$[0-9]+"))),_xlfn.REGEXEXTRACT(CELL("address",AM206), "\$([A-Z]+)\$[0-9]+"))</f>
        <v/>
      </c>
      <c r="AN206" s="7" t="str">
        <f t="array" aca="1" ref="AN206" ca="1">IFERROR(IF(OR('Raw Data'!AN206="",LEN(TRIM('Raw Data'!AN206))=0),"",IF(AND(ISNUMBER('Raw Data'!AN206), IFERROR('Raw Data'!AN206 = ROUND('Raw Data'!AN206, 2),FALSE)),"",_xlfn.REGEXEXTRACT(CELL("address",AN206), "\$([A-Z]+)\$[0-9]+"))),_xlfn.REGEXEXTRACT(CELL("address",AN206), "\$([A-Z]+)\$[0-9]+"))</f>
        <v/>
      </c>
      <c r="AO206" s="7" t="str">
        <f t="array" aca="1" ref="AO206" ca="1">IFERROR(IF(OR('Raw Data'!AO206="",LEN(TRIM('Raw Data'!AO206))=0),"",IF(AND(ISNUMBER('Raw Data'!AO206), IFERROR('Raw Data'!AO206 = ROUND('Raw Data'!AO206, 2),FALSE)),"",_xlfn.REGEXEXTRACT(CELL("address",AO206), "\$([A-Z]+)\$[0-9]+"))),_xlfn.REGEXEXTRACT(CELL("address",AO206), "\$([A-Z]+)\$[0-9]+"))</f>
        <v/>
      </c>
      <c r="AP206" s="7" t="str">
        <f t="array" aca="1" ref="AP206" ca="1">IFERROR(IF(OR('Raw Data'!AP206="",LEN(TRIM('Raw Data'!AP206))=0),"",IF(AND(ISNUMBER('Raw Data'!AP206), IFERROR('Raw Data'!AP206 = ROUND('Raw Data'!AP206, 2),FALSE)),"",_xlfn.REGEXEXTRACT(CELL("address",AP206), "\$([A-Z]+)\$[0-9]+"))),_xlfn.REGEXEXTRACT(CELL("address",AP206), "\$([A-Z]+)\$[0-9]+"))</f>
        <v/>
      </c>
    </row>
    <row r="207" spans="2:42" x14ac:dyDescent="0.25">
      <c r="B207" s="7" t="str">
        <f t="array" aca="1" ref="B207" ca="1">IFERROR(IF(OR('Raw Data'!B207="",LEN(TRIM('Raw Data'!B207))=0),"",IF(AND(LEN('Raw Data'!B207) &lt;= 255,LEN('Raw Data'!B207)&gt; 0),"",_xlfn.REGEXEXTRACT(CELL("address",'Raw Data'!B207),"\$([A-Z]+)\$[0-9]+"))),_xlfn.REGEXEXTRACT(CELL("address",'Raw Data'!B207),"\$([A-Z]+)\$[0-9]+"))</f>
        <v/>
      </c>
      <c r="C207" s="7" t="str">
        <f t="array" aca="1" ref="C207" ca="1">IFERROR(IF(OR('Raw Data'!C207="",LEN(TRIM('Raw Data'!C207))=0),"",IF(AND(LEN('Raw Data'!C207) &lt;= 50,LEN('Raw Data'!C207)&gt; 0),"",_xlfn.REGEXEXTRACT(CELL("address",'Raw Data'!C207),"\$([A-Z]+)\$[0-9]+"))),_xlfn.REGEXEXTRACT(CELL("address",'Raw Data'!C207),"\$([A-Z]+)\$[0-9]+"))</f>
        <v/>
      </c>
      <c r="D207" s="7" t="str">
        <f t="array" aca="1" ref="D207" ca="1">IFERROR(IF(OR('Raw Data'!D207="",LEN(TRIM('Raw Data'!D207))=0),"",IF(AND(LEN('Raw Data'!D207) &lt;= 500,LEN('Raw Data'!D207)&gt; 0),"",_xlfn.REGEXEXTRACT(CELL("address",'Raw Data'!D207),"\$([A-Z]+)\$[0-9]+"))),_xlfn.REGEXEXTRACT(CELL("address",'Raw Data'!D207),"\$([A-Z]+)\$[0-9]+"))</f>
        <v/>
      </c>
      <c r="E207" s="7" t="str">
        <f t="array" aca="1" ref="E207" ca="1">IFERROR(IF(OR('Raw Data'!E207="",LEN(TRIM('Raw Data'!E207))=0),"",IF(AND(LEN('Raw Data'!E207) &lt;= 50,LEN('Raw Data'!E207)&gt; 0),"",_xlfn.REGEXEXTRACT(CELL("address",'Raw Data'!E207),"\$([A-Z]+)\$[0-9]+"))),_xlfn.REGEXEXTRACT(CELL("address",'Raw Data'!E207),"\$([A-Z]+)\$[0-9]+"))</f>
        <v/>
      </c>
      <c r="F207" s="7" t="str">
        <f t="array" aca="1" ref="F207" ca="1">IFERROR(IF(OR('Raw Data'!F207="",LEN(TRIM('Raw Data'!F207))=0),"",IF(AND(LEN('Raw Data'!F207) &lt;= 50,LEN('Raw Data'!F207)&gt; 0),"",_xlfn.REGEXEXTRACT(CELL("address",'Raw Data'!F207),"\$([A-Z]+)\$[0-9]+"))),_xlfn.REGEXEXTRACT(CELL("address",'Raw Data'!F207),"\$([A-Z]+)\$[0-9]+"))</f>
        <v/>
      </c>
      <c r="G207" s="7" t="str">
        <f t="array" aca="1" ref="G207" ca="1">IFERROR(IF(OR('Raw Data'!G207="",LEN(TRIM('Raw Data'!G207))=0),"",IF(AND(LEN('Raw Data'!G207) &lt;= 50,LEN('Raw Data'!G207)&gt; 0),"",_xlfn.REGEXEXTRACT(CELL("address",'Raw Data'!G207),"\$([A-Z]+)\$[0-9]+"))),_xlfn.REGEXEXTRACT(CELL("address",'Raw Data'!G207),"\$([A-Z]+)\$[0-9]+"))</f>
        <v/>
      </c>
      <c r="H207" s="7" t="str">
        <f t="array" aca="1" ref="H207" ca="1">IFERROR(IF(OR('Raw Data'!H207="",LEN(TRIM('Raw Data'!H207))=0),"",IF(AND(LEN('Raw Data'!H207) &lt;= 50,LEN('Raw Data'!H207)&gt; 0),"",_xlfn.REGEXEXTRACT(CELL("address",'Raw Data'!H207),"\$([A-Z]+)\$[0-9]+"))),_xlfn.REGEXEXTRACT(CELL("address",'Raw Data'!H207),"\$([A-Z]+)\$[0-9]+"))</f>
        <v/>
      </c>
      <c r="I207" s="7" t="str">
        <f t="array" aca="1" ref="I207" ca="1">IFERROR(IF(OR('Raw Data'!I207="",LEN(TRIM('Raw Data'!I207))=0),"",IF(AND(LEN('Raw Data'!I207) &lt;= 50,LEN('Raw Data'!I207)&gt; 0),"",_xlfn.REGEXEXTRACT(CELL("address",'Raw Data'!I207),"\$([A-Z]+)\$[0-9]+"))),_xlfn.REGEXEXTRACT(CELL("address",'Raw Data'!I207),"\$([A-Z]+)\$[0-9]+"))</f>
        <v/>
      </c>
      <c r="J207" s="7" t="str">
        <f t="array" aca="1" ref="J207" ca="1">IFERROR(IF(OR('Raw Data'!J207="",LEN(TRIM('Raw Data'!J207))=0),"",IF(AND(ISNUMBER('Raw Data'!J207), IFERROR('Raw Data'!J207 = ROUND('Raw Data'!J207, 2),FALSE)),"",_xlfn.REGEXEXTRACT(CELL("address",J207), "\$([A-Z]+)\$[0-9]+"))),_xlfn.REGEXEXTRACT(CELL("address",J207), "\$([A-Z]+)\$[0-9]+"))</f>
        <v/>
      </c>
      <c r="K207" s="7" t="str">
        <f t="array" aca="1" ref="K207" ca="1">IFERROR(IF(OR('Raw Data'!K207="",LEN(TRIM('Raw Data'!K207))=0),"",IF(AND(ISNUMBER('Raw Data'!K207), IFERROR('Raw Data'!K207 = ROUND('Raw Data'!K207, 2),FALSE)),"",_xlfn.REGEXEXTRACT(CELL("address",K207), "\$([A-Z]+)\$[0-9]+"))),_xlfn.REGEXEXTRACT(CELL("address",K207), "\$([A-Z]+)\$[0-9]+"))</f>
        <v/>
      </c>
      <c r="L207" s="7" t="str">
        <f t="array" aca="1" ref="L207" ca="1">IFERROR(IF(OR('Raw Data'!L207="",LEN(TRIM('Raw Data'!L207))=0),"",IF(AND(ISNUMBER('Raw Data'!L207), IFERROR('Raw Data'!L207 = ROUND('Raw Data'!L207, 2),FALSE)),"",_xlfn.REGEXEXTRACT(CELL("address",L207), "\$([A-Z]+)\$[0-9]+"))),_xlfn.REGEXEXTRACT(CELL("address",L207), "\$([A-Z]+)\$[0-9]+"))</f>
        <v/>
      </c>
      <c r="M207" s="7" t="str">
        <f t="array" aca="1" ref="M207" ca="1">IFERROR(IF(OR('Raw Data'!M207="",LEN(TRIM('Raw Data'!M207))=0),"",IF(AND(ISNUMBER('Raw Data'!M207), IFERROR('Raw Data'!M207 = ROUND('Raw Data'!M207, 2),FALSE)),"",_xlfn.REGEXEXTRACT(CELL("address",M207), "\$([A-Z]+)\$[0-9]+"))),_xlfn.REGEXEXTRACT(CELL("address",M207), "\$([A-Z]+)\$[0-9]+"))</f>
        <v/>
      </c>
      <c r="N207" s="7" t="str">
        <f t="array" aca="1" ref="N207" ca="1">IFERROR(IF(OR('Raw Data'!N207="",LEN(TRIM('Raw Data'!N207))=0),"",IF(AND(ISNUMBER('Raw Data'!N207), IFERROR('Raw Data'!N207 = ROUND('Raw Data'!N207, 2),FALSE)),"",_xlfn.REGEXEXTRACT(CELL("address",N207), "\$([A-Z]+)\$[0-9]+"))),_xlfn.REGEXEXTRACT(CELL("address",N207), "\$([A-Z]+)\$[0-9]+"))</f>
        <v/>
      </c>
      <c r="O207" s="7" t="str">
        <f t="array" aca="1" ref="O207" ca="1">IFERROR(IF(OR('Raw Data'!O207="",LEN(TRIM('Raw Data'!O207))=0),"",IF(AND(ISNUMBER('Raw Data'!O207),'Raw Data'!O207&gt;=Configuration!$D$2),"",_xlfn.REGEXEXTRACT(CELL("address",'Raw Data'!O207),"\$([A-Z]+)\$[0-9]+"))),_xlfn.REGEXEXTRACT(CELL("address",O207), "\$([A-Z]+)\$[0-9]+"))</f>
        <v/>
      </c>
      <c r="P207" s="7" t="str">
        <f t="array" aca="1" ref="P207" ca="1">IFERROR(IF(OR('Raw Data'!P207="",LEN(TRIM('Raw Data'!P207))=0),"",IF(AND(ISNUMBER('Raw Data'!P207), IFERROR('Raw Data'!P207 = ROUND('Raw Data'!P207, 2),FALSE)),"",_xlfn.REGEXEXTRACT(CELL("address",P207), "\$([A-Z]+)\$[0-9]+"))),_xlfn.REGEXEXTRACT(CELL("address",P207), "\$([A-Z]+)\$[0-9]+"))</f>
        <v/>
      </c>
      <c r="Q207" s="7" t="str">
        <f t="array" aca="1" ref="Q207" ca="1">IFERROR(IF(OR('Raw Data'!Q207="",LEN(TRIM('Raw Data'!Q207))=0),"",IF(AND(ISNUMBER('Raw Data'!Q207), IFERROR('Raw Data'!Q207 = ROUND('Raw Data'!Q207, 2),FALSE)),"",_xlfn.REGEXEXTRACT(CELL("address",Q207), "\$([A-Z]+)\$[0-9]+"))),_xlfn.REGEXEXTRACT(CELL("address",Q207), "\$([A-Z]+)\$[0-9]+"))</f>
        <v/>
      </c>
      <c r="R207" s="7" t="str">
        <f t="array" aca="1" ref="R207" ca="1">IFERROR(IF(OR('Raw Data'!R207="",LEN(TRIM('Raw Data'!R207))=0),"",IF(AND(LEN('Raw Data'!R207) &lt;= 50,LEN('Raw Data'!R207)&gt; 0),"",_xlfn.REGEXEXTRACT(CELL("address",'Raw Data'!R207),"\$([A-Z]+)\$[0-9]+"))),_xlfn.REGEXEXTRACT(CELL("address",'Raw Data'!R207),"\$([A-Z]+)\$[0-9]+"))</f>
        <v/>
      </c>
      <c r="S207" s="7" t="str">
        <f t="array" aca="1" ref="S207" ca="1">IFERROR(IF(OR('Raw Data'!S207="",LEN(TRIM('Raw Data'!S207))=0),"",IF(AND(LEN('Raw Data'!S207) &lt;= 50,LEN('Raw Data'!S207)&gt; 0),"",_xlfn.REGEXEXTRACT(CELL("address",'Raw Data'!S207),"\$([A-Z]+)\$[0-9]+"))),_xlfn.REGEXEXTRACT(CELL("address",'Raw Data'!S207),"\$([A-Z]+)\$[0-9]+"))</f>
        <v/>
      </c>
      <c r="T207" s="7" t="str">
        <f t="array" aca="1" ref="T207" ca="1">IFERROR(IF(OR('Raw Data'!T207="",LEN(TRIM('Raw Data'!T207))=0),"",IF(AND(ISNUMBER('Raw Data'!T207), IFERROR('Raw Data'!T207 = ROUND('Raw Data'!T207, 2),FALSE)),"",_xlfn.REGEXEXTRACT(CELL("address",T207), "\$([A-Z]+)\$[0-9]+"))),_xlfn.REGEXEXTRACT(CELL("address",T207), "\$([A-Z]+)\$[0-9]+"))</f>
        <v/>
      </c>
      <c r="U207" s="7" t="str">
        <f t="array" aca="1" ref="U207" ca="1">IFERROR(IF(OR('Raw Data'!U207="",LEN(TRIM('Raw Data'!U207))=0),"",IF(AND(ISNUMBER('Raw Data'!U207), IFERROR('Raw Data'!U207 = ROUND('Raw Data'!U207, 2),FALSE)),"",_xlfn.REGEXEXTRACT(CELL("address",U207), "\$([A-Z]+)\$[0-9]+"))),_xlfn.REGEXEXTRACT(CELL("address",U207), "\$([A-Z]+)\$[0-9]+"))</f>
        <v/>
      </c>
      <c r="V207" s="7" t="str">
        <f t="array" aca="1" ref="V207" ca="1">IFERROR(IF(OR('Raw Data'!V207="",LEN(TRIM('Raw Data'!V207))=0),"",IF(AND(ISNUMBER('Raw Data'!V207), IFERROR('Raw Data'!V207 = ROUND('Raw Data'!V207, 2),FALSE)),"",_xlfn.REGEXEXTRACT(CELL("address",V207), "\$([A-Z]+)\$[0-9]+"))),_xlfn.REGEXEXTRACT(CELL("address",V207), "\$([A-Z]+)\$[0-9]+"))</f>
        <v/>
      </c>
      <c r="W207" s="7" t="str">
        <f t="array" aca="1" ref="W207" ca="1">IFERROR(IF(OR('Raw Data'!W207="",LEN(TRIM('Raw Data'!W207))=0),"",IF(AND(ISNUMBER('Raw Data'!W207), IFERROR('Raw Data'!W207 = ROUND('Raw Data'!W207, 2),FALSE)),"",_xlfn.REGEXEXTRACT(CELL("address",W207), "\$([A-Z]+)\$[0-9]+"))),_xlfn.REGEXEXTRACT(CELL("address",W207), "\$([A-Z]+)\$[0-9]+"))</f>
        <v/>
      </c>
      <c r="X207" s="7" t="str">
        <f t="array" aca="1" ref="X207" ca="1">IFERROR(IF(OR('Raw Data'!X207="",LEN(TRIM('Raw Data'!X207))=0),"",IF(AND(ISNUMBER('Raw Data'!X207), IFERROR('Raw Data'!X207 = ROUND('Raw Data'!X207, 2),FALSE)),"",_xlfn.REGEXEXTRACT(CELL("address",X207), "\$([A-Z]+)\$[0-9]+"))),_xlfn.REGEXEXTRACT(CELL("address",X207), "\$([A-Z]+)\$[0-9]+"))</f>
        <v/>
      </c>
      <c r="Y207" s="7" t="str">
        <f t="array" aca="1" ref="Y207" ca="1">IFERROR(IF(OR('Raw Data'!Y207="",LEN(TRIM('Raw Data'!Y207))=0),"",IF(AND(ISNUMBER('Raw Data'!Y207), IFERROR('Raw Data'!Y207 = ROUND('Raw Data'!Y207, 2),FALSE)),"",_xlfn.REGEXEXTRACT(CELL("address",Y207), "\$([A-Z]+)\$[0-9]+"))),_xlfn.REGEXEXTRACT(CELL("address",Y207), "\$([A-Z]+)\$[0-9]+"))</f>
        <v/>
      </c>
      <c r="Z207" s="7" t="str">
        <f t="array" aca="1" ref="Z207" ca="1">IFERROR(IF(OR('Raw Data'!Z207="",LEN(TRIM('Raw Data'!Z207))=0),"",IF(AND(ISNUMBER('Raw Data'!Z207), IFERROR('Raw Data'!Z207 = ROUND('Raw Data'!Z207, 2),FALSE)),"",_xlfn.REGEXEXTRACT(CELL("address",Z207), "\$([A-Z]+)\$[0-9]+"))),_xlfn.REGEXEXTRACT(CELL("address",Z207), "\$([A-Z]+)\$[0-9]+"))</f>
        <v/>
      </c>
      <c r="AA207" s="7" t="str">
        <f t="array" aca="1" ref="AA207" ca="1">IFERROR(IF(OR('Raw Data'!AA207="",LEN(TRIM('Raw Data'!AA207))=0),"",IF(AND(ISNUMBER('Raw Data'!AA207), IFERROR('Raw Data'!AA207 = ROUND('Raw Data'!AA207, 2),FALSE)),"",_xlfn.REGEXEXTRACT(CELL("address",AA207), "\$([A-Z]+)\$[0-9]+"))),_xlfn.REGEXEXTRACT(CELL("address",AA207), "\$([A-Z]+)\$[0-9]+"))</f>
        <v/>
      </c>
      <c r="AB207" s="7" t="str">
        <f t="array" aca="1" ref="AB207" ca="1">IFERROR(IF(OR('Raw Data'!AB207="",LEN(TRIM('Raw Data'!AB207))=0),"",IF(AND(ISNUMBER('Raw Data'!AB207), IFERROR('Raw Data'!AB207 = ROUND('Raw Data'!AB207, 2),FALSE)),"",_xlfn.REGEXEXTRACT(CELL("address",AB207), "\$([A-Z]+)\$[0-9]+"))),_xlfn.REGEXEXTRACT(CELL("address",AB207), "\$([A-Z]+)\$[0-9]+"))</f>
        <v/>
      </c>
      <c r="AC207" s="7" t="str">
        <f t="array" aca="1" ref="AC207" ca="1">IFERROR(IF(OR('Raw Data'!AC207="",LEN(TRIM('Raw Data'!AC207))=0),"",IF(AND(ISNUMBER('Raw Data'!AC207), IFERROR('Raw Data'!AC207 = ROUND('Raw Data'!AC207, 2),FALSE)),"",_xlfn.REGEXEXTRACT(CELL("address",AC207), "\$([A-Z]+)\$[0-9]+"))),_xlfn.REGEXEXTRACT(CELL("address",AC207), "\$([A-Z]+)\$[0-9]+"))</f>
        <v/>
      </c>
      <c r="AD207" s="7" t="str">
        <f t="array" aca="1" ref="AD207" ca="1">IFERROR(IF(OR('Raw Data'!AD207="",LEN(TRIM('Raw Data'!AD207))=0),"",IF(AND(ISNUMBER('Raw Data'!AD207), IFERROR('Raw Data'!AD207 = ROUND('Raw Data'!AD207, 2),FALSE)),"",_xlfn.REGEXEXTRACT(CELL("address",AD207), "\$([A-Z]+)\$[0-9]+"))),_xlfn.REGEXEXTRACT(CELL("address",AD207), "\$([A-Z]+)\$[0-9]+"))</f>
        <v/>
      </c>
      <c r="AE207" s="7" t="str">
        <f t="array" aca="1" ref="AE207" ca="1">IFERROR(IF(OR('Raw Data'!AE207="",LEN(TRIM('Raw Data'!AE207))=0),"",IF(AND(ISNUMBER('Raw Data'!AE207), IFERROR('Raw Data'!AE207 = ROUND('Raw Data'!AE207, 2),FALSE)),"",_xlfn.REGEXEXTRACT(CELL("address",AE207), "\$([A-Z]+)\$[0-9]+"))),_xlfn.REGEXEXTRACT(CELL("address",AE207), "\$([A-Z]+)\$[0-9]+"))</f>
        <v/>
      </c>
      <c r="AF207" s="7" t="str">
        <f t="array" aca="1" ref="AF207" ca="1">IFERROR(IF(OR('Raw Data'!AF207="",LEN(TRIM('Raw Data'!AF207))=0),"",IF(AND(ISNUMBER('Raw Data'!AF207), IFERROR('Raw Data'!AF207 = ROUND('Raw Data'!AF207, 2),FALSE)),"",_xlfn.REGEXEXTRACT(CELL("address",AF207), "\$([A-Z]+)\$[0-9]+"))),_xlfn.REGEXEXTRACT(CELL("address",AF207), "\$([A-Z]+)\$[0-9]+"))</f>
        <v/>
      </c>
      <c r="AG207" s="7" t="str">
        <f t="array" aca="1" ref="AG207" ca="1">IFERROR(IF(OR('Raw Data'!AG207="",LEN(TRIM('Raw Data'!AG207))=0),"",IF(AND(ISNUMBER('Raw Data'!AG207), IFERROR('Raw Data'!AG207 = ROUND('Raw Data'!AG207, 2),FALSE)),"",_xlfn.REGEXEXTRACT(CELL("address",AG207), "\$([A-Z]+)\$[0-9]+"))),_xlfn.REGEXEXTRACT(CELL("address",AG207), "\$([A-Z]+)\$[0-9]+"))</f>
        <v/>
      </c>
      <c r="AH207" s="7" t="str">
        <f t="array" aca="1" ref="AH207" ca="1">IFERROR(IF(OR('Raw Data'!AH207="",LEN(TRIM('Raw Data'!AH207))=0),"",IF(AND(ISNUMBER('Raw Data'!AH207), IFERROR('Raw Data'!AH207 = ROUND('Raw Data'!AH207, 2),FALSE)),"",_xlfn.REGEXEXTRACT(CELL("address",AH207), "\$([A-Z]+)\$[0-9]+"))),_xlfn.REGEXEXTRACT(CELL("address",AH207), "\$([A-Z]+)\$[0-9]+"))</f>
        <v/>
      </c>
      <c r="AI207" s="7" t="str">
        <f t="array" aca="1" ref="AI207" ca="1">IFERROR(IF(OR('Raw Data'!AI207="",LEN(TRIM('Raw Data'!AI207))=0),"",IF(AND(ISNUMBER('Raw Data'!AI207), IFERROR('Raw Data'!AI207 = ROUND('Raw Data'!AI207, 2),FALSE)),"",_xlfn.REGEXEXTRACT(CELL("address",AI207), "\$([A-Z]+)\$[0-9]+"))),_xlfn.REGEXEXTRACT(CELL("address",AI207), "\$([A-Z]+)\$[0-9]+"))</f>
        <v/>
      </c>
      <c r="AJ207" s="7" t="str">
        <f t="array" aca="1" ref="AJ207" ca="1">IFERROR(IF(OR('Raw Data'!AJ207="",LEN(TRIM('Raw Data'!AJ207))=0),"",IF(AND(ISNUMBER('Raw Data'!AJ207), IFERROR('Raw Data'!AJ207 = ROUND('Raw Data'!AJ207, 4),FALSE)),"",_xlfn.REGEXEXTRACT(CELL("address",AJ207), "\$([A-Z]+)\$[0-9]+"))),_xlfn.REGEXEXTRACT(CELL("address",AJ207), "\$([A-Z]+)\$[0-9]+"))</f>
        <v/>
      </c>
      <c r="AK207" s="7" t="str">
        <f t="array" aca="1" ref="AK207" ca="1">IFERROR(IF(OR('Raw Data'!AK207="",LEN(TRIM('Raw Data'!AK207))=0),"",IF(AND(ISNUMBER('Raw Data'!AK207), IFERROR('Raw Data'!AK207 = ROUND('Raw Data'!AK207, 2),FALSE)),"",_xlfn.REGEXEXTRACT(CELL("address",AK207), "\$([A-Z]+)\$[0-9]+"))),_xlfn.REGEXEXTRACT(CELL("address",AK207), "\$([A-Z]+)\$[0-9]+"))</f>
        <v/>
      </c>
      <c r="AL207" s="7" t="str">
        <f t="array" aca="1" ref="AL207" ca="1">IFERROR(IF(OR('Raw Data'!AL207="",LEN(TRIM('Raw Data'!AL207))=0),"",IF(AND(ISNUMBER('Raw Data'!AL207), IFERROR('Raw Data'!AL207 = ROUND('Raw Data'!AL207, 2),FALSE)),"",_xlfn.REGEXEXTRACT(CELL("address",AL207), "\$([A-Z]+)\$[0-9]+"))),_xlfn.REGEXEXTRACT(CELL("address",AL207), "\$([A-Z]+)\$[0-9]+"))</f>
        <v/>
      </c>
      <c r="AM207" s="7" t="str">
        <f t="array" aca="1" ref="AM207" ca="1">IFERROR(IF(OR('Raw Data'!AM207="",LEN(TRIM('Raw Data'!AM207))=0),"",IF(AND(ISNUMBER('Raw Data'!AM207), IFERROR('Raw Data'!AM207 = ROUND('Raw Data'!AM207, 2),FALSE)),"",_xlfn.REGEXEXTRACT(CELL("address",AM207), "\$([A-Z]+)\$[0-9]+"))),_xlfn.REGEXEXTRACT(CELL("address",AM207), "\$([A-Z]+)\$[0-9]+"))</f>
        <v/>
      </c>
      <c r="AN207" s="7" t="str">
        <f t="array" aca="1" ref="AN207" ca="1">IFERROR(IF(OR('Raw Data'!AN207="",LEN(TRIM('Raw Data'!AN207))=0),"",IF(AND(ISNUMBER('Raw Data'!AN207), IFERROR('Raw Data'!AN207 = ROUND('Raw Data'!AN207, 2),FALSE)),"",_xlfn.REGEXEXTRACT(CELL("address",AN207), "\$([A-Z]+)\$[0-9]+"))),_xlfn.REGEXEXTRACT(CELL("address",AN207), "\$([A-Z]+)\$[0-9]+"))</f>
        <v/>
      </c>
      <c r="AO207" s="7" t="str">
        <f t="array" aca="1" ref="AO207" ca="1">IFERROR(IF(OR('Raw Data'!AO207="",LEN(TRIM('Raw Data'!AO207))=0),"",IF(AND(ISNUMBER('Raw Data'!AO207), IFERROR('Raw Data'!AO207 = ROUND('Raw Data'!AO207, 2),FALSE)),"",_xlfn.REGEXEXTRACT(CELL("address",AO207), "\$([A-Z]+)\$[0-9]+"))),_xlfn.REGEXEXTRACT(CELL("address",AO207), "\$([A-Z]+)\$[0-9]+"))</f>
        <v/>
      </c>
      <c r="AP207" s="7" t="str">
        <f t="array" aca="1" ref="AP207" ca="1">IFERROR(IF(OR('Raw Data'!AP207="",LEN(TRIM('Raw Data'!AP207))=0),"",IF(AND(ISNUMBER('Raw Data'!AP207), IFERROR('Raw Data'!AP207 = ROUND('Raw Data'!AP207, 2),FALSE)),"",_xlfn.REGEXEXTRACT(CELL("address",AP207), "\$([A-Z]+)\$[0-9]+"))),_xlfn.REGEXEXTRACT(CELL("address",AP207), "\$([A-Z]+)\$[0-9]+"))</f>
        <v/>
      </c>
    </row>
    <row r="208" spans="2:42" x14ac:dyDescent="0.25">
      <c r="B208" s="7" t="str">
        <f t="array" aca="1" ref="B208" ca="1">IFERROR(IF(OR('Raw Data'!B208="",LEN(TRIM('Raw Data'!B208))=0),"",IF(AND(LEN('Raw Data'!B208) &lt;= 255,LEN('Raw Data'!B208)&gt; 0),"",_xlfn.REGEXEXTRACT(CELL("address",'Raw Data'!B208),"\$([A-Z]+)\$[0-9]+"))),_xlfn.REGEXEXTRACT(CELL("address",'Raw Data'!B208),"\$([A-Z]+)\$[0-9]+"))</f>
        <v/>
      </c>
      <c r="C208" s="7" t="str">
        <f t="array" aca="1" ref="C208" ca="1">IFERROR(IF(OR('Raw Data'!C208="",LEN(TRIM('Raw Data'!C208))=0),"",IF(AND(LEN('Raw Data'!C208) &lt;= 50,LEN('Raw Data'!C208)&gt; 0),"",_xlfn.REGEXEXTRACT(CELL("address",'Raw Data'!C208),"\$([A-Z]+)\$[0-9]+"))),_xlfn.REGEXEXTRACT(CELL("address",'Raw Data'!C208),"\$([A-Z]+)\$[0-9]+"))</f>
        <v/>
      </c>
      <c r="D208" s="7" t="str">
        <f t="array" aca="1" ref="D208" ca="1">IFERROR(IF(OR('Raw Data'!D208="",LEN(TRIM('Raw Data'!D208))=0),"",IF(AND(LEN('Raw Data'!D208) &lt;= 500,LEN('Raw Data'!D208)&gt; 0),"",_xlfn.REGEXEXTRACT(CELL("address",'Raw Data'!D208),"\$([A-Z]+)\$[0-9]+"))),_xlfn.REGEXEXTRACT(CELL("address",'Raw Data'!D208),"\$([A-Z]+)\$[0-9]+"))</f>
        <v/>
      </c>
      <c r="E208" s="7" t="str">
        <f t="array" aca="1" ref="E208" ca="1">IFERROR(IF(OR('Raw Data'!E208="",LEN(TRIM('Raw Data'!E208))=0),"",IF(AND(LEN('Raw Data'!E208) &lt;= 50,LEN('Raw Data'!E208)&gt; 0),"",_xlfn.REGEXEXTRACT(CELL("address",'Raw Data'!E208),"\$([A-Z]+)\$[0-9]+"))),_xlfn.REGEXEXTRACT(CELL("address",'Raw Data'!E208),"\$([A-Z]+)\$[0-9]+"))</f>
        <v/>
      </c>
      <c r="F208" s="7" t="str">
        <f t="array" aca="1" ref="F208" ca="1">IFERROR(IF(OR('Raw Data'!F208="",LEN(TRIM('Raw Data'!F208))=0),"",IF(AND(LEN('Raw Data'!F208) &lt;= 50,LEN('Raw Data'!F208)&gt; 0),"",_xlfn.REGEXEXTRACT(CELL("address",'Raw Data'!F208),"\$([A-Z]+)\$[0-9]+"))),_xlfn.REGEXEXTRACT(CELL("address",'Raw Data'!F208),"\$([A-Z]+)\$[0-9]+"))</f>
        <v/>
      </c>
      <c r="G208" s="7" t="str">
        <f t="array" aca="1" ref="G208" ca="1">IFERROR(IF(OR('Raw Data'!G208="",LEN(TRIM('Raw Data'!G208))=0),"",IF(AND(LEN('Raw Data'!G208) &lt;= 50,LEN('Raw Data'!G208)&gt; 0),"",_xlfn.REGEXEXTRACT(CELL("address",'Raw Data'!G208),"\$([A-Z]+)\$[0-9]+"))),_xlfn.REGEXEXTRACT(CELL("address",'Raw Data'!G208),"\$([A-Z]+)\$[0-9]+"))</f>
        <v/>
      </c>
      <c r="H208" s="7" t="str">
        <f t="array" aca="1" ref="H208" ca="1">IFERROR(IF(OR('Raw Data'!H208="",LEN(TRIM('Raw Data'!H208))=0),"",IF(AND(LEN('Raw Data'!H208) &lt;= 50,LEN('Raw Data'!H208)&gt; 0),"",_xlfn.REGEXEXTRACT(CELL("address",'Raw Data'!H208),"\$([A-Z]+)\$[0-9]+"))),_xlfn.REGEXEXTRACT(CELL("address",'Raw Data'!H208),"\$([A-Z]+)\$[0-9]+"))</f>
        <v/>
      </c>
      <c r="I208" s="7" t="str">
        <f t="array" aca="1" ref="I208" ca="1">IFERROR(IF(OR('Raw Data'!I208="",LEN(TRIM('Raw Data'!I208))=0),"",IF(AND(LEN('Raw Data'!I208) &lt;= 50,LEN('Raw Data'!I208)&gt; 0),"",_xlfn.REGEXEXTRACT(CELL("address",'Raw Data'!I208),"\$([A-Z]+)\$[0-9]+"))),_xlfn.REGEXEXTRACT(CELL("address",'Raw Data'!I208),"\$([A-Z]+)\$[0-9]+"))</f>
        <v/>
      </c>
      <c r="J208" s="7" t="str">
        <f t="array" aca="1" ref="J208" ca="1">IFERROR(IF(OR('Raw Data'!J208="",LEN(TRIM('Raw Data'!J208))=0),"",IF(AND(ISNUMBER('Raw Data'!J208), IFERROR('Raw Data'!J208 = ROUND('Raw Data'!J208, 2),FALSE)),"",_xlfn.REGEXEXTRACT(CELL("address",J208), "\$([A-Z]+)\$[0-9]+"))),_xlfn.REGEXEXTRACT(CELL("address",J208), "\$([A-Z]+)\$[0-9]+"))</f>
        <v/>
      </c>
      <c r="K208" s="7" t="str">
        <f t="array" aca="1" ref="K208" ca="1">IFERROR(IF(OR('Raw Data'!K208="",LEN(TRIM('Raw Data'!K208))=0),"",IF(AND(ISNUMBER('Raw Data'!K208), IFERROR('Raw Data'!K208 = ROUND('Raw Data'!K208, 2),FALSE)),"",_xlfn.REGEXEXTRACT(CELL("address",K208), "\$([A-Z]+)\$[0-9]+"))),_xlfn.REGEXEXTRACT(CELL("address",K208), "\$([A-Z]+)\$[0-9]+"))</f>
        <v/>
      </c>
      <c r="L208" s="7" t="str">
        <f t="array" aca="1" ref="L208" ca="1">IFERROR(IF(OR('Raw Data'!L208="",LEN(TRIM('Raw Data'!L208))=0),"",IF(AND(ISNUMBER('Raw Data'!L208), IFERROR('Raw Data'!L208 = ROUND('Raw Data'!L208, 2),FALSE)),"",_xlfn.REGEXEXTRACT(CELL("address",L208), "\$([A-Z]+)\$[0-9]+"))),_xlfn.REGEXEXTRACT(CELL("address",L208), "\$([A-Z]+)\$[0-9]+"))</f>
        <v/>
      </c>
      <c r="M208" s="7" t="str">
        <f t="array" aca="1" ref="M208" ca="1">IFERROR(IF(OR('Raw Data'!M208="",LEN(TRIM('Raw Data'!M208))=0),"",IF(AND(ISNUMBER('Raw Data'!M208), IFERROR('Raw Data'!M208 = ROUND('Raw Data'!M208, 2),FALSE)),"",_xlfn.REGEXEXTRACT(CELL("address",M208), "\$([A-Z]+)\$[0-9]+"))),_xlfn.REGEXEXTRACT(CELL("address",M208), "\$([A-Z]+)\$[0-9]+"))</f>
        <v/>
      </c>
      <c r="N208" s="7" t="str">
        <f t="array" aca="1" ref="N208" ca="1">IFERROR(IF(OR('Raw Data'!N208="",LEN(TRIM('Raw Data'!N208))=0),"",IF(AND(ISNUMBER('Raw Data'!N208), IFERROR('Raw Data'!N208 = ROUND('Raw Data'!N208, 2),FALSE)),"",_xlfn.REGEXEXTRACT(CELL("address",N208), "\$([A-Z]+)\$[0-9]+"))),_xlfn.REGEXEXTRACT(CELL("address",N208), "\$([A-Z]+)\$[0-9]+"))</f>
        <v/>
      </c>
      <c r="O208" s="7" t="str">
        <f t="array" aca="1" ref="O208" ca="1">IFERROR(IF(OR('Raw Data'!O208="",LEN(TRIM('Raw Data'!O208))=0),"",IF(AND(ISNUMBER('Raw Data'!O208),'Raw Data'!O208&gt;=Configuration!$D$2),"",_xlfn.REGEXEXTRACT(CELL("address",'Raw Data'!O208),"\$([A-Z]+)\$[0-9]+"))),_xlfn.REGEXEXTRACT(CELL("address",O208), "\$([A-Z]+)\$[0-9]+"))</f>
        <v/>
      </c>
      <c r="P208" s="7" t="str">
        <f t="array" aca="1" ref="P208" ca="1">IFERROR(IF(OR('Raw Data'!P208="",LEN(TRIM('Raw Data'!P208))=0),"",IF(AND(ISNUMBER('Raw Data'!P208), IFERROR('Raw Data'!P208 = ROUND('Raw Data'!P208, 2),FALSE)),"",_xlfn.REGEXEXTRACT(CELL("address",P208), "\$([A-Z]+)\$[0-9]+"))),_xlfn.REGEXEXTRACT(CELL("address",P208), "\$([A-Z]+)\$[0-9]+"))</f>
        <v/>
      </c>
      <c r="Q208" s="7" t="str">
        <f t="array" aca="1" ref="Q208" ca="1">IFERROR(IF(OR('Raw Data'!Q208="",LEN(TRIM('Raw Data'!Q208))=0),"",IF(AND(ISNUMBER('Raw Data'!Q208), IFERROR('Raw Data'!Q208 = ROUND('Raw Data'!Q208, 2),FALSE)),"",_xlfn.REGEXEXTRACT(CELL("address",Q208), "\$([A-Z]+)\$[0-9]+"))),_xlfn.REGEXEXTRACT(CELL("address",Q208), "\$([A-Z]+)\$[0-9]+"))</f>
        <v/>
      </c>
      <c r="R208" s="7" t="str">
        <f t="array" aca="1" ref="R208" ca="1">IFERROR(IF(OR('Raw Data'!R208="",LEN(TRIM('Raw Data'!R208))=0),"",IF(AND(LEN('Raw Data'!R208) &lt;= 50,LEN('Raw Data'!R208)&gt; 0),"",_xlfn.REGEXEXTRACT(CELL("address",'Raw Data'!R208),"\$([A-Z]+)\$[0-9]+"))),_xlfn.REGEXEXTRACT(CELL("address",'Raw Data'!R208),"\$([A-Z]+)\$[0-9]+"))</f>
        <v/>
      </c>
      <c r="S208" s="7" t="str">
        <f t="array" aca="1" ref="S208" ca="1">IFERROR(IF(OR('Raw Data'!S208="",LEN(TRIM('Raw Data'!S208))=0),"",IF(AND(LEN('Raw Data'!S208) &lt;= 50,LEN('Raw Data'!S208)&gt; 0),"",_xlfn.REGEXEXTRACT(CELL("address",'Raw Data'!S208),"\$([A-Z]+)\$[0-9]+"))),_xlfn.REGEXEXTRACT(CELL("address",'Raw Data'!S208),"\$([A-Z]+)\$[0-9]+"))</f>
        <v/>
      </c>
      <c r="T208" s="7" t="str">
        <f t="array" aca="1" ref="T208" ca="1">IFERROR(IF(OR('Raw Data'!T208="",LEN(TRIM('Raw Data'!T208))=0),"",IF(AND(ISNUMBER('Raw Data'!T208), IFERROR('Raw Data'!T208 = ROUND('Raw Data'!T208, 2),FALSE)),"",_xlfn.REGEXEXTRACT(CELL("address",T208), "\$([A-Z]+)\$[0-9]+"))),_xlfn.REGEXEXTRACT(CELL("address",T208), "\$([A-Z]+)\$[0-9]+"))</f>
        <v/>
      </c>
      <c r="U208" s="7" t="str">
        <f t="array" aca="1" ref="U208" ca="1">IFERROR(IF(OR('Raw Data'!U208="",LEN(TRIM('Raw Data'!U208))=0),"",IF(AND(ISNUMBER('Raw Data'!U208), IFERROR('Raw Data'!U208 = ROUND('Raw Data'!U208, 2),FALSE)),"",_xlfn.REGEXEXTRACT(CELL("address",U208), "\$([A-Z]+)\$[0-9]+"))),_xlfn.REGEXEXTRACT(CELL("address",U208), "\$([A-Z]+)\$[0-9]+"))</f>
        <v/>
      </c>
      <c r="V208" s="7" t="str">
        <f t="array" aca="1" ref="V208" ca="1">IFERROR(IF(OR('Raw Data'!V208="",LEN(TRIM('Raw Data'!V208))=0),"",IF(AND(ISNUMBER('Raw Data'!V208), IFERROR('Raw Data'!V208 = ROUND('Raw Data'!V208, 2),FALSE)),"",_xlfn.REGEXEXTRACT(CELL("address",V208), "\$([A-Z]+)\$[0-9]+"))),_xlfn.REGEXEXTRACT(CELL("address",V208), "\$([A-Z]+)\$[0-9]+"))</f>
        <v/>
      </c>
      <c r="W208" s="7" t="str">
        <f t="array" aca="1" ref="W208" ca="1">IFERROR(IF(OR('Raw Data'!W208="",LEN(TRIM('Raw Data'!W208))=0),"",IF(AND(ISNUMBER('Raw Data'!W208), IFERROR('Raw Data'!W208 = ROUND('Raw Data'!W208, 2),FALSE)),"",_xlfn.REGEXEXTRACT(CELL("address",W208), "\$([A-Z]+)\$[0-9]+"))),_xlfn.REGEXEXTRACT(CELL("address",W208), "\$([A-Z]+)\$[0-9]+"))</f>
        <v/>
      </c>
      <c r="X208" s="7" t="str">
        <f t="array" aca="1" ref="X208" ca="1">IFERROR(IF(OR('Raw Data'!X208="",LEN(TRIM('Raw Data'!X208))=0),"",IF(AND(ISNUMBER('Raw Data'!X208), IFERROR('Raw Data'!X208 = ROUND('Raw Data'!X208, 2),FALSE)),"",_xlfn.REGEXEXTRACT(CELL("address",X208), "\$([A-Z]+)\$[0-9]+"))),_xlfn.REGEXEXTRACT(CELL("address",X208), "\$([A-Z]+)\$[0-9]+"))</f>
        <v/>
      </c>
      <c r="Y208" s="7" t="str">
        <f t="array" aca="1" ref="Y208" ca="1">IFERROR(IF(OR('Raw Data'!Y208="",LEN(TRIM('Raw Data'!Y208))=0),"",IF(AND(ISNUMBER('Raw Data'!Y208), IFERROR('Raw Data'!Y208 = ROUND('Raw Data'!Y208, 2),FALSE)),"",_xlfn.REGEXEXTRACT(CELL("address",Y208), "\$([A-Z]+)\$[0-9]+"))),_xlfn.REGEXEXTRACT(CELL("address",Y208), "\$([A-Z]+)\$[0-9]+"))</f>
        <v/>
      </c>
      <c r="Z208" s="7" t="str">
        <f t="array" aca="1" ref="Z208" ca="1">IFERROR(IF(OR('Raw Data'!Z208="",LEN(TRIM('Raw Data'!Z208))=0),"",IF(AND(ISNUMBER('Raw Data'!Z208), IFERROR('Raw Data'!Z208 = ROUND('Raw Data'!Z208, 2),FALSE)),"",_xlfn.REGEXEXTRACT(CELL("address",Z208), "\$([A-Z]+)\$[0-9]+"))),_xlfn.REGEXEXTRACT(CELL("address",Z208), "\$([A-Z]+)\$[0-9]+"))</f>
        <v/>
      </c>
      <c r="AA208" s="7" t="str">
        <f t="array" aca="1" ref="AA208" ca="1">IFERROR(IF(OR('Raw Data'!AA208="",LEN(TRIM('Raw Data'!AA208))=0),"",IF(AND(ISNUMBER('Raw Data'!AA208), IFERROR('Raw Data'!AA208 = ROUND('Raw Data'!AA208, 2),FALSE)),"",_xlfn.REGEXEXTRACT(CELL("address",AA208), "\$([A-Z]+)\$[0-9]+"))),_xlfn.REGEXEXTRACT(CELL("address",AA208), "\$([A-Z]+)\$[0-9]+"))</f>
        <v/>
      </c>
      <c r="AB208" s="7" t="str">
        <f t="array" aca="1" ref="AB208" ca="1">IFERROR(IF(OR('Raw Data'!AB208="",LEN(TRIM('Raw Data'!AB208))=0),"",IF(AND(ISNUMBER('Raw Data'!AB208), IFERROR('Raw Data'!AB208 = ROUND('Raw Data'!AB208, 2),FALSE)),"",_xlfn.REGEXEXTRACT(CELL("address",AB208), "\$([A-Z]+)\$[0-9]+"))),_xlfn.REGEXEXTRACT(CELL("address",AB208), "\$([A-Z]+)\$[0-9]+"))</f>
        <v/>
      </c>
      <c r="AC208" s="7" t="str">
        <f t="array" aca="1" ref="AC208" ca="1">IFERROR(IF(OR('Raw Data'!AC208="",LEN(TRIM('Raw Data'!AC208))=0),"",IF(AND(ISNUMBER('Raw Data'!AC208), IFERROR('Raw Data'!AC208 = ROUND('Raw Data'!AC208, 2),FALSE)),"",_xlfn.REGEXEXTRACT(CELL("address",AC208), "\$([A-Z]+)\$[0-9]+"))),_xlfn.REGEXEXTRACT(CELL("address",AC208), "\$([A-Z]+)\$[0-9]+"))</f>
        <v/>
      </c>
      <c r="AD208" s="7" t="str">
        <f t="array" aca="1" ref="AD208" ca="1">IFERROR(IF(OR('Raw Data'!AD208="",LEN(TRIM('Raw Data'!AD208))=0),"",IF(AND(ISNUMBER('Raw Data'!AD208), IFERROR('Raw Data'!AD208 = ROUND('Raw Data'!AD208, 2),FALSE)),"",_xlfn.REGEXEXTRACT(CELL("address",AD208), "\$([A-Z]+)\$[0-9]+"))),_xlfn.REGEXEXTRACT(CELL("address",AD208), "\$([A-Z]+)\$[0-9]+"))</f>
        <v/>
      </c>
      <c r="AE208" s="7" t="str">
        <f t="array" aca="1" ref="AE208" ca="1">IFERROR(IF(OR('Raw Data'!AE208="",LEN(TRIM('Raw Data'!AE208))=0),"",IF(AND(ISNUMBER('Raw Data'!AE208), IFERROR('Raw Data'!AE208 = ROUND('Raw Data'!AE208, 2),FALSE)),"",_xlfn.REGEXEXTRACT(CELL("address",AE208), "\$([A-Z]+)\$[0-9]+"))),_xlfn.REGEXEXTRACT(CELL("address",AE208), "\$([A-Z]+)\$[0-9]+"))</f>
        <v/>
      </c>
      <c r="AF208" s="7" t="str">
        <f t="array" aca="1" ref="AF208" ca="1">IFERROR(IF(OR('Raw Data'!AF208="",LEN(TRIM('Raw Data'!AF208))=0),"",IF(AND(ISNUMBER('Raw Data'!AF208), IFERROR('Raw Data'!AF208 = ROUND('Raw Data'!AF208, 2),FALSE)),"",_xlfn.REGEXEXTRACT(CELL("address",AF208), "\$([A-Z]+)\$[0-9]+"))),_xlfn.REGEXEXTRACT(CELL("address",AF208), "\$([A-Z]+)\$[0-9]+"))</f>
        <v/>
      </c>
      <c r="AG208" s="7" t="str">
        <f t="array" aca="1" ref="AG208" ca="1">IFERROR(IF(OR('Raw Data'!AG208="",LEN(TRIM('Raw Data'!AG208))=0),"",IF(AND(ISNUMBER('Raw Data'!AG208), IFERROR('Raw Data'!AG208 = ROUND('Raw Data'!AG208, 2),FALSE)),"",_xlfn.REGEXEXTRACT(CELL("address",AG208), "\$([A-Z]+)\$[0-9]+"))),_xlfn.REGEXEXTRACT(CELL("address",AG208), "\$([A-Z]+)\$[0-9]+"))</f>
        <v/>
      </c>
      <c r="AH208" s="7" t="str">
        <f t="array" aca="1" ref="AH208" ca="1">IFERROR(IF(OR('Raw Data'!AH208="",LEN(TRIM('Raw Data'!AH208))=0),"",IF(AND(ISNUMBER('Raw Data'!AH208), IFERROR('Raw Data'!AH208 = ROUND('Raw Data'!AH208, 2),FALSE)),"",_xlfn.REGEXEXTRACT(CELL("address",AH208), "\$([A-Z]+)\$[0-9]+"))),_xlfn.REGEXEXTRACT(CELL("address",AH208), "\$([A-Z]+)\$[0-9]+"))</f>
        <v/>
      </c>
      <c r="AI208" s="7" t="str">
        <f t="array" aca="1" ref="AI208" ca="1">IFERROR(IF(OR('Raw Data'!AI208="",LEN(TRIM('Raw Data'!AI208))=0),"",IF(AND(ISNUMBER('Raw Data'!AI208), IFERROR('Raw Data'!AI208 = ROUND('Raw Data'!AI208, 2),FALSE)),"",_xlfn.REGEXEXTRACT(CELL("address",AI208), "\$([A-Z]+)\$[0-9]+"))),_xlfn.REGEXEXTRACT(CELL("address",AI208), "\$([A-Z]+)\$[0-9]+"))</f>
        <v/>
      </c>
      <c r="AJ208" s="7" t="str">
        <f t="array" aca="1" ref="AJ208" ca="1">IFERROR(IF(OR('Raw Data'!AJ208="",LEN(TRIM('Raw Data'!AJ208))=0),"",IF(AND(ISNUMBER('Raw Data'!AJ208), IFERROR('Raw Data'!AJ208 = ROUND('Raw Data'!AJ208, 4),FALSE)),"",_xlfn.REGEXEXTRACT(CELL("address",AJ208), "\$([A-Z]+)\$[0-9]+"))),_xlfn.REGEXEXTRACT(CELL("address",AJ208), "\$([A-Z]+)\$[0-9]+"))</f>
        <v/>
      </c>
      <c r="AK208" s="7" t="str">
        <f t="array" aca="1" ref="AK208" ca="1">IFERROR(IF(OR('Raw Data'!AK208="",LEN(TRIM('Raw Data'!AK208))=0),"",IF(AND(ISNUMBER('Raw Data'!AK208), IFERROR('Raw Data'!AK208 = ROUND('Raw Data'!AK208, 2),FALSE)),"",_xlfn.REGEXEXTRACT(CELL("address",AK208), "\$([A-Z]+)\$[0-9]+"))),_xlfn.REGEXEXTRACT(CELL("address",AK208), "\$([A-Z]+)\$[0-9]+"))</f>
        <v/>
      </c>
      <c r="AL208" s="7" t="str">
        <f t="array" aca="1" ref="AL208" ca="1">IFERROR(IF(OR('Raw Data'!AL208="",LEN(TRIM('Raw Data'!AL208))=0),"",IF(AND(ISNUMBER('Raw Data'!AL208), IFERROR('Raw Data'!AL208 = ROUND('Raw Data'!AL208, 2),FALSE)),"",_xlfn.REGEXEXTRACT(CELL("address",AL208), "\$([A-Z]+)\$[0-9]+"))),_xlfn.REGEXEXTRACT(CELL("address",AL208), "\$([A-Z]+)\$[0-9]+"))</f>
        <v/>
      </c>
      <c r="AM208" s="7" t="str">
        <f t="array" aca="1" ref="AM208" ca="1">IFERROR(IF(OR('Raw Data'!AM208="",LEN(TRIM('Raw Data'!AM208))=0),"",IF(AND(ISNUMBER('Raw Data'!AM208), IFERROR('Raw Data'!AM208 = ROUND('Raw Data'!AM208, 2),FALSE)),"",_xlfn.REGEXEXTRACT(CELL("address",AM208), "\$([A-Z]+)\$[0-9]+"))),_xlfn.REGEXEXTRACT(CELL("address",AM208), "\$([A-Z]+)\$[0-9]+"))</f>
        <v/>
      </c>
      <c r="AN208" s="7" t="str">
        <f t="array" aca="1" ref="AN208" ca="1">IFERROR(IF(OR('Raw Data'!AN208="",LEN(TRIM('Raw Data'!AN208))=0),"",IF(AND(ISNUMBER('Raw Data'!AN208), IFERROR('Raw Data'!AN208 = ROUND('Raw Data'!AN208, 2),FALSE)),"",_xlfn.REGEXEXTRACT(CELL("address",AN208), "\$([A-Z]+)\$[0-9]+"))),_xlfn.REGEXEXTRACT(CELL("address",AN208), "\$([A-Z]+)\$[0-9]+"))</f>
        <v/>
      </c>
      <c r="AO208" s="7" t="str">
        <f t="array" aca="1" ref="AO208" ca="1">IFERROR(IF(OR('Raw Data'!AO208="",LEN(TRIM('Raw Data'!AO208))=0),"",IF(AND(ISNUMBER('Raw Data'!AO208), IFERROR('Raw Data'!AO208 = ROUND('Raw Data'!AO208, 2),FALSE)),"",_xlfn.REGEXEXTRACT(CELL("address",AO208), "\$([A-Z]+)\$[0-9]+"))),_xlfn.REGEXEXTRACT(CELL("address",AO208), "\$([A-Z]+)\$[0-9]+"))</f>
        <v/>
      </c>
      <c r="AP208" s="7" t="str">
        <f t="array" aca="1" ref="AP208" ca="1">IFERROR(IF(OR('Raw Data'!AP208="",LEN(TRIM('Raw Data'!AP208))=0),"",IF(AND(ISNUMBER('Raw Data'!AP208), IFERROR('Raw Data'!AP208 = ROUND('Raw Data'!AP208, 2),FALSE)),"",_xlfn.REGEXEXTRACT(CELL("address",AP208), "\$([A-Z]+)\$[0-9]+"))),_xlfn.REGEXEXTRACT(CELL("address",AP208), "\$([A-Z]+)\$[0-9]+"))</f>
        <v/>
      </c>
    </row>
    <row r="209" spans="2:42" x14ac:dyDescent="0.25">
      <c r="B209" s="7" t="str">
        <f t="array" aca="1" ref="B209" ca="1">IFERROR(IF(OR('Raw Data'!B209="",LEN(TRIM('Raw Data'!B209))=0),"",IF(AND(LEN('Raw Data'!B209) &lt;= 255,LEN('Raw Data'!B209)&gt; 0),"",_xlfn.REGEXEXTRACT(CELL("address",'Raw Data'!B209),"\$([A-Z]+)\$[0-9]+"))),_xlfn.REGEXEXTRACT(CELL("address",'Raw Data'!B209),"\$([A-Z]+)\$[0-9]+"))</f>
        <v/>
      </c>
      <c r="C209" s="7" t="str">
        <f t="array" aca="1" ref="C209" ca="1">IFERROR(IF(OR('Raw Data'!C209="",LEN(TRIM('Raw Data'!C209))=0),"",IF(AND(LEN('Raw Data'!C209) &lt;= 50,LEN('Raw Data'!C209)&gt; 0),"",_xlfn.REGEXEXTRACT(CELL("address",'Raw Data'!C209),"\$([A-Z]+)\$[0-9]+"))),_xlfn.REGEXEXTRACT(CELL("address",'Raw Data'!C209),"\$([A-Z]+)\$[0-9]+"))</f>
        <v/>
      </c>
      <c r="D209" s="7" t="str">
        <f t="array" aca="1" ref="D209" ca="1">IFERROR(IF(OR('Raw Data'!D209="",LEN(TRIM('Raw Data'!D209))=0),"",IF(AND(LEN('Raw Data'!D209) &lt;= 500,LEN('Raw Data'!D209)&gt; 0),"",_xlfn.REGEXEXTRACT(CELL("address",'Raw Data'!D209),"\$([A-Z]+)\$[0-9]+"))),_xlfn.REGEXEXTRACT(CELL("address",'Raw Data'!D209),"\$([A-Z]+)\$[0-9]+"))</f>
        <v/>
      </c>
      <c r="E209" s="7" t="str">
        <f t="array" aca="1" ref="E209" ca="1">IFERROR(IF(OR('Raw Data'!E209="",LEN(TRIM('Raw Data'!E209))=0),"",IF(AND(LEN('Raw Data'!E209) &lt;= 50,LEN('Raw Data'!E209)&gt; 0),"",_xlfn.REGEXEXTRACT(CELL("address",'Raw Data'!E209),"\$([A-Z]+)\$[0-9]+"))),_xlfn.REGEXEXTRACT(CELL("address",'Raw Data'!E209),"\$([A-Z]+)\$[0-9]+"))</f>
        <v/>
      </c>
      <c r="F209" s="7" t="str">
        <f t="array" aca="1" ref="F209" ca="1">IFERROR(IF(OR('Raw Data'!F209="",LEN(TRIM('Raw Data'!F209))=0),"",IF(AND(LEN('Raw Data'!F209) &lt;= 50,LEN('Raw Data'!F209)&gt; 0),"",_xlfn.REGEXEXTRACT(CELL("address",'Raw Data'!F209),"\$([A-Z]+)\$[0-9]+"))),_xlfn.REGEXEXTRACT(CELL("address",'Raw Data'!F209),"\$([A-Z]+)\$[0-9]+"))</f>
        <v/>
      </c>
      <c r="G209" s="7" t="str">
        <f t="array" aca="1" ref="G209" ca="1">IFERROR(IF(OR('Raw Data'!G209="",LEN(TRIM('Raw Data'!G209))=0),"",IF(AND(LEN('Raw Data'!G209) &lt;= 50,LEN('Raw Data'!G209)&gt; 0),"",_xlfn.REGEXEXTRACT(CELL("address",'Raw Data'!G209),"\$([A-Z]+)\$[0-9]+"))),_xlfn.REGEXEXTRACT(CELL("address",'Raw Data'!G209),"\$([A-Z]+)\$[0-9]+"))</f>
        <v/>
      </c>
      <c r="H209" s="7" t="str">
        <f t="array" aca="1" ref="H209" ca="1">IFERROR(IF(OR('Raw Data'!H209="",LEN(TRIM('Raw Data'!H209))=0),"",IF(AND(LEN('Raw Data'!H209) &lt;= 50,LEN('Raw Data'!H209)&gt; 0),"",_xlfn.REGEXEXTRACT(CELL("address",'Raw Data'!H209),"\$([A-Z]+)\$[0-9]+"))),_xlfn.REGEXEXTRACT(CELL("address",'Raw Data'!H209),"\$([A-Z]+)\$[0-9]+"))</f>
        <v/>
      </c>
      <c r="I209" s="7" t="str">
        <f t="array" aca="1" ref="I209" ca="1">IFERROR(IF(OR('Raw Data'!I209="",LEN(TRIM('Raw Data'!I209))=0),"",IF(AND(LEN('Raw Data'!I209) &lt;= 50,LEN('Raw Data'!I209)&gt; 0),"",_xlfn.REGEXEXTRACT(CELL("address",'Raw Data'!I209),"\$([A-Z]+)\$[0-9]+"))),_xlfn.REGEXEXTRACT(CELL("address",'Raw Data'!I209),"\$([A-Z]+)\$[0-9]+"))</f>
        <v/>
      </c>
      <c r="J209" s="7" t="str">
        <f t="array" aca="1" ref="J209" ca="1">IFERROR(IF(OR('Raw Data'!J209="",LEN(TRIM('Raw Data'!J209))=0),"",IF(AND(ISNUMBER('Raw Data'!J209), IFERROR('Raw Data'!J209 = ROUND('Raw Data'!J209, 2),FALSE)),"",_xlfn.REGEXEXTRACT(CELL("address",J209), "\$([A-Z]+)\$[0-9]+"))),_xlfn.REGEXEXTRACT(CELL("address",J209), "\$([A-Z]+)\$[0-9]+"))</f>
        <v/>
      </c>
      <c r="K209" s="7" t="str">
        <f t="array" aca="1" ref="K209" ca="1">IFERROR(IF(OR('Raw Data'!K209="",LEN(TRIM('Raw Data'!K209))=0),"",IF(AND(ISNUMBER('Raw Data'!K209), IFERROR('Raw Data'!K209 = ROUND('Raw Data'!K209, 2),FALSE)),"",_xlfn.REGEXEXTRACT(CELL("address",K209), "\$([A-Z]+)\$[0-9]+"))),_xlfn.REGEXEXTRACT(CELL("address",K209), "\$([A-Z]+)\$[0-9]+"))</f>
        <v/>
      </c>
      <c r="L209" s="7" t="str">
        <f t="array" aca="1" ref="L209" ca="1">IFERROR(IF(OR('Raw Data'!L209="",LEN(TRIM('Raw Data'!L209))=0),"",IF(AND(ISNUMBER('Raw Data'!L209), IFERROR('Raw Data'!L209 = ROUND('Raw Data'!L209, 2),FALSE)),"",_xlfn.REGEXEXTRACT(CELL("address",L209), "\$([A-Z]+)\$[0-9]+"))),_xlfn.REGEXEXTRACT(CELL("address",L209), "\$([A-Z]+)\$[0-9]+"))</f>
        <v/>
      </c>
      <c r="M209" s="7" t="str">
        <f t="array" aca="1" ref="M209" ca="1">IFERROR(IF(OR('Raw Data'!M209="",LEN(TRIM('Raw Data'!M209))=0),"",IF(AND(ISNUMBER('Raw Data'!M209), IFERROR('Raw Data'!M209 = ROUND('Raw Data'!M209, 2),FALSE)),"",_xlfn.REGEXEXTRACT(CELL("address",M209), "\$([A-Z]+)\$[0-9]+"))),_xlfn.REGEXEXTRACT(CELL("address",M209), "\$([A-Z]+)\$[0-9]+"))</f>
        <v/>
      </c>
      <c r="N209" s="7" t="str">
        <f t="array" aca="1" ref="N209" ca="1">IFERROR(IF(OR('Raw Data'!N209="",LEN(TRIM('Raw Data'!N209))=0),"",IF(AND(ISNUMBER('Raw Data'!N209), IFERROR('Raw Data'!N209 = ROUND('Raw Data'!N209, 2),FALSE)),"",_xlfn.REGEXEXTRACT(CELL("address",N209), "\$([A-Z]+)\$[0-9]+"))),_xlfn.REGEXEXTRACT(CELL("address",N209), "\$([A-Z]+)\$[0-9]+"))</f>
        <v/>
      </c>
      <c r="O209" s="7" t="str">
        <f t="array" aca="1" ref="O209" ca="1">IFERROR(IF(OR('Raw Data'!O209="",LEN(TRIM('Raw Data'!O209))=0),"",IF(AND(ISNUMBER('Raw Data'!O209),'Raw Data'!O209&gt;=Configuration!$D$2),"",_xlfn.REGEXEXTRACT(CELL("address",'Raw Data'!O209),"\$([A-Z]+)\$[0-9]+"))),_xlfn.REGEXEXTRACT(CELL("address",O209), "\$([A-Z]+)\$[0-9]+"))</f>
        <v/>
      </c>
      <c r="P209" s="7" t="str">
        <f t="array" aca="1" ref="P209" ca="1">IFERROR(IF(OR('Raw Data'!P209="",LEN(TRIM('Raw Data'!P209))=0),"",IF(AND(ISNUMBER('Raw Data'!P209), IFERROR('Raw Data'!P209 = ROUND('Raw Data'!P209, 2),FALSE)),"",_xlfn.REGEXEXTRACT(CELL("address",P209), "\$([A-Z]+)\$[0-9]+"))),_xlfn.REGEXEXTRACT(CELL("address",P209), "\$([A-Z]+)\$[0-9]+"))</f>
        <v/>
      </c>
      <c r="Q209" s="7" t="str">
        <f t="array" aca="1" ref="Q209" ca="1">IFERROR(IF(OR('Raw Data'!Q209="",LEN(TRIM('Raw Data'!Q209))=0),"",IF(AND(ISNUMBER('Raw Data'!Q209), IFERROR('Raw Data'!Q209 = ROUND('Raw Data'!Q209, 2),FALSE)),"",_xlfn.REGEXEXTRACT(CELL("address",Q209), "\$([A-Z]+)\$[0-9]+"))),_xlfn.REGEXEXTRACT(CELL("address",Q209), "\$([A-Z]+)\$[0-9]+"))</f>
        <v/>
      </c>
      <c r="R209" s="7" t="str">
        <f t="array" aca="1" ref="R209" ca="1">IFERROR(IF(OR('Raw Data'!R209="",LEN(TRIM('Raw Data'!R209))=0),"",IF(AND(LEN('Raw Data'!R209) &lt;= 50,LEN('Raw Data'!R209)&gt; 0),"",_xlfn.REGEXEXTRACT(CELL("address",'Raw Data'!R209),"\$([A-Z]+)\$[0-9]+"))),_xlfn.REGEXEXTRACT(CELL("address",'Raw Data'!R209),"\$([A-Z]+)\$[0-9]+"))</f>
        <v/>
      </c>
      <c r="S209" s="7" t="str">
        <f t="array" aca="1" ref="S209" ca="1">IFERROR(IF(OR('Raw Data'!S209="",LEN(TRIM('Raw Data'!S209))=0),"",IF(AND(LEN('Raw Data'!S209) &lt;= 50,LEN('Raw Data'!S209)&gt; 0),"",_xlfn.REGEXEXTRACT(CELL("address",'Raw Data'!S209),"\$([A-Z]+)\$[0-9]+"))),_xlfn.REGEXEXTRACT(CELL("address",'Raw Data'!S209),"\$([A-Z]+)\$[0-9]+"))</f>
        <v/>
      </c>
      <c r="T209" s="7" t="str">
        <f t="array" aca="1" ref="T209" ca="1">IFERROR(IF(OR('Raw Data'!T209="",LEN(TRIM('Raw Data'!T209))=0),"",IF(AND(ISNUMBER('Raw Data'!T209), IFERROR('Raw Data'!T209 = ROUND('Raw Data'!T209, 2),FALSE)),"",_xlfn.REGEXEXTRACT(CELL("address",T209), "\$([A-Z]+)\$[0-9]+"))),_xlfn.REGEXEXTRACT(CELL("address",T209), "\$([A-Z]+)\$[0-9]+"))</f>
        <v/>
      </c>
      <c r="U209" s="7" t="str">
        <f t="array" aca="1" ref="U209" ca="1">IFERROR(IF(OR('Raw Data'!U209="",LEN(TRIM('Raw Data'!U209))=0),"",IF(AND(ISNUMBER('Raw Data'!U209), IFERROR('Raw Data'!U209 = ROUND('Raw Data'!U209, 2),FALSE)),"",_xlfn.REGEXEXTRACT(CELL("address",U209), "\$([A-Z]+)\$[0-9]+"))),_xlfn.REGEXEXTRACT(CELL("address",U209), "\$([A-Z]+)\$[0-9]+"))</f>
        <v/>
      </c>
      <c r="V209" s="7" t="str">
        <f t="array" aca="1" ref="V209" ca="1">IFERROR(IF(OR('Raw Data'!V209="",LEN(TRIM('Raw Data'!V209))=0),"",IF(AND(ISNUMBER('Raw Data'!V209), IFERROR('Raw Data'!V209 = ROUND('Raw Data'!V209, 2),FALSE)),"",_xlfn.REGEXEXTRACT(CELL("address",V209), "\$([A-Z]+)\$[0-9]+"))),_xlfn.REGEXEXTRACT(CELL("address",V209), "\$([A-Z]+)\$[0-9]+"))</f>
        <v/>
      </c>
      <c r="W209" s="7" t="str">
        <f t="array" aca="1" ref="W209" ca="1">IFERROR(IF(OR('Raw Data'!W209="",LEN(TRIM('Raw Data'!W209))=0),"",IF(AND(ISNUMBER('Raw Data'!W209), IFERROR('Raw Data'!W209 = ROUND('Raw Data'!W209, 2),FALSE)),"",_xlfn.REGEXEXTRACT(CELL("address",W209), "\$([A-Z]+)\$[0-9]+"))),_xlfn.REGEXEXTRACT(CELL("address",W209), "\$([A-Z]+)\$[0-9]+"))</f>
        <v/>
      </c>
      <c r="X209" s="7" t="str">
        <f t="array" aca="1" ref="X209" ca="1">IFERROR(IF(OR('Raw Data'!X209="",LEN(TRIM('Raw Data'!X209))=0),"",IF(AND(ISNUMBER('Raw Data'!X209), IFERROR('Raw Data'!X209 = ROUND('Raw Data'!X209, 2),FALSE)),"",_xlfn.REGEXEXTRACT(CELL("address",X209), "\$([A-Z]+)\$[0-9]+"))),_xlfn.REGEXEXTRACT(CELL("address",X209), "\$([A-Z]+)\$[0-9]+"))</f>
        <v/>
      </c>
      <c r="Y209" s="7" t="str">
        <f t="array" aca="1" ref="Y209" ca="1">IFERROR(IF(OR('Raw Data'!Y209="",LEN(TRIM('Raw Data'!Y209))=0),"",IF(AND(ISNUMBER('Raw Data'!Y209), IFERROR('Raw Data'!Y209 = ROUND('Raw Data'!Y209, 2),FALSE)),"",_xlfn.REGEXEXTRACT(CELL("address",Y209), "\$([A-Z]+)\$[0-9]+"))),_xlfn.REGEXEXTRACT(CELL("address",Y209), "\$([A-Z]+)\$[0-9]+"))</f>
        <v/>
      </c>
      <c r="Z209" s="7" t="str">
        <f t="array" aca="1" ref="Z209" ca="1">IFERROR(IF(OR('Raw Data'!Z209="",LEN(TRIM('Raw Data'!Z209))=0),"",IF(AND(ISNUMBER('Raw Data'!Z209), IFERROR('Raw Data'!Z209 = ROUND('Raw Data'!Z209, 2),FALSE)),"",_xlfn.REGEXEXTRACT(CELL("address",Z209), "\$([A-Z]+)\$[0-9]+"))),_xlfn.REGEXEXTRACT(CELL("address",Z209), "\$([A-Z]+)\$[0-9]+"))</f>
        <v/>
      </c>
      <c r="AA209" s="7" t="str">
        <f t="array" aca="1" ref="AA209" ca="1">IFERROR(IF(OR('Raw Data'!AA209="",LEN(TRIM('Raw Data'!AA209))=0),"",IF(AND(ISNUMBER('Raw Data'!AA209), IFERROR('Raw Data'!AA209 = ROUND('Raw Data'!AA209, 2),FALSE)),"",_xlfn.REGEXEXTRACT(CELL("address",AA209), "\$([A-Z]+)\$[0-9]+"))),_xlfn.REGEXEXTRACT(CELL("address",AA209), "\$([A-Z]+)\$[0-9]+"))</f>
        <v/>
      </c>
      <c r="AB209" s="7" t="str">
        <f t="array" aca="1" ref="AB209" ca="1">IFERROR(IF(OR('Raw Data'!AB209="",LEN(TRIM('Raw Data'!AB209))=0),"",IF(AND(ISNUMBER('Raw Data'!AB209), IFERROR('Raw Data'!AB209 = ROUND('Raw Data'!AB209, 2),FALSE)),"",_xlfn.REGEXEXTRACT(CELL("address",AB209), "\$([A-Z]+)\$[0-9]+"))),_xlfn.REGEXEXTRACT(CELL("address",AB209), "\$([A-Z]+)\$[0-9]+"))</f>
        <v/>
      </c>
      <c r="AC209" s="7" t="str">
        <f t="array" aca="1" ref="AC209" ca="1">IFERROR(IF(OR('Raw Data'!AC209="",LEN(TRIM('Raw Data'!AC209))=0),"",IF(AND(ISNUMBER('Raw Data'!AC209), IFERROR('Raw Data'!AC209 = ROUND('Raw Data'!AC209, 2),FALSE)),"",_xlfn.REGEXEXTRACT(CELL("address",AC209), "\$([A-Z]+)\$[0-9]+"))),_xlfn.REGEXEXTRACT(CELL("address",AC209), "\$([A-Z]+)\$[0-9]+"))</f>
        <v/>
      </c>
      <c r="AD209" s="7" t="str">
        <f t="array" aca="1" ref="AD209" ca="1">IFERROR(IF(OR('Raw Data'!AD209="",LEN(TRIM('Raw Data'!AD209))=0),"",IF(AND(ISNUMBER('Raw Data'!AD209), IFERROR('Raw Data'!AD209 = ROUND('Raw Data'!AD209, 2),FALSE)),"",_xlfn.REGEXEXTRACT(CELL("address",AD209), "\$([A-Z]+)\$[0-9]+"))),_xlfn.REGEXEXTRACT(CELL("address",AD209), "\$([A-Z]+)\$[0-9]+"))</f>
        <v/>
      </c>
      <c r="AE209" s="7" t="str">
        <f t="array" aca="1" ref="AE209" ca="1">IFERROR(IF(OR('Raw Data'!AE209="",LEN(TRIM('Raw Data'!AE209))=0),"",IF(AND(ISNUMBER('Raw Data'!AE209), IFERROR('Raw Data'!AE209 = ROUND('Raw Data'!AE209, 2),FALSE)),"",_xlfn.REGEXEXTRACT(CELL("address",AE209), "\$([A-Z]+)\$[0-9]+"))),_xlfn.REGEXEXTRACT(CELL("address",AE209), "\$([A-Z]+)\$[0-9]+"))</f>
        <v/>
      </c>
      <c r="AF209" s="7" t="str">
        <f t="array" aca="1" ref="AF209" ca="1">IFERROR(IF(OR('Raw Data'!AF209="",LEN(TRIM('Raw Data'!AF209))=0),"",IF(AND(ISNUMBER('Raw Data'!AF209), IFERROR('Raw Data'!AF209 = ROUND('Raw Data'!AF209, 2),FALSE)),"",_xlfn.REGEXEXTRACT(CELL("address",AF209), "\$([A-Z]+)\$[0-9]+"))),_xlfn.REGEXEXTRACT(CELL("address",AF209), "\$([A-Z]+)\$[0-9]+"))</f>
        <v/>
      </c>
      <c r="AG209" s="7" t="str">
        <f t="array" aca="1" ref="AG209" ca="1">IFERROR(IF(OR('Raw Data'!AG209="",LEN(TRIM('Raw Data'!AG209))=0),"",IF(AND(ISNUMBER('Raw Data'!AG209), IFERROR('Raw Data'!AG209 = ROUND('Raw Data'!AG209, 2),FALSE)),"",_xlfn.REGEXEXTRACT(CELL("address",AG209), "\$([A-Z]+)\$[0-9]+"))),_xlfn.REGEXEXTRACT(CELL("address",AG209), "\$([A-Z]+)\$[0-9]+"))</f>
        <v/>
      </c>
      <c r="AH209" s="7" t="str">
        <f t="array" aca="1" ref="AH209" ca="1">IFERROR(IF(OR('Raw Data'!AH209="",LEN(TRIM('Raw Data'!AH209))=0),"",IF(AND(ISNUMBER('Raw Data'!AH209), IFERROR('Raw Data'!AH209 = ROUND('Raw Data'!AH209, 2),FALSE)),"",_xlfn.REGEXEXTRACT(CELL("address",AH209), "\$([A-Z]+)\$[0-9]+"))),_xlfn.REGEXEXTRACT(CELL("address",AH209), "\$([A-Z]+)\$[0-9]+"))</f>
        <v/>
      </c>
      <c r="AI209" s="7" t="str">
        <f t="array" aca="1" ref="AI209" ca="1">IFERROR(IF(OR('Raw Data'!AI209="",LEN(TRIM('Raw Data'!AI209))=0),"",IF(AND(ISNUMBER('Raw Data'!AI209), IFERROR('Raw Data'!AI209 = ROUND('Raw Data'!AI209, 2),FALSE)),"",_xlfn.REGEXEXTRACT(CELL("address",AI209), "\$([A-Z]+)\$[0-9]+"))),_xlfn.REGEXEXTRACT(CELL("address",AI209), "\$([A-Z]+)\$[0-9]+"))</f>
        <v/>
      </c>
      <c r="AJ209" s="7" t="str">
        <f t="array" aca="1" ref="AJ209" ca="1">IFERROR(IF(OR('Raw Data'!AJ209="",LEN(TRIM('Raw Data'!AJ209))=0),"",IF(AND(ISNUMBER('Raw Data'!AJ209), IFERROR('Raw Data'!AJ209 = ROUND('Raw Data'!AJ209, 4),FALSE)),"",_xlfn.REGEXEXTRACT(CELL("address",AJ209), "\$([A-Z]+)\$[0-9]+"))),_xlfn.REGEXEXTRACT(CELL("address",AJ209), "\$([A-Z]+)\$[0-9]+"))</f>
        <v/>
      </c>
      <c r="AK209" s="7" t="str">
        <f t="array" aca="1" ref="AK209" ca="1">IFERROR(IF(OR('Raw Data'!AK209="",LEN(TRIM('Raw Data'!AK209))=0),"",IF(AND(ISNUMBER('Raw Data'!AK209), IFERROR('Raw Data'!AK209 = ROUND('Raw Data'!AK209, 2),FALSE)),"",_xlfn.REGEXEXTRACT(CELL("address",AK209), "\$([A-Z]+)\$[0-9]+"))),_xlfn.REGEXEXTRACT(CELL("address",AK209), "\$([A-Z]+)\$[0-9]+"))</f>
        <v/>
      </c>
      <c r="AL209" s="7" t="str">
        <f t="array" aca="1" ref="AL209" ca="1">IFERROR(IF(OR('Raw Data'!AL209="",LEN(TRIM('Raw Data'!AL209))=0),"",IF(AND(ISNUMBER('Raw Data'!AL209), IFERROR('Raw Data'!AL209 = ROUND('Raw Data'!AL209, 2),FALSE)),"",_xlfn.REGEXEXTRACT(CELL("address",AL209), "\$([A-Z]+)\$[0-9]+"))),_xlfn.REGEXEXTRACT(CELL("address",AL209), "\$([A-Z]+)\$[0-9]+"))</f>
        <v/>
      </c>
      <c r="AM209" s="7" t="str">
        <f t="array" aca="1" ref="AM209" ca="1">IFERROR(IF(OR('Raw Data'!AM209="",LEN(TRIM('Raw Data'!AM209))=0),"",IF(AND(ISNUMBER('Raw Data'!AM209), IFERROR('Raw Data'!AM209 = ROUND('Raw Data'!AM209, 2),FALSE)),"",_xlfn.REGEXEXTRACT(CELL("address",AM209), "\$([A-Z]+)\$[0-9]+"))),_xlfn.REGEXEXTRACT(CELL("address",AM209), "\$([A-Z]+)\$[0-9]+"))</f>
        <v/>
      </c>
      <c r="AN209" s="7" t="str">
        <f t="array" aca="1" ref="AN209" ca="1">IFERROR(IF(OR('Raw Data'!AN209="",LEN(TRIM('Raw Data'!AN209))=0),"",IF(AND(ISNUMBER('Raw Data'!AN209), IFERROR('Raw Data'!AN209 = ROUND('Raw Data'!AN209, 2),FALSE)),"",_xlfn.REGEXEXTRACT(CELL("address",AN209), "\$([A-Z]+)\$[0-9]+"))),_xlfn.REGEXEXTRACT(CELL("address",AN209), "\$([A-Z]+)\$[0-9]+"))</f>
        <v/>
      </c>
      <c r="AO209" s="7" t="str">
        <f t="array" aca="1" ref="AO209" ca="1">IFERROR(IF(OR('Raw Data'!AO209="",LEN(TRIM('Raw Data'!AO209))=0),"",IF(AND(ISNUMBER('Raw Data'!AO209), IFERROR('Raw Data'!AO209 = ROUND('Raw Data'!AO209, 2),FALSE)),"",_xlfn.REGEXEXTRACT(CELL("address",AO209), "\$([A-Z]+)\$[0-9]+"))),_xlfn.REGEXEXTRACT(CELL("address",AO209), "\$([A-Z]+)\$[0-9]+"))</f>
        <v/>
      </c>
      <c r="AP209" s="7" t="str">
        <f t="array" aca="1" ref="AP209" ca="1">IFERROR(IF(OR('Raw Data'!AP209="",LEN(TRIM('Raw Data'!AP209))=0),"",IF(AND(ISNUMBER('Raw Data'!AP209), IFERROR('Raw Data'!AP209 = ROUND('Raw Data'!AP209, 2),FALSE)),"",_xlfn.REGEXEXTRACT(CELL("address",AP209), "\$([A-Z]+)\$[0-9]+"))),_xlfn.REGEXEXTRACT(CELL("address",AP209), "\$([A-Z]+)\$[0-9]+"))</f>
        <v/>
      </c>
    </row>
    <row r="210" spans="2:42" x14ac:dyDescent="0.25">
      <c r="B210" s="7" t="str">
        <f t="array" aca="1" ref="B210" ca="1">IFERROR(IF(OR('Raw Data'!B210="",LEN(TRIM('Raw Data'!B210))=0),"",IF(AND(LEN('Raw Data'!B210) &lt;= 255,LEN('Raw Data'!B210)&gt; 0),"",_xlfn.REGEXEXTRACT(CELL("address",'Raw Data'!B210),"\$([A-Z]+)\$[0-9]+"))),_xlfn.REGEXEXTRACT(CELL("address",'Raw Data'!B210),"\$([A-Z]+)\$[0-9]+"))</f>
        <v/>
      </c>
      <c r="C210" s="7" t="str">
        <f t="array" aca="1" ref="C210" ca="1">IFERROR(IF(OR('Raw Data'!C210="",LEN(TRIM('Raw Data'!C210))=0),"",IF(AND(LEN('Raw Data'!C210) &lt;= 50,LEN('Raw Data'!C210)&gt; 0),"",_xlfn.REGEXEXTRACT(CELL("address",'Raw Data'!C210),"\$([A-Z]+)\$[0-9]+"))),_xlfn.REGEXEXTRACT(CELL("address",'Raw Data'!C210),"\$([A-Z]+)\$[0-9]+"))</f>
        <v/>
      </c>
      <c r="D210" s="7" t="str">
        <f t="array" aca="1" ref="D210" ca="1">IFERROR(IF(OR('Raw Data'!D210="",LEN(TRIM('Raw Data'!D210))=0),"",IF(AND(LEN('Raw Data'!D210) &lt;= 500,LEN('Raw Data'!D210)&gt; 0),"",_xlfn.REGEXEXTRACT(CELL("address",'Raw Data'!D210),"\$([A-Z]+)\$[0-9]+"))),_xlfn.REGEXEXTRACT(CELL("address",'Raw Data'!D210),"\$([A-Z]+)\$[0-9]+"))</f>
        <v/>
      </c>
      <c r="E210" s="7" t="str">
        <f t="array" aca="1" ref="E210" ca="1">IFERROR(IF(OR('Raw Data'!E210="",LEN(TRIM('Raw Data'!E210))=0),"",IF(AND(LEN('Raw Data'!E210) &lt;= 50,LEN('Raw Data'!E210)&gt; 0),"",_xlfn.REGEXEXTRACT(CELL("address",'Raw Data'!E210),"\$([A-Z]+)\$[0-9]+"))),_xlfn.REGEXEXTRACT(CELL("address",'Raw Data'!E210),"\$([A-Z]+)\$[0-9]+"))</f>
        <v/>
      </c>
      <c r="F210" s="7" t="str">
        <f t="array" aca="1" ref="F210" ca="1">IFERROR(IF(OR('Raw Data'!F210="",LEN(TRIM('Raw Data'!F210))=0),"",IF(AND(LEN('Raw Data'!F210) &lt;= 50,LEN('Raw Data'!F210)&gt; 0),"",_xlfn.REGEXEXTRACT(CELL("address",'Raw Data'!F210),"\$([A-Z]+)\$[0-9]+"))),_xlfn.REGEXEXTRACT(CELL("address",'Raw Data'!F210),"\$([A-Z]+)\$[0-9]+"))</f>
        <v/>
      </c>
      <c r="G210" s="7" t="str">
        <f t="array" aca="1" ref="G210" ca="1">IFERROR(IF(OR('Raw Data'!G210="",LEN(TRIM('Raw Data'!G210))=0),"",IF(AND(LEN('Raw Data'!G210) &lt;= 50,LEN('Raw Data'!G210)&gt; 0),"",_xlfn.REGEXEXTRACT(CELL("address",'Raw Data'!G210),"\$([A-Z]+)\$[0-9]+"))),_xlfn.REGEXEXTRACT(CELL("address",'Raw Data'!G210),"\$([A-Z]+)\$[0-9]+"))</f>
        <v/>
      </c>
      <c r="H210" s="7" t="str">
        <f t="array" aca="1" ref="H210" ca="1">IFERROR(IF(OR('Raw Data'!H210="",LEN(TRIM('Raw Data'!H210))=0),"",IF(AND(LEN('Raw Data'!H210) &lt;= 50,LEN('Raw Data'!H210)&gt; 0),"",_xlfn.REGEXEXTRACT(CELL("address",'Raw Data'!H210),"\$([A-Z]+)\$[0-9]+"))),_xlfn.REGEXEXTRACT(CELL("address",'Raw Data'!H210),"\$([A-Z]+)\$[0-9]+"))</f>
        <v/>
      </c>
      <c r="I210" s="7" t="str">
        <f t="array" aca="1" ref="I210" ca="1">IFERROR(IF(OR('Raw Data'!I210="",LEN(TRIM('Raw Data'!I210))=0),"",IF(AND(LEN('Raw Data'!I210) &lt;= 50,LEN('Raw Data'!I210)&gt; 0),"",_xlfn.REGEXEXTRACT(CELL("address",'Raw Data'!I210),"\$([A-Z]+)\$[0-9]+"))),_xlfn.REGEXEXTRACT(CELL("address",'Raw Data'!I210),"\$([A-Z]+)\$[0-9]+"))</f>
        <v/>
      </c>
      <c r="J210" s="7" t="str">
        <f t="array" aca="1" ref="J210" ca="1">IFERROR(IF(OR('Raw Data'!J210="",LEN(TRIM('Raw Data'!J210))=0),"",IF(AND(ISNUMBER('Raw Data'!J210), IFERROR('Raw Data'!J210 = ROUND('Raw Data'!J210, 2),FALSE)),"",_xlfn.REGEXEXTRACT(CELL("address",J210), "\$([A-Z]+)\$[0-9]+"))),_xlfn.REGEXEXTRACT(CELL("address",J210), "\$([A-Z]+)\$[0-9]+"))</f>
        <v/>
      </c>
      <c r="K210" s="7" t="str">
        <f t="array" aca="1" ref="K210" ca="1">IFERROR(IF(OR('Raw Data'!K210="",LEN(TRIM('Raw Data'!K210))=0),"",IF(AND(ISNUMBER('Raw Data'!K210), IFERROR('Raw Data'!K210 = ROUND('Raw Data'!K210, 2),FALSE)),"",_xlfn.REGEXEXTRACT(CELL("address",K210), "\$([A-Z]+)\$[0-9]+"))),_xlfn.REGEXEXTRACT(CELL("address",K210), "\$([A-Z]+)\$[0-9]+"))</f>
        <v/>
      </c>
      <c r="L210" s="7" t="str">
        <f t="array" aca="1" ref="L210" ca="1">IFERROR(IF(OR('Raw Data'!L210="",LEN(TRIM('Raw Data'!L210))=0),"",IF(AND(ISNUMBER('Raw Data'!L210), IFERROR('Raw Data'!L210 = ROUND('Raw Data'!L210, 2),FALSE)),"",_xlfn.REGEXEXTRACT(CELL("address",L210), "\$([A-Z]+)\$[0-9]+"))),_xlfn.REGEXEXTRACT(CELL("address",L210), "\$([A-Z]+)\$[0-9]+"))</f>
        <v/>
      </c>
      <c r="M210" s="7" t="str">
        <f t="array" aca="1" ref="M210" ca="1">IFERROR(IF(OR('Raw Data'!M210="",LEN(TRIM('Raw Data'!M210))=0),"",IF(AND(ISNUMBER('Raw Data'!M210), IFERROR('Raw Data'!M210 = ROUND('Raw Data'!M210, 2),FALSE)),"",_xlfn.REGEXEXTRACT(CELL("address",M210), "\$([A-Z]+)\$[0-9]+"))),_xlfn.REGEXEXTRACT(CELL("address",M210), "\$([A-Z]+)\$[0-9]+"))</f>
        <v/>
      </c>
      <c r="N210" s="7" t="str">
        <f t="array" aca="1" ref="N210" ca="1">IFERROR(IF(OR('Raw Data'!N210="",LEN(TRIM('Raw Data'!N210))=0),"",IF(AND(ISNUMBER('Raw Data'!N210), IFERROR('Raw Data'!N210 = ROUND('Raw Data'!N210, 2),FALSE)),"",_xlfn.REGEXEXTRACT(CELL("address",N210), "\$([A-Z]+)\$[0-9]+"))),_xlfn.REGEXEXTRACT(CELL("address",N210), "\$([A-Z]+)\$[0-9]+"))</f>
        <v/>
      </c>
      <c r="O210" s="7" t="str">
        <f t="array" aca="1" ref="O210" ca="1">IFERROR(IF(OR('Raw Data'!O210="",LEN(TRIM('Raw Data'!O210))=0),"",IF(AND(ISNUMBER('Raw Data'!O210),'Raw Data'!O210&gt;=Configuration!$D$2),"",_xlfn.REGEXEXTRACT(CELL("address",'Raw Data'!O210),"\$([A-Z]+)\$[0-9]+"))),_xlfn.REGEXEXTRACT(CELL("address",O210), "\$([A-Z]+)\$[0-9]+"))</f>
        <v/>
      </c>
      <c r="P210" s="7" t="str">
        <f t="array" aca="1" ref="P210" ca="1">IFERROR(IF(OR('Raw Data'!P210="",LEN(TRIM('Raw Data'!P210))=0),"",IF(AND(ISNUMBER('Raw Data'!P210), IFERROR('Raw Data'!P210 = ROUND('Raw Data'!P210, 2),FALSE)),"",_xlfn.REGEXEXTRACT(CELL("address",P210), "\$([A-Z]+)\$[0-9]+"))),_xlfn.REGEXEXTRACT(CELL("address",P210), "\$([A-Z]+)\$[0-9]+"))</f>
        <v/>
      </c>
      <c r="Q210" s="7" t="str">
        <f t="array" aca="1" ref="Q210" ca="1">IFERROR(IF(OR('Raw Data'!Q210="",LEN(TRIM('Raw Data'!Q210))=0),"",IF(AND(ISNUMBER('Raw Data'!Q210), IFERROR('Raw Data'!Q210 = ROUND('Raw Data'!Q210, 2),FALSE)),"",_xlfn.REGEXEXTRACT(CELL("address",Q210), "\$([A-Z]+)\$[0-9]+"))),_xlfn.REGEXEXTRACT(CELL("address",Q210), "\$([A-Z]+)\$[0-9]+"))</f>
        <v/>
      </c>
      <c r="R210" s="7" t="str">
        <f t="array" aca="1" ref="R210" ca="1">IFERROR(IF(OR('Raw Data'!R210="",LEN(TRIM('Raw Data'!R210))=0),"",IF(AND(LEN('Raw Data'!R210) &lt;= 50,LEN('Raw Data'!R210)&gt; 0),"",_xlfn.REGEXEXTRACT(CELL("address",'Raw Data'!R210),"\$([A-Z]+)\$[0-9]+"))),_xlfn.REGEXEXTRACT(CELL("address",'Raw Data'!R210),"\$([A-Z]+)\$[0-9]+"))</f>
        <v/>
      </c>
      <c r="S210" s="7" t="str">
        <f t="array" aca="1" ref="S210" ca="1">IFERROR(IF(OR('Raw Data'!S210="",LEN(TRIM('Raw Data'!S210))=0),"",IF(AND(LEN('Raw Data'!S210) &lt;= 50,LEN('Raw Data'!S210)&gt; 0),"",_xlfn.REGEXEXTRACT(CELL("address",'Raw Data'!S210),"\$([A-Z]+)\$[0-9]+"))),_xlfn.REGEXEXTRACT(CELL("address",'Raw Data'!S210),"\$([A-Z]+)\$[0-9]+"))</f>
        <v/>
      </c>
      <c r="T210" s="7" t="str">
        <f t="array" aca="1" ref="T210" ca="1">IFERROR(IF(OR('Raw Data'!T210="",LEN(TRIM('Raw Data'!T210))=0),"",IF(AND(ISNUMBER('Raw Data'!T210), IFERROR('Raw Data'!T210 = ROUND('Raw Data'!T210, 2),FALSE)),"",_xlfn.REGEXEXTRACT(CELL("address",T210), "\$([A-Z]+)\$[0-9]+"))),_xlfn.REGEXEXTRACT(CELL("address",T210), "\$([A-Z]+)\$[0-9]+"))</f>
        <v/>
      </c>
      <c r="U210" s="7" t="str">
        <f t="array" aca="1" ref="U210" ca="1">IFERROR(IF(OR('Raw Data'!U210="",LEN(TRIM('Raw Data'!U210))=0),"",IF(AND(ISNUMBER('Raw Data'!U210), IFERROR('Raw Data'!U210 = ROUND('Raw Data'!U210, 2),FALSE)),"",_xlfn.REGEXEXTRACT(CELL("address",U210), "\$([A-Z]+)\$[0-9]+"))),_xlfn.REGEXEXTRACT(CELL("address",U210), "\$([A-Z]+)\$[0-9]+"))</f>
        <v/>
      </c>
      <c r="V210" s="7" t="str">
        <f t="array" aca="1" ref="V210" ca="1">IFERROR(IF(OR('Raw Data'!V210="",LEN(TRIM('Raw Data'!V210))=0),"",IF(AND(ISNUMBER('Raw Data'!V210), IFERROR('Raw Data'!V210 = ROUND('Raw Data'!V210, 2),FALSE)),"",_xlfn.REGEXEXTRACT(CELL("address",V210), "\$([A-Z]+)\$[0-9]+"))),_xlfn.REGEXEXTRACT(CELL("address",V210), "\$([A-Z]+)\$[0-9]+"))</f>
        <v/>
      </c>
      <c r="W210" s="7" t="str">
        <f t="array" aca="1" ref="W210" ca="1">IFERROR(IF(OR('Raw Data'!W210="",LEN(TRIM('Raw Data'!W210))=0),"",IF(AND(ISNUMBER('Raw Data'!W210), IFERROR('Raw Data'!W210 = ROUND('Raw Data'!W210, 2),FALSE)),"",_xlfn.REGEXEXTRACT(CELL("address",W210), "\$([A-Z]+)\$[0-9]+"))),_xlfn.REGEXEXTRACT(CELL("address",W210), "\$([A-Z]+)\$[0-9]+"))</f>
        <v/>
      </c>
      <c r="X210" s="7" t="str">
        <f t="array" aca="1" ref="X210" ca="1">IFERROR(IF(OR('Raw Data'!X210="",LEN(TRIM('Raw Data'!X210))=0),"",IF(AND(ISNUMBER('Raw Data'!X210), IFERROR('Raw Data'!X210 = ROUND('Raw Data'!X210, 2),FALSE)),"",_xlfn.REGEXEXTRACT(CELL("address",X210), "\$([A-Z]+)\$[0-9]+"))),_xlfn.REGEXEXTRACT(CELL("address",X210), "\$([A-Z]+)\$[0-9]+"))</f>
        <v/>
      </c>
      <c r="Y210" s="7" t="str">
        <f t="array" aca="1" ref="Y210" ca="1">IFERROR(IF(OR('Raw Data'!Y210="",LEN(TRIM('Raw Data'!Y210))=0),"",IF(AND(ISNUMBER('Raw Data'!Y210), IFERROR('Raw Data'!Y210 = ROUND('Raw Data'!Y210, 2),FALSE)),"",_xlfn.REGEXEXTRACT(CELL("address",Y210), "\$([A-Z]+)\$[0-9]+"))),_xlfn.REGEXEXTRACT(CELL("address",Y210), "\$([A-Z]+)\$[0-9]+"))</f>
        <v/>
      </c>
      <c r="Z210" s="7" t="str">
        <f t="array" aca="1" ref="Z210" ca="1">IFERROR(IF(OR('Raw Data'!Z210="",LEN(TRIM('Raw Data'!Z210))=0),"",IF(AND(ISNUMBER('Raw Data'!Z210), IFERROR('Raw Data'!Z210 = ROUND('Raw Data'!Z210, 2),FALSE)),"",_xlfn.REGEXEXTRACT(CELL("address",Z210), "\$([A-Z]+)\$[0-9]+"))),_xlfn.REGEXEXTRACT(CELL("address",Z210), "\$([A-Z]+)\$[0-9]+"))</f>
        <v/>
      </c>
      <c r="AA210" s="7" t="str">
        <f t="array" aca="1" ref="AA210" ca="1">IFERROR(IF(OR('Raw Data'!AA210="",LEN(TRIM('Raw Data'!AA210))=0),"",IF(AND(ISNUMBER('Raw Data'!AA210), IFERROR('Raw Data'!AA210 = ROUND('Raw Data'!AA210, 2),FALSE)),"",_xlfn.REGEXEXTRACT(CELL("address",AA210), "\$([A-Z]+)\$[0-9]+"))),_xlfn.REGEXEXTRACT(CELL("address",AA210), "\$([A-Z]+)\$[0-9]+"))</f>
        <v/>
      </c>
      <c r="AB210" s="7" t="str">
        <f t="array" aca="1" ref="AB210" ca="1">IFERROR(IF(OR('Raw Data'!AB210="",LEN(TRIM('Raw Data'!AB210))=0),"",IF(AND(ISNUMBER('Raw Data'!AB210), IFERROR('Raw Data'!AB210 = ROUND('Raw Data'!AB210, 2),FALSE)),"",_xlfn.REGEXEXTRACT(CELL("address",AB210), "\$([A-Z]+)\$[0-9]+"))),_xlfn.REGEXEXTRACT(CELL("address",AB210), "\$([A-Z]+)\$[0-9]+"))</f>
        <v/>
      </c>
      <c r="AC210" s="7" t="str">
        <f t="array" aca="1" ref="AC210" ca="1">IFERROR(IF(OR('Raw Data'!AC210="",LEN(TRIM('Raw Data'!AC210))=0),"",IF(AND(ISNUMBER('Raw Data'!AC210), IFERROR('Raw Data'!AC210 = ROUND('Raw Data'!AC210, 2),FALSE)),"",_xlfn.REGEXEXTRACT(CELL("address",AC210), "\$([A-Z]+)\$[0-9]+"))),_xlfn.REGEXEXTRACT(CELL("address",AC210), "\$([A-Z]+)\$[0-9]+"))</f>
        <v/>
      </c>
      <c r="AD210" s="7" t="str">
        <f t="array" aca="1" ref="AD210" ca="1">IFERROR(IF(OR('Raw Data'!AD210="",LEN(TRIM('Raw Data'!AD210))=0),"",IF(AND(ISNUMBER('Raw Data'!AD210), IFERROR('Raw Data'!AD210 = ROUND('Raw Data'!AD210, 2),FALSE)),"",_xlfn.REGEXEXTRACT(CELL("address",AD210), "\$([A-Z]+)\$[0-9]+"))),_xlfn.REGEXEXTRACT(CELL("address",AD210), "\$([A-Z]+)\$[0-9]+"))</f>
        <v/>
      </c>
      <c r="AE210" s="7" t="str">
        <f t="array" aca="1" ref="AE210" ca="1">IFERROR(IF(OR('Raw Data'!AE210="",LEN(TRIM('Raw Data'!AE210))=0),"",IF(AND(ISNUMBER('Raw Data'!AE210), IFERROR('Raw Data'!AE210 = ROUND('Raw Data'!AE210, 2),FALSE)),"",_xlfn.REGEXEXTRACT(CELL("address",AE210), "\$([A-Z]+)\$[0-9]+"))),_xlfn.REGEXEXTRACT(CELL("address",AE210), "\$([A-Z]+)\$[0-9]+"))</f>
        <v/>
      </c>
      <c r="AF210" s="7" t="str">
        <f t="array" aca="1" ref="AF210" ca="1">IFERROR(IF(OR('Raw Data'!AF210="",LEN(TRIM('Raw Data'!AF210))=0),"",IF(AND(ISNUMBER('Raw Data'!AF210), IFERROR('Raw Data'!AF210 = ROUND('Raw Data'!AF210, 2),FALSE)),"",_xlfn.REGEXEXTRACT(CELL("address",AF210), "\$([A-Z]+)\$[0-9]+"))),_xlfn.REGEXEXTRACT(CELL("address",AF210), "\$([A-Z]+)\$[0-9]+"))</f>
        <v/>
      </c>
      <c r="AG210" s="7" t="str">
        <f t="array" aca="1" ref="AG210" ca="1">IFERROR(IF(OR('Raw Data'!AG210="",LEN(TRIM('Raw Data'!AG210))=0),"",IF(AND(ISNUMBER('Raw Data'!AG210), IFERROR('Raw Data'!AG210 = ROUND('Raw Data'!AG210, 2),FALSE)),"",_xlfn.REGEXEXTRACT(CELL("address",AG210), "\$([A-Z]+)\$[0-9]+"))),_xlfn.REGEXEXTRACT(CELL("address",AG210), "\$([A-Z]+)\$[0-9]+"))</f>
        <v/>
      </c>
      <c r="AH210" s="7" t="str">
        <f t="array" aca="1" ref="AH210" ca="1">IFERROR(IF(OR('Raw Data'!AH210="",LEN(TRIM('Raw Data'!AH210))=0),"",IF(AND(ISNUMBER('Raw Data'!AH210), IFERROR('Raw Data'!AH210 = ROUND('Raw Data'!AH210, 2),FALSE)),"",_xlfn.REGEXEXTRACT(CELL("address",AH210), "\$([A-Z]+)\$[0-9]+"))),_xlfn.REGEXEXTRACT(CELL("address",AH210), "\$([A-Z]+)\$[0-9]+"))</f>
        <v/>
      </c>
      <c r="AI210" s="7" t="str">
        <f t="array" aca="1" ref="AI210" ca="1">IFERROR(IF(OR('Raw Data'!AI210="",LEN(TRIM('Raw Data'!AI210))=0),"",IF(AND(ISNUMBER('Raw Data'!AI210), IFERROR('Raw Data'!AI210 = ROUND('Raw Data'!AI210, 2),FALSE)),"",_xlfn.REGEXEXTRACT(CELL("address",AI210), "\$([A-Z]+)\$[0-9]+"))),_xlfn.REGEXEXTRACT(CELL("address",AI210), "\$([A-Z]+)\$[0-9]+"))</f>
        <v/>
      </c>
      <c r="AJ210" s="7" t="str">
        <f t="array" aca="1" ref="AJ210" ca="1">IFERROR(IF(OR('Raw Data'!AJ210="",LEN(TRIM('Raw Data'!AJ210))=0),"",IF(AND(ISNUMBER('Raw Data'!AJ210), IFERROR('Raw Data'!AJ210 = ROUND('Raw Data'!AJ210, 4),FALSE)),"",_xlfn.REGEXEXTRACT(CELL("address",AJ210), "\$([A-Z]+)\$[0-9]+"))),_xlfn.REGEXEXTRACT(CELL("address",AJ210), "\$([A-Z]+)\$[0-9]+"))</f>
        <v/>
      </c>
      <c r="AK210" s="7" t="str">
        <f t="array" aca="1" ref="AK210" ca="1">IFERROR(IF(OR('Raw Data'!AK210="",LEN(TRIM('Raw Data'!AK210))=0),"",IF(AND(ISNUMBER('Raw Data'!AK210), IFERROR('Raw Data'!AK210 = ROUND('Raw Data'!AK210, 2),FALSE)),"",_xlfn.REGEXEXTRACT(CELL("address",AK210), "\$([A-Z]+)\$[0-9]+"))),_xlfn.REGEXEXTRACT(CELL("address",AK210), "\$([A-Z]+)\$[0-9]+"))</f>
        <v/>
      </c>
      <c r="AL210" s="7" t="str">
        <f t="array" aca="1" ref="AL210" ca="1">IFERROR(IF(OR('Raw Data'!AL210="",LEN(TRIM('Raw Data'!AL210))=0),"",IF(AND(ISNUMBER('Raw Data'!AL210), IFERROR('Raw Data'!AL210 = ROUND('Raw Data'!AL210, 2),FALSE)),"",_xlfn.REGEXEXTRACT(CELL("address",AL210), "\$([A-Z]+)\$[0-9]+"))),_xlfn.REGEXEXTRACT(CELL("address",AL210), "\$([A-Z]+)\$[0-9]+"))</f>
        <v/>
      </c>
      <c r="AM210" s="7" t="str">
        <f t="array" aca="1" ref="AM210" ca="1">IFERROR(IF(OR('Raw Data'!AM210="",LEN(TRIM('Raw Data'!AM210))=0),"",IF(AND(ISNUMBER('Raw Data'!AM210), IFERROR('Raw Data'!AM210 = ROUND('Raw Data'!AM210, 2),FALSE)),"",_xlfn.REGEXEXTRACT(CELL("address",AM210), "\$([A-Z]+)\$[0-9]+"))),_xlfn.REGEXEXTRACT(CELL("address",AM210), "\$([A-Z]+)\$[0-9]+"))</f>
        <v/>
      </c>
      <c r="AN210" s="7" t="str">
        <f t="array" aca="1" ref="AN210" ca="1">IFERROR(IF(OR('Raw Data'!AN210="",LEN(TRIM('Raw Data'!AN210))=0),"",IF(AND(ISNUMBER('Raw Data'!AN210), IFERROR('Raw Data'!AN210 = ROUND('Raw Data'!AN210, 2),FALSE)),"",_xlfn.REGEXEXTRACT(CELL("address",AN210), "\$([A-Z]+)\$[0-9]+"))),_xlfn.REGEXEXTRACT(CELL("address",AN210), "\$([A-Z]+)\$[0-9]+"))</f>
        <v/>
      </c>
      <c r="AO210" s="7" t="str">
        <f t="array" aca="1" ref="AO210" ca="1">IFERROR(IF(OR('Raw Data'!AO210="",LEN(TRIM('Raw Data'!AO210))=0),"",IF(AND(ISNUMBER('Raw Data'!AO210), IFERROR('Raw Data'!AO210 = ROUND('Raw Data'!AO210, 2),FALSE)),"",_xlfn.REGEXEXTRACT(CELL("address",AO210), "\$([A-Z]+)\$[0-9]+"))),_xlfn.REGEXEXTRACT(CELL("address",AO210), "\$([A-Z]+)\$[0-9]+"))</f>
        <v/>
      </c>
      <c r="AP210" s="7" t="str">
        <f t="array" aca="1" ref="AP210" ca="1">IFERROR(IF(OR('Raw Data'!AP210="",LEN(TRIM('Raw Data'!AP210))=0),"",IF(AND(ISNUMBER('Raw Data'!AP210), IFERROR('Raw Data'!AP210 = ROUND('Raw Data'!AP210, 2),FALSE)),"",_xlfn.REGEXEXTRACT(CELL("address",AP210), "\$([A-Z]+)\$[0-9]+"))),_xlfn.REGEXEXTRACT(CELL("address",AP210), "\$([A-Z]+)\$[0-9]+"))</f>
        <v/>
      </c>
    </row>
    <row r="211" spans="2:42" x14ac:dyDescent="0.25">
      <c r="B211" s="7" t="str">
        <f t="array" aca="1" ref="B211" ca="1">IFERROR(IF(OR('Raw Data'!B211="",LEN(TRIM('Raw Data'!B211))=0),"",IF(AND(LEN('Raw Data'!B211) &lt;= 255,LEN('Raw Data'!B211)&gt; 0),"",_xlfn.REGEXEXTRACT(CELL("address",'Raw Data'!B211),"\$([A-Z]+)\$[0-9]+"))),_xlfn.REGEXEXTRACT(CELL("address",'Raw Data'!B211),"\$([A-Z]+)\$[0-9]+"))</f>
        <v/>
      </c>
      <c r="C211" s="7" t="str">
        <f t="array" aca="1" ref="C211" ca="1">IFERROR(IF(OR('Raw Data'!C211="",LEN(TRIM('Raw Data'!C211))=0),"",IF(AND(LEN('Raw Data'!C211) &lt;= 50,LEN('Raw Data'!C211)&gt; 0),"",_xlfn.REGEXEXTRACT(CELL("address",'Raw Data'!C211),"\$([A-Z]+)\$[0-9]+"))),_xlfn.REGEXEXTRACT(CELL("address",'Raw Data'!C211),"\$([A-Z]+)\$[0-9]+"))</f>
        <v/>
      </c>
      <c r="D211" s="7" t="str">
        <f t="array" aca="1" ref="D211" ca="1">IFERROR(IF(OR('Raw Data'!D211="",LEN(TRIM('Raw Data'!D211))=0),"",IF(AND(LEN('Raw Data'!D211) &lt;= 500,LEN('Raw Data'!D211)&gt; 0),"",_xlfn.REGEXEXTRACT(CELL("address",'Raw Data'!D211),"\$([A-Z]+)\$[0-9]+"))),_xlfn.REGEXEXTRACT(CELL("address",'Raw Data'!D211),"\$([A-Z]+)\$[0-9]+"))</f>
        <v/>
      </c>
      <c r="E211" s="7" t="str">
        <f t="array" aca="1" ref="E211" ca="1">IFERROR(IF(OR('Raw Data'!E211="",LEN(TRIM('Raw Data'!E211))=0),"",IF(AND(LEN('Raw Data'!E211) &lt;= 50,LEN('Raw Data'!E211)&gt; 0),"",_xlfn.REGEXEXTRACT(CELL("address",'Raw Data'!E211),"\$([A-Z]+)\$[0-9]+"))),_xlfn.REGEXEXTRACT(CELL("address",'Raw Data'!E211),"\$([A-Z]+)\$[0-9]+"))</f>
        <v/>
      </c>
      <c r="F211" s="7" t="str">
        <f t="array" aca="1" ref="F211" ca="1">IFERROR(IF(OR('Raw Data'!F211="",LEN(TRIM('Raw Data'!F211))=0),"",IF(AND(LEN('Raw Data'!F211) &lt;= 50,LEN('Raw Data'!F211)&gt; 0),"",_xlfn.REGEXEXTRACT(CELL("address",'Raw Data'!F211),"\$([A-Z]+)\$[0-9]+"))),_xlfn.REGEXEXTRACT(CELL("address",'Raw Data'!F211),"\$([A-Z]+)\$[0-9]+"))</f>
        <v/>
      </c>
      <c r="G211" s="7" t="str">
        <f t="array" aca="1" ref="G211" ca="1">IFERROR(IF(OR('Raw Data'!G211="",LEN(TRIM('Raw Data'!G211))=0),"",IF(AND(LEN('Raw Data'!G211) &lt;= 50,LEN('Raw Data'!G211)&gt; 0),"",_xlfn.REGEXEXTRACT(CELL("address",'Raw Data'!G211),"\$([A-Z]+)\$[0-9]+"))),_xlfn.REGEXEXTRACT(CELL("address",'Raw Data'!G211),"\$([A-Z]+)\$[0-9]+"))</f>
        <v/>
      </c>
      <c r="H211" s="7" t="str">
        <f t="array" aca="1" ref="H211" ca="1">IFERROR(IF(OR('Raw Data'!H211="",LEN(TRIM('Raw Data'!H211))=0),"",IF(AND(LEN('Raw Data'!H211) &lt;= 50,LEN('Raw Data'!H211)&gt; 0),"",_xlfn.REGEXEXTRACT(CELL("address",'Raw Data'!H211),"\$([A-Z]+)\$[0-9]+"))),_xlfn.REGEXEXTRACT(CELL("address",'Raw Data'!H211),"\$([A-Z]+)\$[0-9]+"))</f>
        <v/>
      </c>
      <c r="I211" s="7" t="str">
        <f t="array" aca="1" ref="I211" ca="1">IFERROR(IF(OR('Raw Data'!I211="",LEN(TRIM('Raw Data'!I211))=0),"",IF(AND(LEN('Raw Data'!I211) &lt;= 50,LEN('Raw Data'!I211)&gt; 0),"",_xlfn.REGEXEXTRACT(CELL("address",'Raw Data'!I211),"\$([A-Z]+)\$[0-9]+"))),_xlfn.REGEXEXTRACT(CELL("address",'Raw Data'!I211),"\$([A-Z]+)\$[0-9]+"))</f>
        <v/>
      </c>
      <c r="J211" s="7" t="str">
        <f t="array" aca="1" ref="J211" ca="1">IFERROR(IF(OR('Raw Data'!J211="",LEN(TRIM('Raw Data'!J211))=0),"",IF(AND(ISNUMBER('Raw Data'!J211), IFERROR('Raw Data'!J211 = ROUND('Raw Data'!J211, 2),FALSE)),"",_xlfn.REGEXEXTRACT(CELL("address",J211), "\$([A-Z]+)\$[0-9]+"))),_xlfn.REGEXEXTRACT(CELL("address",J211), "\$([A-Z]+)\$[0-9]+"))</f>
        <v/>
      </c>
      <c r="K211" s="7" t="str">
        <f t="array" aca="1" ref="K211" ca="1">IFERROR(IF(OR('Raw Data'!K211="",LEN(TRIM('Raw Data'!K211))=0),"",IF(AND(ISNUMBER('Raw Data'!K211), IFERROR('Raw Data'!K211 = ROUND('Raw Data'!K211, 2),FALSE)),"",_xlfn.REGEXEXTRACT(CELL("address",K211), "\$([A-Z]+)\$[0-9]+"))),_xlfn.REGEXEXTRACT(CELL("address",K211), "\$([A-Z]+)\$[0-9]+"))</f>
        <v/>
      </c>
      <c r="L211" s="7" t="str">
        <f t="array" aca="1" ref="L211" ca="1">IFERROR(IF(OR('Raw Data'!L211="",LEN(TRIM('Raw Data'!L211))=0),"",IF(AND(ISNUMBER('Raw Data'!L211), IFERROR('Raw Data'!L211 = ROUND('Raw Data'!L211, 2),FALSE)),"",_xlfn.REGEXEXTRACT(CELL("address",L211), "\$([A-Z]+)\$[0-9]+"))),_xlfn.REGEXEXTRACT(CELL("address",L211), "\$([A-Z]+)\$[0-9]+"))</f>
        <v/>
      </c>
      <c r="M211" s="7" t="str">
        <f t="array" aca="1" ref="M211" ca="1">IFERROR(IF(OR('Raw Data'!M211="",LEN(TRIM('Raw Data'!M211))=0),"",IF(AND(ISNUMBER('Raw Data'!M211), IFERROR('Raw Data'!M211 = ROUND('Raw Data'!M211, 2),FALSE)),"",_xlfn.REGEXEXTRACT(CELL("address",M211), "\$([A-Z]+)\$[0-9]+"))),_xlfn.REGEXEXTRACT(CELL("address",M211), "\$([A-Z]+)\$[0-9]+"))</f>
        <v/>
      </c>
      <c r="N211" s="7" t="str">
        <f t="array" aca="1" ref="N211" ca="1">IFERROR(IF(OR('Raw Data'!N211="",LEN(TRIM('Raw Data'!N211))=0),"",IF(AND(ISNUMBER('Raw Data'!N211), IFERROR('Raw Data'!N211 = ROUND('Raw Data'!N211, 2),FALSE)),"",_xlfn.REGEXEXTRACT(CELL("address",N211), "\$([A-Z]+)\$[0-9]+"))),_xlfn.REGEXEXTRACT(CELL("address",N211), "\$([A-Z]+)\$[0-9]+"))</f>
        <v/>
      </c>
      <c r="O211" s="7" t="str">
        <f t="array" aca="1" ref="O211" ca="1">IFERROR(IF(OR('Raw Data'!O211="",LEN(TRIM('Raw Data'!O211))=0),"",IF(AND(ISNUMBER('Raw Data'!O211),'Raw Data'!O211&gt;=Configuration!$D$2),"",_xlfn.REGEXEXTRACT(CELL("address",'Raw Data'!O211),"\$([A-Z]+)\$[0-9]+"))),_xlfn.REGEXEXTRACT(CELL("address",O211), "\$([A-Z]+)\$[0-9]+"))</f>
        <v/>
      </c>
      <c r="P211" s="7" t="str">
        <f t="array" aca="1" ref="P211" ca="1">IFERROR(IF(OR('Raw Data'!P211="",LEN(TRIM('Raw Data'!P211))=0),"",IF(AND(ISNUMBER('Raw Data'!P211), IFERROR('Raw Data'!P211 = ROUND('Raw Data'!P211, 2),FALSE)),"",_xlfn.REGEXEXTRACT(CELL("address",P211), "\$([A-Z]+)\$[0-9]+"))),_xlfn.REGEXEXTRACT(CELL("address",P211), "\$([A-Z]+)\$[0-9]+"))</f>
        <v/>
      </c>
      <c r="Q211" s="7" t="str">
        <f t="array" aca="1" ref="Q211" ca="1">IFERROR(IF(OR('Raw Data'!Q211="",LEN(TRIM('Raw Data'!Q211))=0),"",IF(AND(ISNUMBER('Raw Data'!Q211), IFERROR('Raw Data'!Q211 = ROUND('Raw Data'!Q211, 2),FALSE)),"",_xlfn.REGEXEXTRACT(CELL("address",Q211), "\$([A-Z]+)\$[0-9]+"))),_xlfn.REGEXEXTRACT(CELL("address",Q211), "\$([A-Z]+)\$[0-9]+"))</f>
        <v/>
      </c>
      <c r="R211" s="7" t="str">
        <f t="array" aca="1" ref="R211" ca="1">IFERROR(IF(OR('Raw Data'!R211="",LEN(TRIM('Raw Data'!R211))=0),"",IF(AND(LEN('Raw Data'!R211) &lt;= 50,LEN('Raw Data'!R211)&gt; 0),"",_xlfn.REGEXEXTRACT(CELL("address",'Raw Data'!R211),"\$([A-Z]+)\$[0-9]+"))),_xlfn.REGEXEXTRACT(CELL("address",'Raw Data'!R211),"\$([A-Z]+)\$[0-9]+"))</f>
        <v/>
      </c>
      <c r="S211" s="7" t="str">
        <f t="array" aca="1" ref="S211" ca="1">IFERROR(IF(OR('Raw Data'!S211="",LEN(TRIM('Raw Data'!S211))=0),"",IF(AND(LEN('Raw Data'!S211) &lt;= 50,LEN('Raw Data'!S211)&gt; 0),"",_xlfn.REGEXEXTRACT(CELL("address",'Raw Data'!S211),"\$([A-Z]+)\$[0-9]+"))),_xlfn.REGEXEXTRACT(CELL("address",'Raw Data'!S211),"\$([A-Z]+)\$[0-9]+"))</f>
        <v/>
      </c>
      <c r="T211" s="7" t="str">
        <f t="array" aca="1" ref="T211" ca="1">IFERROR(IF(OR('Raw Data'!T211="",LEN(TRIM('Raw Data'!T211))=0),"",IF(AND(ISNUMBER('Raw Data'!T211), IFERROR('Raw Data'!T211 = ROUND('Raw Data'!T211, 2),FALSE)),"",_xlfn.REGEXEXTRACT(CELL("address",T211), "\$([A-Z]+)\$[0-9]+"))),_xlfn.REGEXEXTRACT(CELL("address",T211), "\$([A-Z]+)\$[0-9]+"))</f>
        <v/>
      </c>
      <c r="U211" s="7" t="str">
        <f t="array" aca="1" ref="U211" ca="1">IFERROR(IF(OR('Raw Data'!U211="",LEN(TRIM('Raw Data'!U211))=0),"",IF(AND(ISNUMBER('Raw Data'!U211), IFERROR('Raw Data'!U211 = ROUND('Raw Data'!U211, 2),FALSE)),"",_xlfn.REGEXEXTRACT(CELL("address",U211), "\$([A-Z]+)\$[0-9]+"))),_xlfn.REGEXEXTRACT(CELL("address",U211), "\$([A-Z]+)\$[0-9]+"))</f>
        <v/>
      </c>
      <c r="V211" s="7" t="str">
        <f t="array" aca="1" ref="V211" ca="1">IFERROR(IF(OR('Raw Data'!V211="",LEN(TRIM('Raw Data'!V211))=0),"",IF(AND(ISNUMBER('Raw Data'!V211), IFERROR('Raw Data'!V211 = ROUND('Raw Data'!V211, 2),FALSE)),"",_xlfn.REGEXEXTRACT(CELL("address",V211), "\$([A-Z]+)\$[0-9]+"))),_xlfn.REGEXEXTRACT(CELL("address",V211), "\$([A-Z]+)\$[0-9]+"))</f>
        <v/>
      </c>
      <c r="W211" s="7" t="str">
        <f t="array" aca="1" ref="W211" ca="1">IFERROR(IF(OR('Raw Data'!W211="",LEN(TRIM('Raw Data'!W211))=0),"",IF(AND(ISNUMBER('Raw Data'!W211), IFERROR('Raw Data'!W211 = ROUND('Raw Data'!W211, 2),FALSE)),"",_xlfn.REGEXEXTRACT(CELL("address",W211), "\$([A-Z]+)\$[0-9]+"))),_xlfn.REGEXEXTRACT(CELL("address",W211), "\$([A-Z]+)\$[0-9]+"))</f>
        <v/>
      </c>
      <c r="X211" s="7" t="str">
        <f t="array" aca="1" ref="X211" ca="1">IFERROR(IF(OR('Raw Data'!X211="",LEN(TRIM('Raw Data'!X211))=0),"",IF(AND(ISNUMBER('Raw Data'!X211), IFERROR('Raw Data'!X211 = ROUND('Raw Data'!X211, 2),FALSE)),"",_xlfn.REGEXEXTRACT(CELL("address",X211), "\$([A-Z]+)\$[0-9]+"))),_xlfn.REGEXEXTRACT(CELL("address",X211), "\$([A-Z]+)\$[0-9]+"))</f>
        <v/>
      </c>
      <c r="Y211" s="7" t="str">
        <f t="array" aca="1" ref="Y211" ca="1">IFERROR(IF(OR('Raw Data'!Y211="",LEN(TRIM('Raw Data'!Y211))=0),"",IF(AND(ISNUMBER('Raw Data'!Y211), IFERROR('Raw Data'!Y211 = ROUND('Raw Data'!Y211, 2),FALSE)),"",_xlfn.REGEXEXTRACT(CELL("address",Y211), "\$([A-Z]+)\$[0-9]+"))),_xlfn.REGEXEXTRACT(CELL("address",Y211), "\$([A-Z]+)\$[0-9]+"))</f>
        <v/>
      </c>
      <c r="Z211" s="7" t="str">
        <f t="array" aca="1" ref="Z211" ca="1">IFERROR(IF(OR('Raw Data'!Z211="",LEN(TRIM('Raw Data'!Z211))=0),"",IF(AND(ISNUMBER('Raw Data'!Z211), IFERROR('Raw Data'!Z211 = ROUND('Raw Data'!Z211, 2),FALSE)),"",_xlfn.REGEXEXTRACT(CELL("address",Z211), "\$([A-Z]+)\$[0-9]+"))),_xlfn.REGEXEXTRACT(CELL("address",Z211), "\$([A-Z]+)\$[0-9]+"))</f>
        <v/>
      </c>
      <c r="AA211" s="7" t="str">
        <f t="array" aca="1" ref="AA211" ca="1">IFERROR(IF(OR('Raw Data'!AA211="",LEN(TRIM('Raw Data'!AA211))=0),"",IF(AND(ISNUMBER('Raw Data'!AA211), IFERROR('Raw Data'!AA211 = ROUND('Raw Data'!AA211, 2),FALSE)),"",_xlfn.REGEXEXTRACT(CELL("address",AA211), "\$([A-Z]+)\$[0-9]+"))),_xlfn.REGEXEXTRACT(CELL("address",AA211), "\$([A-Z]+)\$[0-9]+"))</f>
        <v/>
      </c>
      <c r="AB211" s="7" t="str">
        <f t="array" aca="1" ref="AB211" ca="1">IFERROR(IF(OR('Raw Data'!AB211="",LEN(TRIM('Raw Data'!AB211))=0),"",IF(AND(ISNUMBER('Raw Data'!AB211), IFERROR('Raw Data'!AB211 = ROUND('Raw Data'!AB211, 2),FALSE)),"",_xlfn.REGEXEXTRACT(CELL("address",AB211), "\$([A-Z]+)\$[0-9]+"))),_xlfn.REGEXEXTRACT(CELL("address",AB211), "\$([A-Z]+)\$[0-9]+"))</f>
        <v/>
      </c>
      <c r="AC211" s="7" t="str">
        <f t="array" aca="1" ref="AC211" ca="1">IFERROR(IF(OR('Raw Data'!AC211="",LEN(TRIM('Raw Data'!AC211))=0),"",IF(AND(ISNUMBER('Raw Data'!AC211), IFERROR('Raw Data'!AC211 = ROUND('Raw Data'!AC211, 2),FALSE)),"",_xlfn.REGEXEXTRACT(CELL("address",AC211), "\$([A-Z]+)\$[0-9]+"))),_xlfn.REGEXEXTRACT(CELL("address",AC211), "\$([A-Z]+)\$[0-9]+"))</f>
        <v/>
      </c>
      <c r="AD211" s="7" t="str">
        <f t="array" aca="1" ref="AD211" ca="1">IFERROR(IF(OR('Raw Data'!AD211="",LEN(TRIM('Raw Data'!AD211))=0),"",IF(AND(ISNUMBER('Raw Data'!AD211), IFERROR('Raw Data'!AD211 = ROUND('Raw Data'!AD211, 2),FALSE)),"",_xlfn.REGEXEXTRACT(CELL("address",AD211), "\$([A-Z]+)\$[0-9]+"))),_xlfn.REGEXEXTRACT(CELL("address",AD211), "\$([A-Z]+)\$[0-9]+"))</f>
        <v/>
      </c>
      <c r="AE211" s="7" t="str">
        <f t="array" aca="1" ref="AE211" ca="1">IFERROR(IF(OR('Raw Data'!AE211="",LEN(TRIM('Raw Data'!AE211))=0),"",IF(AND(ISNUMBER('Raw Data'!AE211), IFERROR('Raw Data'!AE211 = ROUND('Raw Data'!AE211, 2),FALSE)),"",_xlfn.REGEXEXTRACT(CELL("address",AE211), "\$([A-Z]+)\$[0-9]+"))),_xlfn.REGEXEXTRACT(CELL("address",AE211), "\$([A-Z]+)\$[0-9]+"))</f>
        <v/>
      </c>
      <c r="AF211" s="7" t="str">
        <f t="array" aca="1" ref="AF211" ca="1">IFERROR(IF(OR('Raw Data'!AF211="",LEN(TRIM('Raw Data'!AF211))=0),"",IF(AND(ISNUMBER('Raw Data'!AF211), IFERROR('Raw Data'!AF211 = ROUND('Raw Data'!AF211, 2),FALSE)),"",_xlfn.REGEXEXTRACT(CELL("address",AF211), "\$([A-Z]+)\$[0-9]+"))),_xlfn.REGEXEXTRACT(CELL("address",AF211), "\$([A-Z]+)\$[0-9]+"))</f>
        <v/>
      </c>
      <c r="AG211" s="7" t="str">
        <f t="array" aca="1" ref="AG211" ca="1">IFERROR(IF(OR('Raw Data'!AG211="",LEN(TRIM('Raw Data'!AG211))=0),"",IF(AND(ISNUMBER('Raw Data'!AG211), IFERROR('Raw Data'!AG211 = ROUND('Raw Data'!AG211, 2),FALSE)),"",_xlfn.REGEXEXTRACT(CELL("address",AG211), "\$([A-Z]+)\$[0-9]+"))),_xlfn.REGEXEXTRACT(CELL("address",AG211), "\$([A-Z]+)\$[0-9]+"))</f>
        <v/>
      </c>
      <c r="AH211" s="7" t="str">
        <f t="array" aca="1" ref="AH211" ca="1">IFERROR(IF(OR('Raw Data'!AH211="",LEN(TRIM('Raw Data'!AH211))=0),"",IF(AND(ISNUMBER('Raw Data'!AH211), IFERROR('Raw Data'!AH211 = ROUND('Raw Data'!AH211, 2),FALSE)),"",_xlfn.REGEXEXTRACT(CELL("address",AH211), "\$([A-Z]+)\$[0-9]+"))),_xlfn.REGEXEXTRACT(CELL("address",AH211), "\$([A-Z]+)\$[0-9]+"))</f>
        <v/>
      </c>
      <c r="AI211" s="7" t="str">
        <f t="array" aca="1" ref="AI211" ca="1">IFERROR(IF(OR('Raw Data'!AI211="",LEN(TRIM('Raw Data'!AI211))=0),"",IF(AND(ISNUMBER('Raw Data'!AI211), IFERROR('Raw Data'!AI211 = ROUND('Raw Data'!AI211, 2),FALSE)),"",_xlfn.REGEXEXTRACT(CELL("address",AI211), "\$([A-Z]+)\$[0-9]+"))),_xlfn.REGEXEXTRACT(CELL("address",AI211), "\$([A-Z]+)\$[0-9]+"))</f>
        <v/>
      </c>
      <c r="AJ211" s="7" t="str">
        <f t="array" aca="1" ref="AJ211" ca="1">IFERROR(IF(OR('Raw Data'!AJ211="",LEN(TRIM('Raw Data'!AJ211))=0),"",IF(AND(ISNUMBER('Raw Data'!AJ211), IFERROR('Raw Data'!AJ211 = ROUND('Raw Data'!AJ211, 4),FALSE)),"",_xlfn.REGEXEXTRACT(CELL("address",AJ211), "\$([A-Z]+)\$[0-9]+"))),_xlfn.REGEXEXTRACT(CELL("address",AJ211), "\$([A-Z]+)\$[0-9]+"))</f>
        <v/>
      </c>
      <c r="AK211" s="7" t="str">
        <f t="array" aca="1" ref="AK211" ca="1">IFERROR(IF(OR('Raw Data'!AK211="",LEN(TRIM('Raw Data'!AK211))=0),"",IF(AND(ISNUMBER('Raw Data'!AK211), IFERROR('Raw Data'!AK211 = ROUND('Raw Data'!AK211, 2),FALSE)),"",_xlfn.REGEXEXTRACT(CELL("address",AK211), "\$([A-Z]+)\$[0-9]+"))),_xlfn.REGEXEXTRACT(CELL("address",AK211), "\$([A-Z]+)\$[0-9]+"))</f>
        <v/>
      </c>
      <c r="AL211" s="7" t="str">
        <f t="array" aca="1" ref="AL211" ca="1">IFERROR(IF(OR('Raw Data'!AL211="",LEN(TRIM('Raw Data'!AL211))=0),"",IF(AND(ISNUMBER('Raw Data'!AL211), IFERROR('Raw Data'!AL211 = ROUND('Raw Data'!AL211, 2),FALSE)),"",_xlfn.REGEXEXTRACT(CELL("address",AL211), "\$([A-Z]+)\$[0-9]+"))),_xlfn.REGEXEXTRACT(CELL("address",AL211), "\$([A-Z]+)\$[0-9]+"))</f>
        <v/>
      </c>
      <c r="AM211" s="7" t="str">
        <f t="array" aca="1" ref="AM211" ca="1">IFERROR(IF(OR('Raw Data'!AM211="",LEN(TRIM('Raw Data'!AM211))=0),"",IF(AND(ISNUMBER('Raw Data'!AM211), IFERROR('Raw Data'!AM211 = ROUND('Raw Data'!AM211, 2),FALSE)),"",_xlfn.REGEXEXTRACT(CELL("address",AM211), "\$([A-Z]+)\$[0-9]+"))),_xlfn.REGEXEXTRACT(CELL("address",AM211), "\$([A-Z]+)\$[0-9]+"))</f>
        <v/>
      </c>
      <c r="AN211" s="7" t="str">
        <f t="array" aca="1" ref="AN211" ca="1">IFERROR(IF(OR('Raw Data'!AN211="",LEN(TRIM('Raw Data'!AN211))=0),"",IF(AND(ISNUMBER('Raw Data'!AN211), IFERROR('Raw Data'!AN211 = ROUND('Raw Data'!AN211, 2),FALSE)),"",_xlfn.REGEXEXTRACT(CELL("address",AN211), "\$([A-Z]+)\$[0-9]+"))),_xlfn.REGEXEXTRACT(CELL("address",AN211), "\$([A-Z]+)\$[0-9]+"))</f>
        <v/>
      </c>
      <c r="AO211" s="7" t="str">
        <f t="array" aca="1" ref="AO211" ca="1">IFERROR(IF(OR('Raw Data'!AO211="",LEN(TRIM('Raw Data'!AO211))=0),"",IF(AND(ISNUMBER('Raw Data'!AO211), IFERROR('Raw Data'!AO211 = ROUND('Raw Data'!AO211, 2),FALSE)),"",_xlfn.REGEXEXTRACT(CELL("address",AO211), "\$([A-Z]+)\$[0-9]+"))),_xlfn.REGEXEXTRACT(CELL("address",AO211), "\$([A-Z]+)\$[0-9]+"))</f>
        <v/>
      </c>
      <c r="AP211" s="7" t="str">
        <f t="array" aca="1" ref="AP211" ca="1">IFERROR(IF(OR('Raw Data'!AP211="",LEN(TRIM('Raw Data'!AP211))=0),"",IF(AND(ISNUMBER('Raw Data'!AP211), IFERROR('Raw Data'!AP211 = ROUND('Raw Data'!AP211, 2),FALSE)),"",_xlfn.REGEXEXTRACT(CELL("address",AP211), "\$([A-Z]+)\$[0-9]+"))),_xlfn.REGEXEXTRACT(CELL("address",AP211), "\$([A-Z]+)\$[0-9]+"))</f>
        <v/>
      </c>
    </row>
    <row r="212" spans="2:42" x14ac:dyDescent="0.25">
      <c r="B212" s="7" t="str">
        <f t="array" aca="1" ref="B212" ca="1">IFERROR(IF(OR('Raw Data'!B212="",LEN(TRIM('Raw Data'!B212))=0),"",IF(AND(LEN('Raw Data'!B212) &lt;= 255,LEN('Raw Data'!B212)&gt; 0),"",_xlfn.REGEXEXTRACT(CELL("address",'Raw Data'!B212),"\$([A-Z]+)\$[0-9]+"))),_xlfn.REGEXEXTRACT(CELL("address",'Raw Data'!B212),"\$([A-Z]+)\$[0-9]+"))</f>
        <v/>
      </c>
      <c r="C212" s="7" t="str">
        <f t="array" aca="1" ref="C212" ca="1">IFERROR(IF(OR('Raw Data'!C212="",LEN(TRIM('Raw Data'!C212))=0),"",IF(AND(LEN('Raw Data'!C212) &lt;= 50,LEN('Raw Data'!C212)&gt; 0),"",_xlfn.REGEXEXTRACT(CELL("address",'Raw Data'!C212),"\$([A-Z]+)\$[0-9]+"))),_xlfn.REGEXEXTRACT(CELL("address",'Raw Data'!C212),"\$([A-Z]+)\$[0-9]+"))</f>
        <v/>
      </c>
      <c r="D212" s="7" t="str">
        <f t="array" aca="1" ref="D212" ca="1">IFERROR(IF(OR('Raw Data'!D212="",LEN(TRIM('Raw Data'!D212))=0),"",IF(AND(LEN('Raw Data'!D212) &lt;= 500,LEN('Raw Data'!D212)&gt; 0),"",_xlfn.REGEXEXTRACT(CELL("address",'Raw Data'!D212),"\$([A-Z]+)\$[0-9]+"))),_xlfn.REGEXEXTRACT(CELL("address",'Raw Data'!D212),"\$([A-Z]+)\$[0-9]+"))</f>
        <v/>
      </c>
      <c r="E212" s="7" t="str">
        <f t="array" aca="1" ref="E212" ca="1">IFERROR(IF(OR('Raw Data'!E212="",LEN(TRIM('Raw Data'!E212))=0),"",IF(AND(LEN('Raw Data'!E212) &lt;= 50,LEN('Raw Data'!E212)&gt; 0),"",_xlfn.REGEXEXTRACT(CELL("address",'Raw Data'!E212),"\$([A-Z]+)\$[0-9]+"))),_xlfn.REGEXEXTRACT(CELL("address",'Raw Data'!E212),"\$([A-Z]+)\$[0-9]+"))</f>
        <v/>
      </c>
      <c r="F212" s="7" t="str">
        <f t="array" aca="1" ref="F212" ca="1">IFERROR(IF(OR('Raw Data'!F212="",LEN(TRIM('Raw Data'!F212))=0),"",IF(AND(LEN('Raw Data'!F212) &lt;= 50,LEN('Raw Data'!F212)&gt; 0),"",_xlfn.REGEXEXTRACT(CELL("address",'Raw Data'!F212),"\$([A-Z]+)\$[0-9]+"))),_xlfn.REGEXEXTRACT(CELL("address",'Raw Data'!F212),"\$([A-Z]+)\$[0-9]+"))</f>
        <v/>
      </c>
      <c r="G212" s="7" t="str">
        <f t="array" aca="1" ref="G212" ca="1">IFERROR(IF(OR('Raw Data'!G212="",LEN(TRIM('Raw Data'!G212))=0),"",IF(AND(LEN('Raw Data'!G212) &lt;= 50,LEN('Raw Data'!G212)&gt; 0),"",_xlfn.REGEXEXTRACT(CELL("address",'Raw Data'!G212),"\$([A-Z]+)\$[0-9]+"))),_xlfn.REGEXEXTRACT(CELL("address",'Raw Data'!G212),"\$([A-Z]+)\$[0-9]+"))</f>
        <v/>
      </c>
      <c r="H212" s="7" t="str">
        <f t="array" aca="1" ref="H212" ca="1">IFERROR(IF(OR('Raw Data'!H212="",LEN(TRIM('Raw Data'!H212))=0),"",IF(AND(LEN('Raw Data'!H212) &lt;= 50,LEN('Raw Data'!H212)&gt; 0),"",_xlfn.REGEXEXTRACT(CELL("address",'Raw Data'!H212),"\$([A-Z]+)\$[0-9]+"))),_xlfn.REGEXEXTRACT(CELL("address",'Raw Data'!H212),"\$([A-Z]+)\$[0-9]+"))</f>
        <v/>
      </c>
      <c r="I212" s="7" t="str">
        <f t="array" aca="1" ref="I212" ca="1">IFERROR(IF(OR('Raw Data'!I212="",LEN(TRIM('Raw Data'!I212))=0),"",IF(AND(LEN('Raw Data'!I212) &lt;= 50,LEN('Raw Data'!I212)&gt; 0),"",_xlfn.REGEXEXTRACT(CELL("address",'Raw Data'!I212),"\$([A-Z]+)\$[0-9]+"))),_xlfn.REGEXEXTRACT(CELL("address",'Raw Data'!I212),"\$([A-Z]+)\$[0-9]+"))</f>
        <v/>
      </c>
      <c r="J212" s="7" t="str">
        <f t="array" aca="1" ref="J212" ca="1">IFERROR(IF(OR('Raw Data'!J212="",LEN(TRIM('Raw Data'!J212))=0),"",IF(AND(ISNUMBER('Raw Data'!J212), IFERROR('Raw Data'!J212 = ROUND('Raw Data'!J212, 2),FALSE)),"",_xlfn.REGEXEXTRACT(CELL("address",J212), "\$([A-Z]+)\$[0-9]+"))),_xlfn.REGEXEXTRACT(CELL("address",J212), "\$([A-Z]+)\$[0-9]+"))</f>
        <v/>
      </c>
      <c r="K212" s="7" t="str">
        <f t="array" aca="1" ref="K212" ca="1">IFERROR(IF(OR('Raw Data'!K212="",LEN(TRIM('Raw Data'!K212))=0),"",IF(AND(ISNUMBER('Raw Data'!K212), IFERROR('Raw Data'!K212 = ROUND('Raw Data'!K212, 2),FALSE)),"",_xlfn.REGEXEXTRACT(CELL("address",K212), "\$([A-Z]+)\$[0-9]+"))),_xlfn.REGEXEXTRACT(CELL("address",K212), "\$([A-Z]+)\$[0-9]+"))</f>
        <v/>
      </c>
      <c r="L212" s="7" t="str">
        <f t="array" aca="1" ref="L212" ca="1">IFERROR(IF(OR('Raw Data'!L212="",LEN(TRIM('Raw Data'!L212))=0),"",IF(AND(ISNUMBER('Raw Data'!L212), IFERROR('Raw Data'!L212 = ROUND('Raw Data'!L212, 2),FALSE)),"",_xlfn.REGEXEXTRACT(CELL("address",L212), "\$([A-Z]+)\$[0-9]+"))),_xlfn.REGEXEXTRACT(CELL("address",L212), "\$([A-Z]+)\$[0-9]+"))</f>
        <v/>
      </c>
      <c r="M212" s="7" t="str">
        <f t="array" aca="1" ref="M212" ca="1">IFERROR(IF(OR('Raw Data'!M212="",LEN(TRIM('Raw Data'!M212))=0),"",IF(AND(ISNUMBER('Raw Data'!M212), IFERROR('Raw Data'!M212 = ROUND('Raw Data'!M212, 2),FALSE)),"",_xlfn.REGEXEXTRACT(CELL("address",M212), "\$([A-Z]+)\$[0-9]+"))),_xlfn.REGEXEXTRACT(CELL("address",M212), "\$([A-Z]+)\$[0-9]+"))</f>
        <v/>
      </c>
      <c r="N212" s="7" t="str">
        <f t="array" aca="1" ref="N212" ca="1">IFERROR(IF(OR('Raw Data'!N212="",LEN(TRIM('Raw Data'!N212))=0),"",IF(AND(ISNUMBER('Raw Data'!N212), IFERROR('Raw Data'!N212 = ROUND('Raw Data'!N212, 2),FALSE)),"",_xlfn.REGEXEXTRACT(CELL("address",N212), "\$([A-Z]+)\$[0-9]+"))),_xlfn.REGEXEXTRACT(CELL("address",N212), "\$([A-Z]+)\$[0-9]+"))</f>
        <v/>
      </c>
      <c r="O212" s="7" t="str">
        <f t="array" aca="1" ref="O212" ca="1">IFERROR(IF(OR('Raw Data'!O212="",LEN(TRIM('Raw Data'!O212))=0),"",IF(AND(ISNUMBER('Raw Data'!O212),'Raw Data'!O212&gt;=Configuration!$D$2),"",_xlfn.REGEXEXTRACT(CELL("address",'Raw Data'!O212),"\$([A-Z]+)\$[0-9]+"))),_xlfn.REGEXEXTRACT(CELL("address",O212), "\$([A-Z]+)\$[0-9]+"))</f>
        <v/>
      </c>
      <c r="P212" s="7" t="str">
        <f t="array" aca="1" ref="P212" ca="1">IFERROR(IF(OR('Raw Data'!P212="",LEN(TRIM('Raw Data'!P212))=0),"",IF(AND(ISNUMBER('Raw Data'!P212), IFERROR('Raw Data'!P212 = ROUND('Raw Data'!P212, 2),FALSE)),"",_xlfn.REGEXEXTRACT(CELL("address",P212), "\$([A-Z]+)\$[0-9]+"))),_xlfn.REGEXEXTRACT(CELL("address",P212), "\$([A-Z]+)\$[0-9]+"))</f>
        <v/>
      </c>
      <c r="Q212" s="7" t="str">
        <f t="array" aca="1" ref="Q212" ca="1">IFERROR(IF(OR('Raw Data'!Q212="",LEN(TRIM('Raw Data'!Q212))=0),"",IF(AND(ISNUMBER('Raw Data'!Q212), IFERROR('Raw Data'!Q212 = ROUND('Raw Data'!Q212, 2),FALSE)),"",_xlfn.REGEXEXTRACT(CELL("address",Q212), "\$([A-Z]+)\$[0-9]+"))),_xlfn.REGEXEXTRACT(CELL("address",Q212), "\$([A-Z]+)\$[0-9]+"))</f>
        <v/>
      </c>
      <c r="R212" s="7" t="str">
        <f t="array" aca="1" ref="R212" ca="1">IFERROR(IF(OR('Raw Data'!R212="",LEN(TRIM('Raw Data'!R212))=0),"",IF(AND(LEN('Raw Data'!R212) &lt;= 50,LEN('Raw Data'!R212)&gt; 0),"",_xlfn.REGEXEXTRACT(CELL("address",'Raw Data'!R212),"\$([A-Z]+)\$[0-9]+"))),_xlfn.REGEXEXTRACT(CELL("address",'Raw Data'!R212),"\$([A-Z]+)\$[0-9]+"))</f>
        <v/>
      </c>
      <c r="S212" s="7" t="str">
        <f t="array" aca="1" ref="S212" ca="1">IFERROR(IF(OR('Raw Data'!S212="",LEN(TRIM('Raw Data'!S212))=0),"",IF(AND(LEN('Raw Data'!S212) &lt;= 50,LEN('Raw Data'!S212)&gt; 0),"",_xlfn.REGEXEXTRACT(CELL("address",'Raw Data'!S212),"\$([A-Z]+)\$[0-9]+"))),_xlfn.REGEXEXTRACT(CELL("address",'Raw Data'!S212),"\$([A-Z]+)\$[0-9]+"))</f>
        <v/>
      </c>
      <c r="T212" s="7" t="str">
        <f t="array" aca="1" ref="T212" ca="1">IFERROR(IF(OR('Raw Data'!T212="",LEN(TRIM('Raw Data'!T212))=0),"",IF(AND(ISNUMBER('Raw Data'!T212), IFERROR('Raw Data'!T212 = ROUND('Raw Data'!T212, 2),FALSE)),"",_xlfn.REGEXEXTRACT(CELL("address",T212), "\$([A-Z]+)\$[0-9]+"))),_xlfn.REGEXEXTRACT(CELL("address",T212), "\$([A-Z]+)\$[0-9]+"))</f>
        <v/>
      </c>
      <c r="U212" s="7" t="str">
        <f t="array" aca="1" ref="U212" ca="1">IFERROR(IF(OR('Raw Data'!U212="",LEN(TRIM('Raw Data'!U212))=0),"",IF(AND(ISNUMBER('Raw Data'!U212), IFERROR('Raw Data'!U212 = ROUND('Raw Data'!U212, 2),FALSE)),"",_xlfn.REGEXEXTRACT(CELL("address",U212), "\$([A-Z]+)\$[0-9]+"))),_xlfn.REGEXEXTRACT(CELL("address",U212), "\$([A-Z]+)\$[0-9]+"))</f>
        <v/>
      </c>
      <c r="V212" s="7" t="str">
        <f t="array" aca="1" ref="V212" ca="1">IFERROR(IF(OR('Raw Data'!V212="",LEN(TRIM('Raw Data'!V212))=0),"",IF(AND(ISNUMBER('Raw Data'!V212), IFERROR('Raw Data'!V212 = ROUND('Raw Data'!V212, 2),FALSE)),"",_xlfn.REGEXEXTRACT(CELL("address",V212), "\$([A-Z]+)\$[0-9]+"))),_xlfn.REGEXEXTRACT(CELL("address",V212), "\$([A-Z]+)\$[0-9]+"))</f>
        <v/>
      </c>
      <c r="W212" s="7" t="str">
        <f t="array" aca="1" ref="W212" ca="1">IFERROR(IF(OR('Raw Data'!W212="",LEN(TRIM('Raw Data'!W212))=0),"",IF(AND(ISNUMBER('Raw Data'!W212), IFERROR('Raw Data'!W212 = ROUND('Raw Data'!W212, 2),FALSE)),"",_xlfn.REGEXEXTRACT(CELL("address",W212), "\$([A-Z]+)\$[0-9]+"))),_xlfn.REGEXEXTRACT(CELL("address",W212), "\$([A-Z]+)\$[0-9]+"))</f>
        <v/>
      </c>
      <c r="X212" s="7" t="str">
        <f t="array" aca="1" ref="X212" ca="1">IFERROR(IF(OR('Raw Data'!X212="",LEN(TRIM('Raw Data'!X212))=0),"",IF(AND(ISNUMBER('Raw Data'!X212), IFERROR('Raw Data'!X212 = ROUND('Raw Data'!X212, 2),FALSE)),"",_xlfn.REGEXEXTRACT(CELL("address",X212), "\$([A-Z]+)\$[0-9]+"))),_xlfn.REGEXEXTRACT(CELL("address",X212), "\$([A-Z]+)\$[0-9]+"))</f>
        <v/>
      </c>
      <c r="Y212" s="7" t="str">
        <f t="array" aca="1" ref="Y212" ca="1">IFERROR(IF(OR('Raw Data'!Y212="",LEN(TRIM('Raw Data'!Y212))=0),"",IF(AND(ISNUMBER('Raw Data'!Y212), IFERROR('Raw Data'!Y212 = ROUND('Raw Data'!Y212, 2),FALSE)),"",_xlfn.REGEXEXTRACT(CELL("address",Y212), "\$([A-Z]+)\$[0-9]+"))),_xlfn.REGEXEXTRACT(CELL("address",Y212), "\$([A-Z]+)\$[0-9]+"))</f>
        <v/>
      </c>
      <c r="Z212" s="7" t="str">
        <f t="array" aca="1" ref="Z212" ca="1">IFERROR(IF(OR('Raw Data'!Z212="",LEN(TRIM('Raw Data'!Z212))=0),"",IF(AND(ISNUMBER('Raw Data'!Z212), IFERROR('Raw Data'!Z212 = ROUND('Raw Data'!Z212, 2),FALSE)),"",_xlfn.REGEXEXTRACT(CELL("address",Z212), "\$([A-Z]+)\$[0-9]+"))),_xlfn.REGEXEXTRACT(CELL("address",Z212), "\$([A-Z]+)\$[0-9]+"))</f>
        <v/>
      </c>
      <c r="AA212" s="7" t="str">
        <f t="array" aca="1" ref="AA212" ca="1">IFERROR(IF(OR('Raw Data'!AA212="",LEN(TRIM('Raw Data'!AA212))=0),"",IF(AND(ISNUMBER('Raw Data'!AA212), IFERROR('Raw Data'!AA212 = ROUND('Raw Data'!AA212, 2),FALSE)),"",_xlfn.REGEXEXTRACT(CELL("address",AA212), "\$([A-Z]+)\$[0-9]+"))),_xlfn.REGEXEXTRACT(CELL("address",AA212), "\$([A-Z]+)\$[0-9]+"))</f>
        <v/>
      </c>
      <c r="AB212" s="7" t="str">
        <f t="array" aca="1" ref="AB212" ca="1">IFERROR(IF(OR('Raw Data'!AB212="",LEN(TRIM('Raw Data'!AB212))=0),"",IF(AND(ISNUMBER('Raw Data'!AB212), IFERROR('Raw Data'!AB212 = ROUND('Raw Data'!AB212, 2),FALSE)),"",_xlfn.REGEXEXTRACT(CELL("address",AB212), "\$([A-Z]+)\$[0-9]+"))),_xlfn.REGEXEXTRACT(CELL("address",AB212), "\$([A-Z]+)\$[0-9]+"))</f>
        <v/>
      </c>
      <c r="AC212" s="7" t="str">
        <f t="array" aca="1" ref="AC212" ca="1">IFERROR(IF(OR('Raw Data'!AC212="",LEN(TRIM('Raw Data'!AC212))=0),"",IF(AND(ISNUMBER('Raw Data'!AC212), IFERROR('Raw Data'!AC212 = ROUND('Raw Data'!AC212, 2),FALSE)),"",_xlfn.REGEXEXTRACT(CELL("address",AC212), "\$([A-Z]+)\$[0-9]+"))),_xlfn.REGEXEXTRACT(CELL("address",AC212), "\$([A-Z]+)\$[0-9]+"))</f>
        <v/>
      </c>
      <c r="AD212" s="7" t="str">
        <f t="array" aca="1" ref="AD212" ca="1">IFERROR(IF(OR('Raw Data'!AD212="",LEN(TRIM('Raw Data'!AD212))=0),"",IF(AND(ISNUMBER('Raw Data'!AD212), IFERROR('Raw Data'!AD212 = ROUND('Raw Data'!AD212, 2),FALSE)),"",_xlfn.REGEXEXTRACT(CELL("address",AD212), "\$([A-Z]+)\$[0-9]+"))),_xlfn.REGEXEXTRACT(CELL("address",AD212), "\$([A-Z]+)\$[0-9]+"))</f>
        <v/>
      </c>
      <c r="AE212" s="7" t="str">
        <f t="array" aca="1" ref="AE212" ca="1">IFERROR(IF(OR('Raw Data'!AE212="",LEN(TRIM('Raw Data'!AE212))=0),"",IF(AND(ISNUMBER('Raw Data'!AE212), IFERROR('Raw Data'!AE212 = ROUND('Raw Data'!AE212, 2),FALSE)),"",_xlfn.REGEXEXTRACT(CELL("address",AE212), "\$([A-Z]+)\$[0-9]+"))),_xlfn.REGEXEXTRACT(CELL("address",AE212), "\$([A-Z]+)\$[0-9]+"))</f>
        <v/>
      </c>
      <c r="AF212" s="7" t="str">
        <f t="array" aca="1" ref="AF212" ca="1">IFERROR(IF(OR('Raw Data'!AF212="",LEN(TRIM('Raw Data'!AF212))=0),"",IF(AND(ISNUMBER('Raw Data'!AF212), IFERROR('Raw Data'!AF212 = ROUND('Raw Data'!AF212, 2),FALSE)),"",_xlfn.REGEXEXTRACT(CELL("address",AF212), "\$([A-Z]+)\$[0-9]+"))),_xlfn.REGEXEXTRACT(CELL("address",AF212), "\$([A-Z]+)\$[0-9]+"))</f>
        <v/>
      </c>
      <c r="AG212" s="7" t="str">
        <f t="array" aca="1" ref="AG212" ca="1">IFERROR(IF(OR('Raw Data'!AG212="",LEN(TRIM('Raw Data'!AG212))=0),"",IF(AND(ISNUMBER('Raw Data'!AG212), IFERROR('Raw Data'!AG212 = ROUND('Raw Data'!AG212, 2),FALSE)),"",_xlfn.REGEXEXTRACT(CELL("address",AG212), "\$([A-Z]+)\$[0-9]+"))),_xlfn.REGEXEXTRACT(CELL("address",AG212), "\$([A-Z]+)\$[0-9]+"))</f>
        <v/>
      </c>
      <c r="AH212" s="7" t="str">
        <f t="array" aca="1" ref="AH212" ca="1">IFERROR(IF(OR('Raw Data'!AH212="",LEN(TRIM('Raw Data'!AH212))=0),"",IF(AND(ISNUMBER('Raw Data'!AH212), IFERROR('Raw Data'!AH212 = ROUND('Raw Data'!AH212, 2),FALSE)),"",_xlfn.REGEXEXTRACT(CELL("address",AH212), "\$([A-Z]+)\$[0-9]+"))),_xlfn.REGEXEXTRACT(CELL("address",AH212), "\$([A-Z]+)\$[0-9]+"))</f>
        <v/>
      </c>
      <c r="AI212" s="7" t="str">
        <f t="array" aca="1" ref="AI212" ca="1">IFERROR(IF(OR('Raw Data'!AI212="",LEN(TRIM('Raw Data'!AI212))=0),"",IF(AND(ISNUMBER('Raw Data'!AI212), IFERROR('Raw Data'!AI212 = ROUND('Raw Data'!AI212, 2),FALSE)),"",_xlfn.REGEXEXTRACT(CELL("address",AI212), "\$([A-Z]+)\$[0-9]+"))),_xlfn.REGEXEXTRACT(CELL("address",AI212), "\$([A-Z]+)\$[0-9]+"))</f>
        <v/>
      </c>
      <c r="AJ212" s="7" t="str">
        <f t="array" aca="1" ref="AJ212" ca="1">IFERROR(IF(OR('Raw Data'!AJ212="",LEN(TRIM('Raw Data'!AJ212))=0),"",IF(AND(ISNUMBER('Raw Data'!AJ212), IFERROR('Raw Data'!AJ212 = ROUND('Raw Data'!AJ212, 4),FALSE)),"",_xlfn.REGEXEXTRACT(CELL("address",AJ212), "\$([A-Z]+)\$[0-9]+"))),_xlfn.REGEXEXTRACT(CELL("address",AJ212), "\$([A-Z]+)\$[0-9]+"))</f>
        <v/>
      </c>
      <c r="AK212" s="7" t="str">
        <f t="array" aca="1" ref="AK212" ca="1">IFERROR(IF(OR('Raw Data'!AK212="",LEN(TRIM('Raw Data'!AK212))=0),"",IF(AND(ISNUMBER('Raw Data'!AK212), IFERROR('Raw Data'!AK212 = ROUND('Raw Data'!AK212, 2),FALSE)),"",_xlfn.REGEXEXTRACT(CELL("address",AK212), "\$([A-Z]+)\$[0-9]+"))),_xlfn.REGEXEXTRACT(CELL("address",AK212), "\$([A-Z]+)\$[0-9]+"))</f>
        <v/>
      </c>
      <c r="AL212" s="7" t="str">
        <f t="array" aca="1" ref="AL212" ca="1">IFERROR(IF(OR('Raw Data'!AL212="",LEN(TRIM('Raw Data'!AL212))=0),"",IF(AND(ISNUMBER('Raw Data'!AL212), IFERROR('Raw Data'!AL212 = ROUND('Raw Data'!AL212, 2),FALSE)),"",_xlfn.REGEXEXTRACT(CELL("address",AL212), "\$([A-Z]+)\$[0-9]+"))),_xlfn.REGEXEXTRACT(CELL("address",AL212), "\$([A-Z]+)\$[0-9]+"))</f>
        <v/>
      </c>
      <c r="AM212" s="7" t="str">
        <f t="array" aca="1" ref="AM212" ca="1">IFERROR(IF(OR('Raw Data'!AM212="",LEN(TRIM('Raw Data'!AM212))=0),"",IF(AND(ISNUMBER('Raw Data'!AM212), IFERROR('Raw Data'!AM212 = ROUND('Raw Data'!AM212, 2),FALSE)),"",_xlfn.REGEXEXTRACT(CELL("address",AM212), "\$([A-Z]+)\$[0-9]+"))),_xlfn.REGEXEXTRACT(CELL("address",AM212), "\$([A-Z]+)\$[0-9]+"))</f>
        <v/>
      </c>
      <c r="AN212" s="7" t="str">
        <f t="array" aca="1" ref="AN212" ca="1">IFERROR(IF(OR('Raw Data'!AN212="",LEN(TRIM('Raw Data'!AN212))=0),"",IF(AND(ISNUMBER('Raw Data'!AN212), IFERROR('Raw Data'!AN212 = ROUND('Raw Data'!AN212, 2),FALSE)),"",_xlfn.REGEXEXTRACT(CELL("address",AN212), "\$([A-Z]+)\$[0-9]+"))),_xlfn.REGEXEXTRACT(CELL("address",AN212), "\$([A-Z]+)\$[0-9]+"))</f>
        <v/>
      </c>
      <c r="AO212" s="7" t="str">
        <f t="array" aca="1" ref="AO212" ca="1">IFERROR(IF(OR('Raw Data'!AO212="",LEN(TRIM('Raw Data'!AO212))=0),"",IF(AND(ISNUMBER('Raw Data'!AO212), IFERROR('Raw Data'!AO212 = ROUND('Raw Data'!AO212, 2),FALSE)),"",_xlfn.REGEXEXTRACT(CELL("address",AO212), "\$([A-Z]+)\$[0-9]+"))),_xlfn.REGEXEXTRACT(CELL("address",AO212), "\$([A-Z]+)\$[0-9]+"))</f>
        <v/>
      </c>
      <c r="AP212" s="7" t="str">
        <f t="array" aca="1" ref="AP212" ca="1">IFERROR(IF(OR('Raw Data'!AP212="",LEN(TRIM('Raw Data'!AP212))=0),"",IF(AND(ISNUMBER('Raw Data'!AP212), IFERROR('Raw Data'!AP212 = ROUND('Raw Data'!AP212, 2),FALSE)),"",_xlfn.REGEXEXTRACT(CELL("address",AP212), "\$([A-Z]+)\$[0-9]+"))),_xlfn.REGEXEXTRACT(CELL("address",AP212), "\$([A-Z]+)\$[0-9]+"))</f>
        <v/>
      </c>
    </row>
    <row r="213" spans="2:42" x14ac:dyDescent="0.25">
      <c r="B213" s="7" t="str">
        <f t="array" aca="1" ref="B213" ca="1">IFERROR(IF(OR('Raw Data'!B213="",LEN(TRIM('Raw Data'!B213))=0),"",IF(AND(LEN('Raw Data'!B213) &lt;= 255,LEN('Raw Data'!B213)&gt; 0),"",_xlfn.REGEXEXTRACT(CELL("address",'Raw Data'!B213),"\$([A-Z]+)\$[0-9]+"))),_xlfn.REGEXEXTRACT(CELL("address",'Raw Data'!B213),"\$([A-Z]+)\$[0-9]+"))</f>
        <v/>
      </c>
      <c r="C213" s="7" t="str">
        <f t="array" aca="1" ref="C213" ca="1">IFERROR(IF(OR('Raw Data'!C213="",LEN(TRIM('Raw Data'!C213))=0),"",IF(AND(LEN('Raw Data'!C213) &lt;= 50,LEN('Raw Data'!C213)&gt; 0),"",_xlfn.REGEXEXTRACT(CELL("address",'Raw Data'!C213),"\$([A-Z]+)\$[0-9]+"))),_xlfn.REGEXEXTRACT(CELL("address",'Raw Data'!C213),"\$([A-Z]+)\$[0-9]+"))</f>
        <v/>
      </c>
      <c r="D213" s="7" t="str">
        <f t="array" aca="1" ref="D213" ca="1">IFERROR(IF(OR('Raw Data'!D213="",LEN(TRIM('Raw Data'!D213))=0),"",IF(AND(LEN('Raw Data'!D213) &lt;= 500,LEN('Raw Data'!D213)&gt; 0),"",_xlfn.REGEXEXTRACT(CELL("address",'Raw Data'!D213),"\$([A-Z]+)\$[0-9]+"))),_xlfn.REGEXEXTRACT(CELL("address",'Raw Data'!D213),"\$([A-Z]+)\$[0-9]+"))</f>
        <v/>
      </c>
      <c r="E213" s="7" t="str">
        <f t="array" aca="1" ref="E213" ca="1">IFERROR(IF(OR('Raw Data'!E213="",LEN(TRIM('Raw Data'!E213))=0),"",IF(AND(LEN('Raw Data'!E213) &lt;= 50,LEN('Raw Data'!E213)&gt; 0),"",_xlfn.REGEXEXTRACT(CELL("address",'Raw Data'!E213),"\$([A-Z]+)\$[0-9]+"))),_xlfn.REGEXEXTRACT(CELL("address",'Raw Data'!E213),"\$([A-Z]+)\$[0-9]+"))</f>
        <v/>
      </c>
      <c r="F213" s="7" t="str">
        <f t="array" aca="1" ref="F213" ca="1">IFERROR(IF(OR('Raw Data'!F213="",LEN(TRIM('Raw Data'!F213))=0),"",IF(AND(LEN('Raw Data'!F213) &lt;= 50,LEN('Raw Data'!F213)&gt; 0),"",_xlfn.REGEXEXTRACT(CELL("address",'Raw Data'!F213),"\$([A-Z]+)\$[0-9]+"))),_xlfn.REGEXEXTRACT(CELL("address",'Raw Data'!F213),"\$([A-Z]+)\$[0-9]+"))</f>
        <v/>
      </c>
      <c r="G213" s="7" t="str">
        <f t="array" aca="1" ref="G213" ca="1">IFERROR(IF(OR('Raw Data'!G213="",LEN(TRIM('Raw Data'!G213))=0),"",IF(AND(LEN('Raw Data'!G213) &lt;= 50,LEN('Raw Data'!G213)&gt; 0),"",_xlfn.REGEXEXTRACT(CELL("address",'Raw Data'!G213),"\$([A-Z]+)\$[0-9]+"))),_xlfn.REGEXEXTRACT(CELL("address",'Raw Data'!G213),"\$([A-Z]+)\$[0-9]+"))</f>
        <v/>
      </c>
      <c r="H213" s="7" t="str">
        <f t="array" aca="1" ref="H213" ca="1">IFERROR(IF(OR('Raw Data'!H213="",LEN(TRIM('Raw Data'!H213))=0),"",IF(AND(LEN('Raw Data'!H213) &lt;= 50,LEN('Raw Data'!H213)&gt; 0),"",_xlfn.REGEXEXTRACT(CELL("address",'Raw Data'!H213),"\$([A-Z]+)\$[0-9]+"))),_xlfn.REGEXEXTRACT(CELL("address",'Raw Data'!H213),"\$([A-Z]+)\$[0-9]+"))</f>
        <v/>
      </c>
      <c r="I213" s="7" t="str">
        <f t="array" aca="1" ref="I213" ca="1">IFERROR(IF(OR('Raw Data'!I213="",LEN(TRIM('Raw Data'!I213))=0),"",IF(AND(LEN('Raw Data'!I213) &lt;= 50,LEN('Raw Data'!I213)&gt; 0),"",_xlfn.REGEXEXTRACT(CELL("address",'Raw Data'!I213),"\$([A-Z]+)\$[0-9]+"))),_xlfn.REGEXEXTRACT(CELL("address",'Raw Data'!I213),"\$([A-Z]+)\$[0-9]+"))</f>
        <v/>
      </c>
      <c r="J213" s="7" t="str">
        <f t="array" aca="1" ref="J213" ca="1">IFERROR(IF(OR('Raw Data'!J213="",LEN(TRIM('Raw Data'!J213))=0),"",IF(AND(ISNUMBER('Raw Data'!J213), IFERROR('Raw Data'!J213 = ROUND('Raw Data'!J213, 2),FALSE)),"",_xlfn.REGEXEXTRACT(CELL("address",J213), "\$([A-Z]+)\$[0-9]+"))),_xlfn.REGEXEXTRACT(CELL("address",J213), "\$([A-Z]+)\$[0-9]+"))</f>
        <v/>
      </c>
      <c r="K213" s="7" t="str">
        <f t="array" aca="1" ref="K213" ca="1">IFERROR(IF(OR('Raw Data'!K213="",LEN(TRIM('Raw Data'!K213))=0),"",IF(AND(ISNUMBER('Raw Data'!K213), IFERROR('Raw Data'!K213 = ROUND('Raw Data'!K213, 2),FALSE)),"",_xlfn.REGEXEXTRACT(CELL("address",K213), "\$([A-Z]+)\$[0-9]+"))),_xlfn.REGEXEXTRACT(CELL("address",K213), "\$([A-Z]+)\$[0-9]+"))</f>
        <v/>
      </c>
      <c r="L213" s="7" t="str">
        <f t="array" aca="1" ref="L213" ca="1">IFERROR(IF(OR('Raw Data'!L213="",LEN(TRIM('Raw Data'!L213))=0),"",IF(AND(ISNUMBER('Raw Data'!L213), IFERROR('Raw Data'!L213 = ROUND('Raw Data'!L213, 2),FALSE)),"",_xlfn.REGEXEXTRACT(CELL("address",L213), "\$([A-Z]+)\$[0-9]+"))),_xlfn.REGEXEXTRACT(CELL("address",L213), "\$([A-Z]+)\$[0-9]+"))</f>
        <v/>
      </c>
      <c r="M213" s="7" t="str">
        <f t="array" aca="1" ref="M213" ca="1">IFERROR(IF(OR('Raw Data'!M213="",LEN(TRIM('Raw Data'!M213))=0),"",IF(AND(ISNUMBER('Raw Data'!M213), IFERROR('Raw Data'!M213 = ROUND('Raw Data'!M213, 2),FALSE)),"",_xlfn.REGEXEXTRACT(CELL("address",M213), "\$([A-Z]+)\$[0-9]+"))),_xlfn.REGEXEXTRACT(CELL("address",M213), "\$([A-Z]+)\$[0-9]+"))</f>
        <v/>
      </c>
      <c r="N213" s="7" t="str">
        <f t="array" aca="1" ref="N213" ca="1">IFERROR(IF(OR('Raw Data'!N213="",LEN(TRIM('Raw Data'!N213))=0),"",IF(AND(ISNUMBER('Raw Data'!N213), IFERROR('Raw Data'!N213 = ROUND('Raw Data'!N213, 2),FALSE)),"",_xlfn.REGEXEXTRACT(CELL("address",N213), "\$([A-Z]+)\$[0-9]+"))),_xlfn.REGEXEXTRACT(CELL("address",N213), "\$([A-Z]+)\$[0-9]+"))</f>
        <v/>
      </c>
      <c r="O213" s="7" t="str">
        <f t="array" aca="1" ref="O213" ca="1">IFERROR(IF(OR('Raw Data'!O213="",LEN(TRIM('Raw Data'!O213))=0),"",IF(AND(ISNUMBER('Raw Data'!O213),'Raw Data'!O213&gt;=Configuration!$D$2),"",_xlfn.REGEXEXTRACT(CELL("address",'Raw Data'!O213),"\$([A-Z]+)\$[0-9]+"))),_xlfn.REGEXEXTRACT(CELL("address",O213), "\$([A-Z]+)\$[0-9]+"))</f>
        <v/>
      </c>
      <c r="P213" s="7" t="str">
        <f t="array" aca="1" ref="P213" ca="1">IFERROR(IF(OR('Raw Data'!P213="",LEN(TRIM('Raw Data'!P213))=0),"",IF(AND(ISNUMBER('Raw Data'!P213), IFERROR('Raw Data'!P213 = ROUND('Raw Data'!P213, 2),FALSE)),"",_xlfn.REGEXEXTRACT(CELL("address",P213), "\$([A-Z]+)\$[0-9]+"))),_xlfn.REGEXEXTRACT(CELL("address",P213), "\$([A-Z]+)\$[0-9]+"))</f>
        <v/>
      </c>
      <c r="Q213" s="7" t="str">
        <f t="array" aca="1" ref="Q213" ca="1">IFERROR(IF(OR('Raw Data'!Q213="",LEN(TRIM('Raw Data'!Q213))=0),"",IF(AND(ISNUMBER('Raw Data'!Q213), IFERROR('Raw Data'!Q213 = ROUND('Raw Data'!Q213, 2),FALSE)),"",_xlfn.REGEXEXTRACT(CELL("address",Q213), "\$([A-Z]+)\$[0-9]+"))),_xlfn.REGEXEXTRACT(CELL("address",Q213), "\$([A-Z]+)\$[0-9]+"))</f>
        <v/>
      </c>
      <c r="R213" s="7" t="str">
        <f t="array" aca="1" ref="R213" ca="1">IFERROR(IF(OR('Raw Data'!R213="",LEN(TRIM('Raw Data'!R213))=0),"",IF(AND(LEN('Raw Data'!R213) &lt;= 50,LEN('Raw Data'!R213)&gt; 0),"",_xlfn.REGEXEXTRACT(CELL("address",'Raw Data'!R213),"\$([A-Z]+)\$[0-9]+"))),_xlfn.REGEXEXTRACT(CELL("address",'Raw Data'!R213),"\$([A-Z]+)\$[0-9]+"))</f>
        <v/>
      </c>
      <c r="S213" s="7" t="str">
        <f t="array" aca="1" ref="S213" ca="1">IFERROR(IF(OR('Raw Data'!S213="",LEN(TRIM('Raw Data'!S213))=0),"",IF(AND(LEN('Raw Data'!S213) &lt;= 50,LEN('Raw Data'!S213)&gt; 0),"",_xlfn.REGEXEXTRACT(CELL("address",'Raw Data'!S213),"\$([A-Z]+)\$[0-9]+"))),_xlfn.REGEXEXTRACT(CELL("address",'Raw Data'!S213),"\$([A-Z]+)\$[0-9]+"))</f>
        <v/>
      </c>
      <c r="T213" s="7" t="str">
        <f t="array" aca="1" ref="T213" ca="1">IFERROR(IF(OR('Raw Data'!T213="",LEN(TRIM('Raw Data'!T213))=0),"",IF(AND(ISNUMBER('Raw Data'!T213), IFERROR('Raw Data'!T213 = ROUND('Raw Data'!T213, 2),FALSE)),"",_xlfn.REGEXEXTRACT(CELL("address",T213), "\$([A-Z]+)\$[0-9]+"))),_xlfn.REGEXEXTRACT(CELL("address",T213), "\$([A-Z]+)\$[0-9]+"))</f>
        <v/>
      </c>
      <c r="U213" s="7" t="str">
        <f t="array" aca="1" ref="U213" ca="1">IFERROR(IF(OR('Raw Data'!U213="",LEN(TRIM('Raw Data'!U213))=0),"",IF(AND(ISNUMBER('Raw Data'!U213), IFERROR('Raw Data'!U213 = ROUND('Raw Data'!U213, 2),FALSE)),"",_xlfn.REGEXEXTRACT(CELL("address",U213), "\$([A-Z]+)\$[0-9]+"))),_xlfn.REGEXEXTRACT(CELL("address",U213), "\$([A-Z]+)\$[0-9]+"))</f>
        <v/>
      </c>
      <c r="V213" s="7" t="str">
        <f t="array" aca="1" ref="V213" ca="1">IFERROR(IF(OR('Raw Data'!V213="",LEN(TRIM('Raw Data'!V213))=0),"",IF(AND(ISNUMBER('Raw Data'!V213), IFERROR('Raw Data'!V213 = ROUND('Raw Data'!V213, 2),FALSE)),"",_xlfn.REGEXEXTRACT(CELL("address",V213), "\$([A-Z]+)\$[0-9]+"))),_xlfn.REGEXEXTRACT(CELL("address",V213), "\$([A-Z]+)\$[0-9]+"))</f>
        <v/>
      </c>
      <c r="W213" s="7" t="str">
        <f t="array" aca="1" ref="W213" ca="1">IFERROR(IF(OR('Raw Data'!W213="",LEN(TRIM('Raw Data'!W213))=0),"",IF(AND(ISNUMBER('Raw Data'!W213), IFERROR('Raw Data'!W213 = ROUND('Raw Data'!W213, 2),FALSE)),"",_xlfn.REGEXEXTRACT(CELL("address",W213), "\$([A-Z]+)\$[0-9]+"))),_xlfn.REGEXEXTRACT(CELL("address",W213), "\$([A-Z]+)\$[0-9]+"))</f>
        <v/>
      </c>
      <c r="X213" s="7" t="str">
        <f t="array" aca="1" ref="X213" ca="1">IFERROR(IF(OR('Raw Data'!X213="",LEN(TRIM('Raw Data'!X213))=0),"",IF(AND(ISNUMBER('Raw Data'!X213), IFERROR('Raw Data'!X213 = ROUND('Raw Data'!X213, 2),FALSE)),"",_xlfn.REGEXEXTRACT(CELL("address",X213), "\$([A-Z]+)\$[0-9]+"))),_xlfn.REGEXEXTRACT(CELL("address",X213), "\$([A-Z]+)\$[0-9]+"))</f>
        <v/>
      </c>
      <c r="Y213" s="7" t="str">
        <f t="array" aca="1" ref="Y213" ca="1">IFERROR(IF(OR('Raw Data'!Y213="",LEN(TRIM('Raw Data'!Y213))=0),"",IF(AND(ISNUMBER('Raw Data'!Y213), IFERROR('Raw Data'!Y213 = ROUND('Raw Data'!Y213, 2),FALSE)),"",_xlfn.REGEXEXTRACT(CELL("address",Y213), "\$([A-Z]+)\$[0-9]+"))),_xlfn.REGEXEXTRACT(CELL("address",Y213), "\$([A-Z]+)\$[0-9]+"))</f>
        <v/>
      </c>
      <c r="Z213" s="7" t="str">
        <f t="array" aca="1" ref="Z213" ca="1">IFERROR(IF(OR('Raw Data'!Z213="",LEN(TRIM('Raw Data'!Z213))=0),"",IF(AND(ISNUMBER('Raw Data'!Z213), IFERROR('Raw Data'!Z213 = ROUND('Raw Data'!Z213, 2),FALSE)),"",_xlfn.REGEXEXTRACT(CELL("address",Z213), "\$([A-Z]+)\$[0-9]+"))),_xlfn.REGEXEXTRACT(CELL("address",Z213), "\$([A-Z]+)\$[0-9]+"))</f>
        <v/>
      </c>
      <c r="AA213" s="7" t="str">
        <f t="array" aca="1" ref="AA213" ca="1">IFERROR(IF(OR('Raw Data'!AA213="",LEN(TRIM('Raw Data'!AA213))=0),"",IF(AND(ISNUMBER('Raw Data'!AA213), IFERROR('Raw Data'!AA213 = ROUND('Raw Data'!AA213, 2),FALSE)),"",_xlfn.REGEXEXTRACT(CELL("address",AA213), "\$([A-Z]+)\$[0-9]+"))),_xlfn.REGEXEXTRACT(CELL("address",AA213), "\$([A-Z]+)\$[0-9]+"))</f>
        <v/>
      </c>
      <c r="AB213" s="7" t="str">
        <f t="array" aca="1" ref="AB213" ca="1">IFERROR(IF(OR('Raw Data'!AB213="",LEN(TRIM('Raw Data'!AB213))=0),"",IF(AND(ISNUMBER('Raw Data'!AB213), IFERROR('Raw Data'!AB213 = ROUND('Raw Data'!AB213, 2),FALSE)),"",_xlfn.REGEXEXTRACT(CELL("address",AB213), "\$([A-Z]+)\$[0-9]+"))),_xlfn.REGEXEXTRACT(CELL("address",AB213), "\$([A-Z]+)\$[0-9]+"))</f>
        <v/>
      </c>
      <c r="AC213" s="7" t="str">
        <f t="array" aca="1" ref="AC213" ca="1">IFERROR(IF(OR('Raw Data'!AC213="",LEN(TRIM('Raw Data'!AC213))=0),"",IF(AND(ISNUMBER('Raw Data'!AC213), IFERROR('Raw Data'!AC213 = ROUND('Raw Data'!AC213, 2),FALSE)),"",_xlfn.REGEXEXTRACT(CELL("address",AC213), "\$([A-Z]+)\$[0-9]+"))),_xlfn.REGEXEXTRACT(CELL("address",AC213), "\$([A-Z]+)\$[0-9]+"))</f>
        <v/>
      </c>
      <c r="AD213" s="7" t="str">
        <f t="array" aca="1" ref="AD213" ca="1">IFERROR(IF(OR('Raw Data'!AD213="",LEN(TRIM('Raw Data'!AD213))=0),"",IF(AND(ISNUMBER('Raw Data'!AD213), IFERROR('Raw Data'!AD213 = ROUND('Raw Data'!AD213, 2),FALSE)),"",_xlfn.REGEXEXTRACT(CELL("address",AD213), "\$([A-Z]+)\$[0-9]+"))),_xlfn.REGEXEXTRACT(CELL("address",AD213), "\$([A-Z]+)\$[0-9]+"))</f>
        <v/>
      </c>
      <c r="AE213" s="7" t="str">
        <f t="array" aca="1" ref="AE213" ca="1">IFERROR(IF(OR('Raw Data'!AE213="",LEN(TRIM('Raw Data'!AE213))=0),"",IF(AND(ISNUMBER('Raw Data'!AE213), IFERROR('Raw Data'!AE213 = ROUND('Raw Data'!AE213, 2),FALSE)),"",_xlfn.REGEXEXTRACT(CELL("address",AE213), "\$([A-Z]+)\$[0-9]+"))),_xlfn.REGEXEXTRACT(CELL("address",AE213), "\$([A-Z]+)\$[0-9]+"))</f>
        <v/>
      </c>
      <c r="AF213" s="7" t="str">
        <f t="array" aca="1" ref="AF213" ca="1">IFERROR(IF(OR('Raw Data'!AF213="",LEN(TRIM('Raw Data'!AF213))=0),"",IF(AND(ISNUMBER('Raw Data'!AF213), IFERROR('Raw Data'!AF213 = ROUND('Raw Data'!AF213, 2),FALSE)),"",_xlfn.REGEXEXTRACT(CELL("address",AF213), "\$([A-Z]+)\$[0-9]+"))),_xlfn.REGEXEXTRACT(CELL("address",AF213), "\$([A-Z]+)\$[0-9]+"))</f>
        <v/>
      </c>
      <c r="AG213" s="7" t="str">
        <f t="array" aca="1" ref="AG213" ca="1">IFERROR(IF(OR('Raw Data'!AG213="",LEN(TRIM('Raw Data'!AG213))=0),"",IF(AND(ISNUMBER('Raw Data'!AG213), IFERROR('Raw Data'!AG213 = ROUND('Raw Data'!AG213, 2),FALSE)),"",_xlfn.REGEXEXTRACT(CELL("address",AG213), "\$([A-Z]+)\$[0-9]+"))),_xlfn.REGEXEXTRACT(CELL("address",AG213), "\$([A-Z]+)\$[0-9]+"))</f>
        <v/>
      </c>
      <c r="AH213" s="7" t="str">
        <f t="array" aca="1" ref="AH213" ca="1">IFERROR(IF(OR('Raw Data'!AH213="",LEN(TRIM('Raw Data'!AH213))=0),"",IF(AND(ISNUMBER('Raw Data'!AH213), IFERROR('Raw Data'!AH213 = ROUND('Raw Data'!AH213, 2),FALSE)),"",_xlfn.REGEXEXTRACT(CELL("address",AH213), "\$([A-Z]+)\$[0-9]+"))),_xlfn.REGEXEXTRACT(CELL("address",AH213), "\$([A-Z]+)\$[0-9]+"))</f>
        <v/>
      </c>
      <c r="AI213" s="7" t="str">
        <f t="array" aca="1" ref="AI213" ca="1">IFERROR(IF(OR('Raw Data'!AI213="",LEN(TRIM('Raw Data'!AI213))=0),"",IF(AND(ISNUMBER('Raw Data'!AI213), IFERROR('Raw Data'!AI213 = ROUND('Raw Data'!AI213, 2),FALSE)),"",_xlfn.REGEXEXTRACT(CELL("address",AI213), "\$([A-Z]+)\$[0-9]+"))),_xlfn.REGEXEXTRACT(CELL("address",AI213), "\$([A-Z]+)\$[0-9]+"))</f>
        <v/>
      </c>
      <c r="AJ213" s="7" t="str">
        <f t="array" aca="1" ref="AJ213" ca="1">IFERROR(IF(OR('Raw Data'!AJ213="",LEN(TRIM('Raw Data'!AJ213))=0),"",IF(AND(ISNUMBER('Raw Data'!AJ213), IFERROR('Raw Data'!AJ213 = ROUND('Raw Data'!AJ213, 4),FALSE)),"",_xlfn.REGEXEXTRACT(CELL("address",AJ213), "\$([A-Z]+)\$[0-9]+"))),_xlfn.REGEXEXTRACT(CELL("address",AJ213), "\$([A-Z]+)\$[0-9]+"))</f>
        <v/>
      </c>
      <c r="AK213" s="7" t="str">
        <f t="array" aca="1" ref="AK213" ca="1">IFERROR(IF(OR('Raw Data'!AK213="",LEN(TRIM('Raw Data'!AK213))=0),"",IF(AND(ISNUMBER('Raw Data'!AK213), IFERROR('Raw Data'!AK213 = ROUND('Raw Data'!AK213, 2),FALSE)),"",_xlfn.REGEXEXTRACT(CELL("address",AK213), "\$([A-Z]+)\$[0-9]+"))),_xlfn.REGEXEXTRACT(CELL("address",AK213), "\$([A-Z]+)\$[0-9]+"))</f>
        <v/>
      </c>
      <c r="AL213" s="7" t="str">
        <f t="array" aca="1" ref="AL213" ca="1">IFERROR(IF(OR('Raw Data'!AL213="",LEN(TRIM('Raw Data'!AL213))=0),"",IF(AND(ISNUMBER('Raw Data'!AL213), IFERROR('Raw Data'!AL213 = ROUND('Raw Data'!AL213, 2),FALSE)),"",_xlfn.REGEXEXTRACT(CELL("address",AL213), "\$([A-Z]+)\$[0-9]+"))),_xlfn.REGEXEXTRACT(CELL("address",AL213), "\$([A-Z]+)\$[0-9]+"))</f>
        <v/>
      </c>
      <c r="AM213" s="7" t="str">
        <f t="array" aca="1" ref="AM213" ca="1">IFERROR(IF(OR('Raw Data'!AM213="",LEN(TRIM('Raw Data'!AM213))=0),"",IF(AND(ISNUMBER('Raw Data'!AM213), IFERROR('Raw Data'!AM213 = ROUND('Raw Data'!AM213, 2),FALSE)),"",_xlfn.REGEXEXTRACT(CELL("address",AM213), "\$([A-Z]+)\$[0-9]+"))),_xlfn.REGEXEXTRACT(CELL("address",AM213), "\$([A-Z]+)\$[0-9]+"))</f>
        <v/>
      </c>
      <c r="AN213" s="7" t="str">
        <f t="array" aca="1" ref="AN213" ca="1">IFERROR(IF(OR('Raw Data'!AN213="",LEN(TRIM('Raw Data'!AN213))=0),"",IF(AND(ISNUMBER('Raw Data'!AN213), IFERROR('Raw Data'!AN213 = ROUND('Raw Data'!AN213, 2),FALSE)),"",_xlfn.REGEXEXTRACT(CELL("address",AN213), "\$([A-Z]+)\$[0-9]+"))),_xlfn.REGEXEXTRACT(CELL("address",AN213), "\$([A-Z]+)\$[0-9]+"))</f>
        <v/>
      </c>
      <c r="AO213" s="7" t="str">
        <f t="array" aca="1" ref="AO213" ca="1">IFERROR(IF(OR('Raw Data'!AO213="",LEN(TRIM('Raw Data'!AO213))=0),"",IF(AND(ISNUMBER('Raw Data'!AO213), IFERROR('Raw Data'!AO213 = ROUND('Raw Data'!AO213, 2),FALSE)),"",_xlfn.REGEXEXTRACT(CELL("address",AO213), "\$([A-Z]+)\$[0-9]+"))),_xlfn.REGEXEXTRACT(CELL("address",AO213), "\$([A-Z]+)\$[0-9]+"))</f>
        <v/>
      </c>
      <c r="AP213" s="7" t="str">
        <f t="array" aca="1" ref="AP213" ca="1">IFERROR(IF(OR('Raw Data'!AP213="",LEN(TRIM('Raw Data'!AP213))=0),"",IF(AND(ISNUMBER('Raw Data'!AP213), IFERROR('Raw Data'!AP213 = ROUND('Raw Data'!AP213, 2),FALSE)),"",_xlfn.REGEXEXTRACT(CELL("address",AP213), "\$([A-Z]+)\$[0-9]+"))),_xlfn.REGEXEXTRACT(CELL("address",AP213), "\$([A-Z]+)\$[0-9]+"))</f>
        <v/>
      </c>
    </row>
    <row r="214" spans="2:42" x14ac:dyDescent="0.25">
      <c r="B214" s="7" t="str">
        <f t="array" aca="1" ref="B214" ca="1">IFERROR(IF(OR('Raw Data'!B214="",LEN(TRIM('Raw Data'!B214))=0),"",IF(AND(LEN('Raw Data'!B214) &lt;= 255,LEN('Raw Data'!B214)&gt; 0),"",_xlfn.REGEXEXTRACT(CELL("address",'Raw Data'!B214),"\$([A-Z]+)\$[0-9]+"))),_xlfn.REGEXEXTRACT(CELL("address",'Raw Data'!B214),"\$([A-Z]+)\$[0-9]+"))</f>
        <v/>
      </c>
      <c r="C214" s="7" t="str">
        <f t="array" aca="1" ref="C214" ca="1">IFERROR(IF(OR('Raw Data'!C214="",LEN(TRIM('Raw Data'!C214))=0),"",IF(AND(LEN('Raw Data'!C214) &lt;= 50,LEN('Raw Data'!C214)&gt; 0),"",_xlfn.REGEXEXTRACT(CELL("address",'Raw Data'!C214),"\$([A-Z]+)\$[0-9]+"))),_xlfn.REGEXEXTRACT(CELL("address",'Raw Data'!C214),"\$([A-Z]+)\$[0-9]+"))</f>
        <v/>
      </c>
      <c r="D214" s="7" t="str">
        <f t="array" aca="1" ref="D214" ca="1">IFERROR(IF(OR('Raw Data'!D214="",LEN(TRIM('Raw Data'!D214))=0),"",IF(AND(LEN('Raw Data'!D214) &lt;= 500,LEN('Raw Data'!D214)&gt; 0),"",_xlfn.REGEXEXTRACT(CELL("address",'Raw Data'!D214),"\$([A-Z]+)\$[0-9]+"))),_xlfn.REGEXEXTRACT(CELL("address",'Raw Data'!D214),"\$([A-Z]+)\$[0-9]+"))</f>
        <v/>
      </c>
      <c r="E214" s="7" t="str">
        <f t="array" aca="1" ref="E214" ca="1">IFERROR(IF(OR('Raw Data'!E214="",LEN(TRIM('Raw Data'!E214))=0),"",IF(AND(LEN('Raw Data'!E214) &lt;= 50,LEN('Raw Data'!E214)&gt; 0),"",_xlfn.REGEXEXTRACT(CELL("address",'Raw Data'!E214),"\$([A-Z]+)\$[0-9]+"))),_xlfn.REGEXEXTRACT(CELL("address",'Raw Data'!E214),"\$([A-Z]+)\$[0-9]+"))</f>
        <v/>
      </c>
      <c r="F214" s="7" t="str">
        <f t="array" aca="1" ref="F214" ca="1">IFERROR(IF(OR('Raw Data'!F214="",LEN(TRIM('Raw Data'!F214))=0),"",IF(AND(LEN('Raw Data'!F214) &lt;= 50,LEN('Raw Data'!F214)&gt; 0),"",_xlfn.REGEXEXTRACT(CELL("address",'Raw Data'!F214),"\$([A-Z]+)\$[0-9]+"))),_xlfn.REGEXEXTRACT(CELL("address",'Raw Data'!F214),"\$([A-Z]+)\$[0-9]+"))</f>
        <v/>
      </c>
      <c r="G214" s="7" t="str">
        <f t="array" aca="1" ref="G214" ca="1">IFERROR(IF(OR('Raw Data'!G214="",LEN(TRIM('Raw Data'!G214))=0),"",IF(AND(LEN('Raw Data'!G214) &lt;= 50,LEN('Raw Data'!G214)&gt; 0),"",_xlfn.REGEXEXTRACT(CELL("address",'Raw Data'!G214),"\$([A-Z]+)\$[0-9]+"))),_xlfn.REGEXEXTRACT(CELL("address",'Raw Data'!G214),"\$([A-Z]+)\$[0-9]+"))</f>
        <v/>
      </c>
      <c r="H214" s="7" t="str">
        <f t="array" aca="1" ref="H214" ca="1">IFERROR(IF(OR('Raw Data'!H214="",LEN(TRIM('Raw Data'!H214))=0),"",IF(AND(LEN('Raw Data'!H214) &lt;= 50,LEN('Raw Data'!H214)&gt; 0),"",_xlfn.REGEXEXTRACT(CELL("address",'Raw Data'!H214),"\$([A-Z]+)\$[0-9]+"))),_xlfn.REGEXEXTRACT(CELL("address",'Raw Data'!H214),"\$([A-Z]+)\$[0-9]+"))</f>
        <v/>
      </c>
      <c r="I214" s="7" t="str">
        <f t="array" aca="1" ref="I214" ca="1">IFERROR(IF(OR('Raw Data'!I214="",LEN(TRIM('Raw Data'!I214))=0),"",IF(AND(LEN('Raw Data'!I214) &lt;= 50,LEN('Raw Data'!I214)&gt; 0),"",_xlfn.REGEXEXTRACT(CELL("address",'Raw Data'!I214),"\$([A-Z]+)\$[0-9]+"))),_xlfn.REGEXEXTRACT(CELL("address",'Raw Data'!I214),"\$([A-Z]+)\$[0-9]+"))</f>
        <v/>
      </c>
      <c r="J214" s="7" t="str">
        <f t="array" aca="1" ref="J214" ca="1">IFERROR(IF(OR('Raw Data'!J214="",LEN(TRIM('Raw Data'!J214))=0),"",IF(AND(ISNUMBER('Raw Data'!J214), IFERROR('Raw Data'!J214 = ROUND('Raw Data'!J214, 2),FALSE)),"",_xlfn.REGEXEXTRACT(CELL("address",J214), "\$([A-Z]+)\$[0-9]+"))),_xlfn.REGEXEXTRACT(CELL("address",J214), "\$([A-Z]+)\$[0-9]+"))</f>
        <v/>
      </c>
      <c r="K214" s="7" t="str">
        <f t="array" aca="1" ref="K214" ca="1">IFERROR(IF(OR('Raw Data'!K214="",LEN(TRIM('Raw Data'!K214))=0),"",IF(AND(ISNUMBER('Raw Data'!K214), IFERROR('Raw Data'!K214 = ROUND('Raw Data'!K214, 2),FALSE)),"",_xlfn.REGEXEXTRACT(CELL("address",K214), "\$([A-Z]+)\$[0-9]+"))),_xlfn.REGEXEXTRACT(CELL("address",K214), "\$([A-Z]+)\$[0-9]+"))</f>
        <v/>
      </c>
      <c r="L214" s="7" t="str">
        <f t="array" aca="1" ref="L214" ca="1">IFERROR(IF(OR('Raw Data'!L214="",LEN(TRIM('Raw Data'!L214))=0),"",IF(AND(ISNUMBER('Raw Data'!L214), IFERROR('Raw Data'!L214 = ROUND('Raw Data'!L214, 2),FALSE)),"",_xlfn.REGEXEXTRACT(CELL("address",L214), "\$([A-Z]+)\$[0-9]+"))),_xlfn.REGEXEXTRACT(CELL("address",L214), "\$([A-Z]+)\$[0-9]+"))</f>
        <v/>
      </c>
      <c r="M214" s="7" t="str">
        <f t="array" aca="1" ref="M214" ca="1">IFERROR(IF(OR('Raw Data'!M214="",LEN(TRIM('Raw Data'!M214))=0),"",IF(AND(ISNUMBER('Raw Data'!M214), IFERROR('Raw Data'!M214 = ROUND('Raw Data'!M214, 2),FALSE)),"",_xlfn.REGEXEXTRACT(CELL("address",M214), "\$([A-Z]+)\$[0-9]+"))),_xlfn.REGEXEXTRACT(CELL("address",M214), "\$([A-Z]+)\$[0-9]+"))</f>
        <v/>
      </c>
      <c r="N214" s="7" t="str">
        <f t="array" aca="1" ref="N214" ca="1">IFERROR(IF(OR('Raw Data'!N214="",LEN(TRIM('Raw Data'!N214))=0),"",IF(AND(ISNUMBER('Raw Data'!N214), IFERROR('Raw Data'!N214 = ROUND('Raw Data'!N214, 2),FALSE)),"",_xlfn.REGEXEXTRACT(CELL("address",N214), "\$([A-Z]+)\$[0-9]+"))),_xlfn.REGEXEXTRACT(CELL("address",N214), "\$([A-Z]+)\$[0-9]+"))</f>
        <v/>
      </c>
      <c r="O214" s="7" t="str">
        <f t="array" aca="1" ref="O214" ca="1">IFERROR(IF(OR('Raw Data'!O214="",LEN(TRIM('Raw Data'!O214))=0),"",IF(AND(ISNUMBER('Raw Data'!O214),'Raw Data'!O214&gt;=Configuration!$D$2),"",_xlfn.REGEXEXTRACT(CELL("address",'Raw Data'!O214),"\$([A-Z]+)\$[0-9]+"))),_xlfn.REGEXEXTRACT(CELL("address",O214), "\$([A-Z]+)\$[0-9]+"))</f>
        <v/>
      </c>
      <c r="P214" s="7" t="str">
        <f t="array" aca="1" ref="P214" ca="1">IFERROR(IF(OR('Raw Data'!P214="",LEN(TRIM('Raw Data'!P214))=0),"",IF(AND(ISNUMBER('Raw Data'!P214), IFERROR('Raw Data'!P214 = ROUND('Raw Data'!P214, 2),FALSE)),"",_xlfn.REGEXEXTRACT(CELL("address",P214), "\$([A-Z]+)\$[0-9]+"))),_xlfn.REGEXEXTRACT(CELL("address",P214), "\$([A-Z]+)\$[0-9]+"))</f>
        <v/>
      </c>
      <c r="Q214" s="7" t="str">
        <f t="array" aca="1" ref="Q214" ca="1">IFERROR(IF(OR('Raw Data'!Q214="",LEN(TRIM('Raw Data'!Q214))=0),"",IF(AND(ISNUMBER('Raw Data'!Q214), IFERROR('Raw Data'!Q214 = ROUND('Raw Data'!Q214, 2),FALSE)),"",_xlfn.REGEXEXTRACT(CELL("address",Q214), "\$([A-Z]+)\$[0-9]+"))),_xlfn.REGEXEXTRACT(CELL("address",Q214), "\$([A-Z]+)\$[0-9]+"))</f>
        <v/>
      </c>
      <c r="R214" s="7" t="str">
        <f t="array" aca="1" ref="R214" ca="1">IFERROR(IF(OR('Raw Data'!R214="",LEN(TRIM('Raw Data'!R214))=0),"",IF(AND(LEN('Raw Data'!R214) &lt;= 50,LEN('Raw Data'!R214)&gt; 0),"",_xlfn.REGEXEXTRACT(CELL("address",'Raw Data'!R214),"\$([A-Z]+)\$[0-9]+"))),_xlfn.REGEXEXTRACT(CELL("address",'Raw Data'!R214),"\$([A-Z]+)\$[0-9]+"))</f>
        <v/>
      </c>
      <c r="S214" s="7" t="str">
        <f t="array" aca="1" ref="S214" ca="1">IFERROR(IF(OR('Raw Data'!S214="",LEN(TRIM('Raw Data'!S214))=0),"",IF(AND(LEN('Raw Data'!S214) &lt;= 50,LEN('Raw Data'!S214)&gt; 0),"",_xlfn.REGEXEXTRACT(CELL("address",'Raw Data'!S214),"\$([A-Z]+)\$[0-9]+"))),_xlfn.REGEXEXTRACT(CELL("address",'Raw Data'!S214),"\$([A-Z]+)\$[0-9]+"))</f>
        <v/>
      </c>
      <c r="T214" s="7" t="str">
        <f t="array" aca="1" ref="T214" ca="1">IFERROR(IF(OR('Raw Data'!T214="",LEN(TRIM('Raw Data'!T214))=0),"",IF(AND(ISNUMBER('Raw Data'!T214), IFERROR('Raw Data'!T214 = ROUND('Raw Data'!T214, 2),FALSE)),"",_xlfn.REGEXEXTRACT(CELL("address",T214), "\$([A-Z]+)\$[0-9]+"))),_xlfn.REGEXEXTRACT(CELL("address",T214), "\$([A-Z]+)\$[0-9]+"))</f>
        <v/>
      </c>
      <c r="U214" s="7" t="str">
        <f t="array" aca="1" ref="U214" ca="1">IFERROR(IF(OR('Raw Data'!U214="",LEN(TRIM('Raw Data'!U214))=0),"",IF(AND(ISNUMBER('Raw Data'!U214), IFERROR('Raw Data'!U214 = ROUND('Raw Data'!U214, 2),FALSE)),"",_xlfn.REGEXEXTRACT(CELL("address",U214), "\$([A-Z]+)\$[0-9]+"))),_xlfn.REGEXEXTRACT(CELL("address",U214), "\$([A-Z]+)\$[0-9]+"))</f>
        <v/>
      </c>
      <c r="V214" s="7" t="str">
        <f t="array" aca="1" ref="V214" ca="1">IFERROR(IF(OR('Raw Data'!V214="",LEN(TRIM('Raw Data'!V214))=0),"",IF(AND(ISNUMBER('Raw Data'!V214), IFERROR('Raw Data'!V214 = ROUND('Raw Data'!V214, 2),FALSE)),"",_xlfn.REGEXEXTRACT(CELL("address",V214), "\$([A-Z]+)\$[0-9]+"))),_xlfn.REGEXEXTRACT(CELL("address",V214), "\$([A-Z]+)\$[0-9]+"))</f>
        <v/>
      </c>
      <c r="W214" s="7" t="str">
        <f t="array" aca="1" ref="W214" ca="1">IFERROR(IF(OR('Raw Data'!W214="",LEN(TRIM('Raw Data'!W214))=0),"",IF(AND(ISNUMBER('Raw Data'!W214), IFERROR('Raw Data'!W214 = ROUND('Raw Data'!W214, 2),FALSE)),"",_xlfn.REGEXEXTRACT(CELL("address",W214), "\$([A-Z]+)\$[0-9]+"))),_xlfn.REGEXEXTRACT(CELL("address",W214), "\$([A-Z]+)\$[0-9]+"))</f>
        <v/>
      </c>
      <c r="X214" s="7" t="str">
        <f t="array" aca="1" ref="X214" ca="1">IFERROR(IF(OR('Raw Data'!X214="",LEN(TRIM('Raw Data'!X214))=0),"",IF(AND(ISNUMBER('Raw Data'!X214), IFERROR('Raw Data'!X214 = ROUND('Raw Data'!X214, 2),FALSE)),"",_xlfn.REGEXEXTRACT(CELL("address",X214), "\$([A-Z]+)\$[0-9]+"))),_xlfn.REGEXEXTRACT(CELL("address",X214), "\$([A-Z]+)\$[0-9]+"))</f>
        <v/>
      </c>
      <c r="Y214" s="7" t="str">
        <f t="array" aca="1" ref="Y214" ca="1">IFERROR(IF(OR('Raw Data'!Y214="",LEN(TRIM('Raw Data'!Y214))=0),"",IF(AND(ISNUMBER('Raw Data'!Y214), IFERROR('Raw Data'!Y214 = ROUND('Raw Data'!Y214, 2),FALSE)),"",_xlfn.REGEXEXTRACT(CELL("address",Y214), "\$([A-Z]+)\$[0-9]+"))),_xlfn.REGEXEXTRACT(CELL("address",Y214), "\$([A-Z]+)\$[0-9]+"))</f>
        <v/>
      </c>
      <c r="Z214" s="7" t="str">
        <f t="array" aca="1" ref="Z214" ca="1">IFERROR(IF(OR('Raw Data'!Z214="",LEN(TRIM('Raw Data'!Z214))=0),"",IF(AND(ISNUMBER('Raw Data'!Z214), IFERROR('Raw Data'!Z214 = ROUND('Raw Data'!Z214, 2),FALSE)),"",_xlfn.REGEXEXTRACT(CELL("address",Z214), "\$([A-Z]+)\$[0-9]+"))),_xlfn.REGEXEXTRACT(CELL("address",Z214), "\$([A-Z]+)\$[0-9]+"))</f>
        <v/>
      </c>
      <c r="AA214" s="7" t="str">
        <f t="array" aca="1" ref="AA214" ca="1">IFERROR(IF(OR('Raw Data'!AA214="",LEN(TRIM('Raw Data'!AA214))=0),"",IF(AND(ISNUMBER('Raw Data'!AA214), IFERROR('Raw Data'!AA214 = ROUND('Raw Data'!AA214, 2),FALSE)),"",_xlfn.REGEXEXTRACT(CELL("address",AA214), "\$([A-Z]+)\$[0-9]+"))),_xlfn.REGEXEXTRACT(CELL("address",AA214), "\$([A-Z]+)\$[0-9]+"))</f>
        <v/>
      </c>
      <c r="AB214" s="7" t="str">
        <f t="array" aca="1" ref="AB214" ca="1">IFERROR(IF(OR('Raw Data'!AB214="",LEN(TRIM('Raw Data'!AB214))=0),"",IF(AND(ISNUMBER('Raw Data'!AB214), IFERROR('Raw Data'!AB214 = ROUND('Raw Data'!AB214, 2),FALSE)),"",_xlfn.REGEXEXTRACT(CELL("address",AB214), "\$([A-Z]+)\$[0-9]+"))),_xlfn.REGEXEXTRACT(CELL("address",AB214), "\$([A-Z]+)\$[0-9]+"))</f>
        <v/>
      </c>
      <c r="AC214" s="7" t="str">
        <f t="array" aca="1" ref="AC214" ca="1">IFERROR(IF(OR('Raw Data'!AC214="",LEN(TRIM('Raw Data'!AC214))=0),"",IF(AND(ISNUMBER('Raw Data'!AC214), IFERROR('Raw Data'!AC214 = ROUND('Raw Data'!AC214, 2),FALSE)),"",_xlfn.REGEXEXTRACT(CELL("address",AC214), "\$([A-Z]+)\$[0-9]+"))),_xlfn.REGEXEXTRACT(CELL("address",AC214), "\$([A-Z]+)\$[0-9]+"))</f>
        <v/>
      </c>
      <c r="AD214" s="7" t="str">
        <f t="array" aca="1" ref="AD214" ca="1">IFERROR(IF(OR('Raw Data'!AD214="",LEN(TRIM('Raw Data'!AD214))=0),"",IF(AND(ISNUMBER('Raw Data'!AD214), IFERROR('Raw Data'!AD214 = ROUND('Raw Data'!AD214, 2),FALSE)),"",_xlfn.REGEXEXTRACT(CELL("address",AD214), "\$([A-Z]+)\$[0-9]+"))),_xlfn.REGEXEXTRACT(CELL("address",AD214), "\$([A-Z]+)\$[0-9]+"))</f>
        <v/>
      </c>
      <c r="AE214" s="7" t="str">
        <f t="array" aca="1" ref="AE214" ca="1">IFERROR(IF(OR('Raw Data'!AE214="",LEN(TRIM('Raw Data'!AE214))=0),"",IF(AND(ISNUMBER('Raw Data'!AE214), IFERROR('Raw Data'!AE214 = ROUND('Raw Data'!AE214, 2),FALSE)),"",_xlfn.REGEXEXTRACT(CELL("address",AE214), "\$([A-Z]+)\$[0-9]+"))),_xlfn.REGEXEXTRACT(CELL("address",AE214), "\$([A-Z]+)\$[0-9]+"))</f>
        <v/>
      </c>
      <c r="AF214" s="7" t="str">
        <f t="array" aca="1" ref="AF214" ca="1">IFERROR(IF(OR('Raw Data'!AF214="",LEN(TRIM('Raw Data'!AF214))=0),"",IF(AND(ISNUMBER('Raw Data'!AF214), IFERROR('Raw Data'!AF214 = ROUND('Raw Data'!AF214, 2),FALSE)),"",_xlfn.REGEXEXTRACT(CELL("address",AF214), "\$([A-Z]+)\$[0-9]+"))),_xlfn.REGEXEXTRACT(CELL("address",AF214), "\$([A-Z]+)\$[0-9]+"))</f>
        <v/>
      </c>
      <c r="AG214" s="7" t="str">
        <f t="array" aca="1" ref="AG214" ca="1">IFERROR(IF(OR('Raw Data'!AG214="",LEN(TRIM('Raw Data'!AG214))=0),"",IF(AND(ISNUMBER('Raw Data'!AG214), IFERROR('Raw Data'!AG214 = ROUND('Raw Data'!AG214, 2),FALSE)),"",_xlfn.REGEXEXTRACT(CELL("address",AG214), "\$([A-Z]+)\$[0-9]+"))),_xlfn.REGEXEXTRACT(CELL("address",AG214), "\$([A-Z]+)\$[0-9]+"))</f>
        <v/>
      </c>
      <c r="AH214" s="7" t="str">
        <f t="array" aca="1" ref="AH214" ca="1">IFERROR(IF(OR('Raw Data'!AH214="",LEN(TRIM('Raw Data'!AH214))=0),"",IF(AND(ISNUMBER('Raw Data'!AH214), IFERROR('Raw Data'!AH214 = ROUND('Raw Data'!AH214, 2),FALSE)),"",_xlfn.REGEXEXTRACT(CELL("address",AH214), "\$([A-Z]+)\$[0-9]+"))),_xlfn.REGEXEXTRACT(CELL("address",AH214), "\$([A-Z]+)\$[0-9]+"))</f>
        <v/>
      </c>
      <c r="AI214" s="7" t="str">
        <f t="array" aca="1" ref="AI214" ca="1">IFERROR(IF(OR('Raw Data'!AI214="",LEN(TRIM('Raw Data'!AI214))=0),"",IF(AND(ISNUMBER('Raw Data'!AI214), IFERROR('Raw Data'!AI214 = ROUND('Raw Data'!AI214, 2),FALSE)),"",_xlfn.REGEXEXTRACT(CELL("address",AI214), "\$([A-Z]+)\$[0-9]+"))),_xlfn.REGEXEXTRACT(CELL("address",AI214), "\$([A-Z]+)\$[0-9]+"))</f>
        <v/>
      </c>
      <c r="AJ214" s="7" t="str">
        <f t="array" aca="1" ref="AJ214" ca="1">IFERROR(IF(OR('Raw Data'!AJ214="",LEN(TRIM('Raw Data'!AJ214))=0),"",IF(AND(ISNUMBER('Raw Data'!AJ214), IFERROR('Raw Data'!AJ214 = ROUND('Raw Data'!AJ214, 4),FALSE)),"",_xlfn.REGEXEXTRACT(CELL("address",AJ214), "\$([A-Z]+)\$[0-9]+"))),_xlfn.REGEXEXTRACT(CELL("address",AJ214), "\$([A-Z]+)\$[0-9]+"))</f>
        <v/>
      </c>
      <c r="AK214" s="7" t="str">
        <f t="array" aca="1" ref="AK214" ca="1">IFERROR(IF(OR('Raw Data'!AK214="",LEN(TRIM('Raw Data'!AK214))=0),"",IF(AND(ISNUMBER('Raw Data'!AK214), IFERROR('Raw Data'!AK214 = ROUND('Raw Data'!AK214, 2),FALSE)),"",_xlfn.REGEXEXTRACT(CELL("address",AK214), "\$([A-Z]+)\$[0-9]+"))),_xlfn.REGEXEXTRACT(CELL("address",AK214), "\$([A-Z]+)\$[0-9]+"))</f>
        <v/>
      </c>
      <c r="AL214" s="7" t="str">
        <f t="array" aca="1" ref="AL214" ca="1">IFERROR(IF(OR('Raw Data'!AL214="",LEN(TRIM('Raw Data'!AL214))=0),"",IF(AND(ISNUMBER('Raw Data'!AL214), IFERROR('Raw Data'!AL214 = ROUND('Raw Data'!AL214, 2),FALSE)),"",_xlfn.REGEXEXTRACT(CELL("address",AL214), "\$([A-Z]+)\$[0-9]+"))),_xlfn.REGEXEXTRACT(CELL("address",AL214), "\$([A-Z]+)\$[0-9]+"))</f>
        <v/>
      </c>
      <c r="AM214" s="7" t="str">
        <f t="array" aca="1" ref="AM214" ca="1">IFERROR(IF(OR('Raw Data'!AM214="",LEN(TRIM('Raw Data'!AM214))=0),"",IF(AND(ISNUMBER('Raw Data'!AM214), IFERROR('Raw Data'!AM214 = ROUND('Raw Data'!AM214, 2),FALSE)),"",_xlfn.REGEXEXTRACT(CELL("address",AM214), "\$([A-Z]+)\$[0-9]+"))),_xlfn.REGEXEXTRACT(CELL("address",AM214), "\$([A-Z]+)\$[0-9]+"))</f>
        <v/>
      </c>
      <c r="AN214" s="7" t="str">
        <f t="array" aca="1" ref="AN214" ca="1">IFERROR(IF(OR('Raw Data'!AN214="",LEN(TRIM('Raw Data'!AN214))=0),"",IF(AND(ISNUMBER('Raw Data'!AN214), IFERROR('Raw Data'!AN214 = ROUND('Raw Data'!AN214, 2),FALSE)),"",_xlfn.REGEXEXTRACT(CELL("address",AN214), "\$([A-Z]+)\$[0-9]+"))),_xlfn.REGEXEXTRACT(CELL("address",AN214), "\$([A-Z]+)\$[0-9]+"))</f>
        <v/>
      </c>
      <c r="AO214" s="7" t="str">
        <f t="array" aca="1" ref="AO214" ca="1">IFERROR(IF(OR('Raw Data'!AO214="",LEN(TRIM('Raw Data'!AO214))=0),"",IF(AND(ISNUMBER('Raw Data'!AO214), IFERROR('Raw Data'!AO214 = ROUND('Raw Data'!AO214, 2),FALSE)),"",_xlfn.REGEXEXTRACT(CELL("address",AO214), "\$([A-Z]+)\$[0-9]+"))),_xlfn.REGEXEXTRACT(CELL("address",AO214), "\$([A-Z]+)\$[0-9]+"))</f>
        <v/>
      </c>
      <c r="AP214" s="7" t="str">
        <f t="array" aca="1" ref="AP214" ca="1">IFERROR(IF(OR('Raw Data'!AP214="",LEN(TRIM('Raw Data'!AP214))=0),"",IF(AND(ISNUMBER('Raw Data'!AP214), IFERROR('Raw Data'!AP214 = ROUND('Raw Data'!AP214, 2),FALSE)),"",_xlfn.REGEXEXTRACT(CELL("address",AP214), "\$([A-Z]+)\$[0-9]+"))),_xlfn.REGEXEXTRACT(CELL("address",AP214), "\$([A-Z]+)\$[0-9]+"))</f>
        <v/>
      </c>
    </row>
    <row r="215" spans="2:42" x14ac:dyDescent="0.25">
      <c r="B215" s="7" t="str">
        <f t="array" aca="1" ref="B215" ca="1">IFERROR(IF(OR('Raw Data'!B215="",LEN(TRIM('Raw Data'!B215))=0),"",IF(AND(LEN('Raw Data'!B215) &lt;= 255,LEN('Raw Data'!B215)&gt; 0),"",_xlfn.REGEXEXTRACT(CELL("address",'Raw Data'!B215),"\$([A-Z]+)\$[0-9]+"))),_xlfn.REGEXEXTRACT(CELL("address",'Raw Data'!B215),"\$([A-Z]+)\$[0-9]+"))</f>
        <v/>
      </c>
      <c r="C215" s="7" t="str">
        <f t="array" aca="1" ref="C215" ca="1">IFERROR(IF(OR('Raw Data'!C215="",LEN(TRIM('Raw Data'!C215))=0),"",IF(AND(LEN('Raw Data'!C215) &lt;= 50,LEN('Raw Data'!C215)&gt; 0),"",_xlfn.REGEXEXTRACT(CELL("address",'Raw Data'!C215),"\$([A-Z]+)\$[0-9]+"))),_xlfn.REGEXEXTRACT(CELL("address",'Raw Data'!C215),"\$([A-Z]+)\$[0-9]+"))</f>
        <v/>
      </c>
      <c r="D215" s="7" t="str">
        <f t="array" aca="1" ref="D215" ca="1">IFERROR(IF(OR('Raw Data'!D215="",LEN(TRIM('Raw Data'!D215))=0),"",IF(AND(LEN('Raw Data'!D215) &lt;= 500,LEN('Raw Data'!D215)&gt; 0),"",_xlfn.REGEXEXTRACT(CELL("address",'Raw Data'!D215),"\$([A-Z]+)\$[0-9]+"))),_xlfn.REGEXEXTRACT(CELL("address",'Raw Data'!D215),"\$([A-Z]+)\$[0-9]+"))</f>
        <v/>
      </c>
      <c r="E215" s="7" t="str">
        <f t="array" aca="1" ref="E215" ca="1">IFERROR(IF(OR('Raw Data'!E215="",LEN(TRIM('Raw Data'!E215))=0),"",IF(AND(LEN('Raw Data'!E215) &lt;= 50,LEN('Raw Data'!E215)&gt; 0),"",_xlfn.REGEXEXTRACT(CELL("address",'Raw Data'!E215),"\$([A-Z]+)\$[0-9]+"))),_xlfn.REGEXEXTRACT(CELL("address",'Raw Data'!E215),"\$([A-Z]+)\$[0-9]+"))</f>
        <v/>
      </c>
      <c r="F215" s="7" t="str">
        <f t="array" aca="1" ref="F215" ca="1">IFERROR(IF(OR('Raw Data'!F215="",LEN(TRIM('Raw Data'!F215))=0),"",IF(AND(LEN('Raw Data'!F215) &lt;= 50,LEN('Raw Data'!F215)&gt; 0),"",_xlfn.REGEXEXTRACT(CELL("address",'Raw Data'!F215),"\$([A-Z]+)\$[0-9]+"))),_xlfn.REGEXEXTRACT(CELL("address",'Raw Data'!F215),"\$([A-Z]+)\$[0-9]+"))</f>
        <v/>
      </c>
      <c r="G215" s="7" t="str">
        <f t="array" aca="1" ref="G215" ca="1">IFERROR(IF(OR('Raw Data'!G215="",LEN(TRIM('Raw Data'!G215))=0),"",IF(AND(LEN('Raw Data'!G215) &lt;= 50,LEN('Raw Data'!G215)&gt; 0),"",_xlfn.REGEXEXTRACT(CELL("address",'Raw Data'!G215),"\$([A-Z]+)\$[0-9]+"))),_xlfn.REGEXEXTRACT(CELL("address",'Raw Data'!G215),"\$([A-Z]+)\$[0-9]+"))</f>
        <v/>
      </c>
      <c r="H215" s="7" t="str">
        <f t="array" aca="1" ref="H215" ca="1">IFERROR(IF(OR('Raw Data'!H215="",LEN(TRIM('Raw Data'!H215))=0),"",IF(AND(LEN('Raw Data'!H215) &lt;= 50,LEN('Raw Data'!H215)&gt; 0),"",_xlfn.REGEXEXTRACT(CELL("address",'Raw Data'!H215),"\$([A-Z]+)\$[0-9]+"))),_xlfn.REGEXEXTRACT(CELL("address",'Raw Data'!H215),"\$([A-Z]+)\$[0-9]+"))</f>
        <v/>
      </c>
      <c r="I215" s="7" t="str">
        <f t="array" aca="1" ref="I215" ca="1">IFERROR(IF(OR('Raw Data'!I215="",LEN(TRIM('Raw Data'!I215))=0),"",IF(AND(LEN('Raw Data'!I215) &lt;= 50,LEN('Raw Data'!I215)&gt; 0),"",_xlfn.REGEXEXTRACT(CELL("address",'Raw Data'!I215),"\$([A-Z]+)\$[0-9]+"))),_xlfn.REGEXEXTRACT(CELL("address",'Raw Data'!I215),"\$([A-Z]+)\$[0-9]+"))</f>
        <v/>
      </c>
      <c r="J215" s="7" t="str">
        <f t="array" aca="1" ref="J215" ca="1">IFERROR(IF(OR('Raw Data'!J215="",LEN(TRIM('Raw Data'!J215))=0),"",IF(AND(ISNUMBER('Raw Data'!J215), IFERROR('Raw Data'!J215 = ROUND('Raw Data'!J215, 2),FALSE)),"",_xlfn.REGEXEXTRACT(CELL("address",J215), "\$([A-Z]+)\$[0-9]+"))),_xlfn.REGEXEXTRACT(CELL("address",J215), "\$([A-Z]+)\$[0-9]+"))</f>
        <v/>
      </c>
      <c r="K215" s="7" t="str">
        <f t="array" aca="1" ref="K215" ca="1">IFERROR(IF(OR('Raw Data'!K215="",LEN(TRIM('Raw Data'!K215))=0),"",IF(AND(ISNUMBER('Raw Data'!K215), IFERROR('Raw Data'!K215 = ROUND('Raw Data'!K215, 2),FALSE)),"",_xlfn.REGEXEXTRACT(CELL("address",K215), "\$([A-Z]+)\$[0-9]+"))),_xlfn.REGEXEXTRACT(CELL("address",K215), "\$([A-Z]+)\$[0-9]+"))</f>
        <v/>
      </c>
      <c r="L215" s="7" t="str">
        <f t="array" aca="1" ref="L215" ca="1">IFERROR(IF(OR('Raw Data'!L215="",LEN(TRIM('Raw Data'!L215))=0),"",IF(AND(ISNUMBER('Raw Data'!L215), IFERROR('Raw Data'!L215 = ROUND('Raw Data'!L215, 2),FALSE)),"",_xlfn.REGEXEXTRACT(CELL("address",L215), "\$([A-Z]+)\$[0-9]+"))),_xlfn.REGEXEXTRACT(CELL("address",L215), "\$([A-Z]+)\$[0-9]+"))</f>
        <v/>
      </c>
      <c r="M215" s="7" t="str">
        <f t="array" aca="1" ref="M215" ca="1">IFERROR(IF(OR('Raw Data'!M215="",LEN(TRIM('Raw Data'!M215))=0),"",IF(AND(ISNUMBER('Raw Data'!M215), IFERROR('Raw Data'!M215 = ROUND('Raw Data'!M215, 2),FALSE)),"",_xlfn.REGEXEXTRACT(CELL("address",M215), "\$([A-Z]+)\$[0-9]+"))),_xlfn.REGEXEXTRACT(CELL("address",M215), "\$([A-Z]+)\$[0-9]+"))</f>
        <v/>
      </c>
      <c r="N215" s="7" t="str">
        <f t="array" aca="1" ref="N215" ca="1">IFERROR(IF(OR('Raw Data'!N215="",LEN(TRIM('Raw Data'!N215))=0),"",IF(AND(ISNUMBER('Raw Data'!N215), IFERROR('Raw Data'!N215 = ROUND('Raw Data'!N215, 2),FALSE)),"",_xlfn.REGEXEXTRACT(CELL("address",N215), "\$([A-Z]+)\$[0-9]+"))),_xlfn.REGEXEXTRACT(CELL("address",N215), "\$([A-Z]+)\$[0-9]+"))</f>
        <v/>
      </c>
      <c r="O215" s="7" t="str">
        <f t="array" aca="1" ref="O215" ca="1">IFERROR(IF(OR('Raw Data'!O215="",LEN(TRIM('Raw Data'!O215))=0),"",IF(AND(ISNUMBER('Raw Data'!O215),'Raw Data'!O215&gt;=Configuration!$D$2),"",_xlfn.REGEXEXTRACT(CELL("address",'Raw Data'!O215),"\$([A-Z]+)\$[0-9]+"))),_xlfn.REGEXEXTRACT(CELL("address",O215), "\$([A-Z]+)\$[0-9]+"))</f>
        <v/>
      </c>
      <c r="P215" s="7" t="str">
        <f t="array" aca="1" ref="P215" ca="1">IFERROR(IF(OR('Raw Data'!P215="",LEN(TRIM('Raw Data'!P215))=0),"",IF(AND(ISNUMBER('Raw Data'!P215), IFERROR('Raw Data'!P215 = ROUND('Raw Data'!P215, 2),FALSE)),"",_xlfn.REGEXEXTRACT(CELL("address",P215), "\$([A-Z]+)\$[0-9]+"))),_xlfn.REGEXEXTRACT(CELL("address",P215), "\$([A-Z]+)\$[0-9]+"))</f>
        <v/>
      </c>
      <c r="Q215" s="7" t="str">
        <f t="array" aca="1" ref="Q215" ca="1">IFERROR(IF(OR('Raw Data'!Q215="",LEN(TRIM('Raw Data'!Q215))=0),"",IF(AND(ISNUMBER('Raw Data'!Q215), IFERROR('Raw Data'!Q215 = ROUND('Raw Data'!Q215, 2),FALSE)),"",_xlfn.REGEXEXTRACT(CELL("address",Q215), "\$([A-Z]+)\$[0-9]+"))),_xlfn.REGEXEXTRACT(CELL("address",Q215), "\$([A-Z]+)\$[0-9]+"))</f>
        <v/>
      </c>
      <c r="R215" s="7" t="str">
        <f t="array" aca="1" ref="R215" ca="1">IFERROR(IF(OR('Raw Data'!R215="",LEN(TRIM('Raw Data'!R215))=0),"",IF(AND(LEN('Raw Data'!R215) &lt;= 50,LEN('Raw Data'!R215)&gt; 0),"",_xlfn.REGEXEXTRACT(CELL("address",'Raw Data'!R215),"\$([A-Z]+)\$[0-9]+"))),_xlfn.REGEXEXTRACT(CELL("address",'Raw Data'!R215),"\$([A-Z]+)\$[0-9]+"))</f>
        <v/>
      </c>
      <c r="S215" s="7" t="str">
        <f t="array" aca="1" ref="S215" ca="1">IFERROR(IF(OR('Raw Data'!S215="",LEN(TRIM('Raw Data'!S215))=0),"",IF(AND(LEN('Raw Data'!S215) &lt;= 50,LEN('Raw Data'!S215)&gt; 0),"",_xlfn.REGEXEXTRACT(CELL("address",'Raw Data'!S215),"\$([A-Z]+)\$[0-9]+"))),_xlfn.REGEXEXTRACT(CELL("address",'Raw Data'!S215),"\$([A-Z]+)\$[0-9]+"))</f>
        <v/>
      </c>
      <c r="T215" s="7" t="str">
        <f t="array" aca="1" ref="T215" ca="1">IFERROR(IF(OR('Raw Data'!T215="",LEN(TRIM('Raw Data'!T215))=0),"",IF(AND(ISNUMBER('Raw Data'!T215), IFERROR('Raw Data'!T215 = ROUND('Raw Data'!T215, 2),FALSE)),"",_xlfn.REGEXEXTRACT(CELL("address",T215), "\$([A-Z]+)\$[0-9]+"))),_xlfn.REGEXEXTRACT(CELL("address",T215), "\$([A-Z]+)\$[0-9]+"))</f>
        <v/>
      </c>
      <c r="U215" s="7" t="str">
        <f t="array" aca="1" ref="U215" ca="1">IFERROR(IF(OR('Raw Data'!U215="",LEN(TRIM('Raw Data'!U215))=0),"",IF(AND(ISNUMBER('Raw Data'!U215), IFERROR('Raw Data'!U215 = ROUND('Raw Data'!U215, 2),FALSE)),"",_xlfn.REGEXEXTRACT(CELL("address",U215), "\$([A-Z]+)\$[0-9]+"))),_xlfn.REGEXEXTRACT(CELL("address",U215), "\$([A-Z]+)\$[0-9]+"))</f>
        <v/>
      </c>
      <c r="V215" s="7" t="str">
        <f t="array" aca="1" ref="V215" ca="1">IFERROR(IF(OR('Raw Data'!V215="",LEN(TRIM('Raw Data'!V215))=0),"",IF(AND(ISNUMBER('Raw Data'!V215), IFERROR('Raw Data'!V215 = ROUND('Raw Data'!V215, 2),FALSE)),"",_xlfn.REGEXEXTRACT(CELL("address",V215), "\$([A-Z]+)\$[0-9]+"))),_xlfn.REGEXEXTRACT(CELL("address",V215), "\$([A-Z]+)\$[0-9]+"))</f>
        <v/>
      </c>
      <c r="W215" s="7" t="str">
        <f t="array" aca="1" ref="W215" ca="1">IFERROR(IF(OR('Raw Data'!W215="",LEN(TRIM('Raw Data'!W215))=0),"",IF(AND(ISNUMBER('Raw Data'!W215), IFERROR('Raw Data'!W215 = ROUND('Raw Data'!W215, 2),FALSE)),"",_xlfn.REGEXEXTRACT(CELL("address",W215), "\$([A-Z]+)\$[0-9]+"))),_xlfn.REGEXEXTRACT(CELL("address",W215), "\$([A-Z]+)\$[0-9]+"))</f>
        <v/>
      </c>
      <c r="X215" s="7" t="str">
        <f t="array" aca="1" ref="X215" ca="1">IFERROR(IF(OR('Raw Data'!X215="",LEN(TRIM('Raw Data'!X215))=0),"",IF(AND(ISNUMBER('Raw Data'!X215), IFERROR('Raw Data'!X215 = ROUND('Raw Data'!X215, 2),FALSE)),"",_xlfn.REGEXEXTRACT(CELL("address",X215), "\$([A-Z]+)\$[0-9]+"))),_xlfn.REGEXEXTRACT(CELL("address",X215), "\$([A-Z]+)\$[0-9]+"))</f>
        <v/>
      </c>
      <c r="Y215" s="7" t="str">
        <f t="array" aca="1" ref="Y215" ca="1">IFERROR(IF(OR('Raw Data'!Y215="",LEN(TRIM('Raw Data'!Y215))=0),"",IF(AND(ISNUMBER('Raw Data'!Y215), IFERROR('Raw Data'!Y215 = ROUND('Raw Data'!Y215, 2),FALSE)),"",_xlfn.REGEXEXTRACT(CELL("address",Y215), "\$([A-Z]+)\$[0-9]+"))),_xlfn.REGEXEXTRACT(CELL("address",Y215), "\$([A-Z]+)\$[0-9]+"))</f>
        <v/>
      </c>
      <c r="Z215" s="7" t="str">
        <f t="array" aca="1" ref="Z215" ca="1">IFERROR(IF(OR('Raw Data'!Z215="",LEN(TRIM('Raw Data'!Z215))=0),"",IF(AND(ISNUMBER('Raw Data'!Z215), IFERROR('Raw Data'!Z215 = ROUND('Raw Data'!Z215, 2),FALSE)),"",_xlfn.REGEXEXTRACT(CELL("address",Z215), "\$([A-Z]+)\$[0-9]+"))),_xlfn.REGEXEXTRACT(CELL("address",Z215), "\$([A-Z]+)\$[0-9]+"))</f>
        <v/>
      </c>
      <c r="AA215" s="7" t="str">
        <f t="array" aca="1" ref="AA215" ca="1">IFERROR(IF(OR('Raw Data'!AA215="",LEN(TRIM('Raw Data'!AA215))=0),"",IF(AND(ISNUMBER('Raw Data'!AA215), IFERROR('Raw Data'!AA215 = ROUND('Raw Data'!AA215, 2),FALSE)),"",_xlfn.REGEXEXTRACT(CELL("address",AA215), "\$([A-Z]+)\$[0-9]+"))),_xlfn.REGEXEXTRACT(CELL("address",AA215), "\$([A-Z]+)\$[0-9]+"))</f>
        <v/>
      </c>
      <c r="AB215" s="7" t="str">
        <f t="array" aca="1" ref="AB215" ca="1">IFERROR(IF(OR('Raw Data'!AB215="",LEN(TRIM('Raw Data'!AB215))=0),"",IF(AND(ISNUMBER('Raw Data'!AB215), IFERROR('Raw Data'!AB215 = ROUND('Raw Data'!AB215, 2),FALSE)),"",_xlfn.REGEXEXTRACT(CELL("address",AB215), "\$([A-Z]+)\$[0-9]+"))),_xlfn.REGEXEXTRACT(CELL("address",AB215), "\$([A-Z]+)\$[0-9]+"))</f>
        <v/>
      </c>
      <c r="AC215" s="7" t="str">
        <f t="array" aca="1" ref="AC215" ca="1">IFERROR(IF(OR('Raw Data'!AC215="",LEN(TRIM('Raw Data'!AC215))=0),"",IF(AND(ISNUMBER('Raw Data'!AC215), IFERROR('Raw Data'!AC215 = ROUND('Raw Data'!AC215, 2),FALSE)),"",_xlfn.REGEXEXTRACT(CELL("address",AC215), "\$([A-Z]+)\$[0-9]+"))),_xlfn.REGEXEXTRACT(CELL("address",AC215), "\$([A-Z]+)\$[0-9]+"))</f>
        <v/>
      </c>
      <c r="AD215" s="7" t="str">
        <f t="array" aca="1" ref="AD215" ca="1">IFERROR(IF(OR('Raw Data'!AD215="",LEN(TRIM('Raw Data'!AD215))=0),"",IF(AND(ISNUMBER('Raw Data'!AD215), IFERROR('Raw Data'!AD215 = ROUND('Raw Data'!AD215, 2),FALSE)),"",_xlfn.REGEXEXTRACT(CELL("address",AD215), "\$([A-Z]+)\$[0-9]+"))),_xlfn.REGEXEXTRACT(CELL("address",AD215), "\$([A-Z]+)\$[0-9]+"))</f>
        <v/>
      </c>
      <c r="AE215" s="7" t="str">
        <f t="array" aca="1" ref="AE215" ca="1">IFERROR(IF(OR('Raw Data'!AE215="",LEN(TRIM('Raw Data'!AE215))=0),"",IF(AND(ISNUMBER('Raw Data'!AE215), IFERROR('Raw Data'!AE215 = ROUND('Raw Data'!AE215, 2),FALSE)),"",_xlfn.REGEXEXTRACT(CELL("address",AE215), "\$([A-Z]+)\$[0-9]+"))),_xlfn.REGEXEXTRACT(CELL("address",AE215), "\$([A-Z]+)\$[0-9]+"))</f>
        <v/>
      </c>
      <c r="AF215" s="7" t="str">
        <f t="array" aca="1" ref="AF215" ca="1">IFERROR(IF(OR('Raw Data'!AF215="",LEN(TRIM('Raw Data'!AF215))=0),"",IF(AND(ISNUMBER('Raw Data'!AF215), IFERROR('Raw Data'!AF215 = ROUND('Raw Data'!AF215, 2),FALSE)),"",_xlfn.REGEXEXTRACT(CELL("address",AF215), "\$([A-Z]+)\$[0-9]+"))),_xlfn.REGEXEXTRACT(CELL("address",AF215), "\$([A-Z]+)\$[0-9]+"))</f>
        <v/>
      </c>
      <c r="AG215" s="7" t="str">
        <f t="array" aca="1" ref="AG215" ca="1">IFERROR(IF(OR('Raw Data'!AG215="",LEN(TRIM('Raw Data'!AG215))=0),"",IF(AND(ISNUMBER('Raw Data'!AG215), IFERROR('Raw Data'!AG215 = ROUND('Raw Data'!AG215, 2),FALSE)),"",_xlfn.REGEXEXTRACT(CELL("address",AG215), "\$([A-Z]+)\$[0-9]+"))),_xlfn.REGEXEXTRACT(CELL("address",AG215), "\$([A-Z]+)\$[0-9]+"))</f>
        <v/>
      </c>
      <c r="AH215" s="7" t="str">
        <f t="array" aca="1" ref="AH215" ca="1">IFERROR(IF(OR('Raw Data'!AH215="",LEN(TRIM('Raw Data'!AH215))=0),"",IF(AND(ISNUMBER('Raw Data'!AH215), IFERROR('Raw Data'!AH215 = ROUND('Raw Data'!AH215, 2),FALSE)),"",_xlfn.REGEXEXTRACT(CELL("address",AH215), "\$([A-Z]+)\$[0-9]+"))),_xlfn.REGEXEXTRACT(CELL("address",AH215), "\$([A-Z]+)\$[0-9]+"))</f>
        <v/>
      </c>
      <c r="AI215" s="7" t="str">
        <f t="array" aca="1" ref="AI215" ca="1">IFERROR(IF(OR('Raw Data'!AI215="",LEN(TRIM('Raw Data'!AI215))=0),"",IF(AND(ISNUMBER('Raw Data'!AI215), IFERROR('Raw Data'!AI215 = ROUND('Raw Data'!AI215, 2),FALSE)),"",_xlfn.REGEXEXTRACT(CELL("address",AI215), "\$([A-Z]+)\$[0-9]+"))),_xlfn.REGEXEXTRACT(CELL("address",AI215), "\$([A-Z]+)\$[0-9]+"))</f>
        <v/>
      </c>
      <c r="AJ215" s="7" t="str">
        <f t="array" aca="1" ref="AJ215" ca="1">IFERROR(IF(OR('Raw Data'!AJ215="",LEN(TRIM('Raw Data'!AJ215))=0),"",IF(AND(ISNUMBER('Raw Data'!AJ215), IFERROR('Raw Data'!AJ215 = ROUND('Raw Data'!AJ215, 4),FALSE)),"",_xlfn.REGEXEXTRACT(CELL("address",AJ215), "\$([A-Z]+)\$[0-9]+"))),_xlfn.REGEXEXTRACT(CELL("address",AJ215), "\$([A-Z]+)\$[0-9]+"))</f>
        <v/>
      </c>
      <c r="AK215" s="7" t="str">
        <f t="array" aca="1" ref="AK215" ca="1">IFERROR(IF(OR('Raw Data'!AK215="",LEN(TRIM('Raw Data'!AK215))=0),"",IF(AND(ISNUMBER('Raw Data'!AK215), IFERROR('Raw Data'!AK215 = ROUND('Raw Data'!AK215, 2),FALSE)),"",_xlfn.REGEXEXTRACT(CELL("address",AK215), "\$([A-Z]+)\$[0-9]+"))),_xlfn.REGEXEXTRACT(CELL("address",AK215), "\$([A-Z]+)\$[0-9]+"))</f>
        <v/>
      </c>
      <c r="AL215" s="7" t="str">
        <f t="array" aca="1" ref="AL215" ca="1">IFERROR(IF(OR('Raw Data'!AL215="",LEN(TRIM('Raw Data'!AL215))=0),"",IF(AND(ISNUMBER('Raw Data'!AL215), IFERROR('Raw Data'!AL215 = ROUND('Raw Data'!AL215, 2),FALSE)),"",_xlfn.REGEXEXTRACT(CELL("address",AL215), "\$([A-Z]+)\$[0-9]+"))),_xlfn.REGEXEXTRACT(CELL("address",AL215), "\$([A-Z]+)\$[0-9]+"))</f>
        <v/>
      </c>
      <c r="AM215" s="7" t="str">
        <f t="array" aca="1" ref="AM215" ca="1">IFERROR(IF(OR('Raw Data'!AM215="",LEN(TRIM('Raw Data'!AM215))=0),"",IF(AND(ISNUMBER('Raw Data'!AM215), IFERROR('Raw Data'!AM215 = ROUND('Raw Data'!AM215, 2),FALSE)),"",_xlfn.REGEXEXTRACT(CELL("address",AM215), "\$([A-Z]+)\$[0-9]+"))),_xlfn.REGEXEXTRACT(CELL("address",AM215), "\$([A-Z]+)\$[0-9]+"))</f>
        <v/>
      </c>
      <c r="AN215" s="7" t="str">
        <f t="array" aca="1" ref="AN215" ca="1">IFERROR(IF(OR('Raw Data'!AN215="",LEN(TRIM('Raw Data'!AN215))=0),"",IF(AND(ISNUMBER('Raw Data'!AN215), IFERROR('Raw Data'!AN215 = ROUND('Raw Data'!AN215, 2),FALSE)),"",_xlfn.REGEXEXTRACT(CELL("address",AN215), "\$([A-Z]+)\$[0-9]+"))),_xlfn.REGEXEXTRACT(CELL("address",AN215), "\$([A-Z]+)\$[0-9]+"))</f>
        <v/>
      </c>
      <c r="AO215" s="7" t="str">
        <f t="array" aca="1" ref="AO215" ca="1">IFERROR(IF(OR('Raw Data'!AO215="",LEN(TRIM('Raw Data'!AO215))=0),"",IF(AND(ISNUMBER('Raw Data'!AO215), IFERROR('Raw Data'!AO215 = ROUND('Raw Data'!AO215, 2),FALSE)),"",_xlfn.REGEXEXTRACT(CELL("address",AO215), "\$([A-Z]+)\$[0-9]+"))),_xlfn.REGEXEXTRACT(CELL("address",AO215), "\$([A-Z]+)\$[0-9]+"))</f>
        <v/>
      </c>
      <c r="AP215" s="7" t="str">
        <f t="array" aca="1" ref="AP215" ca="1">IFERROR(IF(OR('Raw Data'!AP215="",LEN(TRIM('Raw Data'!AP215))=0),"",IF(AND(ISNUMBER('Raw Data'!AP215), IFERROR('Raw Data'!AP215 = ROUND('Raw Data'!AP215, 2),FALSE)),"",_xlfn.REGEXEXTRACT(CELL("address",AP215), "\$([A-Z]+)\$[0-9]+"))),_xlfn.REGEXEXTRACT(CELL("address",AP215), "\$([A-Z]+)\$[0-9]+"))</f>
        <v/>
      </c>
    </row>
    <row r="216" spans="2:42" x14ac:dyDescent="0.25">
      <c r="B216" s="7" t="str">
        <f t="array" aca="1" ref="B216" ca="1">IFERROR(IF(OR('Raw Data'!B216="",LEN(TRIM('Raw Data'!B216))=0),"",IF(AND(LEN('Raw Data'!B216) &lt;= 255,LEN('Raw Data'!B216)&gt; 0),"",_xlfn.REGEXEXTRACT(CELL("address",'Raw Data'!B216),"\$([A-Z]+)\$[0-9]+"))),_xlfn.REGEXEXTRACT(CELL("address",'Raw Data'!B216),"\$([A-Z]+)\$[0-9]+"))</f>
        <v/>
      </c>
      <c r="C216" s="7" t="str">
        <f t="array" aca="1" ref="C216" ca="1">IFERROR(IF(OR('Raw Data'!C216="",LEN(TRIM('Raw Data'!C216))=0),"",IF(AND(LEN('Raw Data'!C216) &lt;= 50,LEN('Raw Data'!C216)&gt; 0),"",_xlfn.REGEXEXTRACT(CELL("address",'Raw Data'!C216),"\$([A-Z]+)\$[0-9]+"))),_xlfn.REGEXEXTRACT(CELL("address",'Raw Data'!C216),"\$([A-Z]+)\$[0-9]+"))</f>
        <v/>
      </c>
      <c r="D216" s="7" t="str">
        <f t="array" aca="1" ref="D216" ca="1">IFERROR(IF(OR('Raw Data'!D216="",LEN(TRIM('Raw Data'!D216))=0),"",IF(AND(LEN('Raw Data'!D216) &lt;= 500,LEN('Raw Data'!D216)&gt; 0),"",_xlfn.REGEXEXTRACT(CELL("address",'Raw Data'!D216),"\$([A-Z]+)\$[0-9]+"))),_xlfn.REGEXEXTRACT(CELL("address",'Raw Data'!D216),"\$([A-Z]+)\$[0-9]+"))</f>
        <v/>
      </c>
      <c r="E216" s="7" t="str">
        <f t="array" aca="1" ref="E216" ca="1">IFERROR(IF(OR('Raw Data'!E216="",LEN(TRIM('Raw Data'!E216))=0),"",IF(AND(LEN('Raw Data'!E216) &lt;= 50,LEN('Raw Data'!E216)&gt; 0),"",_xlfn.REGEXEXTRACT(CELL("address",'Raw Data'!E216),"\$([A-Z]+)\$[0-9]+"))),_xlfn.REGEXEXTRACT(CELL("address",'Raw Data'!E216),"\$([A-Z]+)\$[0-9]+"))</f>
        <v/>
      </c>
      <c r="F216" s="7" t="str">
        <f t="array" aca="1" ref="F216" ca="1">IFERROR(IF(OR('Raw Data'!F216="",LEN(TRIM('Raw Data'!F216))=0),"",IF(AND(LEN('Raw Data'!F216) &lt;= 50,LEN('Raw Data'!F216)&gt; 0),"",_xlfn.REGEXEXTRACT(CELL("address",'Raw Data'!F216),"\$([A-Z]+)\$[0-9]+"))),_xlfn.REGEXEXTRACT(CELL("address",'Raw Data'!F216),"\$([A-Z]+)\$[0-9]+"))</f>
        <v/>
      </c>
      <c r="G216" s="7" t="str">
        <f t="array" aca="1" ref="G216" ca="1">IFERROR(IF(OR('Raw Data'!G216="",LEN(TRIM('Raw Data'!G216))=0),"",IF(AND(LEN('Raw Data'!G216) &lt;= 50,LEN('Raw Data'!G216)&gt; 0),"",_xlfn.REGEXEXTRACT(CELL("address",'Raw Data'!G216),"\$([A-Z]+)\$[0-9]+"))),_xlfn.REGEXEXTRACT(CELL("address",'Raw Data'!G216),"\$([A-Z]+)\$[0-9]+"))</f>
        <v/>
      </c>
      <c r="H216" s="7" t="str">
        <f t="array" aca="1" ref="H216" ca="1">IFERROR(IF(OR('Raw Data'!H216="",LEN(TRIM('Raw Data'!H216))=0),"",IF(AND(LEN('Raw Data'!H216) &lt;= 50,LEN('Raw Data'!H216)&gt; 0),"",_xlfn.REGEXEXTRACT(CELL("address",'Raw Data'!H216),"\$([A-Z]+)\$[0-9]+"))),_xlfn.REGEXEXTRACT(CELL("address",'Raw Data'!H216),"\$([A-Z]+)\$[0-9]+"))</f>
        <v/>
      </c>
      <c r="I216" s="7" t="str">
        <f t="array" aca="1" ref="I216" ca="1">IFERROR(IF(OR('Raw Data'!I216="",LEN(TRIM('Raw Data'!I216))=0),"",IF(AND(LEN('Raw Data'!I216) &lt;= 50,LEN('Raw Data'!I216)&gt; 0),"",_xlfn.REGEXEXTRACT(CELL("address",'Raw Data'!I216),"\$([A-Z]+)\$[0-9]+"))),_xlfn.REGEXEXTRACT(CELL("address",'Raw Data'!I216),"\$([A-Z]+)\$[0-9]+"))</f>
        <v/>
      </c>
      <c r="J216" s="7" t="str">
        <f t="array" aca="1" ref="J216" ca="1">IFERROR(IF(OR('Raw Data'!J216="",LEN(TRIM('Raw Data'!J216))=0),"",IF(AND(ISNUMBER('Raw Data'!J216), IFERROR('Raw Data'!J216 = ROUND('Raw Data'!J216, 2),FALSE)),"",_xlfn.REGEXEXTRACT(CELL("address",J216), "\$([A-Z]+)\$[0-9]+"))),_xlfn.REGEXEXTRACT(CELL("address",J216), "\$([A-Z]+)\$[0-9]+"))</f>
        <v/>
      </c>
      <c r="K216" s="7" t="str">
        <f t="array" aca="1" ref="K216" ca="1">IFERROR(IF(OR('Raw Data'!K216="",LEN(TRIM('Raw Data'!K216))=0),"",IF(AND(ISNUMBER('Raw Data'!K216), IFERROR('Raw Data'!K216 = ROUND('Raw Data'!K216, 2),FALSE)),"",_xlfn.REGEXEXTRACT(CELL("address",K216), "\$([A-Z]+)\$[0-9]+"))),_xlfn.REGEXEXTRACT(CELL("address",K216), "\$([A-Z]+)\$[0-9]+"))</f>
        <v/>
      </c>
      <c r="L216" s="7" t="str">
        <f t="array" aca="1" ref="L216" ca="1">IFERROR(IF(OR('Raw Data'!L216="",LEN(TRIM('Raw Data'!L216))=0),"",IF(AND(ISNUMBER('Raw Data'!L216), IFERROR('Raw Data'!L216 = ROUND('Raw Data'!L216, 2),FALSE)),"",_xlfn.REGEXEXTRACT(CELL("address",L216), "\$([A-Z]+)\$[0-9]+"))),_xlfn.REGEXEXTRACT(CELL("address",L216), "\$([A-Z]+)\$[0-9]+"))</f>
        <v/>
      </c>
      <c r="M216" s="7" t="str">
        <f t="array" aca="1" ref="M216" ca="1">IFERROR(IF(OR('Raw Data'!M216="",LEN(TRIM('Raw Data'!M216))=0),"",IF(AND(ISNUMBER('Raw Data'!M216), IFERROR('Raw Data'!M216 = ROUND('Raw Data'!M216, 2),FALSE)),"",_xlfn.REGEXEXTRACT(CELL("address",M216), "\$([A-Z]+)\$[0-9]+"))),_xlfn.REGEXEXTRACT(CELL("address",M216), "\$([A-Z]+)\$[0-9]+"))</f>
        <v/>
      </c>
      <c r="N216" s="7" t="str">
        <f t="array" aca="1" ref="N216" ca="1">IFERROR(IF(OR('Raw Data'!N216="",LEN(TRIM('Raw Data'!N216))=0),"",IF(AND(ISNUMBER('Raw Data'!N216), IFERROR('Raw Data'!N216 = ROUND('Raw Data'!N216, 2),FALSE)),"",_xlfn.REGEXEXTRACT(CELL("address",N216), "\$([A-Z]+)\$[0-9]+"))),_xlfn.REGEXEXTRACT(CELL("address",N216), "\$([A-Z]+)\$[0-9]+"))</f>
        <v/>
      </c>
      <c r="O216" s="7" t="str">
        <f t="array" aca="1" ref="O216" ca="1">IFERROR(IF(OR('Raw Data'!O216="",LEN(TRIM('Raw Data'!O216))=0),"",IF(AND(ISNUMBER('Raw Data'!O216),'Raw Data'!O216&gt;=Configuration!$D$2),"",_xlfn.REGEXEXTRACT(CELL("address",'Raw Data'!O216),"\$([A-Z]+)\$[0-9]+"))),_xlfn.REGEXEXTRACT(CELL("address",O216), "\$([A-Z]+)\$[0-9]+"))</f>
        <v/>
      </c>
      <c r="P216" s="7" t="str">
        <f t="array" aca="1" ref="P216" ca="1">IFERROR(IF(OR('Raw Data'!P216="",LEN(TRIM('Raw Data'!P216))=0),"",IF(AND(ISNUMBER('Raw Data'!P216), IFERROR('Raw Data'!P216 = ROUND('Raw Data'!P216, 2),FALSE)),"",_xlfn.REGEXEXTRACT(CELL("address",P216), "\$([A-Z]+)\$[0-9]+"))),_xlfn.REGEXEXTRACT(CELL("address",P216), "\$([A-Z]+)\$[0-9]+"))</f>
        <v/>
      </c>
      <c r="Q216" s="7" t="str">
        <f t="array" aca="1" ref="Q216" ca="1">IFERROR(IF(OR('Raw Data'!Q216="",LEN(TRIM('Raw Data'!Q216))=0),"",IF(AND(ISNUMBER('Raw Data'!Q216), IFERROR('Raw Data'!Q216 = ROUND('Raw Data'!Q216, 2),FALSE)),"",_xlfn.REGEXEXTRACT(CELL("address",Q216), "\$([A-Z]+)\$[0-9]+"))),_xlfn.REGEXEXTRACT(CELL("address",Q216), "\$([A-Z]+)\$[0-9]+"))</f>
        <v/>
      </c>
      <c r="R216" s="7" t="str">
        <f t="array" aca="1" ref="R216" ca="1">IFERROR(IF(OR('Raw Data'!R216="",LEN(TRIM('Raw Data'!R216))=0),"",IF(AND(LEN('Raw Data'!R216) &lt;= 50,LEN('Raw Data'!R216)&gt; 0),"",_xlfn.REGEXEXTRACT(CELL("address",'Raw Data'!R216),"\$([A-Z]+)\$[0-9]+"))),_xlfn.REGEXEXTRACT(CELL("address",'Raw Data'!R216),"\$([A-Z]+)\$[0-9]+"))</f>
        <v/>
      </c>
      <c r="S216" s="7" t="str">
        <f t="array" aca="1" ref="S216" ca="1">IFERROR(IF(OR('Raw Data'!S216="",LEN(TRIM('Raw Data'!S216))=0),"",IF(AND(LEN('Raw Data'!S216) &lt;= 50,LEN('Raw Data'!S216)&gt; 0),"",_xlfn.REGEXEXTRACT(CELL("address",'Raw Data'!S216),"\$([A-Z]+)\$[0-9]+"))),_xlfn.REGEXEXTRACT(CELL("address",'Raw Data'!S216),"\$([A-Z]+)\$[0-9]+"))</f>
        <v/>
      </c>
      <c r="T216" s="7" t="str">
        <f t="array" aca="1" ref="T216" ca="1">IFERROR(IF(OR('Raw Data'!T216="",LEN(TRIM('Raw Data'!T216))=0),"",IF(AND(ISNUMBER('Raw Data'!T216), IFERROR('Raw Data'!T216 = ROUND('Raw Data'!T216, 2),FALSE)),"",_xlfn.REGEXEXTRACT(CELL("address",T216), "\$([A-Z]+)\$[0-9]+"))),_xlfn.REGEXEXTRACT(CELL("address",T216), "\$([A-Z]+)\$[0-9]+"))</f>
        <v/>
      </c>
      <c r="U216" s="7" t="str">
        <f t="array" aca="1" ref="U216" ca="1">IFERROR(IF(OR('Raw Data'!U216="",LEN(TRIM('Raw Data'!U216))=0),"",IF(AND(ISNUMBER('Raw Data'!U216), IFERROR('Raw Data'!U216 = ROUND('Raw Data'!U216, 2),FALSE)),"",_xlfn.REGEXEXTRACT(CELL("address",U216), "\$([A-Z]+)\$[0-9]+"))),_xlfn.REGEXEXTRACT(CELL("address",U216), "\$([A-Z]+)\$[0-9]+"))</f>
        <v/>
      </c>
      <c r="V216" s="7" t="str">
        <f t="array" aca="1" ref="V216" ca="1">IFERROR(IF(OR('Raw Data'!V216="",LEN(TRIM('Raw Data'!V216))=0),"",IF(AND(ISNUMBER('Raw Data'!V216), IFERROR('Raw Data'!V216 = ROUND('Raw Data'!V216, 2),FALSE)),"",_xlfn.REGEXEXTRACT(CELL("address",V216), "\$([A-Z]+)\$[0-9]+"))),_xlfn.REGEXEXTRACT(CELL("address",V216), "\$([A-Z]+)\$[0-9]+"))</f>
        <v/>
      </c>
      <c r="W216" s="7" t="str">
        <f t="array" aca="1" ref="W216" ca="1">IFERROR(IF(OR('Raw Data'!W216="",LEN(TRIM('Raw Data'!W216))=0),"",IF(AND(ISNUMBER('Raw Data'!W216), IFERROR('Raw Data'!W216 = ROUND('Raw Data'!W216, 2),FALSE)),"",_xlfn.REGEXEXTRACT(CELL("address",W216), "\$([A-Z]+)\$[0-9]+"))),_xlfn.REGEXEXTRACT(CELL("address",W216), "\$([A-Z]+)\$[0-9]+"))</f>
        <v/>
      </c>
      <c r="X216" s="7" t="str">
        <f t="array" aca="1" ref="X216" ca="1">IFERROR(IF(OR('Raw Data'!X216="",LEN(TRIM('Raw Data'!X216))=0),"",IF(AND(ISNUMBER('Raw Data'!X216), IFERROR('Raw Data'!X216 = ROUND('Raw Data'!X216, 2),FALSE)),"",_xlfn.REGEXEXTRACT(CELL("address",X216), "\$([A-Z]+)\$[0-9]+"))),_xlfn.REGEXEXTRACT(CELL("address",X216), "\$([A-Z]+)\$[0-9]+"))</f>
        <v/>
      </c>
      <c r="Y216" s="7" t="str">
        <f t="array" aca="1" ref="Y216" ca="1">IFERROR(IF(OR('Raw Data'!Y216="",LEN(TRIM('Raw Data'!Y216))=0),"",IF(AND(ISNUMBER('Raw Data'!Y216), IFERROR('Raw Data'!Y216 = ROUND('Raw Data'!Y216, 2),FALSE)),"",_xlfn.REGEXEXTRACT(CELL("address",Y216), "\$([A-Z]+)\$[0-9]+"))),_xlfn.REGEXEXTRACT(CELL("address",Y216), "\$([A-Z]+)\$[0-9]+"))</f>
        <v/>
      </c>
      <c r="Z216" s="7" t="str">
        <f t="array" aca="1" ref="Z216" ca="1">IFERROR(IF(OR('Raw Data'!Z216="",LEN(TRIM('Raw Data'!Z216))=0),"",IF(AND(ISNUMBER('Raw Data'!Z216), IFERROR('Raw Data'!Z216 = ROUND('Raw Data'!Z216, 2),FALSE)),"",_xlfn.REGEXEXTRACT(CELL("address",Z216), "\$([A-Z]+)\$[0-9]+"))),_xlfn.REGEXEXTRACT(CELL("address",Z216), "\$([A-Z]+)\$[0-9]+"))</f>
        <v/>
      </c>
      <c r="AA216" s="7" t="str">
        <f t="array" aca="1" ref="AA216" ca="1">IFERROR(IF(OR('Raw Data'!AA216="",LEN(TRIM('Raw Data'!AA216))=0),"",IF(AND(ISNUMBER('Raw Data'!AA216), IFERROR('Raw Data'!AA216 = ROUND('Raw Data'!AA216, 2),FALSE)),"",_xlfn.REGEXEXTRACT(CELL("address",AA216), "\$([A-Z]+)\$[0-9]+"))),_xlfn.REGEXEXTRACT(CELL("address",AA216), "\$([A-Z]+)\$[0-9]+"))</f>
        <v/>
      </c>
      <c r="AB216" s="7" t="str">
        <f t="array" aca="1" ref="AB216" ca="1">IFERROR(IF(OR('Raw Data'!AB216="",LEN(TRIM('Raw Data'!AB216))=0),"",IF(AND(ISNUMBER('Raw Data'!AB216), IFERROR('Raw Data'!AB216 = ROUND('Raw Data'!AB216, 2),FALSE)),"",_xlfn.REGEXEXTRACT(CELL("address",AB216), "\$([A-Z]+)\$[0-9]+"))),_xlfn.REGEXEXTRACT(CELL("address",AB216), "\$([A-Z]+)\$[0-9]+"))</f>
        <v/>
      </c>
      <c r="AC216" s="7" t="str">
        <f t="array" aca="1" ref="AC216" ca="1">IFERROR(IF(OR('Raw Data'!AC216="",LEN(TRIM('Raw Data'!AC216))=0),"",IF(AND(ISNUMBER('Raw Data'!AC216), IFERROR('Raw Data'!AC216 = ROUND('Raw Data'!AC216, 2),FALSE)),"",_xlfn.REGEXEXTRACT(CELL("address",AC216), "\$([A-Z]+)\$[0-9]+"))),_xlfn.REGEXEXTRACT(CELL("address",AC216), "\$([A-Z]+)\$[0-9]+"))</f>
        <v/>
      </c>
      <c r="AD216" s="7" t="str">
        <f t="array" aca="1" ref="AD216" ca="1">IFERROR(IF(OR('Raw Data'!AD216="",LEN(TRIM('Raw Data'!AD216))=0),"",IF(AND(ISNUMBER('Raw Data'!AD216), IFERROR('Raw Data'!AD216 = ROUND('Raw Data'!AD216, 2),FALSE)),"",_xlfn.REGEXEXTRACT(CELL("address",AD216), "\$([A-Z]+)\$[0-9]+"))),_xlfn.REGEXEXTRACT(CELL("address",AD216), "\$([A-Z]+)\$[0-9]+"))</f>
        <v/>
      </c>
      <c r="AE216" s="7" t="str">
        <f t="array" aca="1" ref="AE216" ca="1">IFERROR(IF(OR('Raw Data'!AE216="",LEN(TRIM('Raw Data'!AE216))=0),"",IF(AND(ISNUMBER('Raw Data'!AE216), IFERROR('Raw Data'!AE216 = ROUND('Raw Data'!AE216, 2),FALSE)),"",_xlfn.REGEXEXTRACT(CELL("address",AE216), "\$([A-Z]+)\$[0-9]+"))),_xlfn.REGEXEXTRACT(CELL("address",AE216), "\$([A-Z]+)\$[0-9]+"))</f>
        <v/>
      </c>
      <c r="AF216" s="7" t="str">
        <f t="array" aca="1" ref="AF216" ca="1">IFERROR(IF(OR('Raw Data'!AF216="",LEN(TRIM('Raw Data'!AF216))=0),"",IF(AND(ISNUMBER('Raw Data'!AF216), IFERROR('Raw Data'!AF216 = ROUND('Raw Data'!AF216, 2),FALSE)),"",_xlfn.REGEXEXTRACT(CELL("address",AF216), "\$([A-Z]+)\$[0-9]+"))),_xlfn.REGEXEXTRACT(CELL("address",AF216), "\$([A-Z]+)\$[0-9]+"))</f>
        <v/>
      </c>
      <c r="AG216" s="7" t="str">
        <f t="array" aca="1" ref="AG216" ca="1">IFERROR(IF(OR('Raw Data'!AG216="",LEN(TRIM('Raw Data'!AG216))=0),"",IF(AND(ISNUMBER('Raw Data'!AG216), IFERROR('Raw Data'!AG216 = ROUND('Raw Data'!AG216, 2),FALSE)),"",_xlfn.REGEXEXTRACT(CELL("address",AG216), "\$([A-Z]+)\$[0-9]+"))),_xlfn.REGEXEXTRACT(CELL("address",AG216), "\$([A-Z]+)\$[0-9]+"))</f>
        <v/>
      </c>
      <c r="AH216" s="7" t="str">
        <f t="array" aca="1" ref="AH216" ca="1">IFERROR(IF(OR('Raw Data'!AH216="",LEN(TRIM('Raw Data'!AH216))=0),"",IF(AND(ISNUMBER('Raw Data'!AH216), IFERROR('Raw Data'!AH216 = ROUND('Raw Data'!AH216, 2),FALSE)),"",_xlfn.REGEXEXTRACT(CELL("address",AH216), "\$([A-Z]+)\$[0-9]+"))),_xlfn.REGEXEXTRACT(CELL("address",AH216), "\$([A-Z]+)\$[0-9]+"))</f>
        <v/>
      </c>
      <c r="AI216" s="7" t="str">
        <f t="array" aca="1" ref="AI216" ca="1">IFERROR(IF(OR('Raw Data'!AI216="",LEN(TRIM('Raw Data'!AI216))=0),"",IF(AND(ISNUMBER('Raw Data'!AI216), IFERROR('Raw Data'!AI216 = ROUND('Raw Data'!AI216, 2),FALSE)),"",_xlfn.REGEXEXTRACT(CELL("address",AI216), "\$([A-Z]+)\$[0-9]+"))),_xlfn.REGEXEXTRACT(CELL("address",AI216), "\$([A-Z]+)\$[0-9]+"))</f>
        <v/>
      </c>
      <c r="AJ216" s="7" t="str">
        <f t="array" aca="1" ref="AJ216" ca="1">IFERROR(IF(OR('Raw Data'!AJ216="",LEN(TRIM('Raw Data'!AJ216))=0),"",IF(AND(ISNUMBER('Raw Data'!AJ216), IFERROR('Raw Data'!AJ216 = ROUND('Raw Data'!AJ216, 4),FALSE)),"",_xlfn.REGEXEXTRACT(CELL("address",AJ216), "\$([A-Z]+)\$[0-9]+"))),_xlfn.REGEXEXTRACT(CELL("address",AJ216), "\$([A-Z]+)\$[0-9]+"))</f>
        <v/>
      </c>
      <c r="AK216" s="7" t="str">
        <f t="array" aca="1" ref="AK216" ca="1">IFERROR(IF(OR('Raw Data'!AK216="",LEN(TRIM('Raw Data'!AK216))=0),"",IF(AND(ISNUMBER('Raw Data'!AK216), IFERROR('Raw Data'!AK216 = ROUND('Raw Data'!AK216, 2),FALSE)),"",_xlfn.REGEXEXTRACT(CELL("address",AK216), "\$([A-Z]+)\$[0-9]+"))),_xlfn.REGEXEXTRACT(CELL("address",AK216), "\$([A-Z]+)\$[0-9]+"))</f>
        <v/>
      </c>
      <c r="AL216" s="7" t="str">
        <f t="array" aca="1" ref="AL216" ca="1">IFERROR(IF(OR('Raw Data'!AL216="",LEN(TRIM('Raw Data'!AL216))=0),"",IF(AND(ISNUMBER('Raw Data'!AL216), IFERROR('Raw Data'!AL216 = ROUND('Raw Data'!AL216, 2),FALSE)),"",_xlfn.REGEXEXTRACT(CELL("address",AL216), "\$([A-Z]+)\$[0-9]+"))),_xlfn.REGEXEXTRACT(CELL("address",AL216), "\$([A-Z]+)\$[0-9]+"))</f>
        <v/>
      </c>
      <c r="AM216" s="7" t="str">
        <f t="array" aca="1" ref="AM216" ca="1">IFERROR(IF(OR('Raw Data'!AM216="",LEN(TRIM('Raw Data'!AM216))=0),"",IF(AND(ISNUMBER('Raw Data'!AM216), IFERROR('Raw Data'!AM216 = ROUND('Raw Data'!AM216, 2),FALSE)),"",_xlfn.REGEXEXTRACT(CELL("address",AM216), "\$([A-Z]+)\$[0-9]+"))),_xlfn.REGEXEXTRACT(CELL("address",AM216), "\$([A-Z]+)\$[0-9]+"))</f>
        <v/>
      </c>
      <c r="AN216" s="7" t="str">
        <f t="array" aca="1" ref="AN216" ca="1">IFERROR(IF(OR('Raw Data'!AN216="",LEN(TRIM('Raw Data'!AN216))=0),"",IF(AND(ISNUMBER('Raw Data'!AN216), IFERROR('Raw Data'!AN216 = ROUND('Raw Data'!AN216, 2),FALSE)),"",_xlfn.REGEXEXTRACT(CELL("address",AN216), "\$([A-Z]+)\$[0-9]+"))),_xlfn.REGEXEXTRACT(CELL("address",AN216), "\$([A-Z]+)\$[0-9]+"))</f>
        <v/>
      </c>
      <c r="AO216" s="7" t="str">
        <f t="array" aca="1" ref="AO216" ca="1">IFERROR(IF(OR('Raw Data'!AO216="",LEN(TRIM('Raw Data'!AO216))=0),"",IF(AND(ISNUMBER('Raw Data'!AO216), IFERROR('Raw Data'!AO216 = ROUND('Raw Data'!AO216, 2),FALSE)),"",_xlfn.REGEXEXTRACT(CELL("address",AO216), "\$([A-Z]+)\$[0-9]+"))),_xlfn.REGEXEXTRACT(CELL("address",AO216), "\$([A-Z]+)\$[0-9]+"))</f>
        <v/>
      </c>
      <c r="AP216" s="7" t="str">
        <f t="array" aca="1" ref="AP216" ca="1">IFERROR(IF(OR('Raw Data'!AP216="",LEN(TRIM('Raw Data'!AP216))=0),"",IF(AND(ISNUMBER('Raw Data'!AP216), IFERROR('Raw Data'!AP216 = ROUND('Raw Data'!AP216, 2),FALSE)),"",_xlfn.REGEXEXTRACT(CELL("address",AP216), "\$([A-Z]+)\$[0-9]+"))),_xlfn.REGEXEXTRACT(CELL("address",AP216), "\$([A-Z]+)\$[0-9]+"))</f>
        <v/>
      </c>
    </row>
    <row r="217" spans="2:42" x14ac:dyDescent="0.25">
      <c r="B217" s="7" t="str">
        <f t="array" aca="1" ref="B217" ca="1">IFERROR(IF(OR('Raw Data'!B217="",LEN(TRIM('Raw Data'!B217))=0),"",IF(AND(LEN('Raw Data'!B217) &lt;= 255,LEN('Raw Data'!B217)&gt; 0),"",_xlfn.REGEXEXTRACT(CELL("address",'Raw Data'!B217),"\$([A-Z]+)\$[0-9]+"))),_xlfn.REGEXEXTRACT(CELL("address",'Raw Data'!B217),"\$([A-Z]+)\$[0-9]+"))</f>
        <v/>
      </c>
      <c r="C217" s="7" t="str">
        <f t="array" aca="1" ref="C217" ca="1">IFERROR(IF(OR('Raw Data'!C217="",LEN(TRIM('Raw Data'!C217))=0),"",IF(AND(LEN('Raw Data'!C217) &lt;= 50,LEN('Raw Data'!C217)&gt; 0),"",_xlfn.REGEXEXTRACT(CELL("address",'Raw Data'!C217),"\$([A-Z]+)\$[0-9]+"))),_xlfn.REGEXEXTRACT(CELL("address",'Raw Data'!C217),"\$([A-Z]+)\$[0-9]+"))</f>
        <v/>
      </c>
      <c r="D217" s="7" t="str">
        <f t="array" aca="1" ref="D217" ca="1">IFERROR(IF(OR('Raw Data'!D217="",LEN(TRIM('Raw Data'!D217))=0),"",IF(AND(LEN('Raw Data'!D217) &lt;= 500,LEN('Raw Data'!D217)&gt; 0),"",_xlfn.REGEXEXTRACT(CELL("address",'Raw Data'!D217),"\$([A-Z]+)\$[0-9]+"))),_xlfn.REGEXEXTRACT(CELL("address",'Raw Data'!D217),"\$([A-Z]+)\$[0-9]+"))</f>
        <v/>
      </c>
      <c r="E217" s="7" t="str">
        <f t="array" aca="1" ref="E217" ca="1">IFERROR(IF(OR('Raw Data'!E217="",LEN(TRIM('Raw Data'!E217))=0),"",IF(AND(LEN('Raw Data'!E217) &lt;= 50,LEN('Raw Data'!E217)&gt; 0),"",_xlfn.REGEXEXTRACT(CELL("address",'Raw Data'!E217),"\$([A-Z]+)\$[0-9]+"))),_xlfn.REGEXEXTRACT(CELL("address",'Raw Data'!E217),"\$([A-Z]+)\$[0-9]+"))</f>
        <v/>
      </c>
      <c r="F217" s="7" t="str">
        <f t="array" aca="1" ref="F217" ca="1">IFERROR(IF(OR('Raw Data'!F217="",LEN(TRIM('Raw Data'!F217))=0),"",IF(AND(LEN('Raw Data'!F217) &lt;= 50,LEN('Raw Data'!F217)&gt; 0),"",_xlfn.REGEXEXTRACT(CELL("address",'Raw Data'!F217),"\$([A-Z]+)\$[0-9]+"))),_xlfn.REGEXEXTRACT(CELL("address",'Raw Data'!F217),"\$([A-Z]+)\$[0-9]+"))</f>
        <v/>
      </c>
      <c r="G217" s="7" t="str">
        <f t="array" aca="1" ref="G217" ca="1">IFERROR(IF(OR('Raw Data'!G217="",LEN(TRIM('Raw Data'!G217))=0),"",IF(AND(LEN('Raw Data'!G217) &lt;= 50,LEN('Raw Data'!G217)&gt; 0),"",_xlfn.REGEXEXTRACT(CELL("address",'Raw Data'!G217),"\$([A-Z]+)\$[0-9]+"))),_xlfn.REGEXEXTRACT(CELL("address",'Raw Data'!G217),"\$([A-Z]+)\$[0-9]+"))</f>
        <v/>
      </c>
      <c r="H217" s="7" t="str">
        <f t="array" aca="1" ref="H217" ca="1">IFERROR(IF(OR('Raw Data'!H217="",LEN(TRIM('Raw Data'!H217))=0),"",IF(AND(LEN('Raw Data'!H217) &lt;= 50,LEN('Raw Data'!H217)&gt; 0),"",_xlfn.REGEXEXTRACT(CELL("address",'Raw Data'!H217),"\$([A-Z]+)\$[0-9]+"))),_xlfn.REGEXEXTRACT(CELL("address",'Raw Data'!H217),"\$([A-Z]+)\$[0-9]+"))</f>
        <v/>
      </c>
      <c r="I217" s="7" t="str">
        <f t="array" aca="1" ref="I217" ca="1">IFERROR(IF(OR('Raw Data'!I217="",LEN(TRIM('Raw Data'!I217))=0),"",IF(AND(LEN('Raw Data'!I217) &lt;= 50,LEN('Raw Data'!I217)&gt; 0),"",_xlfn.REGEXEXTRACT(CELL("address",'Raw Data'!I217),"\$([A-Z]+)\$[0-9]+"))),_xlfn.REGEXEXTRACT(CELL("address",'Raw Data'!I217),"\$([A-Z]+)\$[0-9]+"))</f>
        <v/>
      </c>
      <c r="J217" s="7" t="str">
        <f t="array" aca="1" ref="J217" ca="1">IFERROR(IF(OR('Raw Data'!J217="",LEN(TRIM('Raw Data'!J217))=0),"",IF(AND(ISNUMBER('Raw Data'!J217), IFERROR('Raw Data'!J217 = ROUND('Raw Data'!J217, 2),FALSE)),"",_xlfn.REGEXEXTRACT(CELL("address",J217), "\$([A-Z]+)\$[0-9]+"))),_xlfn.REGEXEXTRACT(CELL("address",J217), "\$([A-Z]+)\$[0-9]+"))</f>
        <v/>
      </c>
      <c r="K217" s="7" t="str">
        <f t="array" aca="1" ref="K217" ca="1">IFERROR(IF(OR('Raw Data'!K217="",LEN(TRIM('Raw Data'!K217))=0),"",IF(AND(ISNUMBER('Raw Data'!K217), IFERROR('Raw Data'!K217 = ROUND('Raw Data'!K217, 2),FALSE)),"",_xlfn.REGEXEXTRACT(CELL("address",K217), "\$([A-Z]+)\$[0-9]+"))),_xlfn.REGEXEXTRACT(CELL("address",K217), "\$([A-Z]+)\$[0-9]+"))</f>
        <v/>
      </c>
      <c r="L217" s="7" t="str">
        <f t="array" aca="1" ref="L217" ca="1">IFERROR(IF(OR('Raw Data'!L217="",LEN(TRIM('Raw Data'!L217))=0),"",IF(AND(ISNUMBER('Raw Data'!L217), IFERROR('Raw Data'!L217 = ROUND('Raw Data'!L217, 2),FALSE)),"",_xlfn.REGEXEXTRACT(CELL("address",L217), "\$([A-Z]+)\$[0-9]+"))),_xlfn.REGEXEXTRACT(CELL("address",L217), "\$([A-Z]+)\$[0-9]+"))</f>
        <v/>
      </c>
      <c r="M217" s="7" t="str">
        <f t="array" aca="1" ref="M217" ca="1">IFERROR(IF(OR('Raw Data'!M217="",LEN(TRIM('Raw Data'!M217))=0),"",IF(AND(ISNUMBER('Raw Data'!M217), IFERROR('Raw Data'!M217 = ROUND('Raw Data'!M217, 2),FALSE)),"",_xlfn.REGEXEXTRACT(CELL("address",M217), "\$([A-Z]+)\$[0-9]+"))),_xlfn.REGEXEXTRACT(CELL("address",M217), "\$([A-Z]+)\$[0-9]+"))</f>
        <v/>
      </c>
      <c r="N217" s="7" t="str">
        <f t="array" aca="1" ref="N217" ca="1">IFERROR(IF(OR('Raw Data'!N217="",LEN(TRIM('Raw Data'!N217))=0),"",IF(AND(ISNUMBER('Raw Data'!N217), IFERROR('Raw Data'!N217 = ROUND('Raw Data'!N217, 2),FALSE)),"",_xlfn.REGEXEXTRACT(CELL("address",N217), "\$([A-Z]+)\$[0-9]+"))),_xlfn.REGEXEXTRACT(CELL("address",N217), "\$([A-Z]+)\$[0-9]+"))</f>
        <v/>
      </c>
      <c r="O217" s="7" t="str">
        <f t="array" aca="1" ref="O217" ca="1">IFERROR(IF(OR('Raw Data'!O217="",LEN(TRIM('Raw Data'!O217))=0),"",IF(AND(ISNUMBER('Raw Data'!O217),'Raw Data'!O217&gt;=Configuration!$D$2),"",_xlfn.REGEXEXTRACT(CELL("address",'Raw Data'!O217),"\$([A-Z]+)\$[0-9]+"))),_xlfn.REGEXEXTRACT(CELL("address",O217), "\$([A-Z]+)\$[0-9]+"))</f>
        <v/>
      </c>
      <c r="P217" s="7" t="str">
        <f t="array" aca="1" ref="P217" ca="1">IFERROR(IF(OR('Raw Data'!P217="",LEN(TRIM('Raw Data'!P217))=0),"",IF(AND(ISNUMBER('Raw Data'!P217), IFERROR('Raw Data'!P217 = ROUND('Raw Data'!P217, 2),FALSE)),"",_xlfn.REGEXEXTRACT(CELL("address",P217), "\$([A-Z]+)\$[0-9]+"))),_xlfn.REGEXEXTRACT(CELL("address",P217), "\$([A-Z]+)\$[0-9]+"))</f>
        <v/>
      </c>
      <c r="Q217" s="7" t="str">
        <f t="array" aca="1" ref="Q217" ca="1">IFERROR(IF(OR('Raw Data'!Q217="",LEN(TRIM('Raw Data'!Q217))=0),"",IF(AND(ISNUMBER('Raw Data'!Q217), IFERROR('Raw Data'!Q217 = ROUND('Raw Data'!Q217, 2),FALSE)),"",_xlfn.REGEXEXTRACT(CELL("address",Q217), "\$([A-Z]+)\$[0-9]+"))),_xlfn.REGEXEXTRACT(CELL("address",Q217), "\$([A-Z]+)\$[0-9]+"))</f>
        <v/>
      </c>
      <c r="R217" s="7" t="str">
        <f t="array" aca="1" ref="R217" ca="1">IFERROR(IF(OR('Raw Data'!R217="",LEN(TRIM('Raw Data'!R217))=0),"",IF(AND(LEN('Raw Data'!R217) &lt;= 50,LEN('Raw Data'!R217)&gt; 0),"",_xlfn.REGEXEXTRACT(CELL("address",'Raw Data'!R217),"\$([A-Z]+)\$[0-9]+"))),_xlfn.REGEXEXTRACT(CELL("address",'Raw Data'!R217),"\$([A-Z]+)\$[0-9]+"))</f>
        <v/>
      </c>
      <c r="S217" s="7" t="str">
        <f t="array" aca="1" ref="S217" ca="1">IFERROR(IF(OR('Raw Data'!S217="",LEN(TRIM('Raw Data'!S217))=0),"",IF(AND(LEN('Raw Data'!S217) &lt;= 50,LEN('Raw Data'!S217)&gt; 0),"",_xlfn.REGEXEXTRACT(CELL("address",'Raw Data'!S217),"\$([A-Z]+)\$[0-9]+"))),_xlfn.REGEXEXTRACT(CELL("address",'Raw Data'!S217),"\$([A-Z]+)\$[0-9]+"))</f>
        <v/>
      </c>
      <c r="T217" s="7" t="str">
        <f t="array" aca="1" ref="T217" ca="1">IFERROR(IF(OR('Raw Data'!T217="",LEN(TRIM('Raw Data'!T217))=0),"",IF(AND(ISNUMBER('Raw Data'!T217), IFERROR('Raw Data'!T217 = ROUND('Raw Data'!T217, 2),FALSE)),"",_xlfn.REGEXEXTRACT(CELL("address",T217), "\$([A-Z]+)\$[0-9]+"))),_xlfn.REGEXEXTRACT(CELL("address",T217), "\$([A-Z]+)\$[0-9]+"))</f>
        <v/>
      </c>
      <c r="U217" s="7" t="str">
        <f t="array" aca="1" ref="U217" ca="1">IFERROR(IF(OR('Raw Data'!U217="",LEN(TRIM('Raw Data'!U217))=0),"",IF(AND(ISNUMBER('Raw Data'!U217), IFERROR('Raw Data'!U217 = ROUND('Raw Data'!U217, 2),FALSE)),"",_xlfn.REGEXEXTRACT(CELL("address",U217), "\$([A-Z]+)\$[0-9]+"))),_xlfn.REGEXEXTRACT(CELL("address",U217), "\$([A-Z]+)\$[0-9]+"))</f>
        <v/>
      </c>
      <c r="V217" s="7" t="str">
        <f t="array" aca="1" ref="V217" ca="1">IFERROR(IF(OR('Raw Data'!V217="",LEN(TRIM('Raw Data'!V217))=0),"",IF(AND(ISNUMBER('Raw Data'!V217), IFERROR('Raw Data'!V217 = ROUND('Raw Data'!V217, 2),FALSE)),"",_xlfn.REGEXEXTRACT(CELL("address",V217), "\$([A-Z]+)\$[0-9]+"))),_xlfn.REGEXEXTRACT(CELL("address",V217), "\$([A-Z]+)\$[0-9]+"))</f>
        <v/>
      </c>
      <c r="W217" s="7" t="str">
        <f t="array" aca="1" ref="W217" ca="1">IFERROR(IF(OR('Raw Data'!W217="",LEN(TRIM('Raw Data'!W217))=0),"",IF(AND(ISNUMBER('Raw Data'!W217), IFERROR('Raw Data'!W217 = ROUND('Raw Data'!W217, 2),FALSE)),"",_xlfn.REGEXEXTRACT(CELL("address",W217), "\$([A-Z]+)\$[0-9]+"))),_xlfn.REGEXEXTRACT(CELL("address",W217), "\$([A-Z]+)\$[0-9]+"))</f>
        <v/>
      </c>
      <c r="X217" s="7" t="str">
        <f t="array" aca="1" ref="X217" ca="1">IFERROR(IF(OR('Raw Data'!X217="",LEN(TRIM('Raw Data'!X217))=0),"",IF(AND(ISNUMBER('Raw Data'!X217), IFERROR('Raw Data'!X217 = ROUND('Raw Data'!X217, 2),FALSE)),"",_xlfn.REGEXEXTRACT(CELL("address",X217), "\$([A-Z]+)\$[0-9]+"))),_xlfn.REGEXEXTRACT(CELL("address",X217), "\$([A-Z]+)\$[0-9]+"))</f>
        <v/>
      </c>
      <c r="Y217" s="7" t="str">
        <f t="array" aca="1" ref="Y217" ca="1">IFERROR(IF(OR('Raw Data'!Y217="",LEN(TRIM('Raw Data'!Y217))=0),"",IF(AND(ISNUMBER('Raw Data'!Y217), IFERROR('Raw Data'!Y217 = ROUND('Raw Data'!Y217, 2),FALSE)),"",_xlfn.REGEXEXTRACT(CELL("address",Y217), "\$([A-Z]+)\$[0-9]+"))),_xlfn.REGEXEXTRACT(CELL("address",Y217), "\$([A-Z]+)\$[0-9]+"))</f>
        <v/>
      </c>
      <c r="Z217" s="7" t="str">
        <f t="array" aca="1" ref="Z217" ca="1">IFERROR(IF(OR('Raw Data'!Z217="",LEN(TRIM('Raw Data'!Z217))=0),"",IF(AND(ISNUMBER('Raw Data'!Z217), IFERROR('Raw Data'!Z217 = ROUND('Raw Data'!Z217, 2),FALSE)),"",_xlfn.REGEXEXTRACT(CELL("address",Z217), "\$([A-Z]+)\$[0-9]+"))),_xlfn.REGEXEXTRACT(CELL("address",Z217), "\$([A-Z]+)\$[0-9]+"))</f>
        <v/>
      </c>
      <c r="AA217" s="7" t="str">
        <f t="array" aca="1" ref="AA217" ca="1">IFERROR(IF(OR('Raw Data'!AA217="",LEN(TRIM('Raw Data'!AA217))=0),"",IF(AND(ISNUMBER('Raw Data'!AA217), IFERROR('Raw Data'!AA217 = ROUND('Raw Data'!AA217, 2),FALSE)),"",_xlfn.REGEXEXTRACT(CELL("address",AA217), "\$([A-Z]+)\$[0-9]+"))),_xlfn.REGEXEXTRACT(CELL("address",AA217), "\$([A-Z]+)\$[0-9]+"))</f>
        <v/>
      </c>
      <c r="AB217" s="7" t="str">
        <f t="array" aca="1" ref="AB217" ca="1">IFERROR(IF(OR('Raw Data'!AB217="",LEN(TRIM('Raw Data'!AB217))=0),"",IF(AND(ISNUMBER('Raw Data'!AB217), IFERROR('Raw Data'!AB217 = ROUND('Raw Data'!AB217, 2),FALSE)),"",_xlfn.REGEXEXTRACT(CELL("address",AB217), "\$([A-Z]+)\$[0-9]+"))),_xlfn.REGEXEXTRACT(CELL("address",AB217), "\$([A-Z]+)\$[0-9]+"))</f>
        <v/>
      </c>
      <c r="AC217" s="7" t="str">
        <f t="array" aca="1" ref="AC217" ca="1">IFERROR(IF(OR('Raw Data'!AC217="",LEN(TRIM('Raw Data'!AC217))=0),"",IF(AND(ISNUMBER('Raw Data'!AC217), IFERROR('Raw Data'!AC217 = ROUND('Raw Data'!AC217, 2),FALSE)),"",_xlfn.REGEXEXTRACT(CELL("address",AC217), "\$([A-Z]+)\$[0-9]+"))),_xlfn.REGEXEXTRACT(CELL("address",AC217), "\$([A-Z]+)\$[0-9]+"))</f>
        <v/>
      </c>
      <c r="AD217" s="7" t="str">
        <f t="array" aca="1" ref="AD217" ca="1">IFERROR(IF(OR('Raw Data'!AD217="",LEN(TRIM('Raw Data'!AD217))=0),"",IF(AND(ISNUMBER('Raw Data'!AD217), IFERROR('Raw Data'!AD217 = ROUND('Raw Data'!AD217, 2),FALSE)),"",_xlfn.REGEXEXTRACT(CELL("address",AD217), "\$([A-Z]+)\$[0-9]+"))),_xlfn.REGEXEXTRACT(CELL("address",AD217), "\$([A-Z]+)\$[0-9]+"))</f>
        <v/>
      </c>
      <c r="AE217" s="7" t="str">
        <f t="array" aca="1" ref="AE217" ca="1">IFERROR(IF(OR('Raw Data'!AE217="",LEN(TRIM('Raw Data'!AE217))=0),"",IF(AND(ISNUMBER('Raw Data'!AE217), IFERROR('Raw Data'!AE217 = ROUND('Raw Data'!AE217, 2),FALSE)),"",_xlfn.REGEXEXTRACT(CELL("address",AE217), "\$([A-Z]+)\$[0-9]+"))),_xlfn.REGEXEXTRACT(CELL("address",AE217), "\$([A-Z]+)\$[0-9]+"))</f>
        <v/>
      </c>
      <c r="AF217" s="7" t="str">
        <f t="array" aca="1" ref="AF217" ca="1">IFERROR(IF(OR('Raw Data'!AF217="",LEN(TRIM('Raw Data'!AF217))=0),"",IF(AND(ISNUMBER('Raw Data'!AF217), IFERROR('Raw Data'!AF217 = ROUND('Raw Data'!AF217, 2),FALSE)),"",_xlfn.REGEXEXTRACT(CELL("address",AF217), "\$([A-Z]+)\$[0-9]+"))),_xlfn.REGEXEXTRACT(CELL("address",AF217), "\$([A-Z]+)\$[0-9]+"))</f>
        <v/>
      </c>
      <c r="AG217" s="7" t="str">
        <f t="array" aca="1" ref="AG217" ca="1">IFERROR(IF(OR('Raw Data'!AG217="",LEN(TRIM('Raw Data'!AG217))=0),"",IF(AND(ISNUMBER('Raw Data'!AG217), IFERROR('Raw Data'!AG217 = ROUND('Raw Data'!AG217, 2),FALSE)),"",_xlfn.REGEXEXTRACT(CELL("address",AG217), "\$([A-Z]+)\$[0-9]+"))),_xlfn.REGEXEXTRACT(CELL("address",AG217), "\$([A-Z]+)\$[0-9]+"))</f>
        <v/>
      </c>
      <c r="AH217" s="7" t="str">
        <f t="array" aca="1" ref="AH217" ca="1">IFERROR(IF(OR('Raw Data'!AH217="",LEN(TRIM('Raw Data'!AH217))=0),"",IF(AND(ISNUMBER('Raw Data'!AH217), IFERROR('Raw Data'!AH217 = ROUND('Raw Data'!AH217, 2),FALSE)),"",_xlfn.REGEXEXTRACT(CELL("address",AH217), "\$([A-Z]+)\$[0-9]+"))),_xlfn.REGEXEXTRACT(CELL("address",AH217), "\$([A-Z]+)\$[0-9]+"))</f>
        <v/>
      </c>
      <c r="AI217" s="7" t="str">
        <f t="array" aca="1" ref="AI217" ca="1">IFERROR(IF(OR('Raw Data'!AI217="",LEN(TRIM('Raw Data'!AI217))=0),"",IF(AND(ISNUMBER('Raw Data'!AI217), IFERROR('Raw Data'!AI217 = ROUND('Raw Data'!AI217, 2),FALSE)),"",_xlfn.REGEXEXTRACT(CELL("address",AI217), "\$([A-Z]+)\$[0-9]+"))),_xlfn.REGEXEXTRACT(CELL("address",AI217), "\$([A-Z]+)\$[0-9]+"))</f>
        <v/>
      </c>
      <c r="AJ217" s="7" t="str">
        <f t="array" aca="1" ref="AJ217" ca="1">IFERROR(IF(OR('Raw Data'!AJ217="",LEN(TRIM('Raw Data'!AJ217))=0),"",IF(AND(ISNUMBER('Raw Data'!AJ217), IFERROR('Raw Data'!AJ217 = ROUND('Raw Data'!AJ217, 4),FALSE)),"",_xlfn.REGEXEXTRACT(CELL("address",AJ217), "\$([A-Z]+)\$[0-9]+"))),_xlfn.REGEXEXTRACT(CELL("address",AJ217), "\$([A-Z]+)\$[0-9]+"))</f>
        <v/>
      </c>
      <c r="AK217" s="7" t="str">
        <f t="array" aca="1" ref="AK217" ca="1">IFERROR(IF(OR('Raw Data'!AK217="",LEN(TRIM('Raw Data'!AK217))=0),"",IF(AND(ISNUMBER('Raw Data'!AK217), IFERROR('Raw Data'!AK217 = ROUND('Raw Data'!AK217, 2),FALSE)),"",_xlfn.REGEXEXTRACT(CELL("address",AK217), "\$([A-Z]+)\$[0-9]+"))),_xlfn.REGEXEXTRACT(CELL("address",AK217), "\$([A-Z]+)\$[0-9]+"))</f>
        <v/>
      </c>
      <c r="AL217" s="7" t="str">
        <f t="array" aca="1" ref="AL217" ca="1">IFERROR(IF(OR('Raw Data'!AL217="",LEN(TRIM('Raw Data'!AL217))=0),"",IF(AND(ISNUMBER('Raw Data'!AL217), IFERROR('Raw Data'!AL217 = ROUND('Raw Data'!AL217, 2),FALSE)),"",_xlfn.REGEXEXTRACT(CELL("address",AL217), "\$([A-Z]+)\$[0-9]+"))),_xlfn.REGEXEXTRACT(CELL("address",AL217), "\$([A-Z]+)\$[0-9]+"))</f>
        <v/>
      </c>
      <c r="AM217" s="7" t="str">
        <f t="array" aca="1" ref="AM217" ca="1">IFERROR(IF(OR('Raw Data'!AM217="",LEN(TRIM('Raw Data'!AM217))=0),"",IF(AND(ISNUMBER('Raw Data'!AM217), IFERROR('Raw Data'!AM217 = ROUND('Raw Data'!AM217, 2),FALSE)),"",_xlfn.REGEXEXTRACT(CELL("address",AM217), "\$([A-Z]+)\$[0-9]+"))),_xlfn.REGEXEXTRACT(CELL("address",AM217), "\$([A-Z]+)\$[0-9]+"))</f>
        <v/>
      </c>
      <c r="AN217" s="7" t="str">
        <f t="array" aca="1" ref="AN217" ca="1">IFERROR(IF(OR('Raw Data'!AN217="",LEN(TRIM('Raw Data'!AN217))=0),"",IF(AND(ISNUMBER('Raw Data'!AN217), IFERROR('Raw Data'!AN217 = ROUND('Raw Data'!AN217, 2),FALSE)),"",_xlfn.REGEXEXTRACT(CELL("address",AN217), "\$([A-Z]+)\$[0-9]+"))),_xlfn.REGEXEXTRACT(CELL("address",AN217), "\$([A-Z]+)\$[0-9]+"))</f>
        <v/>
      </c>
      <c r="AO217" s="7" t="str">
        <f t="array" aca="1" ref="AO217" ca="1">IFERROR(IF(OR('Raw Data'!AO217="",LEN(TRIM('Raw Data'!AO217))=0),"",IF(AND(ISNUMBER('Raw Data'!AO217), IFERROR('Raw Data'!AO217 = ROUND('Raw Data'!AO217, 2),FALSE)),"",_xlfn.REGEXEXTRACT(CELL("address",AO217), "\$([A-Z]+)\$[0-9]+"))),_xlfn.REGEXEXTRACT(CELL("address",AO217), "\$([A-Z]+)\$[0-9]+"))</f>
        <v/>
      </c>
      <c r="AP217" s="7" t="str">
        <f t="array" aca="1" ref="AP217" ca="1">IFERROR(IF(OR('Raw Data'!AP217="",LEN(TRIM('Raw Data'!AP217))=0),"",IF(AND(ISNUMBER('Raw Data'!AP217), IFERROR('Raw Data'!AP217 = ROUND('Raw Data'!AP217, 2),FALSE)),"",_xlfn.REGEXEXTRACT(CELL("address",AP217), "\$([A-Z]+)\$[0-9]+"))),_xlfn.REGEXEXTRACT(CELL("address",AP217), "\$([A-Z]+)\$[0-9]+"))</f>
        <v/>
      </c>
    </row>
    <row r="218" spans="2:42" x14ac:dyDescent="0.25">
      <c r="B218" s="7" t="str">
        <f t="array" aca="1" ref="B218" ca="1">IFERROR(IF(OR('Raw Data'!B218="",LEN(TRIM('Raw Data'!B218))=0),"",IF(AND(LEN('Raw Data'!B218) &lt;= 255,LEN('Raw Data'!B218)&gt; 0),"",_xlfn.REGEXEXTRACT(CELL("address",'Raw Data'!B218),"\$([A-Z]+)\$[0-9]+"))),_xlfn.REGEXEXTRACT(CELL("address",'Raw Data'!B218),"\$([A-Z]+)\$[0-9]+"))</f>
        <v/>
      </c>
      <c r="C218" s="7" t="str">
        <f t="array" aca="1" ref="C218" ca="1">IFERROR(IF(OR('Raw Data'!C218="",LEN(TRIM('Raw Data'!C218))=0),"",IF(AND(LEN('Raw Data'!C218) &lt;= 50,LEN('Raw Data'!C218)&gt; 0),"",_xlfn.REGEXEXTRACT(CELL("address",'Raw Data'!C218),"\$([A-Z]+)\$[0-9]+"))),_xlfn.REGEXEXTRACT(CELL("address",'Raw Data'!C218),"\$([A-Z]+)\$[0-9]+"))</f>
        <v/>
      </c>
      <c r="D218" s="7" t="str">
        <f t="array" aca="1" ref="D218" ca="1">IFERROR(IF(OR('Raw Data'!D218="",LEN(TRIM('Raw Data'!D218))=0),"",IF(AND(LEN('Raw Data'!D218) &lt;= 500,LEN('Raw Data'!D218)&gt; 0),"",_xlfn.REGEXEXTRACT(CELL("address",'Raw Data'!D218),"\$([A-Z]+)\$[0-9]+"))),_xlfn.REGEXEXTRACT(CELL("address",'Raw Data'!D218),"\$([A-Z]+)\$[0-9]+"))</f>
        <v/>
      </c>
      <c r="E218" s="7" t="str">
        <f t="array" aca="1" ref="E218" ca="1">IFERROR(IF(OR('Raw Data'!E218="",LEN(TRIM('Raw Data'!E218))=0),"",IF(AND(LEN('Raw Data'!E218) &lt;= 50,LEN('Raw Data'!E218)&gt; 0),"",_xlfn.REGEXEXTRACT(CELL("address",'Raw Data'!E218),"\$([A-Z]+)\$[0-9]+"))),_xlfn.REGEXEXTRACT(CELL("address",'Raw Data'!E218),"\$([A-Z]+)\$[0-9]+"))</f>
        <v/>
      </c>
      <c r="F218" s="7" t="str">
        <f t="array" aca="1" ref="F218" ca="1">IFERROR(IF(OR('Raw Data'!F218="",LEN(TRIM('Raw Data'!F218))=0),"",IF(AND(LEN('Raw Data'!F218) &lt;= 50,LEN('Raw Data'!F218)&gt; 0),"",_xlfn.REGEXEXTRACT(CELL("address",'Raw Data'!F218),"\$([A-Z]+)\$[0-9]+"))),_xlfn.REGEXEXTRACT(CELL("address",'Raw Data'!F218),"\$([A-Z]+)\$[0-9]+"))</f>
        <v/>
      </c>
      <c r="G218" s="7" t="str">
        <f t="array" aca="1" ref="G218" ca="1">IFERROR(IF(OR('Raw Data'!G218="",LEN(TRIM('Raw Data'!G218))=0),"",IF(AND(LEN('Raw Data'!G218) &lt;= 50,LEN('Raw Data'!G218)&gt; 0),"",_xlfn.REGEXEXTRACT(CELL("address",'Raw Data'!G218),"\$([A-Z]+)\$[0-9]+"))),_xlfn.REGEXEXTRACT(CELL("address",'Raw Data'!G218),"\$([A-Z]+)\$[0-9]+"))</f>
        <v/>
      </c>
      <c r="H218" s="7" t="str">
        <f t="array" aca="1" ref="H218" ca="1">IFERROR(IF(OR('Raw Data'!H218="",LEN(TRIM('Raw Data'!H218))=0),"",IF(AND(LEN('Raw Data'!H218) &lt;= 50,LEN('Raw Data'!H218)&gt; 0),"",_xlfn.REGEXEXTRACT(CELL("address",'Raw Data'!H218),"\$([A-Z]+)\$[0-9]+"))),_xlfn.REGEXEXTRACT(CELL("address",'Raw Data'!H218),"\$([A-Z]+)\$[0-9]+"))</f>
        <v/>
      </c>
      <c r="I218" s="7" t="str">
        <f t="array" aca="1" ref="I218" ca="1">IFERROR(IF(OR('Raw Data'!I218="",LEN(TRIM('Raw Data'!I218))=0),"",IF(AND(LEN('Raw Data'!I218) &lt;= 50,LEN('Raw Data'!I218)&gt; 0),"",_xlfn.REGEXEXTRACT(CELL("address",'Raw Data'!I218),"\$([A-Z]+)\$[0-9]+"))),_xlfn.REGEXEXTRACT(CELL("address",'Raw Data'!I218),"\$([A-Z]+)\$[0-9]+"))</f>
        <v/>
      </c>
      <c r="J218" s="7" t="str">
        <f t="array" aca="1" ref="J218" ca="1">IFERROR(IF(OR('Raw Data'!J218="",LEN(TRIM('Raw Data'!J218))=0),"",IF(AND(ISNUMBER('Raw Data'!J218), IFERROR('Raw Data'!J218 = ROUND('Raw Data'!J218, 2),FALSE)),"",_xlfn.REGEXEXTRACT(CELL("address",J218), "\$([A-Z]+)\$[0-9]+"))),_xlfn.REGEXEXTRACT(CELL("address",J218), "\$([A-Z]+)\$[0-9]+"))</f>
        <v/>
      </c>
      <c r="K218" s="7" t="str">
        <f t="array" aca="1" ref="K218" ca="1">IFERROR(IF(OR('Raw Data'!K218="",LEN(TRIM('Raw Data'!K218))=0),"",IF(AND(ISNUMBER('Raw Data'!K218), IFERROR('Raw Data'!K218 = ROUND('Raw Data'!K218, 2),FALSE)),"",_xlfn.REGEXEXTRACT(CELL("address",K218), "\$([A-Z]+)\$[0-9]+"))),_xlfn.REGEXEXTRACT(CELL("address",K218), "\$([A-Z]+)\$[0-9]+"))</f>
        <v/>
      </c>
      <c r="L218" s="7" t="str">
        <f t="array" aca="1" ref="L218" ca="1">IFERROR(IF(OR('Raw Data'!L218="",LEN(TRIM('Raw Data'!L218))=0),"",IF(AND(ISNUMBER('Raw Data'!L218), IFERROR('Raw Data'!L218 = ROUND('Raw Data'!L218, 2),FALSE)),"",_xlfn.REGEXEXTRACT(CELL("address",L218), "\$([A-Z]+)\$[0-9]+"))),_xlfn.REGEXEXTRACT(CELL("address",L218), "\$([A-Z]+)\$[0-9]+"))</f>
        <v/>
      </c>
      <c r="M218" s="7" t="str">
        <f t="array" aca="1" ref="M218" ca="1">IFERROR(IF(OR('Raw Data'!M218="",LEN(TRIM('Raw Data'!M218))=0),"",IF(AND(ISNUMBER('Raw Data'!M218), IFERROR('Raw Data'!M218 = ROUND('Raw Data'!M218, 2),FALSE)),"",_xlfn.REGEXEXTRACT(CELL("address",M218), "\$([A-Z]+)\$[0-9]+"))),_xlfn.REGEXEXTRACT(CELL("address",M218), "\$([A-Z]+)\$[0-9]+"))</f>
        <v/>
      </c>
      <c r="N218" s="7" t="str">
        <f t="array" aca="1" ref="N218" ca="1">IFERROR(IF(OR('Raw Data'!N218="",LEN(TRIM('Raw Data'!N218))=0),"",IF(AND(ISNUMBER('Raw Data'!N218), IFERROR('Raw Data'!N218 = ROUND('Raw Data'!N218, 2),FALSE)),"",_xlfn.REGEXEXTRACT(CELL("address",N218), "\$([A-Z]+)\$[0-9]+"))),_xlfn.REGEXEXTRACT(CELL("address",N218), "\$([A-Z]+)\$[0-9]+"))</f>
        <v/>
      </c>
      <c r="O218" s="7" t="str">
        <f t="array" aca="1" ref="O218" ca="1">IFERROR(IF(OR('Raw Data'!O218="",LEN(TRIM('Raw Data'!O218))=0),"",IF(AND(ISNUMBER('Raw Data'!O218),'Raw Data'!O218&gt;=Configuration!$D$2),"",_xlfn.REGEXEXTRACT(CELL("address",'Raw Data'!O218),"\$([A-Z]+)\$[0-9]+"))),_xlfn.REGEXEXTRACT(CELL("address",O218), "\$([A-Z]+)\$[0-9]+"))</f>
        <v/>
      </c>
      <c r="P218" s="7" t="str">
        <f t="array" aca="1" ref="P218" ca="1">IFERROR(IF(OR('Raw Data'!P218="",LEN(TRIM('Raw Data'!P218))=0),"",IF(AND(ISNUMBER('Raw Data'!P218), IFERROR('Raw Data'!P218 = ROUND('Raw Data'!P218, 2),FALSE)),"",_xlfn.REGEXEXTRACT(CELL("address",P218), "\$([A-Z]+)\$[0-9]+"))),_xlfn.REGEXEXTRACT(CELL("address",P218), "\$([A-Z]+)\$[0-9]+"))</f>
        <v/>
      </c>
      <c r="Q218" s="7" t="str">
        <f t="array" aca="1" ref="Q218" ca="1">IFERROR(IF(OR('Raw Data'!Q218="",LEN(TRIM('Raw Data'!Q218))=0),"",IF(AND(ISNUMBER('Raw Data'!Q218), IFERROR('Raw Data'!Q218 = ROUND('Raw Data'!Q218, 2),FALSE)),"",_xlfn.REGEXEXTRACT(CELL("address",Q218), "\$([A-Z]+)\$[0-9]+"))),_xlfn.REGEXEXTRACT(CELL("address",Q218), "\$([A-Z]+)\$[0-9]+"))</f>
        <v/>
      </c>
      <c r="R218" s="7" t="str">
        <f t="array" aca="1" ref="R218" ca="1">IFERROR(IF(OR('Raw Data'!R218="",LEN(TRIM('Raw Data'!R218))=0),"",IF(AND(LEN('Raw Data'!R218) &lt;= 50,LEN('Raw Data'!R218)&gt; 0),"",_xlfn.REGEXEXTRACT(CELL("address",'Raw Data'!R218),"\$([A-Z]+)\$[0-9]+"))),_xlfn.REGEXEXTRACT(CELL("address",'Raw Data'!R218),"\$([A-Z]+)\$[0-9]+"))</f>
        <v/>
      </c>
      <c r="S218" s="7" t="str">
        <f t="array" aca="1" ref="S218" ca="1">IFERROR(IF(OR('Raw Data'!S218="",LEN(TRIM('Raw Data'!S218))=0),"",IF(AND(LEN('Raw Data'!S218) &lt;= 50,LEN('Raw Data'!S218)&gt; 0),"",_xlfn.REGEXEXTRACT(CELL("address",'Raw Data'!S218),"\$([A-Z]+)\$[0-9]+"))),_xlfn.REGEXEXTRACT(CELL("address",'Raw Data'!S218),"\$([A-Z]+)\$[0-9]+"))</f>
        <v/>
      </c>
      <c r="T218" s="7" t="str">
        <f t="array" aca="1" ref="T218" ca="1">IFERROR(IF(OR('Raw Data'!T218="",LEN(TRIM('Raw Data'!T218))=0),"",IF(AND(ISNUMBER('Raw Data'!T218), IFERROR('Raw Data'!T218 = ROUND('Raw Data'!T218, 2),FALSE)),"",_xlfn.REGEXEXTRACT(CELL("address",T218), "\$([A-Z]+)\$[0-9]+"))),_xlfn.REGEXEXTRACT(CELL("address",T218), "\$([A-Z]+)\$[0-9]+"))</f>
        <v/>
      </c>
      <c r="U218" s="7" t="str">
        <f t="array" aca="1" ref="U218" ca="1">IFERROR(IF(OR('Raw Data'!U218="",LEN(TRIM('Raw Data'!U218))=0),"",IF(AND(ISNUMBER('Raw Data'!U218), IFERROR('Raw Data'!U218 = ROUND('Raw Data'!U218, 2),FALSE)),"",_xlfn.REGEXEXTRACT(CELL("address",U218), "\$([A-Z]+)\$[0-9]+"))),_xlfn.REGEXEXTRACT(CELL("address",U218), "\$([A-Z]+)\$[0-9]+"))</f>
        <v/>
      </c>
      <c r="V218" s="7" t="str">
        <f t="array" aca="1" ref="V218" ca="1">IFERROR(IF(OR('Raw Data'!V218="",LEN(TRIM('Raw Data'!V218))=0),"",IF(AND(ISNUMBER('Raw Data'!V218), IFERROR('Raw Data'!V218 = ROUND('Raw Data'!V218, 2),FALSE)),"",_xlfn.REGEXEXTRACT(CELL("address",V218), "\$([A-Z]+)\$[0-9]+"))),_xlfn.REGEXEXTRACT(CELL("address",V218), "\$([A-Z]+)\$[0-9]+"))</f>
        <v/>
      </c>
      <c r="W218" s="7" t="str">
        <f t="array" aca="1" ref="W218" ca="1">IFERROR(IF(OR('Raw Data'!W218="",LEN(TRIM('Raw Data'!W218))=0),"",IF(AND(ISNUMBER('Raw Data'!W218), IFERROR('Raw Data'!W218 = ROUND('Raw Data'!W218, 2),FALSE)),"",_xlfn.REGEXEXTRACT(CELL("address",W218), "\$([A-Z]+)\$[0-9]+"))),_xlfn.REGEXEXTRACT(CELL("address",W218), "\$([A-Z]+)\$[0-9]+"))</f>
        <v/>
      </c>
      <c r="X218" s="7" t="str">
        <f t="array" aca="1" ref="X218" ca="1">IFERROR(IF(OR('Raw Data'!X218="",LEN(TRIM('Raw Data'!X218))=0),"",IF(AND(ISNUMBER('Raw Data'!X218), IFERROR('Raw Data'!X218 = ROUND('Raw Data'!X218, 2),FALSE)),"",_xlfn.REGEXEXTRACT(CELL("address",X218), "\$([A-Z]+)\$[0-9]+"))),_xlfn.REGEXEXTRACT(CELL("address",X218), "\$([A-Z]+)\$[0-9]+"))</f>
        <v/>
      </c>
      <c r="Y218" s="7" t="str">
        <f t="array" aca="1" ref="Y218" ca="1">IFERROR(IF(OR('Raw Data'!Y218="",LEN(TRIM('Raw Data'!Y218))=0),"",IF(AND(ISNUMBER('Raw Data'!Y218), IFERROR('Raw Data'!Y218 = ROUND('Raw Data'!Y218, 2),FALSE)),"",_xlfn.REGEXEXTRACT(CELL("address",Y218), "\$([A-Z]+)\$[0-9]+"))),_xlfn.REGEXEXTRACT(CELL("address",Y218), "\$([A-Z]+)\$[0-9]+"))</f>
        <v/>
      </c>
      <c r="Z218" s="7" t="str">
        <f t="array" aca="1" ref="Z218" ca="1">IFERROR(IF(OR('Raw Data'!Z218="",LEN(TRIM('Raw Data'!Z218))=0),"",IF(AND(ISNUMBER('Raw Data'!Z218), IFERROR('Raw Data'!Z218 = ROUND('Raw Data'!Z218, 2),FALSE)),"",_xlfn.REGEXEXTRACT(CELL("address",Z218), "\$([A-Z]+)\$[0-9]+"))),_xlfn.REGEXEXTRACT(CELL("address",Z218), "\$([A-Z]+)\$[0-9]+"))</f>
        <v/>
      </c>
      <c r="AA218" s="7" t="str">
        <f t="array" aca="1" ref="AA218" ca="1">IFERROR(IF(OR('Raw Data'!AA218="",LEN(TRIM('Raw Data'!AA218))=0),"",IF(AND(ISNUMBER('Raw Data'!AA218), IFERROR('Raw Data'!AA218 = ROUND('Raw Data'!AA218, 2),FALSE)),"",_xlfn.REGEXEXTRACT(CELL("address",AA218), "\$([A-Z]+)\$[0-9]+"))),_xlfn.REGEXEXTRACT(CELL("address",AA218), "\$([A-Z]+)\$[0-9]+"))</f>
        <v/>
      </c>
      <c r="AB218" s="7" t="str">
        <f t="array" aca="1" ref="AB218" ca="1">IFERROR(IF(OR('Raw Data'!AB218="",LEN(TRIM('Raw Data'!AB218))=0),"",IF(AND(ISNUMBER('Raw Data'!AB218), IFERROR('Raw Data'!AB218 = ROUND('Raw Data'!AB218, 2),FALSE)),"",_xlfn.REGEXEXTRACT(CELL("address",AB218), "\$([A-Z]+)\$[0-9]+"))),_xlfn.REGEXEXTRACT(CELL("address",AB218), "\$([A-Z]+)\$[0-9]+"))</f>
        <v/>
      </c>
      <c r="AC218" s="7" t="str">
        <f t="array" aca="1" ref="AC218" ca="1">IFERROR(IF(OR('Raw Data'!AC218="",LEN(TRIM('Raw Data'!AC218))=0),"",IF(AND(ISNUMBER('Raw Data'!AC218), IFERROR('Raw Data'!AC218 = ROUND('Raw Data'!AC218, 2),FALSE)),"",_xlfn.REGEXEXTRACT(CELL("address",AC218), "\$([A-Z]+)\$[0-9]+"))),_xlfn.REGEXEXTRACT(CELL("address",AC218), "\$([A-Z]+)\$[0-9]+"))</f>
        <v/>
      </c>
      <c r="AD218" s="7" t="str">
        <f t="array" aca="1" ref="AD218" ca="1">IFERROR(IF(OR('Raw Data'!AD218="",LEN(TRIM('Raw Data'!AD218))=0),"",IF(AND(ISNUMBER('Raw Data'!AD218), IFERROR('Raw Data'!AD218 = ROUND('Raw Data'!AD218, 2),FALSE)),"",_xlfn.REGEXEXTRACT(CELL("address",AD218), "\$([A-Z]+)\$[0-9]+"))),_xlfn.REGEXEXTRACT(CELL("address",AD218), "\$([A-Z]+)\$[0-9]+"))</f>
        <v/>
      </c>
      <c r="AE218" s="7" t="str">
        <f t="array" aca="1" ref="AE218" ca="1">IFERROR(IF(OR('Raw Data'!AE218="",LEN(TRIM('Raw Data'!AE218))=0),"",IF(AND(ISNUMBER('Raw Data'!AE218), IFERROR('Raw Data'!AE218 = ROUND('Raw Data'!AE218, 2),FALSE)),"",_xlfn.REGEXEXTRACT(CELL("address",AE218), "\$([A-Z]+)\$[0-9]+"))),_xlfn.REGEXEXTRACT(CELL("address",AE218), "\$([A-Z]+)\$[0-9]+"))</f>
        <v/>
      </c>
      <c r="AF218" s="7" t="str">
        <f t="array" aca="1" ref="AF218" ca="1">IFERROR(IF(OR('Raw Data'!AF218="",LEN(TRIM('Raw Data'!AF218))=0),"",IF(AND(ISNUMBER('Raw Data'!AF218), IFERROR('Raw Data'!AF218 = ROUND('Raw Data'!AF218, 2),FALSE)),"",_xlfn.REGEXEXTRACT(CELL("address",AF218), "\$([A-Z]+)\$[0-9]+"))),_xlfn.REGEXEXTRACT(CELL("address",AF218), "\$([A-Z]+)\$[0-9]+"))</f>
        <v/>
      </c>
      <c r="AG218" s="7" t="str">
        <f t="array" aca="1" ref="AG218" ca="1">IFERROR(IF(OR('Raw Data'!AG218="",LEN(TRIM('Raw Data'!AG218))=0),"",IF(AND(ISNUMBER('Raw Data'!AG218), IFERROR('Raw Data'!AG218 = ROUND('Raw Data'!AG218, 2),FALSE)),"",_xlfn.REGEXEXTRACT(CELL("address",AG218), "\$([A-Z]+)\$[0-9]+"))),_xlfn.REGEXEXTRACT(CELL("address",AG218), "\$([A-Z]+)\$[0-9]+"))</f>
        <v/>
      </c>
      <c r="AH218" s="7" t="str">
        <f t="array" aca="1" ref="AH218" ca="1">IFERROR(IF(OR('Raw Data'!AH218="",LEN(TRIM('Raw Data'!AH218))=0),"",IF(AND(ISNUMBER('Raw Data'!AH218), IFERROR('Raw Data'!AH218 = ROUND('Raw Data'!AH218, 2),FALSE)),"",_xlfn.REGEXEXTRACT(CELL("address",AH218), "\$([A-Z]+)\$[0-9]+"))),_xlfn.REGEXEXTRACT(CELL("address",AH218), "\$([A-Z]+)\$[0-9]+"))</f>
        <v/>
      </c>
      <c r="AI218" s="7" t="str">
        <f t="array" aca="1" ref="AI218" ca="1">IFERROR(IF(OR('Raw Data'!AI218="",LEN(TRIM('Raw Data'!AI218))=0),"",IF(AND(ISNUMBER('Raw Data'!AI218), IFERROR('Raw Data'!AI218 = ROUND('Raw Data'!AI218, 2),FALSE)),"",_xlfn.REGEXEXTRACT(CELL("address",AI218), "\$([A-Z]+)\$[0-9]+"))),_xlfn.REGEXEXTRACT(CELL("address",AI218), "\$([A-Z]+)\$[0-9]+"))</f>
        <v/>
      </c>
      <c r="AJ218" s="7" t="str">
        <f t="array" aca="1" ref="AJ218" ca="1">IFERROR(IF(OR('Raw Data'!AJ218="",LEN(TRIM('Raw Data'!AJ218))=0),"",IF(AND(ISNUMBER('Raw Data'!AJ218), IFERROR('Raw Data'!AJ218 = ROUND('Raw Data'!AJ218, 4),FALSE)),"",_xlfn.REGEXEXTRACT(CELL("address",AJ218), "\$([A-Z]+)\$[0-9]+"))),_xlfn.REGEXEXTRACT(CELL("address",AJ218), "\$([A-Z]+)\$[0-9]+"))</f>
        <v/>
      </c>
      <c r="AK218" s="7" t="str">
        <f t="array" aca="1" ref="AK218" ca="1">IFERROR(IF(OR('Raw Data'!AK218="",LEN(TRIM('Raw Data'!AK218))=0),"",IF(AND(ISNUMBER('Raw Data'!AK218), IFERROR('Raw Data'!AK218 = ROUND('Raw Data'!AK218, 2),FALSE)),"",_xlfn.REGEXEXTRACT(CELL("address",AK218), "\$([A-Z]+)\$[0-9]+"))),_xlfn.REGEXEXTRACT(CELL("address",AK218), "\$([A-Z]+)\$[0-9]+"))</f>
        <v/>
      </c>
      <c r="AL218" s="7" t="str">
        <f t="array" aca="1" ref="AL218" ca="1">IFERROR(IF(OR('Raw Data'!AL218="",LEN(TRIM('Raw Data'!AL218))=0),"",IF(AND(ISNUMBER('Raw Data'!AL218), IFERROR('Raw Data'!AL218 = ROUND('Raw Data'!AL218, 2),FALSE)),"",_xlfn.REGEXEXTRACT(CELL("address",AL218), "\$([A-Z]+)\$[0-9]+"))),_xlfn.REGEXEXTRACT(CELL("address",AL218), "\$([A-Z]+)\$[0-9]+"))</f>
        <v/>
      </c>
      <c r="AM218" s="7" t="str">
        <f t="array" aca="1" ref="AM218" ca="1">IFERROR(IF(OR('Raw Data'!AM218="",LEN(TRIM('Raw Data'!AM218))=0),"",IF(AND(ISNUMBER('Raw Data'!AM218), IFERROR('Raw Data'!AM218 = ROUND('Raw Data'!AM218, 2),FALSE)),"",_xlfn.REGEXEXTRACT(CELL("address",AM218), "\$([A-Z]+)\$[0-9]+"))),_xlfn.REGEXEXTRACT(CELL("address",AM218), "\$([A-Z]+)\$[0-9]+"))</f>
        <v/>
      </c>
      <c r="AN218" s="7" t="str">
        <f t="array" aca="1" ref="AN218" ca="1">IFERROR(IF(OR('Raw Data'!AN218="",LEN(TRIM('Raw Data'!AN218))=0),"",IF(AND(ISNUMBER('Raw Data'!AN218), IFERROR('Raw Data'!AN218 = ROUND('Raw Data'!AN218, 2),FALSE)),"",_xlfn.REGEXEXTRACT(CELL("address",AN218), "\$([A-Z]+)\$[0-9]+"))),_xlfn.REGEXEXTRACT(CELL("address",AN218), "\$([A-Z]+)\$[0-9]+"))</f>
        <v/>
      </c>
      <c r="AO218" s="7" t="str">
        <f t="array" aca="1" ref="AO218" ca="1">IFERROR(IF(OR('Raw Data'!AO218="",LEN(TRIM('Raw Data'!AO218))=0),"",IF(AND(ISNUMBER('Raw Data'!AO218), IFERROR('Raw Data'!AO218 = ROUND('Raw Data'!AO218, 2),FALSE)),"",_xlfn.REGEXEXTRACT(CELL("address",AO218), "\$([A-Z]+)\$[0-9]+"))),_xlfn.REGEXEXTRACT(CELL("address",AO218), "\$([A-Z]+)\$[0-9]+"))</f>
        <v/>
      </c>
      <c r="AP218" s="7" t="str">
        <f t="array" aca="1" ref="AP218" ca="1">IFERROR(IF(OR('Raw Data'!AP218="",LEN(TRIM('Raw Data'!AP218))=0),"",IF(AND(ISNUMBER('Raw Data'!AP218), IFERROR('Raw Data'!AP218 = ROUND('Raw Data'!AP218, 2),FALSE)),"",_xlfn.REGEXEXTRACT(CELL("address",AP218), "\$([A-Z]+)\$[0-9]+"))),_xlfn.REGEXEXTRACT(CELL("address",AP218), "\$([A-Z]+)\$[0-9]+"))</f>
        <v/>
      </c>
    </row>
    <row r="219" spans="2:42" x14ac:dyDescent="0.25">
      <c r="B219" s="7" t="str">
        <f t="array" aca="1" ref="B219" ca="1">IFERROR(IF(OR('Raw Data'!B219="",LEN(TRIM('Raw Data'!B219))=0),"",IF(AND(LEN('Raw Data'!B219) &lt;= 255,LEN('Raw Data'!B219)&gt; 0),"",_xlfn.REGEXEXTRACT(CELL("address",'Raw Data'!B219),"\$([A-Z]+)\$[0-9]+"))),_xlfn.REGEXEXTRACT(CELL("address",'Raw Data'!B219),"\$([A-Z]+)\$[0-9]+"))</f>
        <v/>
      </c>
      <c r="C219" s="7" t="str">
        <f t="array" aca="1" ref="C219" ca="1">IFERROR(IF(OR('Raw Data'!C219="",LEN(TRIM('Raw Data'!C219))=0),"",IF(AND(LEN('Raw Data'!C219) &lt;= 50,LEN('Raw Data'!C219)&gt; 0),"",_xlfn.REGEXEXTRACT(CELL("address",'Raw Data'!C219),"\$([A-Z]+)\$[0-9]+"))),_xlfn.REGEXEXTRACT(CELL("address",'Raw Data'!C219),"\$([A-Z]+)\$[0-9]+"))</f>
        <v/>
      </c>
      <c r="D219" s="7" t="str">
        <f t="array" aca="1" ref="D219" ca="1">IFERROR(IF(OR('Raw Data'!D219="",LEN(TRIM('Raw Data'!D219))=0),"",IF(AND(LEN('Raw Data'!D219) &lt;= 500,LEN('Raw Data'!D219)&gt; 0),"",_xlfn.REGEXEXTRACT(CELL("address",'Raw Data'!D219),"\$([A-Z]+)\$[0-9]+"))),_xlfn.REGEXEXTRACT(CELL("address",'Raw Data'!D219),"\$([A-Z]+)\$[0-9]+"))</f>
        <v/>
      </c>
      <c r="E219" s="7" t="str">
        <f t="array" aca="1" ref="E219" ca="1">IFERROR(IF(OR('Raw Data'!E219="",LEN(TRIM('Raw Data'!E219))=0),"",IF(AND(LEN('Raw Data'!E219) &lt;= 50,LEN('Raw Data'!E219)&gt; 0),"",_xlfn.REGEXEXTRACT(CELL("address",'Raw Data'!E219),"\$([A-Z]+)\$[0-9]+"))),_xlfn.REGEXEXTRACT(CELL("address",'Raw Data'!E219),"\$([A-Z]+)\$[0-9]+"))</f>
        <v/>
      </c>
      <c r="F219" s="7" t="str">
        <f t="array" aca="1" ref="F219" ca="1">IFERROR(IF(OR('Raw Data'!F219="",LEN(TRIM('Raw Data'!F219))=0),"",IF(AND(LEN('Raw Data'!F219) &lt;= 50,LEN('Raw Data'!F219)&gt; 0),"",_xlfn.REGEXEXTRACT(CELL("address",'Raw Data'!F219),"\$([A-Z]+)\$[0-9]+"))),_xlfn.REGEXEXTRACT(CELL("address",'Raw Data'!F219),"\$([A-Z]+)\$[0-9]+"))</f>
        <v/>
      </c>
      <c r="G219" s="7" t="str">
        <f t="array" aca="1" ref="G219" ca="1">IFERROR(IF(OR('Raw Data'!G219="",LEN(TRIM('Raw Data'!G219))=0),"",IF(AND(LEN('Raw Data'!G219) &lt;= 50,LEN('Raw Data'!G219)&gt; 0),"",_xlfn.REGEXEXTRACT(CELL("address",'Raw Data'!G219),"\$([A-Z]+)\$[0-9]+"))),_xlfn.REGEXEXTRACT(CELL("address",'Raw Data'!G219),"\$([A-Z]+)\$[0-9]+"))</f>
        <v/>
      </c>
      <c r="H219" s="7" t="str">
        <f t="array" aca="1" ref="H219" ca="1">IFERROR(IF(OR('Raw Data'!H219="",LEN(TRIM('Raw Data'!H219))=0),"",IF(AND(LEN('Raw Data'!H219) &lt;= 50,LEN('Raw Data'!H219)&gt; 0),"",_xlfn.REGEXEXTRACT(CELL("address",'Raw Data'!H219),"\$([A-Z]+)\$[0-9]+"))),_xlfn.REGEXEXTRACT(CELL("address",'Raw Data'!H219),"\$([A-Z]+)\$[0-9]+"))</f>
        <v/>
      </c>
      <c r="I219" s="7" t="str">
        <f t="array" aca="1" ref="I219" ca="1">IFERROR(IF(OR('Raw Data'!I219="",LEN(TRIM('Raw Data'!I219))=0),"",IF(AND(LEN('Raw Data'!I219) &lt;= 50,LEN('Raw Data'!I219)&gt; 0),"",_xlfn.REGEXEXTRACT(CELL("address",'Raw Data'!I219),"\$([A-Z]+)\$[0-9]+"))),_xlfn.REGEXEXTRACT(CELL("address",'Raw Data'!I219),"\$([A-Z]+)\$[0-9]+"))</f>
        <v/>
      </c>
      <c r="J219" s="7" t="str">
        <f t="array" aca="1" ref="J219" ca="1">IFERROR(IF(OR('Raw Data'!J219="",LEN(TRIM('Raw Data'!J219))=0),"",IF(AND(ISNUMBER('Raw Data'!J219), IFERROR('Raw Data'!J219 = ROUND('Raw Data'!J219, 2),FALSE)),"",_xlfn.REGEXEXTRACT(CELL("address",J219), "\$([A-Z]+)\$[0-9]+"))),_xlfn.REGEXEXTRACT(CELL("address",J219), "\$([A-Z]+)\$[0-9]+"))</f>
        <v/>
      </c>
      <c r="K219" s="7" t="str">
        <f t="array" aca="1" ref="K219" ca="1">IFERROR(IF(OR('Raw Data'!K219="",LEN(TRIM('Raw Data'!K219))=0),"",IF(AND(ISNUMBER('Raw Data'!K219), IFERROR('Raw Data'!K219 = ROUND('Raw Data'!K219, 2),FALSE)),"",_xlfn.REGEXEXTRACT(CELL("address",K219), "\$([A-Z]+)\$[0-9]+"))),_xlfn.REGEXEXTRACT(CELL("address",K219), "\$([A-Z]+)\$[0-9]+"))</f>
        <v/>
      </c>
      <c r="L219" s="7" t="str">
        <f t="array" aca="1" ref="L219" ca="1">IFERROR(IF(OR('Raw Data'!L219="",LEN(TRIM('Raw Data'!L219))=0),"",IF(AND(ISNUMBER('Raw Data'!L219), IFERROR('Raw Data'!L219 = ROUND('Raw Data'!L219, 2),FALSE)),"",_xlfn.REGEXEXTRACT(CELL("address",L219), "\$([A-Z]+)\$[0-9]+"))),_xlfn.REGEXEXTRACT(CELL("address",L219), "\$([A-Z]+)\$[0-9]+"))</f>
        <v/>
      </c>
      <c r="M219" s="7" t="str">
        <f t="array" aca="1" ref="M219" ca="1">IFERROR(IF(OR('Raw Data'!M219="",LEN(TRIM('Raw Data'!M219))=0),"",IF(AND(ISNUMBER('Raw Data'!M219), IFERROR('Raw Data'!M219 = ROUND('Raw Data'!M219, 2),FALSE)),"",_xlfn.REGEXEXTRACT(CELL("address",M219), "\$([A-Z]+)\$[0-9]+"))),_xlfn.REGEXEXTRACT(CELL("address",M219), "\$([A-Z]+)\$[0-9]+"))</f>
        <v/>
      </c>
      <c r="N219" s="7" t="str">
        <f t="array" aca="1" ref="N219" ca="1">IFERROR(IF(OR('Raw Data'!N219="",LEN(TRIM('Raw Data'!N219))=0),"",IF(AND(ISNUMBER('Raw Data'!N219), IFERROR('Raw Data'!N219 = ROUND('Raw Data'!N219, 2),FALSE)),"",_xlfn.REGEXEXTRACT(CELL("address",N219), "\$([A-Z]+)\$[0-9]+"))),_xlfn.REGEXEXTRACT(CELL("address",N219), "\$([A-Z]+)\$[0-9]+"))</f>
        <v/>
      </c>
      <c r="O219" s="7" t="str">
        <f t="array" aca="1" ref="O219" ca="1">IFERROR(IF(OR('Raw Data'!O219="",LEN(TRIM('Raw Data'!O219))=0),"",IF(AND(ISNUMBER('Raw Data'!O219),'Raw Data'!O219&gt;=Configuration!$D$2),"",_xlfn.REGEXEXTRACT(CELL("address",'Raw Data'!O219),"\$([A-Z]+)\$[0-9]+"))),_xlfn.REGEXEXTRACT(CELL("address",O219), "\$([A-Z]+)\$[0-9]+"))</f>
        <v/>
      </c>
      <c r="P219" s="7" t="str">
        <f t="array" aca="1" ref="P219" ca="1">IFERROR(IF(OR('Raw Data'!P219="",LEN(TRIM('Raw Data'!P219))=0),"",IF(AND(ISNUMBER('Raw Data'!P219), IFERROR('Raw Data'!P219 = ROUND('Raw Data'!P219, 2),FALSE)),"",_xlfn.REGEXEXTRACT(CELL("address",P219), "\$([A-Z]+)\$[0-9]+"))),_xlfn.REGEXEXTRACT(CELL("address",P219), "\$([A-Z]+)\$[0-9]+"))</f>
        <v/>
      </c>
      <c r="Q219" s="7" t="str">
        <f t="array" aca="1" ref="Q219" ca="1">IFERROR(IF(OR('Raw Data'!Q219="",LEN(TRIM('Raw Data'!Q219))=0),"",IF(AND(ISNUMBER('Raw Data'!Q219), IFERROR('Raw Data'!Q219 = ROUND('Raw Data'!Q219, 2),FALSE)),"",_xlfn.REGEXEXTRACT(CELL("address",Q219), "\$([A-Z]+)\$[0-9]+"))),_xlfn.REGEXEXTRACT(CELL("address",Q219), "\$([A-Z]+)\$[0-9]+"))</f>
        <v/>
      </c>
      <c r="R219" s="7" t="str">
        <f t="array" aca="1" ref="R219" ca="1">IFERROR(IF(OR('Raw Data'!R219="",LEN(TRIM('Raw Data'!R219))=0),"",IF(AND(LEN('Raw Data'!R219) &lt;= 50,LEN('Raw Data'!R219)&gt; 0),"",_xlfn.REGEXEXTRACT(CELL("address",'Raw Data'!R219),"\$([A-Z]+)\$[0-9]+"))),_xlfn.REGEXEXTRACT(CELL("address",'Raw Data'!R219),"\$([A-Z]+)\$[0-9]+"))</f>
        <v/>
      </c>
      <c r="S219" s="7" t="str">
        <f t="array" aca="1" ref="S219" ca="1">IFERROR(IF(OR('Raw Data'!S219="",LEN(TRIM('Raw Data'!S219))=0),"",IF(AND(LEN('Raw Data'!S219) &lt;= 50,LEN('Raw Data'!S219)&gt; 0),"",_xlfn.REGEXEXTRACT(CELL("address",'Raw Data'!S219),"\$([A-Z]+)\$[0-9]+"))),_xlfn.REGEXEXTRACT(CELL("address",'Raw Data'!S219),"\$([A-Z]+)\$[0-9]+"))</f>
        <v/>
      </c>
      <c r="T219" s="7" t="str">
        <f t="array" aca="1" ref="T219" ca="1">IFERROR(IF(OR('Raw Data'!T219="",LEN(TRIM('Raw Data'!T219))=0),"",IF(AND(ISNUMBER('Raw Data'!T219), IFERROR('Raw Data'!T219 = ROUND('Raw Data'!T219, 2),FALSE)),"",_xlfn.REGEXEXTRACT(CELL("address",T219), "\$([A-Z]+)\$[0-9]+"))),_xlfn.REGEXEXTRACT(CELL("address",T219), "\$([A-Z]+)\$[0-9]+"))</f>
        <v/>
      </c>
      <c r="U219" s="7" t="str">
        <f t="array" aca="1" ref="U219" ca="1">IFERROR(IF(OR('Raw Data'!U219="",LEN(TRIM('Raw Data'!U219))=0),"",IF(AND(ISNUMBER('Raw Data'!U219), IFERROR('Raw Data'!U219 = ROUND('Raw Data'!U219, 2),FALSE)),"",_xlfn.REGEXEXTRACT(CELL("address",U219), "\$([A-Z]+)\$[0-9]+"))),_xlfn.REGEXEXTRACT(CELL("address",U219), "\$([A-Z]+)\$[0-9]+"))</f>
        <v/>
      </c>
      <c r="V219" s="7" t="str">
        <f t="array" aca="1" ref="V219" ca="1">IFERROR(IF(OR('Raw Data'!V219="",LEN(TRIM('Raw Data'!V219))=0),"",IF(AND(ISNUMBER('Raw Data'!V219), IFERROR('Raw Data'!V219 = ROUND('Raw Data'!V219, 2),FALSE)),"",_xlfn.REGEXEXTRACT(CELL("address",V219), "\$([A-Z]+)\$[0-9]+"))),_xlfn.REGEXEXTRACT(CELL("address",V219), "\$([A-Z]+)\$[0-9]+"))</f>
        <v/>
      </c>
      <c r="W219" s="7" t="str">
        <f t="array" aca="1" ref="W219" ca="1">IFERROR(IF(OR('Raw Data'!W219="",LEN(TRIM('Raw Data'!W219))=0),"",IF(AND(ISNUMBER('Raw Data'!W219), IFERROR('Raw Data'!W219 = ROUND('Raw Data'!W219, 2),FALSE)),"",_xlfn.REGEXEXTRACT(CELL("address",W219), "\$([A-Z]+)\$[0-9]+"))),_xlfn.REGEXEXTRACT(CELL("address",W219), "\$([A-Z]+)\$[0-9]+"))</f>
        <v/>
      </c>
      <c r="X219" s="7" t="str">
        <f t="array" aca="1" ref="X219" ca="1">IFERROR(IF(OR('Raw Data'!X219="",LEN(TRIM('Raw Data'!X219))=0),"",IF(AND(ISNUMBER('Raw Data'!X219), IFERROR('Raw Data'!X219 = ROUND('Raw Data'!X219, 2),FALSE)),"",_xlfn.REGEXEXTRACT(CELL("address",X219), "\$([A-Z]+)\$[0-9]+"))),_xlfn.REGEXEXTRACT(CELL("address",X219), "\$([A-Z]+)\$[0-9]+"))</f>
        <v/>
      </c>
      <c r="Y219" s="7" t="str">
        <f t="array" aca="1" ref="Y219" ca="1">IFERROR(IF(OR('Raw Data'!Y219="",LEN(TRIM('Raw Data'!Y219))=0),"",IF(AND(ISNUMBER('Raw Data'!Y219), IFERROR('Raw Data'!Y219 = ROUND('Raw Data'!Y219, 2),FALSE)),"",_xlfn.REGEXEXTRACT(CELL("address",Y219), "\$([A-Z]+)\$[0-9]+"))),_xlfn.REGEXEXTRACT(CELL("address",Y219), "\$([A-Z]+)\$[0-9]+"))</f>
        <v/>
      </c>
      <c r="Z219" s="7" t="str">
        <f t="array" aca="1" ref="Z219" ca="1">IFERROR(IF(OR('Raw Data'!Z219="",LEN(TRIM('Raw Data'!Z219))=0),"",IF(AND(ISNUMBER('Raw Data'!Z219), IFERROR('Raw Data'!Z219 = ROUND('Raw Data'!Z219, 2),FALSE)),"",_xlfn.REGEXEXTRACT(CELL("address",Z219), "\$([A-Z]+)\$[0-9]+"))),_xlfn.REGEXEXTRACT(CELL("address",Z219), "\$([A-Z]+)\$[0-9]+"))</f>
        <v/>
      </c>
      <c r="AA219" s="7" t="str">
        <f t="array" aca="1" ref="AA219" ca="1">IFERROR(IF(OR('Raw Data'!AA219="",LEN(TRIM('Raw Data'!AA219))=0),"",IF(AND(ISNUMBER('Raw Data'!AA219), IFERROR('Raw Data'!AA219 = ROUND('Raw Data'!AA219, 2),FALSE)),"",_xlfn.REGEXEXTRACT(CELL("address",AA219), "\$([A-Z]+)\$[0-9]+"))),_xlfn.REGEXEXTRACT(CELL("address",AA219), "\$([A-Z]+)\$[0-9]+"))</f>
        <v/>
      </c>
      <c r="AB219" s="7" t="str">
        <f t="array" aca="1" ref="AB219" ca="1">IFERROR(IF(OR('Raw Data'!AB219="",LEN(TRIM('Raw Data'!AB219))=0),"",IF(AND(ISNUMBER('Raw Data'!AB219), IFERROR('Raw Data'!AB219 = ROUND('Raw Data'!AB219, 2),FALSE)),"",_xlfn.REGEXEXTRACT(CELL("address",AB219), "\$([A-Z]+)\$[0-9]+"))),_xlfn.REGEXEXTRACT(CELL("address",AB219), "\$([A-Z]+)\$[0-9]+"))</f>
        <v/>
      </c>
      <c r="AC219" s="7" t="str">
        <f t="array" aca="1" ref="AC219" ca="1">IFERROR(IF(OR('Raw Data'!AC219="",LEN(TRIM('Raw Data'!AC219))=0),"",IF(AND(ISNUMBER('Raw Data'!AC219), IFERROR('Raw Data'!AC219 = ROUND('Raw Data'!AC219, 2),FALSE)),"",_xlfn.REGEXEXTRACT(CELL("address",AC219), "\$([A-Z]+)\$[0-9]+"))),_xlfn.REGEXEXTRACT(CELL("address",AC219), "\$([A-Z]+)\$[0-9]+"))</f>
        <v/>
      </c>
      <c r="AD219" s="7" t="str">
        <f t="array" aca="1" ref="AD219" ca="1">IFERROR(IF(OR('Raw Data'!AD219="",LEN(TRIM('Raw Data'!AD219))=0),"",IF(AND(ISNUMBER('Raw Data'!AD219), IFERROR('Raw Data'!AD219 = ROUND('Raw Data'!AD219, 2),FALSE)),"",_xlfn.REGEXEXTRACT(CELL("address",AD219), "\$([A-Z]+)\$[0-9]+"))),_xlfn.REGEXEXTRACT(CELL("address",AD219), "\$([A-Z]+)\$[0-9]+"))</f>
        <v/>
      </c>
      <c r="AE219" s="7" t="str">
        <f t="array" aca="1" ref="AE219" ca="1">IFERROR(IF(OR('Raw Data'!AE219="",LEN(TRIM('Raw Data'!AE219))=0),"",IF(AND(ISNUMBER('Raw Data'!AE219), IFERROR('Raw Data'!AE219 = ROUND('Raw Data'!AE219, 2),FALSE)),"",_xlfn.REGEXEXTRACT(CELL("address",AE219), "\$([A-Z]+)\$[0-9]+"))),_xlfn.REGEXEXTRACT(CELL("address",AE219), "\$([A-Z]+)\$[0-9]+"))</f>
        <v/>
      </c>
      <c r="AF219" s="7" t="str">
        <f t="array" aca="1" ref="AF219" ca="1">IFERROR(IF(OR('Raw Data'!AF219="",LEN(TRIM('Raw Data'!AF219))=0),"",IF(AND(ISNUMBER('Raw Data'!AF219), IFERROR('Raw Data'!AF219 = ROUND('Raw Data'!AF219, 2),FALSE)),"",_xlfn.REGEXEXTRACT(CELL("address",AF219), "\$([A-Z]+)\$[0-9]+"))),_xlfn.REGEXEXTRACT(CELL("address",AF219), "\$([A-Z]+)\$[0-9]+"))</f>
        <v/>
      </c>
      <c r="AG219" s="7" t="str">
        <f t="array" aca="1" ref="AG219" ca="1">IFERROR(IF(OR('Raw Data'!AG219="",LEN(TRIM('Raw Data'!AG219))=0),"",IF(AND(ISNUMBER('Raw Data'!AG219), IFERROR('Raw Data'!AG219 = ROUND('Raw Data'!AG219, 2),FALSE)),"",_xlfn.REGEXEXTRACT(CELL("address",AG219), "\$([A-Z]+)\$[0-9]+"))),_xlfn.REGEXEXTRACT(CELL("address",AG219), "\$([A-Z]+)\$[0-9]+"))</f>
        <v/>
      </c>
      <c r="AH219" s="7" t="str">
        <f t="array" aca="1" ref="AH219" ca="1">IFERROR(IF(OR('Raw Data'!AH219="",LEN(TRIM('Raw Data'!AH219))=0),"",IF(AND(ISNUMBER('Raw Data'!AH219), IFERROR('Raw Data'!AH219 = ROUND('Raw Data'!AH219, 2),FALSE)),"",_xlfn.REGEXEXTRACT(CELL("address",AH219), "\$([A-Z]+)\$[0-9]+"))),_xlfn.REGEXEXTRACT(CELL("address",AH219), "\$([A-Z]+)\$[0-9]+"))</f>
        <v/>
      </c>
      <c r="AI219" s="7" t="str">
        <f t="array" aca="1" ref="AI219" ca="1">IFERROR(IF(OR('Raw Data'!AI219="",LEN(TRIM('Raw Data'!AI219))=0),"",IF(AND(ISNUMBER('Raw Data'!AI219), IFERROR('Raw Data'!AI219 = ROUND('Raw Data'!AI219, 2),FALSE)),"",_xlfn.REGEXEXTRACT(CELL("address",AI219), "\$([A-Z]+)\$[0-9]+"))),_xlfn.REGEXEXTRACT(CELL("address",AI219), "\$([A-Z]+)\$[0-9]+"))</f>
        <v/>
      </c>
      <c r="AJ219" s="7" t="str">
        <f t="array" aca="1" ref="AJ219" ca="1">IFERROR(IF(OR('Raw Data'!AJ219="",LEN(TRIM('Raw Data'!AJ219))=0),"",IF(AND(ISNUMBER('Raw Data'!AJ219), IFERROR('Raw Data'!AJ219 = ROUND('Raw Data'!AJ219, 4),FALSE)),"",_xlfn.REGEXEXTRACT(CELL("address",AJ219), "\$([A-Z]+)\$[0-9]+"))),_xlfn.REGEXEXTRACT(CELL("address",AJ219), "\$([A-Z]+)\$[0-9]+"))</f>
        <v/>
      </c>
      <c r="AK219" s="7" t="str">
        <f t="array" aca="1" ref="AK219" ca="1">IFERROR(IF(OR('Raw Data'!AK219="",LEN(TRIM('Raw Data'!AK219))=0),"",IF(AND(ISNUMBER('Raw Data'!AK219), IFERROR('Raw Data'!AK219 = ROUND('Raw Data'!AK219, 2),FALSE)),"",_xlfn.REGEXEXTRACT(CELL("address",AK219), "\$([A-Z]+)\$[0-9]+"))),_xlfn.REGEXEXTRACT(CELL("address",AK219), "\$([A-Z]+)\$[0-9]+"))</f>
        <v/>
      </c>
      <c r="AL219" s="7" t="str">
        <f t="array" aca="1" ref="AL219" ca="1">IFERROR(IF(OR('Raw Data'!AL219="",LEN(TRIM('Raw Data'!AL219))=0),"",IF(AND(ISNUMBER('Raw Data'!AL219), IFERROR('Raw Data'!AL219 = ROUND('Raw Data'!AL219, 2),FALSE)),"",_xlfn.REGEXEXTRACT(CELL("address",AL219), "\$([A-Z]+)\$[0-9]+"))),_xlfn.REGEXEXTRACT(CELL("address",AL219), "\$([A-Z]+)\$[0-9]+"))</f>
        <v/>
      </c>
      <c r="AM219" s="7" t="str">
        <f t="array" aca="1" ref="AM219" ca="1">IFERROR(IF(OR('Raw Data'!AM219="",LEN(TRIM('Raw Data'!AM219))=0),"",IF(AND(ISNUMBER('Raw Data'!AM219), IFERROR('Raw Data'!AM219 = ROUND('Raw Data'!AM219, 2),FALSE)),"",_xlfn.REGEXEXTRACT(CELL("address",AM219), "\$([A-Z]+)\$[0-9]+"))),_xlfn.REGEXEXTRACT(CELL("address",AM219), "\$([A-Z]+)\$[0-9]+"))</f>
        <v/>
      </c>
      <c r="AN219" s="7" t="str">
        <f t="array" aca="1" ref="AN219" ca="1">IFERROR(IF(OR('Raw Data'!AN219="",LEN(TRIM('Raw Data'!AN219))=0),"",IF(AND(ISNUMBER('Raw Data'!AN219), IFERROR('Raw Data'!AN219 = ROUND('Raw Data'!AN219, 2),FALSE)),"",_xlfn.REGEXEXTRACT(CELL("address",AN219), "\$([A-Z]+)\$[0-9]+"))),_xlfn.REGEXEXTRACT(CELL("address",AN219), "\$([A-Z]+)\$[0-9]+"))</f>
        <v/>
      </c>
      <c r="AO219" s="7" t="str">
        <f t="array" aca="1" ref="AO219" ca="1">IFERROR(IF(OR('Raw Data'!AO219="",LEN(TRIM('Raw Data'!AO219))=0),"",IF(AND(ISNUMBER('Raw Data'!AO219), IFERROR('Raw Data'!AO219 = ROUND('Raw Data'!AO219, 2),FALSE)),"",_xlfn.REGEXEXTRACT(CELL("address",AO219), "\$([A-Z]+)\$[0-9]+"))),_xlfn.REGEXEXTRACT(CELL("address",AO219), "\$([A-Z]+)\$[0-9]+"))</f>
        <v/>
      </c>
      <c r="AP219" s="7" t="str">
        <f t="array" aca="1" ref="AP219" ca="1">IFERROR(IF(OR('Raw Data'!AP219="",LEN(TRIM('Raw Data'!AP219))=0),"",IF(AND(ISNUMBER('Raw Data'!AP219), IFERROR('Raw Data'!AP219 = ROUND('Raw Data'!AP219, 2),FALSE)),"",_xlfn.REGEXEXTRACT(CELL("address",AP219), "\$([A-Z]+)\$[0-9]+"))),_xlfn.REGEXEXTRACT(CELL("address",AP219), "\$([A-Z]+)\$[0-9]+"))</f>
        <v/>
      </c>
    </row>
    <row r="220" spans="2:42" x14ac:dyDescent="0.25">
      <c r="B220" s="7" t="str">
        <f t="array" aca="1" ref="B220" ca="1">IFERROR(IF(OR('Raw Data'!B220="",LEN(TRIM('Raw Data'!B220))=0),"",IF(AND(LEN('Raw Data'!B220) &lt;= 255,LEN('Raw Data'!B220)&gt; 0),"",_xlfn.REGEXEXTRACT(CELL("address",'Raw Data'!B220),"\$([A-Z]+)\$[0-9]+"))),_xlfn.REGEXEXTRACT(CELL("address",'Raw Data'!B220),"\$([A-Z]+)\$[0-9]+"))</f>
        <v/>
      </c>
      <c r="C220" s="7" t="str">
        <f t="array" aca="1" ref="C220" ca="1">IFERROR(IF(OR('Raw Data'!C220="",LEN(TRIM('Raw Data'!C220))=0),"",IF(AND(LEN('Raw Data'!C220) &lt;= 50,LEN('Raw Data'!C220)&gt; 0),"",_xlfn.REGEXEXTRACT(CELL("address",'Raw Data'!C220),"\$([A-Z]+)\$[0-9]+"))),_xlfn.REGEXEXTRACT(CELL("address",'Raw Data'!C220),"\$([A-Z]+)\$[0-9]+"))</f>
        <v/>
      </c>
      <c r="D220" s="7" t="str">
        <f t="array" aca="1" ref="D220" ca="1">IFERROR(IF(OR('Raw Data'!D220="",LEN(TRIM('Raw Data'!D220))=0),"",IF(AND(LEN('Raw Data'!D220) &lt;= 500,LEN('Raw Data'!D220)&gt; 0),"",_xlfn.REGEXEXTRACT(CELL("address",'Raw Data'!D220),"\$([A-Z]+)\$[0-9]+"))),_xlfn.REGEXEXTRACT(CELL("address",'Raw Data'!D220),"\$([A-Z]+)\$[0-9]+"))</f>
        <v/>
      </c>
      <c r="E220" s="7" t="str">
        <f t="array" aca="1" ref="E220" ca="1">IFERROR(IF(OR('Raw Data'!E220="",LEN(TRIM('Raw Data'!E220))=0),"",IF(AND(LEN('Raw Data'!E220) &lt;= 50,LEN('Raw Data'!E220)&gt; 0),"",_xlfn.REGEXEXTRACT(CELL("address",'Raw Data'!E220),"\$([A-Z]+)\$[0-9]+"))),_xlfn.REGEXEXTRACT(CELL("address",'Raw Data'!E220),"\$([A-Z]+)\$[0-9]+"))</f>
        <v/>
      </c>
      <c r="F220" s="7" t="str">
        <f t="array" aca="1" ref="F220" ca="1">IFERROR(IF(OR('Raw Data'!F220="",LEN(TRIM('Raw Data'!F220))=0),"",IF(AND(LEN('Raw Data'!F220) &lt;= 50,LEN('Raw Data'!F220)&gt; 0),"",_xlfn.REGEXEXTRACT(CELL("address",'Raw Data'!F220),"\$([A-Z]+)\$[0-9]+"))),_xlfn.REGEXEXTRACT(CELL("address",'Raw Data'!F220),"\$([A-Z]+)\$[0-9]+"))</f>
        <v/>
      </c>
      <c r="G220" s="7" t="str">
        <f t="array" aca="1" ref="G220" ca="1">IFERROR(IF(OR('Raw Data'!G220="",LEN(TRIM('Raw Data'!G220))=0),"",IF(AND(LEN('Raw Data'!G220) &lt;= 50,LEN('Raw Data'!G220)&gt; 0),"",_xlfn.REGEXEXTRACT(CELL("address",'Raw Data'!G220),"\$([A-Z]+)\$[0-9]+"))),_xlfn.REGEXEXTRACT(CELL("address",'Raw Data'!G220),"\$([A-Z]+)\$[0-9]+"))</f>
        <v/>
      </c>
      <c r="H220" s="7" t="str">
        <f t="array" aca="1" ref="H220" ca="1">IFERROR(IF(OR('Raw Data'!H220="",LEN(TRIM('Raw Data'!H220))=0),"",IF(AND(LEN('Raw Data'!H220) &lt;= 50,LEN('Raw Data'!H220)&gt; 0),"",_xlfn.REGEXEXTRACT(CELL("address",'Raw Data'!H220),"\$([A-Z]+)\$[0-9]+"))),_xlfn.REGEXEXTRACT(CELL("address",'Raw Data'!H220),"\$([A-Z]+)\$[0-9]+"))</f>
        <v/>
      </c>
      <c r="I220" s="7" t="str">
        <f t="array" aca="1" ref="I220" ca="1">IFERROR(IF(OR('Raw Data'!I220="",LEN(TRIM('Raw Data'!I220))=0),"",IF(AND(LEN('Raw Data'!I220) &lt;= 50,LEN('Raw Data'!I220)&gt; 0),"",_xlfn.REGEXEXTRACT(CELL("address",'Raw Data'!I220),"\$([A-Z]+)\$[0-9]+"))),_xlfn.REGEXEXTRACT(CELL("address",'Raw Data'!I220),"\$([A-Z]+)\$[0-9]+"))</f>
        <v/>
      </c>
      <c r="J220" s="7" t="str">
        <f t="array" aca="1" ref="J220" ca="1">IFERROR(IF(OR('Raw Data'!J220="",LEN(TRIM('Raw Data'!J220))=0),"",IF(AND(ISNUMBER('Raw Data'!J220), IFERROR('Raw Data'!J220 = ROUND('Raw Data'!J220, 2),FALSE)),"",_xlfn.REGEXEXTRACT(CELL("address",J220), "\$([A-Z]+)\$[0-9]+"))),_xlfn.REGEXEXTRACT(CELL("address",J220), "\$([A-Z]+)\$[0-9]+"))</f>
        <v/>
      </c>
      <c r="K220" s="7" t="str">
        <f t="array" aca="1" ref="K220" ca="1">IFERROR(IF(OR('Raw Data'!K220="",LEN(TRIM('Raw Data'!K220))=0),"",IF(AND(ISNUMBER('Raw Data'!K220), IFERROR('Raw Data'!K220 = ROUND('Raw Data'!K220, 2),FALSE)),"",_xlfn.REGEXEXTRACT(CELL("address",K220), "\$([A-Z]+)\$[0-9]+"))),_xlfn.REGEXEXTRACT(CELL("address",K220), "\$([A-Z]+)\$[0-9]+"))</f>
        <v/>
      </c>
      <c r="L220" s="7" t="str">
        <f t="array" aca="1" ref="L220" ca="1">IFERROR(IF(OR('Raw Data'!L220="",LEN(TRIM('Raw Data'!L220))=0),"",IF(AND(ISNUMBER('Raw Data'!L220), IFERROR('Raw Data'!L220 = ROUND('Raw Data'!L220, 2),FALSE)),"",_xlfn.REGEXEXTRACT(CELL("address",L220), "\$([A-Z]+)\$[0-9]+"))),_xlfn.REGEXEXTRACT(CELL("address",L220), "\$([A-Z]+)\$[0-9]+"))</f>
        <v/>
      </c>
      <c r="M220" s="7" t="str">
        <f t="array" aca="1" ref="M220" ca="1">IFERROR(IF(OR('Raw Data'!M220="",LEN(TRIM('Raw Data'!M220))=0),"",IF(AND(ISNUMBER('Raw Data'!M220), IFERROR('Raw Data'!M220 = ROUND('Raw Data'!M220, 2),FALSE)),"",_xlfn.REGEXEXTRACT(CELL("address",M220), "\$([A-Z]+)\$[0-9]+"))),_xlfn.REGEXEXTRACT(CELL("address",M220), "\$([A-Z]+)\$[0-9]+"))</f>
        <v/>
      </c>
      <c r="N220" s="7" t="str">
        <f t="array" aca="1" ref="N220" ca="1">IFERROR(IF(OR('Raw Data'!N220="",LEN(TRIM('Raw Data'!N220))=0),"",IF(AND(ISNUMBER('Raw Data'!N220), IFERROR('Raw Data'!N220 = ROUND('Raw Data'!N220, 2),FALSE)),"",_xlfn.REGEXEXTRACT(CELL("address",N220), "\$([A-Z]+)\$[0-9]+"))),_xlfn.REGEXEXTRACT(CELL("address",N220), "\$([A-Z]+)\$[0-9]+"))</f>
        <v/>
      </c>
      <c r="O220" s="7" t="str">
        <f t="array" aca="1" ref="O220" ca="1">IFERROR(IF(OR('Raw Data'!O220="",LEN(TRIM('Raw Data'!O220))=0),"",IF(AND(ISNUMBER('Raw Data'!O220),'Raw Data'!O220&gt;=Configuration!$D$2),"",_xlfn.REGEXEXTRACT(CELL("address",'Raw Data'!O220),"\$([A-Z]+)\$[0-9]+"))),_xlfn.REGEXEXTRACT(CELL("address",O220), "\$([A-Z]+)\$[0-9]+"))</f>
        <v/>
      </c>
      <c r="P220" s="7" t="str">
        <f t="array" aca="1" ref="P220" ca="1">IFERROR(IF(OR('Raw Data'!P220="",LEN(TRIM('Raw Data'!P220))=0),"",IF(AND(ISNUMBER('Raw Data'!P220), IFERROR('Raw Data'!P220 = ROUND('Raw Data'!P220, 2),FALSE)),"",_xlfn.REGEXEXTRACT(CELL("address",P220), "\$([A-Z]+)\$[0-9]+"))),_xlfn.REGEXEXTRACT(CELL("address",P220), "\$([A-Z]+)\$[0-9]+"))</f>
        <v/>
      </c>
      <c r="Q220" s="7" t="str">
        <f t="array" aca="1" ref="Q220" ca="1">IFERROR(IF(OR('Raw Data'!Q220="",LEN(TRIM('Raw Data'!Q220))=0),"",IF(AND(ISNUMBER('Raw Data'!Q220), IFERROR('Raw Data'!Q220 = ROUND('Raw Data'!Q220, 2),FALSE)),"",_xlfn.REGEXEXTRACT(CELL("address",Q220), "\$([A-Z]+)\$[0-9]+"))),_xlfn.REGEXEXTRACT(CELL("address",Q220), "\$([A-Z]+)\$[0-9]+"))</f>
        <v/>
      </c>
      <c r="R220" s="7" t="str">
        <f t="array" aca="1" ref="R220" ca="1">IFERROR(IF(OR('Raw Data'!R220="",LEN(TRIM('Raw Data'!R220))=0),"",IF(AND(LEN('Raw Data'!R220) &lt;= 50,LEN('Raw Data'!R220)&gt; 0),"",_xlfn.REGEXEXTRACT(CELL("address",'Raw Data'!R220),"\$([A-Z]+)\$[0-9]+"))),_xlfn.REGEXEXTRACT(CELL("address",'Raw Data'!R220),"\$([A-Z]+)\$[0-9]+"))</f>
        <v/>
      </c>
      <c r="S220" s="7" t="str">
        <f t="array" aca="1" ref="S220" ca="1">IFERROR(IF(OR('Raw Data'!S220="",LEN(TRIM('Raw Data'!S220))=0),"",IF(AND(LEN('Raw Data'!S220) &lt;= 50,LEN('Raw Data'!S220)&gt; 0),"",_xlfn.REGEXEXTRACT(CELL("address",'Raw Data'!S220),"\$([A-Z]+)\$[0-9]+"))),_xlfn.REGEXEXTRACT(CELL("address",'Raw Data'!S220),"\$([A-Z]+)\$[0-9]+"))</f>
        <v/>
      </c>
      <c r="T220" s="7" t="str">
        <f t="array" aca="1" ref="T220" ca="1">IFERROR(IF(OR('Raw Data'!T220="",LEN(TRIM('Raw Data'!T220))=0),"",IF(AND(ISNUMBER('Raw Data'!T220), IFERROR('Raw Data'!T220 = ROUND('Raw Data'!T220, 2),FALSE)),"",_xlfn.REGEXEXTRACT(CELL("address",T220), "\$([A-Z]+)\$[0-9]+"))),_xlfn.REGEXEXTRACT(CELL("address",T220), "\$([A-Z]+)\$[0-9]+"))</f>
        <v/>
      </c>
      <c r="U220" s="7" t="str">
        <f t="array" aca="1" ref="U220" ca="1">IFERROR(IF(OR('Raw Data'!U220="",LEN(TRIM('Raw Data'!U220))=0),"",IF(AND(ISNUMBER('Raw Data'!U220), IFERROR('Raw Data'!U220 = ROUND('Raw Data'!U220, 2),FALSE)),"",_xlfn.REGEXEXTRACT(CELL("address",U220), "\$([A-Z]+)\$[0-9]+"))),_xlfn.REGEXEXTRACT(CELL("address",U220), "\$([A-Z]+)\$[0-9]+"))</f>
        <v/>
      </c>
      <c r="V220" s="7" t="str">
        <f t="array" aca="1" ref="V220" ca="1">IFERROR(IF(OR('Raw Data'!V220="",LEN(TRIM('Raw Data'!V220))=0),"",IF(AND(ISNUMBER('Raw Data'!V220), IFERROR('Raw Data'!V220 = ROUND('Raw Data'!V220, 2),FALSE)),"",_xlfn.REGEXEXTRACT(CELL("address",V220), "\$([A-Z]+)\$[0-9]+"))),_xlfn.REGEXEXTRACT(CELL("address",V220), "\$([A-Z]+)\$[0-9]+"))</f>
        <v/>
      </c>
      <c r="W220" s="7" t="str">
        <f t="array" aca="1" ref="W220" ca="1">IFERROR(IF(OR('Raw Data'!W220="",LEN(TRIM('Raw Data'!W220))=0),"",IF(AND(ISNUMBER('Raw Data'!W220), IFERROR('Raw Data'!W220 = ROUND('Raw Data'!W220, 2),FALSE)),"",_xlfn.REGEXEXTRACT(CELL("address",W220), "\$([A-Z]+)\$[0-9]+"))),_xlfn.REGEXEXTRACT(CELL("address",W220), "\$([A-Z]+)\$[0-9]+"))</f>
        <v/>
      </c>
      <c r="X220" s="7" t="str">
        <f t="array" aca="1" ref="X220" ca="1">IFERROR(IF(OR('Raw Data'!X220="",LEN(TRIM('Raw Data'!X220))=0),"",IF(AND(ISNUMBER('Raw Data'!X220), IFERROR('Raw Data'!X220 = ROUND('Raw Data'!X220, 2),FALSE)),"",_xlfn.REGEXEXTRACT(CELL("address",X220), "\$([A-Z]+)\$[0-9]+"))),_xlfn.REGEXEXTRACT(CELL("address",X220), "\$([A-Z]+)\$[0-9]+"))</f>
        <v/>
      </c>
      <c r="Y220" s="7" t="str">
        <f t="array" aca="1" ref="Y220" ca="1">IFERROR(IF(OR('Raw Data'!Y220="",LEN(TRIM('Raw Data'!Y220))=0),"",IF(AND(ISNUMBER('Raw Data'!Y220), IFERROR('Raw Data'!Y220 = ROUND('Raw Data'!Y220, 2),FALSE)),"",_xlfn.REGEXEXTRACT(CELL("address",Y220), "\$([A-Z]+)\$[0-9]+"))),_xlfn.REGEXEXTRACT(CELL("address",Y220), "\$([A-Z]+)\$[0-9]+"))</f>
        <v/>
      </c>
      <c r="Z220" s="7" t="str">
        <f t="array" aca="1" ref="Z220" ca="1">IFERROR(IF(OR('Raw Data'!Z220="",LEN(TRIM('Raw Data'!Z220))=0),"",IF(AND(ISNUMBER('Raw Data'!Z220), IFERROR('Raw Data'!Z220 = ROUND('Raw Data'!Z220, 2),FALSE)),"",_xlfn.REGEXEXTRACT(CELL("address",Z220), "\$([A-Z]+)\$[0-9]+"))),_xlfn.REGEXEXTRACT(CELL("address",Z220), "\$([A-Z]+)\$[0-9]+"))</f>
        <v/>
      </c>
      <c r="AA220" s="7" t="str">
        <f t="array" aca="1" ref="AA220" ca="1">IFERROR(IF(OR('Raw Data'!AA220="",LEN(TRIM('Raw Data'!AA220))=0),"",IF(AND(ISNUMBER('Raw Data'!AA220), IFERROR('Raw Data'!AA220 = ROUND('Raw Data'!AA220, 2),FALSE)),"",_xlfn.REGEXEXTRACT(CELL("address",AA220), "\$([A-Z]+)\$[0-9]+"))),_xlfn.REGEXEXTRACT(CELL("address",AA220), "\$([A-Z]+)\$[0-9]+"))</f>
        <v/>
      </c>
      <c r="AB220" s="7" t="str">
        <f t="array" aca="1" ref="AB220" ca="1">IFERROR(IF(OR('Raw Data'!AB220="",LEN(TRIM('Raw Data'!AB220))=0),"",IF(AND(ISNUMBER('Raw Data'!AB220), IFERROR('Raw Data'!AB220 = ROUND('Raw Data'!AB220, 2),FALSE)),"",_xlfn.REGEXEXTRACT(CELL("address",AB220), "\$([A-Z]+)\$[0-9]+"))),_xlfn.REGEXEXTRACT(CELL("address",AB220), "\$([A-Z]+)\$[0-9]+"))</f>
        <v/>
      </c>
      <c r="AC220" s="7" t="str">
        <f t="array" aca="1" ref="AC220" ca="1">IFERROR(IF(OR('Raw Data'!AC220="",LEN(TRIM('Raw Data'!AC220))=0),"",IF(AND(ISNUMBER('Raw Data'!AC220), IFERROR('Raw Data'!AC220 = ROUND('Raw Data'!AC220, 2),FALSE)),"",_xlfn.REGEXEXTRACT(CELL("address",AC220), "\$([A-Z]+)\$[0-9]+"))),_xlfn.REGEXEXTRACT(CELL("address",AC220), "\$([A-Z]+)\$[0-9]+"))</f>
        <v/>
      </c>
      <c r="AD220" s="7" t="str">
        <f t="array" aca="1" ref="AD220" ca="1">IFERROR(IF(OR('Raw Data'!AD220="",LEN(TRIM('Raw Data'!AD220))=0),"",IF(AND(ISNUMBER('Raw Data'!AD220), IFERROR('Raw Data'!AD220 = ROUND('Raw Data'!AD220, 2),FALSE)),"",_xlfn.REGEXEXTRACT(CELL("address",AD220), "\$([A-Z]+)\$[0-9]+"))),_xlfn.REGEXEXTRACT(CELL("address",AD220), "\$([A-Z]+)\$[0-9]+"))</f>
        <v/>
      </c>
      <c r="AE220" s="7" t="str">
        <f t="array" aca="1" ref="AE220" ca="1">IFERROR(IF(OR('Raw Data'!AE220="",LEN(TRIM('Raw Data'!AE220))=0),"",IF(AND(ISNUMBER('Raw Data'!AE220), IFERROR('Raw Data'!AE220 = ROUND('Raw Data'!AE220, 2),FALSE)),"",_xlfn.REGEXEXTRACT(CELL("address",AE220), "\$([A-Z]+)\$[0-9]+"))),_xlfn.REGEXEXTRACT(CELL("address",AE220), "\$([A-Z]+)\$[0-9]+"))</f>
        <v/>
      </c>
      <c r="AF220" s="7" t="str">
        <f t="array" aca="1" ref="AF220" ca="1">IFERROR(IF(OR('Raw Data'!AF220="",LEN(TRIM('Raw Data'!AF220))=0),"",IF(AND(ISNUMBER('Raw Data'!AF220), IFERROR('Raw Data'!AF220 = ROUND('Raw Data'!AF220, 2),FALSE)),"",_xlfn.REGEXEXTRACT(CELL("address",AF220), "\$([A-Z]+)\$[0-9]+"))),_xlfn.REGEXEXTRACT(CELL("address",AF220), "\$([A-Z]+)\$[0-9]+"))</f>
        <v/>
      </c>
      <c r="AG220" s="7" t="str">
        <f t="array" aca="1" ref="AG220" ca="1">IFERROR(IF(OR('Raw Data'!AG220="",LEN(TRIM('Raw Data'!AG220))=0),"",IF(AND(ISNUMBER('Raw Data'!AG220), IFERROR('Raw Data'!AG220 = ROUND('Raw Data'!AG220, 2),FALSE)),"",_xlfn.REGEXEXTRACT(CELL("address",AG220), "\$([A-Z]+)\$[0-9]+"))),_xlfn.REGEXEXTRACT(CELL("address",AG220), "\$([A-Z]+)\$[0-9]+"))</f>
        <v/>
      </c>
      <c r="AH220" s="7" t="str">
        <f t="array" aca="1" ref="AH220" ca="1">IFERROR(IF(OR('Raw Data'!AH220="",LEN(TRIM('Raw Data'!AH220))=0),"",IF(AND(ISNUMBER('Raw Data'!AH220), IFERROR('Raw Data'!AH220 = ROUND('Raw Data'!AH220, 2),FALSE)),"",_xlfn.REGEXEXTRACT(CELL("address",AH220), "\$([A-Z]+)\$[0-9]+"))),_xlfn.REGEXEXTRACT(CELL("address",AH220), "\$([A-Z]+)\$[0-9]+"))</f>
        <v/>
      </c>
      <c r="AI220" s="7" t="str">
        <f t="array" aca="1" ref="AI220" ca="1">IFERROR(IF(OR('Raw Data'!AI220="",LEN(TRIM('Raw Data'!AI220))=0),"",IF(AND(ISNUMBER('Raw Data'!AI220), IFERROR('Raw Data'!AI220 = ROUND('Raw Data'!AI220, 2),FALSE)),"",_xlfn.REGEXEXTRACT(CELL("address",AI220), "\$([A-Z]+)\$[0-9]+"))),_xlfn.REGEXEXTRACT(CELL("address",AI220), "\$([A-Z]+)\$[0-9]+"))</f>
        <v/>
      </c>
      <c r="AJ220" s="7" t="str">
        <f t="array" aca="1" ref="AJ220" ca="1">IFERROR(IF(OR('Raw Data'!AJ220="",LEN(TRIM('Raw Data'!AJ220))=0),"",IF(AND(ISNUMBER('Raw Data'!AJ220), IFERROR('Raw Data'!AJ220 = ROUND('Raw Data'!AJ220, 4),FALSE)),"",_xlfn.REGEXEXTRACT(CELL("address",AJ220), "\$([A-Z]+)\$[0-9]+"))),_xlfn.REGEXEXTRACT(CELL("address",AJ220), "\$([A-Z]+)\$[0-9]+"))</f>
        <v/>
      </c>
      <c r="AK220" s="7" t="str">
        <f t="array" aca="1" ref="AK220" ca="1">IFERROR(IF(OR('Raw Data'!AK220="",LEN(TRIM('Raw Data'!AK220))=0),"",IF(AND(ISNUMBER('Raw Data'!AK220), IFERROR('Raw Data'!AK220 = ROUND('Raw Data'!AK220, 2),FALSE)),"",_xlfn.REGEXEXTRACT(CELL("address",AK220), "\$([A-Z]+)\$[0-9]+"))),_xlfn.REGEXEXTRACT(CELL("address",AK220), "\$([A-Z]+)\$[0-9]+"))</f>
        <v/>
      </c>
      <c r="AL220" s="7" t="str">
        <f t="array" aca="1" ref="AL220" ca="1">IFERROR(IF(OR('Raw Data'!AL220="",LEN(TRIM('Raw Data'!AL220))=0),"",IF(AND(ISNUMBER('Raw Data'!AL220), IFERROR('Raw Data'!AL220 = ROUND('Raw Data'!AL220, 2),FALSE)),"",_xlfn.REGEXEXTRACT(CELL("address",AL220), "\$([A-Z]+)\$[0-9]+"))),_xlfn.REGEXEXTRACT(CELL("address",AL220), "\$([A-Z]+)\$[0-9]+"))</f>
        <v/>
      </c>
      <c r="AM220" s="7" t="str">
        <f t="array" aca="1" ref="AM220" ca="1">IFERROR(IF(OR('Raw Data'!AM220="",LEN(TRIM('Raw Data'!AM220))=0),"",IF(AND(ISNUMBER('Raw Data'!AM220), IFERROR('Raw Data'!AM220 = ROUND('Raw Data'!AM220, 2),FALSE)),"",_xlfn.REGEXEXTRACT(CELL("address",AM220), "\$([A-Z]+)\$[0-9]+"))),_xlfn.REGEXEXTRACT(CELL("address",AM220), "\$([A-Z]+)\$[0-9]+"))</f>
        <v/>
      </c>
      <c r="AN220" s="7" t="str">
        <f t="array" aca="1" ref="AN220" ca="1">IFERROR(IF(OR('Raw Data'!AN220="",LEN(TRIM('Raw Data'!AN220))=0),"",IF(AND(ISNUMBER('Raw Data'!AN220), IFERROR('Raw Data'!AN220 = ROUND('Raw Data'!AN220, 2),FALSE)),"",_xlfn.REGEXEXTRACT(CELL("address",AN220), "\$([A-Z]+)\$[0-9]+"))),_xlfn.REGEXEXTRACT(CELL("address",AN220), "\$([A-Z]+)\$[0-9]+"))</f>
        <v/>
      </c>
      <c r="AO220" s="7" t="str">
        <f t="array" aca="1" ref="AO220" ca="1">IFERROR(IF(OR('Raw Data'!AO220="",LEN(TRIM('Raw Data'!AO220))=0),"",IF(AND(ISNUMBER('Raw Data'!AO220), IFERROR('Raw Data'!AO220 = ROUND('Raw Data'!AO220, 2),FALSE)),"",_xlfn.REGEXEXTRACT(CELL("address",AO220), "\$([A-Z]+)\$[0-9]+"))),_xlfn.REGEXEXTRACT(CELL("address",AO220), "\$([A-Z]+)\$[0-9]+"))</f>
        <v/>
      </c>
      <c r="AP220" s="7" t="str">
        <f t="array" aca="1" ref="AP220" ca="1">IFERROR(IF(OR('Raw Data'!AP220="",LEN(TRIM('Raw Data'!AP220))=0),"",IF(AND(ISNUMBER('Raw Data'!AP220), IFERROR('Raw Data'!AP220 = ROUND('Raw Data'!AP220, 2),FALSE)),"",_xlfn.REGEXEXTRACT(CELL("address",AP220), "\$([A-Z]+)\$[0-9]+"))),_xlfn.REGEXEXTRACT(CELL("address",AP220), "\$([A-Z]+)\$[0-9]+"))</f>
        <v/>
      </c>
    </row>
    <row r="221" spans="2:42" x14ac:dyDescent="0.25">
      <c r="B221" s="7" t="str">
        <f t="array" aca="1" ref="B221" ca="1">IFERROR(IF(OR('Raw Data'!B221="",LEN(TRIM('Raw Data'!B221))=0),"",IF(AND(LEN('Raw Data'!B221) &lt;= 255,LEN('Raw Data'!B221)&gt; 0),"",_xlfn.REGEXEXTRACT(CELL("address",'Raw Data'!B221),"\$([A-Z]+)\$[0-9]+"))),_xlfn.REGEXEXTRACT(CELL("address",'Raw Data'!B221),"\$([A-Z]+)\$[0-9]+"))</f>
        <v/>
      </c>
      <c r="C221" s="7" t="str">
        <f t="array" aca="1" ref="C221" ca="1">IFERROR(IF(OR('Raw Data'!C221="",LEN(TRIM('Raw Data'!C221))=0),"",IF(AND(LEN('Raw Data'!C221) &lt;= 50,LEN('Raw Data'!C221)&gt; 0),"",_xlfn.REGEXEXTRACT(CELL("address",'Raw Data'!C221),"\$([A-Z]+)\$[0-9]+"))),_xlfn.REGEXEXTRACT(CELL("address",'Raw Data'!C221),"\$([A-Z]+)\$[0-9]+"))</f>
        <v/>
      </c>
      <c r="D221" s="7" t="str">
        <f t="array" aca="1" ref="D221" ca="1">IFERROR(IF(OR('Raw Data'!D221="",LEN(TRIM('Raw Data'!D221))=0),"",IF(AND(LEN('Raw Data'!D221) &lt;= 500,LEN('Raw Data'!D221)&gt; 0),"",_xlfn.REGEXEXTRACT(CELL("address",'Raw Data'!D221),"\$([A-Z]+)\$[0-9]+"))),_xlfn.REGEXEXTRACT(CELL("address",'Raw Data'!D221),"\$([A-Z]+)\$[0-9]+"))</f>
        <v/>
      </c>
      <c r="E221" s="7" t="str">
        <f t="array" aca="1" ref="E221" ca="1">IFERROR(IF(OR('Raw Data'!E221="",LEN(TRIM('Raw Data'!E221))=0),"",IF(AND(LEN('Raw Data'!E221) &lt;= 50,LEN('Raw Data'!E221)&gt; 0),"",_xlfn.REGEXEXTRACT(CELL("address",'Raw Data'!E221),"\$([A-Z]+)\$[0-9]+"))),_xlfn.REGEXEXTRACT(CELL("address",'Raw Data'!E221),"\$([A-Z]+)\$[0-9]+"))</f>
        <v/>
      </c>
      <c r="F221" s="7" t="str">
        <f t="array" aca="1" ref="F221" ca="1">IFERROR(IF(OR('Raw Data'!F221="",LEN(TRIM('Raw Data'!F221))=0),"",IF(AND(LEN('Raw Data'!F221) &lt;= 50,LEN('Raw Data'!F221)&gt; 0),"",_xlfn.REGEXEXTRACT(CELL("address",'Raw Data'!F221),"\$([A-Z]+)\$[0-9]+"))),_xlfn.REGEXEXTRACT(CELL("address",'Raw Data'!F221),"\$([A-Z]+)\$[0-9]+"))</f>
        <v/>
      </c>
      <c r="G221" s="7" t="str">
        <f t="array" aca="1" ref="G221" ca="1">IFERROR(IF(OR('Raw Data'!G221="",LEN(TRIM('Raw Data'!G221))=0),"",IF(AND(LEN('Raw Data'!G221) &lt;= 50,LEN('Raw Data'!G221)&gt; 0),"",_xlfn.REGEXEXTRACT(CELL("address",'Raw Data'!G221),"\$([A-Z]+)\$[0-9]+"))),_xlfn.REGEXEXTRACT(CELL("address",'Raw Data'!G221),"\$([A-Z]+)\$[0-9]+"))</f>
        <v/>
      </c>
      <c r="H221" s="7" t="str">
        <f t="array" aca="1" ref="H221" ca="1">IFERROR(IF(OR('Raw Data'!H221="",LEN(TRIM('Raw Data'!H221))=0),"",IF(AND(LEN('Raw Data'!H221) &lt;= 50,LEN('Raw Data'!H221)&gt; 0),"",_xlfn.REGEXEXTRACT(CELL("address",'Raw Data'!H221),"\$([A-Z]+)\$[0-9]+"))),_xlfn.REGEXEXTRACT(CELL("address",'Raw Data'!H221),"\$([A-Z]+)\$[0-9]+"))</f>
        <v/>
      </c>
      <c r="I221" s="7" t="str">
        <f t="array" aca="1" ref="I221" ca="1">IFERROR(IF(OR('Raw Data'!I221="",LEN(TRIM('Raw Data'!I221))=0),"",IF(AND(LEN('Raw Data'!I221) &lt;= 50,LEN('Raw Data'!I221)&gt; 0),"",_xlfn.REGEXEXTRACT(CELL("address",'Raw Data'!I221),"\$([A-Z]+)\$[0-9]+"))),_xlfn.REGEXEXTRACT(CELL("address",'Raw Data'!I221),"\$([A-Z]+)\$[0-9]+"))</f>
        <v/>
      </c>
      <c r="J221" s="7" t="str">
        <f t="array" aca="1" ref="J221" ca="1">IFERROR(IF(OR('Raw Data'!J221="",LEN(TRIM('Raw Data'!J221))=0),"",IF(AND(ISNUMBER('Raw Data'!J221), IFERROR('Raw Data'!J221 = ROUND('Raw Data'!J221, 2),FALSE)),"",_xlfn.REGEXEXTRACT(CELL("address",J221), "\$([A-Z]+)\$[0-9]+"))),_xlfn.REGEXEXTRACT(CELL("address",J221), "\$([A-Z]+)\$[0-9]+"))</f>
        <v/>
      </c>
      <c r="K221" s="7" t="str">
        <f t="array" aca="1" ref="K221" ca="1">IFERROR(IF(OR('Raw Data'!K221="",LEN(TRIM('Raw Data'!K221))=0),"",IF(AND(ISNUMBER('Raw Data'!K221), IFERROR('Raw Data'!K221 = ROUND('Raw Data'!K221, 2),FALSE)),"",_xlfn.REGEXEXTRACT(CELL("address",K221), "\$([A-Z]+)\$[0-9]+"))),_xlfn.REGEXEXTRACT(CELL("address",K221), "\$([A-Z]+)\$[0-9]+"))</f>
        <v/>
      </c>
      <c r="L221" s="7" t="str">
        <f t="array" aca="1" ref="L221" ca="1">IFERROR(IF(OR('Raw Data'!L221="",LEN(TRIM('Raw Data'!L221))=0),"",IF(AND(ISNUMBER('Raw Data'!L221), IFERROR('Raw Data'!L221 = ROUND('Raw Data'!L221, 2),FALSE)),"",_xlfn.REGEXEXTRACT(CELL("address",L221), "\$([A-Z]+)\$[0-9]+"))),_xlfn.REGEXEXTRACT(CELL("address",L221), "\$([A-Z]+)\$[0-9]+"))</f>
        <v/>
      </c>
      <c r="M221" s="7" t="str">
        <f t="array" aca="1" ref="M221" ca="1">IFERROR(IF(OR('Raw Data'!M221="",LEN(TRIM('Raw Data'!M221))=0),"",IF(AND(ISNUMBER('Raw Data'!M221), IFERROR('Raw Data'!M221 = ROUND('Raw Data'!M221, 2),FALSE)),"",_xlfn.REGEXEXTRACT(CELL("address",M221), "\$([A-Z]+)\$[0-9]+"))),_xlfn.REGEXEXTRACT(CELL("address",M221), "\$([A-Z]+)\$[0-9]+"))</f>
        <v/>
      </c>
      <c r="N221" s="7" t="str">
        <f t="array" aca="1" ref="N221" ca="1">IFERROR(IF(OR('Raw Data'!N221="",LEN(TRIM('Raw Data'!N221))=0),"",IF(AND(ISNUMBER('Raw Data'!N221), IFERROR('Raw Data'!N221 = ROUND('Raw Data'!N221, 2),FALSE)),"",_xlfn.REGEXEXTRACT(CELL("address",N221), "\$([A-Z]+)\$[0-9]+"))),_xlfn.REGEXEXTRACT(CELL("address",N221), "\$([A-Z]+)\$[0-9]+"))</f>
        <v/>
      </c>
      <c r="O221" s="7" t="str">
        <f t="array" aca="1" ref="O221" ca="1">IFERROR(IF(OR('Raw Data'!O221="",LEN(TRIM('Raw Data'!O221))=0),"",IF(AND(ISNUMBER('Raw Data'!O221),'Raw Data'!O221&gt;=Configuration!$D$2),"",_xlfn.REGEXEXTRACT(CELL("address",'Raw Data'!O221),"\$([A-Z]+)\$[0-9]+"))),_xlfn.REGEXEXTRACT(CELL("address",O221), "\$([A-Z]+)\$[0-9]+"))</f>
        <v/>
      </c>
      <c r="P221" s="7" t="str">
        <f t="array" aca="1" ref="P221" ca="1">IFERROR(IF(OR('Raw Data'!P221="",LEN(TRIM('Raw Data'!P221))=0),"",IF(AND(ISNUMBER('Raw Data'!P221), IFERROR('Raw Data'!P221 = ROUND('Raw Data'!P221, 2),FALSE)),"",_xlfn.REGEXEXTRACT(CELL("address",P221), "\$([A-Z]+)\$[0-9]+"))),_xlfn.REGEXEXTRACT(CELL("address",P221), "\$([A-Z]+)\$[0-9]+"))</f>
        <v/>
      </c>
      <c r="Q221" s="7" t="str">
        <f t="array" aca="1" ref="Q221" ca="1">IFERROR(IF(OR('Raw Data'!Q221="",LEN(TRIM('Raw Data'!Q221))=0),"",IF(AND(ISNUMBER('Raw Data'!Q221), IFERROR('Raw Data'!Q221 = ROUND('Raw Data'!Q221, 2),FALSE)),"",_xlfn.REGEXEXTRACT(CELL("address",Q221), "\$([A-Z]+)\$[0-9]+"))),_xlfn.REGEXEXTRACT(CELL("address",Q221), "\$([A-Z]+)\$[0-9]+"))</f>
        <v/>
      </c>
      <c r="R221" s="7" t="str">
        <f t="array" aca="1" ref="R221" ca="1">IFERROR(IF(OR('Raw Data'!R221="",LEN(TRIM('Raw Data'!R221))=0),"",IF(AND(LEN('Raw Data'!R221) &lt;= 50,LEN('Raw Data'!R221)&gt; 0),"",_xlfn.REGEXEXTRACT(CELL("address",'Raw Data'!R221),"\$([A-Z]+)\$[0-9]+"))),_xlfn.REGEXEXTRACT(CELL("address",'Raw Data'!R221),"\$([A-Z]+)\$[0-9]+"))</f>
        <v/>
      </c>
      <c r="S221" s="7" t="str">
        <f t="array" aca="1" ref="S221" ca="1">IFERROR(IF(OR('Raw Data'!S221="",LEN(TRIM('Raw Data'!S221))=0),"",IF(AND(LEN('Raw Data'!S221) &lt;= 50,LEN('Raw Data'!S221)&gt; 0),"",_xlfn.REGEXEXTRACT(CELL("address",'Raw Data'!S221),"\$([A-Z]+)\$[0-9]+"))),_xlfn.REGEXEXTRACT(CELL("address",'Raw Data'!S221),"\$([A-Z]+)\$[0-9]+"))</f>
        <v/>
      </c>
      <c r="T221" s="7" t="str">
        <f t="array" aca="1" ref="T221" ca="1">IFERROR(IF(OR('Raw Data'!T221="",LEN(TRIM('Raw Data'!T221))=0),"",IF(AND(ISNUMBER('Raw Data'!T221), IFERROR('Raw Data'!T221 = ROUND('Raw Data'!T221, 2),FALSE)),"",_xlfn.REGEXEXTRACT(CELL("address",T221), "\$([A-Z]+)\$[0-9]+"))),_xlfn.REGEXEXTRACT(CELL("address",T221), "\$([A-Z]+)\$[0-9]+"))</f>
        <v/>
      </c>
      <c r="U221" s="7" t="str">
        <f t="array" aca="1" ref="U221" ca="1">IFERROR(IF(OR('Raw Data'!U221="",LEN(TRIM('Raw Data'!U221))=0),"",IF(AND(ISNUMBER('Raw Data'!U221), IFERROR('Raw Data'!U221 = ROUND('Raw Data'!U221, 2),FALSE)),"",_xlfn.REGEXEXTRACT(CELL("address",U221), "\$([A-Z]+)\$[0-9]+"))),_xlfn.REGEXEXTRACT(CELL("address",U221), "\$([A-Z]+)\$[0-9]+"))</f>
        <v/>
      </c>
      <c r="V221" s="7" t="str">
        <f t="array" aca="1" ref="V221" ca="1">IFERROR(IF(OR('Raw Data'!V221="",LEN(TRIM('Raw Data'!V221))=0),"",IF(AND(ISNUMBER('Raw Data'!V221), IFERROR('Raw Data'!V221 = ROUND('Raw Data'!V221, 2),FALSE)),"",_xlfn.REGEXEXTRACT(CELL("address",V221), "\$([A-Z]+)\$[0-9]+"))),_xlfn.REGEXEXTRACT(CELL("address",V221), "\$([A-Z]+)\$[0-9]+"))</f>
        <v/>
      </c>
      <c r="W221" s="7" t="str">
        <f t="array" aca="1" ref="W221" ca="1">IFERROR(IF(OR('Raw Data'!W221="",LEN(TRIM('Raw Data'!W221))=0),"",IF(AND(ISNUMBER('Raw Data'!W221), IFERROR('Raw Data'!W221 = ROUND('Raw Data'!W221, 2),FALSE)),"",_xlfn.REGEXEXTRACT(CELL("address",W221), "\$([A-Z]+)\$[0-9]+"))),_xlfn.REGEXEXTRACT(CELL("address",W221), "\$([A-Z]+)\$[0-9]+"))</f>
        <v/>
      </c>
      <c r="X221" s="7" t="str">
        <f t="array" aca="1" ref="X221" ca="1">IFERROR(IF(OR('Raw Data'!X221="",LEN(TRIM('Raw Data'!X221))=0),"",IF(AND(ISNUMBER('Raw Data'!X221), IFERROR('Raw Data'!X221 = ROUND('Raw Data'!X221, 2),FALSE)),"",_xlfn.REGEXEXTRACT(CELL("address",X221), "\$([A-Z]+)\$[0-9]+"))),_xlfn.REGEXEXTRACT(CELL("address",X221), "\$([A-Z]+)\$[0-9]+"))</f>
        <v/>
      </c>
      <c r="Y221" s="7" t="str">
        <f t="array" aca="1" ref="Y221" ca="1">IFERROR(IF(OR('Raw Data'!Y221="",LEN(TRIM('Raw Data'!Y221))=0),"",IF(AND(ISNUMBER('Raw Data'!Y221), IFERROR('Raw Data'!Y221 = ROUND('Raw Data'!Y221, 2),FALSE)),"",_xlfn.REGEXEXTRACT(CELL("address",Y221), "\$([A-Z]+)\$[0-9]+"))),_xlfn.REGEXEXTRACT(CELL("address",Y221), "\$([A-Z]+)\$[0-9]+"))</f>
        <v/>
      </c>
      <c r="Z221" s="7" t="str">
        <f t="array" aca="1" ref="Z221" ca="1">IFERROR(IF(OR('Raw Data'!Z221="",LEN(TRIM('Raw Data'!Z221))=0),"",IF(AND(ISNUMBER('Raw Data'!Z221), IFERROR('Raw Data'!Z221 = ROUND('Raw Data'!Z221, 2),FALSE)),"",_xlfn.REGEXEXTRACT(CELL("address",Z221), "\$([A-Z]+)\$[0-9]+"))),_xlfn.REGEXEXTRACT(CELL("address",Z221), "\$([A-Z]+)\$[0-9]+"))</f>
        <v/>
      </c>
      <c r="AA221" s="7" t="str">
        <f t="array" aca="1" ref="AA221" ca="1">IFERROR(IF(OR('Raw Data'!AA221="",LEN(TRIM('Raw Data'!AA221))=0),"",IF(AND(ISNUMBER('Raw Data'!AA221), IFERROR('Raw Data'!AA221 = ROUND('Raw Data'!AA221, 2),FALSE)),"",_xlfn.REGEXEXTRACT(CELL("address",AA221), "\$([A-Z]+)\$[0-9]+"))),_xlfn.REGEXEXTRACT(CELL("address",AA221), "\$([A-Z]+)\$[0-9]+"))</f>
        <v/>
      </c>
      <c r="AB221" s="7" t="str">
        <f t="array" aca="1" ref="AB221" ca="1">IFERROR(IF(OR('Raw Data'!AB221="",LEN(TRIM('Raw Data'!AB221))=0),"",IF(AND(ISNUMBER('Raw Data'!AB221), IFERROR('Raw Data'!AB221 = ROUND('Raw Data'!AB221, 2),FALSE)),"",_xlfn.REGEXEXTRACT(CELL("address",AB221), "\$([A-Z]+)\$[0-9]+"))),_xlfn.REGEXEXTRACT(CELL("address",AB221), "\$([A-Z]+)\$[0-9]+"))</f>
        <v/>
      </c>
      <c r="AC221" s="7" t="str">
        <f t="array" aca="1" ref="AC221" ca="1">IFERROR(IF(OR('Raw Data'!AC221="",LEN(TRIM('Raw Data'!AC221))=0),"",IF(AND(ISNUMBER('Raw Data'!AC221), IFERROR('Raw Data'!AC221 = ROUND('Raw Data'!AC221, 2),FALSE)),"",_xlfn.REGEXEXTRACT(CELL("address",AC221), "\$([A-Z]+)\$[0-9]+"))),_xlfn.REGEXEXTRACT(CELL("address",AC221), "\$([A-Z]+)\$[0-9]+"))</f>
        <v/>
      </c>
      <c r="AD221" s="7" t="str">
        <f t="array" aca="1" ref="AD221" ca="1">IFERROR(IF(OR('Raw Data'!AD221="",LEN(TRIM('Raw Data'!AD221))=0),"",IF(AND(ISNUMBER('Raw Data'!AD221), IFERROR('Raw Data'!AD221 = ROUND('Raw Data'!AD221, 2),FALSE)),"",_xlfn.REGEXEXTRACT(CELL("address",AD221), "\$([A-Z]+)\$[0-9]+"))),_xlfn.REGEXEXTRACT(CELL("address",AD221), "\$([A-Z]+)\$[0-9]+"))</f>
        <v/>
      </c>
      <c r="AE221" s="7" t="str">
        <f t="array" aca="1" ref="AE221" ca="1">IFERROR(IF(OR('Raw Data'!AE221="",LEN(TRIM('Raw Data'!AE221))=0),"",IF(AND(ISNUMBER('Raw Data'!AE221), IFERROR('Raw Data'!AE221 = ROUND('Raw Data'!AE221, 2),FALSE)),"",_xlfn.REGEXEXTRACT(CELL("address",AE221), "\$([A-Z]+)\$[0-9]+"))),_xlfn.REGEXEXTRACT(CELL("address",AE221), "\$([A-Z]+)\$[0-9]+"))</f>
        <v/>
      </c>
      <c r="AF221" s="7" t="str">
        <f t="array" aca="1" ref="AF221" ca="1">IFERROR(IF(OR('Raw Data'!AF221="",LEN(TRIM('Raw Data'!AF221))=0),"",IF(AND(ISNUMBER('Raw Data'!AF221), IFERROR('Raw Data'!AF221 = ROUND('Raw Data'!AF221, 2),FALSE)),"",_xlfn.REGEXEXTRACT(CELL("address",AF221), "\$([A-Z]+)\$[0-9]+"))),_xlfn.REGEXEXTRACT(CELL("address",AF221), "\$([A-Z]+)\$[0-9]+"))</f>
        <v/>
      </c>
      <c r="AG221" s="7" t="str">
        <f t="array" aca="1" ref="AG221" ca="1">IFERROR(IF(OR('Raw Data'!AG221="",LEN(TRIM('Raw Data'!AG221))=0),"",IF(AND(ISNUMBER('Raw Data'!AG221), IFERROR('Raw Data'!AG221 = ROUND('Raw Data'!AG221, 2),FALSE)),"",_xlfn.REGEXEXTRACT(CELL("address",AG221), "\$([A-Z]+)\$[0-9]+"))),_xlfn.REGEXEXTRACT(CELL("address",AG221), "\$([A-Z]+)\$[0-9]+"))</f>
        <v/>
      </c>
      <c r="AH221" s="7" t="str">
        <f t="array" aca="1" ref="AH221" ca="1">IFERROR(IF(OR('Raw Data'!AH221="",LEN(TRIM('Raw Data'!AH221))=0),"",IF(AND(ISNUMBER('Raw Data'!AH221), IFERROR('Raw Data'!AH221 = ROUND('Raw Data'!AH221, 2),FALSE)),"",_xlfn.REGEXEXTRACT(CELL("address",AH221), "\$([A-Z]+)\$[0-9]+"))),_xlfn.REGEXEXTRACT(CELL("address",AH221), "\$([A-Z]+)\$[0-9]+"))</f>
        <v/>
      </c>
      <c r="AI221" s="7" t="str">
        <f t="array" aca="1" ref="AI221" ca="1">IFERROR(IF(OR('Raw Data'!AI221="",LEN(TRIM('Raw Data'!AI221))=0),"",IF(AND(ISNUMBER('Raw Data'!AI221), IFERROR('Raw Data'!AI221 = ROUND('Raw Data'!AI221, 2),FALSE)),"",_xlfn.REGEXEXTRACT(CELL("address",AI221), "\$([A-Z]+)\$[0-9]+"))),_xlfn.REGEXEXTRACT(CELL("address",AI221), "\$([A-Z]+)\$[0-9]+"))</f>
        <v/>
      </c>
      <c r="AJ221" s="7" t="str">
        <f t="array" aca="1" ref="AJ221" ca="1">IFERROR(IF(OR('Raw Data'!AJ221="",LEN(TRIM('Raw Data'!AJ221))=0),"",IF(AND(ISNUMBER('Raw Data'!AJ221), IFERROR('Raw Data'!AJ221 = ROUND('Raw Data'!AJ221, 4),FALSE)),"",_xlfn.REGEXEXTRACT(CELL("address",AJ221), "\$([A-Z]+)\$[0-9]+"))),_xlfn.REGEXEXTRACT(CELL("address",AJ221), "\$([A-Z]+)\$[0-9]+"))</f>
        <v/>
      </c>
      <c r="AK221" s="7" t="str">
        <f t="array" aca="1" ref="AK221" ca="1">IFERROR(IF(OR('Raw Data'!AK221="",LEN(TRIM('Raw Data'!AK221))=0),"",IF(AND(ISNUMBER('Raw Data'!AK221), IFERROR('Raw Data'!AK221 = ROUND('Raw Data'!AK221, 2),FALSE)),"",_xlfn.REGEXEXTRACT(CELL("address",AK221), "\$([A-Z]+)\$[0-9]+"))),_xlfn.REGEXEXTRACT(CELL("address",AK221), "\$([A-Z]+)\$[0-9]+"))</f>
        <v/>
      </c>
      <c r="AL221" s="7" t="str">
        <f t="array" aca="1" ref="AL221" ca="1">IFERROR(IF(OR('Raw Data'!AL221="",LEN(TRIM('Raw Data'!AL221))=0),"",IF(AND(ISNUMBER('Raw Data'!AL221), IFERROR('Raw Data'!AL221 = ROUND('Raw Data'!AL221, 2),FALSE)),"",_xlfn.REGEXEXTRACT(CELL("address",AL221), "\$([A-Z]+)\$[0-9]+"))),_xlfn.REGEXEXTRACT(CELL("address",AL221), "\$([A-Z]+)\$[0-9]+"))</f>
        <v/>
      </c>
      <c r="AM221" s="7" t="str">
        <f t="array" aca="1" ref="AM221" ca="1">IFERROR(IF(OR('Raw Data'!AM221="",LEN(TRIM('Raw Data'!AM221))=0),"",IF(AND(ISNUMBER('Raw Data'!AM221), IFERROR('Raw Data'!AM221 = ROUND('Raw Data'!AM221, 2),FALSE)),"",_xlfn.REGEXEXTRACT(CELL("address",AM221), "\$([A-Z]+)\$[0-9]+"))),_xlfn.REGEXEXTRACT(CELL("address",AM221), "\$([A-Z]+)\$[0-9]+"))</f>
        <v/>
      </c>
      <c r="AN221" s="7" t="str">
        <f t="array" aca="1" ref="AN221" ca="1">IFERROR(IF(OR('Raw Data'!AN221="",LEN(TRIM('Raw Data'!AN221))=0),"",IF(AND(ISNUMBER('Raw Data'!AN221), IFERROR('Raw Data'!AN221 = ROUND('Raw Data'!AN221, 2),FALSE)),"",_xlfn.REGEXEXTRACT(CELL("address",AN221), "\$([A-Z]+)\$[0-9]+"))),_xlfn.REGEXEXTRACT(CELL("address",AN221), "\$([A-Z]+)\$[0-9]+"))</f>
        <v/>
      </c>
      <c r="AO221" s="7" t="str">
        <f t="array" aca="1" ref="AO221" ca="1">IFERROR(IF(OR('Raw Data'!AO221="",LEN(TRIM('Raw Data'!AO221))=0),"",IF(AND(ISNUMBER('Raw Data'!AO221), IFERROR('Raw Data'!AO221 = ROUND('Raw Data'!AO221, 2),FALSE)),"",_xlfn.REGEXEXTRACT(CELL("address",AO221), "\$([A-Z]+)\$[0-9]+"))),_xlfn.REGEXEXTRACT(CELL("address",AO221), "\$([A-Z]+)\$[0-9]+"))</f>
        <v/>
      </c>
      <c r="AP221" s="7" t="str">
        <f t="array" aca="1" ref="AP221" ca="1">IFERROR(IF(OR('Raw Data'!AP221="",LEN(TRIM('Raw Data'!AP221))=0),"",IF(AND(ISNUMBER('Raw Data'!AP221), IFERROR('Raw Data'!AP221 = ROUND('Raw Data'!AP221, 2),FALSE)),"",_xlfn.REGEXEXTRACT(CELL("address",AP221), "\$([A-Z]+)\$[0-9]+"))),_xlfn.REGEXEXTRACT(CELL("address",AP221), "\$([A-Z]+)\$[0-9]+"))</f>
        <v/>
      </c>
    </row>
    <row r="222" spans="2:42" x14ac:dyDescent="0.25">
      <c r="B222" s="7" t="str">
        <f t="array" aca="1" ref="B222" ca="1">IFERROR(IF(OR('Raw Data'!B222="",LEN(TRIM('Raw Data'!B222))=0),"",IF(AND(LEN('Raw Data'!B222) &lt;= 255,LEN('Raw Data'!B222)&gt; 0),"",_xlfn.REGEXEXTRACT(CELL("address",'Raw Data'!B222),"\$([A-Z]+)\$[0-9]+"))),_xlfn.REGEXEXTRACT(CELL("address",'Raw Data'!B222),"\$([A-Z]+)\$[0-9]+"))</f>
        <v/>
      </c>
      <c r="C222" s="7" t="str">
        <f t="array" aca="1" ref="C222" ca="1">IFERROR(IF(OR('Raw Data'!C222="",LEN(TRIM('Raw Data'!C222))=0),"",IF(AND(LEN('Raw Data'!C222) &lt;= 50,LEN('Raw Data'!C222)&gt; 0),"",_xlfn.REGEXEXTRACT(CELL("address",'Raw Data'!C222),"\$([A-Z]+)\$[0-9]+"))),_xlfn.REGEXEXTRACT(CELL("address",'Raw Data'!C222),"\$([A-Z]+)\$[0-9]+"))</f>
        <v/>
      </c>
      <c r="D222" s="7" t="str">
        <f t="array" aca="1" ref="D222" ca="1">IFERROR(IF(OR('Raw Data'!D222="",LEN(TRIM('Raw Data'!D222))=0),"",IF(AND(LEN('Raw Data'!D222) &lt;= 500,LEN('Raw Data'!D222)&gt; 0),"",_xlfn.REGEXEXTRACT(CELL("address",'Raw Data'!D222),"\$([A-Z]+)\$[0-9]+"))),_xlfn.REGEXEXTRACT(CELL("address",'Raw Data'!D222),"\$([A-Z]+)\$[0-9]+"))</f>
        <v/>
      </c>
      <c r="E222" s="7" t="str">
        <f t="array" aca="1" ref="E222" ca="1">IFERROR(IF(OR('Raw Data'!E222="",LEN(TRIM('Raw Data'!E222))=0),"",IF(AND(LEN('Raw Data'!E222) &lt;= 50,LEN('Raw Data'!E222)&gt; 0),"",_xlfn.REGEXEXTRACT(CELL("address",'Raw Data'!E222),"\$([A-Z]+)\$[0-9]+"))),_xlfn.REGEXEXTRACT(CELL("address",'Raw Data'!E222),"\$([A-Z]+)\$[0-9]+"))</f>
        <v/>
      </c>
      <c r="F222" s="7" t="str">
        <f t="array" aca="1" ref="F222" ca="1">IFERROR(IF(OR('Raw Data'!F222="",LEN(TRIM('Raw Data'!F222))=0),"",IF(AND(LEN('Raw Data'!F222) &lt;= 50,LEN('Raw Data'!F222)&gt; 0),"",_xlfn.REGEXEXTRACT(CELL("address",'Raw Data'!F222),"\$([A-Z]+)\$[0-9]+"))),_xlfn.REGEXEXTRACT(CELL("address",'Raw Data'!F222),"\$([A-Z]+)\$[0-9]+"))</f>
        <v/>
      </c>
      <c r="G222" s="7" t="str">
        <f t="array" aca="1" ref="G222" ca="1">IFERROR(IF(OR('Raw Data'!G222="",LEN(TRIM('Raw Data'!G222))=0),"",IF(AND(LEN('Raw Data'!G222) &lt;= 50,LEN('Raw Data'!G222)&gt; 0),"",_xlfn.REGEXEXTRACT(CELL("address",'Raw Data'!G222),"\$([A-Z]+)\$[0-9]+"))),_xlfn.REGEXEXTRACT(CELL("address",'Raw Data'!G222),"\$([A-Z]+)\$[0-9]+"))</f>
        <v/>
      </c>
      <c r="H222" s="7" t="str">
        <f t="array" aca="1" ref="H222" ca="1">IFERROR(IF(OR('Raw Data'!H222="",LEN(TRIM('Raw Data'!H222))=0),"",IF(AND(LEN('Raw Data'!H222) &lt;= 50,LEN('Raw Data'!H222)&gt; 0),"",_xlfn.REGEXEXTRACT(CELL("address",'Raw Data'!H222),"\$([A-Z]+)\$[0-9]+"))),_xlfn.REGEXEXTRACT(CELL("address",'Raw Data'!H222),"\$([A-Z]+)\$[0-9]+"))</f>
        <v/>
      </c>
      <c r="I222" s="7" t="str">
        <f t="array" aca="1" ref="I222" ca="1">IFERROR(IF(OR('Raw Data'!I222="",LEN(TRIM('Raw Data'!I222))=0),"",IF(AND(LEN('Raw Data'!I222) &lt;= 50,LEN('Raw Data'!I222)&gt; 0),"",_xlfn.REGEXEXTRACT(CELL("address",'Raw Data'!I222),"\$([A-Z]+)\$[0-9]+"))),_xlfn.REGEXEXTRACT(CELL("address",'Raw Data'!I222),"\$([A-Z]+)\$[0-9]+"))</f>
        <v/>
      </c>
      <c r="J222" s="7" t="str">
        <f t="array" aca="1" ref="J222" ca="1">IFERROR(IF(OR('Raw Data'!J222="",LEN(TRIM('Raw Data'!J222))=0),"",IF(AND(ISNUMBER('Raw Data'!J222), IFERROR('Raw Data'!J222 = ROUND('Raw Data'!J222, 2),FALSE)),"",_xlfn.REGEXEXTRACT(CELL("address",J222), "\$([A-Z]+)\$[0-9]+"))),_xlfn.REGEXEXTRACT(CELL("address",J222), "\$([A-Z]+)\$[0-9]+"))</f>
        <v/>
      </c>
      <c r="K222" s="7" t="str">
        <f t="array" aca="1" ref="K222" ca="1">IFERROR(IF(OR('Raw Data'!K222="",LEN(TRIM('Raw Data'!K222))=0),"",IF(AND(ISNUMBER('Raw Data'!K222), IFERROR('Raw Data'!K222 = ROUND('Raw Data'!K222, 2),FALSE)),"",_xlfn.REGEXEXTRACT(CELL("address",K222), "\$([A-Z]+)\$[0-9]+"))),_xlfn.REGEXEXTRACT(CELL("address",K222), "\$([A-Z]+)\$[0-9]+"))</f>
        <v/>
      </c>
      <c r="L222" s="7" t="str">
        <f t="array" aca="1" ref="L222" ca="1">IFERROR(IF(OR('Raw Data'!L222="",LEN(TRIM('Raw Data'!L222))=0),"",IF(AND(ISNUMBER('Raw Data'!L222), IFERROR('Raw Data'!L222 = ROUND('Raw Data'!L222, 2),FALSE)),"",_xlfn.REGEXEXTRACT(CELL("address",L222), "\$([A-Z]+)\$[0-9]+"))),_xlfn.REGEXEXTRACT(CELL("address",L222), "\$([A-Z]+)\$[0-9]+"))</f>
        <v/>
      </c>
      <c r="M222" s="7" t="str">
        <f t="array" aca="1" ref="M222" ca="1">IFERROR(IF(OR('Raw Data'!M222="",LEN(TRIM('Raw Data'!M222))=0),"",IF(AND(ISNUMBER('Raw Data'!M222), IFERROR('Raw Data'!M222 = ROUND('Raw Data'!M222, 2),FALSE)),"",_xlfn.REGEXEXTRACT(CELL("address",M222), "\$([A-Z]+)\$[0-9]+"))),_xlfn.REGEXEXTRACT(CELL("address",M222), "\$([A-Z]+)\$[0-9]+"))</f>
        <v/>
      </c>
      <c r="N222" s="7" t="str">
        <f t="array" aca="1" ref="N222" ca="1">IFERROR(IF(OR('Raw Data'!N222="",LEN(TRIM('Raw Data'!N222))=0),"",IF(AND(ISNUMBER('Raw Data'!N222), IFERROR('Raw Data'!N222 = ROUND('Raw Data'!N222, 2),FALSE)),"",_xlfn.REGEXEXTRACT(CELL("address",N222), "\$([A-Z]+)\$[0-9]+"))),_xlfn.REGEXEXTRACT(CELL("address",N222), "\$([A-Z]+)\$[0-9]+"))</f>
        <v/>
      </c>
      <c r="O222" s="7" t="str">
        <f t="array" aca="1" ref="O222" ca="1">IFERROR(IF(OR('Raw Data'!O222="",LEN(TRIM('Raw Data'!O222))=0),"",IF(AND(ISNUMBER('Raw Data'!O222),'Raw Data'!O222&gt;=Configuration!$D$2),"",_xlfn.REGEXEXTRACT(CELL("address",'Raw Data'!O222),"\$([A-Z]+)\$[0-9]+"))),_xlfn.REGEXEXTRACT(CELL("address",O222), "\$([A-Z]+)\$[0-9]+"))</f>
        <v/>
      </c>
      <c r="P222" s="7" t="str">
        <f t="array" aca="1" ref="P222" ca="1">IFERROR(IF(OR('Raw Data'!P222="",LEN(TRIM('Raw Data'!P222))=0),"",IF(AND(ISNUMBER('Raw Data'!P222), IFERROR('Raw Data'!P222 = ROUND('Raw Data'!P222, 2),FALSE)),"",_xlfn.REGEXEXTRACT(CELL("address",P222), "\$([A-Z]+)\$[0-9]+"))),_xlfn.REGEXEXTRACT(CELL("address",P222), "\$([A-Z]+)\$[0-9]+"))</f>
        <v/>
      </c>
      <c r="Q222" s="7" t="str">
        <f t="array" aca="1" ref="Q222" ca="1">IFERROR(IF(OR('Raw Data'!Q222="",LEN(TRIM('Raw Data'!Q222))=0),"",IF(AND(ISNUMBER('Raw Data'!Q222), IFERROR('Raw Data'!Q222 = ROUND('Raw Data'!Q222, 2),FALSE)),"",_xlfn.REGEXEXTRACT(CELL("address",Q222), "\$([A-Z]+)\$[0-9]+"))),_xlfn.REGEXEXTRACT(CELL("address",Q222), "\$([A-Z]+)\$[0-9]+"))</f>
        <v/>
      </c>
      <c r="R222" s="7" t="str">
        <f t="array" aca="1" ref="R222" ca="1">IFERROR(IF(OR('Raw Data'!R222="",LEN(TRIM('Raw Data'!R222))=0),"",IF(AND(LEN('Raw Data'!R222) &lt;= 50,LEN('Raw Data'!R222)&gt; 0),"",_xlfn.REGEXEXTRACT(CELL("address",'Raw Data'!R222),"\$([A-Z]+)\$[0-9]+"))),_xlfn.REGEXEXTRACT(CELL("address",'Raw Data'!R222),"\$([A-Z]+)\$[0-9]+"))</f>
        <v/>
      </c>
      <c r="S222" s="7" t="str">
        <f t="array" aca="1" ref="S222" ca="1">IFERROR(IF(OR('Raw Data'!S222="",LEN(TRIM('Raw Data'!S222))=0),"",IF(AND(LEN('Raw Data'!S222) &lt;= 50,LEN('Raw Data'!S222)&gt; 0),"",_xlfn.REGEXEXTRACT(CELL("address",'Raw Data'!S222),"\$([A-Z]+)\$[0-9]+"))),_xlfn.REGEXEXTRACT(CELL("address",'Raw Data'!S222),"\$([A-Z]+)\$[0-9]+"))</f>
        <v/>
      </c>
      <c r="T222" s="7" t="str">
        <f t="array" aca="1" ref="T222" ca="1">IFERROR(IF(OR('Raw Data'!T222="",LEN(TRIM('Raw Data'!T222))=0),"",IF(AND(ISNUMBER('Raw Data'!T222), IFERROR('Raw Data'!T222 = ROUND('Raw Data'!T222, 2),FALSE)),"",_xlfn.REGEXEXTRACT(CELL("address",T222), "\$([A-Z]+)\$[0-9]+"))),_xlfn.REGEXEXTRACT(CELL("address",T222), "\$([A-Z]+)\$[0-9]+"))</f>
        <v/>
      </c>
      <c r="U222" s="7" t="str">
        <f t="array" aca="1" ref="U222" ca="1">IFERROR(IF(OR('Raw Data'!U222="",LEN(TRIM('Raw Data'!U222))=0),"",IF(AND(ISNUMBER('Raw Data'!U222), IFERROR('Raw Data'!U222 = ROUND('Raw Data'!U222, 2),FALSE)),"",_xlfn.REGEXEXTRACT(CELL("address",U222), "\$([A-Z]+)\$[0-9]+"))),_xlfn.REGEXEXTRACT(CELL("address",U222), "\$([A-Z]+)\$[0-9]+"))</f>
        <v/>
      </c>
      <c r="V222" s="7" t="str">
        <f t="array" aca="1" ref="V222" ca="1">IFERROR(IF(OR('Raw Data'!V222="",LEN(TRIM('Raw Data'!V222))=0),"",IF(AND(ISNUMBER('Raw Data'!V222), IFERROR('Raw Data'!V222 = ROUND('Raw Data'!V222, 2),FALSE)),"",_xlfn.REGEXEXTRACT(CELL("address",V222), "\$([A-Z]+)\$[0-9]+"))),_xlfn.REGEXEXTRACT(CELL("address",V222), "\$([A-Z]+)\$[0-9]+"))</f>
        <v/>
      </c>
      <c r="W222" s="7" t="str">
        <f t="array" aca="1" ref="W222" ca="1">IFERROR(IF(OR('Raw Data'!W222="",LEN(TRIM('Raw Data'!W222))=0),"",IF(AND(ISNUMBER('Raw Data'!W222), IFERROR('Raw Data'!W222 = ROUND('Raw Data'!W222, 2),FALSE)),"",_xlfn.REGEXEXTRACT(CELL("address",W222), "\$([A-Z]+)\$[0-9]+"))),_xlfn.REGEXEXTRACT(CELL("address",W222), "\$([A-Z]+)\$[0-9]+"))</f>
        <v/>
      </c>
      <c r="X222" s="7" t="str">
        <f t="array" aca="1" ref="X222" ca="1">IFERROR(IF(OR('Raw Data'!X222="",LEN(TRIM('Raw Data'!X222))=0),"",IF(AND(ISNUMBER('Raw Data'!X222), IFERROR('Raw Data'!X222 = ROUND('Raw Data'!X222, 2),FALSE)),"",_xlfn.REGEXEXTRACT(CELL("address",X222), "\$([A-Z]+)\$[0-9]+"))),_xlfn.REGEXEXTRACT(CELL("address",X222), "\$([A-Z]+)\$[0-9]+"))</f>
        <v/>
      </c>
      <c r="Y222" s="7" t="str">
        <f t="array" aca="1" ref="Y222" ca="1">IFERROR(IF(OR('Raw Data'!Y222="",LEN(TRIM('Raw Data'!Y222))=0),"",IF(AND(ISNUMBER('Raw Data'!Y222), IFERROR('Raw Data'!Y222 = ROUND('Raw Data'!Y222, 2),FALSE)),"",_xlfn.REGEXEXTRACT(CELL("address",Y222), "\$([A-Z]+)\$[0-9]+"))),_xlfn.REGEXEXTRACT(CELL("address",Y222), "\$([A-Z]+)\$[0-9]+"))</f>
        <v/>
      </c>
      <c r="Z222" s="7" t="str">
        <f t="array" aca="1" ref="Z222" ca="1">IFERROR(IF(OR('Raw Data'!Z222="",LEN(TRIM('Raw Data'!Z222))=0),"",IF(AND(ISNUMBER('Raw Data'!Z222), IFERROR('Raw Data'!Z222 = ROUND('Raw Data'!Z222, 2),FALSE)),"",_xlfn.REGEXEXTRACT(CELL("address",Z222), "\$([A-Z]+)\$[0-9]+"))),_xlfn.REGEXEXTRACT(CELL("address",Z222), "\$([A-Z]+)\$[0-9]+"))</f>
        <v/>
      </c>
      <c r="AA222" s="7" t="str">
        <f t="array" aca="1" ref="AA222" ca="1">IFERROR(IF(OR('Raw Data'!AA222="",LEN(TRIM('Raw Data'!AA222))=0),"",IF(AND(ISNUMBER('Raw Data'!AA222), IFERROR('Raw Data'!AA222 = ROUND('Raw Data'!AA222, 2),FALSE)),"",_xlfn.REGEXEXTRACT(CELL("address",AA222), "\$([A-Z]+)\$[0-9]+"))),_xlfn.REGEXEXTRACT(CELL("address",AA222), "\$([A-Z]+)\$[0-9]+"))</f>
        <v/>
      </c>
      <c r="AB222" s="7" t="str">
        <f t="array" aca="1" ref="AB222" ca="1">IFERROR(IF(OR('Raw Data'!AB222="",LEN(TRIM('Raw Data'!AB222))=0),"",IF(AND(ISNUMBER('Raw Data'!AB222), IFERROR('Raw Data'!AB222 = ROUND('Raw Data'!AB222, 2),FALSE)),"",_xlfn.REGEXEXTRACT(CELL("address",AB222), "\$([A-Z]+)\$[0-9]+"))),_xlfn.REGEXEXTRACT(CELL("address",AB222), "\$([A-Z]+)\$[0-9]+"))</f>
        <v/>
      </c>
      <c r="AC222" s="7" t="str">
        <f t="array" aca="1" ref="AC222" ca="1">IFERROR(IF(OR('Raw Data'!AC222="",LEN(TRIM('Raw Data'!AC222))=0),"",IF(AND(ISNUMBER('Raw Data'!AC222), IFERROR('Raw Data'!AC222 = ROUND('Raw Data'!AC222, 2),FALSE)),"",_xlfn.REGEXEXTRACT(CELL("address",AC222), "\$([A-Z]+)\$[0-9]+"))),_xlfn.REGEXEXTRACT(CELL("address",AC222), "\$([A-Z]+)\$[0-9]+"))</f>
        <v/>
      </c>
      <c r="AD222" s="7" t="str">
        <f t="array" aca="1" ref="AD222" ca="1">IFERROR(IF(OR('Raw Data'!AD222="",LEN(TRIM('Raw Data'!AD222))=0),"",IF(AND(ISNUMBER('Raw Data'!AD222), IFERROR('Raw Data'!AD222 = ROUND('Raw Data'!AD222, 2),FALSE)),"",_xlfn.REGEXEXTRACT(CELL("address",AD222), "\$([A-Z]+)\$[0-9]+"))),_xlfn.REGEXEXTRACT(CELL("address",AD222), "\$([A-Z]+)\$[0-9]+"))</f>
        <v/>
      </c>
      <c r="AE222" s="7" t="str">
        <f t="array" aca="1" ref="AE222" ca="1">IFERROR(IF(OR('Raw Data'!AE222="",LEN(TRIM('Raw Data'!AE222))=0),"",IF(AND(ISNUMBER('Raw Data'!AE222), IFERROR('Raw Data'!AE222 = ROUND('Raw Data'!AE222, 2),FALSE)),"",_xlfn.REGEXEXTRACT(CELL("address",AE222), "\$([A-Z]+)\$[0-9]+"))),_xlfn.REGEXEXTRACT(CELL("address",AE222), "\$([A-Z]+)\$[0-9]+"))</f>
        <v/>
      </c>
      <c r="AF222" s="7" t="str">
        <f t="array" aca="1" ref="AF222" ca="1">IFERROR(IF(OR('Raw Data'!AF222="",LEN(TRIM('Raw Data'!AF222))=0),"",IF(AND(ISNUMBER('Raw Data'!AF222), IFERROR('Raw Data'!AF222 = ROUND('Raw Data'!AF222, 2),FALSE)),"",_xlfn.REGEXEXTRACT(CELL("address",AF222), "\$([A-Z]+)\$[0-9]+"))),_xlfn.REGEXEXTRACT(CELL("address",AF222), "\$([A-Z]+)\$[0-9]+"))</f>
        <v/>
      </c>
      <c r="AG222" s="7" t="str">
        <f t="array" aca="1" ref="AG222" ca="1">IFERROR(IF(OR('Raw Data'!AG222="",LEN(TRIM('Raw Data'!AG222))=0),"",IF(AND(ISNUMBER('Raw Data'!AG222), IFERROR('Raw Data'!AG222 = ROUND('Raw Data'!AG222, 2),FALSE)),"",_xlfn.REGEXEXTRACT(CELL("address",AG222), "\$([A-Z]+)\$[0-9]+"))),_xlfn.REGEXEXTRACT(CELL("address",AG222), "\$([A-Z]+)\$[0-9]+"))</f>
        <v/>
      </c>
      <c r="AH222" s="7" t="str">
        <f t="array" aca="1" ref="AH222" ca="1">IFERROR(IF(OR('Raw Data'!AH222="",LEN(TRIM('Raw Data'!AH222))=0),"",IF(AND(ISNUMBER('Raw Data'!AH222), IFERROR('Raw Data'!AH222 = ROUND('Raw Data'!AH222, 2),FALSE)),"",_xlfn.REGEXEXTRACT(CELL("address",AH222), "\$([A-Z]+)\$[0-9]+"))),_xlfn.REGEXEXTRACT(CELL("address",AH222), "\$([A-Z]+)\$[0-9]+"))</f>
        <v/>
      </c>
      <c r="AI222" s="7" t="str">
        <f t="array" aca="1" ref="AI222" ca="1">IFERROR(IF(OR('Raw Data'!AI222="",LEN(TRIM('Raw Data'!AI222))=0),"",IF(AND(ISNUMBER('Raw Data'!AI222), IFERROR('Raw Data'!AI222 = ROUND('Raw Data'!AI222, 2),FALSE)),"",_xlfn.REGEXEXTRACT(CELL("address",AI222), "\$([A-Z]+)\$[0-9]+"))),_xlfn.REGEXEXTRACT(CELL("address",AI222), "\$([A-Z]+)\$[0-9]+"))</f>
        <v/>
      </c>
      <c r="AJ222" s="7" t="str">
        <f t="array" aca="1" ref="AJ222" ca="1">IFERROR(IF(OR('Raw Data'!AJ222="",LEN(TRIM('Raw Data'!AJ222))=0),"",IF(AND(ISNUMBER('Raw Data'!AJ222), IFERROR('Raw Data'!AJ222 = ROUND('Raw Data'!AJ222, 4),FALSE)),"",_xlfn.REGEXEXTRACT(CELL("address",AJ222), "\$([A-Z]+)\$[0-9]+"))),_xlfn.REGEXEXTRACT(CELL("address",AJ222), "\$([A-Z]+)\$[0-9]+"))</f>
        <v/>
      </c>
      <c r="AK222" s="7" t="str">
        <f t="array" aca="1" ref="AK222" ca="1">IFERROR(IF(OR('Raw Data'!AK222="",LEN(TRIM('Raw Data'!AK222))=0),"",IF(AND(ISNUMBER('Raw Data'!AK222), IFERROR('Raw Data'!AK222 = ROUND('Raw Data'!AK222, 2),FALSE)),"",_xlfn.REGEXEXTRACT(CELL("address",AK222), "\$([A-Z]+)\$[0-9]+"))),_xlfn.REGEXEXTRACT(CELL("address",AK222), "\$([A-Z]+)\$[0-9]+"))</f>
        <v/>
      </c>
      <c r="AL222" s="7" t="str">
        <f t="array" aca="1" ref="AL222" ca="1">IFERROR(IF(OR('Raw Data'!AL222="",LEN(TRIM('Raw Data'!AL222))=0),"",IF(AND(ISNUMBER('Raw Data'!AL222), IFERROR('Raw Data'!AL222 = ROUND('Raw Data'!AL222, 2),FALSE)),"",_xlfn.REGEXEXTRACT(CELL("address",AL222), "\$([A-Z]+)\$[0-9]+"))),_xlfn.REGEXEXTRACT(CELL("address",AL222), "\$([A-Z]+)\$[0-9]+"))</f>
        <v/>
      </c>
      <c r="AM222" s="7" t="str">
        <f t="array" aca="1" ref="AM222" ca="1">IFERROR(IF(OR('Raw Data'!AM222="",LEN(TRIM('Raw Data'!AM222))=0),"",IF(AND(ISNUMBER('Raw Data'!AM222), IFERROR('Raw Data'!AM222 = ROUND('Raw Data'!AM222, 2),FALSE)),"",_xlfn.REGEXEXTRACT(CELL("address",AM222), "\$([A-Z]+)\$[0-9]+"))),_xlfn.REGEXEXTRACT(CELL("address",AM222), "\$([A-Z]+)\$[0-9]+"))</f>
        <v/>
      </c>
      <c r="AN222" s="7" t="str">
        <f t="array" aca="1" ref="AN222" ca="1">IFERROR(IF(OR('Raw Data'!AN222="",LEN(TRIM('Raw Data'!AN222))=0),"",IF(AND(ISNUMBER('Raw Data'!AN222), IFERROR('Raw Data'!AN222 = ROUND('Raw Data'!AN222, 2),FALSE)),"",_xlfn.REGEXEXTRACT(CELL("address",AN222), "\$([A-Z]+)\$[0-9]+"))),_xlfn.REGEXEXTRACT(CELL("address",AN222), "\$([A-Z]+)\$[0-9]+"))</f>
        <v/>
      </c>
      <c r="AO222" s="7" t="str">
        <f t="array" aca="1" ref="AO222" ca="1">IFERROR(IF(OR('Raw Data'!AO222="",LEN(TRIM('Raw Data'!AO222))=0),"",IF(AND(ISNUMBER('Raw Data'!AO222), IFERROR('Raw Data'!AO222 = ROUND('Raw Data'!AO222, 2),FALSE)),"",_xlfn.REGEXEXTRACT(CELL("address",AO222), "\$([A-Z]+)\$[0-9]+"))),_xlfn.REGEXEXTRACT(CELL("address",AO222), "\$([A-Z]+)\$[0-9]+"))</f>
        <v/>
      </c>
      <c r="AP222" s="7" t="str">
        <f t="array" aca="1" ref="AP222" ca="1">IFERROR(IF(OR('Raw Data'!AP222="",LEN(TRIM('Raw Data'!AP222))=0),"",IF(AND(ISNUMBER('Raw Data'!AP222), IFERROR('Raw Data'!AP222 = ROUND('Raw Data'!AP222, 2),FALSE)),"",_xlfn.REGEXEXTRACT(CELL("address",AP222), "\$([A-Z]+)\$[0-9]+"))),_xlfn.REGEXEXTRACT(CELL("address",AP222), "\$([A-Z]+)\$[0-9]+"))</f>
        <v/>
      </c>
    </row>
    <row r="223" spans="2:42" x14ac:dyDescent="0.25">
      <c r="B223" s="7" t="str">
        <f t="array" aca="1" ref="B223" ca="1">IFERROR(IF(OR('Raw Data'!B223="",LEN(TRIM('Raw Data'!B223))=0),"",IF(AND(LEN('Raw Data'!B223) &lt;= 255,LEN('Raw Data'!B223)&gt; 0),"",_xlfn.REGEXEXTRACT(CELL("address",'Raw Data'!B223),"\$([A-Z]+)\$[0-9]+"))),_xlfn.REGEXEXTRACT(CELL("address",'Raw Data'!B223),"\$([A-Z]+)\$[0-9]+"))</f>
        <v/>
      </c>
      <c r="C223" s="7" t="str">
        <f t="array" aca="1" ref="C223" ca="1">IFERROR(IF(OR('Raw Data'!C223="",LEN(TRIM('Raw Data'!C223))=0),"",IF(AND(LEN('Raw Data'!C223) &lt;= 50,LEN('Raw Data'!C223)&gt; 0),"",_xlfn.REGEXEXTRACT(CELL("address",'Raw Data'!C223),"\$([A-Z]+)\$[0-9]+"))),_xlfn.REGEXEXTRACT(CELL("address",'Raw Data'!C223),"\$([A-Z]+)\$[0-9]+"))</f>
        <v/>
      </c>
      <c r="D223" s="7" t="str">
        <f t="array" aca="1" ref="D223" ca="1">IFERROR(IF(OR('Raw Data'!D223="",LEN(TRIM('Raw Data'!D223))=0),"",IF(AND(LEN('Raw Data'!D223) &lt;= 500,LEN('Raw Data'!D223)&gt; 0),"",_xlfn.REGEXEXTRACT(CELL("address",'Raw Data'!D223),"\$([A-Z]+)\$[0-9]+"))),_xlfn.REGEXEXTRACT(CELL("address",'Raw Data'!D223),"\$([A-Z]+)\$[0-9]+"))</f>
        <v/>
      </c>
      <c r="E223" s="7" t="str">
        <f t="array" aca="1" ref="E223" ca="1">IFERROR(IF(OR('Raw Data'!E223="",LEN(TRIM('Raw Data'!E223))=0),"",IF(AND(LEN('Raw Data'!E223) &lt;= 50,LEN('Raw Data'!E223)&gt; 0),"",_xlfn.REGEXEXTRACT(CELL("address",'Raw Data'!E223),"\$([A-Z]+)\$[0-9]+"))),_xlfn.REGEXEXTRACT(CELL("address",'Raw Data'!E223),"\$([A-Z]+)\$[0-9]+"))</f>
        <v/>
      </c>
      <c r="F223" s="7" t="str">
        <f t="array" aca="1" ref="F223" ca="1">IFERROR(IF(OR('Raw Data'!F223="",LEN(TRIM('Raw Data'!F223))=0),"",IF(AND(LEN('Raw Data'!F223) &lt;= 50,LEN('Raw Data'!F223)&gt; 0),"",_xlfn.REGEXEXTRACT(CELL("address",'Raw Data'!F223),"\$([A-Z]+)\$[0-9]+"))),_xlfn.REGEXEXTRACT(CELL("address",'Raw Data'!F223),"\$([A-Z]+)\$[0-9]+"))</f>
        <v/>
      </c>
      <c r="G223" s="7" t="str">
        <f t="array" aca="1" ref="G223" ca="1">IFERROR(IF(OR('Raw Data'!G223="",LEN(TRIM('Raw Data'!G223))=0),"",IF(AND(LEN('Raw Data'!G223) &lt;= 50,LEN('Raw Data'!G223)&gt; 0),"",_xlfn.REGEXEXTRACT(CELL("address",'Raw Data'!G223),"\$([A-Z]+)\$[0-9]+"))),_xlfn.REGEXEXTRACT(CELL("address",'Raw Data'!G223),"\$([A-Z]+)\$[0-9]+"))</f>
        <v/>
      </c>
      <c r="H223" s="7" t="str">
        <f t="array" aca="1" ref="H223" ca="1">IFERROR(IF(OR('Raw Data'!H223="",LEN(TRIM('Raw Data'!H223))=0),"",IF(AND(LEN('Raw Data'!H223) &lt;= 50,LEN('Raw Data'!H223)&gt; 0),"",_xlfn.REGEXEXTRACT(CELL("address",'Raw Data'!H223),"\$([A-Z]+)\$[0-9]+"))),_xlfn.REGEXEXTRACT(CELL("address",'Raw Data'!H223),"\$([A-Z]+)\$[0-9]+"))</f>
        <v/>
      </c>
      <c r="I223" s="7" t="str">
        <f t="array" aca="1" ref="I223" ca="1">IFERROR(IF(OR('Raw Data'!I223="",LEN(TRIM('Raw Data'!I223))=0),"",IF(AND(LEN('Raw Data'!I223) &lt;= 50,LEN('Raw Data'!I223)&gt; 0),"",_xlfn.REGEXEXTRACT(CELL("address",'Raw Data'!I223),"\$([A-Z]+)\$[0-9]+"))),_xlfn.REGEXEXTRACT(CELL("address",'Raw Data'!I223),"\$([A-Z]+)\$[0-9]+"))</f>
        <v/>
      </c>
      <c r="J223" s="7" t="str">
        <f t="array" aca="1" ref="J223" ca="1">IFERROR(IF(OR('Raw Data'!J223="",LEN(TRIM('Raw Data'!J223))=0),"",IF(AND(ISNUMBER('Raw Data'!J223), IFERROR('Raw Data'!J223 = ROUND('Raw Data'!J223, 2),FALSE)),"",_xlfn.REGEXEXTRACT(CELL("address",J223), "\$([A-Z]+)\$[0-9]+"))),_xlfn.REGEXEXTRACT(CELL("address",J223), "\$([A-Z]+)\$[0-9]+"))</f>
        <v/>
      </c>
      <c r="K223" s="7" t="str">
        <f t="array" aca="1" ref="K223" ca="1">IFERROR(IF(OR('Raw Data'!K223="",LEN(TRIM('Raw Data'!K223))=0),"",IF(AND(ISNUMBER('Raw Data'!K223), IFERROR('Raw Data'!K223 = ROUND('Raw Data'!K223, 2),FALSE)),"",_xlfn.REGEXEXTRACT(CELL("address",K223), "\$([A-Z]+)\$[0-9]+"))),_xlfn.REGEXEXTRACT(CELL("address",K223), "\$([A-Z]+)\$[0-9]+"))</f>
        <v/>
      </c>
      <c r="L223" s="7" t="str">
        <f t="array" aca="1" ref="L223" ca="1">IFERROR(IF(OR('Raw Data'!L223="",LEN(TRIM('Raw Data'!L223))=0),"",IF(AND(ISNUMBER('Raw Data'!L223), IFERROR('Raw Data'!L223 = ROUND('Raw Data'!L223, 2),FALSE)),"",_xlfn.REGEXEXTRACT(CELL("address",L223), "\$([A-Z]+)\$[0-9]+"))),_xlfn.REGEXEXTRACT(CELL("address",L223), "\$([A-Z]+)\$[0-9]+"))</f>
        <v/>
      </c>
      <c r="M223" s="7" t="str">
        <f t="array" aca="1" ref="M223" ca="1">IFERROR(IF(OR('Raw Data'!M223="",LEN(TRIM('Raw Data'!M223))=0),"",IF(AND(ISNUMBER('Raw Data'!M223), IFERROR('Raw Data'!M223 = ROUND('Raw Data'!M223, 2),FALSE)),"",_xlfn.REGEXEXTRACT(CELL("address",M223), "\$([A-Z]+)\$[0-9]+"))),_xlfn.REGEXEXTRACT(CELL("address",M223), "\$([A-Z]+)\$[0-9]+"))</f>
        <v/>
      </c>
      <c r="N223" s="7" t="str">
        <f t="array" aca="1" ref="N223" ca="1">IFERROR(IF(OR('Raw Data'!N223="",LEN(TRIM('Raw Data'!N223))=0),"",IF(AND(ISNUMBER('Raw Data'!N223), IFERROR('Raw Data'!N223 = ROUND('Raw Data'!N223, 2),FALSE)),"",_xlfn.REGEXEXTRACT(CELL("address",N223), "\$([A-Z]+)\$[0-9]+"))),_xlfn.REGEXEXTRACT(CELL("address",N223), "\$([A-Z]+)\$[0-9]+"))</f>
        <v/>
      </c>
      <c r="O223" s="7" t="str">
        <f t="array" aca="1" ref="O223" ca="1">IFERROR(IF(OR('Raw Data'!O223="",LEN(TRIM('Raw Data'!O223))=0),"",IF(AND(ISNUMBER('Raw Data'!O223),'Raw Data'!O223&gt;=Configuration!$D$2),"",_xlfn.REGEXEXTRACT(CELL("address",'Raw Data'!O223),"\$([A-Z]+)\$[0-9]+"))),_xlfn.REGEXEXTRACT(CELL("address",O223), "\$([A-Z]+)\$[0-9]+"))</f>
        <v/>
      </c>
      <c r="P223" s="7" t="str">
        <f t="array" aca="1" ref="P223" ca="1">IFERROR(IF(OR('Raw Data'!P223="",LEN(TRIM('Raw Data'!P223))=0),"",IF(AND(ISNUMBER('Raw Data'!P223), IFERROR('Raw Data'!P223 = ROUND('Raw Data'!P223, 2),FALSE)),"",_xlfn.REGEXEXTRACT(CELL("address",P223), "\$([A-Z]+)\$[0-9]+"))),_xlfn.REGEXEXTRACT(CELL("address",P223), "\$([A-Z]+)\$[0-9]+"))</f>
        <v/>
      </c>
      <c r="Q223" s="7" t="str">
        <f t="array" aca="1" ref="Q223" ca="1">IFERROR(IF(OR('Raw Data'!Q223="",LEN(TRIM('Raw Data'!Q223))=0),"",IF(AND(ISNUMBER('Raw Data'!Q223), IFERROR('Raw Data'!Q223 = ROUND('Raw Data'!Q223, 2),FALSE)),"",_xlfn.REGEXEXTRACT(CELL("address",Q223), "\$([A-Z]+)\$[0-9]+"))),_xlfn.REGEXEXTRACT(CELL("address",Q223), "\$([A-Z]+)\$[0-9]+"))</f>
        <v/>
      </c>
      <c r="R223" s="7" t="str">
        <f t="array" aca="1" ref="R223" ca="1">IFERROR(IF(OR('Raw Data'!R223="",LEN(TRIM('Raw Data'!R223))=0),"",IF(AND(LEN('Raw Data'!R223) &lt;= 50,LEN('Raw Data'!R223)&gt; 0),"",_xlfn.REGEXEXTRACT(CELL("address",'Raw Data'!R223),"\$([A-Z]+)\$[0-9]+"))),_xlfn.REGEXEXTRACT(CELL("address",'Raw Data'!R223),"\$([A-Z]+)\$[0-9]+"))</f>
        <v/>
      </c>
      <c r="S223" s="7" t="str">
        <f t="array" aca="1" ref="S223" ca="1">IFERROR(IF(OR('Raw Data'!S223="",LEN(TRIM('Raw Data'!S223))=0),"",IF(AND(LEN('Raw Data'!S223) &lt;= 50,LEN('Raw Data'!S223)&gt; 0),"",_xlfn.REGEXEXTRACT(CELL("address",'Raw Data'!S223),"\$([A-Z]+)\$[0-9]+"))),_xlfn.REGEXEXTRACT(CELL("address",'Raw Data'!S223),"\$([A-Z]+)\$[0-9]+"))</f>
        <v/>
      </c>
      <c r="T223" s="7" t="str">
        <f t="array" aca="1" ref="T223" ca="1">IFERROR(IF(OR('Raw Data'!T223="",LEN(TRIM('Raw Data'!T223))=0),"",IF(AND(ISNUMBER('Raw Data'!T223), IFERROR('Raw Data'!T223 = ROUND('Raw Data'!T223, 2),FALSE)),"",_xlfn.REGEXEXTRACT(CELL("address",T223), "\$([A-Z]+)\$[0-9]+"))),_xlfn.REGEXEXTRACT(CELL("address",T223), "\$([A-Z]+)\$[0-9]+"))</f>
        <v/>
      </c>
      <c r="U223" s="7" t="str">
        <f t="array" aca="1" ref="U223" ca="1">IFERROR(IF(OR('Raw Data'!U223="",LEN(TRIM('Raw Data'!U223))=0),"",IF(AND(ISNUMBER('Raw Data'!U223), IFERROR('Raw Data'!U223 = ROUND('Raw Data'!U223, 2),FALSE)),"",_xlfn.REGEXEXTRACT(CELL("address",U223), "\$([A-Z]+)\$[0-9]+"))),_xlfn.REGEXEXTRACT(CELL("address",U223), "\$([A-Z]+)\$[0-9]+"))</f>
        <v/>
      </c>
      <c r="V223" s="7" t="str">
        <f t="array" aca="1" ref="V223" ca="1">IFERROR(IF(OR('Raw Data'!V223="",LEN(TRIM('Raw Data'!V223))=0),"",IF(AND(ISNUMBER('Raw Data'!V223), IFERROR('Raw Data'!V223 = ROUND('Raw Data'!V223, 2),FALSE)),"",_xlfn.REGEXEXTRACT(CELL("address",V223), "\$([A-Z]+)\$[0-9]+"))),_xlfn.REGEXEXTRACT(CELL("address",V223), "\$([A-Z]+)\$[0-9]+"))</f>
        <v/>
      </c>
      <c r="W223" s="7" t="str">
        <f t="array" aca="1" ref="W223" ca="1">IFERROR(IF(OR('Raw Data'!W223="",LEN(TRIM('Raw Data'!W223))=0),"",IF(AND(ISNUMBER('Raw Data'!W223), IFERROR('Raw Data'!W223 = ROUND('Raw Data'!W223, 2),FALSE)),"",_xlfn.REGEXEXTRACT(CELL("address",W223), "\$([A-Z]+)\$[0-9]+"))),_xlfn.REGEXEXTRACT(CELL("address",W223), "\$([A-Z]+)\$[0-9]+"))</f>
        <v/>
      </c>
      <c r="X223" s="7" t="str">
        <f t="array" aca="1" ref="X223" ca="1">IFERROR(IF(OR('Raw Data'!X223="",LEN(TRIM('Raw Data'!X223))=0),"",IF(AND(ISNUMBER('Raw Data'!X223), IFERROR('Raw Data'!X223 = ROUND('Raw Data'!X223, 2),FALSE)),"",_xlfn.REGEXEXTRACT(CELL("address",X223), "\$([A-Z]+)\$[0-9]+"))),_xlfn.REGEXEXTRACT(CELL("address",X223), "\$([A-Z]+)\$[0-9]+"))</f>
        <v/>
      </c>
      <c r="Y223" s="7" t="str">
        <f t="array" aca="1" ref="Y223" ca="1">IFERROR(IF(OR('Raw Data'!Y223="",LEN(TRIM('Raw Data'!Y223))=0),"",IF(AND(ISNUMBER('Raw Data'!Y223), IFERROR('Raw Data'!Y223 = ROUND('Raw Data'!Y223, 2),FALSE)),"",_xlfn.REGEXEXTRACT(CELL("address",Y223), "\$([A-Z]+)\$[0-9]+"))),_xlfn.REGEXEXTRACT(CELL("address",Y223), "\$([A-Z]+)\$[0-9]+"))</f>
        <v/>
      </c>
      <c r="Z223" s="7" t="str">
        <f t="array" aca="1" ref="Z223" ca="1">IFERROR(IF(OR('Raw Data'!Z223="",LEN(TRIM('Raw Data'!Z223))=0),"",IF(AND(ISNUMBER('Raw Data'!Z223), IFERROR('Raw Data'!Z223 = ROUND('Raw Data'!Z223, 2),FALSE)),"",_xlfn.REGEXEXTRACT(CELL("address",Z223), "\$([A-Z]+)\$[0-9]+"))),_xlfn.REGEXEXTRACT(CELL("address",Z223), "\$([A-Z]+)\$[0-9]+"))</f>
        <v/>
      </c>
      <c r="AA223" s="7" t="str">
        <f t="array" aca="1" ref="AA223" ca="1">IFERROR(IF(OR('Raw Data'!AA223="",LEN(TRIM('Raw Data'!AA223))=0),"",IF(AND(ISNUMBER('Raw Data'!AA223), IFERROR('Raw Data'!AA223 = ROUND('Raw Data'!AA223, 2),FALSE)),"",_xlfn.REGEXEXTRACT(CELL("address",AA223), "\$([A-Z]+)\$[0-9]+"))),_xlfn.REGEXEXTRACT(CELL("address",AA223), "\$([A-Z]+)\$[0-9]+"))</f>
        <v/>
      </c>
      <c r="AB223" s="7" t="str">
        <f t="array" aca="1" ref="AB223" ca="1">IFERROR(IF(OR('Raw Data'!AB223="",LEN(TRIM('Raw Data'!AB223))=0),"",IF(AND(ISNUMBER('Raw Data'!AB223), IFERROR('Raw Data'!AB223 = ROUND('Raw Data'!AB223, 2),FALSE)),"",_xlfn.REGEXEXTRACT(CELL("address",AB223), "\$([A-Z]+)\$[0-9]+"))),_xlfn.REGEXEXTRACT(CELL("address",AB223), "\$([A-Z]+)\$[0-9]+"))</f>
        <v/>
      </c>
      <c r="AC223" s="7" t="str">
        <f t="array" aca="1" ref="AC223" ca="1">IFERROR(IF(OR('Raw Data'!AC223="",LEN(TRIM('Raw Data'!AC223))=0),"",IF(AND(ISNUMBER('Raw Data'!AC223), IFERROR('Raw Data'!AC223 = ROUND('Raw Data'!AC223, 2),FALSE)),"",_xlfn.REGEXEXTRACT(CELL("address",AC223), "\$([A-Z]+)\$[0-9]+"))),_xlfn.REGEXEXTRACT(CELL("address",AC223), "\$([A-Z]+)\$[0-9]+"))</f>
        <v/>
      </c>
      <c r="AD223" s="7" t="str">
        <f t="array" aca="1" ref="AD223" ca="1">IFERROR(IF(OR('Raw Data'!AD223="",LEN(TRIM('Raw Data'!AD223))=0),"",IF(AND(ISNUMBER('Raw Data'!AD223), IFERROR('Raw Data'!AD223 = ROUND('Raw Data'!AD223, 2),FALSE)),"",_xlfn.REGEXEXTRACT(CELL("address",AD223), "\$([A-Z]+)\$[0-9]+"))),_xlfn.REGEXEXTRACT(CELL("address",AD223), "\$([A-Z]+)\$[0-9]+"))</f>
        <v/>
      </c>
      <c r="AE223" s="7" t="str">
        <f t="array" aca="1" ref="AE223" ca="1">IFERROR(IF(OR('Raw Data'!AE223="",LEN(TRIM('Raw Data'!AE223))=0),"",IF(AND(ISNUMBER('Raw Data'!AE223), IFERROR('Raw Data'!AE223 = ROUND('Raw Data'!AE223, 2),FALSE)),"",_xlfn.REGEXEXTRACT(CELL("address",AE223), "\$([A-Z]+)\$[0-9]+"))),_xlfn.REGEXEXTRACT(CELL("address",AE223), "\$([A-Z]+)\$[0-9]+"))</f>
        <v/>
      </c>
      <c r="AF223" s="7" t="str">
        <f t="array" aca="1" ref="AF223" ca="1">IFERROR(IF(OR('Raw Data'!AF223="",LEN(TRIM('Raw Data'!AF223))=0),"",IF(AND(ISNUMBER('Raw Data'!AF223), IFERROR('Raw Data'!AF223 = ROUND('Raw Data'!AF223, 2),FALSE)),"",_xlfn.REGEXEXTRACT(CELL("address",AF223), "\$([A-Z]+)\$[0-9]+"))),_xlfn.REGEXEXTRACT(CELL("address",AF223), "\$([A-Z]+)\$[0-9]+"))</f>
        <v/>
      </c>
      <c r="AG223" s="7" t="str">
        <f t="array" aca="1" ref="AG223" ca="1">IFERROR(IF(OR('Raw Data'!AG223="",LEN(TRIM('Raw Data'!AG223))=0),"",IF(AND(ISNUMBER('Raw Data'!AG223), IFERROR('Raw Data'!AG223 = ROUND('Raw Data'!AG223, 2),FALSE)),"",_xlfn.REGEXEXTRACT(CELL("address",AG223), "\$([A-Z]+)\$[0-9]+"))),_xlfn.REGEXEXTRACT(CELL("address",AG223), "\$([A-Z]+)\$[0-9]+"))</f>
        <v/>
      </c>
      <c r="AH223" s="7" t="str">
        <f t="array" aca="1" ref="AH223" ca="1">IFERROR(IF(OR('Raw Data'!AH223="",LEN(TRIM('Raw Data'!AH223))=0),"",IF(AND(ISNUMBER('Raw Data'!AH223), IFERROR('Raw Data'!AH223 = ROUND('Raw Data'!AH223, 2),FALSE)),"",_xlfn.REGEXEXTRACT(CELL("address",AH223), "\$([A-Z]+)\$[0-9]+"))),_xlfn.REGEXEXTRACT(CELL("address",AH223), "\$([A-Z]+)\$[0-9]+"))</f>
        <v/>
      </c>
      <c r="AI223" s="7" t="str">
        <f t="array" aca="1" ref="AI223" ca="1">IFERROR(IF(OR('Raw Data'!AI223="",LEN(TRIM('Raw Data'!AI223))=0),"",IF(AND(ISNUMBER('Raw Data'!AI223), IFERROR('Raw Data'!AI223 = ROUND('Raw Data'!AI223, 2),FALSE)),"",_xlfn.REGEXEXTRACT(CELL("address",AI223), "\$([A-Z]+)\$[0-9]+"))),_xlfn.REGEXEXTRACT(CELL("address",AI223), "\$([A-Z]+)\$[0-9]+"))</f>
        <v/>
      </c>
      <c r="AJ223" s="7" t="str">
        <f t="array" aca="1" ref="AJ223" ca="1">IFERROR(IF(OR('Raw Data'!AJ223="",LEN(TRIM('Raw Data'!AJ223))=0),"",IF(AND(ISNUMBER('Raw Data'!AJ223), IFERROR('Raw Data'!AJ223 = ROUND('Raw Data'!AJ223, 4),FALSE)),"",_xlfn.REGEXEXTRACT(CELL("address",AJ223), "\$([A-Z]+)\$[0-9]+"))),_xlfn.REGEXEXTRACT(CELL("address",AJ223), "\$([A-Z]+)\$[0-9]+"))</f>
        <v/>
      </c>
      <c r="AK223" s="7" t="str">
        <f t="array" aca="1" ref="AK223" ca="1">IFERROR(IF(OR('Raw Data'!AK223="",LEN(TRIM('Raw Data'!AK223))=0),"",IF(AND(ISNUMBER('Raw Data'!AK223), IFERROR('Raw Data'!AK223 = ROUND('Raw Data'!AK223, 2),FALSE)),"",_xlfn.REGEXEXTRACT(CELL("address",AK223), "\$([A-Z]+)\$[0-9]+"))),_xlfn.REGEXEXTRACT(CELL("address",AK223), "\$([A-Z]+)\$[0-9]+"))</f>
        <v/>
      </c>
      <c r="AL223" s="7" t="str">
        <f t="array" aca="1" ref="AL223" ca="1">IFERROR(IF(OR('Raw Data'!AL223="",LEN(TRIM('Raw Data'!AL223))=0),"",IF(AND(ISNUMBER('Raw Data'!AL223), IFERROR('Raw Data'!AL223 = ROUND('Raw Data'!AL223, 2),FALSE)),"",_xlfn.REGEXEXTRACT(CELL("address",AL223), "\$([A-Z]+)\$[0-9]+"))),_xlfn.REGEXEXTRACT(CELL("address",AL223), "\$([A-Z]+)\$[0-9]+"))</f>
        <v/>
      </c>
      <c r="AM223" s="7" t="str">
        <f t="array" aca="1" ref="AM223" ca="1">IFERROR(IF(OR('Raw Data'!AM223="",LEN(TRIM('Raw Data'!AM223))=0),"",IF(AND(ISNUMBER('Raw Data'!AM223), IFERROR('Raw Data'!AM223 = ROUND('Raw Data'!AM223, 2),FALSE)),"",_xlfn.REGEXEXTRACT(CELL("address",AM223), "\$([A-Z]+)\$[0-9]+"))),_xlfn.REGEXEXTRACT(CELL("address",AM223), "\$([A-Z]+)\$[0-9]+"))</f>
        <v/>
      </c>
      <c r="AN223" s="7" t="str">
        <f t="array" aca="1" ref="AN223" ca="1">IFERROR(IF(OR('Raw Data'!AN223="",LEN(TRIM('Raw Data'!AN223))=0),"",IF(AND(ISNUMBER('Raw Data'!AN223), IFERROR('Raw Data'!AN223 = ROUND('Raw Data'!AN223, 2),FALSE)),"",_xlfn.REGEXEXTRACT(CELL("address",AN223), "\$([A-Z]+)\$[0-9]+"))),_xlfn.REGEXEXTRACT(CELL("address",AN223), "\$([A-Z]+)\$[0-9]+"))</f>
        <v/>
      </c>
      <c r="AO223" s="7" t="str">
        <f t="array" aca="1" ref="AO223" ca="1">IFERROR(IF(OR('Raw Data'!AO223="",LEN(TRIM('Raw Data'!AO223))=0),"",IF(AND(ISNUMBER('Raw Data'!AO223), IFERROR('Raw Data'!AO223 = ROUND('Raw Data'!AO223, 2),FALSE)),"",_xlfn.REGEXEXTRACT(CELL("address",AO223), "\$([A-Z]+)\$[0-9]+"))),_xlfn.REGEXEXTRACT(CELL("address",AO223), "\$([A-Z]+)\$[0-9]+"))</f>
        <v/>
      </c>
      <c r="AP223" s="7" t="str">
        <f t="array" aca="1" ref="AP223" ca="1">IFERROR(IF(OR('Raw Data'!AP223="",LEN(TRIM('Raw Data'!AP223))=0),"",IF(AND(ISNUMBER('Raw Data'!AP223), IFERROR('Raw Data'!AP223 = ROUND('Raw Data'!AP223, 2),FALSE)),"",_xlfn.REGEXEXTRACT(CELL("address",AP223), "\$([A-Z]+)\$[0-9]+"))),_xlfn.REGEXEXTRACT(CELL("address",AP223), "\$([A-Z]+)\$[0-9]+"))</f>
        <v/>
      </c>
    </row>
    <row r="224" spans="2:42" x14ac:dyDescent="0.25">
      <c r="B224" s="7" t="str">
        <f t="array" aca="1" ref="B224" ca="1">IFERROR(IF(OR('Raw Data'!B224="",LEN(TRIM('Raw Data'!B224))=0),"",IF(AND(LEN('Raw Data'!B224) &lt;= 255,LEN('Raw Data'!B224)&gt; 0),"",_xlfn.REGEXEXTRACT(CELL("address",'Raw Data'!B224),"\$([A-Z]+)\$[0-9]+"))),_xlfn.REGEXEXTRACT(CELL("address",'Raw Data'!B224),"\$([A-Z]+)\$[0-9]+"))</f>
        <v/>
      </c>
      <c r="C224" s="7" t="str">
        <f t="array" aca="1" ref="C224" ca="1">IFERROR(IF(OR('Raw Data'!C224="",LEN(TRIM('Raw Data'!C224))=0),"",IF(AND(LEN('Raw Data'!C224) &lt;= 50,LEN('Raw Data'!C224)&gt; 0),"",_xlfn.REGEXEXTRACT(CELL("address",'Raw Data'!C224),"\$([A-Z]+)\$[0-9]+"))),_xlfn.REGEXEXTRACT(CELL("address",'Raw Data'!C224),"\$([A-Z]+)\$[0-9]+"))</f>
        <v/>
      </c>
      <c r="D224" s="7" t="str">
        <f t="array" aca="1" ref="D224" ca="1">IFERROR(IF(OR('Raw Data'!D224="",LEN(TRIM('Raw Data'!D224))=0),"",IF(AND(LEN('Raw Data'!D224) &lt;= 500,LEN('Raw Data'!D224)&gt; 0),"",_xlfn.REGEXEXTRACT(CELL("address",'Raw Data'!D224),"\$([A-Z]+)\$[0-9]+"))),_xlfn.REGEXEXTRACT(CELL("address",'Raw Data'!D224),"\$([A-Z]+)\$[0-9]+"))</f>
        <v/>
      </c>
      <c r="E224" s="7" t="str">
        <f t="array" aca="1" ref="E224" ca="1">IFERROR(IF(OR('Raw Data'!E224="",LEN(TRIM('Raw Data'!E224))=0),"",IF(AND(LEN('Raw Data'!E224) &lt;= 50,LEN('Raw Data'!E224)&gt; 0),"",_xlfn.REGEXEXTRACT(CELL("address",'Raw Data'!E224),"\$([A-Z]+)\$[0-9]+"))),_xlfn.REGEXEXTRACT(CELL("address",'Raw Data'!E224),"\$([A-Z]+)\$[0-9]+"))</f>
        <v/>
      </c>
      <c r="F224" s="7" t="str">
        <f t="array" aca="1" ref="F224" ca="1">IFERROR(IF(OR('Raw Data'!F224="",LEN(TRIM('Raw Data'!F224))=0),"",IF(AND(LEN('Raw Data'!F224) &lt;= 50,LEN('Raw Data'!F224)&gt; 0),"",_xlfn.REGEXEXTRACT(CELL("address",'Raw Data'!F224),"\$([A-Z]+)\$[0-9]+"))),_xlfn.REGEXEXTRACT(CELL("address",'Raw Data'!F224),"\$([A-Z]+)\$[0-9]+"))</f>
        <v/>
      </c>
      <c r="G224" s="7" t="str">
        <f t="array" aca="1" ref="G224" ca="1">IFERROR(IF(OR('Raw Data'!G224="",LEN(TRIM('Raw Data'!G224))=0),"",IF(AND(LEN('Raw Data'!G224) &lt;= 50,LEN('Raw Data'!G224)&gt; 0),"",_xlfn.REGEXEXTRACT(CELL("address",'Raw Data'!G224),"\$([A-Z]+)\$[0-9]+"))),_xlfn.REGEXEXTRACT(CELL("address",'Raw Data'!G224),"\$([A-Z]+)\$[0-9]+"))</f>
        <v/>
      </c>
      <c r="H224" s="7" t="str">
        <f t="array" aca="1" ref="H224" ca="1">IFERROR(IF(OR('Raw Data'!H224="",LEN(TRIM('Raw Data'!H224))=0),"",IF(AND(LEN('Raw Data'!H224) &lt;= 50,LEN('Raw Data'!H224)&gt; 0),"",_xlfn.REGEXEXTRACT(CELL("address",'Raw Data'!H224),"\$([A-Z]+)\$[0-9]+"))),_xlfn.REGEXEXTRACT(CELL("address",'Raw Data'!H224),"\$([A-Z]+)\$[0-9]+"))</f>
        <v/>
      </c>
      <c r="I224" s="7" t="str">
        <f t="array" aca="1" ref="I224" ca="1">IFERROR(IF(OR('Raw Data'!I224="",LEN(TRIM('Raw Data'!I224))=0),"",IF(AND(LEN('Raw Data'!I224) &lt;= 50,LEN('Raw Data'!I224)&gt; 0),"",_xlfn.REGEXEXTRACT(CELL("address",'Raw Data'!I224),"\$([A-Z]+)\$[0-9]+"))),_xlfn.REGEXEXTRACT(CELL("address",'Raw Data'!I224),"\$([A-Z]+)\$[0-9]+"))</f>
        <v/>
      </c>
      <c r="J224" s="7" t="str">
        <f t="array" aca="1" ref="J224" ca="1">IFERROR(IF(OR('Raw Data'!J224="",LEN(TRIM('Raw Data'!J224))=0),"",IF(AND(ISNUMBER('Raw Data'!J224), IFERROR('Raw Data'!J224 = ROUND('Raw Data'!J224, 2),FALSE)),"",_xlfn.REGEXEXTRACT(CELL("address",J224), "\$([A-Z]+)\$[0-9]+"))),_xlfn.REGEXEXTRACT(CELL("address",J224), "\$([A-Z]+)\$[0-9]+"))</f>
        <v/>
      </c>
      <c r="K224" s="7" t="str">
        <f t="array" aca="1" ref="K224" ca="1">IFERROR(IF(OR('Raw Data'!K224="",LEN(TRIM('Raw Data'!K224))=0),"",IF(AND(ISNUMBER('Raw Data'!K224), IFERROR('Raw Data'!K224 = ROUND('Raw Data'!K224, 2),FALSE)),"",_xlfn.REGEXEXTRACT(CELL("address",K224), "\$([A-Z]+)\$[0-9]+"))),_xlfn.REGEXEXTRACT(CELL("address",K224), "\$([A-Z]+)\$[0-9]+"))</f>
        <v/>
      </c>
      <c r="L224" s="7" t="str">
        <f t="array" aca="1" ref="L224" ca="1">IFERROR(IF(OR('Raw Data'!L224="",LEN(TRIM('Raw Data'!L224))=0),"",IF(AND(ISNUMBER('Raw Data'!L224), IFERROR('Raw Data'!L224 = ROUND('Raw Data'!L224, 2),FALSE)),"",_xlfn.REGEXEXTRACT(CELL("address",L224), "\$([A-Z]+)\$[0-9]+"))),_xlfn.REGEXEXTRACT(CELL("address",L224), "\$([A-Z]+)\$[0-9]+"))</f>
        <v/>
      </c>
      <c r="M224" s="7" t="str">
        <f t="array" aca="1" ref="M224" ca="1">IFERROR(IF(OR('Raw Data'!M224="",LEN(TRIM('Raw Data'!M224))=0),"",IF(AND(ISNUMBER('Raw Data'!M224), IFERROR('Raw Data'!M224 = ROUND('Raw Data'!M224, 2),FALSE)),"",_xlfn.REGEXEXTRACT(CELL("address",M224), "\$([A-Z]+)\$[0-9]+"))),_xlfn.REGEXEXTRACT(CELL("address",M224), "\$([A-Z]+)\$[0-9]+"))</f>
        <v/>
      </c>
      <c r="N224" s="7" t="str">
        <f t="array" aca="1" ref="N224" ca="1">IFERROR(IF(OR('Raw Data'!N224="",LEN(TRIM('Raw Data'!N224))=0),"",IF(AND(ISNUMBER('Raw Data'!N224), IFERROR('Raw Data'!N224 = ROUND('Raw Data'!N224, 2),FALSE)),"",_xlfn.REGEXEXTRACT(CELL("address",N224), "\$([A-Z]+)\$[0-9]+"))),_xlfn.REGEXEXTRACT(CELL("address",N224), "\$([A-Z]+)\$[0-9]+"))</f>
        <v/>
      </c>
      <c r="O224" s="7" t="str">
        <f t="array" aca="1" ref="O224" ca="1">IFERROR(IF(OR('Raw Data'!O224="",LEN(TRIM('Raw Data'!O224))=0),"",IF(AND(ISNUMBER('Raw Data'!O224),'Raw Data'!O224&gt;=Configuration!$D$2),"",_xlfn.REGEXEXTRACT(CELL("address",'Raw Data'!O224),"\$([A-Z]+)\$[0-9]+"))),_xlfn.REGEXEXTRACT(CELL("address",O224), "\$([A-Z]+)\$[0-9]+"))</f>
        <v/>
      </c>
      <c r="P224" s="7" t="str">
        <f t="array" aca="1" ref="P224" ca="1">IFERROR(IF(OR('Raw Data'!P224="",LEN(TRIM('Raw Data'!P224))=0),"",IF(AND(ISNUMBER('Raw Data'!P224), IFERROR('Raw Data'!P224 = ROUND('Raw Data'!P224, 2),FALSE)),"",_xlfn.REGEXEXTRACT(CELL("address",P224), "\$([A-Z]+)\$[0-9]+"))),_xlfn.REGEXEXTRACT(CELL("address",P224), "\$([A-Z]+)\$[0-9]+"))</f>
        <v/>
      </c>
      <c r="Q224" s="7" t="str">
        <f t="array" aca="1" ref="Q224" ca="1">IFERROR(IF(OR('Raw Data'!Q224="",LEN(TRIM('Raw Data'!Q224))=0),"",IF(AND(ISNUMBER('Raw Data'!Q224), IFERROR('Raw Data'!Q224 = ROUND('Raw Data'!Q224, 2),FALSE)),"",_xlfn.REGEXEXTRACT(CELL("address",Q224), "\$([A-Z]+)\$[0-9]+"))),_xlfn.REGEXEXTRACT(CELL("address",Q224), "\$([A-Z]+)\$[0-9]+"))</f>
        <v/>
      </c>
      <c r="R224" s="7" t="str">
        <f t="array" aca="1" ref="R224" ca="1">IFERROR(IF(OR('Raw Data'!R224="",LEN(TRIM('Raw Data'!R224))=0),"",IF(AND(LEN('Raw Data'!R224) &lt;= 50,LEN('Raw Data'!R224)&gt; 0),"",_xlfn.REGEXEXTRACT(CELL("address",'Raw Data'!R224),"\$([A-Z]+)\$[0-9]+"))),_xlfn.REGEXEXTRACT(CELL("address",'Raw Data'!R224),"\$([A-Z]+)\$[0-9]+"))</f>
        <v/>
      </c>
      <c r="S224" s="7" t="str">
        <f t="array" aca="1" ref="S224" ca="1">IFERROR(IF(OR('Raw Data'!S224="",LEN(TRIM('Raw Data'!S224))=0),"",IF(AND(LEN('Raw Data'!S224) &lt;= 50,LEN('Raw Data'!S224)&gt; 0),"",_xlfn.REGEXEXTRACT(CELL("address",'Raw Data'!S224),"\$([A-Z]+)\$[0-9]+"))),_xlfn.REGEXEXTRACT(CELL("address",'Raw Data'!S224),"\$([A-Z]+)\$[0-9]+"))</f>
        <v/>
      </c>
      <c r="T224" s="7" t="str">
        <f t="array" aca="1" ref="T224" ca="1">IFERROR(IF(OR('Raw Data'!T224="",LEN(TRIM('Raw Data'!T224))=0),"",IF(AND(ISNUMBER('Raw Data'!T224), IFERROR('Raw Data'!T224 = ROUND('Raw Data'!T224, 2),FALSE)),"",_xlfn.REGEXEXTRACT(CELL("address",T224), "\$([A-Z]+)\$[0-9]+"))),_xlfn.REGEXEXTRACT(CELL("address",T224), "\$([A-Z]+)\$[0-9]+"))</f>
        <v/>
      </c>
      <c r="U224" s="7" t="str">
        <f t="array" aca="1" ref="U224" ca="1">IFERROR(IF(OR('Raw Data'!U224="",LEN(TRIM('Raw Data'!U224))=0),"",IF(AND(ISNUMBER('Raw Data'!U224), IFERROR('Raw Data'!U224 = ROUND('Raw Data'!U224, 2),FALSE)),"",_xlfn.REGEXEXTRACT(CELL("address",U224), "\$([A-Z]+)\$[0-9]+"))),_xlfn.REGEXEXTRACT(CELL("address",U224), "\$([A-Z]+)\$[0-9]+"))</f>
        <v/>
      </c>
      <c r="V224" s="7" t="str">
        <f t="array" aca="1" ref="V224" ca="1">IFERROR(IF(OR('Raw Data'!V224="",LEN(TRIM('Raw Data'!V224))=0),"",IF(AND(ISNUMBER('Raw Data'!V224), IFERROR('Raw Data'!V224 = ROUND('Raw Data'!V224, 2),FALSE)),"",_xlfn.REGEXEXTRACT(CELL("address",V224), "\$([A-Z]+)\$[0-9]+"))),_xlfn.REGEXEXTRACT(CELL("address",V224), "\$([A-Z]+)\$[0-9]+"))</f>
        <v/>
      </c>
      <c r="W224" s="7" t="str">
        <f t="array" aca="1" ref="W224" ca="1">IFERROR(IF(OR('Raw Data'!W224="",LEN(TRIM('Raw Data'!W224))=0),"",IF(AND(ISNUMBER('Raw Data'!W224), IFERROR('Raw Data'!W224 = ROUND('Raw Data'!W224, 2),FALSE)),"",_xlfn.REGEXEXTRACT(CELL("address",W224), "\$([A-Z]+)\$[0-9]+"))),_xlfn.REGEXEXTRACT(CELL("address",W224), "\$([A-Z]+)\$[0-9]+"))</f>
        <v/>
      </c>
      <c r="X224" s="7" t="str">
        <f t="array" aca="1" ref="X224" ca="1">IFERROR(IF(OR('Raw Data'!X224="",LEN(TRIM('Raw Data'!X224))=0),"",IF(AND(ISNUMBER('Raw Data'!X224), IFERROR('Raw Data'!X224 = ROUND('Raw Data'!X224, 2),FALSE)),"",_xlfn.REGEXEXTRACT(CELL("address",X224), "\$([A-Z]+)\$[0-9]+"))),_xlfn.REGEXEXTRACT(CELL("address",X224), "\$([A-Z]+)\$[0-9]+"))</f>
        <v/>
      </c>
      <c r="Y224" s="7" t="str">
        <f t="array" aca="1" ref="Y224" ca="1">IFERROR(IF(OR('Raw Data'!Y224="",LEN(TRIM('Raw Data'!Y224))=0),"",IF(AND(ISNUMBER('Raw Data'!Y224), IFERROR('Raw Data'!Y224 = ROUND('Raw Data'!Y224, 2),FALSE)),"",_xlfn.REGEXEXTRACT(CELL("address",Y224), "\$([A-Z]+)\$[0-9]+"))),_xlfn.REGEXEXTRACT(CELL("address",Y224), "\$([A-Z]+)\$[0-9]+"))</f>
        <v/>
      </c>
      <c r="Z224" s="7" t="str">
        <f t="array" aca="1" ref="Z224" ca="1">IFERROR(IF(OR('Raw Data'!Z224="",LEN(TRIM('Raw Data'!Z224))=0),"",IF(AND(ISNUMBER('Raw Data'!Z224), IFERROR('Raw Data'!Z224 = ROUND('Raw Data'!Z224, 2),FALSE)),"",_xlfn.REGEXEXTRACT(CELL("address",Z224), "\$([A-Z]+)\$[0-9]+"))),_xlfn.REGEXEXTRACT(CELL("address",Z224), "\$([A-Z]+)\$[0-9]+"))</f>
        <v/>
      </c>
      <c r="AA224" s="7" t="str">
        <f t="array" aca="1" ref="AA224" ca="1">IFERROR(IF(OR('Raw Data'!AA224="",LEN(TRIM('Raw Data'!AA224))=0),"",IF(AND(ISNUMBER('Raw Data'!AA224), IFERROR('Raw Data'!AA224 = ROUND('Raw Data'!AA224, 2),FALSE)),"",_xlfn.REGEXEXTRACT(CELL("address",AA224), "\$([A-Z]+)\$[0-9]+"))),_xlfn.REGEXEXTRACT(CELL("address",AA224), "\$([A-Z]+)\$[0-9]+"))</f>
        <v/>
      </c>
      <c r="AB224" s="7" t="str">
        <f t="array" aca="1" ref="AB224" ca="1">IFERROR(IF(OR('Raw Data'!AB224="",LEN(TRIM('Raw Data'!AB224))=0),"",IF(AND(ISNUMBER('Raw Data'!AB224), IFERROR('Raw Data'!AB224 = ROUND('Raw Data'!AB224, 2),FALSE)),"",_xlfn.REGEXEXTRACT(CELL("address",AB224), "\$([A-Z]+)\$[0-9]+"))),_xlfn.REGEXEXTRACT(CELL("address",AB224), "\$([A-Z]+)\$[0-9]+"))</f>
        <v/>
      </c>
      <c r="AC224" s="7" t="str">
        <f t="array" aca="1" ref="AC224" ca="1">IFERROR(IF(OR('Raw Data'!AC224="",LEN(TRIM('Raw Data'!AC224))=0),"",IF(AND(ISNUMBER('Raw Data'!AC224), IFERROR('Raw Data'!AC224 = ROUND('Raw Data'!AC224, 2),FALSE)),"",_xlfn.REGEXEXTRACT(CELL("address",AC224), "\$([A-Z]+)\$[0-9]+"))),_xlfn.REGEXEXTRACT(CELL("address",AC224), "\$([A-Z]+)\$[0-9]+"))</f>
        <v/>
      </c>
      <c r="AD224" s="7" t="str">
        <f t="array" aca="1" ref="AD224" ca="1">IFERROR(IF(OR('Raw Data'!AD224="",LEN(TRIM('Raw Data'!AD224))=0),"",IF(AND(ISNUMBER('Raw Data'!AD224), IFERROR('Raw Data'!AD224 = ROUND('Raw Data'!AD224, 2),FALSE)),"",_xlfn.REGEXEXTRACT(CELL("address",AD224), "\$([A-Z]+)\$[0-9]+"))),_xlfn.REGEXEXTRACT(CELL("address",AD224), "\$([A-Z]+)\$[0-9]+"))</f>
        <v/>
      </c>
      <c r="AE224" s="7" t="str">
        <f t="array" aca="1" ref="AE224" ca="1">IFERROR(IF(OR('Raw Data'!AE224="",LEN(TRIM('Raw Data'!AE224))=0),"",IF(AND(ISNUMBER('Raw Data'!AE224), IFERROR('Raw Data'!AE224 = ROUND('Raw Data'!AE224, 2),FALSE)),"",_xlfn.REGEXEXTRACT(CELL("address",AE224), "\$([A-Z]+)\$[0-9]+"))),_xlfn.REGEXEXTRACT(CELL("address",AE224), "\$([A-Z]+)\$[0-9]+"))</f>
        <v/>
      </c>
      <c r="AF224" s="7" t="str">
        <f t="array" aca="1" ref="AF224" ca="1">IFERROR(IF(OR('Raw Data'!AF224="",LEN(TRIM('Raw Data'!AF224))=0),"",IF(AND(ISNUMBER('Raw Data'!AF224), IFERROR('Raw Data'!AF224 = ROUND('Raw Data'!AF224, 2),FALSE)),"",_xlfn.REGEXEXTRACT(CELL("address",AF224), "\$([A-Z]+)\$[0-9]+"))),_xlfn.REGEXEXTRACT(CELL("address",AF224), "\$([A-Z]+)\$[0-9]+"))</f>
        <v/>
      </c>
      <c r="AG224" s="7" t="str">
        <f t="array" aca="1" ref="AG224" ca="1">IFERROR(IF(OR('Raw Data'!AG224="",LEN(TRIM('Raw Data'!AG224))=0),"",IF(AND(ISNUMBER('Raw Data'!AG224), IFERROR('Raw Data'!AG224 = ROUND('Raw Data'!AG224, 2),FALSE)),"",_xlfn.REGEXEXTRACT(CELL("address",AG224), "\$([A-Z]+)\$[0-9]+"))),_xlfn.REGEXEXTRACT(CELL("address",AG224), "\$([A-Z]+)\$[0-9]+"))</f>
        <v/>
      </c>
      <c r="AH224" s="7" t="str">
        <f t="array" aca="1" ref="AH224" ca="1">IFERROR(IF(OR('Raw Data'!AH224="",LEN(TRIM('Raw Data'!AH224))=0),"",IF(AND(ISNUMBER('Raw Data'!AH224), IFERROR('Raw Data'!AH224 = ROUND('Raw Data'!AH224, 2),FALSE)),"",_xlfn.REGEXEXTRACT(CELL("address",AH224), "\$([A-Z]+)\$[0-9]+"))),_xlfn.REGEXEXTRACT(CELL("address",AH224), "\$([A-Z]+)\$[0-9]+"))</f>
        <v/>
      </c>
      <c r="AI224" s="7" t="str">
        <f t="array" aca="1" ref="AI224" ca="1">IFERROR(IF(OR('Raw Data'!AI224="",LEN(TRIM('Raw Data'!AI224))=0),"",IF(AND(ISNUMBER('Raw Data'!AI224), IFERROR('Raw Data'!AI224 = ROUND('Raw Data'!AI224, 2),FALSE)),"",_xlfn.REGEXEXTRACT(CELL("address",AI224), "\$([A-Z]+)\$[0-9]+"))),_xlfn.REGEXEXTRACT(CELL("address",AI224), "\$([A-Z]+)\$[0-9]+"))</f>
        <v/>
      </c>
      <c r="AJ224" s="7" t="str">
        <f t="array" aca="1" ref="AJ224" ca="1">IFERROR(IF(OR('Raw Data'!AJ224="",LEN(TRIM('Raw Data'!AJ224))=0),"",IF(AND(ISNUMBER('Raw Data'!AJ224), IFERROR('Raw Data'!AJ224 = ROUND('Raw Data'!AJ224, 4),FALSE)),"",_xlfn.REGEXEXTRACT(CELL("address",AJ224), "\$([A-Z]+)\$[0-9]+"))),_xlfn.REGEXEXTRACT(CELL("address",AJ224), "\$([A-Z]+)\$[0-9]+"))</f>
        <v/>
      </c>
      <c r="AK224" s="7" t="str">
        <f t="array" aca="1" ref="AK224" ca="1">IFERROR(IF(OR('Raw Data'!AK224="",LEN(TRIM('Raw Data'!AK224))=0),"",IF(AND(ISNUMBER('Raw Data'!AK224), IFERROR('Raw Data'!AK224 = ROUND('Raw Data'!AK224, 2),FALSE)),"",_xlfn.REGEXEXTRACT(CELL("address",AK224), "\$([A-Z]+)\$[0-9]+"))),_xlfn.REGEXEXTRACT(CELL("address",AK224), "\$([A-Z]+)\$[0-9]+"))</f>
        <v/>
      </c>
      <c r="AL224" s="7" t="str">
        <f t="array" aca="1" ref="AL224" ca="1">IFERROR(IF(OR('Raw Data'!AL224="",LEN(TRIM('Raw Data'!AL224))=0),"",IF(AND(ISNUMBER('Raw Data'!AL224), IFERROR('Raw Data'!AL224 = ROUND('Raw Data'!AL224, 2),FALSE)),"",_xlfn.REGEXEXTRACT(CELL("address",AL224), "\$([A-Z]+)\$[0-9]+"))),_xlfn.REGEXEXTRACT(CELL("address",AL224), "\$([A-Z]+)\$[0-9]+"))</f>
        <v/>
      </c>
      <c r="AM224" s="7" t="str">
        <f t="array" aca="1" ref="AM224" ca="1">IFERROR(IF(OR('Raw Data'!AM224="",LEN(TRIM('Raw Data'!AM224))=0),"",IF(AND(ISNUMBER('Raw Data'!AM224), IFERROR('Raw Data'!AM224 = ROUND('Raw Data'!AM224, 2),FALSE)),"",_xlfn.REGEXEXTRACT(CELL("address",AM224), "\$([A-Z]+)\$[0-9]+"))),_xlfn.REGEXEXTRACT(CELL("address",AM224), "\$([A-Z]+)\$[0-9]+"))</f>
        <v/>
      </c>
      <c r="AN224" s="7" t="str">
        <f t="array" aca="1" ref="AN224" ca="1">IFERROR(IF(OR('Raw Data'!AN224="",LEN(TRIM('Raw Data'!AN224))=0),"",IF(AND(ISNUMBER('Raw Data'!AN224), IFERROR('Raw Data'!AN224 = ROUND('Raw Data'!AN224, 2),FALSE)),"",_xlfn.REGEXEXTRACT(CELL("address",AN224), "\$([A-Z]+)\$[0-9]+"))),_xlfn.REGEXEXTRACT(CELL("address",AN224), "\$([A-Z]+)\$[0-9]+"))</f>
        <v/>
      </c>
      <c r="AO224" s="7" t="str">
        <f t="array" aca="1" ref="AO224" ca="1">IFERROR(IF(OR('Raw Data'!AO224="",LEN(TRIM('Raw Data'!AO224))=0),"",IF(AND(ISNUMBER('Raw Data'!AO224), IFERROR('Raw Data'!AO224 = ROUND('Raw Data'!AO224, 2),FALSE)),"",_xlfn.REGEXEXTRACT(CELL("address",AO224), "\$([A-Z]+)\$[0-9]+"))),_xlfn.REGEXEXTRACT(CELL("address",AO224), "\$([A-Z]+)\$[0-9]+"))</f>
        <v/>
      </c>
      <c r="AP224" s="7" t="str">
        <f t="array" aca="1" ref="AP224" ca="1">IFERROR(IF(OR('Raw Data'!AP224="",LEN(TRIM('Raw Data'!AP224))=0),"",IF(AND(ISNUMBER('Raw Data'!AP224), IFERROR('Raw Data'!AP224 = ROUND('Raw Data'!AP224, 2),FALSE)),"",_xlfn.REGEXEXTRACT(CELL("address",AP224), "\$([A-Z]+)\$[0-9]+"))),_xlfn.REGEXEXTRACT(CELL("address",AP224), "\$([A-Z]+)\$[0-9]+"))</f>
        <v/>
      </c>
    </row>
    <row r="225" spans="2:42" x14ac:dyDescent="0.25">
      <c r="B225" s="7" t="str">
        <f t="array" aca="1" ref="B225" ca="1">IFERROR(IF(OR('Raw Data'!B225="",LEN(TRIM('Raw Data'!B225))=0),"",IF(AND(LEN('Raw Data'!B225) &lt;= 255,LEN('Raw Data'!B225)&gt; 0),"",_xlfn.REGEXEXTRACT(CELL("address",'Raw Data'!B225),"\$([A-Z]+)\$[0-9]+"))),_xlfn.REGEXEXTRACT(CELL("address",'Raw Data'!B225),"\$([A-Z]+)\$[0-9]+"))</f>
        <v/>
      </c>
      <c r="C225" s="7" t="str">
        <f t="array" aca="1" ref="C225" ca="1">IFERROR(IF(OR('Raw Data'!C225="",LEN(TRIM('Raw Data'!C225))=0),"",IF(AND(LEN('Raw Data'!C225) &lt;= 50,LEN('Raw Data'!C225)&gt; 0),"",_xlfn.REGEXEXTRACT(CELL("address",'Raw Data'!C225),"\$([A-Z]+)\$[0-9]+"))),_xlfn.REGEXEXTRACT(CELL("address",'Raw Data'!C225),"\$([A-Z]+)\$[0-9]+"))</f>
        <v/>
      </c>
      <c r="D225" s="7" t="str">
        <f t="array" aca="1" ref="D225" ca="1">IFERROR(IF(OR('Raw Data'!D225="",LEN(TRIM('Raw Data'!D225))=0),"",IF(AND(LEN('Raw Data'!D225) &lt;= 500,LEN('Raw Data'!D225)&gt; 0),"",_xlfn.REGEXEXTRACT(CELL("address",'Raw Data'!D225),"\$([A-Z]+)\$[0-9]+"))),_xlfn.REGEXEXTRACT(CELL("address",'Raw Data'!D225),"\$([A-Z]+)\$[0-9]+"))</f>
        <v/>
      </c>
      <c r="E225" s="7" t="str">
        <f t="array" aca="1" ref="E225" ca="1">IFERROR(IF(OR('Raw Data'!E225="",LEN(TRIM('Raw Data'!E225))=0),"",IF(AND(LEN('Raw Data'!E225) &lt;= 50,LEN('Raw Data'!E225)&gt; 0),"",_xlfn.REGEXEXTRACT(CELL("address",'Raw Data'!E225),"\$([A-Z]+)\$[0-9]+"))),_xlfn.REGEXEXTRACT(CELL("address",'Raw Data'!E225),"\$([A-Z]+)\$[0-9]+"))</f>
        <v/>
      </c>
      <c r="F225" s="7" t="str">
        <f t="array" aca="1" ref="F225" ca="1">IFERROR(IF(OR('Raw Data'!F225="",LEN(TRIM('Raw Data'!F225))=0),"",IF(AND(LEN('Raw Data'!F225) &lt;= 50,LEN('Raw Data'!F225)&gt; 0),"",_xlfn.REGEXEXTRACT(CELL("address",'Raw Data'!F225),"\$([A-Z]+)\$[0-9]+"))),_xlfn.REGEXEXTRACT(CELL("address",'Raw Data'!F225),"\$([A-Z]+)\$[0-9]+"))</f>
        <v/>
      </c>
      <c r="G225" s="7" t="str">
        <f t="array" aca="1" ref="G225" ca="1">IFERROR(IF(OR('Raw Data'!G225="",LEN(TRIM('Raw Data'!G225))=0),"",IF(AND(LEN('Raw Data'!G225) &lt;= 50,LEN('Raw Data'!G225)&gt; 0),"",_xlfn.REGEXEXTRACT(CELL("address",'Raw Data'!G225),"\$([A-Z]+)\$[0-9]+"))),_xlfn.REGEXEXTRACT(CELL("address",'Raw Data'!G225),"\$([A-Z]+)\$[0-9]+"))</f>
        <v/>
      </c>
      <c r="H225" s="7" t="str">
        <f t="array" aca="1" ref="H225" ca="1">IFERROR(IF(OR('Raw Data'!H225="",LEN(TRIM('Raw Data'!H225))=0),"",IF(AND(LEN('Raw Data'!H225) &lt;= 50,LEN('Raw Data'!H225)&gt; 0),"",_xlfn.REGEXEXTRACT(CELL("address",'Raw Data'!H225),"\$([A-Z]+)\$[0-9]+"))),_xlfn.REGEXEXTRACT(CELL("address",'Raw Data'!H225),"\$([A-Z]+)\$[0-9]+"))</f>
        <v/>
      </c>
      <c r="I225" s="7" t="str">
        <f t="array" aca="1" ref="I225" ca="1">IFERROR(IF(OR('Raw Data'!I225="",LEN(TRIM('Raw Data'!I225))=0),"",IF(AND(LEN('Raw Data'!I225) &lt;= 50,LEN('Raw Data'!I225)&gt; 0),"",_xlfn.REGEXEXTRACT(CELL("address",'Raw Data'!I225),"\$([A-Z]+)\$[0-9]+"))),_xlfn.REGEXEXTRACT(CELL("address",'Raw Data'!I225),"\$([A-Z]+)\$[0-9]+"))</f>
        <v/>
      </c>
      <c r="J225" s="7" t="str">
        <f t="array" aca="1" ref="J225" ca="1">IFERROR(IF(OR('Raw Data'!J225="",LEN(TRIM('Raw Data'!J225))=0),"",IF(AND(ISNUMBER('Raw Data'!J225), IFERROR('Raw Data'!J225 = ROUND('Raw Data'!J225, 2),FALSE)),"",_xlfn.REGEXEXTRACT(CELL("address",J225), "\$([A-Z]+)\$[0-9]+"))),_xlfn.REGEXEXTRACT(CELL("address",J225), "\$([A-Z]+)\$[0-9]+"))</f>
        <v/>
      </c>
      <c r="K225" s="7" t="str">
        <f t="array" aca="1" ref="K225" ca="1">IFERROR(IF(OR('Raw Data'!K225="",LEN(TRIM('Raw Data'!K225))=0),"",IF(AND(ISNUMBER('Raw Data'!K225), IFERROR('Raw Data'!K225 = ROUND('Raw Data'!K225, 2),FALSE)),"",_xlfn.REGEXEXTRACT(CELL("address",K225), "\$([A-Z]+)\$[0-9]+"))),_xlfn.REGEXEXTRACT(CELL("address",K225), "\$([A-Z]+)\$[0-9]+"))</f>
        <v/>
      </c>
      <c r="L225" s="7" t="str">
        <f t="array" aca="1" ref="L225" ca="1">IFERROR(IF(OR('Raw Data'!L225="",LEN(TRIM('Raw Data'!L225))=0),"",IF(AND(ISNUMBER('Raw Data'!L225), IFERROR('Raw Data'!L225 = ROUND('Raw Data'!L225, 2),FALSE)),"",_xlfn.REGEXEXTRACT(CELL("address",L225), "\$([A-Z]+)\$[0-9]+"))),_xlfn.REGEXEXTRACT(CELL("address",L225), "\$([A-Z]+)\$[0-9]+"))</f>
        <v/>
      </c>
      <c r="M225" s="7" t="str">
        <f t="array" aca="1" ref="M225" ca="1">IFERROR(IF(OR('Raw Data'!M225="",LEN(TRIM('Raw Data'!M225))=0),"",IF(AND(ISNUMBER('Raw Data'!M225), IFERROR('Raw Data'!M225 = ROUND('Raw Data'!M225, 2),FALSE)),"",_xlfn.REGEXEXTRACT(CELL("address",M225), "\$([A-Z]+)\$[0-9]+"))),_xlfn.REGEXEXTRACT(CELL("address",M225), "\$([A-Z]+)\$[0-9]+"))</f>
        <v/>
      </c>
      <c r="N225" s="7" t="str">
        <f t="array" aca="1" ref="N225" ca="1">IFERROR(IF(OR('Raw Data'!N225="",LEN(TRIM('Raw Data'!N225))=0),"",IF(AND(ISNUMBER('Raw Data'!N225), IFERROR('Raw Data'!N225 = ROUND('Raw Data'!N225, 2),FALSE)),"",_xlfn.REGEXEXTRACT(CELL("address",N225), "\$([A-Z]+)\$[0-9]+"))),_xlfn.REGEXEXTRACT(CELL("address",N225), "\$([A-Z]+)\$[0-9]+"))</f>
        <v/>
      </c>
      <c r="O225" s="7" t="str">
        <f t="array" aca="1" ref="O225" ca="1">IFERROR(IF(OR('Raw Data'!O225="",LEN(TRIM('Raw Data'!O225))=0),"",IF(AND(ISNUMBER('Raw Data'!O225),'Raw Data'!O225&gt;=Configuration!$D$2),"",_xlfn.REGEXEXTRACT(CELL("address",'Raw Data'!O225),"\$([A-Z]+)\$[0-9]+"))),_xlfn.REGEXEXTRACT(CELL("address",O225), "\$([A-Z]+)\$[0-9]+"))</f>
        <v/>
      </c>
      <c r="P225" s="7" t="str">
        <f t="array" aca="1" ref="P225" ca="1">IFERROR(IF(OR('Raw Data'!P225="",LEN(TRIM('Raw Data'!P225))=0),"",IF(AND(ISNUMBER('Raw Data'!P225), IFERROR('Raw Data'!P225 = ROUND('Raw Data'!P225, 2),FALSE)),"",_xlfn.REGEXEXTRACT(CELL("address",P225), "\$([A-Z]+)\$[0-9]+"))),_xlfn.REGEXEXTRACT(CELL("address",P225), "\$([A-Z]+)\$[0-9]+"))</f>
        <v/>
      </c>
      <c r="Q225" s="7" t="str">
        <f t="array" aca="1" ref="Q225" ca="1">IFERROR(IF(OR('Raw Data'!Q225="",LEN(TRIM('Raw Data'!Q225))=0),"",IF(AND(ISNUMBER('Raw Data'!Q225), IFERROR('Raw Data'!Q225 = ROUND('Raw Data'!Q225, 2),FALSE)),"",_xlfn.REGEXEXTRACT(CELL("address",Q225), "\$([A-Z]+)\$[0-9]+"))),_xlfn.REGEXEXTRACT(CELL("address",Q225), "\$([A-Z]+)\$[0-9]+"))</f>
        <v/>
      </c>
      <c r="R225" s="7" t="str">
        <f t="array" aca="1" ref="R225" ca="1">IFERROR(IF(OR('Raw Data'!R225="",LEN(TRIM('Raw Data'!R225))=0),"",IF(AND(LEN('Raw Data'!R225) &lt;= 50,LEN('Raw Data'!R225)&gt; 0),"",_xlfn.REGEXEXTRACT(CELL("address",'Raw Data'!R225),"\$([A-Z]+)\$[0-9]+"))),_xlfn.REGEXEXTRACT(CELL("address",'Raw Data'!R225),"\$([A-Z]+)\$[0-9]+"))</f>
        <v/>
      </c>
      <c r="S225" s="7" t="str">
        <f t="array" aca="1" ref="S225" ca="1">IFERROR(IF(OR('Raw Data'!S225="",LEN(TRIM('Raw Data'!S225))=0),"",IF(AND(LEN('Raw Data'!S225) &lt;= 50,LEN('Raw Data'!S225)&gt; 0),"",_xlfn.REGEXEXTRACT(CELL("address",'Raw Data'!S225),"\$([A-Z]+)\$[0-9]+"))),_xlfn.REGEXEXTRACT(CELL("address",'Raw Data'!S225),"\$([A-Z]+)\$[0-9]+"))</f>
        <v/>
      </c>
      <c r="T225" s="7" t="str">
        <f t="array" aca="1" ref="T225" ca="1">IFERROR(IF(OR('Raw Data'!T225="",LEN(TRIM('Raw Data'!T225))=0),"",IF(AND(ISNUMBER('Raw Data'!T225), IFERROR('Raw Data'!T225 = ROUND('Raw Data'!T225, 2),FALSE)),"",_xlfn.REGEXEXTRACT(CELL("address",T225), "\$([A-Z]+)\$[0-9]+"))),_xlfn.REGEXEXTRACT(CELL("address",T225), "\$([A-Z]+)\$[0-9]+"))</f>
        <v/>
      </c>
      <c r="U225" s="7" t="str">
        <f t="array" aca="1" ref="U225" ca="1">IFERROR(IF(OR('Raw Data'!U225="",LEN(TRIM('Raw Data'!U225))=0),"",IF(AND(ISNUMBER('Raw Data'!U225), IFERROR('Raw Data'!U225 = ROUND('Raw Data'!U225, 2),FALSE)),"",_xlfn.REGEXEXTRACT(CELL("address",U225), "\$([A-Z]+)\$[0-9]+"))),_xlfn.REGEXEXTRACT(CELL("address",U225), "\$([A-Z]+)\$[0-9]+"))</f>
        <v/>
      </c>
      <c r="V225" s="7" t="str">
        <f t="array" aca="1" ref="V225" ca="1">IFERROR(IF(OR('Raw Data'!V225="",LEN(TRIM('Raw Data'!V225))=0),"",IF(AND(ISNUMBER('Raw Data'!V225), IFERROR('Raw Data'!V225 = ROUND('Raw Data'!V225, 2),FALSE)),"",_xlfn.REGEXEXTRACT(CELL("address",V225), "\$([A-Z]+)\$[0-9]+"))),_xlfn.REGEXEXTRACT(CELL("address",V225), "\$([A-Z]+)\$[0-9]+"))</f>
        <v/>
      </c>
      <c r="W225" s="7" t="str">
        <f t="array" aca="1" ref="W225" ca="1">IFERROR(IF(OR('Raw Data'!W225="",LEN(TRIM('Raw Data'!W225))=0),"",IF(AND(ISNUMBER('Raw Data'!W225), IFERROR('Raw Data'!W225 = ROUND('Raw Data'!W225, 2),FALSE)),"",_xlfn.REGEXEXTRACT(CELL("address",W225), "\$([A-Z]+)\$[0-9]+"))),_xlfn.REGEXEXTRACT(CELL("address",W225), "\$([A-Z]+)\$[0-9]+"))</f>
        <v/>
      </c>
      <c r="X225" s="7" t="str">
        <f t="array" aca="1" ref="X225" ca="1">IFERROR(IF(OR('Raw Data'!X225="",LEN(TRIM('Raw Data'!X225))=0),"",IF(AND(ISNUMBER('Raw Data'!X225), IFERROR('Raw Data'!X225 = ROUND('Raw Data'!X225, 2),FALSE)),"",_xlfn.REGEXEXTRACT(CELL("address",X225), "\$([A-Z]+)\$[0-9]+"))),_xlfn.REGEXEXTRACT(CELL("address",X225), "\$([A-Z]+)\$[0-9]+"))</f>
        <v/>
      </c>
      <c r="Y225" s="7" t="str">
        <f t="array" aca="1" ref="Y225" ca="1">IFERROR(IF(OR('Raw Data'!Y225="",LEN(TRIM('Raw Data'!Y225))=0),"",IF(AND(ISNUMBER('Raw Data'!Y225), IFERROR('Raw Data'!Y225 = ROUND('Raw Data'!Y225, 2),FALSE)),"",_xlfn.REGEXEXTRACT(CELL("address",Y225), "\$([A-Z]+)\$[0-9]+"))),_xlfn.REGEXEXTRACT(CELL("address",Y225), "\$([A-Z]+)\$[0-9]+"))</f>
        <v/>
      </c>
      <c r="Z225" s="7" t="str">
        <f t="array" aca="1" ref="Z225" ca="1">IFERROR(IF(OR('Raw Data'!Z225="",LEN(TRIM('Raw Data'!Z225))=0),"",IF(AND(ISNUMBER('Raw Data'!Z225), IFERROR('Raw Data'!Z225 = ROUND('Raw Data'!Z225, 2),FALSE)),"",_xlfn.REGEXEXTRACT(CELL("address",Z225), "\$([A-Z]+)\$[0-9]+"))),_xlfn.REGEXEXTRACT(CELL("address",Z225), "\$([A-Z]+)\$[0-9]+"))</f>
        <v/>
      </c>
      <c r="AA225" s="7" t="str">
        <f t="array" aca="1" ref="AA225" ca="1">IFERROR(IF(OR('Raw Data'!AA225="",LEN(TRIM('Raw Data'!AA225))=0),"",IF(AND(ISNUMBER('Raw Data'!AA225), IFERROR('Raw Data'!AA225 = ROUND('Raw Data'!AA225, 2),FALSE)),"",_xlfn.REGEXEXTRACT(CELL("address",AA225), "\$([A-Z]+)\$[0-9]+"))),_xlfn.REGEXEXTRACT(CELL("address",AA225), "\$([A-Z]+)\$[0-9]+"))</f>
        <v/>
      </c>
      <c r="AB225" s="7" t="str">
        <f t="array" aca="1" ref="AB225" ca="1">IFERROR(IF(OR('Raw Data'!AB225="",LEN(TRIM('Raw Data'!AB225))=0),"",IF(AND(ISNUMBER('Raw Data'!AB225), IFERROR('Raw Data'!AB225 = ROUND('Raw Data'!AB225, 2),FALSE)),"",_xlfn.REGEXEXTRACT(CELL("address",AB225), "\$([A-Z]+)\$[0-9]+"))),_xlfn.REGEXEXTRACT(CELL("address",AB225), "\$([A-Z]+)\$[0-9]+"))</f>
        <v/>
      </c>
      <c r="AC225" s="7" t="str">
        <f t="array" aca="1" ref="AC225" ca="1">IFERROR(IF(OR('Raw Data'!AC225="",LEN(TRIM('Raw Data'!AC225))=0),"",IF(AND(ISNUMBER('Raw Data'!AC225), IFERROR('Raw Data'!AC225 = ROUND('Raw Data'!AC225, 2),FALSE)),"",_xlfn.REGEXEXTRACT(CELL("address",AC225), "\$([A-Z]+)\$[0-9]+"))),_xlfn.REGEXEXTRACT(CELL("address",AC225), "\$([A-Z]+)\$[0-9]+"))</f>
        <v/>
      </c>
      <c r="AD225" s="7" t="str">
        <f t="array" aca="1" ref="AD225" ca="1">IFERROR(IF(OR('Raw Data'!AD225="",LEN(TRIM('Raw Data'!AD225))=0),"",IF(AND(ISNUMBER('Raw Data'!AD225), IFERROR('Raw Data'!AD225 = ROUND('Raw Data'!AD225, 2),FALSE)),"",_xlfn.REGEXEXTRACT(CELL("address",AD225), "\$([A-Z]+)\$[0-9]+"))),_xlfn.REGEXEXTRACT(CELL("address",AD225), "\$([A-Z]+)\$[0-9]+"))</f>
        <v/>
      </c>
      <c r="AE225" s="7" t="str">
        <f t="array" aca="1" ref="AE225" ca="1">IFERROR(IF(OR('Raw Data'!AE225="",LEN(TRIM('Raw Data'!AE225))=0),"",IF(AND(ISNUMBER('Raw Data'!AE225), IFERROR('Raw Data'!AE225 = ROUND('Raw Data'!AE225, 2),FALSE)),"",_xlfn.REGEXEXTRACT(CELL("address",AE225), "\$([A-Z]+)\$[0-9]+"))),_xlfn.REGEXEXTRACT(CELL("address",AE225), "\$([A-Z]+)\$[0-9]+"))</f>
        <v/>
      </c>
      <c r="AF225" s="7" t="str">
        <f t="array" aca="1" ref="AF225" ca="1">IFERROR(IF(OR('Raw Data'!AF225="",LEN(TRIM('Raw Data'!AF225))=0),"",IF(AND(ISNUMBER('Raw Data'!AF225), IFERROR('Raw Data'!AF225 = ROUND('Raw Data'!AF225, 2),FALSE)),"",_xlfn.REGEXEXTRACT(CELL("address",AF225), "\$([A-Z]+)\$[0-9]+"))),_xlfn.REGEXEXTRACT(CELL("address",AF225), "\$([A-Z]+)\$[0-9]+"))</f>
        <v/>
      </c>
      <c r="AG225" s="7" t="str">
        <f t="array" aca="1" ref="AG225" ca="1">IFERROR(IF(OR('Raw Data'!AG225="",LEN(TRIM('Raw Data'!AG225))=0),"",IF(AND(ISNUMBER('Raw Data'!AG225), IFERROR('Raw Data'!AG225 = ROUND('Raw Data'!AG225, 2),FALSE)),"",_xlfn.REGEXEXTRACT(CELL("address",AG225), "\$([A-Z]+)\$[0-9]+"))),_xlfn.REGEXEXTRACT(CELL("address",AG225), "\$([A-Z]+)\$[0-9]+"))</f>
        <v/>
      </c>
      <c r="AH225" s="7" t="str">
        <f t="array" aca="1" ref="AH225" ca="1">IFERROR(IF(OR('Raw Data'!AH225="",LEN(TRIM('Raw Data'!AH225))=0),"",IF(AND(ISNUMBER('Raw Data'!AH225), IFERROR('Raw Data'!AH225 = ROUND('Raw Data'!AH225, 2),FALSE)),"",_xlfn.REGEXEXTRACT(CELL("address",AH225), "\$([A-Z]+)\$[0-9]+"))),_xlfn.REGEXEXTRACT(CELL("address",AH225), "\$([A-Z]+)\$[0-9]+"))</f>
        <v/>
      </c>
      <c r="AI225" s="7" t="str">
        <f t="array" aca="1" ref="AI225" ca="1">IFERROR(IF(OR('Raw Data'!AI225="",LEN(TRIM('Raw Data'!AI225))=0),"",IF(AND(ISNUMBER('Raw Data'!AI225), IFERROR('Raw Data'!AI225 = ROUND('Raw Data'!AI225, 2),FALSE)),"",_xlfn.REGEXEXTRACT(CELL("address",AI225), "\$([A-Z]+)\$[0-9]+"))),_xlfn.REGEXEXTRACT(CELL("address",AI225), "\$([A-Z]+)\$[0-9]+"))</f>
        <v/>
      </c>
      <c r="AJ225" s="7" t="str">
        <f t="array" aca="1" ref="AJ225" ca="1">IFERROR(IF(OR('Raw Data'!AJ225="",LEN(TRIM('Raw Data'!AJ225))=0),"",IF(AND(ISNUMBER('Raw Data'!AJ225), IFERROR('Raw Data'!AJ225 = ROUND('Raw Data'!AJ225, 4),FALSE)),"",_xlfn.REGEXEXTRACT(CELL("address",AJ225), "\$([A-Z]+)\$[0-9]+"))),_xlfn.REGEXEXTRACT(CELL("address",AJ225), "\$([A-Z]+)\$[0-9]+"))</f>
        <v/>
      </c>
      <c r="AK225" s="7" t="str">
        <f t="array" aca="1" ref="AK225" ca="1">IFERROR(IF(OR('Raw Data'!AK225="",LEN(TRIM('Raw Data'!AK225))=0),"",IF(AND(ISNUMBER('Raw Data'!AK225), IFERROR('Raw Data'!AK225 = ROUND('Raw Data'!AK225, 2),FALSE)),"",_xlfn.REGEXEXTRACT(CELL("address",AK225), "\$([A-Z]+)\$[0-9]+"))),_xlfn.REGEXEXTRACT(CELL("address",AK225), "\$([A-Z]+)\$[0-9]+"))</f>
        <v/>
      </c>
      <c r="AL225" s="7" t="str">
        <f t="array" aca="1" ref="AL225" ca="1">IFERROR(IF(OR('Raw Data'!AL225="",LEN(TRIM('Raw Data'!AL225))=0),"",IF(AND(ISNUMBER('Raw Data'!AL225), IFERROR('Raw Data'!AL225 = ROUND('Raw Data'!AL225, 2),FALSE)),"",_xlfn.REGEXEXTRACT(CELL("address",AL225), "\$([A-Z]+)\$[0-9]+"))),_xlfn.REGEXEXTRACT(CELL("address",AL225), "\$([A-Z]+)\$[0-9]+"))</f>
        <v/>
      </c>
      <c r="AM225" s="7" t="str">
        <f t="array" aca="1" ref="AM225" ca="1">IFERROR(IF(OR('Raw Data'!AM225="",LEN(TRIM('Raw Data'!AM225))=0),"",IF(AND(ISNUMBER('Raw Data'!AM225), IFERROR('Raw Data'!AM225 = ROUND('Raw Data'!AM225, 2),FALSE)),"",_xlfn.REGEXEXTRACT(CELL("address",AM225), "\$([A-Z]+)\$[0-9]+"))),_xlfn.REGEXEXTRACT(CELL("address",AM225), "\$([A-Z]+)\$[0-9]+"))</f>
        <v/>
      </c>
      <c r="AN225" s="7" t="str">
        <f t="array" aca="1" ref="AN225" ca="1">IFERROR(IF(OR('Raw Data'!AN225="",LEN(TRIM('Raw Data'!AN225))=0),"",IF(AND(ISNUMBER('Raw Data'!AN225), IFERROR('Raw Data'!AN225 = ROUND('Raw Data'!AN225, 2),FALSE)),"",_xlfn.REGEXEXTRACT(CELL("address",AN225), "\$([A-Z]+)\$[0-9]+"))),_xlfn.REGEXEXTRACT(CELL("address",AN225), "\$([A-Z]+)\$[0-9]+"))</f>
        <v/>
      </c>
      <c r="AO225" s="7" t="str">
        <f t="array" aca="1" ref="AO225" ca="1">IFERROR(IF(OR('Raw Data'!AO225="",LEN(TRIM('Raw Data'!AO225))=0),"",IF(AND(ISNUMBER('Raw Data'!AO225), IFERROR('Raw Data'!AO225 = ROUND('Raw Data'!AO225, 2),FALSE)),"",_xlfn.REGEXEXTRACT(CELL("address",AO225), "\$([A-Z]+)\$[0-9]+"))),_xlfn.REGEXEXTRACT(CELL("address",AO225), "\$([A-Z]+)\$[0-9]+"))</f>
        <v/>
      </c>
      <c r="AP225" s="7" t="str">
        <f t="array" aca="1" ref="AP225" ca="1">IFERROR(IF(OR('Raw Data'!AP225="",LEN(TRIM('Raw Data'!AP225))=0),"",IF(AND(ISNUMBER('Raw Data'!AP225), IFERROR('Raw Data'!AP225 = ROUND('Raw Data'!AP225, 2),FALSE)),"",_xlfn.REGEXEXTRACT(CELL("address",AP225), "\$([A-Z]+)\$[0-9]+"))),_xlfn.REGEXEXTRACT(CELL("address",AP225), "\$([A-Z]+)\$[0-9]+"))</f>
        <v/>
      </c>
    </row>
    <row r="226" spans="2:42" x14ac:dyDescent="0.25">
      <c r="B226" s="7" t="str">
        <f t="array" aca="1" ref="B226" ca="1">IFERROR(IF(OR('Raw Data'!B226="",LEN(TRIM('Raw Data'!B226))=0),"",IF(AND(LEN('Raw Data'!B226) &lt;= 255,LEN('Raw Data'!B226)&gt; 0),"",_xlfn.REGEXEXTRACT(CELL("address",'Raw Data'!B226),"\$([A-Z]+)\$[0-9]+"))),_xlfn.REGEXEXTRACT(CELL("address",'Raw Data'!B226),"\$([A-Z]+)\$[0-9]+"))</f>
        <v/>
      </c>
      <c r="C226" s="7" t="str">
        <f t="array" aca="1" ref="C226" ca="1">IFERROR(IF(OR('Raw Data'!C226="",LEN(TRIM('Raw Data'!C226))=0),"",IF(AND(LEN('Raw Data'!C226) &lt;= 50,LEN('Raw Data'!C226)&gt; 0),"",_xlfn.REGEXEXTRACT(CELL("address",'Raw Data'!C226),"\$([A-Z]+)\$[0-9]+"))),_xlfn.REGEXEXTRACT(CELL("address",'Raw Data'!C226),"\$([A-Z]+)\$[0-9]+"))</f>
        <v/>
      </c>
      <c r="D226" s="7" t="str">
        <f t="array" aca="1" ref="D226" ca="1">IFERROR(IF(OR('Raw Data'!D226="",LEN(TRIM('Raw Data'!D226))=0),"",IF(AND(LEN('Raw Data'!D226) &lt;= 500,LEN('Raw Data'!D226)&gt; 0),"",_xlfn.REGEXEXTRACT(CELL("address",'Raw Data'!D226),"\$([A-Z]+)\$[0-9]+"))),_xlfn.REGEXEXTRACT(CELL("address",'Raw Data'!D226),"\$([A-Z]+)\$[0-9]+"))</f>
        <v/>
      </c>
      <c r="E226" s="7" t="str">
        <f t="array" aca="1" ref="E226" ca="1">IFERROR(IF(OR('Raw Data'!E226="",LEN(TRIM('Raw Data'!E226))=0),"",IF(AND(LEN('Raw Data'!E226) &lt;= 50,LEN('Raw Data'!E226)&gt; 0),"",_xlfn.REGEXEXTRACT(CELL("address",'Raw Data'!E226),"\$([A-Z]+)\$[0-9]+"))),_xlfn.REGEXEXTRACT(CELL("address",'Raw Data'!E226),"\$([A-Z]+)\$[0-9]+"))</f>
        <v/>
      </c>
      <c r="F226" s="7" t="str">
        <f t="array" aca="1" ref="F226" ca="1">IFERROR(IF(OR('Raw Data'!F226="",LEN(TRIM('Raw Data'!F226))=0),"",IF(AND(LEN('Raw Data'!F226) &lt;= 50,LEN('Raw Data'!F226)&gt; 0),"",_xlfn.REGEXEXTRACT(CELL("address",'Raw Data'!F226),"\$([A-Z]+)\$[0-9]+"))),_xlfn.REGEXEXTRACT(CELL("address",'Raw Data'!F226),"\$([A-Z]+)\$[0-9]+"))</f>
        <v/>
      </c>
      <c r="G226" s="7" t="str">
        <f t="array" aca="1" ref="G226" ca="1">IFERROR(IF(OR('Raw Data'!G226="",LEN(TRIM('Raw Data'!G226))=0),"",IF(AND(LEN('Raw Data'!G226) &lt;= 50,LEN('Raw Data'!G226)&gt; 0),"",_xlfn.REGEXEXTRACT(CELL("address",'Raw Data'!G226),"\$([A-Z]+)\$[0-9]+"))),_xlfn.REGEXEXTRACT(CELL("address",'Raw Data'!G226),"\$([A-Z]+)\$[0-9]+"))</f>
        <v/>
      </c>
      <c r="H226" s="7" t="str">
        <f t="array" aca="1" ref="H226" ca="1">IFERROR(IF(OR('Raw Data'!H226="",LEN(TRIM('Raw Data'!H226))=0),"",IF(AND(LEN('Raw Data'!H226) &lt;= 50,LEN('Raw Data'!H226)&gt; 0),"",_xlfn.REGEXEXTRACT(CELL("address",'Raw Data'!H226),"\$([A-Z]+)\$[0-9]+"))),_xlfn.REGEXEXTRACT(CELL("address",'Raw Data'!H226),"\$([A-Z]+)\$[0-9]+"))</f>
        <v/>
      </c>
      <c r="I226" s="7" t="str">
        <f t="array" aca="1" ref="I226" ca="1">IFERROR(IF(OR('Raw Data'!I226="",LEN(TRIM('Raw Data'!I226))=0),"",IF(AND(LEN('Raw Data'!I226) &lt;= 50,LEN('Raw Data'!I226)&gt; 0),"",_xlfn.REGEXEXTRACT(CELL("address",'Raw Data'!I226),"\$([A-Z]+)\$[0-9]+"))),_xlfn.REGEXEXTRACT(CELL("address",'Raw Data'!I226),"\$([A-Z]+)\$[0-9]+"))</f>
        <v/>
      </c>
      <c r="J226" s="7" t="str">
        <f t="array" aca="1" ref="J226" ca="1">IFERROR(IF(OR('Raw Data'!J226="",LEN(TRIM('Raw Data'!J226))=0),"",IF(AND(ISNUMBER('Raw Data'!J226), IFERROR('Raw Data'!J226 = ROUND('Raw Data'!J226, 2),FALSE)),"",_xlfn.REGEXEXTRACT(CELL("address",J226), "\$([A-Z]+)\$[0-9]+"))),_xlfn.REGEXEXTRACT(CELL("address",J226), "\$([A-Z]+)\$[0-9]+"))</f>
        <v/>
      </c>
      <c r="K226" s="7" t="str">
        <f t="array" aca="1" ref="K226" ca="1">IFERROR(IF(OR('Raw Data'!K226="",LEN(TRIM('Raw Data'!K226))=0),"",IF(AND(ISNUMBER('Raw Data'!K226), IFERROR('Raw Data'!K226 = ROUND('Raw Data'!K226, 2),FALSE)),"",_xlfn.REGEXEXTRACT(CELL("address",K226), "\$([A-Z]+)\$[0-9]+"))),_xlfn.REGEXEXTRACT(CELL("address",K226), "\$([A-Z]+)\$[0-9]+"))</f>
        <v/>
      </c>
      <c r="L226" s="7" t="str">
        <f t="array" aca="1" ref="L226" ca="1">IFERROR(IF(OR('Raw Data'!L226="",LEN(TRIM('Raw Data'!L226))=0),"",IF(AND(ISNUMBER('Raw Data'!L226), IFERROR('Raw Data'!L226 = ROUND('Raw Data'!L226, 2),FALSE)),"",_xlfn.REGEXEXTRACT(CELL("address",L226), "\$([A-Z]+)\$[0-9]+"))),_xlfn.REGEXEXTRACT(CELL("address",L226), "\$([A-Z]+)\$[0-9]+"))</f>
        <v/>
      </c>
      <c r="M226" s="7" t="str">
        <f t="array" aca="1" ref="M226" ca="1">IFERROR(IF(OR('Raw Data'!M226="",LEN(TRIM('Raw Data'!M226))=0),"",IF(AND(ISNUMBER('Raw Data'!M226), IFERROR('Raw Data'!M226 = ROUND('Raw Data'!M226, 2),FALSE)),"",_xlfn.REGEXEXTRACT(CELL("address",M226), "\$([A-Z]+)\$[0-9]+"))),_xlfn.REGEXEXTRACT(CELL("address",M226), "\$([A-Z]+)\$[0-9]+"))</f>
        <v/>
      </c>
      <c r="N226" s="7" t="str">
        <f t="array" aca="1" ref="N226" ca="1">IFERROR(IF(OR('Raw Data'!N226="",LEN(TRIM('Raw Data'!N226))=0),"",IF(AND(ISNUMBER('Raw Data'!N226), IFERROR('Raw Data'!N226 = ROUND('Raw Data'!N226, 2),FALSE)),"",_xlfn.REGEXEXTRACT(CELL("address",N226), "\$([A-Z]+)\$[0-9]+"))),_xlfn.REGEXEXTRACT(CELL("address",N226), "\$([A-Z]+)\$[0-9]+"))</f>
        <v/>
      </c>
      <c r="O226" s="7" t="str">
        <f t="array" aca="1" ref="O226" ca="1">IFERROR(IF(OR('Raw Data'!O226="",LEN(TRIM('Raw Data'!O226))=0),"",IF(AND(ISNUMBER('Raw Data'!O226),'Raw Data'!O226&gt;=Configuration!$D$2),"",_xlfn.REGEXEXTRACT(CELL("address",'Raw Data'!O226),"\$([A-Z]+)\$[0-9]+"))),_xlfn.REGEXEXTRACT(CELL("address",O226), "\$([A-Z]+)\$[0-9]+"))</f>
        <v/>
      </c>
      <c r="P226" s="7" t="str">
        <f t="array" aca="1" ref="P226" ca="1">IFERROR(IF(OR('Raw Data'!P226="",LEN(TRIM('Raw Data'!P226))=0),"",IF(AND(ISNUMBER('Raw Data'!P226), IFERROR('Raw Data'!P226 = ROUND('Raw Data'!P226, 2),FALSE)),"",_xlfn.REGEXEXTRACT(CELL("address",P226), "\$([A-Z]+)\$[0-9]+"))),_xlfn.REGEXEXTRACT(CELL("address",P226), "\$([A-Z]+)\$[0-9]+"))</f>
        <v/>
      </c>
      <c r="Q226" s="7" t="str">
        <f t="array" aca="1" ref="Q226" ca="1">IFERROR(IF(OR('Raw Data'!Q226="",LEN(TRIM('Raw Data'!Q226))=0),"",IF(AND(ISNUMBER('Raw Data'!Q226), IFERROR('Raw Data'!Q226 = ROUND('Raw Data'!Q226, 2),FALSE)),"",_xlfn.REGEXEXTRACT(CELL("address",Q226), "\$([A-Z]+)\$[0-9]+"))),_xlfn.REGEXEXTRACT(CELL("address",Q226), "\$([A-Z]+)\$[0-9]+"))</f>
        <v/>
      </c>
      <c r="R226" s="7" t="str">
        <f t="array" aca="1" ref="R226" ca="1">IFERROR(IF(OR('Raw Data'!R226="",LEN(TRIM('Raw Data'!R226))=0),"",IF(AND(LEN('Raw Data'!R226) &lt;= 50,LEN('Raw Data'!R226)&gt; 0),"",_xlfn.REGEXEXTRACT(CELL("address",'Raw Data'!R226),"\$([A-Z]+)\$[0-9]+"))),_xlfn.REGEXEXTRACT(CELL("address",'Raw Data'!R226),"\$([A-Z]+)\$[0-9]+"))</f>
        <v/>
      </c>
      <c r="S226" s="7" t="str">
        <f t="array" aca="1" ref="S226" ca="1">IFERROR(IF(OR('Raw Data'!S226="",LEN(TRIM('Raw Data'!S226))=0),"",IF(AND(LEN('Raw Data'!S226) &lt;= 50,LEN('Raw Data'!S226)&gt; 0),"",_xlfn.REGEXEXTRACT(CELL("address",'Raw Data'!S226),"\$([A-Z]+)\$[0-9]+"))),_xlfn.REGEXEXTRACT(CELL("address",'Raw Data'!S226),"\$([A-Z]+)\$[0-9]+"))</f>
        <v/>
      </c>
      <c r="T226" s="7" t="str">
        <f t="array" aca="1" ref="T226" ca="1">IFERROR(IF(OR('Raw Data'!T226="",LEN(TRIM('Raw Data'!T226))=0),"",IF(AND(ISNUMBER('Raw Data'!T226), IFERROR('Raw Data'!T226 = ROUND('Raw Data'!T226, 2),FALSE)),"",_xlfn.REGEXEXTRACT(CELL("address",T226), "\$([A-Z]+)\$[0-9]+"))),_xlfn.REGEXEXTRACT(CELL("address",T226), "\$([A-Z]+)\$[0-9]+"))</f>
        <v/>
      </c>
      <c r="U226" s="7" t="str">
        <f t="array" aca="1" ref="U226" ca="1">IFERROR(IF(OR('Raw Data'!U226="",LEN(TRIM('Raw Data'!U226))=0),"",IF(AND(ISNUMBER('Raw Data'!U226), IFERROR('Raw Data'!U226 = ROUND('Raw Data'!U226, 2),FALSE)),"",_xlfn.REGEXEXTRACT(CELL("address",U226), "\$([A-Z]+)\$[0-9]+"))),_xlfn.REGEXEXTRACT(CELL("address",U226), "\$([A-Z]+)\$[0-9]+"))</f>
        <v/>
      </c>
      <c r="V226" s="7" t="str">
        <f t="array" aca="1" ref="V226" ca="1">IFERROR(IF(OR('Raw Data'!V226="",LEN(TRIM('Raw Data'!V226))=0),"",IF(AND(ISNUMBER('Raw Data'!V226), IFERROR('Raw Data'!V226 = ROUND('Raw Data'!V226, 2),FALSE)),"",_xlfn.REGEXEXTRACT(CELL("address",V226), "\$([A-Z]+)\$[0-9]+"))),_xlfn.REGEXEXTRACT(CELL("address",V226), "\$([A-Z]+)\$[0-9]+"))</f>
        <v/>
      </c>
      <c r="W226" s="7" t="str">
        <f t="array" aca="1" ref="W226" ca="1">IFERROR(IF(OR('Raw Data'!W226="",LEN(TRIM('Raw Data'!W226))=0),"",IF(AND(ISNUMBER('Raw Data'!W226), IFERROR('Raw Data'!W226 = ROUND('Raw Data'!W226, 2),FALSE)),"",_xlfn.REGEXEXTRACT(CELL("address",W226), "\$([A-Z]+)\$[0-9]+"))),_xlfn.REGEXEXTRACT(CELL("address",W226), "\$([A-Z]+)\$[0-9]+"))</f>
        <v/>
      </c>
      <c r="X226" s="7" t="str">
        <f t="array" aca="1" ref="X226" ca="1">IFERROR(IF(OR('Raw Data'!X226="",LEN(TRIM('Raw Data'!X226))=0),"",IF(AND(ISNUMBER('Raw Data'!X226), IFERROR('Raw Data'!X226 = ROUND('Raw Data'!X226, 2),FALSE)),"",_xlfn.REGEXEXTRACT(CELL("address",X226), "\$([A-Z]+)\$[0-9]+"))),_xlfn.REGEXEXTRACT(CELL("address",X226), "\$([A-Z]+)\$[0-9]+"))</f>
        <v/>
      </c>
      <c r="Y226" s="7" t="str">
        <f t="array" aca="1" ref="Y226" ca="1">IFERROR(IF(OR('Raw Data'!Y226="",LEN(TRIM('Raw Data'!Y226))=0),"",IF(AND(ISNUMBER('Raw Data'!Y226), IFERROR('Raw Data'!Y226 = ROUND('Raw Data'!Y226, 2),FALSE)),"",_xlfn.REGEXEXTRACT(CELL("address",Y226), "\$([A-Z]+)\$[0-9]+"))),_xlfn.REGEXEXTRACT(CELL("address",Y226), "\$([A-Z]+)\$[0-9]+"))</f>
        <v/>
      </c>
      <c r="Z226" s="7" t="str">
        <f t="array" aca="1" ref="Z226" ca="1">IFERROR(IF(OR('Raw Data'!Z226="",LEN(TRIM('Raw Data'!Z226))=0),"",IF(AND(ISNUMBER('Raw Data'!Z226), IFERROR('Raw Data'!Z226 = ROUND('Raw Data'!Z226, 2),FALSE)),"",_xlfn.REGEXEXTRACT(CELL("address",Z226), "\$([A-Z]+)\$[0-9]+"))),_xlfn.REGEXEXTRACT(CELL("address",Z226), "\$([A-Z]+)\$[0-9]+"))</f>
        <v/>
      </c>
      <c r="AA226" s="7" t="str">
        <f t="array" aca="1" ref="AA226" ca="1">IFERROR(IF(OR('Raw Data'!AA226="",LEN(TRIM('Raw Data'!AA226))=0),"",IF(AND(ISNUMBER('Raw Data'!AA226), IFERROR('Raw Data'!AA226 = ROUND('Raw Data'!AA226, 2),FALSE)),"",_xlfn.REGEXEXTRACT(CELL("address",AA226), "\$([A-Z]+)\$[0-9]+"))),_xlfn.REGEXEXTRACT(CELL("address",AA226), "\$([A-Z]+)\$[0-9]+"))</f>
        <v/>
      </c>
      <c r="AB226" s="7" t="str">
        <f t="array" aca="1" ref="AB226" ca="1">IFERROR(IF(OR('Raw Data'!AB226="",LEN(TRIM('Raw Data'!AB226))=0),"",IF(AND(ISNUMBER('Raw Data'!AB226), IFERROR('Raw Data'!AB226 = ROUND('Raw Data'!AB226, 2),FALSE)),"",_xlfn.REGEXEXTRACT(CELL("address",AB226), "\$([A-Z]+)\$[0-9]+"))),_xlfn.REGEXEXTRACT(CELL("address",AB226), "\$([A-Z]+)\$[0-9]+"))</f>
        <v/>
      </c>
      <c r="AC226" s="7" t="str">
        <f t="array" aca="1" ref="AC226" ca="1">IFERROR(IF(OR('Raw Data'!AC226="",LEN(TRIM('Raw Data'!AC226))=0),"",IF(AND(ISNUMBER('Raw Data'!AC226), IFERROR('Raw Data'!AC226 = ROUND('Raw Data'!AC226, 2),FALSE)),"",_xlfn.REGEXEXTRACT(CELL("address",AC226), "\$([A-Z]+)\$[0-9]+"))),_xlfn.REGEXEXTRACT(CELL("address",AC226), "\$([A-Z]+)\$[0-9]+"))</f>
        <v/>
      </c>
      <c r="AD226" s="7" t="str">
        <f t="array" aca="1" ref="AD226" ca="1">IFERROR(IF(OR('Raw Data'!AD226="",LEN(TRIM('Raw Data'!AD226))=0),"",IF(AND(ISNUMBER('Raw Data'!AD226), IFERROR('Raw Data'!AD226 = ROUND('Raw Data'!AD226, 2),FALSE)),"",_xlfn.REGEXEXTRACT(CELL("address",AD226), "\$([A-Z]+)\$[0-9]+"))),_xlfn.REGEXEXTRACT(CELL("address",AD226), "\$([A-Z]+)\$[0-9]+"))</f>
        <v/>
      </c>
      <c r="AE226" s="7" t="str">
        <f t="array" aca="1" ref="AE226" ca="1">IFERROR(IF(OR('Raw Data'!AE226="",LEN(TRIM('Raw Data'!AE226))=0),"",IF(AND(ISNUMBER('Raw Data'!AE226), IFERROR('Raw Data'!AE226 = ROUND('Raw Data'!AE226, 2),FALSE)),"",_xlfn.REGEXEXTRACT(CELL("address",AE226), "\$([A-Z]+)\$[0-9]+"))),_xlfn.REGEXEXTRACT(CELL("address",AE226), "\$([A-Z]+)\$[0-9]+"))</f>
        <v/>
      </c>
      <c r="AF226" s="7" t="str">
        <f t="array" aca="1" ref="AF226" ca="1">IFERROR(IF(OR('Raw Data'!AF226="",LEN(TRIM('Raw Data'!AF226))=0),"",IF(AND(ISNUMBER('Raw Data'!AF226), IFERROR('Raw Data'!AF226 = ROUND('Raw Data'!AF226, 2),FALSE)),"",_xlfn.REGEXEXTRACT(CELL("address",AF226), "\$([A-Z]+)\$[0-9]+"))),_xlfn.REGEXEXTRACT(CELL("address",AF226), "\$([A-Z]+)\$[0-9]+"))</f>
        <v/>
      </c>
      <c r="AG226" s="7" t="str">
        <f t="array" aca="1" ref="AG226" ca="1">IFERROR(IF(OR('Raw Data'!AG226="",LEN(TRIM('Raw Data'!AG226))=0),"",IF(AND(ISNUMBER('Raw Data'!AG226), IFERROR('Raw Data'!AG226 = ROUND('Raw Data'!AG226, 2),FALSE)),"",_xlfn.REGEXEXTRACT(CELL("address",AG226), "\$([A-Z]+)\$[0-9]+"))),_xlfn.REGEXEXTRACT(CELL("address",AG226), "\$([A-Z]+)\$[0-9]+"))</f>
        <v/>
      </c>
      <c r="AH226" s="7" t="str">
        <f t="array" aca="1" ref="AH226" ca="1">IFERROR(IF(OR('Raw Data'!AH226="",LEN(TRIM('Raw Data'!AH226))=0),"",IF(AND(ISNUMBER('Raw Data'!AH226), IFERROR('Raw Data'!AH226 = ROUND('Raw Data'!AH226, 2),FALSE)),"",_xlfn.REGEXEXTRACT(CELL("address",AH226), "\$([A-Z]+)\$[0-9]+"))),_xlfn.REGEXEXTRACT(CELL("address",AH226), "\$([A-Z]+)\$[0-9]+"))</f>
        <v/>
      </c>
      <c r="AI226" s="7" t="str">
        <f t="array" aca="1" ref="AI226" ca="1">IFERROR(IF(OR('Raw Data'!AI226="",LEN(TRIM('Raw Data'!AI226))=0),"",IF(AND(ISNUMBER('Raw Data'!AI226), IFERROR('Raw Data'!AI226 = ROUND('Raw Data'!AI226, 2),FALSE)),"",_xlfn.REGEXEXTRACT(CELL("address",AI226), "\$([A-Z]+)\$[0-9]+"))),_xlfn.REGEXEXTRACT(CELL("address",AI226), "\$([A-Z]+)\$[0-9]+"))</f>
        <v/>
      </c>
      <c r="AJ226" s="7" t="str">
        <f t="array" aca="1" ref="AJ226" ca="1">IFERROR(IF(OR('Raw Data'!AJ226="",LEN(TRIM('Raw Data'!AJ226))=0),"",IF(AND(ISNUMBER('Raw Data'!AJ226), IFERROR('Raw Data'!AJ226 = ROUND('Raw Data'!AJ226, 4),FALSE)),"",_xlfn.REGEXEXTRACT(CELL("address",AJ226), "\$([A-Z]+)\$[0-9]+"))),_xlfn.REGEXEXTRACT(CELL("address",AJ226), "\$([A-Z]+)\$[0-9]+"))</f>
        <v/>
      </c>
      <c r="AK226" s="7" t="str">
        <f t="array" aca="1" ref="AK226" ca="1">IFERROR(IF(OR('Raw Data'!AK226="",LEN(TRIM('Raw Data'!AK226))=0),"",IF(AND(ISNUMBER('Raw Data'!AK226), IFERROR('Raw Data'!AK226 = ROUND('Raw Data'!AK226, 2),FALSE)),"",_xlfn.REGEXEXTRACT(CELL("address",AK226), "\$([A-Z]+)\$[0-9]+"))),_xlfn.REGEXEXTRACT(CELL("address",AK226), "\$([A-Z]+)\$[0-9]+"))</f>
        <v/>
      </c>
      <c r="AL226" s="7" t="str">
        <f t="array" aca="1" ref="AL226" ca="1">IFERROR(IF(OR('Raw Data'!AL226="",LEN(TRIM('Raw Data'!AL226))=0),"",IF(AND(ISNUMBER('Raw Data'!AL226), IFERROR('Raw Data'!AL226 = ROUND('Raw Data'!AL226, 2),FALSE)),"",_xlfn.REGEXEXTRACT(CELL("address",AL226), "\$([A-Z]+)\$[0-9]+"))),_xlfn.REGEXEXTRACT(CELL("address",AL226), "\$([A-Z]+)\$[0-9]+"))</f>
        <v/>
      </c>
      <c r="AM226" s="7" t="str">
        <f t="array" aca="1" ref="AM226" ca="1">IFERROR(IF(OR('Raw Data'!AM226="",LEN(TRIM('Raw Data'!AM226))=0),"",IF(AND(ISNUMBER('Raw Data'!AM226), IFERROR('Raw Data'!AM226 = ROUND('Raw Data'!AM226, 2),FALSE)),"",_xlfn.REGEXEXTRACT(CELL("address",AM226), "\$([A-Z]+)\$[0-9]+"))),_xlfn.REGEXEXTRACT(CELL("address",AM226), "\$([A-Z]+)\$[0-9]+"))</f>
        <v/>
      </c>
      <c r="AN226" s="7" t="str">
        <f t="array" aca="1" ref="AN226" ca="1">IFERROR(IF(OR('Raw Data'!AN226="",LEN(TRIM('Raw Data'!AN226))=0),"",IF(AND(ISNUMBER('Raw Data'!AN226), IFERROR('Raw Data'!AN226 = ROUND('Raw Data'!AN226, 2),FALSE)),"",_xlfn.REGEXEXTRACT(CELL("address",AN226), "\$([A-Z]+)\$[0-9]+"))),_xlfn.REGEXEXTRACT(CELL("address",AN226), "\$([A-Z]+)\$[0-9]+"))</f>
        <v/>
      </c>
      <c r="AO226" s="7" t="str">
        <f t="array" aca="1" ref="AO226" ca="1">IFERROR(IF(OR('Raw Data'!AO226="",LEN(TRIM('Raw Data'!AO226))=0),"",IF(AND(ISNUMBER('Raw Data'!AO226), IFERROR('Raw Data'!AO226 = ROUND('Raw Data'!AO226, 2),FALSE)),"",_xlfn.REGEXEXTRACT(CELL("address",AO226), "\$([A-Z]+)\$[0-9]+"))),_xlfn.REGEXEXTRACT(CELL("address",AO226), "\$([A-Z]+)\$[0-9]+"))</f>
        <v/>
      </c>
      <c r="AP226" s="7" t="str">
        <f t="array" aca="1" ref="AP226" ca="1">IFERROR(IF(OR('Raw Data'!AP226="",LEN(TRIM('Raw Data'!AP226))=0),"",IF(AND(ISNUMBER('Raw Data'!AP226), IFERROR('Raw Data'!AP226 = ROUND('Raw Data'!AP226, 2),FALSE)),"",_xlfn.REGEXEXTRACT(CELL("address",AP226), "\$([A-Z]+)\$[0-9]+"))),_xlfn.REGEXEXTRACT(CELL("address",AP226), "\$([A-Z]+)\$[0-9]+"))</f>
        <v/>
      </c>
    </row>
    <row r="227" spans="2:42" x14ac:dyDescent="0.25">
      <c r="B227" s="7" t="str">
        <f t="array" aca="1" ref="B227" ca="1">IFERROR(IF(OR('Raw Data'!B227="",LEN(TRIM('Raw Data'!B227))=0),"",IF(AND(LEN('Raw Data'!B227) &lt;= 255,LEN('Raw Data'!B227)&gt; 0),"",_xlfn.REGEXEXTRACT(CELL("address",'Raw Data'!B227),"\$([A-Z]+)\$[0-9]+"))),_xlfn.REGEXEXTRACT(CELL("address",'Raw Data'!B227),"\$([A-Z]+)\$[0-9]+"))</f>
        <v/>
      </c>
      <c r="C227" s="7" t="str">
        <f t="array" aca="1" ref="C227" ca="1">IFERROR(IF(OR('Raw Data'!C227="",LEN(TRIM('Raw Data'!C227))=0),"",IF(AND(LEN('Raw Data'!C227) &lt;= 50,LEN('Raw Data'!C227)&gt; 0),"",_xlfn.REGEXEXTRACT(CELL("address",'Raw Data'!C227),"\$([A-Z]+)\$[0-9]+"))),_xlfn.REGEXEXTRACT(CELL("address",'Raw Data'!C227),"\$([A-Z]+)\$[0-9]+"))</f>
        <v/>
      </c>
      <c r="D227" s="7" t="str">
        <f t="array" aca="1" ref="D227" ca="1">IFERROR(IF(OR('Raw Data'!D227="",LEN(TRIM('Raw Data'!D227))=0),"",IF(AND(LEN('Raw Data'!D227) &lt;= 500,LEN('Raw Data'!D227)&gt; 0),"",_xlfn.REGEXEXTRACT(CELL("address",'Raw Data'!D227),"\$([A-Z]+)\$[0-9]+"))),_xlfn.REGEXEXTRACT(CELL("address",'Raw Data'!D227),"\$([A-Z]+)\$[0-9]+"))</f>
        <v/>
      </c>
      <c r="E227" s="7" t="str">
        <f t="array" aca="1" ref="E227" ca="1">IFERROR(IF(OR('Raw Data'!E227="",LEN(TRIM('Raw Data'!E227))=0),"",IF(AND(LEN('Raw Data'!E227) &lt;= 50,LEN('Raw Data'!E227)&gt; 0),"",_xlfn.REGEXEXTRACT(CELL("address",'Raw Data'!E227),"\$([A-Z]+)\$[0-9]+"))),_xlfn.REGEXEXTRACT(CELL("address",'Raw Data'!E227),"\$([A-Z]+)\$[0-9]+"))</f>
        <v/>
      </c>
      <c r="F227" s="7" t="str">
        <f t="array" aca="1" ref="F227" ca="1">IFERROR(IF(OR('Raw Data'!F227="",LEN(TRIM('Raw Data'!F227))=0),"",IF(AND(LEN('Raw Data'!F227) &lt;= 50,LEN('Raw Data'!F227)&gt; 0),"",_xlfn.REGEXEXTRACT(CELL("address",'Raw Data'!F227),"\$([A-Z]+)\$[0-9]+"))),_xlfn.REGEXEXTRACT(CELL("address",'Raw Data'!F227),"\$([A-Z]+)\$[0-9]+"))</f>
        <v/>
      </c>
      <c r="G227" s="7" t="str">
        <f t="array" aca="1" ref="G227" ca="1">IFERROR(IF(OR('Raw Data'!G227="",LEN(TRIM('Raw Data'!G227))=0),"",IF(AND(LEN('Raw Data'!G227) &lt;= 50,LEN('Raw Data'!G227)&gt; 0),"",_xlfn.REGEXEXTRACT(CELL("address",'Raw Data'!G227),"\$([A-Z]+)\$[0-9]+"))),_xlfn.REGEXEXTRACT(CELL("address",'Raw Data'!G227),"\$([A-Z]+)\$[0-9]+"))</f>
        <v/>
      </c>
      <c r="H227" s="7" t="str">
        <f t="array" aca="1" ref="H227" ca="1">IFERROR(IF(OR('Raw Data'!H227="",LEN(TRIM('Raw Data'!H227))=0),"",IF(AND(LEN('Raw Data'!H227) &lt;= 50,LEN('Raw Data'!H227)&gt; 0),"",_xlfn.REGEXEXTRACT(CELL("address",'Raw Data'!H227),"\$([A-Z]+)\$[0-9]+"))),_xlfn.REGEXEXTRACT(CELL("address",'Raw Data'!H227),"\$([A-Z]+)\$[0-9]+"))</f>
        <v/>
      </c>
      <c r="I227" s="7" t="str">
        <f t="array" aca="1" ref="I227" ca="1">IFERROR(IF(OR('Raw Data'!I227="",LEN(TRIM('Raw Data'!I227))=0),"",IF(AND(LEN('Raw Data'!I227) &lt;= 50,LEN('Raw Data'!I227)&gt; 0),"",_xlfn.REGEXEXTRACT(CELL("address",'Raw Data'!I227),"\$([A-Z]+)\$[0-9]+"))),_xlfn.REGEXEXTRACT(CELL("address",'Raw Data'!I227),"\$([A-Z]+)\$[0-9]+"))</f>
        <v/>
      </c>
      <c r="J227" s="7" t="str">
        <f t="array" aca="1" ref="J227" ca="1">IFERROR(IF(OR('Raw Data'!J227="",LEN(TRIM('Raw Data'!J227))=0),"",IF(AND(ISNUMBER('Raw Data'!J227), IFERROR('Raw Data'!J227 = ROUND('Raw Data'!J227, 2),FALSE)),"",_xlfn.REGEXEXTRACT(CELL("address",J227), "\$([A-Z]+)\$[0-9]+"))),_xlfn.REGEXEXTRACT(CELL("address",J227), "\$([A-Z]+)\$[0-9]+"))</f>
        <v/>
      </c>
      <c r="K227" s="7" t="str">
        <f t="array" aca="1" ref="K227" ca="1">IFERROR(IF(OR('Raw Data'!K227="",LEN(TRIM('Raw Data'!K227))=0),"",IF(AND(ISNUMBER('Raw Data'!K227), IFERROR('Raw Data'!K227 = ROUND('Raw Data'!K227, 2),FALSE)),"",_xlfn.REGEXEXTRACT(CELL("address",K227), "\$([A-Z]+)\$[0-9]+"))),_xlfn.REGEXEXTRACT(CELL("address",K227), "\$([A-Z]+)\$[0-9]+"))</f>
        <v/>
      </c>
      <c r="L227" s="7" t="str">
        <f t="array" aca="1" ref="L227" ca="1">IFERROR(IF(OR('Raw Data'!L227="",LEN(TRIM('Raw Data'!L227))=0),"",IF(AND(ISNUMBER('Raw Data'!L227), IFERROR('Raw Data'!L227 = ROUND('Raw Data'!L227, 2),FALSE)),"",_xlfn.REGEXEXTRACT(CELL("address",L227), "\$([A-Z]+)\$[0-9]+"))),_xlfn.REGEXEXTRACT(CELL("address",L227), "\$([A-Z]+)\$[0-9]+"))</f>
        <v/>
      </c>
      <c r="M227" s="7" t="str">
        <f t="array" aca="1" ref="M227" ca="1">IFERROR(IF(OR('Raw Data'!M227="",LEN(TRIM('Raw Data'!M227))=0),"",IF(AND(ISNUMBER('Raw Data'!M227), IFERROR('Raw Data'!M227 = ROUND('Raw Data'!M227, 2),FALSE)),"",_xlfn.REGEXEXTRACT(CELL("address",M227), "\$([A-Z]+)\$[0-9]+"))),_xlfn.REGEXEXTRACT(CELL("address",M227), "\$([A-Z]+)\$[0-9]+"))</f>
        <v/>
      </c>
      <c r="N227" s="7" t="str">
        <f t="array" aca="1" ref="N227" ca="1">IFERROR(IF(OR('Raw Data'!N227="",LEN(TRIM('Raw Data'!N227))=0),"",IF(AND(ISNUMBER('Raw Data'!N227), IFERROR('Raw Data'!N227 = ROUND('Raw Data'!N227, 2),FALSE)),"",_xlfn.REGEXEXTRACT(CELL("address",N227), "\$([A-Z]+)\$[0-9]+"))),_xlfn.REGEXEXTRACT(CELL("address",N227), "\$([A-Z]+)\$[0-9]+"))</f>
        <v/>
      </c>
      <c r="O227" s="7" t="str">
        <f t="array" aca="1" ref="O227" ca="1">IFERROR(IF(OR('Raw Data'!O227="",LEN(TRIM('Raw Data'!O227))=0),"",IF(AND(ISNUMBER('Raw Data'!O227),'Raw Data'!O227&gt;=Configuration!$D$2),"",_xlfn.REGEXEXTRACT(CELL("address",'Raw Data'!O227),"\$([A-Z]+)\$[0-9]+"))),_xlfn.REGEXEXTRACT(CELL("address",O227), "\$([A-Z]+)\$[0-9]+"))</f>
        <v/>
      </c>
      <c r="P227" s="7" t="str">
        <f t="array" aca="1" ref="P227" ca="1">IFERROR(IF(OR('Raw Data'!P227="",LEN(TRIM('Raw Data'!P227))=0),"",IF(AND(ISNUMBER('Raw Data'!P227), IFERROR('Raw Data'!P227 = ROUND('Raw Data'!P227, 2),FALSE)),"",_xlfn.REGEXEXTRACT(CELL("address",P227), "\$([A-Z]+)\$[0-9]+"))),_xlfn.REGEXEXTRACT(CELL("address",P227), "\$([A-Z]+)\$[0-9]+"))</f>
        <v/>
      </c>
      <c r="Q227" s="7" t="str">
        <f t="array" aca="1" ref="Q227" ca="1">IFERROR(IF(OR('Raw Data'!Q227="",LEN(TRIM('Raw Data'!Q227))=0),"",IF(AND(ISNUMBER('Raw Data'!Q227), IFERROR('Raw Data'!Q227 = ROUND('Raw Data'!Q227, 2),FALSE)),"",_xlfn.REGEXEXTRACT(CELL("address",Q227), "\$([A-Z]+)\$[0-9]+"))),_xlfn.REGEXEXTRACT(CELL("address",Q227), "\$([A-Z]+)\$[0-9]+"))</f>
        <v/>
      </c>
      <c r="R227" s="7" t="str">
        <f t="array" aca="1" ref="R227" ca="1">IFERROR(IF(OR('Raw Data'!R227="",LEN(TRIM('Raw Data'!R227))=0),"",IF(AND(LEN('Raw Data'!R227) &lt;= 50,LEN('Raw Data'!R227)&gt; 0),"",_xlfn.REGEXEXTRACT(CELL("address",'Raw Data'!R227),"\$([A-Z]+)\$[0-9]+"))),_xlfn.REGEXEXTRACT(CELL("address",'Raw Data'!R227),"\$([A-Z]+)\$[0-9]+"))</f>
        <v/>
      </c>
      <c r="S227" s="7" t="str">
        <f t="array" aca="1" ref="S227" ca="1">IFERROR(IF(OR('Raw Data'!S227="",LEN(TRIM('Raw Data'!S227))=0),"",IF(AND(LEN('Raw Data'!S227) &lt;= 50,LEN('Raw Data'!S227)&gt; 0),"",_xlfn.REGEXEXTRACT(CELL("address",'Raw Data'!S227),"\$([A-Z]+)\$[0-9]+"))),_xlfn.REGEXEXTRACT(CELL("address",'Raw Data'!S227),"\$([A-Z]+)\$[0-9]+"))</f>
        <v/>
      </c>
      <c r="T227" s="7" t="str">
        <f t="array" aca="1" ref="T227" ca="1">IFERROR(IF(OR('Raw Data'!T227="",LEN(TRIM('Raw Data'!T227))=0),"",IF(AND(ISNUMBER('Raw Data'!T227), IFERROR('Raw Data'!T227 = ROUND('Raw Data'!T227, 2),FALSE)),"",_xlfn.REGEXEXTRACT(CELL("address",T227), "\$([A-Z]+)\$[0-9]+"))),_xlfn.REGEXEXTRACT(CELL("address",T227), "\$([A-Z]+)\$[0-9]+"))</f>
        <v/>
      </c>
      <c r="U227" s="7" t="str">
        <f t="array" aca="1" ref="U227" ca="1">IFERROR(IF(OR('Raw Data'!U227="",LEN(TRIM('Raw Data'!U227))=0),"",IF(AND(ISNUMBER('Raw Data'!U227), IFERROR('Raw Data'!U227 = ROUND('Raw Data'!U227, 2),FALSE)),"",_xlfn.REGEXEXTRACT(CELL("address",U227), "\$([A-Z]+)\$[0-9]+"))),_xlfn.REGEXEXTRACT(CELL("address",U227), "\$([A-Z]+)\$[0-9]+"))</f>
        <v/>
      </c>
      <c r="V227" s="7" t="str">
        <f t="array" aca="1" ref="V227" ca="1">IFERROR(IF(OR('Raw Data'!V227="",LEN(TRIM('Raw Data'!V227))=0),"",IF(AND(ISNUMBER('Raw Data'!V227), IFERROR('Raw Data'!V227 = ROUND('Raw Data'!V227, 2),FALSE)),"",_xlfn.REGEXEXTRACT(CELL("address",V227), "\$([A-Z]+)\$[0-9]+"))),_xlfn.REGEXEXTRACT(CELL("address",V227), "\$([A-Z]+)\$[0-9]+"))</f>
        <v/>
      </c>
      <c r="W227" s="7" t="str">
        <f t="array" aca="1" ref="W227" ca="1">IFERROR(IF(OR('Raw Data'!W227="",LEN(TRIM('Raw Data'!W227))=0),"",IF(AND(ISNUMBER('Raw Data'!W227), IFERROR('Raw Data'!W227 = ROUND('Raw Data'!W227, 2),FALSE)),"",_xlfn.REGEXEXTRACT(CELL("address",W227), "\$([A-Z]+)\$[0-9]+"))),_xlfn.REGEXEXTRACT(CELL("address",W227), "\$([A-Z]+)\$[0-9]+"))</f>
        <v/>
      </c>
      <c r="X227" s="7" t="str">
        <f t="array" aca="1" ref="X227" ca="1">IFERROR(IF(OR('Raw Data'!X227="",LEN(TRIM('Raw Data'!X227))=0),"",IF(AND(ISNUMBER('Raw Data'!X227), IFERROR('Raw Data'!X227 = ROUND('Raw Data'!X227, 2),FALSE)),"",_xlfn.REGEXEXTRACT(CELL("address",X227), "\$([A-Z]+)\$[0-9]+"))),_xlfn.REGEXEXTRACT(CELL("address",X227), "\$([A-Z]+)\$[0-9]+"))</f>
        <v/>
      </c>
      <c r="Y227" s="7" t="str">
        <f t="array" aca="1" ref="Y227" ca="1">IFERROR(IF(OR('Raw Data'!Y227="",LEN(TRIM('Raw Data'!Y227))=0),"",IF(AND(ISNUMBER('Raw Data'!Y227), IFERROR('Raw Data'!Y227 = ROUND('Raw Data'!Y227, 2),FALSE)),"",_xlfn.REGEXEXTRACT(CELL("address",Y227), "\$([A-Z]+)\$[0-9]+"))),_xlfn.REGEXEXTRACT(CELL("address",Y227), "\$([A-Z]+)\$[0-9]+"))</f>
        <v/>
      </c>
      <c r="Z227" s="7" t="str">
        <f t="array" aca="1" ref="Z227" ca="1">IFERROR(IF(OR('Raw Data'!Z227="",LEN(TRIM('Raw Data'!Z227))=0),"",IF(AND(ISNUMBER('Raw Data'!Z227), IFERROR('Raw Data'!Z227 = ROUND('Raw Data'!Z227, 2),FALSE)),"",_xlfn.REGEXEXTRACT(CELL("address",Z227), "\$([A-Z]+)\$[0-9]+"))),_xlfn.REGEXEXTRACT(CELL("address",Z227), "\$([A-Z]+)\$[0-9]+"))</f>
        <v/>
      </c>
      <c r="AA227" s="7" t="str">
        <f t="array" aca="1" ref="AA227" ca="1">IFERROR(IF(OR('Raw Data'!AA227="",LEN(TRIM('Raw Data'!AA227))=0),"",IF(AND(ISNUMBER('Raw Data'!AA227), IFERROR('Raw Data'!AA227 = ROUND('Raw Data'!AA227, 2),FALSE)),"",_xlfn.REGEXEXTRACT(CELL("address",AA227), "\$([A-Z]+)\$[0-9]+"))),_xlfn.REGEXEXTRACT(CELL("address",AA227), "\$([A-Z]+)\$[0-9]+"))</f>
        <v/>
      </c>
      <c r="AB227" s="7" t="str">
        <f t="array" aca="1" ref="AB227" ca="1">IFERROR(IF(OR('Raw Data'!AB227="",LEN(TRIM('Raw Data'!AB227))=0),"",IF(AND(ISNUMBER('Raw Data'!AB227), IFERROR('Raw Data'!AB227 = ROUND('Raw Data'!AB227, 2),FALSE)),"",_xlfn.REGEXEXTRACT(CELL("address",AB227), "\$([A-Z]+)\$[0-9]+"))),_xlfn.REGEXEXTRACT(CELL("address",AB227), "\$([A-Z]+)\$[0-9]+"))</f>
        <v/>
      </c>
      <c r="AC227" s="7" t="str">
        <f t="array" aca="1" ref="AC227" ca="1">IFERROR(IF(OR('Raw Data'!AC227="",LEN(TRIM('Raw Data'!AC227))=0),"",IF(AND(ISNUMBER('Raw Data'!AC227), IFERROR('Raw Data'!AC227 = ROUND('Raw Data'!AC227, 2),FALSE)),"",_xlfn.REGEXEXTRACT(CELL("address",AC227), "\$([A-Z]+)\$[0-9]+"))),_xlfn.REGEXEXTRACT(CELL("address",AC227), "\$([A-Z]+)\$[0-9]+"))</f>
        <v/>
      </c>
      <c r="AD227" s="7" t="str">
        <f t="array" aca="1" ref="AD227" ca="1">IFERROR(IF(OR('Raw Data'!AD227="",LEN(TRIM('Raw Data'!AD227))=0),"",IF(AND(ISNUMBER('Raw Data'!AD227), IFERROR('Raw Data'!AD227 = ROUND('Raw Data'!AD227, 2),FALSE)),"",_xlfn.REGEXEXTRACT(CELL("address",AD227), "\$([A-Z]+)\$[0-9]+"))),_xlfn.REGEXEXTRACT(CELL("address",AD227), "\$([A-Z]+)\$[0-9]+"))</f>
        <v/>
      </c>
      <c r="AE227" s="7" t="str">
        <f t="array" aca="1" ref="AE227" ca="1">IFERROR(IF(OR('Raw Data'!AE227="",LEN(TRIM('Raw Data'!AE227))=0),"",IF(AND(ISNUMBER('Raw Data'!AE227), IFERROR('Raw Data'!AE227 = ROUND('Raw Data'!AE227, 2),FALSE)),"",_xlfn.REGEXEXTRACT(CELL("address",AE227), "\$([A-Z]+)\$[0-9]+"))),_xlfn.REGEXEXTRACT(CELL("address",AE227), "\$([A-Z]+)\$[0-9]+"))</f>
        <v/>
      </c>
      <c r="AF227" s="7" t="str">
        <f t="array" aca="1" ref="AF227" ca="1">IFERROR(IF(OR('Raw Data'!AF227="",LEN(TRIM('Raw Data'!AF227))=0),"",IF(AND(ISNUMBER('Raw Data'!AF227), IFERROR('Raw Data'!AF227 = ROUND('Raw Data'!AF227, 2),FALSE)),"",_xlfn.REGEXEXTRACT(CELL("address",AF227), "\$([A-Z]+)\$[0-9]+"))),_xlfn.REGEXEXTRACT(CELL("address",AF227), "\$([A-Z]+)\$[0-9]+"))</f>
        <v/>
      </c>
      <c r="AG227" s="7" t="str">
        <f t="array" aca="1" ref="AG227" ca="1">IFERROR(IF(OR('Raw Data'!AG227="",LEN(TRIM('Raw Data'!AG227))=0),"",IF(AND(ISNUMBER('Raw Data'!AG227), IFERROR('Raw Data'!AG227 = ROUND('Raw Data'!AG227, 2),FALSE)),"",_xlfn.REGEXEXTRACT(CELL("address",AG227), "\$([A-Z]+)\$[0-9]+"))),_xlfn.REGEXEXTRACT(CELL("address",AG227), "\$([A-Z]+)\$[0-9]+"))</f>
        <v/>
      </c>
      <c r="AH227" s="7" t="str">
        <f t="array" aca="1" ref="AH227" ca="1">IFERROR(IF(OR('Raw Data'!AH227="",LEN(TRIM('Raw Data'!AH227))=0),"",IF(AND(ISNUMBER('Raw Data'!AH227), IFERROR('Raw Data'!AH227 = ROUND('Raw Data'!AH227, 2),FALSE)),"",_xlfn.REGEXEXTRACT(CELL("address",AH227), "\$([A-Z]+)\$[0-9]+"))),_xlfn.REGEXEXTRACT(CELL("address",AH227), "\$([A-Z]+)\$[0-9]+"))</f>
        <v/>
      </c>
      <c r="AI227" s="7" t="str">
        <f t="array" aca="1" ref="AI227" ca="1">IFERROR(IF(OR('Raw Data'!AI227="",LEN(TRIM('Raw Data'!AI227))=0),"",IF(AND(ISNUMBER('Raw Data'!AI227), IFERROR('Raw Data'!AI227 = ROUND('Raw Data'!AI227, 2),FALSE)),"",_xlfn.REGEXEXTRACT(CELL("address",AI227), "\$([A-Z]+)\$[0-9]+"))),_xlfn.REGEXEXTRACT(CELL("address",AI227), "\$([A-Z]+)\$[0-9]+"))</f>
        <v/>
      </c>
      <c r="AJ227" s="7" t="str">
        <f t="array" aca="1" ref="AJ227" ca="1">IFERROR(IF(OR('Raw Data'!AJ227="",LEN(TRIM('Raw Data'!AJ227))=0),"",IF(AND(ISNUMBER('Raw Data'!AJ227), IFERROR('Raw Data'!AJ227 = ROUND('Raw Data'!AJ227, 4),FALSE)),"",_xlfn.REGEXEXTRACT(CELL("address",AJ227), "\$([A-Z]+)\$[0-9]+"))),_xlfn.REGEXEXTRACT(CELL("address",AJ227), "\$([A-Z]+)\$[0-9]+"))</f>
        <v/>
      </c>
      <c r="AK227" s="7" t="str">
        <f t="array" aca="1" ref="AK227" ca="1">IFERROR(IF(OR('Raw Data'!AK227="",LEN(TRIM('Raw Data'!AK227))=0),"",IF(AND(ISNUMBER('Raw Data'!AK227), IFERROR('Raw Data'!AK227 = ROUND('Raw Data'!AK227, 2),FALSE)),"",_xlfn.REGEXEXTRACT(CELL("address",AK227), "\$([A-Z]+)\$[0-9]+"))),_xlfn.REGEXEXTRACT(CELL("address",AK227), "\$([A-Z]+)\$[0-9]+"))</f>
        <v/>
      </c>
      <c r="AL227" s="7" t="str">
        <f t="array" aca="1" ref="AL227" ca="1">IFERROR(IF(OR('Raw Data'!AL227="",LEN(TRIM('Raw Data'!AL227))=0),"",IF(AND(ISNUMBER('Raw Data'!AL227), IFERROR('Raw Data'!AL227 = ROUND('Raw Data'!AL227, 2),FALSE)),"",_xlfn.REGEXEXTRACT(CELL("address",AL227), "\$([A-Z]+)\$[0-9]+"))),_xlfn.REGEXEXTRACT(CELL("address",AL227), "\$([A-Z]+)\$[0-9]+"))</f>
        <v/>
      </c>
      <c r="AM227" s="7" t="str">
        <f t="array" aca="1" ref="AM227" ca="1">IFERROR(IF(OR('Raw Data'!AM227="",LEN(TRIM('Raw Data'!AM227))=0),"",IF(AND(ISNUMBER('Raw Data'!AM227), IFERROR('Raw Data'!AM227 = ROUND('Raw Data'!AM227, 2),FALSE)),"",_xlfn.REGEXEXTRACT(CELL("address",AM227), "\$([A-Z]+)\$[0-9]+"))),_xlfn.REGEXEXTRACT(CELL("address",AM227), "\$([A-Z]+)\$[0-9]+"))</f>
        <v/>
      </c>
      <c r="AN227" s="7" t="str">
        <f t="array" aca="1" ref="AN227" ca="1">IFERROR(IF(OR('Raw Data'!AN227="",LEN(TRIM('Raw Data'!AN227))=0),"",IF(AND(ISNUMBER('Raw Data'!AN227), IFERROR('Raw Data'!AN227 = ROUND('Raw Data'!AN227, 2),FALSE)),"",_xlfn.REGEXEXTRACT(CELL("address",AN227), "\$([A-Z]+)\$[0-9]+"))),_xlfn.REGEXEXTRACT(CELL("address",AN227), "\$([A-Z]+)\$[0-9]+"))</f>
        <v/>
      </c>
      <c r="AO227" s="7" t="str">
        <f t="array" aca="1" ref="AO227" ca="1">IFERROR(IF(OR('Raw Data'!AO227="",LEN(TRIM('Raw Data'!AO227))=0),"",IF(AND(ISNUMBER('Raw Data'!AO227), IFERROR('Raw Data'!AO227 = ROUND('Raw Data'!AO227, 2),FALSE)),"",_xlfn.REGEXEXTRACT(CELL("address",AO227), "\$([A-Z]+)\$[0-9]+"))),_xlfn.REGEXEXTRACT(CELL("address",AO227), "\$([A-Z]+)\$[0-9]+"))</f>
        <v/>
      </c>
      <c r="AP227" s="7" t="str">
        <f t="array" aca="1" ref="AP227" ca="1">IFERROR(IF(OR('Raw Data'!AP227="",LEN(TRIM('Raw Data'!AP227))=0),"",IF(AND(ISNUMBER('Raw Data'!AP227), IFERROR('Raw Data'!AP227 = ROUND('Raw Data'!AP227, 2),FALSE)),"",_xlfn.REGEXEXTRACT(CELL("address",AP227), "\$([A-Z]+)\$[0-9]+"))),_xlfn.REGEXEXTRACT(CELL("address",AP227), "\$([A-Z]+)\$[0-9]+"))</f>
        <v/>
      </c>
    </row>
    <row r="228" spans="2:42" x14ac:dyDescent="0.25">
      <c r="B228" s="7" t="str">
        <f t="array" aca="1" ref="B228" ca="1">IFERROR(IF(OR('Raw Data'!B228="",LEN(TRIM('Raw Data'!B228))=0),"",IF(AND(LEN('Raw Data'!B228) &lt;= 255,LEN('Raw Data'!B228)&gt; 0),"",_xlfn.REGEXEXTRACT(CELL("address",'Raw Data'!B228),"\$([A-Z]+)\$[0-9]+"))),_xlfn.REGEXEXTRACT(CELL("address",'Raw Data'!B228),"\$([A-Z]+)\$[0-9]+"))</f>
        <v/>
      </c>
      <c r="C228" s="7" t="str">
        <f t="array" aca="1" ref="C228" ca="1">IFERROR(IF(OR('Raw Data'!C228="",LEN(TRIM('Raw Data'!C228))=0),"",IF(AND(LEN('Raw Data'!C228) &lt;= 50,LEN('Raw Data'!C228)&gt; 0),"",_xlfn.REGEXEXTRACT(CELL("address",'Raw Data'!C228),"\$([A-Z]+)\$[0-9]+"))),_xlfn.REGEXEXTRACT(CELL("address",'Raw Data'!C228),"\$([A-Z]+)\$[0-9]+"))</f>
        <v/>
      </c>
      <c r="D228" s="7" t="str">
        <f t="array" aca="1" ref="D228" ca="1">IFERROR(IF(OR('Raw Data'!D228="",LEN(TRIM('Raw Data'!D228))=0),"",IF(AND(LEN('Raw Data'!D228) &lt;= 500,LEN('Raw Data'!D228)&gt; 0),"",_xlfn.REGEXEXTRACT(CELL("address",'Raw Data'!D228),"\$([A-Z]+)\$[0-9]+"))),_xlfn.REGEXEXTRACT(CELL("address",'Raw Data'!D228),"\$([A-Z]+)\$[0-9]+"))</f>
        <v/>
      </c>
      <c r="E228" s="7" t="str">
        <f t="array" aca="1" ref="E228" ca="1">IFERROR(IF(OR('Raw Data'!E228="",LEN(TRIM('Raw Data'!E228))=0),"",IF(AND(LEN('Raw Data'!E228) &lt;= 50,LEN('Raw Data'!E228)&gt; 0),"",_xlfn.REGEXEXTRACT(CELL("address",'Raw Data'!E228),"\$([A-Z]+)\$[0-9]+"))),_xlfn.REGEXEXTRACT(CELL("address",'Raw Data'!E228),"\$([A-Z]+)\$[0-9]+"))</f>
        <v/>
      </c>
      <c r="F228" s="7" t="str">
        <f t="array" aca="1" ref="F228" ca="1">IFERROR(IF(OR('Raw Data'!F228="",LEN(TRIM('Raw Data'!F228))=0),"",IF(AND(LEN('Raw Data'!F228) &lt;= 50,LEN('Raw Data'!F228)&gt; 0),"",_xlfn.REGEXEXTRACT(CELL("address",'Raw Data'!F228),"\$([A-Z]+)\$[0-9]+"))),_xlfn.REGEXEXTRACT(CELL("address",'Raw Data'!F228),"\$([A-Z]+)\$[0-9]+"))</f>
        <v/>
      </c>
      <c r="G228" s="7" t="str">
        <f t="array" aca="1" ref="G228" ca="1">IFERROR(IF(OR('Raw Data'!G228="",LEN(TRIM('Raw Data'!G228))=0),"",IF(AND(LEN('Raw Data'!G228) &lt;= 50,LEN('Raw Data'!G228)&gt; 0),"",_xlfn.REGEXEXTRACT(CELL("address",'Raw Data'!G228),"\$([A-Z]+)\$[0-9]+"))),_xlfn.REGEXEXTRACT(CELL("address",'Raw Data'!G228),"\$([A-Z]+)\$[0-9]+"))</f>
        <v/>
      </c>
      <c r="H228" s="7" t="str">
        <f t="array" aca="1" ref="H228" ca="1">IFERROR(IF(OR('Raw Data'!H228="",LEN(TRIM('Raw Data'!H228))=0),"",IF(AND(LEN('Raw Data'!H228) &lt;= 50,LEN('Raw Data'!H228)&gt; 0),"",_xlfn.REGEXEXTRACT(CELL("address",'Raw Data'!H228),"\$([A-Z]+)\$[0-9]+"))),_xlfn.REGEXEXTRACT(CELL("address",'Raw Data'!H228),"\$([A-Z]+)\$[0-9]+"))</f>
        <v/>
      </c>
      <c r="I228" s="7" t="str">
        <f t="array" aca="1" ref="I228" ca="1">IFERROR(IF(OR('Raw Data'!I228="",LEN(TRIM('Raw Data'!I228))=0),"",IF(AND(LEN('Raw Data'!I228) &lt;= 50,LEN('Raw Data'!I228)&gt; 0),"",_xlfn.REGEXEXTRACT(CELL("address",'Raw Data'!I228),"\$([A-Z]+)\$[0-9]+"))),_xlfn.REGEXEXTRACT(CELL("address",'Raw Data'!I228),"\$([A-Z]+)\$[0-9]+"))</f>
        <v/>
      </c>
      <c r="J228" s="7" t="str">
        <f t="array" aca="1" ref="J228" ca="1">IFERROR(IF(OR('Raw Data'!J228="",LEN(TRIM('Raw Data'!J228))=0),"",IF(AND(ISNUMBER('Raw Data'!J228), IFERROR('Raw Data'!J228 = ROUND('Raw Data'!J228, 2),FALSE)),"",_xlfn.REGEXEXTRACT(CELL("address",J228), "\$([A-Z]+)\$[0-9]+"))),_xlfn.REGEXEXTRACT(CELL("address",J228), "\$([A-Z]+)\$[0-9]+"))</f>
        <v/>
      </c>
      <c r="K228" s="7" t="str">
        <f t="array" aca="1" ref="K228" ca="1">IFERROR(IF(OR('Raw Data'!K228="",LEN(TRIM('Raw Data'!K228))=0),"",IF(AND(ISNUMBER('Raw Data'!K228), IFERROR('Raw Data'!K228 = ROUND('Raw Data'!K228, 2),FALSE)),"",_xlfn.REGEXEXTRACT(CELL("address",K228), "\$([A-Z]+)\$[0-9]+"))),_xlfn.REGEXEXTRACT(CELL("address",K228), "\$([A-Z]+)\$[0-9]+"))</f>
        <v/>
      </c>
      <c r="L228" s="7" t="str">
        <f t="array" aca="1" ref="L228" ca="1">IFERROR(IF(OR('Raw Data'!L228="",LEN(TRIM('Raw Data'!L228))=0),"",IF(AND(ISNUMBER('Raw Data'!L228), IFERROR('Raw Data'!L228 = ROUND('Raw Data'!L228, 2),FALSE)),"",_xlfn.REGEXEXTRACT(CELL("address",L228), "\$([A-Z]+)\$[0-9]+"))),_xlfn.REGEXEXTRACT(CELL("address",L228), "\$([A-Z]+)\$[0-9]+"))</f>
        <v/>
      </c>
      <c r="M228" s="7" t="str">
        <f t="array" aca="1" ref="M228" ca="1">IFERROR(IF(OR('Raw Data'!M228="",LEN(TRIM('Raw Data'!M228))=0),"",IF(AND(ISNUMBER('Raw Data'!M228), IFERROR('Raw Data'!M228 = ROUND('Raw Data'!M228, 2),FALSE)),"",_xlfn.REGEXEXTRACT(CELL("address",M228), "\$([A-Z]+)\$[0-9]+"))),_xlfn.REGEXEXTRACT(CELL("address",M228), "\$([A-Z]+)\$[0-9]+"))</f>
        <v/>
      </c>
      <c r="N228" s="7" t="str">
        <f t="array" aca="1" ref="N228" ca="1">IFERROR(IF(OR('Raw Data'!N228="",LEN(TRIM('Raw Data'!N228))=0),"",IF(AND(ISNUMBER('Raw Data'!N228), IFERROR('Raw Data'!N228 = ROUND('Raw Data'!N228, 2),FALSE)),"",_xlfn.REGEXEXTRACT(CELL("address",N228), "\$([A-Z]+)\$[0-9]+"))),_xlfn.REGEXEXTRACT(CELL("address",N228), "\$([A-Z]+)\$[0-9]+"))</f>
        <v/>
      </c>
      <c r="O228" s="7" t="str">
        <f t="array" aca="1" ref="O228" ca="1">IFERROR(IF(OR('Raw Data'!O228="",LEN(TRIM('Raw Data'!O228))=0),"",IF(AND(ISNUMBER('Raw Data'!O228),'Raw Data'!O228&gt;=Configuration!$D$2),"",_xlfn.REGEXEXTRACT(CELL("address",'Raw Data'!O228),"\$([A-Z]+)\$[0-9]+"))),_xlfn.REGEXEXTRACT(CELL("address",O228), "\$([A-Z]+)\$[0-9]+"))</f>
        <v/>
      </c>
      <c r="P228" s="7" t="str">
        <f t="array" aca="1" ref="P228" ca="1">IFERROR(IF(OR('Raw Data'!P228="",LEN(TRIM('Raw Data'!P228))=0),"",IF(AND(ISNUMBER('Raw Data'!P228), IFERROR('Raw Data'!P228 = ROUND('Raw Data'!P228, 2),FALSE)),"",_xlfn.REGEXEXTRACT(CELL("address",P228), "\$([A-Z]+)\$[0-9]+"))),_xlfn.REGEXEXTRACT(CELL("address",P228), "\$([A-Z]+)\$[0-9]+"))</f>
        <v/>
      </c>
      <c r="Q228" s="7" t="str">
        <f t="array" aca="1" ref="Q228" ca="1">IFERROR(IF(OR('Raw Data'!Q228="",LEN(TRIM('Raw Data'!Q228))=0),"",IF(AND(ISNUMBER('Raw Data'!Q228), IFERROR('Raw Data'!Q228 = ROUND('Raw Data'!Q228, 2),FALSE)),"",_xlfn.REGEXEXTRACT(CELL("address",Q228), "\$([A-Z]+)\$[0-9]+"))),_xlfn.REGEXEXTRACT(CELL("address",Q228), "\$([A-Z]+)\$[0-9]+"))</f>
        <v/>
      </c>
      <c r="R228" s="7" t="str">
        <f t="array" aca="1" ref="R228" ca="1">IFERROR(IF(OR('Raw Data'!R228="",LEN(TRIM('Raw Data'!R228))=0),"",IF(AND(LEN('Raw Data'!R228) &lt;= 50,LEN('Raw Data'!R228)&gt; 0),"",_xlfn.REGEXEXTRACT(CELL("address",'Raw Data'!R228),"\$([A-Z]+)\$[0-9]+"))),_xlfn.REGEXEXTRACT(CELL("address",'Raw Data'!R228),"\$([A-Z]+)\$[0-9]+"))</f>
        <v/>
      </c>
      <c r="S228" s="7" t="str">
        <f t="array" aca="1" ref="S228" ca="1">IFERROR(IF(OR('Raw Data'!S228="",LEN(TRIM('Raw Data'!S228))=0),"",IF(AND(LEN('Raw Data'!S228) &lt;= 50,LEN('Raw Data'!S228)&gt; 0),"",_xlfn.REGEXEXTRACT(CELL("address",'Raw Data'!S228),"\$([A-Z]+)\$[0-9]+"))),_xlfn.REGEXEXTRACT(CELL("address",'Raw Data'!S228),"\$([A-Z]+)\$[0-9]+"))</f>
        <v/>
      </c>
      <c r="T228" s="7" t="str">
        <f t="array" aca="1" ref="T228" ca="1">IFERROR(IF(OR('Raw Data'!T228="",LEN(TRIM('Raw Data'!T228))=0),"",IF(AND(ISNUMBER('Raw Data'!T228), IFERROR('Raw Data'!T228 = ROUND('Raw Data'!T228, 2),FALSE)),"",_xlfn.REGEXEXTRACT(CELL("address",T228), "\$([A-Z]+)\$[0-9]+"))),_xlfn.REGEXEXTRACT(CELL("address",T228), "\$([A-Z]+)\$[0-9]+"))</f>
        <v/>
      </c>
      <c r="U228" s="7" t="str">
        <f t="array" aca="1" ref="U228" ca="1">IFERROR(IF(OR('Raw Data'!U228="",LEN(TRIM('Raw Data'!U228))=0),"",IF(AND(ISNUMBER('Raw Data'!U228), IFERROR('Raw Data'!U228 = ROUND('Raw Data'!U228, 2),FALSE)),"",_xlfn.REGEXEXTRACT(CELL("address",U228), "\$([A-Z]+)\$[0-9]+"))),_xlfn.REGEXEXTRACT(CELL("address",U228), "\$([A-Z]+)\$[0-9]+"))</f>
        <v/>
      </c>
      <c r="V228" s="7" t="str">
        <f t="array" aca="1" ref="V228" ca="1">IFERROR(IF(OR('Raw Data'!V228="",LEN(TRIM('Raw Data'!V228))=0),"",IF(AND(ISNUMBER('Raw Data'!V228), IFERROR('Raw Data'!V228 = ROUND('Raw Data'!V228, 2),FALSE)),"",_xlfn.REGEXEXTRACT(CELL("address",V228), "\$([A-Z]+)\$[0-9]+"))),_xlfn.REGEXEXTRACT(CELL("address",V228), "\$([A-Z]+)\$[0-9]+"))</f>
        <v/>
      </c>
      <c r="W228" s="7" t="str">
        <f t="array" aca="1" ref="W228" ca="1">IFERROR(IF(OR('Raw Data'!W228="",LEN(TRIM('Raw Data'!W228))=0),"",IF(AND(ISNUMBER('Raw Data'!W228), IFERROR('Raw Data'!W228 = ROUND('Raw Data'!W228, 2),FALSE)),"",_xlfn.REGEXEXTRACT(CELL("address",W228), "\$([A-Z]+)\$[0-9]+"))),_xlfn.REGEXEXTRACT(CELL("address",W228), "\$([A-Z]+)\$[0-9]+"))</f>
        <v/>
      </c>
      <c r="X228" s="7" t="str">
        <f t="array" aca="1" ref="X228" ca="1">IFERROR(IF(OR('Raw Data'!X228="",LEN(TRIM('Raw Data'!X228))=0),"",IF(AND(ISNUMBER('Raw Data'!X228), IFERROR('Raw Data'!X228 = ROUND('Raw Data'!X228, 2),FALSE)),"",_xlfn.REGEXEXTRACT(CELL("address",X228), "\$([A-Z]+)\$[0-9]+"))),_xlfn.REGEXEXTRACT(CELL("address",X228), "\$([A-Z]+)\$[0-9]+"))</f>
        <v/>
      </c>
      <c r="Y228" s="7" t="str">
        <f t="array" aca="1" ref="Y228" ca="1">IFERROR(IF(OR('Raw Data'!Y228="",LEN(TRIM('Raw Data'!Y228))=0),"",IF(AND(ISNUMBER('Raw Data'!Y228), IFERROR('Raw Data'!Y228 = ROUND('Raw Data'!Y228, 2),FALSE)),"",_xlfn.REGEXEXTRACT(CELL("address",Y228), "\$([A-Z]+)\$[0-9]+"))),_xlfn.REGEXEXTRACT(CELL("address",Y228), "\$([A-Z]+)\$[0-9]+"))</f>
        <v/>
      </c>
      <c r="Z228" s="7" t="str">
        <f t="array" aca="1" ref="Z228" ca="1">IFERROR(IF(OR('Raw Data'!Z228="",LEN(TRIM('Raw Data'!Z228))=0),"",IF(AND(ISNUMBER('Raw Data'!Z228), IFERROR('Raw Data'!Z228 = ROUND('Raw Data'!Z228, 2),FALSE)),"",_xlfn.REGEXEXTRACT(CELL("address",Z228), "\$([A-Z]+)\$[0-9]+"))),_xlfn.REGEXEXTRACT(CELL("address",Z228), "\$([A-Z]+)\$[0-9]+"))</f>
        <v/>
      </c>
      <c r="AA228" s="7" t="str">
        <f t="array" aca="1" ref="AA228" ca="1">IFERROR(IF(OR('Raw Data'!AA228="",LEN(TRIM('Raw Data'!AA228))=0),"",IF(AND(ISNUMBER('Raw Data'!AA228), IFERROR('Raw Data'!AA228 = ROUND('Raw Data'!AA228, 2),FALSE)),"",_xlfn.REGEXEXTRACT(CELL("address",AA228), "\$([A-Z]+)\$[0-9]+"))),_xlfn.REGEXEXTRACT(CELL("address",AA228), "\$([A-Z]+)\$[0-9]+"))</f>
        <v/>
      </c>
      <c r="AB228" s="7" t="str">
        <f t="array" aca="1" ref="AB228" ca="1">IFERROR(IF(OR('Raw Data'!AB228="",LEN(TRIM('Raw Data'!AB228))=0),"",IF(AND(ISNUMBER('Raw Data'!AB228), IFERROR('Raw Data'!AB228 = ROUND('Raw Data'!AB228, 2),FALSE)),"",_xlfn.REGEXEXTRACT(CELL("address",AB228), "\$([A-Z]+)\$[0-9]+"))),_xlfn.REGEXEXTRACT(CELL("address",AB228), "\$([A-Z]+)\$[0-9]+"))</f>
        <v/>
      </c>
      <c r="AC228" s="7" t="str">
        <f t="array" aca="1" ref="AC228" ca="1">IFERROR(IF(OR('Raw Data'!AC228="",LEN(TRIM('Raw Data'!AC228))=0),"",IF(AND(ISNUMBER('Raw Data'!AC228), IFERROR('Raw Data'!AC228 = ROUND('Raw Data'!AC228, 2),FALSE)),"",_xlfn.REGEXEXTRACT(CELL("address",AC228), "\$([A-Z]+)\$[0-9]+"))),_xlfn.REGEXEXTRACT(CELL("address",AC228), "\$([A-Z]+)\$[0-9]+"))</f>
        <v/>
      </c>
      <c r="AD228" s="7" t="str">
        <f t="array" aca="1" ref="AD228" ca="1">IFERROR(IF(OR('Raw Data'!AD228="",LEN(TRIM('Raw Data'!AD228))=0),"",IF(AND(ISNUMBER('Raw Data'!AD228), IFERROR('Raw Data'!AD228 = ROUND('Raw Data'!AD228, 2),FALSE)),"",_xlfn.REGEXEXTRACT(CELL("address",AD228), "\$([A-Z]+)\$[0-9]+"))),_xlfn.REGEXEXTRACT(CELL("address",AD228), "\$([A-Z]+)\$[0-9]+"))</f>
        <v/>
      </c>
      <c r="AE228" s="7" t="str">
        <f t="array" aca="1" ref="AE228" ca="1">IFERROR(IF(OR('Raw Data'!AE228="",LEN(TRIM('Raw Data'!AE228))=0),"",IF(AND(ISNUMBER('Raw Data'!AE228), IFERROR('Raw Data'!AE228 = ROUND('Raw Data'!AE228, 2),FALSE)),"",_xlfn.REGEXEXTRACT(CELL("address",AE228), "\$([A-Z]+)\$[0-9]+"))),_xlfn.REGEXEXTRACT(CELL("address",AE228), "\$([A-Z]+)\$[0-9]+"))</f>
        <v/>
      </c>
      <c r="AF228" s="7" t="str">
        <f t="array" aca="1" ref="AF228" ca="1">IFERROR(IF(OR('Raw Data'!AF228="",LEN(TRIM('Raw Data'!AF228))=0),"",IF(AND(ISNUMBER('Raw Data'!AF228), IFERROR('Raw Data'!AF228 = ROUND('Raw Data'!AF228, 2),FALSE)),"",_xlfn.REGEXEXTRACT(CELL("address",AF228), "\$([A-Z]+)\$[0-9]+"))),_xlfn.REGEXEXTRACT(CELL("address",AF228), "\$([A-Z]+)\$[0-9]+"))</f>
        <v/>
      </c>
      <c r="AG228" s="7" t="str">
        <f t="array" aca="1" ref="AG228" ca="1">IFERROR(IF(OR('Raw Data'!AG228="",LEN(TRIM('Raw Data'!AG228))=0),"",IF(AND(ISNUMBER('Raw Data'!AG228), IFERROR('Raw Data'!AG228 = ROUND('Raw Data'!AG228, 2),FALSE)),"",_xlfn.REGEXEXTRACT(CELL("address",AG228), "\$([A-Z]+)\$[0-9]+"))),_xlfn.REGEXEXTRACT(CELL("address",AG228), "\$([A-Z]+)\$[0-9]+"))</f>
        <v/>
      </c>
      <c r="AH228" s="7" t="str">
        <f t="array" aca="1" ref="AH228" ca="1">IFERROR(IF(OR('Raw Data'!AH228="",LEN(TRIM('Raw Data'!AH228))=0),"",IF(AND(ISNUMBER('Raw Data'!AH228), IFERROR('Raw Data'!AH228 = ROUND('Raw Data'!AH228, 2),FALSE)),"",_xlfn.REGEXEXTRACT(CELL("address",AH228), "\$([A-Z]+)\$[0-9]+"))),_xlfn.REGEXEXTRACT(CELL("address",AH228), "\$([A-Z]+)\$[0-9]+"))</f>
        <v/>
      </c>
      <c r="AI228" s="7" t="str">
        <f t="array" aca="1" ref="AI228" ca="1">IFERROR(IF(OR('Raw Data'!AI228="",LEN(TRIM('Raw Data'!AI228))=0),"",IF(AND(ISNUMBER('Raw Data'!AI228), IFERROR('Raw Data'!AI228 = ROUND('Raw Data'!AI228, 2),FALSE)),"",_xlfn.REGEXEXTRACT(CELL("address",AI228), "\$([A-Z]+)\$[0-9]+"))),_xlfn.REGEXEXTRACT(CELL("address",AI228), "\$([A-Z]+)\$[0-9]+"))</f>
        <v/>
      </c>
      <c r="AJ228" s="7" t="str">
        <f t="array" aca="1" ref="AJ228" ca="1">IFERROR(IF(OR('Raw Data'!AJ228="",LEN(TRIM('Raw Data'!AJ228))=0),"",IF(AND(ISNUMBER('Raw Data'!AJ228), IFERROR('Raw Data'!AJ228 = ROUND('Raw Data'!AJ228, 4),FALSE)),"",_xlfn.REGEXEXTRACT(CELL("address",AJ228), "\$([A-Z]+)\$[0-9]+"))),_xlfn.REGEXEXTRACT(CELL("address",AJ228), "\$([A-Z]+)\$[0-9]+"))</f>
        <v/>
      </c>
      <c r="AK228" s="7" t="str">
        <f t="array" aca="1" ref="AK228" ca="1">IFERROR(IF(OR('Raw Data'!AK228="",LEN(TRIM('Raw Data'!AK228))=0),"",IF(AND(ISNUMBER('Raw Data'!AK228), IFERROR('Raw Data'!AK228 = ROUND('Raw Data'!AK228, 2),FALSE)),"",_xlfn.REGEXEXTRACT(CELL("address",AK228), "\$([A-Z]+)\$[0-9]+"))),_xlfn.REGEXEXTRACT(CELL("address",AK228), "\$([A-Z]+)\$[0-9]+"))</f>
        <v/>
      </c>
      <c r="AL228" s="7" t="str">
        <f t="array" aca="1" ref="AL228" ca="1">IFERROR(IF(OR('Raw Data'!AL228="",LEN(TRIM('Raw Data'!AL228))=0),"",IF(AND(ISNUMBER('Raw Data'!AL228), IFERROR('Raw Data'!AL228 = ROUND('Raw Data'!AL228, 2),FALSE)),"",_xlfn.REGEXEXTRACT(CELL("address",AL228), "\$([A-Z]+)\$[0-9]+"))),_xlfn.REGEXEXTRACT(CELL("address",AL228), "\$([A-Z]+)\$[0-9]+"))</f>
        <v/>
      </c>
      <c r="AM228" s="7" t="str">
        <f t="array" aca="1" ref="AM228" ca="1">IFERROR(IF(OR('Raw Data'!AM228="",LEN(TRIM('Raw Data'!AM228))=0),"",IF(AND(ISNUMBER('Raw Data'!AM228), IFERROR('Raw Data'!AM228 = ROUND('Raw Data'!AM228, 2),FALSE)),"",_xlfn.REGEXEXTRACT(CELL("address",AM228), "\$([A-Z]+)\$[0-9]+"))),_xlfn.REGEXEXTRACT(CELL("address",AM228), "\$([A-Z]+)\$[0-9]+"))</f>
        <v/>
      </c>
      <c r="AN228" s="7" t="str">
        <f t="array" aca="1" ref="AN228" ca="1">IFERROR(IF(OR('Raw Data'!AN228="",LEN(TRIM('Raw Data'!AN228))=0),"",IF(AND(ISNUMBER('Raw Data'!AN228), IFERROR('Raw Data'!AN228 = ROUND('Raw Data'!AN228, 2),FALSE)),"",_xlfn.REGEXEXTRACT(CELL("address",AN228), "\$([A-Z]+)\$[0-9]+"))),_xlfn.REGEXEXTRACT(CELL("address",AN228), "\$([A-Z]+)\$[0-9]+"))</f>
        <v/>
      </c>
      <c r="AO228" s="7" t="str">
        <f t="array" aca="1" ref="AO228" ca="1">IFERROR(IF(OR('Raw Data'!AO228="",LEN(TRIM('Raw Data'!AO228))=0),"",IF(AND(ISNUMBER('Raw Data'!AO228), IFERROR('Raw Data'!AO228 = ROUND('Raw Data'!AO228, 2),FALSE)),"",_xlfn.REGEXEXTRACT(CELL("address",AO228), "\$([A-Z]+)\$[0-9]+"))),_xlfn.REGEXEXTRACT(CELL("address",AO228), "\$([A-Z]+)\$[0-9]+"))</f>
        <v/>
      </c>
      <c r="AP228" s="7" t="str">
        <f t="array" aca="1" ref="AP228" ca="1">IFERROR(IF(OR('Raw Data'!AP228="",LEN(TRIM('Raw Data'!AP228))=0),"",IF(AND(ISNUMBER('Raw Data'!AP228), IFERROR('Raw Data'!AP228 = ROUND('Raw Data'!AP228, 2),FALSE)),"",_xlfn.REGEXEXTRACT(CELL("address",AP228), "\$([A-Z]+)\$[0-9]+"))),_xlfn.REGEXEXTRACT(CELL("address",AP228), "\$([A-Z]+)\$[0-9]+"))</f>
        <v/>
      </c>
    </row>
    <row r="229" spans="2:42" x14ac:dyDescent="0.25">
      <c r="B229" s="7" t="str">
        <f t="array" aca="1" ref="B229" ca="1">IFERROR(IF(OR('Raw Data'!B229="",LEN(TRIM('Raw Data'!B229))=0),"",IF(AND(LEN('Raw Data'!B229) &lt;= 255,LEN('Raw Data'!B229)&gt; 0),"",_xlfn.REGEXEXTRACT(CELL("address",'Raw Data'!B229),"\$([A-Z]+)\$[0-9]+"))),_xlfn.REGEXEXTRACT(CELL("address",'Raw Data'!B229),"\$([A-Z]+)\$[0-9]+"))</f>
        <v/>
      </c>
      <c r="C229" s="7" t="str">
        <f t="array" aca="1" ref="C229" ca="1">IFERROR(IF(OR('Raw Data'!C229="",LEN(TRIM('Raw Data'!C229))=0),"",IF(AND(LEN('Raw Data'!C229) &lt;= 50,LEN('Raw Data'!C229)&gt; 0),"",_xlfn.REGEXEXTRACT(CELL("address",'Raw Data'!C229),"\$([A-Z]+)\$[0-9]+"))),_xlfn.REGEXEXTRACT(CELL("address",'Raw Data'!C229),"\$([A-Z]+)\$[0-9]+"))</f>
        <v/>
      </c>
      <c r="D229" s="7" t="str">
        <f t="array" aca="1" ref="D229" ca="1">IFERROR(IF(OR('Raw Data'!D229="",LEN(TRIM('Raw Data'!D229))=0),"",IF(AND(LEN('Raw Data'!D229) &lt;= 500,LEN('Raw Data'!D229)&gt; 0),"",_xlfn.REGEXEXTRACT(CELL("address",'Raw Data'!D229),"\$([A-Z]+)\$[0-9]+"))),_xlfn.REGEXEXTRACT(CELL("address",'Raw Data'!D229),"\$([A-Z]+)\$[0-9]+"))</f>
        <v/>
      </c>
      <c r="E229" s="7" t="str">
        <f t="array" aca="1" ref="E229" ca="1">IFERROR(IF(OR('Raw Data'!E229="",LEN(TRIM('Raw Data'!E229))=0),"",IF(AND(LEN('Raw Data'!E229) &lt;= 50,LEN('Raw Data'!E229)&gt; 0),"",_xlfn.REGEXEXTRACT(CELL("address",'Raw Data'!E229),"\$([A-Z]+)\$[0-9]+"))),_xlfn.REGEXEXTRACT(CELL("address",'Raw Data'!E229),"\$([A-Z]+)\$[0-9]+"))</f>
        <v/>
      </c>
      <c r="F229" s="7" t="str">
        <f t="array" aca="1" ref="F229" ca="1">IFERROR(IF(OR('Raw Data'!F229="",LEN(TRIM('Raw Data'!F229))=0),"",IF(AND(LEN('Raw Data'!F229) &lt;= 50,LEN('Raw Data'!F229)&gt; 0),"",_xlfn.REGEXEXTRACT(CELL("address",'Raw Data'!F229),"\$([A-Z]+)\$[0-9]+"))),_xlfn.REGEXEXTRACT(CELL("address",'Raw Data'!F229),"\$([A-Z]+)\$[0-9]+"))</f>
        <v/>
      </c>
      <c r="G229" s="7" t="str">
        <f t="array" aca="1" ref="G229" ca="1">IFERROR(IF(OR('Raw Data'!G229="",LEN(TRIM('Raw Data'!G229))=0),"",IF(AND(LEN('Raw Data'!G229) &lt;= 50,LEN('Raw Data'!G229)&gt; 0),"",_xlfn.REGEXEXTRACT(CELL("address",'Raw Data'!G229),"\$([A-Z]+)\$[0-9]+"))),_xlfn.REGEXEXTRACT(CELL("address",'Raw Data'!G229),"\$([A-Z]+)\$[0-9]+"))</f>
        <v/>
      </c>
      <c r="H229" s="7" t="str">
        <f t="array" aca="1" ref="H229" ca="1">IFERROR(IF(OR('Raw Data'!H229="",LEN(TRIM('Raw Data'!H229))=0),"",IF(AND(LEN('Raw Data'!H229) &lt;= 50,LEN('Raw Data'!H229)&gt; 0),"",_xlfn.REGEXEXTRACT(CELL("address",'Raw Data'!H229),"\$([A-Z]+)\$[0-9]+"))),_xlfn.REGEXEXTRACT(CELL("address",'Raw Data'!H229),"\$([A-Z]+)\$[0-9]+"))</f>
        <v/>
      </c>
      <c r="I229" s="7" t="str">
        <f t="array" aca="1" ref="I229" ca="1">IFERROR(IF(OR('Raw Data'!I229="",LEN(TRIM('Raw Data'!I229))=0),"",IF(AND(LEN('Raw Data'!I229) &lt;= 50,LEN('Raw Data'!I229)&gt; 0),"",_xlfn.REGEXEXTRACT(CELL("address",'Raw Data'!I229),"\$([A-Z]+)\$[0-9]+"))),_xlfn.REGEXEXTRACT(CELL("address",'Raw Data'!I229),"\$([A-Z]+)\$[0-9]+"))</f>
        <v/>
      </c>
      <c r="J229" s="7" t="str">
        <f t="array" aca="1" ref="J229" ca="1">IFERROR(IF(OR('Raw Data'!J229="",LEN(TRIM('Raw Data'!J229))=0),"",IF(AND(ISNUMBER('Raw Data'!J229), IFERROR('Raw Data'!J229 = ROUND('Raw Data'!J229, 2),FALSE)),"",_xlfn.REGEXEXTRACT(CELL("address",J229), "\$([A-Z]+)\$[0-9]+"))),_xlfn.REGEXEXTRACT(CELL("address",J229), "\$([A-Z]+)\$[0-9]+"))</f>
        <v/>
      </c>
      <c r="K229" s="7" t="str">
        <f t="array" aca="1" ref="K229" ca="1">IFERROR(IF(OR('Raw Data'!K229="",LEN(TRIM('Raw Data'!K229))=0),"",IF(AND(ISNUMBER('Raw Data'!K229), IFERROR('Raw Data'!K229 = ROUND('Raw Data'!K229, 2),FALSE)),"",_xlfn.REGEXEXTRACT(CELL("address",K229), "\$([A-Z]+)\$[0-9]+"))),_xlfn.REGEXEXTRACT(CELL("address",K229), "\$([A-Z]+)\$[0-9]+"))</f>
        <v/>
      </c>
      <c r="L229" s="7" t="str">
        <f t="array" aca="1" ref="L229" ca="1">IFERROR(IF(OR('Raw Data'!L229="",LEN(TRIM('Raw Data'!L229))=0),"",IF(AND(ISNUMBER('Raw Data'!L229), IFERROR('Raw Data'!L229 = ROUND('Raw Data'!L229, 2),FALSE)),"",_xlfn.REGEXEXTRACT(CELL("address",L229), "\$([A-Z]+)\$[0-9]+"))),_xlfn.REGEXEXTRACT(CELL("address",L229), "\$([A-Z]+)\$[0-9]+"))</f>
        <v/>
      </c>
      <c r="M229" s="7" t="str">
        <f t="array" aca="1" ref="M229" ca="1">IFERROR(IF(OR('Raw Data'!M229="",LEN(TRIM('Raw Data'!M229))=0),"",IF(AND(ISNUMBER('Raw Data'!M229), IFERROR('Raw Data'!M229 = ROUND('Raw Data'!M229, 2),FALSE)),"",_xlfn.REGEXEXTRACT(CELL("address",M229), "\$([A-Z]+)\$[0-9]+"))),_xlfn.REGEXEXTRACT(CELL("address",M229), "\$([A-Z]+)\$[0-9]+"))</f>
        <v/>
      </c>
      <c r="N229" s="7" t="str">
        <f t="array" aca="1" ref="N229" ca="1">IFERROR(IF(OR('Raw Data'!N229="",LEN(TRIM('Raw Data'!N229))=0),"",IF(AND(ISNUMBER('Raw Data'!N229), IFERROR('Raw Data'!N229 = ROUND('Raw Data'!N229, 2),FALSE)),"",_xlfn.REGEXEXTRACT(CELL("address",N229), "\$([A-Z]+)\$[0-9]+"))),_xlfn.REGEXEXTRACT(CELL("address",N229), "\$([A-Z]+)\$[0-9]+"))</f>
        <v/>
      </c>
      <c r="O229" s="7" t="str">
        <f t="array" aca="1" ref="O229" ca="1">IFERROR(IF(OR('Raw Data'!O229="",LEN(TRIM('Raw Data'!O229))=0),"",IF(AND(ISNUMBER('Raw Data'!O229),'Raw Data'!O229&gt;=Configuration!$D$2),"",_xlfn.REGEXEXTRACT(CELL("address",'Raw Data'!O229),"\$([A-Z]+)\$[0-9]+"))),_xlfn.REGEXEXTRACT(CELL("address",O229), "\$([A-Z]+)\$[0-9]+"))</f>
        <v/>
      </c>
      <c r="P229" s="7" t="str">
        <f t="array" aca="1" ref="P229" ca="1">IFERROR(IF(OR('Raw Data'!P229="",LEN(TRIM('Raw Data'!P229))=0),"",IF(AND(ISNUMBER('Raw Data'!P229), IFERROR('Raw Data'!P229 = ROUND('Raw Data'!P229, 2),FALSE)),"",_xlfn.REGEXEXTRACT(CELL("address",P229), "\$([A-Z]+)\$[0-9]+"))),_xlfn.REGEXEXTRACT(CELL("address",P229), "\$([A-Z]+)\$[0-9]+"))</f>
        <v/>
      </c>
      <c r="Q229" s="7" t="str">
        <f t="array" aca="1" ref="Q229" ca="1">IFERROR(IF(OR('Raw Data'!Q229="",LEN(TRIM('Raw Data'!Q229))=0),"",IF(AND(ISNUMBER('Raw Data'!Q229), IFERROR('Raw Data'!Q229 = ROUND('Raw Data'!Q229, 2),FALSE)),"",_xlfn.REGEXEXTRACT(CELL("address",Q229), "\$([A-Z]+)\$[0-9]+"))),_xlfn.REGEXEXTRACT(CELL("address",Q229), "\$([A-Z]+)\$[0-9]+"))</f>
        <v/>
      </c>
      <c r="R229" s="7" t="str">
        <f t="array" aca="1" ref="R229" ca="1">IFERROR(IF(OR('Raw Data'!R229="",LEN(TRIM('Raw Data'!R229))=0),"",IF(AND(LEN('Raw Data'!R229) &lt;= 50,LEN('Raw Data'!R229)&gt; 0),"",_xlfn.REGEXEXTRACT(CELL("address",'Raw Data'!R229),"\$([A-Z]+)\$[0-9]+"))),_xlfn.REGEXEXTRACT(CELL("address",'Raw Data'!R229),"\$([A-Z]+)\$[0-9]+"))</f>
        <v/>
      </c>
      <c r="S229" s="7" t="str">
        <f t="array" aca="1" ref="S229" ca="1">IFERROR(IF(OR('Raw Data'!S229="",LEN(TRIM('Raw Data'!S229))=0),"",IF(AND(LEN('Raw Data'!S229) &lt;= 50,LEN('Raw Data'!S229)&gt; 0),"",_xlfn.REGEXEXTRACT(CELL("address",'Raw Data'!S229),"\$([A-Z]+)\$[0-9]+"))),_xlfn.REGEXEXTRACT(CELL("address",'Raw Data'!S229),"\$([A-Z]+)\$[0-9]+"))</f>
        <v/>
      </c>
      <c r="T229" s="7" t="str">
        <f t="array" aca="1" ref="T229" ca="1">IFERROR(IF(OR('Raw Data'!T229="",LEN(TRIM('Raw Data'!T229))=0),"",IF(AND(ISNUMBER('Raw Data'!T229), IFERROR('Raw Data'!T229 = ROUND('Raw Data'!T229, 2),FALSE)),"",_xlfn.REGEXEXTRACT(CELL("address",T229), "\$([A-Z]+)\$[0-9]+"))),_xlfn.REGEXEXTRACT(CELL("address",T229), "\$([A-Z]+)\$[0-9]+"))</f>
        <v/>
      </c>
      <c r="U229" s="7" t="str">
        <f t="array" aca="1" ref="U229" ca="1">IFERROR(IF(OR('Raw Data'!U229="",LEN(TRIM('Raw Data'!U229))=0),"",IF(AND(ISNUMBER('Raw Data'!U229), IFERROR('Raw Data'!U229 = ROUND('Raw Data'!U229, 2),FALSE)),"",_xlfn.REGEXEXTRACT(CELL("address",U229), "\$([A-Z]+)\$[0-9]+"))),_xlfn.REGEXEXTRACT(CELL("address",U229), "\$([A-Z]+)\$[0-9]+"))</f>
        <v/>
      </c>
      <c r="V229" s="7" t="str">
        <f t="array" aca="1" ref="V229" ca="1">IFERROR(IF(OR('Raw Data'!V229="",LEN(TRIM('Raw Data'!V229))=0),"",IF(AND(ISNUMBER('Raw Data'!V229), IFERROR('Raw Data'!V229 = ROUND('Raw Data'!V229, 2),FALSE)),"",_xlfn.REGEXEXTRACT(CELL("address",V229), "\$([A-Z]+)\$[0-9]+"))),_xlfn.REGEXEXTRACT(CELL("address",V229), "\$([A-Z]+)\$[0-9]+"))</f>
        <v/>
      </c>
      <c r="W229" s="7" t="str">
        <f t="array" aca="1" ref="W229" ca="1">IFERROR(IF(OR('Raw Data'!W229="",LEN(TRIM('Raw Data'!W229))=0),"",IF(AND(ISNUMBER('Raw Data'!W229), IFERROR('Raw Data'!W229 = ROUND('Raw Data'!W229, 2),FALSE)),"",_xlfn.REGEXEXTRACT(CELL("address",W229), "\$([A-Z]+)\$[0-9]+"))),_xlfn.REGEXEXTRACT(CELL("address",W229), "\$([A-Z]+)\$[0-9]+"))</f>
        <v/>
      </c>
      <c r="X229" s="7" t="str">
        <f t="array" aca="1" ref="X229" ca="1">IFERROR(IF(OR('Raw Data'!X229="",LEN(TRIM('Raw Data'!X229))=0),"",IF(AND(ISNUMBER('Raw Data'!X229), IFERROR('Raw Data'!X229 = ROUND('Raw Data'!X229, 2),FALSE)),"",_xlfn.REGEXEXTRACT(CELL("address",X229), "\$([A-Z]+)\$[0-9]+"))),_xlfn.REGEXEXTRACT(CELL("address",X229), "\$([A-Z]+)\$[0-9]+"))</f>
        <v/>
      </c>
      <c r="Y229" s="7" t="str">
        <f t="array" aca="1" ref="Y229" ca="1">IFERROR(IF(OR('Raw Data'!Y229="",LEN(TRIM('Raw Data'!Y229))=0),"",IF(AND(ISNUMBER('Raw Data'!Y229), IFERROR('Raw Data'!Y229 = ROUND('Raw Data'!Y229, 2),FALSE)),"",_xlfn.REGEXEXTRACT(CELL("address",Y229), "\$([A-Z]+)\$[0-9]+"))),_xlfn.REGEXEXTRACT(CELL("address",Y229), "\$([A-Z]+)\$[0-9]+"))</f>
        <v/>
      </c>
      <c r="Z229" s="7" t="str">
        <f t="array" aca="1" ref="Z229" ca="1">IFERROR(IF(OR('Raw Data'!Z229="",LEN(TRIM('Raw Data'!Z229))=0),"",IF(AND(ISNUMBER('Raw Data'!Z229), IFERROR('Raw Data'!Z229 = ROUND('Raw Data'!Z229, 2),FALSE)),"",_xlfn.REGEXEXTRACT(CELL("address",Z229), "\$([A-Z]+)\$[0-9]+"))),_xlfn.REGEXEXTRACT(CELL("address",Z229), "\$([A-Z]+)\$[0-9]+"))</f>
        <v/>
      </c>
      <c r="AA229" s="7" t="str">
        <f t="array" aca="1" ref="AA229" ca="1">IFERROR(IF(OR('Raw Data'!AA229="",LEN(TRIM('Raw Data'!AA229))=0),"",IF(AND(ISNUMBER('Raw Data'!AA229), IFERROR('Raw Data'!AA229 = ROUND('Raw Data'!AA229, 2),FALSE)),"",_xlfn.REGEXEXTRACT(CELL("address",AA229), "\$([A-Z]+)\$[0-9]+"))),_xlfn.REGEXEXTRACT(CELL("address",AA229), "\$([A-Z]+)\$[0-9]+"))</f>
        <v/>
      </c>
      <c r="AB229" s="7" t="str">
        <f t="array" aca="1" ref="AB229" ca="1">IFERROR(IF(OR('Raw Data'!AB229="",LEN(TRIM('Raw Data'!AB229))=0),"",IF(AND(ISNUMBER('Raw Data'!AB229), IFERROR('Raw Data'!AB229 = ROUND('Raw Data'!AB229, 2),FALSE)),"",_xlfn.REGEXEXTRACT(CELL("address",AB229), "\$([A-Z]+)\$[0-9]+"))),_xlfn.REGEXEXTRACT(CELL("address",AB229), "\$([A-Z]+)\$[0-9]+"))</f>
        <v/>
      </c>
      <c r="AC229" s="7" t="str">
        <f t="array" aca="1" ref="AC229" ca="1">IFERROR(IF(OR('Raw Data'!AC229="",LEN(TRIM('Raw Data'!AC229))=0),"",IF(AND(ISNUMBER('Raw Data'!AC229), IFERROR('Raw Data'!AC229 = ROUND('Raw Data'!AC229, 2),FALSE)),"",_xlfn.REGEXEXTRACT(CELL("address",AC229), "\$([A-Z]+)\$[0-9]+"))),_xlfn.REGEXEXTRACT(CELL("address",AC229), "\$([A-Z]+)\$[0-9]+"))</f>
        <v/>
      </c>
      <c r="AD229" s="7" t="str">
        <f t="array" aca="1" ref="AD229" ca="1">IFERROR(IF(OR('Raw Data'!AD229="",LEN(TRIM('Raw Data'!AD229))=0),"",IF(AND(ISNUMBER('Raw Data'!AD229), IFERROR('Raw Data'!AD229 = ROUND('Raw Data'!AD229, 2),FALSE)),"",_xlfn.REGEXEXTRACT(CELL("address",AD229), "\$([A-Z]+)\$[0-9]+"))),_xlfn.REGEXEXTRACT(CELL("address",AD229), "\$([A-Z]+)\$[0-9]+"))</f>
        <v/>
      </c>
      <c r="AE229" s="7" t="str">
        <f t="array" aca="1" ref="AE229" ca="1">IFERROR(IF(OR('Raw Data'!AE229="",LEN(TRIM('Raw Data'!AE229))=0),"",IF(AND(ISNUMBER('Raw Data'!AE229), IFERROR('Raw Data'!AE229 = ROUND('Raw Data'!AE229, 2),FALSE)),"",_xlfn.REGEXEXTRACT(CELL("address",AE229), "\$([A-Z]+)\$[0-9]+"))),_xlfn.REGEXEXTRACT(CELL("address",AE229), "\$([A-Z]+)\$[0-9]+"))</f>
        <v/>
      </c>
      <c r="AF229" s="7" t="str">
        <f t="array" aca="1" ref="AF229" ca="1">IFERROR(IF(OR('Raw Data'!AF229="",LEN(TRIM('Raw Data'!AF229))=0),"",IF(AND(ISNUMBER('Raw Data'!AF229), IFERROR('Raw Data'!AF229 = ROUND('Raw Data'!AF229, 2),FALSE)),"",_xlfn.REGEXEXTRACT(CELL("address",AF229), "\$([A-Z]+)\$[0-9]+"))),_xlfn.REGEXEXTRACT(CELL("address",AF229), "\$([A-Z]+)\$[0-9]+"))</f>
        <v/>
      </c>
      <c r="AG229" s="7" t="str">
        <f t="array" aca="1" ref="AG229" ca="1">IFERROR(IF(OR('Raw Data'!AG229="",LEN(TRIM('Raw Data'!AG229))=0),"",IF(AND(ISNUMBER('Raw Data'!AG229), IFERROR('Raw Data'!AG229 = ROUND('Raw Data'!AG229, 2),FALSE)),"",_xlfn.REGEXEXTRACT(CELL("address",AG229), "\$([A-Z]+)\$[0-9]+"))),_xlfn.REGEXEXTRACT(CELL("address",AG229), "\$([A-Z]+)\$[0-9]+"))</f>
        <v/>
      </c>
      <c r="AH229" s="7" t="str">
        <f t="array" aca="1" ref="AH229" ca="1">IFERROR(IF(OR('Raw Data'!AH229="",LEN(TRIM('Raw Data'!AH229))=0),"",IF(AND(ISNUMBER('Raw Data'!AH229), IFERROR('Raw Data'!AH229 = ROUND('Raw Data'!AH229, 2),FALSE)),"",_xlfn.REGEXEXTRACT(CELL("address",AH229), "\$([A-Z]+)\$[0-9]+"))),_xlfn.REGEXEXTRACT(CELL("address",AH229), "\$([A-Z]+)\$[0-9]+"))</f>
        <v/>
      </c>
      <c r="AI229" s="7" t="str">
        <f t="array" aca="1" ref="AI229" ca="1">IFERROR(IF(OR('Raw Data'!AI229="",LEN(TRIM('Raw Data'!AI229))=0),"",IF(AND(ISNUMBER('Raw Data'!AI229), IFERROR('Raw Data'!AI229 = ROUND('Raw Data'!AI229, 2),FALSE)),"",_xlfn.REGEXEXTRACT(CELL("address",AI229), "\$([A-Z]+)\$[0-9]+"))),_xlfn.REGEXEXTRACT(CELL("address",AI229), "\$([A-Z]+)\$[0-9]+"))</f>
        <v/>
      </c>
      <c r="AJ229" s="7" t="str">
        <f t="array" aca="1" ref="AJ229" ca="1">IFERROR(IF(OR('Raw Data'!AJ229="",LEN(TRIM('Raw Data'!AJ229))=0),"",IF(AND(ISNUMBER('Raw Data'!AJ229), IFERROR('Raw Data'!AJ229 = ROUND('Raw Data'!AJ229, 4),FALSE)),"",_xlfn.REGEXEXTRACT(CELL("address",AJ229), "\$([A-Z]+)\$[0-9]+"))),_xlfn.REGEXEXTRACT(CELL("address",AJ229), "\$([A-Z]+)\$[0-9]+"))</f>
        <v/>
      </c>
      <c r="AK229" s="7" t="str">
        <f t="array" aca="1" ref="AK229" ca="1">IFERROR(IF(OR('Raw Data'!AK229="",LEN(TRIM('Raw Data'!AK229))=0),"",IF(AND(ISNUMBER('Raw Data'!AK229), IFERROR('Raw Data'!AK229 = ROUND('Raw Data'!AK229, 2),FALSE)),"",_xlfn.REGEXEXTRACT(CELL("address",AK229), "\$([A-Z]+)\$[0-9]+"))),_xlfn.REGEXEXTRACT(CELL("address",AK229), "\$([A-Z]+)\$[0-9]+"))</f>
        <v/>
      </c>
      <c r="AL229" s="7" t="str">
        <f t="array" aca="1" ref="AL229" ca="1">IFERROR(IF(OR('Raw Data'!AL229="",LEN(TRIM('Raw Data'!AL229))=0),"",IF(AND(ISNUMBER('Raw Data'!AL229), IFERROR('Raw Data'!AL229 = ROUND('Raw Data'!AL229, 2),FALSE)),"",_xlfn.REGEXEXTRACT(CELL("address",AL229), "\$([A-Z]+)\$[0-9]+"))),_xlfn.REGEXEXTRACT(CELL("address",AL229), "\$([A-Z]+)\$[0-9]+"))</f>
        <v/>
      </c>
      <c r="AM229" s="7" t="str">
        <f t="array" aca="1" ref="AM229" ca="1">IFERROR(IF(OR('Raw Data'!AM229="",LEN(TRIM('Raw Data'!AM229))=0),"",IF(AND(ISNUMBER('Raw Data'!AM229), IFERROR('Raw Data'!AM229 = ROUND('Raw Data'!AM229, 2),FALSE)),"",_xlfn.REGEXEXTRACT(CELL("address",AM229), "\$([A-Z]+)\$[0-9]+"))),_xlfn.REGEXEXTRACT(CELL("address",AM229), "\$([A-Z]+)\$[0-9]+"))</f>
        <v/>
      </c>
      <c r="AN229" s="7" t="str">
        <f t="array" aca="1" ref="AN229" ca="1">IFERROR(IF(OR('Raw Data'!AN229="",LEN(TRIM('Raw Data'!AN229))=0),"",IF(AND(ISNUMBER('Raw Data'!AN229), IFERROR('Raw Data'!AN229 = ROUND('Raw Data'!AN229, 2),FALSE)),"",_xlfn.REGEXEXTRACT(CELL("address",AN229), "\$([A-Z]+)\$[0-9]+"))),_xlfn.REGEXEXTRACT(CELL("address",AN229), "\$([A-Z]+)\$[0-9]+"))</f>
        <v/>
      </c>
      <c r="AO229" s="7" t="str">
        <f t="array" aca="1" ref="AO229" ca="1">IFERROR(IF(OR('Raw Data'!AO229="",LEN(TRIM('Raw Data'!AO229))=0),"",IF(AND(ISNUMBER('Raw Data'!AO229), IFERROR('Raw Data'!AO229 = ROUND('Raw Data'!AO229, 2),FALSE)),"",_xlfn.REGEXEXTRACT(CELL("address",AO229), "\$([A-Z]+)\$[0-9]+"))),_xlfn.REGEXEXTRACT(CELL("address",AO229), "\$([A-Z]+)\$[0-9]+"))</f>
        <v/>
      </c>
      <c r="AP229" s="7" t="str">
        <f t="array" aca="1" ref="AP229" ca="1">IFERROR(IF(OR('Raw Data'!AP229="",LEN(TRIM('Raw Data'!AP229))=0),"",IF(AND(ISNUMBER('Raw Data'!AP229), IFERROR('Raw Data'!AP229 = ROUND('Raw Data'!AP229, 2),FALSE)),"",_xlfn.REGEXEXTRACT(CELL("address",AP229), "\$([A-Z]+)\$[0-9]+"))),_xlfn.REGEXEXTRACT(CELL("address",AP229), "\$([A-Z]+)\$[0-9]+"))</f>
        <v/>
      </c>
    </row>
    <row r="230" spans="2:42" x14ac:dyDescent="0.25">
      <c r="B230" s="7" t="str">
        <f t="array" aca="1" ref="B230" ca="1">IFERROR(IF(OR('Raw Data'!B230="",LEN(TRIM('Raw Data'!B230))=0),"",IF(AND(LEN('Raw Data'!B230) &lt;= 255,LEN('Raw Data'!B230)&gt; 0),"",_xlfn.REGEXEXTRACT(CELL("address",'Raw Data'!B230),"\$([A-Z]+)\$[0-9]+"))),_xlfn.REGEXEXTRACT(CELL("address",'Raw Data'!B230),"\$([A-Z]+)\$[0-9]+"))</f>
        <v/>
      </c>
      <c r="C230" s="7" t="str">
        <f t="array" aca="1" ref="C230" ca="1">IFERROR(IF(OR('Raw Data'!C230="",LEN(TRIM('Raw Data'!C230))=0),"",IF(AND(LEN('Raw Data'!C230) &lt;= 50,LEN('Raw Data'!C230)&gt; 0),"",_xlfn.REGEXEXTRACT(CELL("address",'Raw Data'!C230),"\$([A-Z]+)\$[0-9]+"))),_xlfn.REGEXEXTRACT(CELL("address",'Raw Data'!C230),"\$([A-Z]+)\$[0-9]+"))</f>
        <v/>
      </c>
      <c r="D230" s="7" t="str">
        <f t="array" aca="1" ref="D230" ca="1">IFERROR(IF(OR('Raw Data'!D230="",LEN(TRIM('Raw Data'!D230))=0),"",IF(AND(LEN('Raw Data'!D230) &lt;= 500,LEN('Raw Data'!D230)&gt; 0),"",_xlfn.REGEXEXTRACT(CELL("address",'Raw Data'!D230),"\$([A-Z]+)\$[0-9]+"))),_xlfn.REGEXEXTRACT(CELL("address",'Raw Data'!D230),"\$([A-Z]+)\$[0-9]+"))</f>
        <v/>
      </c>
      <c r="E230" s="7" t="str">
        <f t="array" aca="1" ref="E230" ca="1">IFERROR(IF(OR('Raw Data'!E230="",LEN(TRIM('Raw Data'!E230))=0),"",IF(AND(LEN('Raw Data'!E230) &lt;= 50,LEN('Raw Data'!E230)&gt; 0),"",_xlfn.REGEXEXTRACT(CELL("address",'Raw Data'!E230),"\$([A-Z]+)\$[0-9]+"))),_xlfn.REGEXEXTRACT(CELL("address",'Raw Data'!E230),"\$([A-Z]+)\$[0-9]+"))</f>
        <v/>
      </c>
      <c r="F230" s="7" t="str">
        <f t="array" aca="1" ref="F230" ca="1">IFERROR(IF(OR('Raw Data'!F230="",LEN(TRIM('Raw Data'!F230))=0),"",IF(AND(LEN('Raw Data'!F230) &lt;= 50,LEN('Raw Data'!F230)&gt; 0),"",_xlfn.REGEXEXTRACT(CELL("address",'Raw Data'!F230),"\$([A-Z]+)\$[0-9]+"))),_xlfn.REGEXEXTRACT(CELL("address",'Raw Data'!F230),"\$([A-Z]+)\$[0-9]+"))</f>
        <v/>
      </c>
      <c r="G230" s="7" t="str">
        <f t="array" aca="1" ref="G230" ca="1">IFERROR(IF(OR('Raw Data'!G230="",LEN(TRIM('Raw Data'!G230))=0),"",IF(AND(LEN('Raw Data'!G230) &lt;= 50,LEN('Raw Data'!G230)&gt; 0),"",_xlfn.REGEXEXTRACT(CELL("address",'Raw Data'!G230),"\$([A-Z]+)\$[0-9]+"))),_xlfn.REGEXEXTRACT(CELL("address",'Raw Data'!G230),"\$([A-Z]+)\$[0-9]+"))</f>
        <v/>
      </c>
      <c r="H230" s="7" t="str">
        <f t="array" aca="1" ref="H230" ca="1">IFERROR(IF(OR('Raw Data'!H230="",LEN(TRIM('Raw Data'!H230))=0),"",IF(AND(LEN('Raw Data'!H230) &lt;= 50,LEN('Raw Data'!H230)&gt; 0),"",_xlfn.REGEXEXTRACT(CELL("address",'Raw Data'!H230),"\$([A-Z]+)\$[0-9]+"))),_xlfn.REGEXEXTRACT(CELL("address",'Raw Data'!H230),"\$([A-Z]+)\$[0-9]+"))</f>
        <v/>
      </c>
      <c r="I230" s="7" t="str">
        <f t="array" aca="1" ref="I230" ca="1">IFERROR(IF(OR('Raw Data'!I230="",LEN(TRIM('Raw Data'!I230))=0),"",IF(AND(LEN('Raw Data'!I230) &lt;= 50,LEN('Raw Data'!I230)&gt; 0),"",_xlfn.REGEXEXTRACT(CELL("address",'Raw Data'!I230),"\$([A-Z]+)\$[0-9]+"))),_xlfn.REGEXEXTRACT(CELL("address",'Raw Data'!I230),"\$([A-Z]+)\$[0-9]+"))</f>
        <v/>
      </c>
      <c r="J230" s="7" t="str">
        <f t="array" aca="1" ref="J230" ca="1">IFERROR(IF(OR('Raw Data'!J230="",LEN(TRIM('Raw Data'!J230))=0),"",IF(AND(ISNUMBER('Raw Data'!J230), IFERROR('Raw Data'!J230 = ROUND('Raw Data'!J230, 2),FALSE)),"",_xlfn.REGEXEXTRACT(CELL("address",J230), "\$([A-Z]+)\$[0-9]+"))),_xlfn.REGEXEXTRACT(CELL("address",J230), "\$([A-Z]+)\$[0-9]+"))</f>
        <v/>
      </c>
      <c r="K230" s="7" t="str">
        <f t="array" aca="1" ref="K230" ca="1">IFERROR(IF(OR('Raw Data'!K230="",LEN(TRIM('Raw Data'!K230))=0),"",IF(AND(ISNUMBER('Raw Data'!K230), IFERROR('Raw Data'!K230 = ROUND('Raw Data'!K230, 2),FALSE)),"",_xlfn.REGEXEXTRACT(CELL("address",K230), "\$([A-Z]+)\$[0-9]+"))),_xlfn.REGEXEXTRACT(CELL("address",K230), "\$([A-Z]+)\$[0-9]+"))</f>
        <v/>
      </c>
      <c r="L230" s="7" t="str">
        <f t="array" aca="1" ref="L230" ca="1">IFERROR(IF(OR('Raw Data'!L230="",LEN(TRIM('Raw Data'!L230))=0),"",IF(AND(ISNUMBER('Raw Data'!L230), IFERROR('Raw Data'!L230 = ROUND('Raw Data'!L230, 2),FALSE)),"",_xlfn.REGEXEXTRACT(CELL("address",L230), "\$([A-Z]+)\$[0-9]+"))),_xlfn.REGEXEXTRACT(CELL("address",L230), "\$([A-Z]+)\$[0-9]+"))</f>
        <v/>
      </c>
      <c r="M230" s="7" t="str">
        <f t="array" aca="1" ref="M230" ca="1">IFERROR(IF(OR('Raw Data'!M230="",LEN(TRIM('Raw Data'!M230))=0),"",IF(AND(ISNUMBER('Raw Data'!M230), IFERROR('Raw Data'!M230 = ROUND('Raw Data'!M230, 2),FALSE)),"",_xlfn.REGEXEXTRACT(CELL("address",M230), "\$([A-Z]+)\$[0-9]+"))),_xlfn.REGEXEXTRACT(CELL("address",M230), "\$([A-Z]+)\$[0-9]+"))</f>
        <v/>
      </c>
      <c r="N230" s="7" t="str">
        <f t="array" aca="1" ref="N230" ca="1">IFERROR(IF(OR('Raw Data'!N230="",LEN(TRIM('Raw Data'!N230))=0),"",IF(AND(ISNUMBER('Raw Data'!N230), IFERROR('Raw Data'!N230 = ROUND('Raw Data'!N230, 2),FALSE)),"",_xlfn.REGEXEXTRACT(CELL("address",N230), "\$([A-Z]+)\$[0-9]+"))),_xlfn.REGEXEXTRACT(CELL("address",N230), "\$([A-Z]+)\$[0-9]+"))</f>
        <v/>
      </c>
      <c r="O230" s="7" t="str">
        <f t="array" aca="1" ref="O230" ca="1">IFERROR(IF(OR('Raw Data'!O230="",LEN(TRIM('Raw Data'!O230))=0),"",IF(AND(ISNUMBER('Raw Data'!O230),'Raw Data'!O230&gt;=Configuration!$D$2),"",_xlfn.REGEXEXTRACT(CELL("address",'Raw Data'!O230),"\$([A-Z]+)\$[0-9]+"))),_xlfn.REGEXEXTRACT(CELL("address",O230), "\$([A-Z]+)\$[0-9]+"))</f>
        <v/>
      </c>
      <c r="P230" s="7" t="str">
        <f t="array" aca="1" ref="P230" ca="1">IFERROR(IF(OR('Raw Data'!P230="",LEN(TRIM('Raw Data'!P230))=0),"",IF(AND(ISNUMBER('Raw Data'!P230), IFERROR('Raw Data'!P230 = ROUND('Raw Data'!P230, 2),FALSE)),"",_xlfn.REGEXEXTRACT(CELL("address",P230), "\$([A-Z]+)\$[0-9]+"))),_xlfn.REGEXEXTRACT(CELL("address",P230), "\$([A-Z]+)\$[0-9]+"))</f>
        <v/>
      </c>
      <c r="Q230" s="7" t="str">
        <f t="array" aca="1" ref="Q230" ca="1">IFERROR(IF(OR('Raw Data'!Q230="",LEN(TRIM('Raw Data'!Q230))=0),"",IF(AND(ISNUMBER('Raw Data'!Q230), IFERROR('Raw Data'!Q230 = ROUND('Raw Data'!Q230, 2),FALSE)),"",_xlfn.REGEXEXTRACT(CELL("address",Q230), "\$([A-Z]+)\$[0-9]+"))),_xlfn.REGEXEXTRACT(CELL("address",Q230), "\$([A-Z]+)\$[0-9]+"))</f>
        <v/>
      </c>
      <c r="R230" s="7" t="str">
        <f t="array" aca="1" ref="R230" ca="1">IFERROR(IF(OR('Raw Data'!R230="",LEN(TRIM('Raw Data'!R230))=0),"",IF(AND(LEN('Raw Data'!R230) &lt;= 50,LEN('Raw Data'!R230)&gt; 0),"",_xlfn.REGEXEXTRACT(CELL("address",'Raw Data'!R230),"\$([A-Z]+)\$[0-9]+"))),_xlfn.REGEXEXTRACT(CELL("address",'Raw Data'!R230),"\$([A-Z]+)\$[0-9]+"))</f>
        <v/>
      </c>
      <c r="S230" s="7" t="str">
        <f t="array" aca="1" ref="S230" ca="1">IFERROR(IF(OR('Raw Data'!S230="",LEN(TRIM('Raw Data'!S230))=0),"",IF(AND(LEN('Raw Data'!S230) &lt;= 50,LEN('Raw Data'!S230)&gt; 0),"",_xlfn.REGEXEXTRACT(CELL("address",'Raw Data'!S230),"\$([A-Z]+)\$[0-9]+"))),_xlfn.REGEXEXTRACT(CELL("address",'Raw Data'!S230),"\$([A-Z]+)\$[0-9]+"))</f>
        <v/>
      </c>
      <c r="T230" s="7" t="str">
        <f t="array" aca="1" ref="T230" ca="1">IFERROR(IF(OR('Raw Data'!T230="",LEN(TRIM('Raw Data'!T230))=0),"",IF(AND(ISNUMBER('Raw Data'!T230), IFERROR('Raw Data'!T230 = ROUND('Raw Data'!T230, 2),FALSE)),"",_xlfn.REGEXEXTRACT(CELL("address",T230), "\$([A-Z]+)\$[0-9]+"))),_xlfn.REGEXEXTRACT(CELL("address",T230), "\$([A-Z]+)\$[0-9]+"))</f>
        <v/>
      </c>
      <c r="U230" s="7" t="str">
        <f t="array" aca="1" ref="U230" ca="1">IFERROR(IF(OR('Raw Data'!U230="",LEN(TRIM('Raw Data'!U230))=0),"",IF(AND(ISNUMBER('Raw Data'!U230), IFERROR('Raw Data'!U230 = ROUND('Raw Data'!U230, 2),FALSE)),"",_xlfn.REGEXEXTRACT(CELL("address",U230), "\$([A-Z]+)\$[0-9]+"))),_xlfn.REGEXEXTRACT(CELL("address",U230), "\$([A-Z]+)\$[0-9]+"))</f>
        <v/>
      </c>
      <c r="V230" s="7" t="str">
        <f t="array" aca="1" ref="V230" ca="1">IFERROR(IF(OR('Raw Data'!V230="",LEN(TRIM('Raw Data'!V230))=0),"",IF(AND(ISNUMBER('Raw Data'!V230), IFERROR('Raw Data'!V230 = ROUND('Raw Data'!V230, 2),FALSE)),"",_xlfn.REGEXEXTRACT(CELL("address",V230), "\$([A-Z]+)\$[0-9]+"))),_xlfn.REGEXEXTRACT(CELL("address",V230), "\$([A-Z]+)\$[0-9]+"))</f>
        <v/>
      </c>
      <c r="W230" s="7" t="str">
        <f t="array" aca="1" ref="W230" ca="1">IFERROR(IF(OR('Raw Data'!W230="",LEN(TRIM('Raw Data'!W230))=0),"",IF(AND(ISNUMBER('Raw Data'!W230), IFERROR('Raw Data'!W230 = ROUND('Raw Data'!W230, 2),FALSE)),"",_xlfn.REGEXEXTRACT(CELL("address",W230), "\$([A-Z]+)\$[0-9]+"))),_xlfn.REGEXEXTRACT(CELL("address",W230), "\$([A-Z]+)\$[0-9]+"))</f>
        <v/>
      </c>
      <c r="X230" s="7" t="str">
        <f t="array" aca="1" ref="X230" ca="1">IFERROR(IF(OR('Raw Data'!X230="",LEN(TRIM('Raw Data'!X230))=0),"",IF(AND(ISNUMBER('Raw Data'!X230), IFERROR('Raw Data'!X230 = ROUND('Raw Data'!X230, 2),FALSE)),"",_xlfn.REGEXEXTRACT(CELL("address",X230), "\$([A-Z]+)\$[0-9]+"))),_xlfn.REGEXEXTRACT(CELL("address",X230), "\$([A-Z]+)\$[0-9]+"))</f>
        <v/>
      </c>
      <c r="Y230" s="7" t="str">
        <f t="array" aca="1" ref="Y230" ca="1">IFERROR(IF(OR('Raw Data'!Y230="",LEN(TRIM('Raw Data'!Y230))=0),"",IF(AND(ISNUMBER('Raw Data'!Y230), IFERROR('Raw Data'!Y230 = ROUND('Raw Data'!Y230, 2),FALSE)),"",_xlfn.REGEXEXTRACT(CELL("address",Y230), "\$([A-Z]+)\$[0-9]+"))),_xlfn.REGEXEXTRACT(CELL("address",Y230), "\$([A-Z]+)\$[0-9]+"))</f>
        <v/>
      </c>
      <c r="Z230" s="7" t="str">
        <f t="array" aca="1" ref="Z230" ca="1">IFERROR(IF(OR('Raw Data'!Z230="",LEN(TRIM('Raw Data'!Z230))=0),"",IF(AND(ISNUMBER('Raw Data'!Z230), IFERROR('Raw Data'!Z230 = ROUND('Raw Data'!Z230, 2),FALSE)),"",_xlfn.REGEXEXTRACT(CELL("address",Z230), "\$([A-Z]+)\$[0-9]+"))),_xlfn.REGEXEXTRACT(CELL("address",Z230), "\$([A-Z]+)\$[0-9]+"))</f>
        <v/>
      </c>
      <c r="AA230" s="7" t="str">
        <f t="array" aca="1" ref="AA230" ca="1">IFERROR(IF(OR('Raw Data'!AA230="",LEN(TRIM('Raw Data'!AA230))=0),"",IF(AND(ISNUMBER('Raw Data'!AA230), IFERROR('Raw Data'!AA230 = ROUND('Raw Data'!AA230, 2),FALSE)),"",_xlfn.REGEXEXTRACT(CELL("address",AA230), "\$([A-Z]+)\$[0-9]+"))),_xlfn.REGEXEXTRACT(CELL("address",AA230), "\$([A-Z]+)\$[0-9]+"))</f>
        <v/>
      </c>
      <c r="AB230" s="7" t="str">
        <f t="array" aca="1" ref="AB230" ca="1">IFERROR(IF(OR('Raw Data'!AB230="",LEN(TRIM('Raw Data'!AB230))=0),"",IF(AND(ISNUMBER('Raw Data'!AB230), IFERROR('Raw Data'!AB230 = ROUND('Raw Data'!AB230, 2),FALSE)),"",_xlfn.REGEXEXTRACT(CELL("address",AB230), "\$([A-Z]+)\$[0-9]+"))),_xlfn.REGEXEXTRACT(CELL("address",AB230), "\$([A-Z]+)\$[0-9]+"))</f>
        <v/>
      </c>
      <c r="AC230" s="7" t="str">
        <f t="array" aca="1" ref="AC230" ca="1">IFERROR(IF(OR('Raw Data'!AC230="",LEN(TRIM('Raw Data'!AC230))=0),"",IF(AND(ISNUMBER('Raw Data'!AC230), IFERROR('Raw Data'!AC230 = ROUND('Raw Data'!AC230, 2),FALSE)),"",_xlfn.REGEXEXTRACT(CELL("address",AC230), "\$([A-Z]+)\$[0-9]+"))),_xlfn.REGEXEXTRACT(CELL("address",AC230), "\$([A-Z]+)\$[0-9]+"))</f>
        <v/>
      </c>
      <c r="AD230" s="7" t="str">
        <f t="array" aca="1" ref="AD230" ca="1">IFERROR(IF(OR('Raw Data'!AD230="",LEN(TRIM('Raw Data'!AD230))=0),"",IF(AND(ISNUMBER('Raw Data'!AD230), IFERROR('Raw Data'!AD230 = ROUND('Raw Data'!AD230, 2),FALSE)),"",_xlfn.REGEXEXTRACT(CELL("address",AD230), "\$([A-Z]+)\$[0-9]+"))),_xlfn.REGEXEXTRACT(CELL("address",AD230), "\$([A-Z]+)\$[0-9]+"))</f>
        <v/>
      </c>
      <c r="AE230" s="7" t="str">
        <f t="array" aca="1" ref="AE230" ca="1">IFERROR(IF(OR('Raw Data'!AE230="",LEN(TRIM('Raw Data'!AE230))=0),"",IF(AND(ISNUMBER('Raw Data'!AE230), IFERROR('Raw Data'!AE230 = ROUND('Raw Data'!AE230, 2),FALSE)),"",_xlfn.REGEXEXTRACT(CELL("address",AE230), "\$([A-Z]+)\$[0-9]+"))),_xlfn.REGEXEXTRACT(CELL("address",AE230), "\$([A-Z]+)\$[0-9]+"))</f>
        <v/>
      </c>
      <c r="AF230" s="7" t="str">
        <f t="array" aca="1" ref="AF230" ca="1">IFERROR(IF(OR('Raw Data'!AF230="",LEN(TRIM('Raw Data'!AF230))=0),"",IF(AND(ISNUMBER('Raw Data'!AF230), IFERROR('Raw Data'!AF230 = ROUND('Raw Data'!AF230, 2),FALSE)),"",_xlfn.REGEXEXTRACT(CELL("address",AF230), "\$([A-Z]+)\$[0-9]+"))),_xlfn.REGEXEXTRACT(CELL("address",AF230), "\$([A-Z]+)\$[0-9]+"))</f>
        <v/>
      </c>
      <c r="AG230" s="7" t="str">
        <f t="array" aca="1" ref="AG230" ca="1">IFERROR(IF(OR('Raw Data'!AG230="",LEN(TRIM('Raw Data'!AG230))=0),"",IF(AND(ISNUMBER('Raw Data'!AG230), IFERROR('Raw Data'!AG230 = ROUND('Raw Data'!AG230, 2),FALSE)),"",_xlfn.REGEXEXTRACT(CELL("address",AG230), "\$([A-Z]+)\$[0-9]+"))),_xlfn.REGEXEXTRACT(CELL("address",AG230), "\$([A-Z]+)\$[0-9]+"))</f>
        <v/>
      </c>
      <c r="AH230" s="7" t="str">
        <f t="array" aca="1" ref="AH230" ca="1">IFERROR(IF(OR('Raw Data'!AH230="",LEN(TRIM('Raw Data'!AH230))=0),"",IF(AND(ISNUMBER('Raw Data'!AH230), IFERROR('Raw Data'!AH230 = ROUND('Raw Data'!AH230, 2),FALSE)),"",_xlfn.REGEXEXTRACT(CELL("address",AH230), "\$([A-Z]+)\$[0-9]+"))),_xlfn.REGEXEXTRACT(CELL("address",AH230), "\$([A-Z]+)\$[0-9]+"))</f>
        <v/>
      </c>
      <c r="AI230" s="7" t="str">
        <f t="array" aca="1" ref="AI230" ca="1">IFERROR(IF(OR('Raw Data'!AI230="",LEN(TRIM('Raw Data'!AI230))=0),"",IF(AND(ISNUMBER('Raw Data'!AI230), IFERROR('Raw Data'!AI230 = ROUND('Raw Data'!AI230, 2),FALSE)),"",_xlfn.REGEXEXTRACT(CELL("address",AI230), "\$([A-Z]+)\$[0-9]+"))),_xlfn.REGEXEXTRACT(CELL("address",AI230), "\$([A-Z]+)\$[0-9]+"))</f>
        <v/>
      </c>
      <c r="AJ230" s="7" t="str">
        <f t="array" aca="1" ref="AJ230" ca="1">IFERROR(IF(OR('Raw Data'!AJ230="",LEN(TRIM('Raw Data'!AJ230))=0),"",IF(AND(ISNUMBER('Raw Data'!AJ230), IFERROR('Raw Data'!AJ230 = ROUND('Raw Data'!AJ230, 4),FALSE)),"",_xlfn.REGEXEXTRACT(CELL("address",AJ230), "\$([A-Z]+)\$[0-9]+"))),_xlfn.REGEXEXTRACT(CELL("address",AJ230), "\$([A-Z]+)\$[0-9]+"))</f>
        <v/>
      </c>
      <c r="AK230" s="7" t="str">
        <f t="array" aca="1" ref="AK230" ca="1">IFERROR(IF(OR('Raw Data'!AK230="",LEN(TRIM('Raw Data'!AK230))=0),"",IF(AND(ISNUMBER('Raw Data'!AK230), IFERROR('Raw Data'!AK230 = ROUND('Raw Data'!AK230, 2),FALSE)),"",_xlfn.REGEXEXTRACT(CELL("address",AK230), "\$([A-Z]+)\$[0-9]+"))),_xlfn.REGEXEXTRACT(CELL("address",AK230), "\$([A-Z]+)\$[0-9]+"))</f>
        <v/>
      </c>
      <c r="AL230" s="7" t="str">
        <f t="array" aca="1" ref="AL230" ca="1">IFERROR(IF(OR('Raw Data'!AL230="",LEN(TRIM('Raw Data'!AL230))=0),"",IF(AND(ISNUMBER('Raw Data'!AL230), IFERROR('Raw Data'!AL230 = ROUND('Raw Data'!AL230, 2),FALSE)),"",_xlfn.REGEXEXTRACT(CELL("address",AL230), "\$([A-Z]+)\$[0-9]+"))),_xlfn.REGEXEXTRACT(CELL("address",AL230), "\$([A-Z]+)\$[0-9]+"))</f>
        <v/>
      </c>
      <c r="AM230" s="7" t="str">
        <f t="array" aca="1" ref="AM230" ca="1">IFERROR(IF(OR('Raw Data'!AM230="",LEN(TRIM('Raw Data'!AM230))=0),"",IF(AND(ISNUMBER('Raw Data'!AM230), IFERROR('Raw Data'!AM230 = ROUND('Raw Data'!AM230, 2),FALSE)),"",_xlfn.REGEXEXTRACT(CELL("address",AM230), "\$([A-Z]+)\$[0-9]+"))),_xlfn.REGEXEXTRACT(CELL("address",AM230), "\$([A-Z]+)\$[0-9]+"))</f>
        <v/>
      </c>
      <c r="AN230" s="7" t="str">
        <f t="array" aca="1" ref="AN230" ca="1">IFERROR(IF(OR('Raw Data'!AN230="",LEN(TRIM('Raw Data'!AN230))=0),"",IF(AND(ISNUMBER('Raw Data'!AN230), IFERROR('Raw Data'!AN230 = ROUND('Raw Data'!AN230, 2),FALSE)),"",_xlfn.REGEXEXTRACT(CELL("address",AN230), "\$([A-Z]+)\$[0-9]+"))),_xlfn.REGEXEXTRACT(CELL("address",AN230), "\$([A-Z]+)\$[0-9]+"))</f>
        <v/>
      </c>
      <c r="AO230" s="7" t="str">
        <f t="array" aca="1" ref="AO230" ca="1">IFERROR(IF(OR('Raw Data'!AO230="",LEN(TRIM('Raw Data'!AO230))=0),"",IF(AND(ISNUMBER('Raw Data'!AO230), IFERROR('Raw Data'!AO230 = ROUND('Raw Data'!AO230, 2),FALSE)),"",_xlfn.REGEXEXTRACT(CELL("address",AO230), "\$([A-Z]+)\$[0-9]+"))),_xlfn.REGEXEXTRACT(CELL("address",AO230), "\$([A-Z]+)\$[0-9]+"))</f>
        <v/>
      </c>
      <c r="AP230" s="7" t="str">
        <f t="array" aca="1" ref="AP230" ca="1">IFERROR(IF(OR('Raw Data'!AP230="",LEN(TRIM('Raw Data'!AP230))=0),"",IF(AND(ISNUMBER('Raw Data'!AP230), IFERROR('Raw Data'!AP230 = ROUND('Raw Data'!AP230, 2),FALSE)),"",_xlfn.REGEXEXTRACT(CELL("address",AP230), "\$([A-Z]+)\$[0-9]+"))),_xlfn.REGEXEXTRACT(CELL("address",AP230), "\$([A-Z]+)\$[0-9]+"))</f>
        <v/>
      </c>
    </row>
    <row r="231" spans="2:42" x14ac:dyDescent="0.25">
      <c r="B231" s="7" t="str">
        <f t="array" aca="1" ref="B231" ca="1">IFERROR(IF(OR('Raw Data'!B231="",LEN(TRIM('Raw Data'!B231))=0),"",IF(AND(LEN('Raw Data'!B231) &lt;= 255,LEN('Raw Data'!B231)&gt; 0),"",_xlfn.REGEXEXTRACT(CELL("address",'Raw Data'!B231),"\$([A-Z]+)\$[0-9]+"))),_xlfn.REGEXEXTRACT(CELL("address",'Raw Data'!B231),"\$([A-Z]+)\$[0-9]+"))</f>
        <v/>
      </c>
      <c r="C231" s="7" t="str">
        <f t="array" aca="1" ref="C231" ca="1">IFERROR(IF(OR('Raw Data'!C231="",LEN(TRIM('Raw Data'!C231))=0),"",IF(AND(LEN('Raw Data'!C231) &lt;= 50,LEN('Raw Data'!C231)&gt; 0),"",_xlfn.REGEXEXTRACT(CELL("address",'Raw Data'!C231),"\$([A-Z]+)\$[0-9]+"))),_xlfn.REGEXEXTRACT(CELL("address",'Raw Data'!C231),"\$([A-Z]+)\$[0-9]+"))</f>
        <v/>
      </c>
      <c r="D231" s="7" t="str">
        <f t="array" aca="1" ref="D231" ca="1">IFERROR(IF(OR('Raw Data'!D231="",LEN(TRIM('Raw Data'!D231))=0),"",IF(AND(LEN('Raw Data'!D231) &lt;= 500,LEN('Raw Data'!D231)&gt; 0),"",_xlfn.REGEXEXTRACT(CELL("address",'Raw Data'!D231),"\$([A-Z]+)\$[0-9]+"))),_xlfn.REGEXEXTRACT(CELL("address",'Raw Data'!D231),"\$([A-Z]+)\$[0-9]+"))</f>
        <v/>
      </c>
      <c r="E231" s="7" t="str">
        <f t="array" aca="1" ref="E231" ca="1">IFERROR(IF(OR('Raw Data'!E231="",LEN(TRIM('Raw Data'!E231))=0),"",IF(AND(LEN('Raw Data'!E231) &lt;= 50,LEN('Raw Data'!E231)&gt; 0),"",_xlfn.REGEXEXTRACT(CELL("address",'Raw Data'!E231),"\$([A-Z]+)\$[0-9]+"))),_xlfn.REGEXEXTRACT(CELL("address",'Raw Data'!E231),"\$([A-Z]+)\$[0-9]+"))</f>
        <v/>
      </c>
      <c r="F231" s="7" t="str">
        <f t="array" aca="1" ref="F231" ca="1">IFERROR(IF(OR('Raw Data'!F231="",LEN(TRIM('Raw Data'!F231))=0),"",IF(AND(LEN('Raw Data'!F231) &lt;= 50,LEN('Raw Data'!F231)&gt; 0),"",_xlfn.REGEXEXTRACT(CELL("address",'Raw Data'!F231),"\$([A-Z]+)\$[0-9]+"))),_xlfn.REGEXEXTRACT(CELL("address",'Raw Data'!F231),"\$([A-Z]+)\$[0-9]+"))</f>
        <v/>
      </c>
      <c r="G231" s="7" t="str">
        <f t="array" aca="1" ref="G231" ca="1">IFERROR(IF(OR('Raw Data'!G231="",LEN(TRIM('Raw Data'!G231))=0),"",IF(AND(LEN('Raw Data'!G231) &lt;= 50,LEN('Raw Data'!G231)&gt; 0),"",_xlfn.REGEXEXTRACT(CELL("address",'Raw Data'!G231),"\$([A-Z]+)\$[0-9]+"))),_xlfn.REGEXEXTRACT(CELL("address",'Raw Data'!G231),"\$([A-Z]+)\$[0-9]+"))</f>
        <v/>
      </c>
      <c r="H231" s="7" t="str">
        <f t="array" aca="1" ref="H231" ca="1">IFERROR(IF(OR('Raw Data'!H231="",LEN(TRIM('Raw Data'!H231))=0),"",IF(AND(LEN('Raw Data'!H231) &lt;= 50,LEN('Raw Data'!H231)&gt; 0),"",_xlfn.REGEXEXTRACT(CELL("address",'Raw Data'!H231),"\$([A-Z]+)\$[0-9]+"))),_xlfn.REGEXEXTRACT(CELL("address",'Raw Data'!H231),"\$([A-Z]+)\$[0-9]+"))</f>
        <v/>
      </c>
      <c r="I231" s="7" t="str">
        <f t="array" aca="1" ref="I231" ca="1">IFERROR(IF(OR('Raw Data'!I231="",LEN(TRIM('Raw Data'!I231))=0),"",IF(AND(LEN('Raw Data'!I231) &lt;= 50,LEN('Raw Data'!I231)&gt; 0),"",_xlfn.REGEXEXTRACT(CELL("address",'Raw Data'!I231),"\$([A-Z]+)\$[0-9]+"))),_xlfn.REGEXEXTRACT(CELL("address",'Raw Data'!I231),"\$([A-Z]+)\$[0-9]+"))</f>
        <v/>
      </c>
      <c r="J231" s="7" t="str">
        <f t="array" aca="1" ref="J231" ca="1">IFERROR(IF(OR('Raw Data'!J231="",LEN(TRIM('Raw Data'!J231))=0),"",IF(AND(ISNUMBER('Raw Data'!J231), IFERROR('Raw Data'!J231 = ROUND('Raw Data'!J231, 2),FALSE)),"",_xlfn.REGEXEXTRACT(CELL("address",J231), "\$([A-Z]+)\$[0-9]+"))),_xlfn.REGEXEXTRACT(CELL("address",J231), "\$([A-Z]+)\$[0-9]+"))</f>
        <v/>
      </c>
      <c r="K231" s="7" t="str">
        <f t="array" aca="1" ref="K231" ca="1">IFERROR(IF(OR('Raw Data'!K231="",LEN(TRIM('Raw Data'!K231))=0),"",IF(AND(ISNUMBER('Raw Data'!K231), IFERROR('Raw Data'!K231 = ROUND('Raw Data'!K231, 2),FALSE)),"",_xlfn.REGEXEXTRACT(CELL("address",K231), "\$([A-Z]+)\$[0-9]+"))),_xlfn.REGEXEXTRACT(CELL("address",K231), "\$([A-Z]+)\$[0-9]+"))</f>
        <v/>
      </c>
      <c r="L231" s="7" t="str">
        <f t="array" aca="1" ref="L231" ca="1">IFERROR(IF(OR('Raw Data'!L231="",LEN(TRIM('Raw Data'!L231))=0),"",IF(AND(ISNUMBER('Raw Data'!L231), IFERROR('Raw Data'!L231 = ROUND('Raw Data'!L231, 2),FALSE)),"",_xlfn.REGEXEXTRACT(CELL("address",L231), "\$([A-Z]+)\$[0-9]+"))),_xlfn.REGEXEXTRACT(CELL("address",L231), "\$([A-Z]+)\$[0-9]+"))</f>
        <v/>
      </c>
      <c r="M231" s="7" t="str">
        <f t="array" aca="1" ref="M231" ca="1">IFERROR(IF(OR('Raw Data'!M231="",LEN(TRIM('Raw Data'!M231))=0),"",IF(AND(ISNUMBER('Raw Data'!M231), IFERROR('Raw Data'!M231 = ROUND('Raw Data'!M231, 2),FALSE)),"",_xlfn.REGEXEXTRACT(CELL("address",M231), "\$([A-Z]+)\$[0-9]+"))),_xlfn.REGEXEXTRACT(CELL("address",M231), "\$([A-Z]+)\$[0-9]+"))</f>
        <v/>
      </c>
      <c r="N231" s="7" t="str">
        <f t="array" aca="1" ref="N231" ca="1">IFERROR(IF(OR('Raw Data'!N231="",LEN(TRIM('Raw Data'!N231))=0),"",IF(AND(ISNUMBER('Raw Data'!N231), IFERROR('Raw Data'!N231 = ROUND('Raw Data'!N231, 2),FALSE)),"",_xlfn.REGEXEXTRACT(CELL("address",N231), "\$([A-Z]+)\$[0-9]+"))),_xlfn.REGEXEXTRACT(CELL("address",N231), "\$([A-Z]+)\$[0-9]+"))</f>
        <v/>
      </c>
      <c r="O231" s="7" t="str">
        <f t="array" aca="1" ref="O231" ca="1">IFERROR(IF(OR('Raw Data'!O231="",LEN(TRIM('Raw Data'!O231))=0),"",IF(AND(ISNUMBER('Raw Data'!O231),'Raw Data'!O231&gt;=Configuration!$D$2),"",_xlfn.REGEXEXTRACT(CELL("address",'Raw Data'!O231),"\$([A-Z]+)\$[0-9]+"))),_xlfn.REGEXEXTRACT(CELL("address",O231), "\$([A-Z]+)\$[0-9]+"))</f>
        <v/>
      </c>
      <c r="P231" s="7" t="str">
        <f t="array" aca="1" ref="P231" ca="1">IFERROR(IF(OR('Raw Data'!P231="",LEN(TRIM('Raw Data'!P231))=0),"",IF(AND(ISNUMBER('Raw Data'!P231), IFERROR('Raw Data'!P231 = ROUND('Raw Data'!P231, 2),FALSE)),"",_xlfn.REGEXEXTRACT(CELL("address",P231), "\$([A-Z]+)\$[0-9]+"))),_xlfn.REGEXEXTRACT(CELL("address",P231), "\$([A-Z]+)\$[0-9]+"))</f>
        <v/>
      </c>
      <c r="Q231" s="7" t="str">
        <f t="array" aca="1" ref="Q231" ca="1">IFERROR(IF(OR('Raw Data'!Q231="",LEN(TRIM('Raw Data'!Q231))=0),"",IF(AND(ISNUMBER('Raw Data'!Q231), IFERROR('Raw Data'!Q231 = ROUND('Raw Data'!Q231, 2),FALSE)),"",_xlfn.REGEXEXTRACT(CELL("address",Q231), "\$([A-Z]+)\$[0-9]+"))),_xlfn.REGEXEXTRACT(CELL("address",Q231), "\$([A-Z]+)\$[0-9]+"))</f>
        <v/>
      </c>
      <c r="R231" s="7" t="str">
        <f t="array" aca="1" ref="R231" ca="1">IFERROR(IF(OR('Raw Data'!R231="",LEN(TRIM('Raw Data'!R231))=0),"",IF(AND(LEN('Raw Data'!R231) &lt;= 50,LEN('Raw Data'!R231)&gt; 0),"",_xlfn.REGEXEXTRACT(CELL("address",'Raw Data'!R231),"\$([A-Z]+)\$[0-9]+"))),_xlfn.REGEXEXTRACT(CELL("address",'Raw Data'!R231),"\$([A-Z]+)\$[0-9]+"))</f>
        <v/>
      </c>
      <c r="S231" s="7" t="str">
        <f t="array" aca="1" ref="S231" ca="1">IFERROR(IF(OR('Raw Data'!S231="",LEN(TRIM('Raw Data'!S231))=0),"",IF(AND(LEN('Raw Data'!S231) &lt;= 50,LEN('Raw Data'!S231)&gt; 0),"",_xlfn.REGEXEXTRACT(CELL("address",'Raw Data'!S231),"\$([A-Z]+)\$[0-9]+"))),_xlfn.REGEXEXTRACT(CELL("address",'Raw Data'!S231),"\$([A-Z]+)\$[0-9]+"))</f>
        <v/>
      </c>
      <c r="T231" s="7" t="str">
        <f t="array" aca="1" ref="T231" ca="1">IFERROR(IF(OR('Raw Data'!T231="",LEN(TRIM('Raw Data'!T231))=0),"",IF(AND(ISNUMBER('Raw Data'!T231), IFERROR('Raw Data'!T231 = ROUND('Raw Data'!T231, 2),FALSE)),"",_xlfn.REGEXEXTRACT(CELL("address",T231), "\$([A-Z]+)\$[0-9]+"))),_xlfn.REGEXEXTRACT(CELL("address",T231), "\$([A-Z]+)\$[0-9]+"))</f>
        <v/>
      </c>
      <c r="U231" s="7" t="str">
        <f t="array" aca="1" ref="U231" ca="1">IFERROR(IF(OR('Raw Data'!U231="",LEN(TRIM('Raw Data'!U231))=0),"",IF(AND(ISNUMBER('Raw Data'!U231), IFERROR('Raw Data'!U231 = ROUND('Raw Data'!U231, 2),FALSE)),"",_xlfn.REGEXEXTRACT(CELL("address",U231), "\$([A-Z]+)\$[0-9]+"))),_xlfn.REGEXEXTRACT(CELL("address",U231), "\$([A-Z]+)\$[0-9]+"))</f>
        <v/>
      </c>
      <c r="V231" s="7" t="str">
        <f t="array" aca="1" ref="V231" ca="1">IFERROR(IF(OR('Raw Data'!V231="",LEN(TRIM('Raw Data'!V231))=0),"",IF(AND(ISNUMBER('Raw Data'!V231), IFERROR('Raw Data'!V231 = ROUND('Raw Data'!V231, 2),FALSE)),"",_xlfn.REGEXEXTRACT(CELL("address",V231), "\$([A-Z]+)\$[0-9]+"))),_xlfn.REGEXEXTRACT(CELL("address",V231), "\$([A-Z]+)\$[0-9]+"))</f>
        <v/>
      </c>
      <c r="W231" s="7" t="str">
        <f t="array" aca="1" ref="W231" ca="1">IFERROR(IF(OR('Raw Data'!W231="",LEN(TRIM('Raw Data'!W231))=0),"",IF(AND(ISNUMBER('Raw Data'!W231), IFERROR('Raw Data'!W231 = ROUND('Raw Data'!W231, 2),FALSE)),"",_xlfn.REGEXEXTRACT(CELL("address",W231), "\$([A-Z]+)\$[0-9]+"))),_xlfn.REGEXEXTRACT(CELL("address",W231), "\$([A-Z]+)\$[0-9]+"))</f>
        <v/>
      </c>
      <c r="X231" s="7" t="str">
        <f t="array" aca="1" ref="X231" ca="1">IFERROR(IF(OR('Raw Data'!X231="",LEN(TRIM('Raw Data'!X231))=0),"",IF(AND(ISNUMBER('Raw Data'!X231), IFERROR('Raw Data'!X231 = ROUND('Raw Data'!X231, 2),FALSE)),"",_xlfn.REGEXEXTRACT(CELL("address",X231), "\$([A-Z]+)\$[0-9]+"))),_xlfn.REGEXEXTRACT(CELL("address",X231), "\$([A-Z]+)\$[0-9]+"))</f>
        <v/>
      </c>
      <c r="Y231" s="7" t="str">
        <f t="array" aca="1" ref="Y231" ca="1">IFERROR(IF(OR('Raw Data'!Y231="",LEN(TRIM('Raw Data'!Y231))=0),"",IF(AND(ISNUMBER('Raw Data'!Y231), IFERROR('Raw Data'!Y231 = ROUND('Raw Data'!Y231, 2),FALSE)),"",_xlfn.REGEXEXTRACT(CELL("address",Y231), "\$([A-Z]+)\$[0-9]+"))),_xlfn.REGEXEXTRACT(CELL("address",Y231), "\$([A-Z]+)\$[0-9]+"))</f>
        <v/>
      </c>
      <c r="Z231" s="7" t="str">
        <f t="array" aca="1" ref="Z231" ca="1">IFERROR(IF(OR('Raw Data'!Z231="",LEN(TRIM('Raw Data'!Z231))=0),"",IF(AND(ISNUMBER('Raw Data'!Z231), IFERROR('Raw Data'!Z231 = ROUND('Raw Data'!Z231, 2),FALSE)),"",_xlfn.REGEXEXTRACT(CELL("address",Z231), "\$([A-Z]+)\$[0-9]+"))),_xlfn.REGEXEXTRACT(CELL("address",Z231), "\$([A-Z]+)\$[0-9]+"))</f>
        <v/>
      </c>
      <c r="AA231" s="7" t="str">
        <f t="array" aca="1" ref="AA231" ca="1">IFERROR(IF(OR('Raw Data'!AA231="",LEN(TRIM('Raw Data'!AA231))=0),"",IF(AND(ISNUMBER('Raw Data'!AA231), IFERROR('Raw Data'!AA231 = ROUND('Raw Data'!AA231, 2),FALSE)),"",_xlfn.REGEXEXTRACT(CELL("address",AA231), "\$([A-Z]+)\$[0-9]+"))),_xlfn.REGEXEXTRACT(CELL("address",AA231), "\$([A-Z]+)\$[0-9]+"))</f>
        <v/>
      </c>
      <c r="AB231" s="7" t="str">
        <f t="array" aca="1" ref="AB231" ca="1">IFERROR(IF(OR('Raw Data'!AB231="",LEN(TRIM('Raw Data'!AB231))=0),"",IF(AND(ISNUMBER('Raw Data'!AB231), IFERROR('Raw Data'!AB231 = ROUND('Raw Data'!AB231, 2),FALSE)),"",_xlfn.REGEXEXTRACT(CELL("address",AB231), "\$([A-Z]+)\$[0-9]+"))),_xlfn.REGEXEXTRACT(CELL("address",AB231), "\$([A-Z]+)\$[0-9]+"))</f>
        <v/>
      </c>
      <c r="AC231" s="7" t="str">
        <f t="array" aca="1" ref="AC231" ca="1">IFERROR(IF(OR('Raw Data'!AC231="",LEN(TRIM('Raw Data'!AC231))=0),"",IF(AND(ISNUMBER('Raw Data'!AC231), IFERROR('Raw Data'!AC231 = ROUND('Raw Data'!AC231, 2),FALSE)),"",_xlfn.REGEXEXTRACT(CELL("address",AC231), "\$([A-Z]+)\$[0-9]+"))),_xlfn.REGEXEXTRACT(CELL("address",AC231), "\$([A-Z]+)\$[0-9]+"))</f>
        <v/>
      </c>
      <c r="AD231" s="7" t="str">
        <f t="array" aca="1" ref="AD231" ca="1">IFERROR(IF(OR('Raw Data'!AD231="",LEN(TRIM('Raw Data'!AD231))=0),"",IF(AND(ISNUMBER('Raw Data'!AD231), IFERROR('Raw Data'!AD231 = ROUND('Raw Data'!AD231, 2),FALSE)),"",_xlfn.REGEXEXTRACT(CELL("address",AD231), "\$([A-Z]+)\$[0-9]+"))),_xlfn.REGEXEXTRACT(CELL("address",AD231), "\$([A-Z]+)\$[0-9]+"))</f>
        <v/>
      </c>
      <c r="AE231" s="7" t="str">
        <f t="array" aca="1" ref="AE231" ca="1">IFERROR(IF(OR('Raw Data'!AE231="",LEN(TRIM('Raw Data'!AE231))=0),"",IF(AND(ISNUMBER('Raw Data'!AE231), IFERROR('Raw Data'!AE231 = ROUND('Raw Data'!AE231, 2),FALSE)),"",_xlfn.REGEXEXTRACT(CELL("address",AE231), "\$([A-Z]+)\$[0-9]+"))),_xlfn.REGEXEXTRACT(CELL("address",AE231), "\$([A-Z]+)\$[0-9]+"))</f>
        <v/>
      </c>
      <c r="AF231" s="7" t="str">
        <f t="array" aca="1" ref="AF231" ca="1">IFERROR(IF(OR('Raw Data'!AF231="",LEN(TRIM('Raw Data'!AF231))=0),"",IF(AND(ISNUMBER('Raw Data'!AF231), IFERROR('Raw Data'!AF231 = ROUND('Raw Data'!AF231, 2),FALSE)),"",_xlfn.REGEXEXTRACT(CELL("address",AF231), "\$([A-Z]+)\$[0-9]+"))),_xlfn.REGEXEXTRACT(CELL("address",AF231), "\$([A-Z]+)\$[0-9]+"))</f>
        <v/>
      </c>
      <c r="AG231" s="7" t="str">
        <f t="array" aca="1" ref="AG231" ca="1">IFERROR(IF(OR('Raw Data'!AG231="",LEN(TRIM('Raw Data'!AG231))=0),"",IF(AND(ISNUMBER('Raw Data'!AG231), IFERROR('Raw Data'!AG231 = ROUND('Raw Data'!AG231, 2),FALSE)),"",_xlfn.REGEXEXTRACT(CELL("address",AG231), "\$([A-Z]+)\$[0-9]+"))),_xlfn.REGEXEXTRACT(CELL("address",AG231), "\$([A-Z]+)\$[0-9]+"))</f>
        <v/>
      </c>
      <c r="AH231" s="7" t="str">
        <f t="array" aca="1" ref="AH231" ca="1">IFERROR(IF(OR('Raw Data'!AH231="",LEN(TRIM('Raw Data'!AH231))=0),"",IF(AND(ISNUMBER('Raw Data'!AH231), IFERROR('Raw Data'!AH231 = ROUND('Raw Data'!AH231, 2),FALSE)),"",_xlfn.REGEXEXTRACT(CELL("address",AH231), "\$([A-Z]+)\$[0-9]+"))),_xlfn.REGEXEXTRACT(CELL("address",AH231), "\$([A-Z]+)\$[0-9]+"))</f>
        <v/>
      </c>
      <c r="AI231" s="7" t="str">
        <f t="array" aca="1" ref="AI231" ca="1">IFERROR(IF(OR('Raw Data'!AI231="",LEN(TRIM('Raw Data'!AI231))=0),"",IF(AND(ISNUMBER('Raw Data'!AI231), IFERROR('Raw Data'!AI231 = ROUND('Raw Data'!AI231, 2),FALSE)),"",_xlfn.REGEXEXTRACT(CELL("address",AI231), "\$([A-Z]+)\$[0-9]+"))),_xlfn.REGEXEXTRACT(CELL("address",AI231), "\$([A-Z]+)\$[0-9]+"))</f>
        <v/>
      </c>
      <c r="AJ231" s="7" t="str">
        <f t="array" aca="1" ref="AJ231" ca="1">IFERROR(IF(OR('Raw Data'!AJ231="",LEN(TRIM('Raw Data'!AJ231))=0),"",IF(AND(ISNUMBER('Raw Data'!AJ231), IFERROR('Raw Data'!AJ231 = ROUND('Raw Data'!AJ231, 4),FALSE)),"",_xlfn.REGEXEXTRACT(CELL("address",AJ231), "\$([A-Z]+)\$[0-9]+"))),_xlfn.REGEXEXTRACT(CELL("address",AJ231), "\$([A-Z]+)\$[0-9]+"))</f>
        <v/>
      </c>
      <c r="AK231" s="7" t="str">
        <f t="array" aca="1" ref="AK231" ca="1">IFERROR(IF(OR('Raw Data'!AK231="",LEN(TRIM('Raw Data'!AK231))=0),"",IF(AND(ISNUMBER('Raw Data'!AK231), IFERROR('Raw Data'!AK231 = ROUND('Raw Data'!AK231, 2),FALSE)),"",_xlfn.REGEXEXTRACT(CELL("address",AK231), "\$([A-Z]+)\$[0-9]+"))),_xlfn.REGEXEXTRACT(CELL("address",AK231), "\$([A-Z]+)\$[0-9]+"))</f>
        <v/>
      </c>
      <c r="AL231" s="7" t="str">
        <f t="array" aca="1" ref="AL231" ca="1">IFERROR(IF(OR('Raw Data'!AL231="",LEN(TRIM('Raw Data'!AL231))=0),"",IF(AND(ISNUMBER('Raw Data'!AL231), IFERROR('Raw Data'!AL231 = ROUND('Raw Data'!AL231, 2),FALSE)),"",_xlfn.REGEXEXTRACT(CELL("address",AL231), "\$([A-Z]+)\$[0-9]+"))),_xlfn.REGEXEXTRACT(CELL("address",AL231), "\$([A-Z]+)\$[0-9]+"))</f>
        <v/>
      </c>
      <c r="AM231" s="7" t="str">
        <f t="array" aca="1" ref="AM231" ca="1">IFERROR(IF(OR('Raw Data'!AM231="",LEN(TRIM('Raw Data'!AM231))=0),"",IF(AND(ISNUMBER('Raw Data'!AM231), IFERROR('Raw Data'!AM231 = ROUND('Raw Data'!AM231, 2),FALSE)),"",_xlfn.REGEXEXTRACT(CELL("address",AM231), "\$([A-Z]+)\$[0-9]+"))),_xlfn.REGEXEXTRACT(CELL("address",AM231), "\$([A-Z]+)\$[0-9]+"))</f>
        <v/>
      </c>
      <c r="AN231" s="7" t="str">
        <f t="array" aca="1" ref="AN231" ca="1">IFERROR(IF(OR('Raw Data'!AN231="",LEN(TRIM('Raw Data'!AN231))=0),"",IF(AND(ISNUMBER('Raw Data'!AN231), IFERROR('Raw Data'!AN231 = ROUND('Raw Data'!AN231, 2),FALSE)),"",_xlfn.REGEXEXTRACT(CELL("address",AN231), "\$([A-Z]+)\$[0-9]+"))),_xlfn.REGEXEXTRACT(CELL("address",AN231), "\$([A-Z]+)\$[0-9]+"))</f>
        <v/>
      </c>
      <c r="AO231" s="7" t="str">
        <f t="array" aca="1" ref="AO231" ca="1">IFERROR(IF(OR('Raw Data'!AO231="",LEN(TRIM('Raw Data'!AO231))=0),"",IF(AND(ISNUMBER('Raw Data'!AO231), IFERROR('Raw Data'!AO231 = ROUND('Raw Data'!AO231, 2),FALSE)),"",_xlfn.REGEXEXTRACT(CELL("address",AO231), "\$([A-Z]+)\$[0-9]+"))),_xlfn.REGEXEXTRACT(CELL("address",AO231), "\$([A-Z]+)\$[0-9]+"))</f>
        <v/>
      </c>
      <c r="AP231" s="7" t="str">
        <f t="array" aca="1" ref="AP231" ca="1">IFERROR(IF(OR('Raw Data'!AP231="",LEN(TRIM('Raw Data'!AP231))=0),"",IF(AND(ISNUMBER('Raw Data'!AP231), IFERROR('Raw Data'!AP231 = ROUND('Raw Data'!AP231, 2),FALSE)),"",_xlfn.REGEXEXTRACT(CELL("address",AP231), "\$([A-Z]+)\$[0-9]+"))),_xlfn.REGEXEXTRACT(CELL("address",AP231), "\$([A-Z]+)\$[0-9]+"))</f>
        <v/>
      </c>
    </row>
    <row r="232" spans="2:42" x14ac:dyDescent="0.25">
      <c r="B232" s="7" t="str">
        <f t="array" aca="1" ref="B232" ca="1">IFERROR(IF(OR('Raw Data'!B232="",LEN(TRIM('Raw Data'!B232))=0),"",IF(AND(LEN('Raw Data'!B232) &lt;= 255,LEN('Raw Data'!B232)&gt; 0),"",_xlfn.REGEXEXTRACT(CELL("address",'Raw Data'!B232),"\$([A-Z]+)\$[0-9]+"))),_xlfn.REGEXEXTRACT(CELL("address",'Raw Data'!B232),"\$([A-Z]+)\$[0-9]+"))</f>
        <v/>
      </c>
      <c r="C232" s="7" t="str">
        <f t="array" aca="1" ref="C232" ca="1">IFERROR(IF(OR('Raw Data'!C232="",LEN(TRIM('Raw Data'!C232))=0),"",IF(AND(LEN('Raw Data'!C232) &lt;= 50,LEN('Raw Data'!C232)&gt; 0),"",_xlfn.REGEXEXTRACT(CELL("address",'Raw Data'!C232),"\$([A-Z]+)\$[0-9]+"))),_xlfn.REGEXEXTRACT(CELL("address",'Raw Data'!C232),"\$([A-Z]+)\$[0-9]+"))</f>
        <v/>
      </c>
      <c r="D232" s="7" t="str">
        <f t="array" aca="1" ref="D232" ca="1">IFERROR(IF(OR('Raw Data'!D232="",LEN(TRIM('Raw Data'!D232))=0),"",IF(AND(LEN('Raw Data'!D232) &lt;= 500,LEN('Raw Data'!D232)&gt; 0),"",_xlfn.REGEXEXTRACT(CELL("address",'Raw Data'!D232),"\$([A-Z]+)\$[0-9]+"))),_xlfn.REGEXEXTRACT(CELL("address",'Raw Data'!D232),"\$([A-Z]+)\$[0-9]+"))</f>
        <v/>
      </c>
      <c r="E232" s="7" t="str">
        <f t="array" aca="1" ref="E232" ca="1">IFERROR(IF(OR('Raw Data'!E232="",LEN(TRIM('Raw Data'!E232))=0),"",IF(AND(LEN('Raw Data'!E232) &lt;= 50,LEN('Raw Data'!E232)&gt; 0),"",_xlfn.REGEXEXTRACT(CELL("address",'Raw Data'!E232),"\$([A-Z]+)\$[0-9]+"))),_xlfn.REGEXEXTRACT(CELL("address",'Raw Data'!E232),"\$([A-Z]+)\$[0-9]+"))</f>
        <v/>
      </c>
      <c r="F232" s="7" t="str">
        <f t="array" aca="1" ref="F232" ca="1">IFERROR(IF(OR('Raw Data'!F232="",LEN(TRIM('Raw Data'!F232))=0),"",IF(AND(LEN('Raw Data'!F232) &lt;= 50,LEN('Raw Data'!F232)&gt; 0),"",_xlfn.REGEXEXTRACT(CELL("address",'Raw Data'!F232),"\$([A-Z]+)\$[0-9]+"))),_xlfn.REGEXEXTRACT(CELL("address",'Raw Data'!F232),"\$([A-Z]+)\$[0-9]+"))</f>
        <v/>
      </c>
      <c r="G232" s="7" t="str">
        <f t="array" aca="1" ref="G232" ca="1">IFERROR(IF(OR('Raw Data'!G232="",LEN(TRIM('Raw Data'!G232))=0),"",IF(AND(LEN('Raw Data'!G232) &lt;= 50,LEN('Raw Data'!G232)&gt; 0),"",_xlfn.REGEXEXTRACT(CELL("address",'Raw Data'!G232),"\$([A-Z]+)\$[0-9]+"))),_xlfn.REGEXEXTRACT(CELL("address",'Raw Data'!G232),"\$([A-Z]+)\$[0-9]+"))</f>
        <v/>
      </c>
      <c r="H232" s="7" t="str">
        <f t="array" aca="1" ref="H232" ca="1">IFERROR(IF(OR('Raw Data'!H232="",LEN(TRIM('Raw Data'!H232))=0),"",IF(AND(LEN('Raw Data'!H232) &lt;= 50,LEN('Raw Data'!H232)&gt; 0),"",_xlfn.REGEXEXTRACT(CELL("address",'Raw Data'!H232),"\$([A-Z]+)\$[0-9]+"))),_xlfn.REGEXEXTRACT(CELL("address",'Raw Data'!H232),"\$([A-Z]+)\$[0-9]+"))</f>
        <v/>
      </c>
      <c r="I232" s="7" t="str">
        <f t="array" aca="1" ref="I232" ca="1">IFERROR(IF(OR('Raw Data'!I232="",LEN(TRIM('Raw Data'!I232))=0),"",IF(AND(LEN('Raw Data'!I232) &lt;= 50,LEN('Raw Data'!I232)&gt; 0),"",_xlfn.REGEXEXTRACT(CELL("address",'Raw Data'!I232),"\$([A-Z]+)\$[0-9]+"))),_xlfn.REGEXEXTRACT(CELL("address",'Raw Data'!I232),"\$([A-Z]+)\$[0-9]+"))</f>
        <v/>
      </c>
      <c r="J232" s="7" t="str">
        <f t="array" aca="1" ref="J232" ca="1">IFERROR(IF(OR('Raw Data'!J232="",LEN(TRIM('Raw Data'!J232))=0),"",IF(AND(ISNUMBER('Raw Data'!J232), IFERROR('Raw Data'!J232 = ROUND('Raw Data'!J232, 2),FALSE)),"",_xlfn.REGEXEXTRACT(CELL("address",J232), "\$([A-Z]+)\$[0-9]+"))),_xlfn.REGEXEXTRACT(CELL("address",J232), "\$([A-Z]+)\$[0-9]+"))</f>
        <v/>
      </c>
      <c r="K232" s="7" t="str">
        <f t="array" aca="1" ref="K232" ca="1">IFERROR(IF(OR('Raw Data'!K232="",LEN(TRIM('Raw Data'!K232))=0),"",IF(AND(ISNUMBER('Raw Data'!K232), IFERROR('Raw Data'!K232 = ROUND('Raw Data'!K232, 2),FALSE)),"",_xlfn.REGEXEXTRACT(CELL("address",K232), "\$([A-Z]+)\$[0-9]+"))),_xlfn.REGEXEXTRACT(CELL("address",K232), "\$([A-Z]+)\$[0-9]+"))</f>
        <v/>
      </c>
      <c r="L232" s="7" t="str">
        <f t="array" aca="1" ref="L232" ca="1">IFERROR(IF(OR('Raw Data'!L232="",LEN(TRIM('Raw Data'!L232))=0),"",IF(AND(ISNUMBER('Raw Data'!L232), IFERROR('Raw Data'!L232 = ROUND('Raw Data'!L232, 2),FALSE)),"",_xlfn.REGEXEXTRACT(CELL("address",L232), "\$([A-Z]+)\$[0-9]+"))),_xlfn.REGEXEXTRACT(CELL("address",L232), "\$([A-Z]+)\$[0-9]+"))</f>
        <v/>
      </c>
      <c r="M232" s="7" t="str">
        <f t="array" aca="1" ref="M232" ca="1">IFERROR(IF(OR('Raw Data'!M232="",LEN(TRIM('Raw Data'!M232))=0),"",IF(AND(ISNUMBER('Raw Data'!M232), IFERROR('Raw Data'!M232 = ROUND('Raw Data'!M232, 2),FALSE)),"",_xlfn.REGEXEXTRACT(CELL("address",M232), "\$([A-Z]+)\$[0-9]+"))),_xlfn.REGEXEXTRACT(CELL("address",M232), "\$([A-Z]+)\$[0-9]+"))</f>
        <v/>
      </c>
      <c r="N232" s="7" t="str">
        <f t="array" aca="1" ref="N232" ca="1">IFERROR(IF(OR('Raw Data'!N232="",LEN(TRIM('Raw Data'!N232))=0),"",IF(AND(ISNUMBER('Raw Data'!N232), IFERROR('Raw Data'!N232 = ROUND('Raw Data'!N232, 2),FALSE)),"",_xlfn.REGEXEXTRACT(CELL("address",N232), "\$([A-Z]+)\$[0-9]+"))),_xlfn.REGEXEXTRACT(CELL("address",N232), "\$([A-Z]+)\$[0-9]+"))</f>
        <v/>
      </c>
      <c r="O232" s="7" t="str">
        <f t="array" aca="1" ref="O232" ca="1">IFERROR(IF(OR('Raw Data'!O232="",LEN(TRIM('Raw Data'!O232))=0),"",IF(AND(ISNUMBER('Raw Data'!O232),'Raw Data'!O232&gt;=Configuration!$D$2),"",_xlfn.REGEXEXTRACT(CELL("address",'Raw Data'!O232),"\$([A-Z]+)\$[0-9]+"))),_xlfn.REGEXEXTRACT(CELL("address",O232), "\$([A-Z]+)\$[0-9]+"))</f>
        <v/>
      </c>
      <c r="P232" s="7" t="str">
        <f t="array" aca="1" ref="P232" ca="1">IFERROR(IF(OR('Raw Data'!P232="",LEN(TRIM('Raw Data'!P232))=0),"",IF(AND(ISNUMBER('Raw Data'!P232), IFERROR('Raw Data'!P232 = ROUND('Raw Data'!P232, 2),FALSE)),"",_xlfn.REGEXEXTRACT(CELL("address",P232), "\$([A-Z]+)\$[0-9]+"))),_xlfn.REGEXEXTRACT(CELL("address",P232), "\$([A-Z]+)\$[0-9]+"))</f>
        <v/>
      </c>
      <c r="Q232" s="7" t="str">
        <f t="array" aca="1" ref="Q232" ca="1">IFERROR(IF(OR('Raw Data'!Q232="",LEN(TRIM('Raw Data'!Q232))=0),"",IF(AND(ISNUMBER('Raw Data'!Q232), IFERROR('Raw Data'!Q232 = ROUND('Raw Data'!Q232, 2),FALSE)),"",_xlfn.REGEXEXTRACT(CELL("address",Q232), "\$([A-Z]+)\$[0-9]+"))),_xlfn.REGEXEXTRACT(CELL("address",Q232), "\$([A-Z]+)\$[0-9]+"))</f>
        <v/>
      </c>
      <c r="R232" s="7" t="str">
        <f t="array" aca="1" ref="R232" ca="1">IFERROR(IF(OR('Raw Data'!R232="",LEN(TRIM('Raw Data'!R232))=0),"",IF(AND(LEN('Raw Data'!R232) &lt;= 50,LEN('Raw Data'!R232)&gt; 0),"",_xlfn.REGEXEXTRACT(CELL("address",'Raw Data'!R232),"\$([A-Z]+)\$[0-9]+"))),_xlfn.REGEXEXTRACT(CELL("address",'Raw Data'!R232),"\$([A-Z]+)\$[0-9]+"))</f>
        <v/>
      </c>
      <c r="S232" s="7" t="str">
        <f t="array" aca="1" ref="S232" ca="1">IFERROR(IF(OR('Raw Data'!S232="",LEN(TRIM('Raw Data'!S232))=0),"",IF(AND(LEN('Raw Data'!S232) &lt;= 50,LEN('Raw Data'!S232)&gt; 0),"",_xlfn.REGEXEXTRACT(CELL("address",'Raw Data'!S232),"\$([A-Z]+)\$[0-9]+"))),_xlfn.REGEXEXTRACT(CELL("address",'Raw Data'!S232),"\$([A-Z]+)\$[0-9]+"))</f>
        <v/>
      </c>
      <c r="T232" s="7" t="str">
        <f t="array" aca="1" ref="T232" ca="1">IFERROR(IF(OR('Raw Data'!T232="",LEN(TRIM('Raw Data'!T232))=0),"",IF(AND(ISNUMBER('Raw Data'!T232), IFERROR('Raw Data'!T232 = ROUND('Raw Data'!T232, 2),FALSE)),"",_xlfn.REGEXEXTRACT(CELL("address",T232), "\$([A-Z]+)\$[0-9]+"))),_xlfn.REGEXEXTRACT(CELL("address",T232), "\$([A-Z]+)\$[0-9]+"))</f>
        <v/>
      </c>
      <c r="U232" s="7" t="str">
        <f t="array" aca="1" ref="U232" ca="1">IFERROR(IF(OR('Raw Data'!U232="",LEN(TRIM('Raw Data'!U232))=0),"",IF(AND(ISNUMBER('Raw Data'!U232), IFERROR('Raw Data'!U232 = ROUND('Raw Data'!U232, 2),FALSE)),"",_xlfn.REGEXEXTRACT(CELL("address",U232), "\$([A-Z]+)\$[0-9]+"))),_xlfn.REGEXEXTRACT(CELL("address",U232), "\$([A-Z]+)\$[0-9]+"))</f>
        <v/>
      </c>
      <c r="V232" s="7" t="str">
        <f t="array" aca="1" ref="V232" ca="1">IFERROR(IF(OR('Raw Data'!V232="",LEN(TRIM('Raw Data'!V232))=0),"",IF(AND(ISNUMBER('Raw Data'!V232), IFERROR('Raw Data'!V232 = ROUND('Raw Data'!V232, 2),FALSE)),"",_xlfn.REGEXEXTRACT(CELL("address",V232), "\$([A-Z]+)\$[0-9]+"))),_xlfn.REGEXEXTRACT(CELL("address",V232), "\$([A-Z]+)\$[0-9]+"))</f>
        <v/>
      </c>
      <c r="W232" s="7" t="str">
        <f t="array" aca="1" ref="W232" ca="1">IFERROR(IF(OR('Raw Data'!W232="",LEN(TRIM('Raw Data'!W232))=0),"",IF(AND(ISNUMBER('Raw Data'!W232), IFERROR('Raw Data'!W232 = ROUND('Raw Data'!W232, 2),FALSE)),"",_xlfn.REGEXEXTRACT(CELL("address",W232), "\$([A-Z]+)\$[0-9]+"))),_xlfn.REGEXEXTRACT(CELL("address",W232), "\$([A-Z]+)\$[0-9]+"))</f>
        <v/>
      </c>
      <c r="X232" s="7" t="str">
        <f t="array" aca="1" ref="X232" ca="1">IFERROR(IF(OR('Raw Data'!X232="",LEN(TRIM('Raw Data'!X232))=0),"",IF(AND(ISNUMBER('Raw Data'!X232), IFERROR('Raw Data'!X232 = ROUND('Raw Data'!X232, 2),FALSE)),"",_xlfn.REGEXEXTRACT(CELL("address",X232), "\$([A-Z]+)\$[0-9]+"))),_xlfn.REGEXEXTRACT(CELL("address",X232), "\$([A-Z]+)\$[0-9]+"))</f>
        <v/>
      </c>
      <c r="Y232" s="7" t="str">
        <f t="array" aca="1" ref="Y232" ca="1">IFERROR(IF(OR('Raw Data'!Y232="",LEN(TRIM('Raw Data'!Y232))=0),"",IF(AND(ISNUMBER('Raw Data'!Y232), IFERROR('Raw Data'!Y232 = ROUND('Raw Data'!Y232, 2),FALSE)),"",_xlfn.REGEXEXTRACT(CELL("address",Y232), "\$([A-Z]+)\$[0-9]+"))),_xlfn.REGEXEXTRACT(CELL("address",Y232), "\$([A-Z]+)\$[0-9]+"))</f>
        <v/>
      </c>
      <c r="Z232" s="7" t="str">
        <f t="array" aca="1" ref="Z232" ca="1">IFERROR(IF(OR('Raw Data'!Z232="",LEN(TRIM('Raw Data'!Z232))=0),"",IF(AND(ISNUMBER('Raw Data'!Z232), IFERROR('Raw Data'!Z232 = ROUND('Raw Data'!Z232, 2),FALSE)),"",_xlfn.REGEXEXTRACT(CELL("address",Z232), "\$([A-Z]+)\$[0-9]+"))),_xlfn.REGEXEXTRACT(CELL("address",Z232), "\$([A-Z]+)\$[0-9]+"))</f>
        <v/>
      </c>
      <c r="AA232" s="7" t="str">
        <f t="array" aca="1" ref="AA232" ca="1">IFERROR(IF(OR('Raw Data'!AA232="",LEN(TRIM('Raw Data'!AA232))=0),"",IF(AND(ISNUMBER('Raw Data'!AA232), IFERROR('Raw Data'!AA232 = ROUND('Raw Data'!AA232, 2),FALSE)),"",_xlfn.REGEXEXTRACT(CELL("address",AA232), "\$([A-Z]+)\$[0-9]+"))),_xlfn.REGEXEXTRACT(CELL("address",AA232), "\$([A-Z]+)\$[0-9]+"))</f>
        <v/>
      </c>
      <c r="AB232" s="7" t="str">
        <f t="array" aca="1" ref="AB232" ca="1">IFERROR(IF(OR('Raw Data'!AB232="",LEN(TRIM('Raw Data'!AB232))=0),"",IF(AND(ISNUMBER('Raw Data'!AB232), IFERROR('Raw Data'!AB232 = ROUND('Raw Data'!AB232, 2),FALSE)),"",_xlfn.REGEXEXTRACT(CELL("address",AB232), "\$([A-Z]+)\$[0-9]+"))),_xlfn.REGEXEXTRACT(CELL("address",AB232), "\$([A-Z]+)\$[0-9]+"))</f>
        <v/>
      </c>
      <c r="AC232" s="7" t="str">
        <f t="array" aca="1" ref="AC232" ca="1">IFERROR(IF(OR('Raw Data'!AC232="",LEN(TRIM('Raw Data'!AC232))=0),"",IF(AND(ISNUMBER('Raw Data'!AC232), IFERROR('Raw Data'!AC232 = ROUND('Raw Data'!AC232, 2),FALSE)),"",_xlfn.REGEXEXTRACT(CELL("address",AC232), "\$([A-Z]+)\$[0-9]+"))),_xlfn.REGEXEXTRACT(CELL("address",AC232), "\$([A-Z]+)\$[0-9]+"))</f>
        <v/>
      </c>
      <c r="AD232" s="7" t="str">
        <f t="array" aca="1" ref="AD232" ca="1">IFERROR(IF(OR('Raw Data'!AD232="",LEN(TRIM('Raw Data'!AD232))=0),"",IF(AND(ISNUMBER('Raw Data'!AD232), IFERROR('Raw Data'!AD232 = ROUND('Raw Data'!AD232, 2),FALSE)),"",_xlfn.REGEXEXTRACT(CELL("address",AD232), "\$([A-Z]+)\$[0-9]+"))),_xlfn.REGEXEXTRACT(CELL("address",AD232), "\$([A-Z]+)\$[0-9]+"))</f>
        <v/>
      </c>
      <c r="AE232" s="7" t="str">
        <f t="array" aca="1" ref="AE232" ca="1">IFERROR(IF(OR('Raw Data'!AE232="",LEN(TRIM('Raw Data'!AE232))=0),"",IF(AND(ISNUMBER('Raw Data'!AE232), IFERROR('Raw Data'!AE232 = ROUND('Raw Data'!AE232, 2),FALSE)),"",_xlfn.REGEXEXTRACT(CELL("address",AE232), "\$([A-Z]+)\$[0-9]+"))),_xlfn.REGEXEXTRACT(CELL("address",AE232), "\$([A-Z]+)\$[0-9]+"))</f>
        <v/>
      </c>
      <c r="AF232" s="7" t="str">
        <f t="array" aca="1" ref="AF232" ca="1">IFERROR(IF(OR('Raw Data'!AF232="",LEN(TRIM('Raw Data'!AF232))=0),"",IF(AND(ISNUMBER('Raw Data'!AF232), IFERROR('Raw Data'!AF232 = ROUND('Raw Data'!AF232, 2),FALSE)),"",_xlfn.REGEXEXTRACT(CELL("address",AF232), "\$([A-Z]+)\$[0-9]+"))),_xlfn.REGEXEXTRACT(CELL("address",AF232), "\$([A-Z]+)\$[0-9]+"))</f>
        <v/>
      </c>
      <c r="AG232" s="7" t="str">
        <f t="array" aca="1" ref="AG232" ca="1">IFERROR(IF(OR('Raw Data'!AG232="",LEN(TRIM('Raw Data'!AG232))=0),"",IF(AND(ISNUMBER('Raw Data'!AG232), IFERROR('Raw Data'!AG232 = ROUND('Raw Data'!AG232, 2),FALSE)),"",_xlfn.REGEXEXTRACT(CELL("address",AG232), "\$([A-Z]+)\$[0-9]+"))),_xlfn.REGEXEXTRACT(CELL("address",AG232), "\$([A-Z]+)\$[0-9]+"))</f>
        <v/>
      </c>
      <c r="AH232" s="7" t="str">
        <f t="array" aca="1" ref="AH232" ca="1">IFERROR(IF(OR('Raw Data'!AH232="",LEN(TRIM('Raw Data'!AH232))=0),"",IF(AND(ISNUMBER('Raw Data'!AH232), IFERROR('Raw Data'!AH232 = ROUND('Raw Data'!AH232, 2),FALSE)),"",_xlfn.REGEXEXTRACT(CELL("address",AH232), "\$([A-Z]+)\$[0-9]+"))),_xlfn.REGEXEXTRACT(CELL("address",AH232), "\$([A-Z]+)\$[0-9]+"))</f>
        <v/>
      </c>
      <c r="AI232" s="7" t="str">
        <f t="array" aca="1" ref="AI232" ca="1">IFERROR(IF(OR('Raw Data'!AI232="",LEN(TRIM('Raw Data'!AI232))=0),"",IF(AND(ISNUMBER('Raw Data'!AI232), IFERROR('Raw Data'!AI232 = ROUND('Raw Data'!AI232, 2),FALSE)),"",_xlfn.REGEXEXTRACT(CELL("address",AI232), "\$([A-Z]+)\$[0-9]+"))),_xlfn.REGEXEXTRACT(CELL("address",AI232), "\$([A-Z]+)\$[0-9]+"))</f>
        <v/>
      </c>
      <c r="AJ232" s="7" t="str">
        <f t="array" aca="1" ref="AJ232" ca="1">IFERROR(IF(OR('Raw Data'!AJ232="",LEN(TRIM('Raw Data'!AJ232))=0),"",IF(AND(ISNUMBER('Raw Data'!AJ232), IFERROR('Raw Data'!AJ232 = ROUND('Raw Data'!AJ232, 4),FALSE)),"",_xlfn.REGEXEXTRACT(CELL("address",AJ232), "\$([A-Z]+)\$[0-9]+"))),_xlfn.REGEXEXTRACT(CELL("address",AJ232), "\$([A-Z]+)\$[0-9]+"))</f>
        <v/>
      </c>
      <c r="AK232" s="7" t="str">
        <f t="array" aca="1" ref="AK232" ca="1">IFERROR(IF(OR('Raw Data'!AK232="",LEN(TRIM('Raw Data'!AK232))=0),"",IF(AND(ISNUMBER('Raw Data'!AK232), IFERROR('Raw Data'!AK232 = ROUND('Raw Data'!AK232, 2),FALSE)),"",_xlfn.REGEXEXTRACT(CELL("address",AK232), "\$([A-Z]+)\$[0-9]+"))),_xlfn.REGEXEXTRACT(CELL("address",AK232), "\$([A-Z]+)\$[0-9]+"))</f>
        <v/>
      </c>
      <c r="AL232" s="7" t="str">
        <f t="array" aca="1" ref="AL232" ca="1">IFERROR(IF(OR('Raw Data'!AL232="",LEN(TRIM('Raw Data'!AL232))=0),"",IF(AND(ISNUMBER('Raw Data'!AL232), IFERROR('Raw Data'!AL232 = ROUND('Raw Data'!AL232, 2),FALSE)),"",_xlfn.REGEXEXTRACT(CELL("address",AL232), "\$([A-Z]+)\$[0-9]+"))),_xlfn.REGEXEXTRACT(CELL("address",AL232), "\$([A-Z]+)\$[0-9]+"))</f>
        <v/>
      </c>
      <c r="AM232" s="7" t="str">
        <f t="array" aca="1" ref="AM232" ca="1">IFERROR(IF(OR('Raw Data'!AM232="",LEN(TRIM('Raw Data'!AM232))=0),"",IF(AND(ISNUMBER('Raw Data'!AM232), IFERROR('Raw Data'!AM232 = ROUND('Raw Data'!AM232, 2),FALSE)),"",_xlfn.REGEXEXTRACT(CELL("address",AM232), "\$([A-Z]+)\$[0-9]+"))),_xlfn.REGEXEXTRACT(CELL("address",AM232), "\$([A-Z]+)\$[0-9]+"))</f>
        <v/>
      </c>
      <c r="AN232" s="7" t="str">
        <f t="array" aca="1" ref="AN232" ca="1">IFERROR(IF(OR('Raw Data'!AN232="",LEN(TRIM('Raw Data'!AN232))=0),"",IF(AND(ISNUMBER('Raw Data'!AN232), IFERROR('Raw Data'!AN232 = ROUND('Raw Data'!AN232, 2),FALSE)),"",_xlfn.REGEXEXTRACT(CELL("address",AN232), "\$([A-Z]+)\$[0-9]+"))),_xlfn.REGEXEXTRACT(CELL("address",AN232), "\$([A-Z]+)\$[0-9]+"))</f>
        <v/>
      </c>
      <c r="AO232" s="7" t="str">
        <f t="array" aca="1" ref="AO232" ca="1">IFERROR(IF(OR('Raw Data'!AO232="",LEN(TRIM('Raw Data'!AO232))=0),"",IF(AND(ISNUMBER('Raw Data'!AO232), IFERROR('Raw Data'!AO232 = ROUND('Raw Data'!AO232, 2),FALSE)),"",_xlfn.REGEXEXTRACT(CELL("address",AO232), "\$([A-Z]+)\$[0-9]+"))),_xlfn.REGEXEXTRACT(CELL("address",AO232), "\$([A-Z]+)\$[0-9]+"))</f>
        <v/>
      </c>
      <c r="AP232" s="7" t="str">
        <f t="array" aca="1" ref="AP232" ca="1">IFERROR(IF(OR('Raw Data'!AP232="",LEN(TRIM('Raw Data'!AP232))=0),"",IF(AND(ISNUMBER('Raw Data'!AP232), IFERROR('Raw Data'!AP232 = ROUND('Raw Data'!AP232, 2),FALSE)),"",_xlfn.REGEXEXTRACT(CELL("address",AP232), "\$([A-Z]+)\$[0-9]+"))),_xlfn.REGEXEXTRACT(CELL("address",AP232), "\$([A-Z]+)\$[0-9]+"))</f>
        <v/>
      </c>
    </row>
    <row r="233" spans="2:42" x14ac:dyDescent="0.25">
      <c r="B233" s="7" t="str">
        <f t="array" aca="1" ref="B233" ca="1">IFERROR(IF(OR('Raw Data'!B233="",LEN(TRIM('Raw Data'!B233))=0),"",IF(AND(LEN('Raw Data'!B233) &lt;= 255,LEN('Raw Data'!B233)&gt; 0),"",_xlfn.REGEXEXTRACT(CELL("address",'Raw Data'!B233),"\$([A-Z]+)\$[0-9]+"))),_xlfn.REGEXEXTRACT(CELL("address",'Raw Data'!B233),"\$([A-Z]+)\$[0-9]+"))</f>
        <v/>
      </c>
      <c r="C233" s="7" t="str">
        <f t="array" aca="1" ref="C233" ca="1">IFERROR(IF(OR('Raw Data'!C233="",LEN(TRIM('Raw Data'!C233))=0),"",IF(AND(LEN('Raw Data'!C233) &lt;= 50,LEN('Raw Data'!C233)&gt; 0),"",_xlfn.REGEXEXTRACT(CELL("address",'Raw Data'!C233),"\$([A-Z]+)\$[0-9]+"))),_xlfn.REGEXEXTRACT(CELL("address",'Raw Data'!C233),"\$([A-Z]+)\$[0-9]+"))</f>
        <v/>
      </c>
      <c r="D233" s="7" t="str">
        <f t="array" aca="1" ref="D233" ca="1">IFERROR(IF(OR('Raw Data'!D233="",LEN(TRIM('Raw Data'!D233))=0),"",IF(AND(LEN('Raw Data'!D233) &lt;= 500,LEN('Raw Data'!D233)&gt; 0),"",_xlfn.REGEXEXTRACT(CELL("address",'Raw Data'!D233),"\$([A-Z]+)\$[0-9]+"))),_xlfn.REGEXEXTRACT(CELL("address",'Raw Data'!D233),"\$([A-Z]+)\$[0-9]+"))</f>
        <v/>
      </c>
      <c r="E233" s="7" t="str">
        <f t="array" aca="1" ref="E233" ca="1">IFERROR(IF(OR('Raw Data'!E233="",LEN(TRIM('Raw Data'!E233))=0),"",IF(AND(LEN('Raw Data'!E233) &lt;= 50,LEN('Raw Data'!E233)&gt; 0),"",_xlfn.REGEXEXTRACT(CELL("address",'Raw Data'!E233),"\$([A-Z]+)\$[0-9]+"))),_xlfn.REGEXEXTRACT(CELL("address",'Raw Data'!E233),"\$([A-Z]+)\$[0-9]+"))</f>
        <v/>
      </c>
      <c r="F233" s="7" t="str">
        <f t="array" aca="1" ref="F233" ca="1">IFERROR(IF(OR('Raw Data'!F233="",LEN(TRIM('Raw Data'!F233))=0),"",IF(AND(LEN('Raw Data'!F233) &lt;= 50,LEN('Raw Data'!F233)&gt; 0),"",_xlfn.REGEXEXTRACT(CELL("address",'Raw Data'!F233),"\$([A-Z]+)\$[0-9]+"))),_xlfn.REGEXEXTRACT(CELL("address",'Raw Data'!F233),"\$([A-Z]+)\$[0-9]+"))</f>
        <v/>
      </c>
      <c r="G233" s="7" t="str">
        <f t="array" aca="1" ref="G233" ca="1">IFERROR(IF(OR('Raw Data'!G233="",LEN(TRIM('Raw Data'!G233))=0),"",IF(AND(LEN('Raw Data'!G233) &lt;= 50,LEN('Raw Data'!G233)&gt; 0),"",_xlfn.REGEXEXTRACT(CELL("address",'Raw Data'!G233),"\$([A-Z]+)\$[0-9]+"))),_xlfn.REGEXEXTRACT(CELL("address",'Raw Data'!G233),"\$([A-Z]+)\$[0-9]+"))</f>
        <v/>
      </c>
      <c r="H233" s="7" t="str">
        <f t="array" aca="1" ref="H233" ca="1">IFERROR(IF(OR('Raw Data'!H233="",LEN(TRIM('Raw Data'!H233))=0),"",IF(AND(LEN('Raw Data'!H233) &lt;= 50,LEN('Raw Data'!H233)&gt; 0),"",_xlfn.REGEXEXTRACT(CELL("address",'Raw Data'!H233),"\$([A-Z]+)\$[0-9]+"))),_xlfn.REGEXEXTRACT(CELL("address",'Raw Data'!H233),"\$([A-Z]+)\$[0-9]+"))</f>
        <v/>
      </c>
      <c r="I233" s="7" t="str">
        <f t="array" aca="1" ref="I233" ca="1">IFERROR(IF(OR('Raw Data'!I233="",LEN(TRIM('Raw Data'!I233))=0),"",IF(AND(LEN('Raw Data'!I233) &lt;= 50,LEN('Raw Data'!I233)&gt; 0),"",_xlfn.REGEXEXTRACT(CELL("address",'Raw Data'!I233),"\$([A-Z]+)\$[0-9]+"))),_xlfn.REGEXEXTRACT(CELL("address",'Raw Data'!I233),"\$([A-Z]+)\$[0-9]+"))</f>
        <v/>
      </c>
      <c r="J233" s="7" t="str">
        <f t="array" aca="1" ref="J233" ca="1">IFERROR(IF(OR('Raw Data'!J233="",LEN(TRIM('Raw Data'!J233))=0),"",IF(AND(ISNUMBER('Raw Data'!J233), IFERROR('Raw Data'!J233 = ROUND('Raw Data'!J233, 2),FALSE)),"",_xlfn.REGEXEXTRACT(CELL("address",J233), "\$([A-Z]+)\$[0-9]+"))),_xlfn.REGEXEXTRACT(CELL("address",J233), "\$([A-Z]+)\$[0-9]+"))</f>
        <v/>
      </c>
      <c r="K233" s="7" t="str">
        <f t="array" aca="1" ref="K233" ca="1">IFERROR(IF(OR('Raw Data'!K233="",LEN(TRIM('Raw Data'!K233))=0),"",IF(AND(ISNUMBER('Raw Data'!K233), IFERROR('Raw Data'!K233 = ROUND('Raw Data'!K233, 2),FALSE)),"",_xlfn.REGEXEXTRACT(CELL("address",K233), "\$([A-Z]+)\$[0-9]+"))),_xlfn.REGEXEXTRACT(CELL("address",K233), "\$([A-Z]+)\$[0-9]+"))</f>
        <v/>
      </c>
      <c r="L233" s="7" t="str">
        <f t="array" aca="1" ref="L233" ca="1">IFERROR(IF(OR('Raw Data'!L233="",LEN(TRIM('Raw Data'!L233))=0),"",IF(AND(ISNUMBER('Raw Data'!L233), IFERROR('Raw Data'!L233 = ROUND('Raw Data'!L233, 2),FALSE)),"",_xlfn.REGEXEXTRACT(CELL("address",L233), "\$([A-Z]+)\$[0-9]+"))),_xlfn.REGEXEXTRACT(CELL("address",L233), "\$([A-Z]+)\$[0-9]+"))</f>
        <v/>
      </c>
      <c r="M233" s="7" t="str">
        <f t="array" aca="1" ref="M233" ca="1">IFERROR(IF(OR('Raw Data'!M233="",LEN(TRIM('Raw Data'!M233))=0),"",IF(AND(ISNUMBER('Raw Data'!M233), IFERROR('Raw Data'!M233 = ROUND('Raw Data'!M233, 2),FALSE)),"",_xlfn.REGEXEXTRACT(CELL("address",M233), "\$([A-Z]+)\$[0-9]+"))),_xlfn.REGEXEXTRACT(CELL("address",M233), "\$([A-Z]+)\$[0-9]+"))</f>
        <v/>
      </c>
      <c r="N233" s="7" t="str">
        <f t="array" aca="1" ref="N233" ca="1">IFERROR(IF(OR('Raw Data'!N233="",LEN(TRIM('Raw Data'!N233))=0),"",IF(AND(ISNUMBER('Raw Data'!N233), IFERROR('Raw Data'!N233 = ROUND('Raw Data'!N233, 2),FALSE)),"",_xlfn.REGEXEXTRACT(CELL("address",N233), "\$([A-Z]+)\$[0-9]+"))),_xlfn.REGEXEXTRACT(CELL("address",N233), "\$([A-Z]+)\$[0-9]+"))</f>
        <v/>
      </c>
      <c r="O233" s="7" t="str">
        <f t="array" aca="1" ref="O233" ca="1">IFERROR(IF(OR('Raw Data'!O233="",LEN(TRIM('Raw Data'!O233))=0),"",IF(AND(ISNUMBER('Raw Data'!O233),'Raw Data'!O233&gt;=Configuration!$D$2),"",_xlfn.REGEXEXTRACT(CELL("address",'Raw Data'!O233),"\$([A-Z]+)\$[0-9]+"))),_xlfn.REGEXEXTRACT(CELL("address",O233), "\$([A-Z]+)\$[0-9]+"))</f>
        <v/>
      </c>
      <c r="P233" s="7" t="str">
        <f t="array" aca="1" ref="P233" ca="1">IFERROR(IF(OR('Raw Data'!P233="",LEN(TRIM('Raw Data'!P233))=0),"",IF(AND(ISNUMBER('Raw Data'!P233), IFERROR('Raw Data'!P233 = ROUND('Raw Data'!P233, 2),FALSE)),"",_xlfn.REGEXEXTRACT(CELL("address",P233), "\$([A-Z]+)\$[0-9]+"))),_xlfn.REGEXEXTRACT(CELL("address",P233), "\$([A-Z]+)\$[0-9]+"))</f>
        <v/>
      </c>
      <c r="Q233" s="7" t="str">
        <f t="array" aca="1" ref="Q233" ca="1">IFERROR(IF(OR('Raw Data'!Q233="",LEN(TRIM('Raw Data'!Q233))=0),"",IF(AND(ISNUMBER('Raw Data'!Q233), IFERROR('Raw Data'!Q233 = ROUND('Raw Data'!Q233, 2),FALSE)),"",_xlfn.REGEXEXTRACT(CELL("address",Q233), "\$([A-Z]+)\$[0-9]+"))),_xlfn.REGEXEXTRACT(CELL("address",Q233), "\$([A-Z]+)\$[0-9]+"))</f>
        <v/>
      </c>
      <c r="R233" s="7" t="str">
        <f t="array" aca="1" ref="R233" ca="1">IFERROR(IF(OR('Raw Data'!R233="",LEN(TRIM('Raw Data'!R233))=0),"",IF(AND(LEN('Raw Data'!R233) &lt;= 50,LEN('Raw Data'!R233)&gt; 0),"",_xlfn.REGEXEXTRACT(CELL("address",'Raw Data'!R233),"\$([A-Z]+)\$[0-9]+"))),_xlfn.REGEXEXTRACT(CELL("address",'Raw Data'!R233),"\$([A-Z]+)\$[0-9]+"))</f>
        <v/>
      </c>
      <c r="S233" s="7" t="str">
        <f t="array" aca="1" ref="S233" ca="1">IFERROR(IF(OR('Raw Data'!S233="",LEN(TRIM('Raw Data'!S233))=0),"",IF(AND(LEN('Raw Data'!S233) &lt;= 50,LEN('Raw Data'!S233)&gt; 0),"",_xlfn.REGEXEXTRACT(CELL("address",'Raw Data'!S233),"\$([A-Z]+)\$[0-9]+"))),_xlfn.REGEXEXTRACT(CELL("address",'Raw Data'!S233),"\$([A-Z]+)\$[0-9]+"))</f>
        <v/>
      </c>
      <c r="T233" s="7" t="str">
        <f t="array" aca="1" ref="T233" ca="1">IFERROR(IF(OR('Raw Data'!T233="",LEN(TRIM('Raw Data'!T233))=0),"",IF(AND(ISNUMBER('Raw Data'!T233), IFERROR('Raw Data'!T233 = ROUND('Raw Data'!T233, 2),FALSE)),"",_xlfn.REGEXEXTRACT(CELL("address",T233), "\$([A-Z]+)\$[0-9]+"))),_xlfn.REGEXEXTRACT(CELL("address",T233), "\$([A-Z]+)\$[0-9]+"))</f>
        <v/>
      </c>
      <c r="U233" s="7" t="str">
        <f t="array" aca="1" ref="U233" ca="1">IFERROR(IF(OR('Raw Data'!U233="",LEN(TRIM('Raw Data'!U233))=0),"",IF(AND(ISNUMBER('Raw Data'!U233), IFERROR('Raw Data'!U233 = ROUND('Raw Data'!U233, 2),FALSE)),"",_xlfn.REGEXEXTRACT(CELL("address",U233), "\$([A-Z]+)\$[0-9]+"))),_xlfn.REGEXEXTRACT(CELL("address",U233), "\$([A-Z]+)\$[0-9]+"))</f>
        <v/>
      </c>
      <c r="V233" s="7" t="str">
        <f t="array" aca="1" ref="V233" ca="1">IFERROR(IF(OR('Raw Data'!V233="",LEN(TRIM('Raw Data'!V233))=0),"",IF(AND(ISNUMBER('Raw Data'!V233), IFERROR('Raw Data'!V233 = ROUND('Raw Data'!V233, 2),FALSE)),"",_xlfn.REGEXEXTRACT(CELL("address",V233), "\$([A-Z]+)\$[0-9]+"))),_xlfn.REGEXEXTRACT(CELL("address",V233), "\$([A-Z]+)\$[0-9]+"))</f>
        <v/>
      </c>
      <c r="W233" s="7" t="str">
        <f t="array" aca="1" ref="W233" ca="1">IFERROR(IF(OR('Raw Data'!W233="",LEN(TRIM('Raw Data'!W233))=0),"",IF(AND(ISNUMBER('Raw Data'!W233), IFERROR('Raw Data'!W233 = ROUND('Raw Data'!W233, 2),FALSE)),"",_xlfn.REGEXEXTRACT(CELL("address",W233), "\$([A-Z]+)\$[0-9]+"))),_xlfn.REGEXEXTRACT(CELL("address",W233), "\$([A-Z]+)\$[0-9]+"))</f>
        <v/>
      </c>
      <c r="X233" s="7" t="str">
        <f t="array" aca="1" ref="X233" ca="1">IFERROR(IF(OR('Raw Data'!X233="",LEN(TRIM('Raw Data'!X233))=0),"",IF(AND(ISNUMBER('Raw Data'!X233), IFERROR('Raw Data'!X233 = ROUND('Raw Data'!X233, 2),FALSE)),"",_xlfn.REGEXEXTRACT(CELL("address",X233), "\$([A-Z]+)\$[0-9]+"))),_xlfn.REGEXEXTRACT(CELL("address",X233), "\$([A-Z]+)\$[0-9]+"))</f>
        <v/>
      </c>
      <c r="Y233" s="7" t="str">
        <f t="array" aca="1" ref="Y233" ca="1">IFERROR(IF(OR('Raw Data'!Y233="",LEN(TRIM('Raw Data'!Y233))=0),"",IF(AND(ISNUMBER('Raw Data'!Y233), IFERROR('Raw Data'!Y233 = ROUND('Raw Data'!Y233, 2),FALSE)),"",_xlfn.REGEXEXTRACT(CELL("address",Y233), "\$([A-Z]+)\$[0-9]+"))),_xlfn.REGEXEXTRACT(CELL("address",Y233), "\$([A-Z]+)\$[0-9]+"))</f>
        <v/>
      </c>
      <c r="Z233" s="7" t="str">
        <f t="array" aca="1" ref="Z233" ca="1">IFERROR(IF(OR('Raw Data'!Z233="",LEN(TRIM('Raw Data'!Z233))=0),"",IF(AND(ISNUMBER('Raw Data'!Z233), IFERROR('Raw Data'!Z233 = ROUND('Raw Data'!Z233, 2),FALSE)),"",_xlfn.REGEXEXTRACT(CELL("address",Z233), "\$([A-Z]+)\$[0-9]+"))),_xlfn.REGEXEXTRACT(CELL("address",Z233), "\$([A-Z]+)\$[0-9]+"))</f>
        <v/>
      </c>
      <c r="AA233" s="7" t="str">
        <f t="array" aca="1" ref="AA233" ca="1">IFERROR(IF(OR('Raw Data'!AA233="",LEN(TRIM('Raw Data'!AA233))=0),"",IF(AND(ISNUMBER('Raw Data'!AA233), IFERROR('Raw Data'!AA233 = ROUND('Raw Data'!AA233, 2),FALSE)),"",_xlfn.REGEXEXTRACT(CELL("address",AA233), "\$([A-Z]+)\$[0-9]+"))),_xlfn.REGEXEXTRACT(CELL("address",AA233), "\$([A-Z]+)\$[0-9]+"))</f>
        <v/>
      </c>
      <c r="AB233" s="7" t="str">
        <f t="array" aca="1" ref="AB233" ca="1">IFERROR(IF(OR('Raw Data'!AB233="",LEN(TRIM('Raw Data'!AB233))=0),"",IF(AND(ISNUMBER('Raw Data'!AB233), IFERROR('Raw Data'!AB233 = ROUND('Raw Data'!AB233, 2),FALSE)),"",_xlfn.REGEXEXTRACT(CELL("address",AB233), "\$([A-Z]+)\$[0-9]+"))),_xlfn.REGEXEXTRACT(CELL("address",AB233), "\$([A-Z]+)\$[0-9]+"))</f>
        <v/>
      </c>
      <c r="AC233" s="7" t="str">
        <f t="array" aca="1" ref="AC233" ca="1">IFERROR(IF(OR('Raw Data'!AC233="",LEN(TRIM('Raw Data'!AC233))=0),"",IF(AND(ISNUMBER('Raw Data'!AC233), IFERROR('Raw Data'!AC233 = ROUND('Raw Data'!AC233, 2),FALSE)),"",_xlfn.REGEXEXTRACT(CELL("address",AC233), "\$([A-Z]+)\$[0-9]+"))),_xlfn.REGEXEXTRACT(CELL("address",AC233), "\$([A-Z]+)\$[0-9]+"))</f>
        <v/>
      </c>
      <c r="AD233" s="7" t="str">
        <f t="array" aca="1" ref="AD233" ca="1">IFERROR(IF(OR('Raw Data'!AD233="",LEN(TRIM('Raw Data'!AD233))=0),"",IF(AND(ISNUMBER('Raw Data'!AD233), IFERROR('Raw Data'!AD233 = ROUND('Raw Data'!AD233, 2),FALSE)),"",_xlfn.REGEXEXTRACT(CELL("address",AD233), "\$([A-Z]+)\$[0-9]+"))),_xlfn.REGEXEXTRACT(CELL("address",AD233), "\$([A-Z]+)\$[0-9]+"))</f>
        <v/>
      </c>
      <c r="AE233" s="7" t="str">
        <f t="array" aca="1" ref="AE233" ca="1">IFERROR(IF(OR('Raw Data'!AE233="",LEN(TRIM('Raw Data'!AE233))=0),"",IF(AND(ISNUMBER('Raw Data'!AE233), IFERROR('Raw Data'!AE233 = ROUND('Raw Data'!AE233, 2),FALSE)),"",_xlfn.REGEXEXTRACT(CELL("address",AE233), "\$([A-Z]+)\$[0-9]+"))),_xlfn.REGEXEXTRACT(CELL("address",AE233), "\$([A-Z]+)\$[0-9]+"))</f>
        <v/>
      </c>
      <c r="AF233" s="7" t="str">
        <f t="array" aca="1" ref="AF233" ca="1">IFERROR(IF(OR('Raw Data'!AF233="",LEN(TRIM('Raw Data'!AF233))=0),"",IF(AND(ISNUMBER('Raw Data'!AF233), IFERROR('Raw Data'!AF233 = ROUND('Raw Data'!AF233, 2),FALSE)),"",_xlfn.REGEXEXTRACT(CELL("address",AF233), "\$([A-Z]+)\$[0-9]+"))),_xlfn.REGEXEXTRACT(CELL("address",AF233), "\$([A-Z]+)\$[0-9]+"))</f>
        <v/>
      </c>
      <c r="AG233" s="7" t="str">
        <f t="array" aca="1" ref="AG233" ca="1">IFERROR(IF(OR('Raw Data'!AG233="",LEN(TRIM('Raw Data'!AG233))=0),"",IF(AND(ISNUMBER('Raw Data'!AG233), IFERROR('Raw Data'!AG233 = ROUND('Raw Data'!AG233, 2),FALSE)),"",_xlfn.REGEXEXTRACT(CELL("address",AG233), "\$([A-Z]+)\$[0-9]+"))),_xlfn.REGEXEXTRACT(CELL("address",AG233), "\$([A-Z]+)\$[0-9]+"))</f>
        <v/>
      </c>
      <c r="AH233" s="7" t="str">
        <f t="array" aca="1" ref="AH233" ca="1">IFERROR(IF(OR('Raw Data'!AH233="",LEN(TRIM('Raw Data'!AH233))=0),"",IF(AND(ISNUMBER('Raw Data'!AH233), IFERROR('Raw Data'!AH233 = ROUND('Raw Data'!AH233, 2),FALSE)),"",_xlfn.REGEXEXTRACT(CELL("address",AH233), "\$([A-Z]+)\$[0-9]+"))),_xlfn.REGEXEXTRACT(CELL("address",AH233), "\$([A-Z]+)\$[0-9]+"))</f>
        <v/>
      </c>
      <c r="AI233" s="7" t="str">
        <f t="array" aca="1" ref="AI233" ca="1">IFERROR(IF(OR('Raw Data'!AI233="",LEN(TRIM('Raw Data'!AI233))=0),"",IF(AND(ISNUMBER('Raw Data'!AI233), IFERROR('Raw Data'!AI233 = ROUND('Raw Data'!AI233, 2),FALSE)),"",_xlfn.REGEXEXTRACT(CELL("address",AI233), "\$([A-Z]+)\$[0-9]+"))),_xlfn.REGEXEXTRACT(CELL("address",AI233), "\$([A-Z]+)\$[0-9]+"))</f>
        <v/>
      </c>
      <c r="AJ233" s="7" t="str">
        <f t="array" aca="1" ref="AJ233" ca="1">IFERROR(IF(OR('Raw Data'!AJ233="",LEN(TRIM('Raw Data'!AJ233))=0),"",IF(AND(ISNUMBER('Raw Data'!AJ233), IFERROR('Raw Data'!AJ233 = ROUND('Raw Data'!AJ233, 4),FALSE)),"",_xlfn.REGEXEXTRACT(CELL("address",AJ233), "\$([A-Z]+)\$[0-9]+"))),_xlfn.REGEXEXTRACT(CELL("address",AJ233), "\$([A-Z]+)\$[0-9]+"))</f>
        <v/>
      </c>
      <c r="AK233" s="7" t="str">
        <f t="array" aca="1" ref="AK233" ca="1">IFERROR(IF(OR('Raw Data'!AK233="",LEN(TRIM('Raw Data'!AK233))=0),"",IF(AND(ISNUMBER('Raw Data'!AK233), IFERROR('Raw Data'!AK233 = ROUND('Raw Data'!AK233, 2),FALSE)),"",_xlfn.REGEXEXTRACT(CELL("address",AK233), "\$([A-Z]+)\$[0-9]+"))),_xlfn.REGEXEXTRACT(CELL("address",AK233), "\$([A-Z]+)\$[0-9]+"))</f>
        <v/>
      </c>
      <c r="AL233" s="7" t="str">
        <f t="array" aca="1" ref="AL233" ca="1">IFERROR(IF(OR('Raw Data'!AL233="",LEN(TRIM('Raw Data'!AL233))=0),"",IF(AND(ISNUMBER('Raw Data'!AL233), IFERROR('Raw Data'!AL233 = ROUND('Raw Data'!AL233, 2),FALSE)),"",_xlfn.REGEXEXTRACT(CELL("address",AL233), "\$([A-Z]+)\$[0-9]+"))),_xlfn.REGEXEXTRACT(CELL("address",AL233), "\$([A-Z]+)\$[0-9]+"))</f>
        <v/>
      </c>
      <c r="AM233" s="7" t="str">
        <f t="array" aca="1" ref="AM233" ca="1">IFERROR(IF(OR('Raw Data'!AM233="",LEN(TRIM('Raw Data'!AM233))=0),"",IF(AND(ISNUMBER('Raw Data'!AM233), IFERROR('Raw Data'!AM233 = ROUND('Raw Data'!AM233, 2),FALSE)),"",_xlfn.REGEXEXTRACT(CELL("address",AM233), "\$([A-Z]+)\$[0-9]+"))),_xlfn.REGEXEXTRACT(CELL("address",AM233), "\$([A-Z]+)\$[0-9]+"))</f>
        <v/>
      </c>
      <c r="AN233" s="7" t="str">
        <f t="array" aca="1" ref="AN233" ca="1">IFERROR(IF(OR('Raw Data'!AN233="",LEN(TRIM('Raw Data'!AN233))=0),"",IF(AND(ISNUMBER('Raw Data'!AN233), IFERROR('Raw Data'!AN233 = ROUND('Raw Data'!AN233, 2),FALSE)),"",_xlfn.REGEXEXTRACT(CELL("address",AN233), "\$([A-Z]+)\$[0-9]+"))),_xlfn.REGEXEXTRACT(CELL("address",AN233), "\$([A-Z]+)\$[0-9]+"))</f>
        <v/>
      </c>
      <c r="AO233" s="7" t="str">
        <f t="array" aca="1" ref="AO233" ca="1">IFERROR(IF(OR('Raw Data'!AO233="",LEN(TRIM('Raw Data'!AO233))=0),"",IF(AND(ISNUMBER('Raw Data'!AO233), IFERROR('Raw Data'!AO233 = ROUND('Raw Data'!AO233, 2),FALSE)),"",_xlfn.REGEXEXTRACT(CELL("address",AO233), "\$([A-Z]+)\$[0-9]+"))),_xlfn.REGEXEXTRACT(CELL("address",AO233), "\$([A-Z]+)\$[0-9]+"))</f>
        <v/>
      </c>
      <c r="AP233" s="7" t="str">
        <f t="array" aca="1" ref="AP233" ca="1">IFERROR(IF(OR('Raw Data'!AP233="",LEN(TRIM('Raw Data'!AP233))=0),"",IF(AND(ISNUMBER('Raw Data'!AP233), IFERROR('Raw Data'!AP233 = ROUND('Raw Data'!AP233, 2),FALSE)),"",_xlfn.REGEXEXTRACT(CELL("address",AP233), "\$([A-Z]+)\$[0-9]+"))),_xlfn.REGEXEXTRACT(CELL("address",AP233), "\$([A-Z]+)\$[0-9]+"))</f>
        <v/>
      </c>
    </row>
    <row r="234" spans="2:42" x14ac:dyDescent="0.25">
      <c r="B234" s="7" t="str">
        <f t="array" aca="1" ref="B234" ca="1">IFERROR(IF(OR('Raw Data'!B234="",LEN(TRIM('Raw Data'!B234))=0),"",IF(AND(LEN('Raw Data'!B234) &lt;= 255,LEN('Raw Data'!B234)&gt; 0),"",_xlfn.REGEXEXTRACT(CELL("address",'Raw Data'!B234),"\$([A-Z]+)\$[0-9]+"))),_xlfn.REGEXEXTRACT(CELL("address",'Raw Data'!B234),"\$([A-Z]+)\$[0-9]+"))</f>
        <v/>
      </c>
      <c r="C234" s="7" t="str">
        <f t="array" aca="1" ref="C234" ca="1">IFERROR(IF(OR('Raw Data'!C234="",LEN(TRIM('Raw Data'!C234))=0),"",IF(AND(LEN('Raw Data'!C234) &lt;= 50,LEN('Raw Data'!C234)&gt; 0),"",_xlfn.REGEXEXTRACT(CELL("address",'Raw Data'!C234),"\$([A-Z]+)\$[0-9]+"))),_xlfn.REGEXEXTRACT(CELL("address",'Raw Data'!C234),"\$([A-Z]+)\$[0-9]+"))</f>
        <v/>
      </c>
      <c r="D234" s="7" t="str">
        <f t="array" aca="1" ref="D234" ca="1">IFERROR(IF(OR('Raw Data'!D234="",LEN(TRIM('Raw Data'!D234))=0),"",IF(AND(LEN('Raw Data'!D234) &lt;= 500,LEN('Raw Data'!D234)&gt; 0),"",_xlfn.REGEXEXTRACT(CELL("address",'Raw Data'!D234),"\$([A-Z]+)\$[0-9]+"))),_xlfn.REGEXEXTRACT(CELL("address",'Raw Data'!D234),"\$([A-Z]+)\$[0-9]+"))</f>
        <v/>
      </c>
      <c r="E234" s="7" t="str">
        <f t="array" aca="1" ref="E234" ca="1">IFERROR(IF(OR('Raw Data'!E234="",LEN(TRIM('Raw Data'!E234))=0),"",IF(AND(LEN('Raw Data'!E234) &lt;= 50,LEN('Raw Data'!E234)&gt; 0),"",_xlfn.REGEXEXTRACT(CELL("address",'Raw Data'!E234),"\$([A-Z]+)\$[0-9]+"))),_xlfn.REGEXEXTRACT(CELL("address",'Raw Data'!E234),"\$([A-Z]+)\$[0-9]+"))</f>
        <v/>
      </c>
      <c r="F234" s="7" t="str">
        <f t="array" aca="1" ref="F234" ca="1">IFERROR(IF(OR('Raw Data'!F234="",LEN(TRIM('Raw Data'!F234))=0),"",IF(AND(LEN('Raw Data'!F234) &lt;= 50,LEN('Raw Data'!F234)&gt; 0),"",_xlfn.REGEXEXTRACT(CELL("address",'Raw Data'!F234),"\$([A-Z]+)\$[0-9]+"))),_xlfn.REGEXEXTRACT(CELL("address",'Raw Data'!F234),"\$([A-Z]+)\$[0-9]+"))</f>
        <v/>
      </c>
      <c r="G234" s="7" t="str">
        <f t="array" aca="1" ref="G234" ca="1">IFERROR(IF(OR('Raw Data'!G234="",LEN(TRIM('Raw Data'!G234))=0),"",IF(AND(LEN('Raw Data'!G234) &lt;= 50,LEN('Raw Data'!G234)&gt; 0),"",_xlfn.REGEXEXTRACT(CELL("address",'Raw Data'!G234),"\$([A-Z]+)\$[0-9]+"))),_xlfn.REGEXEXTRACT(CELL("address",'Raw Data'!G234),"\$([A-Z]+)\$[0-9]+"))</f>
        <v/>
      </c>
      <c r="H234" s="7" t="str">
        <f t="array" aca="1" ref="H234" ca="1">IFERROR(IF(OR('Raw Data'!H234="",LEN(TRIM('Raw Data'!H234))=0),"",IF(AND(LEN('Raw Data'!H234) &lt;= 50,LEN('Raw Data'!H234)&gt; 0),"",_xlfn.REGEXEXTRACT(CELL("address",'Raw Data'!H234),"\$([A-Z]+)\$[0-9]+"))),_xlfn.REGEXEXTRACT(CELL("address",'Raw Data'!H234),"\$([A-Z]+)\$[0-9]+"))</f>
        <v/>
      </c>
      <c r="I234" s="7" t="str">
        <f t="array" aca="1" ref="I234" ca="1">IFERROR(IF(OR('Raw Data'!I234="",LEN(TRIM('Raw Data'!I234))=0),"",IF(AND(LEN('Raw Data'!I234) &lt;= 50,LEN('Raw Data'!I234)&gt; 0),"",_xlfn.REGEXEXTRACT(CELL("address",'Raw Data'!I234),"\$([A-Z]+)\$[0-9]+"))),_xlfn.REGEXEXTRACT(CELL("address",'Raw Data'!I234),"\$([A-Z]+)\$[0-9]+"))</f>
        <v/>
      </c>
      <c r="J234" s="7" t="str">
        <f t="array" aca="1" ref="J234" ca="1">IFERROR(IF(OR('Raw Data'!J234="",LEN(TRIM('Raw Data'!J234))=0),"",IF(AND(ISNUMBER('Raw Data'!J234), IFERROR('Raw Data'!J234 = ROUND('Raw Data'!J234, 2),FALSE)),"",_xlfn.REGEXEXTRACT(CELL("address",J234), "\$([A-Z]+)\$[0-9]+"))),_xlfn.REGEXEXTRACT(CELL("address",J234), "\$([A-Z]+)\$[0-9]+"))</f>
        <v/>
      </c>
      <c r="K234" s="7" t="str">
        <f t="array" aca="1" ref="K234" ca="1">IFERROR(IF(OR('Raw Data'!K234="",LEN(TRIM('Raw Data'!K234))=0),"",IF(AND(ISNUMBER('Raw Data'!K234), IFERROR('Raw Data'!K234 = ROUND('Raw Data'!K234, 2),FALSE)),"",_xlfn.REGEXEXTRACT(CELL("address",K234), "\$([A-Z]+)\$[0-9]+"))),_xlfn.REGEXEXTRACT(CELL("address",K234), "\$([A-Z]+)\$[0-9]+"))</f>
        <v/>
      </c>
      <c r="L234" s="7" t="str">
        <f t="array" aca="1" ref="L234" ca="1">IFERROR(IF(OR('Raw Data'!L234="",LEN(TRIM('Raw Data'!L234))=0),"",IF(AND(ISNUMBER('Raw Data'!L234), IFERROR('Raw Data'!L234 = ROUND('Raw Data'!L234, 2),FALSE)),"",_xlfn.REGEXEXTRACT(CELL("address",L234), "\$([A-Z]+)\$[0-9]+"))),_xlfn.REGEXEXTRACT(CELL("address",L234), "\$([A-Z]+)\$[0-9]+"))</f>
        <v/>
      </c>
      <c r="M234" s="7" t="str">
        <f t="array" aca="1" ref="M234" ca="1">IFERROR(IF(OR('Raw Data'!M234="",LEN(TRIM('Raw Data'!M234))=0),"",IF(AND(ISNUMBER('Raw Data'!M234), IFERROR('Raw Data'!M234 = ROUND('Raw Data'!M234, 2),FALSE)),"",_xlfn.REGEXEXTRACT(CELL("address",M234), "\$([A-Z]+)\$[0-9]+"))),_xlfn.REGEXEXTRACT(CELL("address",M234), "\$([A-Z]+)\$[0-9]+"))</f>
        <v/>
      </c>
      <c r="N234" s="7" t="str">
        <f t="array" aca="1" ref="N234" ca="1">IFERROR(IF(OR('Raw Data'!N234="",LEN(TRIM('Raw Data'!N234))=0),"",IF(AND(ISNUMBER('Raw Data'!N234), IFERROR('Raw Data'!N234 = ROUND('Raw Data'!N234, 2),FALSE)),"",_xlfn.REGEXEXTRACT(CELL("address",N234), "\$([A-Z]+)\$[0-9]+"))),_xlfn.REGEXEXTRACT(CELL("address",N234), "\$([A-Z]+)\$[0-9]+"))</f>
        <v/>
      </c>
      <c r="O234" s="7" t="str">
        <f t="array" aca="1" ref="O234" ca="1">IFERROR(IF(OR('Raw Data'!O234="",LEN(TRIM('Raw Data'!O234))=0),"",IF(AND(ISNUMBER('Raw Data'!O234),'Raw Data'!O234&gt;=Configuration!$D$2),"",_xlfn.REGEXEXTRACT(CELL("address",'Raw Data'!O234),"\$([A-Z]+)\$[0-9]+"))),_xlfn.REGEXEXTRACT(CELL("address",O234), "\$([A-Z]+)\$[0-9]+"))</f>
        <v/>
      </c>
      <c r="P234" s="7" t="str">
        <f t="array" aca="1" ref="P234" ca="1">IFERROR(IF(OR('Raw Data'!P234="",LEN(TRIM('Raw Data'!P234))=0),"",IF(AND(ISNUMBER('Raw Data'!P234), IFERROR('Raw Data'!P234 = ROUND('Raw Data'!P234, 2),FALSE)),"",_xlfn.REGEXEXTRACT(CELL("address",P234), "\$([A-Z]+)\$[0-9]+"))),_xlfn.REGEXEXTRACT(CELL("address",P234), "\$([A-Z]+)\$[0-9]+"))</f>
        <v/>
      </c>
      <c r="Q234" s="7" t="str">
        <f t="array" aca="1" ref="Q234" ca="1">IFERROR(IF(OR('Raw Data'!Q234="",LEN(TRIM('Raw Data'!Q234))=0),"",IF(AND(ISNUMBER('Raw Data'!Q234), IFERROR('Raw Data'!Q234 = ROUND('Raw Data'!Q234, 2),FALSE)),"",_xlfn.REGEXEXTRACT(CELL("address",Q234), "\$([A-Z]+)\$[0-9]+"))),_xlfn.REGEXEXTRACT(CELL("address",Q234), "\$([A-Z]+)\$[0-9]+"))</f>
        <v/>
      </c>
      <c r="R234" s="7" t="str">
        <f t="array" aca="1" ref="R234" ca="1">IFERROR(IF(OR('Raw Data'!R234="",LEN(TRIM('Raw Data'!R234))=0),"",IF(AND(LEN('Raw Data'!R234) &lt;= 50,LEN('Raw Data'!R234)&gt; 0),"",_xlfn.REGEXEXTRACT(CELL("address",'Raw Data'!R234),"\$([A-Z]+)\$[0-9]+"))),_xlfn.REGEXEXTRACT(CELL("address",'Raw Data'!R234),"\$([A-Z]+)\$[0-9]+"))</f>
        <v/>
      </c>
      <c r="S234" s="7" t="str">
        <f t="array" aca="1" ref="S234" ca="1">IFERROR(IF(OR('Raw Data'!S234="",LEN(TRIM('Raw Data'!S234))=0),"",IF(AND(LEN('Raw Data'!S234) &lt;= 50,LEN('Raw Data'!S234)&gt; 0),"",_xlfn.REGEXEXTRACT(CELL("address",'Raw Data'!S234),"\$([A-Z]+)\$[0-9]+"))),_xlfn.REGEXEXTRACT(CELL("address",'Raw Data'!S234),"\$([A-Z]+)\$[0-9]+"))</f>
        <v/>
      </c>
      <c r="T234" s="7" t="str">
        <f t="array" aca="1" ref="T234" ca="1">IFERROR(IF(OR('Raw Data'!T234="",LEN(TRIM('Raw Data'!T234))=0),"",IF(AND(ISNUMBER('Raw Data'!T234), IFERROR('Raw Data'!T234 = ROUND('Raw Data'!T234, 2),FALSE)),"",_xlfn.REGEXEXTRACT(CELL("address",T234), "\$([A-Z]+)\$[0-9]+"))),_xlfn.REGEXEXTRACT(CELL("address",T234), "\$([A-Z]+)\$[0-9]+"))</f>
        <v/>
      </c>
      <c r="U234" s="7" t="str">
        <f t="array" aca="1" ref="U234" ca="1">IFERROR(IF(OR('Raw Data'!U234="",LEN(TRIM('Raw Data'!U234))=0),"",IF(AND(ISNUMBER('Raw Data'!U234), IFERROR('Raw Data'!U234 = ROUND('Raw Data'!U234, 2),FALSE)),"",_xlfn.REGEXEXTRACT(CELL("address",U234), "\$([A-Z]+)\$[0-9]+"))),_xlfn.REGEXEXTRACT(CELL("address",U234), "\$([A-Z]+)\$[0-9]+"))</f>
        <v/>
      </c>
      <c r="V234" s="7" t="str">
        <f t="array" aca="1" ref="V234" ca="1">IFERROR(IF(OR('Raw Data'!V234="",LEN(TRIM('Raw Data'!V234))=0),"",IF(AND(ISNUMBER('Raw Data'!V234), IFERROR('Raw Data'!V234 = ROUND('Raw Data'!V234, 2),FALSE)),"",_xlfn.REGEXEXTRACT(CELL("address",V234), "\$([A-Z]+)\$[0-9]+"))),_xlfn.REGEXEXTRACT(CELL("address",V234), "\$([A-Z]+)\$[0-9]+"))</f>
        <v/>
      </c>
      <c r="W234" s="7" t="str">
        <f t="array" aca="1" ref="W234" ca="1">IFERROR(IF(OR('Raw Data'!W234="",LEN(TRIM('Raw Data'!W234))=0),"",IF(AND(ISNUMBER('Raw Data'!W234), IFERROR('Raw Data'!W234 = ROUND('Raw Data'!W234, 2),FALSE)),"",_xlfn.REGEXEXTRACT(CELL("address",W234), "\$([A-Z]+)\$[0-9]+"))),_xlfn.REGEXEXTRACT(CELL("address",W234), "\$([A-Z]+)\$[0-9]+"))</f>
        <v/>
      </c>
      <c r="X234" s="7" t="str">
        <f t="array" aca="1" ref="X234" ca="1">IFERROR(IF(OR('Raw Data'!X234="",LEN(TRIM('Raw Data'!X234))=0),"",IF(AND(ISNUMBER('Raw Data'!X234), IFERROR('Raw Data'!X234 = ROUND('Raw Data'!X234, 2),FALSE)),"",_xlfn.REGEXEXTRACT(CELL("address",X234), "\$([A-Z]+)\$[0-9]+"))),_xlfn.REGEXEXTRACT(CELL("address",X234), "\$([A-Z]+)\$[0-9]+"))</f>
        <v/>
      </c>
      <c r="Y234" s="7" t="str">
        <f t="array" aca="1" ref="Y234" ca="1">IFERROR(IF(OR('Raw Data'!Y234="",LEN(TRIM('Raw Data'!Y234))=0),"",IF(AND(ISNUMBER('Raw Data'!Y234), IFERROR('Raw Data'!Y234 = ROUND('Raw Data'!Y234, 2),FALSE)),"",_xlfn.REGEXEXTRACT(CELL("address",Y234), "\$([A-Z]+)\$[0-9]+"))),_xlfn.REGEXEXTRACT(CELL("address",Y234), "\$([A-Z]+)\$[0-9]+"))</f>
        <v/>
      </c>
      <c r="Z234" s="7" t="str">
        <f t="array" aca="1" ref="Z234" ca="1">IFERROR(IF(OR('Raw Data'!Z234="",LEN(TRIM('Raw Data'!Z234))=0),"",IF(AND(ISNUMBER('Raw Data'!Z234), IFERROR('Raw Data'!Z234 = ROUND('Raw Data'!Z234, 2),FALSE)),"",_xlfn.REGEXEXTRACT(CELL("address",Z234), "\$([A-Z]+)\$[0-9]+"))),_xlfn.REGEXEXTRACT(CELL("address",Z234), "\$([A-Z]+)\$[0-9]+"))</f>
        <v/>
      </c>
      <c r="AA234" s="7" t="str">
        <f t="array" aca="1" ref="AA234" ca="1">IFERROR(IF(OR('Raw Data'!AA234="",LEN(TRIM('Raw Data'!AA234))=0),"",IF(AND(ISNUMBER('Raw Data'!AA234), IFERROR('Raw Data'!AA234 = ROUND('Raw Data'!AA234, 2),FALSE)),"",_xlfn.REGEXEXTRACT(CELL("address",AA234), "\$([A-Z]+)\$[0-9]+"))),_xlfn.REGEXEXTRACT(CELL("address",AA234), "\$([A-Z]+)\$[0-9]+"))</f>
        <v/>
      </c>
      <c r="AB234" s="7" t="str">
        <f t="array" aca="1" ref="AB234" ca="1">IFERROR(IF(OR('Raw Data'!AB234="",LEN(TRIM('Raw Data'!AB234))=0),"",IF(AND(ISNUMBER('Raw Data'!AB234), IFERROR('Raw Data'!AB234 = ROUND('Raw Data'!AB234, 2),FALSE)),"",_xlfn.REGEXEXTRACT(CELL("address",AB234), "\$([A-Z]+)\$[0-9]+"))),_xlfn.REGEXEXTRACT(CELL("address",AB234), "\$([A-Z]+)\$[0-9]+"))</f>
        <v/>
      </c>
      <c r="AC234" s="7" t="str">
        <f t="array" aca="1" ref="AC234" ca="1">IFERROR(IF(OR('Raw Data'!AC234="",LEN(TRIM('Raw Data'!AC234))=0),"",IF(AND(ISNUMBER('Raw Data'!AC234), IFERROR('Raw Data'!AC234 = ROUND('Raw Data'!AC234, 2),FALSE)),"",_xlfn.REGEXEXTRACT(CELL("address",AC234), "\$([A-Z]+)\$[0-9]+"))),_xlfn.REGEXEXTRACT(CELL("address",AC234), "\$([A-Z]+)\$[0-9]+"))</f>
        <v/>
      </c>
      <c r="AD234" s="7" t="str">
        <f t="array" aca="1" ref="AD234" ca="1">IFERROR(IF(OR('Raw Data'!AD234="",LEN(TRIM('Raw Data'!AD234))=0),"",IF(AND(ISNUMBER('Raw Data'!AD234), IFERROR('Raw Data'!AD234 = ROUND('Raw Data'!AD234, 2),FALSE)),"",_xlfn.REGEXEXTRACT(CELL("address",AD234), "\$([A-Z]+)\$[0-9]+"))),_xlfn.REGEXEXTRACT(CELL("address",AD234), "\$([A-Z]+)\$[0-9]+"))</f>
        <v/>
      </c>
      <c r="AE234" s="7" t="str">
        <f t="array" aca="1" ref="AE234" ca="1">IFERROR(IF(OR('Raw Data'!AE234="",LEN(TRIM('Raw Data'!AE234))=0),"",IF(AND(ISNUMBER('Raw Data'!AE234), IFERROR('Raw Data'!AE234 = ROUND('Raw Data'!AE234, 2),FALSE)),"",_xlfn.REGEXEXTRACT(CELL("address",AE234), "\$([A-Z]+)\$[0-9]+"))),_xlfn.REGEXEXTRACT(CELL("address",AE234), "\$([A-Z]+)\$[0-9]+"))</f>
        <v/>
      </c>
      <c r="AF234" s="7" t="str">
        <f t="array" aca="1" ref="AF234" ca="1">IFERROR(IF(OR('Raw Data'!AF234="",LEN(TRIM('Raw Data'!AF234))=0),"",IF(AND(ISNUMBER('Raw Data'!AF234), IFERROR('Raw Data'!AF234 = ROUND('Raw Data'!AF234, 2),FALSE)),"",_xlfn.REGEXEXTRACT(CELL("address",AF234), "\$([A-Z]+)\$[0-9]+"))),_xlfn.REGEXEXTRACT(CELL("address",AF234), "\$([A-Z]+)\$[0-9]+"))</f>
        <v/>
      </c>
      <c r="AG234" s="7" t="str">
        <f t="array" aca="1" ref="AG234" ca="1">IFERROR(IF(OR('Raw Data'!AG234="",LEN(TRIM('Raw Data'!AG234))=0),"",IF(AND(ISNUMBER('Raw Data'!AG234), IFERROR('Raw Data'!AG234 = ROUND('Raw Data'!AG234, 2),FALSE)),"",_xlfn.REGEXEXTRACT(CELL("address",AG234), "\$([A-Z]+)\$[0-9]+"))),_xlfn.REGEXEXTRACT(CELL("address",AG234), "\$([A-Z]+)\$[0-9]+"))</f>
        <v/>
      </c>
      <c r="AH234" s="7" t="str">
        <f t="array" aca="1" ref="AH234" ca="1">IFERROR(IF(OR('Raw Data'!AH234="",LEN(TRIM('Raw Data'!AH234))=0),"",IF(AND(ISNUMBER('Raw Data'!AH234), IFERROR('Raw Data'!AH234 = ROUND('Raw Data'!AH234, 2),FALSE)),"",_xlfn.REGEXEXTRACT(CELL("address",AH234), "\$([A-Z]+)\$[0-9]+"))),_xlfn.REGEXEXTRACT(CELL("address",AH234), "\$([A-Z]+)\$[0-9]+"))</f>
        <v/>
      </c>
      <c r="AI234" s="7" t="str">
        <f t="array" aca="1" ref="AI234" ca="1">IFERROR(IF(OR('Raw Data'!AI234="",LEN(TRIM('Raw Data'!AI234))=0),"",IF(AND(ISNUMBER('Raw Data'!AI234), IFERROR('Raw Data'!AI234 = ROUND('Raw Data'!AI234, 2),FALSE)),"",_xlfn.REGEXEXTRACT(CELL("address",AI234), "\$([A-Z]+)\$[0-9]+"))),_xlfn.REGEXEXTRACT(CELL("address",AI234), "\$([A-Z]+)\$[0-9]+"))</f>
        <v/>
      </c>
      <c r="AJ234" s="7" t="str">
        <f t="array" aca="1" ref="AJ234" ca="1">IFERROR(IF(OR('Raw Data'!AJ234="",LEN(TRIM('Raw Data'!AJ234))=0),"",IF(AND(ISNUMBER('Raw Data'!AJ234), IFERROR('Raw Data'!AJ234 = ROUND('Raw Data'!AJ234, 4),FALSE)),"",_xlfn.REGEXEXTRACT(CELL("address",AJ234), "\$([A-Z]+)\$[0-9]+"))),_xlfn.REGEXEXTRACT(CELL("address",AJ234), "\$([A-Z]+)\$[0-9]+"))</f>
        <v/>
      </c>
      <c r="AK234" s="7" t="str">
        <f t="array" aca="1" ref="AK234" ca="1">IFERROR(IF(OR('Raw Data'!AK234="",LEN(TRIM('Raw Data'!AK234))=0),"",IF(AND(ISNUMBER('Raw Data'!AK234), IFERROR('Raw Data'!AK234 = ROUND('Raw Data'!AK234, 2),FALSE)),"",_xlfn.REGEXEXTRACT(CELL("address",AK234), "\$([A-Z]+)\$[0-9]+"))),_xlfn.REGEXEXTRACT(CELL("address",AK234), "\$([A-Z]+)\$[0-9]+"))</f>
        <v/>
      </c>
      <c r="AL234" s="7" t="str">
        <f t="array" aca="1" ref="AL234" ca="1">IFERROR(IF(OR('Raw Data'!AL234="",LEN(TRIM('Raw Data'!AL234))=0),"",IF(AND(ISNUMBER('Raw Data'!AL234), IFERROR('Raw Data'!AL234 = ROUND('Raw Data'!AL234, 2),FALSE)),"",_xlfn.REGEXEXTRACT(CELL("address",AL234), "\$([A-Z]+)\$[0-9]+"))),_xlfn.REGEXEXTRACT(CELL("address",AL234), "\$([A-Z]+)\$[0-9]+"))</f>
        <v/>
      </c>
      <c r="AM234" s="7" t="str">
        <f t="array" aca="1" ref="AM234" ca="1">IFERROR(IF(OR('Raw Data'!AM234="",LEN(TRIM('Raw Data'!AM234))=0),"",IF(AND(ISNUMBER('Raw Data'!AM234), IFERROR('Raw Data'!AM234 = ROUND('Raw Data'!AM234, 2),FALSE)),"",_xlfn.REGEXEXTRACT(CELL("address",AM234), "\$([A-Z]+)\$[0-9]+"))),_xlfn.REGEXEXTRACT(CELL("address",AM234), "\$([A-Z]+)\$[0-9]+"))</f>
        <v/>
      </c>
      <c r="AN234" s="7" t="str">
        <f t="array" aca="1" ref="AN234" ca="1">IFERROR(IF(OR('Raw Data'!AN234="",LEN(TRIM('Raw Data'!AN234))=0),"",IF(AND(ISNUMBER('Raw Data'!AN234), IFERROR('Raw Data'!AN234 = ROUND('Raw Data'!AN234, 2),FALSE)),"",_xlfn.REGEXEXTRACT(CELL("address",AN234), "\$([A-Z]+)\$[0-9]+"))),_xlfn.REGEXEXTRACT(CELL("address",AN234), "\$([A-Z]+)\$[0-9]+"))</f>
        <v/>
      </c>
      <c r="AO234" s="7" t="str">
        <f t="array" aca="1" ref="AO234" ca="1">IFERROR(IF(OR('Raw Data'!AO234="",LEN(TRIM('Raw Data'!AO234))=0),"",IF(AND(ISNUMBER('Raw Data'!AO234), IFERROR('Raw Data'!AO234 = ROUND('Raw Data'!AO234, 2),FALSE)),"",_xlfn.REGEXEXTRACT(CELL("address",AO234), "\$([A-Z]+)\$[0-9]+"))),_xlfn.REGEXEXTRACT(CELL("address",AO234), "\$([A-Z]+)\$[0-9]+"))</f>
        <v/>
      </c>
      <c r="AP234" s="7" t="str">
        <f t="array" aca="1" ref="AP234" ca="1">IFERROR(IF(OR('Raw Data'!AP234="",LEN(TRIM('Raw Data'!AP234))=0),"",IF(AND(ISNUMBER('Raw Data'!AP234), IFERROR('Raw Data'!AP234 = ROUND('Raw Data'!AP234, 2),FALSE)),"",_xlfn.REGEXEXTRACT(CELL("address",AP234), "\$([A-Z]+)\$[0-9]+"))),_xlfn.REGEXEXTRACT(CELL("address",AP234), "\$([A-Z]+)\$[0-9]+"))</f>
        <v/>
      </c>
    </row>
    <row r="235" spans="2:42" x14ac:dyDescent="0.25">
      <c r="B235" s="7" t="str">
        <f t="array" aca="1" ref="B235" ca="1">IFERROR(IF(OR('Raw Data'!B235="",LEN(TRIM('Raw Data'!B235))=0),"",IF(AND(LEN('Raw Data'!B235) &lt;= 255,LEN('Raw Data'!B235)&gt; 0),"",_xlfn.REGEXEXTRACT(CELL("address",'Raw Data'!B235),"\$([A-Z]+)\$[0-9]+"))),_xlfn.REGEXEXTRACT(CELL("address",'Raw Data'!B235),"\$([A-Z]+)\$[0-9]+"))</f>
        <v/>
      </c>
      <c r="C235" s="7" t="str">
        <f t="array" aca="1" ref="C235" ca="1">IFERROR(IF(OR('Raw Data'!C235="",LEN(TRIM('Raw Data'!C235))=0),"",IF(AND(LEN('Raw Data'!C235) &lt;= 50,LEN('Raw Data'!C235)&gt; 0),"",_xlfn.REGEXEXTRACT(CELL("address",'Raw Data'!C235),"\$([A-Z]+)\$[0-9]+"))),_xlfn.REGEXEXTRACT(CELL("address",'Raw Data'!C235),"\$([A-Z]+)\$[0-9]+"))</f>
        <v/>
      </c>
      <c r="D235" s="7" t="str">
        <f t="array" aca="1" ref="D235" ca="1">IFERROR(IF(OR('Raw Data'!D235="",LEN(TRIM('Raw Data'!D235))=0),"",IF(AND(LEN('Raw Data'!D235) &lt;= 500,LEN('Raw Data'!D235)&gt; 0),"",_xlfn.REGEXEXTRACT(CELL("address",'Raw Data'!D235),"\$([A-Z]+)\$[0-9]+"))),_xlfn.REGEXEXTRACT(CELL("address",'Raw Data'!D235),"\$([A-Z]+)\$[0-9]+"))</f>
        <v/>
      </c>
      <c r="E235" s="7" t="str">
        <f t="array" aca="1" ref="E235" ca="1">IFERROR(IF(OR('Raw Data'!E235="",LEN(TRIM('Raw Data'!E235))=0),"",IF(AND(LEN('Raw Data'!E235) &lt;= 50,LEN('Raw Data'!E235)&gt; 0),"",_xlfn.REGEXEXTRACT(CELL("address",'Raw Data'!E235),"\$([A-Z]+)\$[0-9]+"))),_xlfn.REGEXEXTRACT(CELL("address",'Raw Data'!E235),"\$([A-Z]+)\$[0-9]+"))</f>
        <v/>
      </c>
      <c r="F235" s="7" t="str">
        <f t="array" aca="1" ref="F235" ca="1">IFERROR(IF(OR('Raw Data'!F235="",LEN(TRIM('Raw Data'!F235))=0),"",IF(AND(LEN('Raw Data'!F235) &lt;= 50,LEN('Raw Data'!F235)&gt; 0),"",_xlfn.REGEXEXTRACT(CELL("address",'Raw Data'!F235),"\$([A-Z]+)\$[0-9]+"))),_xlfn.REGEXEXTRACT(CELL("address",'Raw Data'!F235),"\$([A-Z]+)\$[0-9]+"))</f>
        <v/>
      </c>
      <c r="G235" s="7" t="str">
        <f t="array" aca="1" ref="G235" ca="1">IFERROR(IF(OR('Raw Data'!G235="",LEN(TRIM('Raw Data'!G235))=0),"",IF(AND(LEN('Raw Data'!G235) &lt;= 50,LEN('Raw Data'!G235)&gt; 0),"",_xlfn.REGEXEXTRACT(CELL("address",'Raw Data'!G235),"\$([A-Z]+)\$[0-9]+"))),_xlfn.REGEXEXTRACT(CELL("address",'Raw Data'!G235),"\$([A-Z]+)\$[0-9]+"))</f>
        <v/>
      </c>
      <c r="H235" s="7" t="str">
        <f t="array" aca="1" ref="H235" ca="1">IFERROR(IF(OR('Raw Data'!H235="",LEN(TRIM('Raw Data'!H235))=0),"",IF(AND(LEN('Raw Data'!H235) &lt;= 50,LEN('Raw Data'!H235)&gt; 0),"",_xlfn.REGEXEXTRACT(CELL("address",'Raw Data'!H235),"\$([A-Z]+)\$[0-9]+"))),_xlfn.REGEXEXTRACT(CELL("address",'Raw Data'!H235),"\$([A-Z]+)\$[0-9]+"))</f>
        <v/>
      </c>
      <c r="I235" s="7" t="str">
        <f t="array" aca="1" ref="I235" ca="1">IFERROR(IF(OR('Raw Data'!I235="",LEN(TRIM('Raw Data'!I235))=0),"",IF(AND(LEN('Raw Data'!I235) &lt;= 50,LEN('Raw Data'!I235)&gt; 0),"",_xlfn.REGEXEXTRACT(CELL("address",'Raw Data'!I235),"\$([A-Z]+)\$[0-9]+"))),_xlfn.REGEXEXTRACT(CELL("address",'Raw Data'!I235),"\$([A-Z]+)\$[0-9]+"))</f>
        <v/>
      </c>
      <c r="J235" s="7" t="str">
        <f t="array" aca="1" ref="J235" ca="1">IFERROR(IF(OR('Raw Data'!J235="",LEN(TRIM('Raw Data'!J235))=0),"",IF(AND(ISNUMBER('Raw Data'!J235), IFERROR('Raw Data'!J235 = ROUND('Raw Data'!J235, 2),FALSE)),"",_xlfn.REGEXEXTRACT(CELL("address",J235), "\$([A-Z]+)\$[0-9]+"))),_xlfn.REGEXEXTRACT(CELL("address",J235), "\$([A-Z]+)\$[0-9]+"))</f>
        <v/>
      </c>
      <c r="K235" s="7" t="str">
        <f t="array" aca="1" ref="K235" ca="1">IFERROR(IF(OR('Raw Data'!K235="",LEN(TRIM('Raw Data'!K235))=0),"",IF(AND(ISNUMBER('Raw Data'!K235), IFERROR('Raw Data'!K235 = ROUND('Raw Data'!K235, 2),FALSE)),"",_xlfn.REGEXEXTRACT(CELL("address",K235), "\$([A-Z]+)\$[0-9]+"))),_xlfn.REGEXEXTRACT(CELL("address",K235), "\$([A-Z]+)\$[0-9]+"))</f>
        <v/>
      </c>
      <c r="L235" s="7" t="str">
        <f t="array" aca="1" ref="L235" ca="1">IFERROR(IF(OR('Raw Data'!L235="",LEN(TRIM('Raw Data'!L235))=0),"",IF(AND(ISNUMBER('Raw Data'!L235), IFERROR('Raw Data'!L235 = ROUND('Raw Data'!L235, 2),FALSE)),"",_xlfn.REGEXEXTRACT(CELL("address",L235), "\$([A-Z]+)\$[0-9]+"))),_xlfn.REGEXEXTRACT(CELL("address",L235), "\$([A-Z]+)\$[0-9]+"))</f>
        <v/>
      </c>
      <c r="M235" s="7" t="str">
        <f t="array" aca="1" ref="M235" ca="1">IFERROR(IF(OR('Raw Data'!M235="",LEN(TRIM('Raw Data'!M235))=0),"",IF(AND(ISNUMBER('Raw Data'!M235), IFERROR('Raw Data'!M235 = ROUND('Raw Data'!M235, 2),FALSE)),"",_xlfn.REGEXEXTRACT(CELL("address",M235), "\$([A-Z]+)\$[0-9]+"))),_xlfn.REGEXEXTRACT(CELL("address",M235), "\$([A-Z]+)\$[0-9]+"))</f>
        <v/>
      </c>
      <c r="N235" s="7" t="str">
        <f t="array" aca="1" ref="N235" ca="1">IFERROR(IF(OR('Raw Data'!N235="",LEN(TRIM('Raw Data'!N235))=0),"",IF(AND(ISNUMBER('Raw Data'!N235), IFERROR('Raw Data'!N235 = ROUND('Raw Data'!N235, 2),FALSE)),"",_xlfn.REGEXEXTRACT(CELL("address",N235), "\$([A-Z]+)\$[0-9]+"))),_xlfn.REGEXEXTRACT(CELL("address",N235), "\$([A-Z]+)\$[0-9]+"))</f>
        <v/>
      </c>
      <c r="O235" s="7" t="str">
        <f t="array" aca="1" ref="O235" ca="1">IFERROR(IF(OR('Raw Data'!O235="",LEN(TRIM('Raw Data'!O235))=0),"",IF(AND(ISNUMBER('Raw Data'!O235),'Raw Data'!O235&gt;=Configuration!$D$2),"",_xlfn.REGEXEXTRACT(CELL("address",'Raw Data'!O235),"\$([A-Z]+)\$[0-9]+"))),_xlfn.REGEXEXTRACT(CELL("address",O235), "\$([A-Z]+)\$[0-9]+"))</f>
        <v/>
      </c>
      <c r="P235" s="7" t="str">
        <f t="array" aca="1" ref="P235" ca="1">IFERROR(IF(OR('Raw Data'!P235="",LEN(TRIM('Raw Data'!P235))=0),"",IF(AND(ISNUMBER('Raw Data'!P235), IFERROR('Raw Data'!P235 = ROUND('Raw Data'!P235, 2),FALSE)),"",_xlfn.REGEXEXTRACT(CELL("address",P235), "\$([A-Z]+)\$[0-9]+"))),_xlfn.REGEXEXTRACT(CELL("address",P235), "\$([A-Z]+)\$[0-9]+"))</f>
        <v/>
      </c>
      <c r="Q235" s="7" t="str">
        <f t="array" aca="1" ref="Q235" ca="1">IFERROR(IF(OR('Raw Data'!Q235="",LEN(TRIM('Raw Data'!Q235))=0),"",IF(AND(ISNUMBER('Raw Data'!Q235), IFERROR('Raw Data'!Q235 = ROUND('Raw Data'!Q235, 2),FALSE)),"",_xlfn.REGEXEXTRACT(CELL("address",Q235), "\$([A-Z]+)\$[0-9]+"))),_xlfn.REGEXEXTRACT(CELL("address",Q235), "\$([A-Z]+)\$[0-9]+"))</f>
        <v/>
      </c>
      <c r="R235" s="7" t="str">
        <f t="array" aca="1" ref="R235" ca="1">IFERROR(IF(OR('Raw Data'!R235="",LEN(TRIM('Raw Data'!R235))=0),"",IF(AND(LEN('Raw Data'!R235) &lt;= 50,LEN('Raw Data'!R235)&gt; 0),"",_xlfn.REGEXEXTRACT(CELL("address",'Raw Data'!R235),"\$([A-Z]+)\$[0-9]+"))),_xlfn.REGEXEXTRACT(CELL("address",'Raw Data'!R235),"\$([A-Z]+)\$[0-9]+"))</f>
        <v/>
      </c>
      <c r="S235" s="7" t="str">
        <f t="array" aca="1" ref="S235" ca="1">IFERROR(IF(OR('Raw Data'!S235="",LEN(TRIM('Raw Data'!S235))=0),"",IF(AND(LEN('Raw Data'!S235) &lt;= 50,LEN('Raw Data'!S235)&gt; 0),"",_xlfn.REGEXEXTRACT(CELL("address",'Raw Data'!S235),"\$([A-Z]+)\$[0-9]+"))),_xlfn.REGEXEXTRACT(CELL("address",'Raw Data'!S235),"\$([A-Z]+)\$[0-9]+"))</f>
        <v/>
      </c>
      <c r="T235" s="7" t="str">
        <f t="array" aca="1" ref="T235" ca="1">IFERROR(IF(OR('Raw Data'!T235="",LEN(TRIM('Raw Data'!T235))=0),"",IF(AND(ISNUMBER('Raw Data'!T235), IFERROR('Raw Data'!T235 = ROUND('Raw Data'!T235, 2),FALSE)),"",_xlfn.REGEXEXTRACT(CELL("address",T235), "\$([A-Z]+)\$[0-9]+"))),_xlfn.REGEXEXTRACT(CELL("address",T235), "\$([A-Z]+)\$[0-9]+"))</f>
        <v/>
      </c>
      <c r="U235" s="7" t="str">
        <f t="array" aca="1" ref="U235" ca="1">IFERROR(IF(OR('Raw Data'!U235="",LEN(TRIM('Raw Data'!U235))=0),"",IF(AND(ISNUMBER('Raw Data'!U235), IFERROR('Raw Data'!U235 = ROUND('Raw Data'!U235, 2),FALSE)),"",_xlfn.REGEXEXTRACT(CELL("address",U235), "\$([A-Z]+)\$[0-9]+"))),_xlfn.REGEXEXTRACT(CELL("address",U235), "\$([A-Z]+)\$[0-9]+"))</f>
        <v/>
      </c>
      <c r="V235" s="7" t="str">
        <f t="array" aca="1" ref="V235" ca="1">IFERROR(IF(OR('Raw Data'!V235="",LEN(TRIM('Raw Data'!V235))=0),"",IF(AND(ISNUMBER('Raw Data'!V235), IFERROR('Raw Data'!V235 = ROUND('Raw Data'!V235, 2),FALSE)),"",_xlfn.REGEXEXTRACT(CELL("address",V235), "\$([A-Z]+)\$[0-9]+"))),_xlfn.REGEXEXTRACT(CELL("address",V235), "\$([A-Z]+)\$[0-9]+"))</f>
        <v/>
      </c>
      <c r="W235" s="7" t="str">
        <f t="array" aca="1" ref="W235" ca="1">IFERROR(IF(OR('Raw Data'!W235="",LEN(TRIM('Raw Data'!W235))=0),"",IF(AND(ISNUMBER('Raw Data'!W235), IFERROR('Raw Data'!W235 = ROUND('Raw Data'!W235, 2),FALSE)),"",_xlfn.REGEXEXTRACT(CELL("address",W235), "\$([A-Z]+)\$[0-9]+"))),_xlfn.REGEXEXTRACT(CELL("address",W235), "\$([A-Z]+)\$[0-9]+"))</f>
        <v/>
      </c>
      <c r="X235" s="7" t="str">
        <f t="array" aca="1" ref="X235" ca="1">IFERROR(IF(OR('Raw Data'!X235="",LEN(TRIM('Raw Data'!X235))=0),"",IF(AND(ISNUMBER('Raw Data'!X235), IFERROR('Raw Data'!X235 = ROUND('Raw Data'!X235, 2),FALSE)),"",_xlfn.REGEXEXTRACT(CELL("address",X235), "\$([A-Z]+)\$[0-9]+"))),_xlfn.REGEXEXTRACT(CELL("address",X235), "\$([A-Z]+)\$[0-9]+"))</f>
        <v/>
      </c>
      <c r="Y235" s="7" t="str">
        <f t="array" aca="1" ref="Y235" ca="1">IFERROR(IF(OR('Raw Data'!Y235="",LEN(TRIM('Raw Data'!Y235))=0),"",IF(AND(ISNUMBER('Raw Data'!Y235), IFERROR('Raw Data'!Y235 = ROUND('Raw Data'!Y235, 2),FALSE)),"",_xlfn.REGEXEXTRACT(CELL("address",Y235), "\$([A-Z]+)\$[0-9]+"))),_xlfn.REGEXEXTRACT(CELL("address",Y235), "\$([A-Z]+)\$[0-9]+"))</f>
        <v/>
      </c>
      <c r="Z235" s="7" t="str">
        <f t="array" aca="1" ref="Z235" ca="1">IFERROR(IF(OR('Raw Data'!Z235="",LEN(TRIM('Raw Data'!Z235))=0),"",IF(AND(ISNUMBER('Raw Data'!Z235), IFERROR('Raw Data'!Z235 = ROUND('Raw Data'!Z235, 2),FALSE)),"",_xlfn.REGEXEXTRACT(CELL("address",Z235), "\$([A-Z]+)\$[0-9]+"))),_xlfn.REGEXEXTRACT(CELL("address",Z235), "\$([A-Z]+)\$[0-9]+"))</f>
        <v/>
      </c>
      <c r="AA235" s="7" t="str">
        <f t="array" aca="1" ref="AA235" ca="1">IFERROR(IF(OR('Raw Data'!AA235="",LEN(TRIM('Raw Data'!AA235))=0),"",IF(AND(ISNUMBER('Raw Data'!AA235), IFERROR('Raw Data'!AA235 = ROUND('Raw Data'!AA235, 2),FALSE)),"",_xlfn.REGEXEXTRACT(CELL("address",AA235), "\$([A-Z]+)\$[0-9]+"))),_xlfn.REGEXEXTRACT(CELL("address",AA235), "\$([A-Z]+)\$[0-9]+"))</f>
        <v/>
      </c>
      <c r="AB235" s="7" t="str">
        <f t="array" aca="1" ref="AB235" ca="1">IFERROR(IF(OR('Raw Data'!AB235="",LEN(TRIM('Raw Data'!AB235))=0),"",IF(AND(ISNUMBER('Raw Data'!AB235), IFERROR('Raw Data'!AB235 = ROUND('Raw Data'!AB235, 2),FALSE)),"",_xlfn.REGEXEXTRACT(CELL("address",AB235), "\$([A-Z]+)\$[0-9]+"))),_xlfn.REGEXEXTRACT(CELL("address",AB235), "\$([A-Z]+)\$[0-9]+"))</f>
        <v/>
      </c>
      <c r="AC235" s="7" t="str">
        <f t="array" aca="1" ref="AC235" ca="1">IFERROR(IF(OR('Raw Data'!AC235="",LEN(TRIM('Raw Data'!AC235))=0),"",IF(AND(ISNUMBER('Raw Data'!AC235), IFERROR('Raw Data'!AC235 = ROUND('Raw Data'!AC235, 2),FALSE)),"",_xlfn.REGEXEXTRACT(CELL("address",AC235), "\$([A-Z]+)\$[0-9]+"))),_xlfn.REGEXEXTRACT(CELL("address",AC235), "\$([A-Z]+)\$[0-9]+"))</f>
        <v/>
      </c>
      <c r="AD235" s="7" t="str">
        <f t="array" aca="1" ref="AD235" ca="1">IFERROR(IF(OR('Raw Data'!AD235="",LEN(TRIM('Raw Data'!AD235))=0),"",IF(AND(ISNUMBER('Raw Data'!AD235), IFERROR('Raw Data'!AD235 = ROUND('Raw Data'!AD235, 2),FALSE)),"",_xlfn.REGEXEXTRACT(CELL("address",AD235), "\$([A-Z]+)\$[0-9]+"))),_xlfn.REGEXEXTRACT(CELL("address",AD235), "\$([A-Z]+)\$[0-9]+"))</f>
        <v/>
      </c>
      <c r="AE235" s="7" t="str">
        <f t="array" aca="1" ref="AE235" ca="1">IFERROR(IF(OR('Raw Data'!AE235="",LEN(TRIM('Raw Data'!AE235))=0),"",IF(AND(ISNUMBER('Raw Data'!AE235), IFERROR('Raw Data'!AE235 = ROUND('Raw Data'!AE235, 2),FALSE)),"",_xlfn.REGEXEXTRACT(CELL("address",AE235), "\$([A-Z]+)\$[0-9]+"))),_xlfn.REGEXEXTRACT(CELL("address",AE235), "\$([A-Z]+)\$[0-9]+"))</f>
        <v/>
      </c>
      <c r="AF235" s="7" t="str">
        <f t="array" aca="1" ref="AF235" ca="1">IFERROR(IF(OR('Raw Data'!AF235="",LEN(TRIM('Raw Data'!AF235))=0),"",IF(AND(ISNUMBER('Raw Data'!AF235), IFERROR('Raw Data'!AF235 = ROUND('Raw Data'!AF235, 2),FALSE)),"",_xlfn.REGEXEXTRACT(CELL("address",AF235), "\$([A-Z]+)\$[0-9]+"))),_xlfn.REGEXEXTRACT(CELL("address",AF235), "\$([A-Z]+)\$[0-9]+"))</f>
        <v/>
      </c>
      <c r="AG235" s="7" t="str">
        <f t="array" aca="1" ref="AG235" ca="1">IFERROR(IF(OR('Raw Data'!AG235="",LEN(TRIM('Raw Data'!AG235))=0),"",IF(AND(ISNUMBER('Raw Data'!AG235), IFERROR('Raw Data'!AG235 = ROUND('Raw Data'!AG235, 2),FALSE)),"",_xlfn.REGEXEXTRACT(CELL("address",AG235), "\$([A-Z]+)\$[0-9]+"))),_xlfn.REGEXEXTRACT(CELL("address",AG235), "\$([A-Z]+)\$[0-9]+"))</f>
        <v/>
      </c>
      <c r="AH235" s="7" t="str">
        <f t="array" aca="1" ref="AH235" ca="1">IFERROR(IF(OR('Raw Data'!AH235="",LEN(TRIM('Raw Data'!AH235))=0),"",IF(AND(ISNUMBER('Raw Data'!AH235), IFERROR('Raw Data'!AH235 = ROUND('Raw Data'!AH235, 2),FALSE)),"",_xlfn.REGEXEXTRACT(CELL("address",AH235), "\$([A-Z]+)\$[0-9]+"))),_xlfn.REGEXEXTRACT(CELL("address",AH235), "\$([A-Z]+)\$[0-9]+"))</f>
        <v/>
      </c>
      <c r="AI235" s="7" t="str">
        <f t="array" aca="1" ref="AI235" ca="1">IFERROR(IF(OR('Raw Data'!AI235="",LEN(TRIM('Raw Data'!AI235))=0),"",IF(AND(ISNUMBER('Raw Data'!AI235), IFERROR('Raw Data'!AI235 = ROUND('Raw Data'!AI235, 2),FALSE)),"",_xlfn.REGEXEXTRACT(CELL("address",AI235), "\$([A-Z]+)\$[0-9]+"))),_xlfn.REGEXEXTRACT(CELL("address",AI235), "\$([A-Z]+)\$[0-9]+"))</f>
        <v/>
      </c>
      <c r="AJ235" s="7" t="str">
        <f t="array" aca="1" ref="AJ235" ca="1">IFERROR(IF(OR('Raw Data'!AJ235="",LEN(TRIM('Raw Data'!AJ235))=0),"",IF(AND(ISNUMBER('Raw Data'!AJ235), IFERROR('Raw Data'!AJ235 = ROUND('Raw Data'!AJ235, 4),FALSE)),"",_xlfn.REGEXEXTRACT(CELL("address",AJ235), "\$([A-Z]+)\$[0-9]+"))),_xlfn.REGEXEXTRACT(CELL("address",AJ235), "\$([A-Z]+)\$[0-9]+"))</f>
        <v/>
      </c>
      <c r="AK235" s="7" t="str">
        <f t="array" aca="1" ref="AK235" ca="1">IFERROR(IF(OR('Raw Data'!AK235="",LEN(TRIM('Raw Data'!AK235))=0),"",IF(AND(ISNUMBER('Raw Data'!AK235), IFERROR('Raw Data'!AK235 = ROUND('Raw Data'!AK235, 2),FALSE)),"",_xlfn.REGEXEXTRACT(CELL("address",AK235), "\$([A-Z]+)\$[0-9]+"))),_xlfn.REGEXEXTRACT(CELL("address",AK235), "\$([A-Z]+)\$[0-9]+"))</f>
        <v/>
      </c>
      <c r="AL235" s="7" t="str">
        <f t="array" aca="1" ref="AL235" ca="1">IFERROR(IF(OR('Raw Data'!AL235="",LEN(TRIM('Raw Data'!AL235))=0),"",IF(AND(ISNUMBER('Raw Data'!AL235), IFERROR('Raw Data'!AL235 = ROUND('Raw Data'!AL235, 2),FALSE)),"",_xlfn.REGEXEXTRACT(CELL("address",AL235), "\$([A-Z]+)\$[0-9]+"))),_xlfn.REGEXEXTRACT(CELL("address",AL235), "\$([A-Z]+)\$[0-9]+"))</f>
        <v/>
      </c>
      <c r="AM235" s="7" t="str">
        <f t="array" aca="1" ref="AM235" ca="1">IFERROR(IF(OR('Raw Data'!AM235="",LEN(TRIM('Raw Data'!AM235))=0),"",IF(AND(ISNUMBER('Raw Data'!AM235), IFERROR('Raw Data'!AM235 = ROUND('Raw Data'!AM235, 2),FALSE)),"",_xlfn.REGEXEXTRACT(CELL("address",AM235), "\$([A-Z]+)\$[0-9]+"))),_xlfn.REGEXEXTRACT(CELL("address",AM235), "\$([A-Z]+)\$[0-9]+"))</f>
        <v/>
      </c>
      <c r="AN235" s="7" t="str">
        <f t="array" aca="1" ref="AN235" ca="1">IFERROR(IF(OR('Raw Data'!AN235="",LEN(TRIM('Raw Data'!AN235))=0),"",IF(AND(ISNUMBER('Raw Data'!AN235), IFERROR('Raw Data'!AN235 = ROUND('Raw Data'!AN235, 2),FALSE)),"",_xlfn.REGEXEXTRACT(CELL("address",AN235), "\$([A-Z]+)\$[0-9]+"))),_xlfn.REGEXEXTRACT(CELL("address",AN235), "\$([A-Z]+)\$[0-9]+"))</f>
        <v/>
      </c>
      <c r="AO235" s="7" t="str">
        <f t="array" aca="1" ref="AO235" ca="1">IFERROR(IF(OR('Raw Data'!AO235="",LEN(TRIM('Raw Data'!AO235))=0),"",IF(AND(ISNUMBER('Raw Data'!AO235), IFERROR('Raw Data'!AO235 = ROUND('Raw Data'!AO235, 2),FALSE)),"",_xlfn.REGEXEXTRACT(CELL("address",AO235), "\$([A-Z]+)\$[0-9]+"))),_xlfn.REGEXEXTRACT(CELL("address",AO235), "\$([A-Z]+)\$[0-9]+"))</f>
        <v/>
      </c>
      <c r="AP235" s="7" t="str">
        <f t="array" aca="1" ref="AP235" ca="1">IFERROR(IF(OR('Raw Data'!AP235="",LEN(TRIM('Raw Data'!AP235))=0),"",IF(AND(ISNUMBER('Raw Data'!AP235), IFERROR('Raw Data'!AP235 = ROUND('Raw Data'!AP235, 2),FALSE)),"",_xlfn.REGEXEXTRACT(CELL("address",AP235), "\$([A-Z]+)\$[0-9]+"))),_xlfn.REGEXEXTRACT(CELL("address",AP235), "\$([A-Z]+)\$[0-9]+"))</f>
        <v/>
      </c>
    </row>
    <row r="236" spans="2:42" x14ac:dyDescent="0.25">
      <c r="B236" s="7" t="str">
        <f t="array" aca="1" ref="B236" ca="1">IFERROR(IF(OR('Raw Data'!B236="",LEN(TRIM('Raw Data'!B236))=0),"",IF(AND(LEN('Raw Data'!B236) &lt;= 255,LEN('Raw Data'!B236)&gt; 0),"",_xlfn.REGEXEXTRACT(CELL("address",'Raw Data'!B236),"\$([A-Z]+)\$[0-9]+"))),_xlfn.REGEXEXTRACT(CELL("address",'Raw Data'!B236),"\$([A-Z]+)\$[0-9]+"))</f>
        <v/>
      </c>
      <c r="C236" s="7" t="str">
        <f t="array" aca="1" ref="C236" ca="1">IFERROR(IF(OR('Raw Data'!C236="",LEN(TRIM('Raw Data'!C236))=0),"",IF(AND(LEN('Raw Data'!C236) &lt;= 50,LEN('Raw Data'!C236)&gt; 0),"",_xlfn.REGEXEXTRACT(CELL("address",'Raw Data'!C236),"\$([A-Z]+)\$[0-9]+"))),_xlfn.REGEXEXTRACT(CELL("address",'Raw Data'!C236),"\$([A-Z]+)\$[0-9]+"))</f>
        <v/>
      </c>
      <c r="D236" s="7" t="str">
        <f t="array" aca="1" ref="D236" ca="1">IFERROR(IF(OR('Raw Data'!D236="",LEN(TRIM('Raw Data'!D236))=0),"",IF(AND(LEN('Raw Data'!D236) &lt;= 500,LEN('Raw Data'!D236)&gt; 0),"",_xlfn.REGEXEXTRACT(CELL("address",'Raw Data'!D236),"\$([A-Z]+)\$[0-9]+"))),_xlfn.REGEXEXTRACT(CELL("address",'Raw Data'!D236),"\$([A-Z]+)\$[0-9]+"))</f>
        <v/>
      </c>
      <c r="E236" s="7" t="str">
        <f t="array" aca="1" ref="E236" ca="1">IFERROR(IF(OR('Raw Data'!E236="",LEN(TRIM('Raw Data'!E236))=0),"",IF(AND(LEN('Raw Data'!E236) &lt;= 50,LEN('Raw Data'!E236)&gt; 0),"",_xlfn.REGEXEXTRACT(CELL("address",'Raw Data'!E236),"\$([A-Z]+)\$[0-9]+"))),_xlfn.REGEXEXTRACT(CELL("address",'Raw Data'!E236),"\$([A-Z]+)\$[0-9]+"))</f>
        <v/>
      </c>
      <c r="F236" s="7" t="str">
        <f t="array" aca="1" ref="F236" ca="1">IFERROR(IF(OR('Raw Data'!F236="",LEN(TRIM('Raw Data'!F236))=0),"",IF(AND(LEN('Raw Data'!F236) &lt;= 50,LEN('Raw Data'!F236)&gt; 0),"",_xlfn.REGEXEXTRACT(CELL("address",'Raw Data'!F236),"\$([A-Z]+)\$[0-9]+"))),_xlfn.REGEXEXTRACT(CELL("address",'Raw Data'!F236),"\$([A-Z]+)\$[0-9]+"))</f>
        <v/>
      </c>
      <c r="G236" s="7" t="str">
        <f t="array" aca="1" ref="G236" ca="1">IFERROR(IF(OR('Raw Data'!G236="",LEN(TRIM('Raw Data'!G236))=0),"",IF(AND(LEN('Raw Data'!G236) &lt;= 50,LEN('Raw Data'!G236)&gt; 0),"",_xlfn.REGEXEXTRACT(CELL("address",'Raw Data'!G236),"\$([A-Z]+)\$[0-9]+"))),_xlfn.REGEXEXTRACT(CELL("address",'Raw Data'!G236),"\$([A-Z]+)\$[0-9]+"))</f>
        <v/>
      </c>
      <c r="H236" s="7" t="str">
        <f t="array" aca="1" ref="H236" ca="1">IFERROR(IF(OR('Raw Data'!H236="",LEN(TRIM('Raw Data'!H236))=0),"",IF(AND(LEN('Raw Data'!H236) &lt;= 50,LEN('Raw Data'!H236)&gt; 0),"",_xlfn.REGEXEXTRACT(CELL("address",'Raw Data'!H236),"\$([A-Z]+)\$[0-9]+"))),_xlfn.REGEXEXTRACT(CELL("address",'Raw Data'!H236),"\$([A-Z]+)\$[0-9]+"))</f>
        <v/>
      </c>
      <c r="I236" s="7" t="str">
        <f t="array" aca="1" ref="I236" ca="1">IFERROR(IF(OR('Raw Data'!I236="",LEN(TRIM('Raw Data'!I236))=0),"",IF(AND(LEN('Raw Data'!I236) &lt;= 50,LEN('Raw Data'!I236)&gt; 0),"",_xlfn.REGEXEXTRACT(CELL("address",'Raw Data'!I236),"\$([A-Z]+)\$[0-9]+"))),_xlfn.REGEXEXTRACT(CELL("address",'Raw Data'!I236),"\$([A-Z]+)\$[0-9]+"))</f>
        <v/>
      </c>
      <c r="J236" s="7" t="str">
        <f t="array" aca="1" ref="J236" ca="1">IFERROR(IF(OR('Raw Data'!J236="",LEN(TRIM('Raw Data'!J236))=0),"",IF(AND(ISNUMBER('Raw Data'!J236), IFERROR('Raw Data'!J236 = ROUND('Raw Data'!J236, 2),FALSE)),"",_xlfn.REGEXEXTRACT(CELL("address",J236), "\$([A-Z]+)\$[0-9]+"))),_xlfn.REGEXEXTRACT(CELL("address",J236), "\$([A-Z]+)\$[0-9]+"))</f>
        <v/>
      </c>
      <c r="K236" s="7" t="str">
        <f t="array" aca="1" ref="K236" ca="1">IFERROR(IF(OR('Raw Data'!K236="",LEN(TRIM('Raw Data'!K236))=0),"",IF(AND(ISNUMBER('Raw Data'!K236), IFERROR('Raw Data'!K236 = ROUND('Raw Data'!K236, 2),FALSE)),"",_xlfn.REGEXEXTRACT(CELL("address",K236), "\$([A-Z]+)\$[0-9]+"))),_xlfn.REGEXEXTRACT(CELL("address",K236), "\$([A-Z]+)\$[0-9]+"))</f>
        <v/>
      </c>
      <c r="L236" s="7" t="str">
        <f t="array" aca="1" ref="L236" ca="1">IFERROR(IF(OR('Raw Data'!L236="",LEN(TRIM('Raw Data'!L236))=0),"",IF(AND(ISNUMBER('Raw Data'!L236), IFERROR('Raw Data'!L236 = ROUND('Raw Data'!L236, 2),FALSE)),"",_xlfn.REGEXEXTRACT(CELL("address",L236), "\$([A-Z]+)\$[0-9]+"))),_xlfn.REGEXEXTRACT(CELL("address",L236), "\$([A-Z]+)\$[0-9]+"))</f>
        <v/>
      </c>
      <c r="M236" s="7" t="str">
        <f t="array" aca="1" ref="M236" ca="1">IFERROR(IF(OR('Raw Data'!M236="",LEN(TRIM('Raw Data'!M236))=0),"",IF(AND(ISNUMBER('Raw Data'!M236), IFERROR('Raw Data'!M236 = ROUND('Raw Data'!M236, 2),FALSE)),"",_xlfn.REGEXEXTRACT(CELL("address",M236), "\$([A-Z]+)\$[0-9]+"))),_xlfn.REGEXEXTRACT(CELL("address",M236), "\$([A-Z]+)\$[0-9]+"))</f>
        <v/>
      </c>
      <c r="N236" s="7" t="str">
        <f t="array" aca="1" ref="N236" ca="1">IFERROR(IF(OR('Raw Data'!N236="",LEN(TRIM('Raw Data'!N236))=0),"",IF(AND(ISNUMBER('Raw Data'!N236), IFERROR('Raw Data'!N236 = ROUND('Raw Data'!N236, 2),FALSE)),"",_xlfn.REGEXEXTRACT(CELL("address",N236), "\$([A-Z]+)\$[0-9]+"))),_xlfn.REGEXEXTRACT(CELL("address",N236), "\$([A-Z]+)\$[0-9]+"))</f>
        <v/>
      </c>
      <c r="O236" s="7" t="str">
        <f t="array" aca="1" ref="O236" ca="1">IFERROR(IF(OR('Raw Data'!O236="",LEN(TRIM('Raw Data'!O236))=0),"",IF(AND(ISNUMBER('Raw Data'!O236),'Raw Data'!O236&gt;=Configuration!$D$2),"",_xlfn.REGEXEXTRACT(CELL("address",'Raw Data'!O236),"\$([A-Z]+)\$[0-9]+"))),_xlfn.REGEXEXTRACT(CELL("address",O236), "\$([A-Z]+)\$[0-9]+"))</f>
        <v/>
      </c>
      <c r="P236" s="7" t="str">
        <f t="array" aca="1" ref="P236" ca="1">IFERROR(IF(OR('Raw Data'!P236="",LEN(TRIM('Raw Data'!P236))=0),"",IF(AND(ISNUMBER('Raw Data'!P236), IFERROR('Raw Data'!P236 = ROUND('Raw Data'!P236, 2),FALSE)),"",_xlfn.REGEXEXTRACT(CELL("address",P236), "\$([A-Z]+)\$[0-9]+"))),_xlfn.REGEXEXTRACT(CELL("address",P236), "\$([A-Z]+)\$[0-9]+"))</f>
        <v/>
      </c>
      <c r="Q236" s="7" t="str">
        <f t="array" aca="1" ref="Q236" ca="1">IFERROR(IF(OR('Raw Data'!Q236="",LEN(TRIM('Raw Data'!Q236))=0),"",IF(AND(ISNUMBER('Raw Data'!Q236), IFERROR('Raw Data'!Q236 = ROUND('Raw Data'!Q236, 2),FALSE)),"",_xlfn.REGEXEXTRACT(CELL("address",Q236), "\$([A-Z]+)\$[0-9]+"))),_xlfn.REGEXEXTRACT(CELL("address",Q236), "\$([A-Z]+)\$[0-9]+"))</f>
        <v/>
      </c>
      <c r="R236" s="7" t="str">
        <f t="array" aca="1" ref="R236" ca="1">IFERROR(IF(OR('Raw Data'!R236="",LEN(TRIM('Raw Data'!R236))=0),"",IF(AND(LEN('Raw Data'!R236) &lt;= 50,LEN('Raw Data'!R236)&gt; 0),"",_xlfn.REGEXEXTRACT(CELL("address",'Raw Data'!R236),"\$([A-Z]+)\$[0-9]+"))),_xlfn.REGEXEXTRACT(CELL("address",'Raw Data'!R236),"\$([A-Z]+)\$[0-9]+"))</f>
        <v/>
      </c>
      <c r="S236" s="7" t="str">
        <f t="array" aca="1" ref="S236" ca="1">IFERROR(IF(OR('Raw Data'!S236="",LEN(TRIM('Raw Data'!S236))=0),"",IF(AND(LEN('Raw Data'!S236) &lt;= 50,LEN('Raw Data'!S236)&gt; 0),"",_xlfn.REGEXEXTRACT(CELL("address",'Raw Data'!S236),"\$([A-Z]+)\$[0-9]+"))),_xlfn.REGEXEXTRACT(CELL("address",'Raw Data'!S236),"\$([A-Z]+)\$[0-9]+"))</f>
        <v/>
      </c>
      <c r="T236" s="7" t="str">
        <f t="array" aca="1" ref="T236" ca="1">IFERROR(IF(OR('Raw Data'!T236="",LEN(TRIM('Raw Data'!T236))=0),"",IF(AND(ISNUMBER('Raw Data'!T236), IFERROR('Raw Data'!T236 = ROUND('Raw Data'!T236, 2),FALSE)),"",_xlfn.REGEXEXTRACT(CELL("address",T236), "\$([A-Z]+)\$[0-9]+"))),_xlfn.REGEXEXTRACT(CELL("address",T236), "\$([A-Z]+)\$[0-9]+"))</f>
        <v/>
      </c>
      <c r="U236" s="7" t="str">
        <f t="array" aca="1" ref="U236" ca="1">IFERROR(IF(OR('Raw Data'!U236="",LEN(TRIM('Raw Data'!U236))=0),"",IF(AND(ISNUMBER('Raw Data'!U236), IFERROR('Raw Data'!U236 = ROUND('Raw Data'!U236, 2),FALSE)),"",_xlfn.REGEXEXTRACT(CELL("address",U236), "\$([A-Z]+)\$[0-9]+"))),_xlfn.REGEXEXTRACT(CELL("address",U236), "\$([A-Z]+)\$[0-9]+"))</f>
        <v/>
      </c>
      <c r="V236" s="7" t="str">
        <f t="array" aca="1" ref="V236" ca="1">IFERROR(IF(OR('Raw Data'!V236="",LEN(TRIM('Raw Data'!V236))=0),"",IF(AND(ISNUMBER('Raw Data'!V236), IFERROR('Raw Data'!V236 = ROUND('Raw Data'!V236, 2),FALSE)),"",_xlfn.REGEXEXTRACT(CELL("address",V236), "\$([A-Z]+)\$[0-9]+"))),_xlfn.REGEXEXTRACT(CELL("address",V236), "\$([A-Z]+)\$[0-9]+"))</f>
        <v/>
      </c>
      <c r="W236" s="7" t="str">
        <f t="array" aca="1" ref="W236" ca="1">IFERROR(IF(OR('Raw Data'!W236="",LEN(TRIM('Raw Data'!W236))=0),"",IF(AND(ISNUMBER('Raw Data'!W236), IFERROR('Raw Data'!W236 = ROUND('Raw Data'!W236, 2),FALSE)),"",_xlfn.REGEXEXTRACT(CELL("address",W236), "\$([A-Z]+)\$[0-9]+"))),_xlfn.REGEXEXTRACT(CELL("address",W236), "\$([A-Z]+)\$[0-9]+"))</f>
        <v/>
      </c>
      <c r="X236" s="7" t="str">
        <f t="array" aca="1" ref="X236" ca="1">IFERROR(IF(OR('Raw Data'!X236="",LEN(TRIM('Raw Data'!X236))=0),"",IF(AND(ISNUMBER('Raw Data'!X236), IFERROR('Raw Data'!X236 = ROUND('Raw Data'!X236, 2),FALSE)),"",_xlfn.REGEXEXTRACT(CELL("address",X236), "\$([A-Z]+)\$[0-9]+"))),_xlfn.REGEXEXTRACT(CELL("address",X236), "\$([A-Z]+)\$[0-9]+"))</f>
        <v/>
      </c>
      <c r="Y236" s="7" t="str">
        <f t="array" aca="1" ref="Y236" ca="1">IFERROR(IF(OR('Raw Data'!Y236="",LEN(TRIM('Raw Data'!Y236))=0),"",IF(AND(ISNUMBER('Raw Data'!Y236), IFERROR('Raw Data'!Y236 = ROUND('Raw Data'!Y236, 2),FALSE)),"",_xlfn.REGEXEXTRACT(CELL("address",Y236), "\$([A-Z]+)\$[0-9]+"))),_xlfn.REGEXEXTRACT(CELL("address",Y236), "\$([A-Z]+)\$[0-9]+"))</f>
        <v/>
      </c>
      <c r="Z236" s="7" t="str">
        <f t="array" aca="1" ref="Z236" ca="1">IFERROR(IF(OR('Raw Data'!Z236="",LEN(TRIM('Raw Data'!Z236))=0),"",IF(AND(ISNUMBER('Raw Data'!Z236), IFERROR('Raw Data'!Z236 = ROUND('Raw Data'!Z236, 2),FALSE)),"",_xlfn.REGEXEXTRACT(CELL("address",Z236), "\$([A-Z]+)\$[0-9]+"))),_xlfn.REGEXEXTRACT(CELL("address",Z236), "\$([A-Z]+)\$[0-9]+"))</f>
        <v/>
      </c>
      <c r="AA236" s="7" t="str">
        <f t="array" aca="1" ref="AA236" ca="1">IFERROR(IF(OR('Raw Data'!AA236="",LEN(TRIM('Raw Data'!AA236))=0),"",IF(AND(ISNUMBER('Raw Data'!AA236), IFERROR('Raw Data'!AA236 = ROUND('Raw Data'!AA236, 2),FALSE)),"",_xlfn.REGEXEXTRACT(CELL("address",AA236), "\$([A-Z]+)\$[0-9]+"))),_xlfn.REGEXEXTRACT(CELL("address",AA236), "\$([A-Z]+)\$[0-9]+"))</f>
        <v/>
      </c>
      <c r="AB236" s="7" t="str">
        <f t="array" aca="1" ref="AB236" ca="1">IFERROR(IF(OR('Raw Data'!AB236="",LEN(TRIM('Raw Data'!AB236))=0),"",IF(AND(ISNUMBER('Raw Data'!AB236), IFERROR('Raw Data'!AB236 = ROUND('Raw Data'!AB236, 2),FALSE)),"",_xlfn.REGEXEXTRACT(CELL("address",AB236), "\$([A-Z]+)\$[0-9]+"))),_xlfn.REGEXEXTRACT(CELL("address",AB236), "\$([A-Z]+)\$[0-9]+"))</f>
        <v/>
      </c>
      <c r="AC236" s="7" t="str">
        <f t="array" aca="1" ref="AC236" ca="1">IFERROR(IF(OR('Raw Data'!AC236="",LEN(TRIM('Raw Data'!AC236))=0),"",IF(AND(ISNUMBER('Raw Data'!AC236), IFERROR('Raw Data'!AC236 = ROUND('Raw Data'!AC236, 2),FALSE)),"",_xlfn.REGEXEXTRACT(CELL("address",AC236), "\$([A-Z]+)\$[0-9]+"))),_xlfn.REGEXEXTRACT(CELL("address",AC236), "\$([A-Z]+)\$[0-9]+"))</f>
        <v/>
      </c>
      <c r="AD236" s="7" t="str">
        <f t="array" aca="1" ref="AD236" ca="1">IFERROR(IF(OR('Raw Data'!AD236="",LEN(TRIM('Raw Data'!AD236))=0),"",IF(AND(ISNUMBER('Raw Data'!AD236), IFERROR('Raw Data'!AD236 = ROUND('Raw Data'!AD236, 2),FALSE)),"",_xlfn.REGEXEXTRACT(CELL("address",AD236), "\$([A-Z]+)\$[0-9]+"))),_xlfn.REGEXEXTRACT(CELL("address",AD236), "\$([A-Z]+)\$[0-9]+"))</f>
        <v/>
      </c>
      <c r="AE236" s="7" t="str">
        <f t="array" aca="1" ref="AE236" ca="1">IFERROR(IF(OR('Raw Data'!AE236="",LEN(TRIM('Raw Data'!AE236))=0),"",IF(AND(ISNUMBER('Raw Data'!AE236), IFERROR('Raw Data'!AE236 = ROUND('Raw Data'!AE236, 2),FALSE)),"",_xlfn.REGEXEXTRACT(CELL("address",AE236), "\$([A-Z]+)\$[0-9]+"))),_xlfn.REGEXEXTRACT(CELL("address",AE236), "\$([A-Z]+)\$[0-9]+"))</f>
        <v/>
      </c>
      <c r="AF236" s="7" t="str">
        <f t="array" aca="1" ref="AF236" ca="1">IFERROR(IF(OR('Raw Data'!AF236="",LEN(TRIM('Raw Data'!AF236))=0),"",IF(AND(ISNUMBER('Raw Data'!AF236), IFERROR('Raw Data'!AF236 = ROUND('Raw Data'!AF236, 2),FALSE)),"",_xlfn.REGEXEXTRACT(CELL("address",AF236), "\$([A-Z]+)\$[0-9]+"))),_xlfn.REGEXEXTRACT(CELL("address",AF236), "\$([A-Z]+)\$[0-9]+"))</f>
        <v/>
      </c>
      <c r="AG236" s="7" t="str">
        <f t="array" aca="1" ref="AG236" ca="1">IFERROR(IF(OR('Raw Data'!AG236="",LEN(TRIM('Raw Data'!AG236))=0),"",IF(AND(ISNUMBER('Raw Data'!AG236), IFERROR('Raw Data'!AG236 = ROUND('Raw Data'!AG236, 2),FALSE)),"",_xlfn.REGEXEXTRACT(CELL("address",AG236), "\$([A-Z]+)\$[0-9]+"))),_xlfn.REGEXEXTRACT(CELL("address",AG236), "\$([A-Z]+)\$[0-9]+"))</f>
        <v/>
      </c>
      <c r="AH236" s="7" t="str">
        <f t="array" aca="1" ref="AH236" ca="1">IFERROR(IF(OR('Raw Data'!AH236="",LEN(TRIM('Raw Data'!AH236))=0),"",IF(AND(ISNUMBER('Raw Data'!AH236), IFERROR('Raw Data'!AH236 = ROUND('Raw Data'!AH236, 2),FALSE)),"",_xlfn.REGEXEXTRACT(CELL("address",AH236), "\$([A-Z]+)\$[0-9]+"))),_xlfn.REGEXEXTRACT(CELL("address",AH236), "\$([A-Z]+)\$[0-9]+"))</f>
        <v/>
      </c>
      <c r="AI236" s="7" t="str">
        <f t="array" aca="1" ref="AI236" ca="1">IFERROR(IF(OR('Raw Data'!AI236="",LEN(TRIM('Raw Data'!AI236))=0),"",IF(AND(ISNUMBER('Raw Data'!AI236), IFERROR('Raw Data'!AI236 = ROUND('Raw Data'!AI236, 2),FALSE)),"",_xlfn.REGEXEXTRACT(CELL("address",AI236), "\$([A-Z]+)\$[0-9]+"))),_xlfn.REGEXEXTRACT(CELL("address",AI236), "\$([A-Z]+)\$[0-9]+"))</f>
        <v/>
      </c>
      <c r="AJ236" s="7" t="str">
        <f t="array" aca="1" ref="AJ236" ca="1">IFERROR(IF(OR('Raw Data'!AJ236="",LEN(TRIM('Raw Data'!AJ236))=0),"",IF(AND(ISNUMBER('Raw Data'!AJ236), IFERROR('Raw Data'!AJ236 = ROUND('Raw Data'!AJ236, 4),FALSE)),"",_xlfn.REGEXEXTRACT(CELL("address",AJ236), "\$([A-Z]+)\$[0-9]+"))),_xlfn.REGEXEXTRACT(CELL("address",AJ236), "\$([A-Z]+)\$[0-9]+"))</f>
        <v/>
      </c>
      <c r="AK236" s="7" t="str">
        <f t="array" aca="1" ref="AK236" ca="1">IFERROR(IF(OR('Raw Data'!AK236="",LEN(TRIM('Raw Data'!AK236))=0),"",IF(AND(ISNUMBER('Raw Data'!AK236), IFERROR('Raw Data'!AK236 = ROUND('Raw Data'!AK236, 2),FALSE)),"",_xlfn.REGEXEXTRACT(CELL("address",AK236), "\$([A-Z]+)\$[0-9]+"))),_xlfn.REGEXEXTRACT(CELL("address",AK236), "\$([A-Z]+)\$[0-9]+"))</f>
        <v/>
      </c>
      <c r="AL236" s="7" t="str">
        <f t="array" aca="1" ref="AL236" ca="1">IFERROR(IF(OR('Raw Data'!AL236="",LEN(TRIM('Raw Data'!AL236))=0),"",IF(AND(ISNUMBER('Raw Data'!AL236), IFERROR('Raw Data'!AL236 = ROUND('Raw Data'!AL236, 2),FALSE)),"",_xlfn.REGEXEXTRACT(CELL("address",AL236), "\$([A-Z]+)\$[0-9]+"))),_xlfn.REGEXEXTRACT(CELL("address",AL236), "\$([A-Z]+)\$[0-9]+"))</f>
        <v/>
      </c>
      <c r="AM236" s="7" t="str">
        <f t="array" aca="1" ref="AM236" ca="1">IFERROR(IF(OR('Raw Data'!AM236="",LEN(TRIM('Raw Data'!AM236))=0),"",IF(AND(ISNUMBER('Raw Data'!AM236), IFERROR('Raw Data'!AM236 = ROUND('Raw Data'!AM236, 2),FALSE)),"",_xlfn.REGEXEXTRACT(CELL("address",AM236), "\$([A-Z]+)\$[0-9]+"))),_xlfn.REGEXEXTRACT(CELL("address",AM236), "\$([A-Z]+)\$[0-9]+"))</f>
        <v/>
      </c>
      <c r="AN236" s="7" t="str">
        <f t="array" aca="1" ref="AN236" ca="1">IFERROR(IF(OR('Raw Data'!AN236="",LEN(TRIM('Raw Data'!AN236))=0),"",IF(AND(ISNUMBER('Raw Data'!AN236), IFERROR('Raw Data'!AN236 = ROUND('Raw Data'!AN236, 2),FALSE)),"",_xlfn.REGEXEXTRACT(CELL("address",AN236), "\$([A-Z]+)\$[0-9]+"))),_xlfn.REGEXEXTRACT(CELL("address",AN236), "\$([A-Z]+)\$[0-9]+"))</f>
        <v/>
      </c>
      <c r="AO236" s="7" t="str">
        <f t="array" aca="1" ref="AO236" ca="1">IFERROR(IF(OR('Raw Data'!AO236="",LEN(TRIM('Raw Data'!AO236))=0),"",IF(AND(ISNUMBER('Raw Data'!AO236), IFERROR('Raw Data'!AO236 = ROUND('Raw Data'!AO236, 2),FALSE)),"",_xlfn.REGEXEXTRACT(CELL("address",AO236), "\$([A-Z]+)\$[0-9]+"))),_xlfn.REGEXEXTRACT(CELL("address",AO236), "\$([A-Z]+)\$[0-9]+"))</f>
        <v/>
      </c>
      <c r="AP236" s="7" t="str">
        <f t="array" aca="1" ref="AP236" ca="1">IFERROR(IF(OR('Raw Data'!AP236="",LEN(TRIM('Raw Data'!AP236))=0),"",IF(AND(ISNUMBER('Raw Data'!AP236), IFERROR('Raw Data'!AP236 = ROUND('Raw Data'!AP236, 2),FALSE)),"",_xlfn.REGEXEXTRACT(CELL("address",AP236), "\$([A-Z]+)\$[0-9]+"))),_xlfn.REGEXEXTRACT(CELL("address",AP236), "\$([A-Z]+)\$[0-9]+"))</f>
        <v/>
      </c>
    </row>
    <row r="237" spans="2:42" x14ac:dyDescent="0.25">
      <c r="B237" s="7" t="str">
        <f t="array" aca="1" ref="B237" ca="1">IFERROR(IF(OR('Raw Data'!B237="",LEN(TRIM('Raw Data'!B237))=0),"",IF(AND(LEN('Raw Data'!B237) &lt;= 255,LEN('Raw Data'!B237)&gt; 0),"",_xlfn.REGEXEXTRACT(CELL("address",'Raw Data'!B237),"\$([A-Z]+)\$[0-9]+"))),_xlfn.REGEXEXTRACT(CELL("address",'Raw Data'!B237),"\$([A-Z]+)\$[0-9]+"))</f>
        <v/>
      </c>
      <c r="C237" s="7" t="str">
        <f t="array" aca="1" ref="C237" ca="1">IFERROR(IF(OR('Raw Data'!C237="",LEN(TRIM('Raw Data'!C237))=0),"",IF(AND(LEN('Raw Data'!C237) &lt;= 50,LEN('Raw Data'!C237)&gt; 0),"",_xlfn.REGEXEXTRACT(CELL("address",'Raw Data'!C237),"\$([A-Z]+)\$[0-9]+"))),_xlfn.REGEXEXTRACT(CELL("address",'Raw Data'!C237),"\$([A-Z]+)\$[0-9]+"))</f>
        <v/>
      </c>
      <c r="D237" s="7" t="str">
        <f t="array" aca="1" ref="D237" ca="1">IFERROR(IF(OR('Raw Data'!D237="",LEN(TRIM('Raw Data'!D237))=0),"",IF(AND(LEN('Raw Data'!D237) &lt;= 500,LEN('Raw Data'!D237)&gt; 0),"",_xlfn.REGEXEXTRACT(CELL("address",'Raw Data'!D237),"\$([A-Z]+)\$[0-9]+"))),_xlfn.REGEXEXTRACT(CELL("address",'Raw Data'!D237),"\$([A-Z]+)\$[0-9]+"))</f>
        <v/>
      </c>
      <c r="E237" s="7" t="str">
        <f t="array" aca="1" ref="E237" ca="1">IFERROR(IF(OR('Raw Data'!E237="",LEN(TRIM('Raw Data'!E237))=0),"",IF(AND(LEN('Raw Data'!E237) &lt;= 50,LEN('Raw Data'!E237)&gt; 0),"",_xlfn.REGEXEXTRACT(CELL("address",'Raw Data'!E237),"\$([A-Z]+)\$[0-9]+"))),_xlfn.REGEXEXTRACT(CELL("address",'Raw Data'!E237),"\$([A-Z]+)\$[0-9]+"))</f>
        <v/>
      </c>
      <c r="F237" s="7" t="str">
        <f t="array" aca="1" ref="F237" ca="1">IFERROR(IF(OR('Raw Data'!F237="",LEN(TRIM('Raw Data'!F237))=0),"",IF(AND(LEN('Raw Data'!F237) &lt;= 50,LEN('Raw Data'!F237)&gt; 0),"",_xlfn.REGEXEXTRACT(CELL("address",'Raw Data'!F237),"\$([A-Z]+)\$[0-9]+"))),_xlfn.REGEXEXTRACT(CELL("address",'Raw Data'!F237),"\$([A-Z]+)\$[0-9]+"))</f>
        <v/>
      </c>
      <c r="G237" s="7" t="str">
        <f t="array" aca="1" ref="G237" ca="1">IFERROR(IF(OR('Raw Data'!G237="",LEN(TRIM('Raw Data'!G237))=0),"",IF(AND(LEN('Raw Data'!G237) &lt;= 50,LEN('Raw Data'!G237)&gt; 0),"",_xlfn.REGEXEXTRACT(CELL("address",'Raw Data'!G237),"\$([A-Z]+)\$[0-9]+"))),_xlfn.REGEXEXTRACT(CELL("address",'Raw Data'!G237),"\$([A-Z]+)\$[0-9]+"))</f>
        <v/>
      </c>
      <c r="H237" s="7" t="str">
        <f t="array" aca="1" ref="H237" ca="1">IFERROR(IF(OR('Raw Data'!H237="",LEN(TRIM('Raw Data'!H237))=0),"",IF(AND(LEN('Raw Data'!H237) &lt;= 50,LEN('Raw Data'!H237)&gt; 0),"",_xlfn.REGEXEXTRACT(CELL("address",'Raw Data'!H237),"\$([A-Z]+)\$[0-9]+"))),_xlfn.REGEXEXTRACT(CELL("address",'Raw Data'!H237),"\$([A-Z]+)\$[0-9]+"))</f>
        <v/>
      </c>
      <c r="I237" s="7" t="str">
        <f t="array" aca="1" ref="I237" ca="1">IFERROR(IF(OR('Raw Data'!I237="",LEN(TRIM('Raw Data'!I237))=0),"",IF(AND(LEN('Raw Data'!I237) &lt;= 50,LEN('Raw Data'!I237)&gt; 0),"",_xlfn.REGEXEXTRACT(CELL("address",'Raw Data'!I237),"\$([A-Z]+)\$[0-9]+"))),_xlfn.REGEXEXTRACT(CELL("address",'Raw Data'!I237),"\$([A-Z]+)\$[0-9]+"))</f>
        <v/>
      </c>
      <c r="J237" s="7" t="str">
        <f t="array" aca="1" ref="J237" ca="1">IFERROR(IF(OR('Raw Data'!J237="",LEN(TRIM('Raw Data'!J237))=0),"",IF(AND(ISNUMBER('Raw Data'!J237), IFERROR('Raw Data'!J237 = ROUND('Raw Data'!J237, 2),FALSE)),"",_xlfn.REGEXEXTRACT(CELL("address",J237), "\$([A-Z]+)\$[0-9]+"))),_xlfn.REGEXEXTRACT(CELL("address",J237), "\$([A-Z]+)\$[0-9]+"))</f>
        <v/>
      </c>
      <c r="K237" s="7" t="str">
        <f t="array" aca="1" ref="K237" ca="1">IFERROR(IF(OR('Raw Data'!K237="",LEN(TRIM('Raw Data'!K237))=0),"",IF(AND(ISNUMBER('Raw Data'!K237), IFERROR('Raw Data'!K237 = ROUND('Raw Data'!K237, 2),FALSE)),"",_xlfn.REGEXEXTRACT(CELL("address",K237), "\$([A-Z]+)\$[0-9]+"))),_xlfn.REGEXEXTRACT(CELL("address",K237), "\$([A-Z]+)\$[0-9]+"))</f>
        <v/>
      </c>
      <c r="L237" s="7" t="str">
        <f t="array" aca="1" ref="L237" ca="1">IFERROR(IF(OR('Raw Data'!L237="",LEN(TRIM('Raw Data'!L237))=0),"",IF(AND(ISNUMBER('Raw Data'!L237), IFERROR('Raw Data'!L237 = ROUND('Raw Data'!L237, 2),FALSE)),"",_xlfn.REGEXEXTRACT(CELL("address",L237), "\$([A-Z]+)\$[0-9]+"))),_xlfn.REGEXEXTRACT(CELL("address",L237), "\$([A-Z]+)\$[0-9]+"))</f>
        <v/>
      </c>
      <c r="M237" s="7" t="str">
        <f t="array" aca="1" ref="M237" ca="1">IFERROR(IF(OR('Raw Data'!M237="",LEN(TRIM('Raw Data'!M237))=0),"",IF(AND(ISNUMBER('Raw Data'!M237), IFERROR('Raw Data'!M237 = ROUND('Raw Data'!M237, 2),FALSE)),"",_xlfn.REGEXEXTRACT(CELL("address",M237), "\$([A-Z]+)\$[0-9]+"))),_xlfn.REGEXEXTRACT(CELL("address",M237), "\$([A-Z]+)\$[0-9]+"))</f>
        <v/>
      </c>
      <c r="N237" s="7" t="str">
        <f t="array" aca="1" ref="N237" ca="1">IFERROR(IF(OR('Raw Data'!N237="",LEN(TRIM('Raw Data'!N237))=0),"",IF(AND(ISNUMBER('Raw Data'!N237), IFERROR('Raw Data'!N237 = ROUND('Raw Data'!N237, 2),FALSE)),"",_xlfn.REGEXEXTRACT(CELL("address",N237), "\$([A-Z]+)\$[0-9]+"))),_xlfn.REGEXEXTRACT(CELL("address",N237), "\$([A-Z]+)\$[0-9]+"))</f>
        <v/>
      </c>
      <c r="O237" s="7" t="str">
        <f t="array" aca="1" ref="O237" ca="1">IFERROR(IF(OR('Raw Data'!O237="",LEN(TRIM('Raw Data'!O237))=0),"",IF(AND(ISNUMBER('Raw Data'!O237),'Raw Data'!O237&gt;=Configuration!$D$2),"",_xlfn.REGEXEXTRACT(CELL("address",'Raw Data'!O237),"\$([A-Z]+)\$[0-9]+"))),_xlfn.REGEXEXTRACT(CELL("address",O237), "\$([A-Z]+)\$[0-9]+"))</f>
        <v/>
      </c>
      <c r="P237" s="7" t="str">
        <f t="array" aca="1" ref="P237" ca="1">IFERROR(IF(OR('Raw Data'!P237="",LEN(TRIM('Raw Data'!P237))=0),"",IF(AND(ISNUMBER('Raw Data'!P237), IFERROR('Raw Data'!P237 = ROUND('Raw Data'!P237, 2),FALSE)),"",_xlfn.REGEXEXTRACT(CELL("address",P237), "\$([A-Z]+)\$[0-9]+"))),_xlfn.REGEXEXTRACT(CELL("address",P237), "\$([A-Z]+)\$[0-9]+"))</f>
        <v/>
      </c>
      <c r="Q237" s="7" t="str">
        <f t="array" aca="1" ref="Q237" ca="1">IFERROR(IF(OR('Raw Data'!Q237="",LEN(TRIM('Raw Data'!Q237))=0),"",IF(AND(ISNUMBER('Raw Data'!Q237), IFERROR('Raw Data'!Q237 = ROUND('Raw Data'!Q237, 2),FALSE)),"",_xlfn.REGEXEXTRACT(CELL("address",Q237), "\$([A-Z]+)\$[0-9]+"))),_xlfn.REGEXEXTRACT(CELL("address",Q237), "\$([A-Z]+)\$[0-9]+"))</f>
        <v/>
      </c>
      <c r="R237" s="7" t="str">
        <f t="array" aca="1" ref="R237" ca="1">IFERROR(IF(OR('Raw Data'!R237="",LEN(TRIM('Raw Data'!R237))=0),"",IF(AND(LEN('Raw Data'!R237) &lt;= 50,LEN('Raw Data'!R237)&gt; 0),"",_xlfn.REGEXEXTRACT(CELL("address",'Raw Data'!R237),"\$([A-Z]+)\$[0-9]+"))),_xlfn.REGEXEXTRACT(CELL("address",'Raw Data'!R237),"\$([A-Z]+)\$[0-9]+"))</f>
        <v/>
      </c>
      <c r="S237" s="7" t="str">
        <f t="array" aca="1" ref="S237" ca="1">IFERROR(IF(OR('Raw Data'!S237="",LEN(TRIM('Raw Data'!S237))=0),"",IF(AND(LEN('Raw Data'!S237) &lt;= 50,LEN('Raw Data'!S237)&gt; 0),"",_xlfn.REGEXEXTRACT(CELL("address",'Raw Data'!S237),"\$([A-Z]+)\$[0-9]+"))),_xlfn.REGEXEXTRACT(CELL("address",'Raw Data'!S237),"\$([A-Z]+)\$[0-9]+"))</f>
        <v/>
      </c>
      <c r="T237" s="7" t="str">
        <f t="array" aca="1" ref="T237" ca="1">IFERROR(IF(OR('Raw Data'!T237="",LEN(TRIM('Raw Data'!T237))=0),"",IF(AND(ISNUMBER('Raw Data'!T237), IFERROR('Raw Data'!T237 = ROUND('Raw Data'!T237, 2),FALSE)),"",_xlfn.REGEXEXTRACT(CELL("address",T237), "\$([A-Z]+)\$[0-9]+"))),_xlfn.REGEXEXTRACT(CELL("address",T237), "\$([A-Z]+)\$[0-9]+"))</f>
        <v/>
      </c>
      <c r="U237" s="7" t="str">
        <f t="array" aca="1" ref="U237" ca="1">IFERROR(IF(OR('Raw Data'!U237="",LEN(TRIM('Raw Data'!U237))=0),"",IF(AND(ISNUMBER('Raw Data'!U237), IFERROR('Raw Data'!U237 = ROUND('Raw Data'!U237, 2),FALSE)),"",_xlfn.REGEXEXTRACT(CELL("address",U237), "\$([A-Z]+)\$[0-9]+"))),_xlfn.REGEXEXTRACT(CELL("address",U237), "\$([A-Z]+)\$[0-9]+"))</f>
        <v/>
      </c>
      <c r="V237" s="7" t="str">
        <f t="array" aca="1" ref="V237" ca="1">IFERROR(IF(OR('Raw Data'!V237="",LEN(TRIM('Raw Data'!V237))=0),"",IF(AND(ISNUMBER('Raw Data'!V237), IFERROR('Raw Data'!V237 = ROUND('Raw Data'!V237, 2),FALSE)),"",_xlfn.REGEXEXTRACT(CELL("address",V237), "\$([A-Z]+)\$[0-9]+"))),_xlfn.REGEXEXTRACT(CELL("address",V237), "\$([A-Z]+)\$[0-9]+"))</f>
        <v/>
      </c>
      <c r="W237" s="7" t="str">
        <f t="array" aca="1" ref="W237" ca="1">IFERROR(IF(OR('Raw Data'!W237="",LEN(TRIM('Raw Data'!W237))=0),"",IF(AND(ISNUMBER('Raw Data'!W237), IFERROR('Raw Data'!W237 = ROUND('Raw Data'!W237, 2),FALSE)),"",_xlfn.REGEXEXTRACT(CELL("address",W237), "\$([A-Z]+)\$[0-9]+"))),_xlfn.REGEXEXTRACT(CELL("address",W237), "\$([A-Z]+)\$[0-9]+"))</f>
        <v/>
      </c>
      <c r="X237" s="7" t="str">
        <f t="array" aca="1" ref="X237" ca="1">IFERROR(IF(OR('Raw Data'!X237="",LEN(TRIM('Raw Data'!X237))=0),"",IF(AND(ISNUMBER('Raw Data'!X237), IFERROR('Raw Data'!X237 = ROUND('Raw Data'!X237, 2),FALSE)),"",_xlfn.REGEXEXTRACT(CELL("address",X237), "\$([A-Z]+)\$[0-9]+"))),_xlfn.REGEXEXTRACT(CELL("address",X237), "\$([A-Z]+)\$[0-9]+"))</f>
        <v/>
      </c>
      <c r="Y237" s="7" t="str">
        <f t="array" aca="1" ref="Y237" ca="1">IFERROR(IF(OR('Raw Data'!Y237="",LEN(TRIM('Raw Data'!Y237))=0),"",IF(AND(ISNUMBER('Raw Data'!Y237), IFERROR('Raw Data'!Y237 = ROUND('Raw Data'!Y237, 2),FALSE)),"",_xlfn.REGEXEXTRACT(CELL("address",Y237), "\$([A-Z]+)\$[0-9]+"))),_xlfn.REGEXEXTRACT(CELL("address",Y237), "\$([A-Z]+)\$[0-9]+"))</f>
        <v/>
      </c>
      <c r="Z237" s="7" t="str">
        <f t="array" aca="1" ref="Z237" ca="1">IFERROR(IF(OR('Raw Data'!Z237="",LEN(TRIM('Raw Data'!Z237))=0),"",IF(AND(ISNUMBER('Raw Data'!Z237), IFERROR('Raw Data'!Z237 = ROUND('Raw Data'!Z237, 2),FALSE)),"",_xlfn.REGEXEXTRACT(CELL("address",Z237), "\$([A-Z]+)\$[0-9]+"))),_xlfn.REGEXEXTRACT(CELL("address",Z237), "\$([A-Z]+)\$[0-9]+"))</f>
        <v/>
      </c>
      <c r="AA237" s="7" t="str">
        <f t="array" aca="1" ref="AA237" ca="1">IFERROR(IF(OR('Raw Data'!AA237="",LEN(TRIM('Raw Data'!AA237))=0),"",IF(AND(ISNUMBER('Raw Data'!AA237), IFERROR('Raw Data'!AA237 = ROUND('Raw Data'!AA237, 2),FALSE)),"",_xlfn.REGEXEXTRACT(CELL("address",AA237), "\$([A-Z]+)\$[0-9]+"))),_xlfn.REGEXEXTRACT(CELL("address",AA237), "\$([A-Z]+)\$[0-9]+"))</f>
        <v/>
      </c>
      <c r="AB237" s="7" t="str">
        <f t="array" aca="1" ref="AB237" ca="1">IFERROR(IF(OR('Raw Data'!AB237="",LEN(TRIM('Raw Data'!AB237))=0),"",IF(AND(ISNUMBER('Raw Data'!AB237), IFERROR('Raw Data'!AB237 = ROUND('Raw Data'!AB237, 2),FALSE)),"",_xlfn.REGEXEXTRACT(CELL("address",AB237), "\$([A-Z]+)\$[0-9]+"))),_xlfn.REGEXEXTRACT(CELL("address",AB237), "\$([A-Z]+)\$[0-9]+"))</f>
        <v/>
      </c>
      <c r="AC237" s="7" t="str">
        <f t="array" aca="1" ref="AC237" ca="1">IFERROR(IF(OR('Raw Data'!AC237="",LEN(TRIM('Raw Data'!AC237))=0),"",IF(AND(ISNUMBER('Raw Data'!AC237), IFERROR('Raw Data'!AC237 = ROUND('Raw Data'!AC237, 2),FALSE)),"",_xlfn.REGEXEXTRACT(CELL("address",AC237), "\$([A-Z]+)\$[0-9]+"))),_xlfn.REGEXEXTRACT(CELL("address",AC237), "\$([A-Z]+)\$[0-9]+"))</f>
        <v/>
      </c>
      <c r="AD237" s="7" t="str">
        <f t="array" aca="1" ref="AD237" ca="1">IFERROR(IF(OR('Raw Data'!AD237="",LEN(TRIM('Raw Data'!AD237))=0),"",IF(AND(ISNUMBER('Raw Data'!AD237), IFERROR('Raw Data'!AD237 = ROUND('Raw Data'!AD237, 2),FALSE)),"",_xlfn.REGEXEXTRACT(CELL("address",AD237), "\$([A-Z]+)\$[0-9]+"))),_xlfn.REGEXEXTRACT(CELL("address",AD237), "\$([A-Z]+)\$[0-9]+"))</f>
        <v/>
      </c>
      <c r="AE237" s="7" t="str">
        <f t="array" aca="1" ref="AE237" ca="1">IFERROR(IF(OR('Raw Data'!AE237="",LEN(TRIM('Raw Data'!AE237))=0),"",IF(AND(ISNUMBER('Raw Data'!AE237), IFERROR('Raw Data'!AE237 = ROUND('Raw Data'!AE237, 2),FALSE)),"",_xlfn.REGEXEXTRACT(CELL("address",AE237), "\$([A-Z]+)\$[0-9]+"))),_xlfn.REGEXEXTRACT(CELL("address",AE237), "\$([A-Z]+)\$[0-9]+"))</f>
        <v/>
      </c>
      <c r="AF237" s="7" t="str">
        <f t="array" aca="1" ref="AF237" ca="1">IFERROR(IF(OR('Raw Data'!AF237="",LEN(TRIM('Raw Data'!AF237))=0),"",IF(AND(ISNUMBER('Raw Data'!AF237), IFERROR('Raw Data'!AF237 = ROUND('Raw Data'!AF237, 2),FALSE)),"",_xlfn.REGEXEXTRACT(CELL("address",AF237), "\$([A-Z]+)\$[0-9]+"))),_xlfn.REGEXEXTRACT(CELL("address",AF237), "\$([A-Z]+)\$[0-9]+"))</f>
        <v/>
      </c>
      <c r="AG237" s="7" t="str">
        <f t="array" aca="1" ref="AG237" ca="1">IFERROR(IF(OR('Raw Data'!AG237="",LEN(TRIM('Raw Data'!AG237))=0),"",IF(AND(ISNUMBER('Raw Data'!AG237), IFERROR('Raw Data'!AG237 = ROUND('Raw Data'!AG237, 2),FALSE)),"",_xlfn.REGEXEXTRACT(CELL("address",AG237), "\$([A-Z]+)\$[0-9]+"))),_xlfn.REGEXEXTRACT(CELL("address",AG237), "\$([A-Z]+)\$[0-9]+"))</f>
        <v/>
      </c>
      <c r="AH237" s="7" t="str">
        <f t="array" aca="1" ref="AH237" ca="1">IFERROR(IF(OR('Raw Data'!AH237="",LEN(TRIM('Raw Data'!AH237))=0),"",IF(AND(ISNUMBER('Raw Data'!AH237), IFERROR('Raw Data'!AH237 = ROUND('Raw Data'!AH237, 2),FALSE)),"",_xlfn.REGEXEXTRACT(CELL("address",AH237), "\$([A-Z]+)\$[0-9]+"))),_xlfn.REGEXEXTRACT(CELL("address",AH237), "\$([A-Z]+)\$[0-9]+"))</f>
        <v/>
      </c>
      <c r="AI237" s="7" t="str">
        <f t="array" aca="1" ref="AI237" ca="1">IFERROR(IF(OR('Raw Data'!AI237="",LEN(TRIM('Raw Data'!AI237))=0),"",IF(AND(ISNUMBER('Raw Data'!AI237), IFERROR('Raw Data'!AI237 = ROUND('Raw Data'!AI237, 2),FALSE)),"",_xlfn.REGEXEXTRACT(CELL("address",AI237), "\$([A-Z]+)\$[0-9]+"))),_xlfn.REGEXEXTRACT(CELL("address",AI237), "\$([A-Z]+)\$[0-9]+"))</f>
        <v/>
      </c>
      <c r="AJ237" s="7" t="str">
        <f t="array" aca="1" ref="AJ237" ca="1">IFERROR(IF(OR('Raw Data'!AJ237="",LEN(TRIM('Raw Data'!AJ237))=0),"",IF(AND(ISNUMBER('Raw Data'!AJ237), IFERROR('Raw Data'!AJ237 = ROUND('Raw Data'!AJ237, 4),FALSE)),"",_xlfn.REGEXEXTRACT(CELL("address",AJ237), "\$([A-Z]+)\$[0-9]+"))),_xlfn.REGEXEXTRACT(CELL("address",AJ237), "\$([A-Z]+)\$[0-9]+"))</f>
        <v/>
      </c>
      <c r="AK237" s="7" t="str">
        <f t="array" aca="1" ref="AK237" ca="1">IFERROR(IF(OR('Raw Data'!AK237="",LEN(TRIM('Raw Data'!AK237))=0),"",IF(AND(ISNUMBER('Raw Data'!AK237), IFERROR('Raw Data'!AK237 = ROUND('Raw Data'!AK237, 2),FALSE)),"",_xlfn.REGEXEXTRACT(CELL("address",AK237), "\$([A-Z]+)\$[0-9]+"))),_xlfn.REGEXEXTRACT(CELL("address",AK237), "\$([A-Z]+)\$[0-9]+"))</f>
        <v/>
      </c>
      <c r="AL237" s="7" t="str">
        <f t="array" aca="1" ref="AL237" ca="1">IFERROR(IF(OR('Raw Data'!AL237="",LEN(TRIM('Raw Data'!AL237))=0),"",IF(AND(ISNUMBER('Raw Data'!AL237), IFERROR('Raw Data'!AL237 = ROUND('Raw Data'!AL237, 2),FALSE)),"",_xlfn.REGEXEXTRACT(CELL("address",AL237), "\$([A-Z]+)\$[0-9]+"))),_xlfn.REGEXEXTRACT(CELL("address",AL237), "\$([A-Z]+)\$[0-9]+"))</f>
        <v/>
      </c>
      <c r="AM237" s="7" t="str">
        <f t="array" aca="1" ref="AM237" ca="1">IFERROR(IF(OR('Raw Data'!AM237="",LEN(TRIM('Raw Data'!AM237))=0),"",IF(AND(ISNUMBER('Raw Data'!AM237), IFERROR('Raw Data'!AM237 = ROUND('Raw Data'!AM237, 2),FALSE)),"",_xlfn.REGEXEXTRACT(CELL("address",AM237), "\$([A-Z]+)\$[0-9]+"))),_xlfn.REGEXEXTRACT(CELL("address",AM237), "\$([A-Z]+)\$[0-9]+"))</f>
        <v/>
      </c>
      <c r="AN237" s="7" t="str">
        <f t="array" aca="1" ref="AN237" ca="1">IFERROR(IF(OR('Raw Data'!AN237="",LEN(TRIM('Raw Data'!AN237))=0),"",IF(AND(ISNUMBER('Raw Data'!AN237), IFERROR('Raw Data'!AN237 = ROUND('Raw Data'!AN237, 2),FALSE)),"",_xlfn.REGEXEXTRACT(CELL("address",AN237), "\$([A-Z]+)\$[0-9]+"))),_xlfn.REGEXEXTRACT(CELL("address",AN237), "\$([A-Z]+)\$[0-9]+"))</f>
        <v/>
      </c>
      <c r="AO237" s="7" t="str">
        <f t="array" aca="1" ref="AO237" ca="1">IFERROR(IF(OR('Raw Data'!AO237="",LEN(TRIM('Raw Data'!AO237))=0),"",IF(AND(ISNUMBER('Raw Data'!AO237), IFERROR('Raw Data'!AO237 = ROUND('Raw Data'!AO237, 2),FALSE)),"",_xlfn.REGEXEXTRACT(CELL("address",AO237), "\$([A-Z]+)\$[0-9]+"))),_xlfn.REGEXEXTRACT(CELL("address",AO237), "\$([A-Z]+)\$[0-9]+"))</f>
        <v/>
      </c>
      <c r="AP237" s="7" t="str">
        <f t="array" aca="1" ref="AP237" ca="1">IFERROR(IF(OR('Raw Data'!AP237="",LEN(TRIM('Raw Data'!AP237))=0),"",IF(AND(ISNUMBER('Raw Data'!AP237), IFERROR('Raw Data'!AP237 = ROUND('Raw Data'!AP237, 2),FALSE)),"",_xlfn.REGEXEXTRACT(CELL("address",AP237), "\$([A-Z]+)\$[0-9]+"))),_xlfn.REGEXEXTRACT(CELL("address",AP237), "\$([A-Z]+)\$[0-9]+"))</f>
        <v/>
      </c>
    </row>
    <row r="238" spans="2:42" x14ac:dyDescent="0.25">
      <c r="B238" s="7" t="str">
        <f t="array" aca="1" ref="B238" ca="1">IFERROR(IF(OR('Raw Data'!B238="",LEN(TRIM('Raw Data'!B238))=0),"",IF(AND(LEN('Raw Data'!B238) &lt;= 255,LEN('Raw Data'!B238)&gt; 0),"",_xlfn.REGEXEXTRACT(CELL("address",'Raw Data'!B238),"\$([A-Z]+)\$[0-9]+"))),_xlfn.REGEXEXTRACT(CELL("address",'Raw Data'!B238),"\$([A-Z]+)\$[0-9]+"))</f>
        <v/>
      </c>
      <c r="C238" s="7" t="str">
        <f t="array" aca="1" ref="C238" ca="1">IFERROR(IF(OR('Raw Data'!C238="",LEN(TRIM('Raw Data'!C238))=0),"",IF(AND(LEN('Raw Data'!C238) &lt;= 50,LEN('Raw Data'!C238)&gt; 0),"",_xlfn.REGEXEXTRACT(CELL("address",'Raw Data'!C238),"\$([A-Z]+)\$[0-9]+"))),_xlfn.REGEXEXTRACT(CELL("address",'Raw Data'!C238),"\$([A-Z]+)\$[0-9]+"))</f>
        <v/>
      </c>
      <c r="D238" s="7" t="str">
        <f t="array" aca="1" ref="D238" ca="1">IFERROR(IF(OR('Raw Data'!D238="",LEN(TRIM('Raw Data'!D238))=0),"",IF(AND(LEN('Raw Data'!D238) &lt;= 500,LEN('Raw Data'!D238)&gt; 0),"",_xlfn.REGEXEXTRACT(CELL("address",'Raw Data'!D238),"\$([A-Z]+)\$[0-9]+"))),_xlfn.REGEXEXTRACT(CELL("address",'Raw Data'!D238),"\$([A-Z]+)\$[0-9]+"))</f>
        <v/>
      </c>
      <c r="E238" s="7" t="str">
        <f t="array" aca="1" ref="E238" ca="1">IFERROR(IF(OR('Raw Data'!E238="",LEN(TRIM('Raw Data'!E238))=0),"",IF(AND(LEN('Raw Data'!E238) &lt;= 50,LEN('Raw Data'!E238)&gt; 0),"",_xlfn.REGEXEXTRACT(CELL("address",'Raw Data'!E238),"\$([A-Z]+)\$[0-9]+"))),_xlfn.REGEXEXTRACT(CELL("address",'Raw Data'!E238),"\$([A-Z]+)\$[0-9]+"))</f>
        <v/>
      </c>
      <c r="F238" s="7" t="str">
        <f t="array" aca="1" ref="F238" ca="1">IFERROR(IF(OR('Raw Data'!F238="",LEN(TRIM('Raw Data'!F238))=0),"",IF(AND(LEN('Raw Data'!F238) &lt;= 50,LEN('Raw Data'!F238)&gt; 0),"",_xlfn.REGEXEXTRACT(CELL("address",'Raw Data'!F238),"\$([A-Z]+)\$[0-9]+"))),_xlfn.REGEXEXTRACT(CELL("address",'Raw Data'!F238),"\$([A-Z]+)\$[0-9]+"))</f>
        <v/>
      </c>
      <c r="G238" s="7" t="str">
        <f t="array" aca="1" ref="G238" ca="1">IFERROR(IF(OR('Raw Data'!G238="",LEN(TRIM('Raw Data'!G238))=0),"",IF(AND(LEN('Raw Data'!G238) &lt;= 50,LEN('Raw Data'!G238)&gt; 0),"",_xlfn.REGEXEXTRACT(CELL("address",'Raw Data'!G238),"\$([A-Z]+)\$[0-9]+"))),_xlfn.REGEXEXTRACT(CELL("address",'Raw Data'!G238),"\$([A-Z]+)\$[0-9]+"))</f>
        <v/>
      </c>
      <c r="H238" s="7" t="str">
        <f t="array" aca="1" ref="H238" ca="1">IFERROR(IF(OR('Raw Data'!H238="",LEN(TRIM('Raw Data'!H238))=0),"",IF(AND(LEN('Raw Data'!H238) &lt;= 50,LEN('Raw Data'!H238)&gt; 0),"",_xlfn.REGEXEXTRACT(CELL("address",'Raw Data'!H238),"\$([A-Z]+)\$[0-9]+"))),_xlfn.REGEXEXTRACT(CELL("address",'Raw Data'!H238),"\$([A-Z]+)\$[0-9]+"))</f>
        <v/>
      </c>
      <c r="I238" s="7" t="str">
        <f t="array" aca="1" ref="I238" ca="1">IFERROR(IF(OR('Raw Data'!I238="",LEN(TRIM('Raw Data'!I238))=0),"",IF(AND(LEN('Raw Data'!I238) &lt;= 50,LEN('Raw Data'!I238)&gt; 0),"",_xlfn.REGEXEXTRACT(CELL("address",'Raw Data'!I238),"\$([A-Z]+)\$[0-9]+"))),_xlfn.REGEXEXTRACT(CELL("address",'Raw Data'!I238),"\$([A-Z]+)\$[0-9]+"))</f>
        <v/>
      </c>
      <c r="J238" s="7" t="str">
        <f t="array" aca="1" ref="J238" ca="1">IFERROR(IF(OR('Raw Data'!J238="",LEN(TRIM('Raw Data'!J238))=0),"",IF(AND(ISNUMBER('Raw Data'!J238), IFERROR('Raw Data'!J238 = ROUND('Raw Data'!J238, 2),FALSE)),"",_xlfn.REGEXEXTRACT(CELL("address",J238), "\$([A-Z]+)\$[0-9]+"))),_xlfn.REGEXEXTRACT(CELL("address",J238), "\$([A-Z]+)\$[0-9]+"))</f>
        <v/>
      </c>
      <c r="K238" s="7" t="str">
        <f t="array" aca="1" ref="K238" ca="1">IFERROR(IF(OR('Raw Data'!K238="",LEN(TRIM('Raw Data'!K238))=0),"",IF(AND(ISNUMBER('Raw Data'!K238), IFERROR('Raw Data'!K238 = ROUND('Raw Data'!K238, 2),FALSE)),"",_xlfn.REGEXEXTRACT(CELL("address",K238), "\$([A-Z]+)\$[0-9]+"))),_xlfn.REGEXEXTRACT(CELL("address",K238), "\$([A-Z]+)\$[0-9]+"))</f>
        <v/>
      </c>
      <c r="L238" s="7" t="str">
        <f t="array" aca="1" ref="L238" ca="1">IFERROR(IF(OR('Raw Data'!L238="",LEN(TRIM('Raw Data'!L238))=0),"",IF(AND(ISNUMBER('Raw Data'!L238), IFERROR('Raw Data'!L238 = ROUND('Raw Data'!L238, 2),FALSE)),"",_xlfn.REGEXEXTRACT(CELL("address",L238), "\$([A-Z]+)\$[0-9]+"))),_xlfn.REGEXEXTRACT(CELL("address",L238), "\$([A-Z]+)\$[0-9]+"))</f>
        <v/>
      </c>
      <c r="M238" s="7" t="str">
        <f t="array" aca="1" ref="M238" ca="1">IFERROR(IF(OR('Raw Data'!M238="",LEN(TRIM('Raw Data'!M238))=0),"",IF(AND(ISNUMBER('Raw Data'!M238), IFERROR('Raw Data'!M238 = ROUND('Raw Data'!M238, 2),FALSE)),"",_xlfn.REGEXEXTRACT(CELL("address",M238), "\$([A-Z]+)\$[0-9]+"))),_xlfn.REGEXEXTRACT(CELL("address",M238), "\$([A-Z]+)\$[0-9]+"))</f>
        <v/>
      </c>
      <c r="N238" s="7" t="str">
        <f t="array" aca="1" ref="N238" ca="1">IFERROR(IF(OR('Raw Data'!N238="",LEN(TRIM('Raw Data'!N238))=0),"",IF(AND(ISNUMBER('Raw Data'!N238), IFERROR('Raw Data'!N238 = ROUND('Raw Data'!N238, 2),FALSE)),"",_xlfn.REGEXEXTRACT(CELL("address",N238), "\$([A-Z]+)\$[0-9]+"))),_xlfn.REGEXEXTRACT(CELL("address",N238), "\$([A-Z]+)\$[0-9]+"))</f>
        <v/>
      </c>
      <c r="O238" s="7" t="str">
        <f t="array" aca="1" ref="O238" ca="1">IFERROR(IF(OR('Raw Data'!O238="",LEN(TRIM('Raw Data'!O238))=0),"",IF(AND(ISNUMBER('Raw Data'!O238),'Raw Data'!O238&gt;=Configuration!$D$2),"",_xlfn.REGEXEXTRACT(CELL("address",'Raw Data'!O238),"\$([A-Z]+)\$[0-9]+"))),_xlfn.REGEXEXTRACT(CELL("address",O238), "\$([A-Z]+)\$[0-9]+"))</f>
        <v/>
      </c>
      <c r="P238" s="7" t="str">
        <f t="array" aca="1" ref="P238" ca="1">IFERROR(IF(OR('Raw Data'!P238="",LEN(TRIM('Raw Data'!P238))=0),"",IF(AND(ISNUMBER('Raw Data'!P238), IFERROR('Raw Data'!P238 = ROUND('Raw Data'!P238, 2),FALSE)),"",_xlfn.REGEXEXTRACT(CELL("address",P238), "\$([A-Z]+)\$[0-9]+"))),_xlfn.REGEXEXTRACT(CELL("address",P238), "\$([A-Z]+)\$[0-9]+"))</f>
        <v/>
      </c>
      <c r="Q238" s="7" t="str">
        <f t="array" aca="1" ref="Q238" ca="1">IFERROR(IF(OR('Raw Data'!Q238="",LEN(TRIM('Raw Data'!Q238))=0),"",IF(AND(ISNUMBER('Raw Data'!Q238), IFERROR('Raw Data'!Q238 = ROUND('Raw Data'!Q238, 2),FALSE)),"",_xlfn.REGEXEXTRACT(CELL("address",Q238), "\$([A-Z]+)\$[0-9]+"))),_xlfn.REGEXEXTRACT(CELL("address",Q238), "\$([A-Z]+)\$[0-9]+"))</f>
        <v/>
      </c>
      <c r="R238" s="7" t="str">
        <f t="array" aca="1" ref="R238" ca="1">IFERROR(IF(OR('Raw Data'!R238="",LEN(TRIM('Raw Data'!R238))=0),"",IF(AND(LEN('Raw Data'!R238) &lt;= 50,LEN('Raw Data'!R238)&gt; 0),"",_xlfn.REGEXEXTRACT(CELL("address",'Raw Data'!R238),"\$([A-Z]+)\$[0-9]+"))),_xlfn.REGEXEXTRACT(CELL("address",'Raw Data'!R238),"\$([A-Z]+)\$[0-9]+"))</f>
        <v/>
      </c>
      <c r="S238" s="7" t="str">
        <f t="array" aca="1" ref="S238" ca="1">IFERROR(IF(OR('Raw Data'!S238="",LEN(TRIM('Raw Data'!S238))=0),"",IF(AND(LEN('Raw Data'!S238) &lt;= 50,LEN('Raw Data'!S238)&gt; 0),"",_xlfn.REGEXEXTRACT(CELL("address",'Raw Data'!S238),"\$([A-Z]+)\$[0-9]+"))),_xlfn.REGEXEXTRACT(CELL("address",'Raw Data'!S238),"\$([A-Z]+)\$[0-9]+"))</f>
        <v/>
      </c>
      <c r="T238" s="7" t="str">
        <f t="array" aca="1" ref="T238" ca="1">IFERROR(IF(OR('Raw Data'!T238="",LEN(TRIM('Raw Data'!T238))=0),"",IF(AND(ISNUMBER('Raw Data'!T238), IFERROR('Raw Data'!T238 = ROUND('Raw Data'!T238, 2),FALSE)),"",_xlfn.REGEXEXTRACT(CELL("address",T238), "\$([A-Z]+)\$[0-9]+"))),_xlfn.REGEXEXTRACT(CELL("address",T238), "\$([A-Z]+)\$[0-9]+"))</f>
        <v/>
      </c>
      <c r="U238" s="7" t="str">
        <f t="array" aca="1" ref="U238" ca="1">IFERROR(IF(OR('Raw Data'!U238="",LEN(TRIM('Raw Data'!U238))=0),"",IF(AND(ISNUMBER('Raw Data'!U238), IFERROR('Raw Data'!U238 = ROUND('Raw Data'!U238, 2),FALSE)),"",_xlfn.REGEXEXTRACT(CELL("address",U238), "\$([A-Z]+)\$[0-9]+"))),_xlfn.REGEXEXTRACT(CELL("address",U238), "\$([A-Z]+)\$[0-9]+"))</f>
        <v/>
      </c>
      <c r="V238" s="7" t="str">
        <f t="array" aca="1" ref="V238" ca="1">IFERROR(IF(OR('Raw Data'!V238="",LEN(TRIM('Raw Data'!V238))=0),"",IF(AND(ISNUMBER('Raw Data'!V238), IFERROR('Raw Data'!V238 = ROUND('Raw Data'!V238, 2),FALSE)),"",_xlfn.REGEXEXTRACT(CELL("address",V238), "\$([A-Z]+)\$[0-9]+"))),_xlfn.REGEXEXTRACT(CELL("address",V238), "\$([A-Z]+)\$[0-9]+"))</f>
        <v/>
      </c>
      <c r="W238" s="7" t="str">
        <f t="array" aca="1" ref="W238" ca="1">IFERROR(IF(OR('Raw Data'!W238="",LEN(TRIM('Raw Data'!W238))=0),"",IF(AND(ISNUMBER('Raw Data'!W238), IFERROR('Raw Data'!W238 = ROUND('Raw Data'!W238, 2),FALSE)),"",_xlfn.REGEXEXTRACT(CELL("address",W238), "\$([A-Z]+)\$[0-9]+"))),_xlfn.REGEXEXTRACT(CELL("address",W238), "\$([A-Z]+)\$[0-9]+"))</f>
        <v/>
      </c>
      <c r="X238" s="7" t="str">
        <f t="array" aca="1" ref="X238" ca="1">IFERROR(IF(OR('Raw Data'!X238="",LEN(TRIM('Raw Data'!X238))=0),"",IF(AND(ISNUMBER('Raw Data'!X238), IFERROR('Raw Data'!X238 = ROUND('Raw Data'!X238, 2),FALSE)),"",_xlfn.REGEXEXTRACT(CELL("address",X238), "\$([A-Z]+)\$[0-9]+"))),_xlfn.REGEXEXTRACT(CELL("address",X238), "\$([A-Z]+)\$[0-9]+"))</f>
        <v/>
      </c>
      <c r="Y238" s="7" t="str">
        <f t="array" aca="1" ref="Y238" ca="1">IFERROR(IF(OR('Raw Data'!Y238="",LEN(TRIM('Raw Data'!Y238))=0),"",IF(AND(ISNUMBER('Raw Data'!Y238), IFERROR('Raw Data'!Y238 = ROUND('Raw Data'!Y238, 2),FALSE)),"",_xlfn.REGEXEXTRACT(CELL("address",Y238), "\$([A-Z]+)\$[0-9]+"))),_xlfn.REGEXEXTRACT(CELL("address",Y238), "\$([A-Z]+)\$[0-9]+"))</f>
        <v/>
      </c>
      <c r="Z238" s="7" t="str">
        <f t="array" aca="1" ref="Z238" ca="1">IFERROR(IF(OR('Raw Data'!Z238="",LEN(TRIM('Raw Data'!Z238))=0),"",IF(AND(ISNUMBER('Raw Data'!Z238), IFERROR('Raw Data'!Z238 = ROUND('Raw Data'!Z238, 2),FALSE)),"",_xlfn.REGEXEXTRACT(CELL("address",Z238), "\$([A-Z]+)\$[0-9]+"))),_xlfn.REGEXEXTRACT(CELL("address",Z238), "\$([A-Z]+)\$[0-9]+"))</f>
        <v/>
      </c>
      <c r="AA238" s="7" t="str">
        <f t="array" aca="1" ref="AA238" ca="1">IFERROR(IF(OR('Raw Data'!AA238="",LEN(TRIM('Raw Data'!AA238))=0),"",IF(AND(ISNUMBER('Raw Data'!AA238), IFERROR('Raw Data'!AA238 = ROUND('Raw Data'!AA238, 2),FALSE)),"",_xlfn.REGEXEXTRACT(CELL("address",AA238), "\$([A-Z]+)\$[0-9]+"))),_xlfn.REGEXEXTRACT(CELL("address",AA238), "\$([A-Z]+)\$[0-9]+"))</f>
        <v/>
      </c>
      <c r="AB238" s="7" t="str">
        <f t="array" aca="1" ref="AB238" ca="1">IFERROR(IF(OR('Raw Data'!AB238="",LEN(TRIM('Raw Data'!AB238))=0),"",IF(AND(ISNUMBER('Raw Data'!AB238), IFERROR('Raw Data'!AB238 = ROUND('Raw Data'!AB238, 2),FALSE)),"",_xlfn.REGEXEXTRACT(CELL("address",AB238), "\$([A-Z]+)\$[0-9]+"))),_xlfn.REGEXEXTRACT(CELL("address",AB238), "\$([A-Z]+)\$[0-9]+"))</f>
        <v/>
      </c>
      <c r="AC238" s="7" t="str">
        <f t="array" aca="1" ref="AC238" ca="1">IFERROR(IF(OR('Raw Data'!AC238="",LEN(TRIM('Raw Data'!AC238))=0),"",IF(AND(ISNUMBER('Raw Data'!AC238), IFERROR('Raw Data'!AC238 = ROUND('Raw Data'!AC238, 2),FALSE)),"",_xlfn.REGEXEXTRACT(CELL("address",AC238), "\$([A-Z]+)\$[0-9]+"))),_xlfn.REGEXEXTRACT(CELL("address",AC238), "\$([A-Z]+)\$[0-9]+"))</f>
        <v/>
      </c>
      <c r="AD238" s="7" t="str">
        <f t="array" aca="1" ref="AD238" ca="1">IFERROR(IF(OR('Raw Data'!AD238="",LEN(TRIM('Raw Data'!AD238))=0),"",IF(AND(ISNUMBER('Raw Data'!AD238), IFERROR('Raw Data'!AD238 = ROUND('Raw Data'!AD238, 2),FALSE)),"",_xlfn.REGEXEXTRACT(CELL("address",AD238), "\$([A-Z]+)\$[0-9]+"))),_xlfn.REGEXEXTRACT(CELL("address",AD238), "\$([A-Z]+)\$[0-9]+"))</f>
        <v/>
      </c>
      <c r="AE238" s="7" t="str">
        <f t="array" aca="1" ref="AE238" ca="1">IFERROR(IF(OR('Raw Data'!AE238="",LEN(TRIM('Raw Data'!AE238))=0),"",IF(AND(ISNUMBER('Raw Data'!AE238), IFERROR('Raw Data'!AE238 = ROUND('Raw Data'!AE238, 2),FALSE)),"",_xlfn.REGEXEXTRACT(CELL("address",AE238), "\$([A-Z]+)\$[0-9]+"))),_xlfn.REGEXEXTRACT(CELL("address",AE238), "\$([A-Z]+)\$[0-9]+"))</f>
        <v/>
      </c>
      <c r="AF238" s="7" t="str">
        <f t="array" aca="1" ref="AF238" ca="1">IFERROR(IF(OR('Raw Data'!AF238="",LEN(TRIM('Raw Data'!AF238))=0),"",IF(AND(ISNUMBER('Raw Data'!AF238), IFERROR('Raw Data'!AF238 = ROUND('Raw Data'!AF238, 2),FALSE)),"",_xlfn.REGEXEXTRACT(CELL("address",AF238), "\$([A-Z]+)\$[0-9]+"))),_xlfn.REGEXEXTRACT(CELL("address",AF238), "\$([A-Z]+)\$[0-9]+"))</f>
        <v/>
      </c>
      <c r="AG238" s="7" t="str">
        <f t="array" aca="1" ref="AG238" ca="1">IFERROR(IF(OR('Raw Data'!AG238="",LEN(TRIM('Raw Data'!AG238))=0),"",IF(AND(ISNUMBER('Raw Data'!AG238), IFERROR('Raw Data'!AG238 = ROUND('Raw Data'!AG238, 2),FALSE)),"",_xlfn.REGEXEXTRACT(CELL("address",AG238), "\$([A-Z]+)\$[0-9]+"))),_xlfn.REGEXEXTRACT(CELL("address",AG238), "\$([A-Z]+)\$[0-9]+"))</f>
        <v/>
      </c>
      <c r="AH238" s="7" t="str">
        <f t="array" aca="1" ref="AH238" ca="1">IFERROR(IF(OR('Raw Data'!AH238="",LEN(TRIM('Raw Data'!AH238))=0),"",IF(AND(ISNUMBER('Raw Data'!AH238), IFERROR('Raw Data'!AH238 = ROUND('Raw Data'!AH238, 2),FALSE)),"",_xlfn.REGEXEXTRACT(CELL("address",AH238), "\$([A-Z]+)\$[0-9]+"))),_xlfn.REGEXEXTRACT(CELL("address",AH238), "\$([A-Z]+)\$[0-9]+"))</f>
        <v/>
      </c>
      <c r="AI238" s="7" t="str">
        <f t="array" aca="1" ref="AI238" ca="1">IFERROR(IF(OR('Raw Data'!AI238="",LEN(TRIM('Raw Data'!AI238))=0),"",IF(AND(ISNUMBER('Raw Data'!AI238), IFERROR('Raw Data'!AI238 = ROUND('Raw Data'!AI238, 2),FALSE)),"",_xlfn.REGEXEXTRACT(CELL("address",AI238), "\$([A-Z]+)\$[0-9]+"))),_xlfn.REGEXEXTRACT(CELL("address",AI238), "\$([A-Z]+)\$[0-9]+"))</f>
        <v/>
      </c>
      <c r="AJ238" s="7" t="str">
        <f t="array" aca="1" ref="AJ238" ca="1">IFERROR(IF(OR('Raw Data'!AJ238="",LEN(TRIM('Raw Data'!AJ238))=0),"",IF(AND(ISNUMBER('Raw Data'!AJ238), IFERROR('Raw Data'!AJ238 = ROUND('Raw Data'!AJ238, 4),FALSE)),"",_xlfn.REGEXEXTRACT(CELL("address",AJ238), "\$([A-Z]+)\$[0-9]+"))),_xlfn.REGEXEXTRACT(CELL("address",AJ238), "\$([A-Z]+)\$[0-9]+"))</f>
        <v/>
      </c>
      <c r="AK238" s="7" t="str">
        <f t="array" aca="1" ref="AK238" ca="1">IFERROR(IF(OR('Raw Data'!AK238="",LEN(TRIM('Raw Data'!AK238))=0),"",IF(AND(ISNUMBER('Raw Data'!AK238), IFERROR('Raw Data'!AK238 = ROUND('Raw Data'!AK238, 2),FALSE)),"",_xlfn.REGEXEXTRACT(CELL("address",AK238), "\$([A-Z]+)\$[0-9]+"))),_xlfn.REGEXEXTRACT(CELL("address",AK238), "\$([A-Z]+)\$[0-9]+"))</f>
        <v/>
      </c>
      <c r="AL238" s="7" t="str">
        <f t="array" aca="1" ref="AL238" ca="1">IFERROR(IF(OR('Raw Data'!AL238="",LEN(TRIM('Raw Data'!AL238))=0),"",IF(AND(ISNUMBER('Raw Data'!AL238), IFERROR('Raw Data'!AL238 = ROUND('Raw Data'!AL238, 2),FALSE)),"",_xlfn.REGEXEXTRACT(CELL("address",AL238), "\$([A-Z]+)\$[0-9]+"))),_xlfn.REGEXEXTRACT(CELL("address",AL238), "\$([A-Z]+)\$[0-9]+"))</f>
        <v/>
      </c>
      <c r="AM238" s="7" t="str">
        <f t="array" aca="1" ref="AM238" ca="1">IFERROR(IF(OR('Raw Data'!AM238="",LEN(TRIM('Raw Data'!AM238))=0),"",IF(AND(ISNUMBER('Raw Data'!AM238), IFERROR('Raw Data'!AM238 = ROUND('Raw Data'!AM238, 2),FALSE)),"",_xlfn.REGEXEXTRACT(CELL("address",AM238), "\$([A-Z]+)\$[0-9]+"))),_xlfn.REGEXEXTRACT(CELL("address",AM238), "\$([A-Z]+)\$[0-9]+"))</f>
        <v/>
      </c>
      <c r="AN238" s="7" t="str">
        <f t="array" aca="1" ref="AN238" ca="1">IFERROR(IF(OR('Raw Data'!AN238="",LEN(TRIM('Raw Data'!AN238))=0),"",IF(AND(ISNUMBER('Raw Data'!AN238), IFERROR('Raw Data'!AN238 = ROUND('Raw Data'!AN238, 2),FALSE)),"",_xlfn.REGEXEXTRACT(CELL("address",AN238), "\$([A-Z]+)\$[0-9]+"))),_xlfn.REGEXEXTRACT(CELL("address",AN238), "\$([A-Z]+)\$[0-9]+"))</f>
        <v/>
      </c>
      <c r="AO238" s="7" t="str">
        <f t="array" aca="1" ref="AO238" ca="1">IFERROR(IF(OR('Raw Data'!AO238="",LEN(TRIM('Raw Data'!AO238))=0),"",IF(AND(ISNUMBER('Raw Data'!AO238), IFERROR('Raw Data'!AO238 = ROUND('Raw Data'!AO238, 2),FALSE)),"",_xlfn.REGEXEXTRACT(CELL("address",AO238), "\$([A-Z]+)\$[0-9]+"))),_xlfn.REGEXEXTRACT(CELL("address",AO238), "\$([A-Z]+)\$[0-9]+"))</f>
        <v/>
      </c>
      <c r="AP238" s="7" t="str">
        <f t="array" aca="1" ref="AP238" ca="1">IFERROR(IF(OR('Raw Data'!AP238="",LEN(TRIM('Raw Data'!AP238))=0),"",IF(AND(ISNUMBER('Raw Data'!AP238), IFERROR('Raw Data'!AP238 = ROUND('Raw Data'!AP238, 2),FALSE)),"",_xlfn.REGEXEXTRACT(CELL("address",AP238), "\$([A-Z]+)\$[0-9]+"))),_xlfn.REGEXEXTRACT(CELL("address",AP238), "\$([A-Z]+)\$[0-9]+"))</f>
        <v/>
      </c>
    </row>
    <row r="239" spans="2:42" x14ac:dyDescent="0.25">
      <c r="B239" s="7" t="str">
        <f t="array" aca="1" ref="B239" ca="1">IFERROR(IF(OR('Raw Data'!B239="",LEN(TRIM('Raw Data'!B239))=0),"",IF(AND(LEN('Raw Data'!B239) &lt;= 255,LEN('Raw Data'!B239)&gt; 0),"",_xlfn.REGEXEXTRACT(CELL("address",'Raw Data'!B239),"\$([A-Z]+)\$[0-9]+"))),_xlfn.REGEXEXTRACT(CELL("address",'Raw Data'!B239),"\$([A-Z]+)\$[0-9]+"))</f>
        <v/>
      </c>
      <c r="C239" s="7" t="str">
        <f t="array" aca="1" ref="C239" ca="1">IFERROR(IF(OR('Raw Data'!C239="",LEN(TRIM('Raw Data'!C239))=0),"",IF(AND(LEN('Raw Data'!C239) &lt;= 50,LEN('Raw Data'!C239)&gt; 0),"",_xlfn.REGEXEXTRACT(CELL("address",'Raw Data'!C239),"\$([A-Z]+)\$[0-9]+"))),_xlfn.REGEXEXTRACT(CELL("address",'Raw Data'!C239),"\$([A-Z]+)\$[0-9]+"))</f>
        <v/>
      </c>
      <c r="D239" s="7" t="str">
        <f t="array" aca="1" ref="D239" ca="1">IFERROR(IF(OR('Raw Data'!D239="",LEN(TRIM('Raw Data'!D239))=0),"",IF(AND(LEN('Raw Data'!D239) &lt;= 500,LEN('Raw Data'!D239)&gt; 0),"",_xlfn.REGEXEXTRACT(CELL("address",'Raw Data'!D239),"\$([A-Z]+)\$[0-9]+"))),_xlfn.REGEXEXTRACT(CELL("address",'Raw Data'!D239),"\$([A-Z]+)\$[0-9]+"))</f>
        <v/>
      </c>
      <c r="E239" s="7" t="str">
        <f t="array" aca="1" ref="E239" ca="1">IFERROR(IF(OR('Raw Data'!E239="",LEN(TRIM('Raw Data'!E239))=0),"",IF(AND(LEN('Raw Data'!E239) &lt;= 50,LEN('Raw Data'!E239)&gt; 0),"",_xlfn.REGEXEXTRACT(CELL("address",'Raw Data'!E239),"\$([A-Z]+)\$[0-9]+"))),_xlfn.REGEXEXTRACT(CELL("address",'Raw Data'!E239),"\$([A-Z]+)\$[0-9]+"))</f>
        <v/>
      </c>
      <c r="F239" s="7" t="str">
        <f t="array" aca="1" ref="F239" ca="1">IFERROR(IF(OR('Raw Data'!F239="",LEN(TRIM('Raw Data'!F239))=0),"",IF(AND(LEN('Raw Data'!F239) &lt;= 50,LEN('Raw Data'!F239)&gt; 0),"",_xlfn.REGEXEXTRACT(CELL("address",'Raw Data'!F239),"\$([A-Z]+)\$[0-9]+"))),_xlfn.REGEXEXTRACT(CELL("address",'Raw Data'!F239),"\$([A-Z]+)\$[0-9]+"))</f>
        <v/>
      </c>
      <c r="G239" s="7" t="str">
        <f t="array" aca="1" ref="G239" ca="1">IFERROR(IF(OR('Raw Data'!G239="",LEN(TRIM('Raw Data'!G239))=0),"",IF(AND(LEN('Raw Data'!G239) &lt;= 50,LEN('Raw Data'!G239)&gt; 0),"",_xlfn.REGEXEXTRACT(CELL("address",'Raw Data'!G239),"\$([A-Z]+)\$[0-9]+"))),_xlfn.REGEXEXTRACT(CELL("address",'Raw Data'!G239),"\$([A-Z]+)\$[0-9]+"))</f>
        <v/>
      </c>
      <c r="H239" s="7" t="str">
        <f t="array" aca="1" ref="H239" ca="1">IFERROR(IF(OR('Raw Data'!H239="",LEN(TRIM('Raw Data'!H239))=0),"",IF(AND(LEN('Raw Data'!H239) &lt;= 50,LEN('Raw Data'!H239)&gt; 0),"",_xlfn.REGEXEXTRACT(CELL("address",'Raw Data'!H239),"\$([A-Z]+)\$[0-9]+"))),_xlfn.REGEXEXTRACT(CELL("address",'Raw Data'!H239),"\$([A-Z]+)\$[0-9]+"))</f>
        <v/>
      </c>
      <c r="I239" s="7" t="str">
        <f t="array" aca="1" ref="I239" ca="1">IFERROR(IF(OR('Raw Data'!I239="",LEN(TRIM('Raw Data'!I239))=0),"",IF(AND(LEN('Raw Data'!I239) &lt;= 50,LEN('Raw Data'!I239)&gt; 0),"",_xlfn.REGEXEXTRACT(CELL("address",'Raw Data'!I239),"\$([A-Z]+)\$[0-9]+"))),_xlfn.REGEXEXTRACT(CELL("address",'Raw Data'!I239),"\$([A-Z]+)\$[0-9]+"))</f>
        <v/>
      </c>
      <c r="J239" s="7" t="str">
        <f t="array" aca="1" ref="J239" ca="1">IFERROR(IF(OR('Raw Data'!J239="",LEN(TRIM('Raw Data'!J239))=0),"",IF(AND(ISNUMBER('Raw Data'!J239), IFERROR('Raw Data'!J239 = ROUND('Raw Data'!J239, 2),FALSE)),"",_xlfn.REGEXEXTRACT(CELL("address",J239), "\$([A-Z]+)\$[0-9]+"))),_xlfn.REGEXEXTRACT(CELL("address",J239), "\$([A-Z]+)\$[0-9]+"))</f>
        <v/>
      </c>
      <c r="K239" s="7" t="str">
        <f t="array" aca="1" ref="K239" ca="1">IFERROR(IF(OR('Raw Data'!K239="",LEN(TRIM('Raw Data'!K239))=0),"",IF(AND(ISNUMBER('Raw Data'!K239), IFERROR('Raw Data'!K239 = ROUND('Raw Data'!K239, 2),FALSE)),"",_xlfn.REGEXEXTRACT(CELL("address",K239), "\$([A-Z]+)\$[0-9]+"))),_xlfn.REGEXEXTRACT(CELL("address",K239), "\$([A-Z]+)\$[0-9]+"))</f>
        <v/>
      </c>
      <c r="L239" s="7" t="str">
        <f t="array" aca="1" ref="L239" ca="1">IFERROR(IF(OR('Raw Data'!L239="",LEN(TRIM('Raw Data'!L239))=0),"",IF(AND(ISNUMBER('Raw Data'!L239), IFERROR('Raw Data'!L239 = ROUND('Raw Data'!L239, 2),FALSE)),"",_xlfn.REGEXEXTRACT(CELL("address",L239), "\$([A-Z]+)\$[0-9]+"))),_xlfn.REGEXEXTRACT(CELL("address",L239), "\$([A-Z]+)\$[0-9]+"))</f>
        <v/>
      </c>
      <c r="M239" s="7" t="str">
        <f t="array" aca="1" ref="M239" ca="1">IFERROR(IF(OR('Raw Data'!M239="",LEN(TRIM('Raw Data'!M239))=0),"",IF(AND(ISNUMBER('Raw Data'!M239), IFERROR('Raw Data'!M239 = ROUND('Raw Data'!M239, 2),FALSE)),"",_xlfn.REGEXEXTRACT(CELL("address",M239), "\$([A-Z]+)\$[0-9]+"))),_xlfn.REGEXEXTRACT(CELL("address",M239), "\$([A-Z]+)\$[0-9]+"))</f>
        <v/>
      </c>
      <c r="N239" s="7" t="str">
        <f t="array" aca="1" ref="N239" ca="1">IFERROR(IF(OR('Raw Data'!N239="",LEN(TRIM('Raw Data'!N239))=0),"",IF(AND(ISNUMBER('Raw Data'!N239), IFERROR('Raw Data'!N239 = ROUND('Raw Data'!N239, 2),FALSE)),"",_xlfn.REGEXEXTRACT(CELL("address",N239), "\$([A-Z]+)\$[0-9]+"))),_xlfn.REGEXEXTRACT(CELL("address",N239), "\$([A-Z]+)\$[0-9]+"))</f>
        <v/>
      </c>
      <c r="O239" s="7" t="str">
        <f t="array" aca="1" ref="O239" ca="1">IFERROR(IF(OR('Raw Data'!O239="",LEN(TRIM('Raw Data'!O239))=0),"",IF(AND(ISNUMBER('Raw Data'!O239),'Raw Data'!O239&gt;=Configuration!$D$2),"",_xlfn.REGEXEXTRACT(CELL("address",'Raw Data'!O239),"\$([A-Z]+)\$[0-9]+"))),_xlfn.REGEXEXTRACT(CELL("address",O239), "\$([A-Z]+)\$[0-9]+"))</f>
        <v/>
      </c>
      <c r="P239" s="7" t="str">
        <f t="array" aca="1" ref="P239" ca="1">IFERROR(IF(OR('Raw Data'!P239="",LEN(TRIM('Raw Data'!P239))=0),"",IF(AND(ISNUMBER('Raw Data'!P239), IFERROR('Raw Data'!P239 = ROUND('Raw Data'!P239, 2),FALSE)),"",_xlfn.REGEXEXTRACT(CELL("address",P239), "\$([A-Z]+)\$[0-9]+"))),_xlfn.REGEXEXTRACT(CELL("address",P239), "\$([A-Z]+)\$[0-9]+"))</f>
        <v/>
      </c>
      <c r="Q239" s="7" t="str">
        <f t="array" aca="1" ref="Q239" ca="1">IFERROR(IF(OR('Raw Data'!Q239="",LEN(TRIM('Raw Data'!Q239))=0),"",IF(AND(ISNUMBER('Raw Data'!Q239), IFERROR('Raw Data'!Q239 = ROUND('Raw Data'!Q239, 2),FALSE)),"",_xlfn.REGEXEXTRACT(CELL("address",Q239), "\$([A-Z]+)\$[0-9]+"))),_xlfn.REGEXEXTRACT(CELL("address",Q239), "\$([A-Z]+)\$[0-9]+"))</f>
        <v/>
      </c>
      <c r="R239" s="7" t="str">
        <f t="array" aca="1" ref="R239" ca="1">IFERROR(IF(OR('Raw Data'!R239="",LEN(TRIM('Raw Data'!R239))=0),"",IF(AND(LEN('Raw Data'!R239) &lt;= 50,LEN('Raw Data'!R239)&gt; 0),"",_xlfn.REGEXEXTRACT(CELL("address",'Raw Data'!R239),"\$([A-Z]+)\$[0-9]+"))),_xlfn.REGEXEXTRACT(CELL("address",'Raw Data'!R239),"\$([A-Z]+)\$[0-9]+"))</f>
        <v/>
      </c>
      <c r="S239" s="7" t="str">
        <f t="array" aca="1" ref="S239" ca="1">IFERROR(IF(OR('Raw Data'!S239="",LEN(TRIM('Raw Data'!S239))=0),"",IF(AND(LEN('Raw Data'!S239) &lt;= 50,LEN('Raw Data'!S239)&gt; 0),"",_xlfn.REGEXEXTRACT(CELL("address",'Raw Data'!S239),"\$([A-Z]+)\$[0-9]+"))),_xlfn.REGEXEXTRACT(CELL("address",'Raw Data'!S239),"\$([A-Z]+)\$[0-9]+"))</f>
        <v/>
      </c>
      <c r="T239" s="7" t="str">
        <f t="array" aca="1" ref="T239" ca="1">IFERROR(IF(OR('Raw Data'!T239="",LEN(TRIM('Raw Data'!T239))=0),"",IF(AND(ISNUMBER('Raw Data'!T239), IFERROR('Raw Data'!T239 = ROUND('Raw Data'!T239, 2),FALSE)),"",_xlfn.REGEXEXTRACT(CELL("address",T239), "\$([A-Z]+)\$[0-9]+"))),_xlfn.REGEXEXTRACT(CELL("address",T239), "\$([A-Z]+)\$[0-9]+"))</f>
        <v/>
      </c>
      <c r="U239" s="7" t="str">
        <f t="array" aca="1" ref="U239" ca="1">IFERROR(IF(OR('Raw Data'!U239="",LEN(TRIM('Raw Data'!U239))=0),"",IF(AND(ISNUMBER('Raw Data'!U239), IFERROR('Raw Data'!U239 = ROUND('Raw Data'!U239, 2),FALSE)),"",_xlfn.REGEXEXTRACT(CELL("address",U239), "\$([A-Z]+)\$[0-9]+"))),_xlfn.REGEXEXTRACT(CELL("address",U239), "\$([A-Z]+)\$[0-9]+"))</f>
        <v/>
      </c>
      <c r="V239" s="7" t="str">
        <f t="array" aca="1" ref="V239" ca="1">IFERROR(IF(OR('Raw Data'!V239="",LEN(TRIM('Raw Data'!V239))=0),"",IF(AND(ISNUMBER('Raw Data'!V239), IFERROR('Raw Data'!V239 = ROUND('Raw Data'!V239, 2),FALSE)),"",_xlfn.REGEXEXTRACT(CELL("address",V239), "\$([A-Z]+)\$[0-9]+"))),_xlfn.REGEXEXTRACT(CELL("address",V239), "\$([A-Z]+)\$[0-9]+"))</f>
        <v/>
      </c>
      <c r="W239" s="7" t="str">
        <f t="array" aca="1" ref="W239" ca="1">IFERROR(IF(OR('Raw Data'!W239="",LEN(TRIM('Raw Data'!W239))=0),"",IF(AND(ISNUMBER('Raw Data'!W239), IFERROR('Raw Data'!W239 = ROUND('Raw Data'!W239, 2),FALSE)),"",_xlfn.REGEXEXTRACT(CELL("address",W239), "\$([A-Z]+)\$[0-9]+"))),_xlfn.REGEXEXTRACT(CELL("address",W239), "\$([A-Z]+)\$[0-9]+"))</f>
        <v/>
      </c>
      <c r="X239" s="7" t="str">
        <f t="array" aca="1" ref="X239" ca="1">IFERROR(IF(OR('Raw Data'!X239="",LEN(TRIM('Raw Data'!X239))=0),"",IF(AND(ISNUMBER('Raw Data'!X239), IFERROR('Raw Data'!X239 = ROUND('Raw Data'!X239, 2),FALSE)),"",_xlfn.REGEXEXTRACT(CELL("address",X239), "\$([A-Z]+)\$[0-9]+"))),_xlfn.REGEXEXTRACT(CELL("address",X239), "\$([A-Z]+)\$[0-9]+"))</f>
        <v/>
      </c>
      <c r="Y239" s="7" t="str">
        <f t="array" aca="1" ref="Y239" ca="1">IFERROR(IF(OR('Raw Data'!Y239="",LEN(TRIM('Raw Data'!Y239))=0),"",IF(AND(ISNUMBER('Raw Data'!Y239), IFERROR('Raw Data'!Y239 = ROUND('Raw Data'!Y239, 2),FALSE)),"",_xlfn.REGEXEXTRACT(CELL("address",Y239), "\$([A-Z]+)\$[0-9]+"))),_xlfn.REGEXEXTRACT(CELL("address",Y239), "\$([A-Z]+)\$[0-9]+"))</f>
        <v/>
      </c>
      <c r="Z239" s="7" t="str">
        <f t="array" aca="1" ref="Z239" ca="1">IFERROR(IF(OR('Raw Data'!Z239="",LEN(TRIM('Raw Data'!Z239))=0),"",IF(AND(ISNUMBER('Raw Data'!Z239), IFERROR('Raw Data'!Z239 = ROUND('Raw Data'!Z239, 2),FALSE)),"",_xlfn.REGEXEXTRACT(CELL("address",Z239), "\$([A-Z]+)\$[0-9]+"))),_xlfn.REGEXEXTRACT(CELL("address",Z239), "\$([A-Z]+)\$[0-9]+"))</f>
        <v/>
      </c>
      <c r="AA239" s="7" t="str">
        <f t="array" aca="1" ref="AA239" ca="1">IFERROR(IF(OR('Raw Data'!AA239="",LEN(TRIM('Raw Data'!AA239))=0),"",IF(AND(ISNUMBER('Raw Data'!AA239), IFERROR('Raw Data'!AA239 = ROUND('Raw Data'!AA239, 2),FALSE)),"",_xlfn.REGEXEXTRACT(CELL("address",AA239), "\$([A-Z]+)\$[0-9]+"))),_xlfn.REGEXEXTRACT(CELL("address",AA239), "\$([A-Z]+)\$[0-9]+"))</f>
        <v/>
      </c>
      <c r="AB239" s="7" t="str">
        <f t="array" aca="1" ref="AB239" ca="1">IFERROR(IF(OR('Raw Data'!AB239="",LEN(TRIM('Raw Data'!AB239))=0),"",IF(AND(ISNUMBER('Raw Data'!AB239), IFERROR('Raw Data'!AB239 = ROUND('Raw Data'!AB239, 2),FALSE)),"",_xlfn.REGEXEXTRACT(CELL("address",AB239), "\$([A-Z]+)\$[0-9]+"))),_xlfn.REGEXEXTRACT(CELL("address",AB239), "\$([A-Z]+)\$[0-9]+"))</f>
        <v/>
      </c>
      <c r="AC239" s="7" t="str">
        <f t="array" aca="1" ref="AC239" ca="1">IFERROR(IF(OR('Raw Data'!AC239="",LEN(TRIM('Raw Data'!AC239))=0),"",IF(AND(ISNUMBER('Raw Data'!AC239), IFERROR('Raw Data'!AC239 = ROUND('Raw Data'!AC239, 2),FALSE)),"",_xlfn.REGEXEXTRACT(CELL("address",AC239), "\$([A-Z]+)\$[0-9]+"))),_xlfn.REGEXEXTRACT(CELL("address",AC239), "\$([A-Z]+)\$[0-9]+"))</f>
        <v/>
      </c>
      <c r="AD239" s="7" t="str">
        <f t="array" aca="1" ref="AD239" ca="1">IFERROR(IF(OR('Raw Data'!AD239="",LEN(TRIM('Raw Data'!AD239))=0),"",IF(AND(ISNUMBER('Raw Data'!AD239), IFERROR('Raw Data'!AD239 = ROUND('Raw Data'!AD239, 2),FALSE)),"",_xlfn.REGEXEXTRACT(CELL("address",AD239), "\$([A-Z]+)\$[0-9]+"))),_xlfn.REGEXEXTRACT(CELL("address",AD239), "\$([A-Z]+)\$[0-9]+"))</f>
        <v/>
      </c>
      <c r="AE239" s="7" t="str">
        <f t="array" aca="1" ref="AE239" ca="1">IFERROR(IF(OR('Raw Data'!AE239="",LEN(TRIM('Raw Data'!AE239))=0),"",IF(AND(ISNUMBER('Raw Data'!AE239), IFERROR('Raw Data'!AE239 = ROUND('Raw Data'!AE239, 2),FALSE)),"",_xlfn.REGEXEXTRACT(CELL("address",AE239), "\$([A-Z]+)\$[0-9]+"))),_xlfn.REGEXEXTRACT(CELL("address",AE239), "\$([A-Z]+)\$[0-9]+"))</f>
        <v/>
      </c>
      <c r="AF239" s="7" t="str">
        <f t="array" aca="1" ref="AF239" ca="1">IFERROR(IF(OR('Raw Data'!AF239="",LEN(TRIM('Raw Data'!AF239))=0),"",IF(AND(ISNUMBER('Raw Data'!AF239), IFERROR('Raw Data'!AF239 = ROUND('Raw Data'!AF239, 2),FALSE)),"",_xlfn.REGEXEXTRACT(CELL("address",AF239), "\$([A-Z]+)\$[0-9]+"))),_xlfn.REGEXEXTRACT(CELL("address",AF239), "\$([A-Z]+)\$[0-9]+"))</f>
        <v/>
      </c>
      <c r="AG239" s="7" t="str">
        <f t="array" aca="1" ref="AG239" ca="1">IFERROR(IF(OR('Raw Data'!AG239="",LEN(TRIM('Raw Data'!AG239))=0),"",IF(AND(ISNUMBER('Raw Data'!AG239), IFERROR('Raw Data'!AG239 = ROUND('Raw Data'!AG239, 2),FALSE)),"",_xlfn.REGEXEXTRACT(CELL("address",AG239), "\$([A-Z]+)\$[0-9]+"))),_xlfn.REGEXEXTRACT(CELL("address",AG239), "\$([A-Z]+)\$[0-9]+"))</f>
        <v/>
      </c>
      <c r="AH239" s="7" t="str">
        <f t="array" aca="1" ref="AH239" ca="1">IFERROR(IF(OR('Raw Data'!AH239="",LEN(TRIM('Raw Data'!AH239))=0),"",IF(AND(ISNUMBER('Raw Data'!AH239), IFERROR('Raw Data'!AH239 = ROUND('Raw Data'!AH239, 2),FALSE)),"",_xlfn.REGEXEXTRACT(CELL("address",AH239), "\$([A-Z]+)\$[0-9]+"))),_xlfn.REGEXEXTRACT(CELL("address",AH239), "\$([A-Z]+)\$[0-9]+"))</f>
        <v/>
      </c>
      <c r="AI239" s="7" t="str">
        <f t="array" aca="1" ref="AI239" ca="1">IFERROR(IF(OR('Raw Data'!AI239="",LEN(TRIM('Raw Data'!AI239))=0),"",IF(AND(ISNUMBER('Raw Data'!AI239), IFERROR('Raw Data'!AI239 = ROUND('Raw Data'!AI239, 2),FALSE)),"",_xlfn.REGEXEXTRACT(CELL("address",AI239), "\$([A-Z]+)\$[0-9]+"))),_xlfn.REGEXEXTRACT(CELL("address",AI239), "\$([A-Z]+)\$[0-9]+"))</f>
        <v/>
      </c>
      <c r="AJ239" s="7" t="str">
        <f t="array" aca="1" ref="AJ239" ca="1">IFERROR(IF(OR('Raw Data'!AJ239="",LEN(TRIM('Raw Data'!AJ239))=0),"",IF(AND(ISNUMBER('Raw Data'!AJ239), IFERROR('Raw Data'!AJ239 = ROUND('Raw Data'!AJ239, 4),FALSE)),"",_xlfn.REGEXEXTRACT(CELL("address",AJ239), "\$([A-Z]+)\$[0-9]+"))),_xlfn.REGEXEXTRACT(CELL("address",AJ239), "\$([A-Z]+)\$[0-9]+"))</f>
        <v/>
      </c>
      <c r="AK239" s="7" t="str">
        <f t="array" aca="1" ref="AK239" ca="1">IFERROR(IF(OR('Raw Data'!AK239="",LEN(TRIM('Raw Data'!AK239))=0),"",IF(AND(ISNUMBER('Raw Data'!AK239), IFERROR('Raw Data'!AK239 = ROUND('Raw Data'!AK239, 2),FALSE)),"",_xlfn.REGEXEXTRACT(CELL("address",AK239), "\$([A-Z]+)\$[0-9]+"))),_xlfn.REGEXEXTRACT(CELL("address",AK239), "\$([A-Z]+)\$[0-9]+"))</f>
        <v/>
      </c>
      <c r="AL239" s="7" t="str">
        <f t="array" aca="1" ref="AL239" ca="1">IFERROR(IF(OR('Raw Data'!AL239="",LEN(TRIM('Raw Data'!AL239))=0),"",IF(AND(ISNUMBER('Raw Data'!AL239), IFERROR('Raw Data'!AL239 = ROUND('Raw Data'!AL239, 2),FALSE)),"",_xlfn.REGEXEXTRACT(CELL("address",AL239), "\$([A-Z]+)\$[0-9]+"))),_xlfn.REGEXEXTRACT(CELL("address",AL239), "\$([A-Z]+)\$[0-9]+"))</f>
        <v/>
      </c>
      <c r="AM239" s="7" t="str">
        <f t="array" aca="1" ref="AM239" ca="1">IFERROR(IF(OR('Raw Data'!AM239="",LEN(TRIM('Raw Data'!AM239))=0),"",IF(AND(ISNUMBER('Raw Data'!AM239), IFERROR('Raw Data'!AM239 = ROUND('Raw Data'!AM239, 2),FALSE)),"",_xlfn.REGEXEXTRACT(CELL("address",AM239), "\$([A-Z]+)\$[0-9]+"))),_xlfn.REGEXEXTRACT(CELL("address",AM239), "\$([A-Z]+)\$[0-9]+"))</f>
        <v/>
      </c>
      <c r="AN239" s="7" t="str">
        <f t="array" aca="1" ref="AN239" ca="1">IFERROR(IF(OR('Raw Data'!AN239="",LEN(TRIM('Raw Data'!AN239))=0),"",IF(AND(ISNUMBER('Raw Data'!AN239), IFERROR('Raw Data'!AN239 = ROUND('Raw Data'!AN239, 2),FALSE)),"",_xlfn.REGEXEXTRACT(CELL("address",AN239), "\$([A-Z]+)\$[0-9]+"))),_xlfn.REGEXEXTRACT(CELL("address",AN239), "\$([A-Z]+)\$[0-9]+"))</f>
        <v/>
      </c>
      <c r="AO239" s="7" t="str">
        <f t="array" aca="1" ref="AO239" ca="1">IFERROR(IF(OR('Raw Data'!AO239="",LEN(TRIM('Raw Data'!AO239))=0),"",IF(AND(ISNUMBER('Raw Data'!AO239), IFERROR('Raw Data'!AO239 = ROUND('Raw Data'!AO239, 2),FALSE)),"",_xlfn.REGEXEXTRACT(CELL("address",AO239), "\$([A-Z]+)\$[0-9]+"))),_xlfn.REGEXEXTRACT(CELL("address",AO239), "\$([A-Z]+)\$[0-9]+"))</f>
        <v/>
      </c>
      <c r="AP239" s="7" t="str">
        <f t="array" aca="1" ref="AP239" ca="1">IFERROR(IF(OR('Raw Data'!AP239="",LEN(TRIM('Raw Data'!AP239))=0),"",IF(AND(ISNUMBER('Raw Data'!AP239), IFERROR('Raw Data'!AP239 = ROUND('Raw Data'!AP239, 2),FALSE)),"",_xlfn.REGEXEXTRACT(CELL("address",AP239), "\$([A-Z]+)\$[0-9]+"))),_xlfn.REGEXEXTRACT(CELL("address",AP239), "\$([A-Z]+)\$[0-9]+"))</f>
        <v/>
      </c>
    </row>
    <row r="240" spans="2:42" x14ac:dyDescent="0.25">
      <c r="B240" s="7" t="str">
        <f t="array" aca="1" ref="B240" ca="1">IFERROR(IF(OR('Raw Data'!B240="",LEN(TRIM('Raw Data'!B240))=0),"",IF(AND(LEN('Raw Data'!B240) &lt;= 255,LEN('Raw Data'!B240)&gt; 0),"",_xlfn.REGEXEXTRACT(CELL("address",'Raw Data'!B240),"\$([A-Z]+)\$[0-9]+"))),_xlfn.REGEXEXTRACT(CELL("address",'Raw Data'!B240),"\$([A-Z]+)\$[0-9]+"))</f>
        <v/>
      </c>
      <c r="C240" s="7" t="str">
        <f t="array" aca="1" ref="C240" ca="1">IFERROR(IF(OR('Raw Data'!C240="",LEN(TRIM('Raw Data'!C240))=0),"",IF(AND(LEN('Raw Data'!C240) &lt;= 50,LEN('Raw Data'!C240)&gt; 0),"",_xlfn.REGEXEXTRACT(CELL("address",'Raw Data'!C240),"\$([A-Z]+)\$[0-9]+"))),_xlfn.REGEXEXTRACT(CELL("address",'Raw Data'!C240),"\$([A-Z]+)\$[0-9]+"))</f>
        <v/>
      </c>
      <c r="D240" s="7" t="str">
        <f t="array" aca="1" ref="D240" ca="1">IFERROR(IF(OR('Raw Data'!D240="",LEN(TRIM('Raw Data'!D240))=0),"",IF(AND(LEN('Raw Data'!D240) &lt;= 500,LEN('Raw Data'!D240)&gt; 0),"",_xlfn.REGEXEXTRACT(CELL("address",'Raw Data'!D240),"\$([A-Z]+)\$[0-9]+"))),_xlfn.REGEXEXTRACT(CELL("address",'Raw Data'!D240),"\$([A-Z]+)\$[0-9]+"))</f>
        <v/>
      </c>
      <c r="E240" s="7" t="str">
        <f t="array" aca="1" ref="E240" ca="1">IFERROR(IF(OR('Raw Data'!E240="",LEN(TRIM('Raw Data'!E240))=0),"",IF(AND(LEN('Raw Data'!E240) &lt;= 50,LEN('Raw Data'!E240)&gt; 0),"",_xlfn.REGEXEXTRACT(CELL("address",'Raw Data'!E240),"\$([A-Z]+)\$[0-9]+"))),_xlfn.REGEXEXTRACT(CELL("address",'Raw Data'!E240),"\$([A-Z]+)\$[0-9]+"))</f>
        <v/>
      </c>
      <c r="F240" s="7" t="str">
        <f t="array" aca="1" ref="F240" ca="1">IFERROR(IF(OR('Raw Data'!F240="",LEN(TRIM('Raw Data'!F240))=0),"",IF(AND(LEN('Raw Data'!F240) &lt;= 50,LEN('Raw Data'!F240)&gt; 0),"",_xlfn.REGEXEXTRACT(CELL("address",'Raw Data'!F240),"\$([A-Z]+)\$[0-9]+"))),_xlfn.REGEXEXTRACT(CELL("address",'Raw Data'!F240),"\$([A-Z]+)\$[0-9]+"))</f>
        <v/>
      </c>
      <c r="G240" s="7" t="str">
        <f t="array" aca="1" ref="G240" ca="1">IFERROR(IF(OR('Raw Data'!G240="",LEN(TRIM('Raw Data'!G240))=0),"",IF(AND(LEN('Raw Data'!G240) &lt;= 50,LEN('Raw Data'!G240)&gt; 0),"",_xlfn.REGEXEXTRACT(CELL("address",'Raw Data'!G240),"\$([A-Z]+)\$[0-9]+"))),_xlfn.REGEXEXTRACT(CELL("address",'Raw Data'!G240),"\$([A-Z]+)\$[0-9]+"))</f>
        <v/>
      </c>
      <c r="H240" s="7" t="str">
        <f t="array" aca="1" ref="H240" ca="1">IFERROR(IF(OR('Raw Data'!H240="",LEN(TRIM('Raw Data'!H240))=0),"",IF(AND(LEN('Raw Data'!H240) &lt;= 50,LEN('Raw Data'!H240)&gt; 0),"",_xlfn.REGEXEXTRACT(CELL("address",'Raw Data'!H240),"\$([A-Z]+)\$[0-9]+"))),_xlfn.REGEXEXTRACT(CELL("address",'Raw Data'!H240),"\$([A-Z]+)\$[0-9]+"))</f>
        <v/>
      </c>
      <c r="I240" s="7" t="str">
        <f t="array" aca="1" ref="I240" ca="1">IFERROR(IF(OR('Raw Data'!I240="",LEN(TRIM('Raw Data'!I240))=0),"",IF(AND(LEN('Raw Data'!I240) &lt;= 50,LEN('Raw Data'!I240)&gt; 0),"",_xlfn.REGEXEXTRACT(CELL("address",'Raw Data'!I240),"\$([A-Z]+)\$[0-9]+"))),_xlfn.REGEXEXTRACT(CELL("address",'Raw Data'!I240),"\$([A-Z]+)\$[0-9]+"))</f>
        <v/>
      </c>
      <c r="J240" s="7" t="str">
        <f t="array" aca="1" ref="J240" ca="1">IFERROR(IF(OR('Raw Data'!J240="",LEN(TRIM('Raw Data'!J240))=0),"",IF(AND(ISNUMBER('Raw Data'!J240), IFERROR('Raw Data'!J240 = ROUND('Raw Data'!J240, 2),FALSE)),"",_xlfn.REGEXEXTRACT(CELL("address",J240), "\$([A-Z]+)\$[0-9]+"))),_xlfn.REGEXEXTRACT(CELL("address",J240), "\$([A-Z]+)\$[0-9]+"))</f>
        <v/>
      </c>
      <c r="K240" s="7" t="str">
        <f t="array" aca="1" ref="K240" ca="1">IFERROR(IF(OR('Raw Data'!K240="",LEN(TRIM('Raw Data'!K240))=0),"",IF(AND(ISNUMBER('Raw Data'!K240), IFERROR('Raw Data'!K240 = ROUND('Raw Data'!K240, 2),FALSE)),"",_xlfn.REGEXEXTRACT(CELL("address",K240), "\$([A-Z]+)\$[0-9]+"))),_xlfn.REGEXEXTRACT(CELL("address",K240), "\$([A-Z]+)\$[0-9]+"))</f>
        <v/>
      </c>
      <c r="L240" s="7" t="str">
        <f t="array" aca="1" ref="L240" ca="1">IFERROR(IF(OR('Raw Data'!L240="",LEN(TRIM('Raw Data'!L240))=0),"",IF(AND(ISNUMBER('Raw Data'!L240), IFERROR('Raw Data'!L240 = ROUND('Raw Data'!L240, 2),FALSE)),"",_xlfn.REGEXEXTRACT(CELL("address",L240), "\$([A-Z]+)\$[0-9]+"))),_xlfn.REGEXEXTRACT(CELL("address",L240), "\$([A-Z]+)\$[0-9]+"))</f>
        <v/>
      </c>
      <c r="M240" s="7" t="str">
        <f t="array" aca="1" ref="M240" ca="1">IFERROR(IF(OR('Raw Data'!M240="",LEN(TRIM('Raw Data'!M240))=0),"",IF(AND(ISNUMBER('Raw Data'!M240), IFERROR('Raw Data'!M240 = ROUND('Raw Data'!M240, 2),FALSE)),"",_xlfn.REGEXEXTRACT(CELL("address",M240), "\$([A-Z]+)\$[0-9]+"))),_xlfn.REGEXEXTRACT(CELL("address",M240), "\$([A-Z]+)\$[0-9]+"))</f>
        <v/>
      </c>
      <c r="N240" s="7" t="str">
        <f t="array" aca="1" ref="N240" ca="1">IFERROR(IF(OR('Raw Data'!N240="",LEN(TRIM('Raw Data'!N240))=0),"",IF(AND(ISNUMBER('Raw Data'!N240), IFERROR('Raw Data'!N240 = ROUND('Raw Data'!N240, 2),FALSE)),"",_xlfn.REGEXEXTRACT(CELL("address",N240), "\$([A-Z]+)\$[0-9]+"))),_xlfn.REGEXEXTRACT(CELL("address",N240), "\$([A-Z]+)\$[0-9]+"))</f>
        <v/>
      </c>
      <c r="O240" s="7" t="str">
        <f t="array" aca="1" ref="O240" ca="1">IFERROR(IF(OR('Raw Data'!O240="",LEN(TRIM('Raw Data'!O240))=0),"",IF(AND(ISNUMBER('Raw Data'!O240),'Raw Data'!O240&gt;=Configuration!$D$2),"",_xlfn.REGEXEXTRACT(CELL("address",'Raw Data'!O240),"\$([A-Z]+)\$[0-9]+"))),_xlfn.REGEXEXTRACT(CELL("address",O240), "\$([A-Z]+)\$[0-9]+"))</f>
        <v/>
      </c>
      <c r="P240" s="7" t="str">
        <f t="array" aca="1" ref="P240" ca="1">IFERROR(IF(OR('Raw Data'!P240="",LEN(TRIM('Raw Data'!P240))=0),"",IF(AND(ISNUMBER('Raw Data'!P240), IFERROR('Raw Data'!P240 = ROUND('Raw Data'!P240, 2),FALSE)),"",_xlfn.REGEXEXTRACT(CELL("address",P240), "\$([A-Z]+)\$[0-9]+"))),_xlfn.REGEXEXTRACT(CELL("address",P240), "\$([A-Z]+)\$[0-9]+"))</f>
        <v/>
      </c>
      <c r="Q240" s="7" t="str">
        <f t="array" aca="1" ref="Q240" ca="1">IFERROR(IF(OR('Raw Data'!Q240="",LEN(TRIM('Raw Data'!Q240))=0),"",IF(AND(ISNUMBER('Raw Data'!Q240), IFERROR('Raw Data'!Q240 = ROUND('Raw Data'!Q240, 2),FALSE)),"",_xlfn.REGEXEXTRACT(CELL("address",Q240), "\$([A-Z]+)\$[0-9]+"))),_xlfn.REGEXEXTRACT(CELL("address",Q240), "\$([A-Z]+)\$[0-9]+"))</f>
        <v/>
      </c>
      <c r="R240" s="7" t="str">
        <f t="array" aca="1" ref="R240" ca="1">IFERROR(IF(OR('Raw Data'!R240="",LEN(TRIM('Raw Data'!R240))=0),"",IF(AND(LEN('Raw Data'!R240) &lt;= 50,LEN('Raw Data'!R240)&gt; 0),"",_xlfn.REGEXEXTRACT(CELL("address",'Raw Data'!R240),"\$([A-Z]+)\$[0-9]+"))),_xlfn.REGEXEXTRACT(CELL("address",'Raw Data'!R240),"\$([A-Z]+)\$[0-9]+"))</f>
        <v/>
      </c>
      <c r="S240" s="7" t="str">
        <f t="array" aca="1" ref="S240" ca="1">IFERROR(IF(OR('Raw Data'!S240="",LEN(TRIM('Raw Data'!S240))=0),"",IF(AND(LEN('Raw Data'!S240) &lt;= 50,LEN('Raw Data'!S240)&gt; 0),"",_xlfn.REGEXEXTRACT(CELL("address",'Raw Data'!S240),"\$([A-Z]+)\$[0-9]+"))),_xlfn.REGEXEXTRACT(CELL("address",'Raw Data'!S240),"\$([A-Z]+)\$[0-9]+"))</f>
        <v/>
      </c>
      <c r="T240" s="7" t="str">
        <f t="array" aca="1" ref="T240" ca="1">IFERROR(IF(OR('Raw Data'!T240="",LEN(TRIM('Raw Data'!T240))=0),"",IF(AND(ISNUMBER('Raw Data'!T240), IFERROR('Raw Data'!T240 = ROUND('Raw Data'!T240, 2),FALSE)),"",_xlfn.REGEXEXTRACT(CELL("address",T240), "\$([A-Z]+)\$[0-9]+"))),_xlfn.REGEXEXTRACT(CELL("address",T240), "\$([A-Z]+)\$[0-9]+"))</f>
        <v/>
      </c>
      <c r="U240" s="7" t="str">
        <f t="array" aca="1" ref="U240" ca="1">IFERROR(IF(OR('Raw Data'!U240="",LEN(TRIM('Raw Data'!U240))=0),"",IF(AND(ISNUMBER('Raw Data'!U240), IFERROR('Raw Data'!U240 = ROUND('Raw Data'!U240, 2),FALSE)),"",_xlfn.REGEXEXTRACT(CELL("address",U240), "\$([A-Z]+)\$[0-9]+"))),_xlfn.REGEXEXTRACT(CELL("address",U240), "\$([A-Z]+)\$[0-9]+"))</f>
        <v/>
      </c>
      <c r="V240" s="7" t="str">
        <f t="array" aca="1" ref="V240" ca="1">IFERROR(IF(OR('Raw Data'!V240="",LEN(TRIM('Raw Data'!V240))=0),"",IF(AND(ISNUMBER('Raw Data'!V240), IFERROR('Raw Data'!V240 = ROUND('Raw Data'!V240, 2),FALSE)),"",_xlfn.REGEXEXTRACT(CELL("address",V240), "\$([A-Z]+)\$[0-9]+"))),_xlfn.REGEXEXTRACT(CELL("address",V240), "\$([A-Z]+)\$[0-9]+"))</f>
        <v/>
      </c>
      <c r="W240" s="7" t="str">
        <f t="array" aca="1" ref="W240" ca="1">IFERROR(IF(OR('Raw Data'!W240="",LEN(TRIM('Raw Data'!W240))=0),"",IF(AND(ISNUMBER('Raw Data'!W240), IFERROR('Raw Data'!W240 = ROUND('Raw Data'!W240, 2),FALSE)),"",_xlfn.REGEXEXTRACT(CELL("address",W240), "\$([A-Z]+)\$[0-9]+"))),_xlfn.REGEXEXTRACT(CELL("address",W240), "\$([A-Z]+)\$[0-9]+"))</f>
        <v/>
      </c>
      <c r="X240" s="7" t="str">
        <f t="array" aca="1" ref="X240" ca="1">IFERROR(IF(OR('Raw Data'!X240="",LEN(TRIM('Raw Data'!X240))=0),"",IF(AND(ISNUMBER('Raw Data'!X240), IFERROR('Raw Data'!X240 = ROUND('Raw Data'!X240, 2),FALSE)),"",_xlfn.REGEXEXTRACT(CELL("address",X240), "\$([A-Z]+)\$[0-9]+"))),_xlfn.REGEXEXTRACT(CELL("address",X240), "\$([A-Z]+)\$[0-9]+"))</f>
        <v/>
      </c>
      <c r="Y240" s="7" t="str">
        <f t="array" aca="1" ref="Y240" ca="1">IFERROR(IF(OR('Raw Data'!Y240="",LEN(TRIM('Raw Data'!Y240))=0),"",IF(AND(ISNUMBER('Raw Data'!Y240), IFERROR('Raw Data'!Y240 = ROUND('Raw Data'!Y240, 2),FALSE)),"",_xlfn.REGEXEXTRACT(CELL("address",Y240), "\$([A-Z]+)\$[0-9]+"))),_xlfn.REGEXEXTRACT(CELL("address",Y240), "\$([A-Z]+)\$[0-9]+"))</f>
        <v/>
      </c>
      <c r="Z240" s="7" t="str">
        <f t="array" aca="1" ref="Z240" ca="1">IFERROR(IF(OR('Raw Data'!Z240="",LEN(TRIM('Raw Data'!Z240))=0),"",IF(AND(ISNUMBER('Raw Data'!Z240), IFERROR('Raw Data'!Z240 = ROUND('Raw Data'!Z240, 2),FALSE)),"",_xlfn.REGEXEXTRACT(CELL("address",Z240), "\$([A-Z]+)\$[0-9]+"))),_xlfn.REGEXEXTRACT(CELL("address",Z240), "\$([A-Z]+)\$[0-9]+"))</f>
        <v/>
      </c>
      <c r="AA240" s="7" t="str">
        <f t="array" aca="1" ref="AA240" ca="1">IFERROR(IF(OR('Raw Data'!AA240="",LEN(TRIM('Raw Data'!AA240))=0),"",IF(AND(ISNUMBER('Raw Data'!AA240), IFERROR('Raw Data'!AA240 = ROUND('Raw Data'!AA240, 2),FALSE)),"",_xlfn.REGEXEXTRACT(CELL("address",AA240), "\$([A-Z]+)\$[0-9]+"))),_xlfn.REGEXEXTRACT(CELL("address",AA240), "\$([A-Z]+)\$[0-9]+"))</f>
        <v/>
      </c>
      <c r="AB240" s="7" t="str">
        <f t="array" aca="1" ref="AB240" ca="1">IFERROR(IF(OR('Raw Data'!AB240="",LEN(TRIM('Raw Data'!AB240))=0),"",IF(AND(ISNUMBER('Raw Data'!AB240), IFERROR('Raw Data'!AB240 = ROUND('Raw Data'!AB240, 2),FALSE)),"",_xlfn.REGEXEXTRACT(CELL("address",AB240), "\$([A-Z]+)\$[0-9]+"))),_xlfn.REGEXEXTRACT(CELL("address",AB240), "\$([A-Z]+)\$[0-9]+"))</f>
        <v/>
      </c>
      <c r="AC240" s="7" t="str">
        <f t="array" aca="1" ref="AC240" ca="1">IFERROR(IF(OR('Raw Data'!AC240="",LEN(TRIM('Raw Data'!AC240))=0),"",IF(AND(ISNUMBER('Raw Data'!AC240), IFERROR('Raw Data'!AC240 = ROUND('Raw Data'!AC240, 2),FALSE)),"",_xlfn.REGEXEXTRACT(CELL("address",AC240), "\$([A-Z]+)\$[0-9]+"))),_xlfn.REGEXEXTRACT(CELL("address",AC240), "\$([A-Z]+)\$[0-9]+"))</f>
        <v/>
      </c>
      <c r="AD240" s="7" t="str">
        <f t="array" aca="1" ref="AD240" ca="1">IFERROR(IF(OR('Raw Data'!AD240="",LEN(TRIM('Raw Data'!AD240))=0),"",IF(AND(ISNUMBER('Raw Data'!AD240), IFERROR('Raw Data'!AD240 = ROUND('Raw Data'!AD240, 2),FALSE)),"",_xlfn.REGEXEXTRACT(CELL("address",AD240), "\$([A-Z]+)\$[0-9]+"))),_xlfn.REGEXEXTRACT(CELL("address",AD240), "\$([A-Z]+)\$[0-9]+"))</f>
        <v/>
      </c>
      <c r="AE240" s="7" t="str">
        <f t="array" aca="1" ref="AE240" ca="1">IFERROR(IF(OR('Raw Data'!AE240="",LEN(TRIM('Raw Data'!AE240))=0),"",IF(AND(ISNUMBER('Raw Data'!AE240), IFERROR('Raw Data'!AE240 = ROUND('Raw Data'!AE240, 2),FALSE)),"",_xlfn.REGEXEXTRACT(CELL("address",AE240), "\$([A-Z]+)\$[0-9]+"))),_xlfn.REGEXEXTRACT(CELL("address",AE240), "\$([A-Z]+)\$[0-9]+"))</f>
        <v/>
      </c>
      <c r="AF240" s="7" t="str">
        <f t="array" aca="1" ref="AF240" ca="1">IFERROR(IF(OR('Raw Data'!AF240="",LEN(TRIM('Raw Data'!AF240))=0),"",IF(AND(ISNUMBER('Raw Data'!AF240), IFERROR('Raw Data'!AF240 = ROUND('Raw Data'!AF240, 2),FALSE)),"",_xlfn.REGEXEXTRACT(CELL("address",AF240), "\$([A-Z]+)\$[0-9]+"))),_xlfn.REGEXEXTRACT(CELL("address",AF240), "\$([A-Z]+)\$[0-9]+"))</f>
        <v/>
      </c>
      <c r="AG240" s="7" t="str">
        <f t="array" aca="1" ref="AG240" ca="1">IFERROR(IF(OR('Raw Data'!AG240="",LEN(TRIM('Raw Data'!AG240))=0),"",IF(AND(ISNUMBER('Raw Data'!AG240), IFERROR('Raw Data'!AG240 = ROUND('Raw Data'!AG240, 2),FALSE)),"",_xlfn.REGEXEXTRACT(CELL("address",AG240), "\$([A-Z]+)\$[0-9]+"))),_xlfn.REGEXEXTRACT(CELL("address",AG240), "\$([A-Z]+)\$[0-9]+"))</f>
        <v/>
      </c>
      <c r="AH240" s="7" t="str">
        <f t="array" aca="1" ref="AH240" ca="1">IFERROR(IF(OR('Raw Data'!AH240="",LEN(TRIM('Raw Data'!AH240))=0),"",IF(AND(ISNUMBER('Raw Data'!AH240), IFERROR('Raw Data'!AH240 = ROUND('Raw Data'!AH240, 2),FALSE)),"",_xlfn.REGEXEXTRACT(CELL("address",AH240), "\$([A-Z]+)\$[0-9]+"))),_xlfn.REGEXEXTRACT(CELL("address",AH240), "\$([A-Z]+)\$[0-9]+"))</f>
        <v/>
      </c>
      <c r="AI240" s="7" t="str">
        <f t="array" aca="1" ref="AI240" ca="1">IFERROR(IF(OR('Raw Data'!AI240="",LEN(TRIM('Raw Data'!AI240))=0),"",IF(AND(ISNUMBER('Raw Data'!AI240), IFERROR('Raw Data'!AI240 = ROUND('Raw Data'!AI240, 2),FALSE)),"",_xlfn.REGEXEXTRACT(CELL("address",AI240), "\$([A-Z]+)\$[0-9]+"))),_xlfn.REGEXEXTRACT(CELL("address",AI240), "\$([A-Z]+)\$[0-9]+"))</f>
        <v/>
      </c>
      <c r="AJ240" s="7" t="str">
        <f t="array" aca="1" ref="AJ240" ca="1">IFERROR(IF(OR('Raw Data'!AJ240="",LEN(TRIM('Raw Data'!AJ240))=0),"",IF(AND(ISNUMBER('Raw Data'!AJ240), IFERROR('Raw Data'!AJ240 = ROUND('Raw Data'!AJ240, 4),FALSE)),"",_xlfn.REGEXEXTRACT(CELL("address",AJ240), "\$([A-Z]+)\$[0-9]+"))),_xlfn.REGEXEXTRACT(CELL("address",AJ240), "\$([A-Z]+)\$[0-9]+"))</f>
        <v/>
      </c>
      <c r="AK240" s="7" t="str">
        <f t="array" aca="1" ref="AK240" ca="1">IFERROR(IF(OR('Raw Data'!AK240="",LEN(TRIM('Raw Data'!AK240))=0),"",IF(AND(ISNUMBER('Raw Data'!AK240), IFERROR('Raw Data'!AK240 = ROUND('Raw Data'!AK240, 2),FALSE)),"",_xlfn.REGEXEXTRACT(CELL("address",AK240), "\$([A-Z]+)\$[0-9]+"))),_xlfn.REGEXEXTRACT(CELL("address",AK240), "\$([A-Z]+)\$[0-9]+"))</f>
        <v/>
      </c>
      <c r="AL240" s="7" t="str">
        <f t="array" aca="1" ref="AL240" ca="1">IFERROR(IF(OR('Raw Data'!AL240="",LEN(TRIM('Raw Data'!AL240))=0),"",IF(AND(ISNUMBER('Raw Data'!AL240), IFERROR('Raw Data'!AL240 = ROUND('Raw Data'!AL240, 2),FALSE)),"",_xlfn.REGEXEXTRACT(CELL("address",AL240), "\$([A-Z]+)\$[0-9]+"))),_xlfn.REGEXEXTRACT(CELL("address",AL240), "\$([A-Z]+)\$[0-9]+"))</f>
        <v/>
      </c>
      <c r="AM240" s="7" t="str">
        <f t="array" aca="1" ref="AM240" ca="1">IFERROR(IF(OR('Raw Data'!AM240="",LEN(TRIM('Raw Data'!AM240))=0),"",IF(AND(ISNUMBER('Raw Data'!AM240), IFERROR('Raw Data'!AM240 = ROUND('Raw Data'!AM240, 2),FALSE)),"",_xlfn.REGEXEXTRACT(CELL("address",AM240), "\$([A-Z]+)\$[0-9]+"))),_xlfn.REGEXEXTRACT(CELL("address",AM240), "\$([A-Z]+)\$[0-9]+"))</f>
        <v/>
      </c>
      <c r="AN240" s="7" t="str">
        <f t="array" aca="1" ref="AN240" ca="1">IFERROR(IF(OR('Raw Data'!AN240="",LEN(TRIM('Raw Data'!AN240))=0),"",IF(AND(ISNUMBER('Raw Data'!AN240), IFERROR('Raw Data'!AN240 = ROUND('Raw Data'!AN240, 2),FALSE)),"",_xlfn.REGEXEXTRACT(CELL("address",AN240), "\$([A-Z]+)\$[0-9]+"))),_xlfn.REGEXEXTRACT(CELL("address",AN240), "\$([A-Z]+)\$[0-9]+"))</f>
        <v/>
      </c>
      <c r="AO240" s="7" t="str">
        <f t="array" aca="1" ref="AO240" ca="1">IFERROR(IF(OR('Raw Data'!AO240="",LEN(TRIM('Raw Data'!AO240))=0),"",IF(AND(ISNUMBER('Raw Data'!AO240), IFERROR('Raw Data'!AO240 = ROUND('Raw Data'!AO240, 2),FALSE)),"",_xlfn.REGEXEXTRACT(CELL("address",AO240), "\$([A-Z]+)\$[0-9]+"))),_xlfn.REGEXEXTRACT(CELL("address",AO240), "\$([A-Z]+)\$[0-9]+"))</f>
        <v/>
      </c>
      <c r="AP240" s="7" t="str">
        <f t="array" aca="1" ref="AP240" ca="1">IFERROR(IF(OR('Raw Data'!AP240="",LEN(TRIM('Raw Data'!AP240))=0),"",IF(AND(ISNUMBER('Raw Data'!AP240), IFERROR('Raw Data'!AP240 = ROUND('Raw Data'!AP240, 2),FALSE)),"",_xlfn.REGEXEXTRACT(CELL("address",AP240), "\$([A-Z]+)\$[0-9]+"))),_xlfn.REGEXEXTRACT(CELL("address",AP240), "\$([A-Z]+)\$[0-9]+"))</f>
        <v/>
      </c>
    </row>
    <row r="241" spans="2:42" x14ac:dyDescent="0.25">
      <c r="B241" s="7" t="str">
        <f t="array" aca="1" ref="B241" ca="1">IFERROR(IF(OR('Raw Data'!B241="",LEN(TRIM('Raw Data'!B241))=0),"",IF(AND(LEN('Raw Data'!B241) &lt;= 255,LEN('Raw Data'!B241)&gt; 0),"",_xlfn.REGEXEXTRACT(CELL("address",'Raw Data'!B241),"\$([A-Z]+)\$[0-9]+"))),_xlfn.REGEXEXTRACT(CELL("address",'Raw Data'!B241),"\$([A-Z]+)\$[0-9]+"))</f>
        <v/>
      </c>
      <c r="C241" s="7" t="str">
        <f t="array" aca="1" ref="C241" ca="1">IFERROR(IF(OR('Raw Data'!C241="",LEN(TRIM('Raw Data'!C241))=0),"",IF(AND(LEN('Raw Data'!C241) &lt;= 50,LEN('Raw Data'!C241)&gt; 0),"",_xlfn.REGEXEXTRACT(CELL("address",'Raw Data'!C241),"\$([A-Z]+)\$[0-9]+"))),_xlfn.REGEXEXTRACT(CELL("address",'Raw Data'!C241),"\$([A-Z]+)\$[0-9]+"))</f>
        <v/>
      </c>
      <c r="D241" s="7" t="str">
        <f t="array" aca="1" ref="D241" ca="1">IFERROR(IF(OR('Raw Data'!D241="",LEN(TRIM('Raw Data'!D241))=0),"",IF(AND(LEN('Raw Data'!D241) &lt;= 500,LEN('Raw Data'!D241)&gt; 0),"",_xlfn.REGEXEXTRACT(CELL("address",'Raw Data'!D241),"\$([A-Z]+)\$[0-9]+"))),_xlfn.REGEXEXTRACT(CELL("address",'Raw Data'!D241),"\$([A-Z]+)\$[0-9]+"))</f>
        <v/>
      </c>
      <c r="E241" s="7" t="str">
        <f t="array" aca="1" ref="E241" ca="1">IFERROR(IF(OR('Raw Data'!E241="",LEN(TRIM('Raw Data'!E241))=0),"",IF(AND(LEN('Raw Data'!E241) &lt;= 50,LEN('Raw Data'!E241)&gt; 0),"",_xlfn.REGEXEXTRACT(CELL("address",'Raw Data'!E241),"\$([A-Z]+)\$[0-9]+"))),_xlfn.REGEXEXTRACT(CELL("address",'Raw Data'!E241),"\$([A-Z]+)\$[0-9]+"))</f>
        <v/>
      </c>
      <c r="F241" s="7" t="str">
        <f t="array" aca="1" ref="F241" ca="1">IFERROR(IF(OR('Raw Data'!F241="",LEN(TRIM('Raw Data'!F241))=0),"",IF(AND(LEN('Raw Data'!F241) &lt;= 50,LEN('Raw Data'!F241)&gt; 0),"",_xlfn.REGEXEXTRACT(CELL("address",'Raw Data'!F241),"\$([A-Z]+)\$[0-9]+"))),_xlfn.REGEXEXTRACT(CELL("address",'Raw Data'!F241),"\$([A-Z]+)\$[0-9]+"))</f>
        <v/>
      </c>
      <c r="G241" s="7" t="str">
        <f t="array" aca="1" ref="G241" ca="1">IFERROR(IF(OR('Raw Data'!G241="",LEN(TRIM('Raw Data'!G241))=0),"",IF(AND(LEN('Raw Data'!G241) &lt;= 50,LEN('Raw Data'!G241)&gt; 0),"",_xlfn.REGEXEXTRACT(CELL("address",'Raw Data'!G241),"\$([A-Z]+)\$[0-9]+"))),_xlfn.REGEXEXTRACT(CELL("address",'Raw Data'!G241),"\$([A-Z]+)\$[0-9]+"))</f>
        <v/>
      </c>
      <c r="H241" s="7" t="str">
        <f t="array" aca="1" ref="H241" ca="1">IFERROR(IF(OR('Raw Data'!H241="",LEN(TRIM('Raw Data'!H241))=0),"",IF(AND(LEN('Raw Data'!H241) &lt;= 50,LEN('Raw Data'!H241)&gt; 0),"",_xlfn.REGEXEXTRACT(CELL("address",'Raw Data'!H241),"\$([A-Z]+)\$[0-9]+"))),_xlfn.REGEXEXTRACT(CELL("address",'Raw Data'!H241),"\$([A-Z]+)\$[0-9]+"))</f>
        <v/>
      </c>
      <c r="I241" s="7" t="str">
        <f t="array" aca="1" ref="I241" ca="1">IFERROR(IF(OR('Raw Data'!I241="",LEN(TRIM('Raw Data'!I241))=0),"",IF(AND(LEN('Raw Data'!I241) &lt;= 50,LEN('Raw Data'!I241)&gt; 0),"",_xlfn.REGEXEXTRACT(CELL("address",'Raw Data'!I241),"\$([A-Z]+)\$[0-9]+"))),_xlfn.REGEXEXTRACT(CELL("address",'Raw Data'!I241),"\$([A-Z]+)\$[0-9]+"))</f>
        <v/>
      </c>
      <c r="J241" s="7" t="str">
        <f t="array" aca="1" ref="J241" ca="1">IFERROR(IF(OR('Raw Data'!J241="",LEN(TRIM('Raw Data'!J241))=0),"",IF(AND(ISNUMBER('Raw Data'!J241), IFERROR('Raw Data'!J241 = ROUND('Raw Data'!J241, 2),FALSE)),"",_xlfn.REGEXEXTRACT(CELL("address",J241), "\$([A-Z]+)\$[0-9]+"))),_xlfn.REGEXEXTRACT(CELL("address",J241), "\$([A-Z]+)\$[0-9]+"))</f>
        <v/>
      </c>
      <c r="K241" s="7" t="str">
        <f t="array" aca="1" ref="K241" ca="1">IFERROR(IF(OR('Raw Data'!K241="",LEN(TRIM('Raw Data'!K241))=0),"",IF(AND(ISNUMBER('Raw Data'!K241), IFERROR('Raw Data'!K241 = ROUND('Raw Data'!K241, 2),FALSE)),"",_xlfn.REGEXEXTRACT(CELL("address",K241), "\$([A-Z]+)\$[0-9]+"))),_xlfn.REGEXEXTRACT(CELL("address",K241), "\$([A-Z]+)\$[0-9]+"))</f>
        <v/>
      </c>
      <c r="L241" s="7" t="str">
        <f t="array" aca="1" ref="L241" ca="1">IFERROR(IF(OR('Raw Data'!L241="",LEN(TRIM('Raw Data'!L241))=0),"",IF(AND(ISNUMBER('Raw Data'!L241), IFERROR('Raw Data'!L241 = ROUND('Raw Data'!L241, 2),FALSE)),"",_xlfn.REGEXEXTRACT(CELL("address",L241), "\$([A-Z]+)\$[0-9]+"))),_xlfn.REGEXEXTRACT(CELL("address",L241), "\$([A-Z]+)\$[0-9]+"))</f>
        <v/>
      </c>
      <c r="M241" s="7" t="str">
        <f t="array" aca="1" ref="M241" ca="1">IFERROR(IF(OR('Raw Data'!M241="",LEN(TRIM('Raw Data'!M241))=0),"",IF(AND(ISNUMBER('Raw Data'!M241), IFERROR('Raw Data'!M241 = ROUND('Raw Data'!M241, 2),FALSE)),"",_xlfn.REGEXEXTRACT(CELL("address",M241), "\$([A-Z]+)\$[0-9]+"))),_xlfn.REGEXEXTRACT(CELL("address",M241), "\$([A-Z]+)\$[0-9]+"))</f>
        <v/>
      </c>
      <c r="N241" s="7" t="str">
        <f t="array" aca="1" ref="N241" ca="1">IFERROR(IF(OR('Raw Data'!N241="",LEN(TRIM('Raw Data'!N241))=0),"",IF(AND(ISNUMBER('Raw Data'!N241), IFERROR('Raw Data'!N241 = ROUND('Raw Data'!N241, 2),FALSE)),"",_xlfn.REGEXEXTRACT(CELL("address",N241), "\$([A-Z]+)\$[0-9]+"))),_xlfn.REGEXEXTRACT(CELL("address",N241), "\$([A-Z]+)\$[0-9]+"))</f>
        <v/>
      </c>
      <c r="O241" s="7" t="str">
        <f t="array" aca="1" ref="O241" ca="1">IFERROR(IF(OR('Raw Data'!O241="",LEN(TRIM('Raw Data'!O241))=0),"",IF(AND(ISNUMBER('Raw Data'!O241),'Raw Data'!O241&gt;=Configuration!$D$2),"",_xlfn.REGEXEXTRACT(CELL("address",'Raw Data'!O241),"\$([A-Z]+)\$[0-9]+"))),_xlfn.REGEXEXTRACT(CELL("address",O241), "\$([A-Z]+)\$[0-9]+"))</f>
        <v/>
      </c>
      <c r="P241" s="7" t="str">
        <f t="array" aca="1" ref="P241" ca="1">IFERROR(IF(OR('Raw Data'!P241="",LEN(TRIM('Raw Data'!P241))=0),"",IF(AND(ISNUMBER('Raw Data'!P241), IFERROR('Raw Data'!P241 = ROUND('Raw Data'!P241, 2),FALSE)),"",_xlfn.REGEXEXTRACT(CELL("address",P241), "\$([A-Z]+)\$[0-9]+"))),_xlfn.REGEXEXTRACT(CELL("address",P241), "\$([A-Z]+)\$[0-9]+"))</f>
        <v/>
      </c>
      <c r="Q241" s="7" t="str">
        <f t="array" aca="1" ref="Q241" ca="1">IFERROR(IF(OR('Raw Data'!Q241="",LEN(TRIM('Raw Data'!Q241))=0),"",IF(AND(ISNUMBER('Raw Data'!Q241), IFERROR('Raw Data'!Q241 = ROUND('Raw Data'!Q241, 2),FALSE)),"",_xlfn.REGEXEXTRACT(CELL("address",Q241), "\$([A-Z]+)\$[0-9]+"))),_xlfn.REGEXEXTRACT(CELL("address",Q241), "\$([A-Z]+)\$[0-9]+"))</f>
        <v/>
      </c>
      <c r="R241" s="7" t="str">
        <f t="array" aca="1" ref="R241" ca="1">IFERROR(IF(OR('Raw Data'!R241="",LEN(TRIM('Raw Data'!R241))=0),"",IF(AND(LEN('Raw Data'!R241) &lt;= 50,LEN('Raw Data'!R241)&gt; 0),"",_xlfn.REGEXEXTRACT(CELL("address",'Raw Data'!R241),"\$([A-Z]+)\$[0-9]+"))),_xlfn.REGEXEXTRACT(CELL("address",'Raw Data'!R241),"\$([A-Z]+)\$[0-9]+"))</f>
        <v/>
      </c>
      <c r="S241" s="7" t="str">
        <f t="array" aca="1" ref="S241" ca="1">IFERROR(IF(OR('Raw Data'!S241="",LEN(TRIM('Raw Data'!S241))=0),"",IF(AND(LEN('Raw Data'!S241) &lt;= 50,LEN('Raw Data'!S241)&gt; 0),"",_xlfn.REGEXEXTRACT(CELL("address",'Raw Data'!S241),"\$([A-Z]+)\$[0-9]+"))),_xlfn.REGEXEXTRACT(CELL("address",'Raw Data'!S241),"\$([A-Z]+)\$[0-9]+"))</f>
        <v/>
      </c>
      <c r="T241" s="7" t="str">
        <f t="array" aca="1" ref="T241" ca="1">IFERROR(IF(OR('Raw Data'!T241="",LEN(TRIM('Raw Data'!T241))=0),"",IF(AND(ISNUMBER('Raw Data'!T241), IFERROR('Raw Data'!T241 = ROUND('Raw Data'!T241, 2),FALSE)),"",_xlfn.REGEXEXTRACT(CELL("address",T241), "\$([A-Z]+)\$[0-9]+"))),_xlfn.REGEXEXTRACT(CELL("address",T241), "\$([A-Z]+)\$[0-9]+"))</f>
        <v/>
      </c>
      <c r="U241" s="7" t="str">
        <f t="array" aca="1" ref="U241" ca="1">IFERROR(IF(OR('Raw Data'!U241="",LEN(TRIM('Raw Data'!U241))=0),"",IF(AND(ISNUMBER('Raw Data'!U241), IFERROR('Raw Data'!U241 = ROUND('Raw Data'!U241, 2),FALSE)),"",_xlfn.REGEXEXTRACT(CELL("address",U241), "\$([A-Z]+)\$[0-9]+"))),_xlfn.REGEXEXTRACT(CELL("address",U241), "\$([A-Z]+)\$[0-9]+"))</f>
        <v/>
      </c>
      <c r="V241" s="7" t="str">
        <f t="array" aca="1" ref="V241" ca="1">IFERROR(IF(OR('Raw Data'!V241="",LEN(TRIM('Raw Data'!V241))=0),"",IF(AND(ISNUMBER('Raw Data'!V241), IFERROR('Raw Data'!V241 = ROUND('Raw Data'!V241, 2),FALSE)),"",_xlfn.REGEXEXTRACT(CELL("address",V241), "\$([A-Z]+)\$[0-9]+"))),_xlfn.REGEXEXTRACT(CELL("address",V241), "\$([A-Z]+)\$[0-9]+"))</f>
        <v/>
      </c>
      <c r="W241" s="7" t="str">
        <f t="array" aca="1" ref="W241" ca="1">IFERROR(IF(OR('Raw Data'!W241="",LEN(TRIM('Raw Data'!W241))=0),"",IF(AND(ISNUMBER('Raw Data'!W241), IFERROR('Raw Data'!W241 = ROUND('Raw Data'!W241, 2),FALSE)),"",_xlfn.REGEXEXTRACT(CELL("address",W241), "\$([A-Z]+)\$[0-9]+"))),_xlfn.REGEXEXTRACT(CELL("address",W241), "\$([A-Z]+)\$[0-9]+"))</f>
        <v/>
      </c>
      <c r="X241" s="7" t="str">
        <f t="array" aca="1" ref="X241" ca="1">IFERROR(IF(OR('Raw Data'!X241="",LEN(TRIM('Raw Data'!X241))=0),"",IF(AND(ISNUMBER('Raw Data'!X241), IFERROR('Raw Data'!X241 = ROUND('Raw Data'!X241, 2),FALSE)),"",_xlfn.REGEXEXTRACT(CELL("address",X241), "\$([A-Z]+)\$[0-9]+"))),_xlfn.REGEXEXTRACT(CELL("address",X241), "\$([A-Z]+)\$[0-9]+"))</f>
        <v/>
      </c>
      <c r="Y241" s="7" t="str">
        <f t="array" aca="1" ref="Y241" ca="1">IFERROR(IF(OR('Raw Data'!Y241="",LEN(TRIM('Raw Data'!Y241))=0),"",IF(AND(ISNUMBER('Raw Data'!Y241), IFERROR('Raw Data'!Y241 = ROUND('Raw Data'!Y241, 2),FALSE)),"",_xlfn.REGEXEXTRACT(CELL("address",Y241), "\$([A-Z]+)\$[0-9]+"))),_xlfn.REGEXEXTRACT(CELL("address",Y241), "\$([A-Z]+)\$[0-9]+"))</f>
        <v/>
      </c>
      <c r="Z241" s="7" t="str">
        <f t="array" aca="1" ref="Z241" ca="1">IFERROR(IF(OR('Raw Data'!Z241="",LEN(TRIM('Raw Data'!Z241))=0),"",IF(AND(ISNUMBER('Raw Data'!Z241), IFERROR('Raw Data'!Z241 = ROUND('Raw Data'!Z241, 2),FALSE)),"",_xlfn.REGEXEXTRACT(CELL("address",Z241), "\$([A-Z]+)\$[0-9]+"))),_xlfn.REGEXEXTRACT(CELL("address",Z241), "\$([A-Z]+)\$[0-9]+"))</f>
        <v/>
      </c>
      <c r="AA241" s="7" t="str">
        <f t="array" aca="1" ref="AA241" ca="1">IFERROR(IF(OR('Raw Data'!AA241="",LEN(TRIM('Raw Data'!AA241))=0),"",IF(AND(ISNUMBER('Raw Data'!AA241), IFERROR('Raw Data'!AA241 = ROUND('Raw Data'!AA241, 2),FALSE)),"",_xlfn.REGEXEXTRACT(CELL("address",AA241), "\$([A-Z]+)\$[0-9]+"))),_xlfn.REGEXEXTRACT(CELL("address",AA241), "\$([A-Z]+)\$[0-9]+"))</f>
        <v/>
      </c>
      <c r="AB241" s="7" t="str">
        <f t="array" aca="1" ref="AB241" ca="1">IFERROR(IF(OR('Raw Data'!AB241="",LEN(TRIM('Raw Data'!AB241))=0),"",IF(AND(ISNUMBER('Raw Data'!AB241), IFERROR('Raw Data'!AB241 = ROUND('Raw Data'!AB241, 2),FALSE)),"",_xlfn.REGEXEXTRACT(CELL("address",AB241), "\$([A-Z]+)\$[0-9]+"))),_xlfn.REGEXEXTRACT(CELL("address",AB241), "\$([A-Z]+)\$[0-9]+"))</f>
        <v/>
      </c>
      <c r="AC241" s="7" t="str">
        <f t="array" aca="1" ref="AC241" ca="1">IFERROR(IF(OR('Raw Data'!AC241="",LEN(TRIM('Raw Data'!AC241))=0),"",IF(AND(ISNUMBER('Raw Data'!AC241), IFERROR('Raw Data'!AC241 = ROUND('Raw Data'!AC241, 2),FALSE)),"",_xlfn.REGEXEXTRACT(CELL("address",AC241), "\$([A-Z]+)\$[0-9]+"))),_xlfn.REGEXEXTRACT(CELL("address",AC241), "\$([A-Z]+)\$[0-9]+"))</f>
        <v/>
      </c>
      <c r="AD241" s="7" t="str">
        <f t="array" aca="1" ref="AD241" ca="1">IFERROR(IF(OR('Raw Data'!AD241="",LEN(TRIM('Raw Data'!AD241))=0),"",IF(AND(ISNUMBER('Raw Data'!AD241), IFERROR('Raw Data'!AD241 = ROUND('Raw Data'!AD241, 2),FALSE)),"",_xlfn.REGEXEXTRACT(CELL("address",AD241), "\$([A-Z]+)\$[0-9]+"))),_xlfn.REGEXEXTRACT(CELL("address",AD241), "\$([A-Z]+)\$[0-9]+"))</f>
        <v/>
      </c>
      <c r="AE241" s="7" t="str">
        <f t="array" aca="1" ref="AE241" ca="1">IFERROR(IF(OR('Raw Data'!AE241="",LEN(TRIM('Raw Data'!AE241))=0),"",IF(AND(ISNUMBER('Raw Data'!AE241), IFERROR('Raw Data'!AE241 = ROUND('Raw Data'!AE241, 2),FALSE)),"",_xlfn.REGEXEXTRACT(CELL("address",AE241), "\$([A-Z]+)\$[0-9]+"))),_xlfn.REGEXEXTRACT(CELL("address",AE241), "\$([A-Z]+)\$[0-9]+"))</f>
        <v/>
      </c>
      <c r="AF241" s="7" t="str">
        <f t="array" aca="1" ref="AF241" ca="1">IFERROR(IF(OR('Raw Data'!AF241="",LEN(TRIM('Raw Data'!AF241))=0),"",IF(AND(ISNUMBER('Raw Data'!AF241), IFERROR('Raw Data'!AF241 = ROUND('Raw Data'!AF241, 2),FALSE)),"",_xlfn.REGEXEXTRACT(CELL("address",AF241), "\$([A-Z]+)\$[0-9]+"))),_xlfn.REGEXEXTRACT(CELL("address",AF241), "\$([A-Z]+)\$[0-9]+"))</f>
        <v/>
      </c>
      <c r="AG241" s="7" t="str">
        <f t="array" aca="1" ref="AG241" ca="1">IFERROR(IF(OR('Raw Data'!AG241="",LEN(TRIM('Raw Data'!AG241))=0),"",IF(AND(ISNUMBER('Raw Data'!AG241), IFERROR('Raw Data'!AG241 = ROUND('Raw Data'!AG241, 2),FALSE)),"",_xlfn.REGEXEXTRACT(CELL("address",AG241), "\$([A-Z]+)\$[0-9]+"))),_xlfn.REGEXEXTRACT(CELL("address",AG241), "\$([A-Z]+)\$[0-9]+"))</f>
        <v/>
      </c>
      <c r="AH241" s="7" t="str">
        <f t="array" aca="1" ref="AH241" ca="1">IFERROR(IF(OR('Raw Data'!AH241="",LEN(TRIM('Raw Data'!AH241))=0),"",IF(AND(ISNUMBER('Raw Data'!AH241), IFERROR('Raw Data'!AH241 = ROUND('Raw Data'!AH241, 2),FALSE)),"",_xlfn.REGEXEXTRACT(CELL("address",AH241), "\$([A-Z]+)\$[0-9]+"))),_xlfn.REGEXEXTRACT(CELL("address",AH241), "\$([A-Z]+)\$[0-9]+"))</f>
        <v/>
      </c>
      <c r="AI241" s="7" t="str">
        <f t="array" aca="1" ref="AI241" ca="1">IFERROR(IF(OR('Raw Data'!AI241="",LEN(TRIM('Raw Data'!AI241))=0),"",IF(AND(ISNUMBER('Raw Data'!AI241), IFERROR('Raw Data'!AI241 = ROUND('Raw Data'!AI241, 2),FALSE)),"",_xlfn.REGEXEXTRACT(CELL("address",AI241), "\$([A-Z]+)\$[0-9]+"))),_xlfn.REGEXEXTRACT(CELL("address",AI241), "\$([A-Z]+)\$[0-9]+"))</f>
        <v/>
      </c>
      <c r="AJ241" s="7" t="str">
        <f t="array" aca="1" ref="AJ241" ca="1">IFERROR(IF(OR('Raw Data'!AJ241="",LEN(TRIM('Raw Data'!AJ241))=0),"",IF(AND(ISNUMBER('Raw Data'!AJ241), IFERROR('Raw Data'!AJ241 = ROUND('Raw Data'!AJ241, 4),FALSE)),"",_xlfn.REGEXEXTRACT(CELL("address",AJ241), "\$([A-Z]+)\$[0-9]+"))),_xlfn.REGEXEXTRACT(CELL("address",AJ241), "\$([A-Z]+)\$[0-9]+"))</f>
        <v/>
      </c>
      <c r="AK241" s="7" t="str">
        <f t="array" aca="1" ref="AK241" ca="1">IFERROR(IF(OR('Raw Data'!AK241="",LEN(TRIM('Raw Data'!AK241))=0),"",IF(AND(ISNUMBER('Raw Data'!AK241), IFERROR('Raw Data'!AK241 = ROUND('Raw Data'!AK241, 2),FALSE)),"",_xlfn.REGEXEXTRACT(CELL("address",AK241), "\$([A-Z]+)\$[0-9]+"))),_xlfn.REGEXEXTRACT(CELL("address",AK241), "\$([A-Z]+)\$[0-9]+"))</f>
        <v/>
      </c>
      <c r="AL241" s="7" t="str">
        <f t="array" aca="1" ref="AL241" ca="1">IFERROR(IF(OR('Raw Data'!AL241="",LEN(TRIM('Raw Data'!AL241))=0),"",IF(AND(ISNUMBER('Raw Data'!AL241), IFERROR('Raw Data'!AL241 = ROUND('Raw Data'!AL241, 2),FALSE)),"",_xlfn.REGEXEXTRACT(CELL("address",AL241), "\$([A-Z]+)\$[0-9]+"))),_xlfn.REGEXEXTRACT(CELL("address",AL241), "\$([A-Z]+)\$[0-9]+"))</f>
        <v/>
      </c>
      <c r="AM241" s="7" t="str">
        <f t="array" aca="1" ref="AM241" ca="1">IFERROR(IF(OR('Raw Data'!AM241="",LEN(TRIM('Raw Data'!AM241))=0),"",IF(AND(ISNUMBER('Raw Data'!AM241), IFERROR('Raw Data'!AM241 = ROUND('Raw Data'!AM241, 2),FALSE)),"",_xlfn.REGEXEXTRACT(CELL("address",AM241), "\$([A-Z]+)\$[0-9]+"))),_xlfn.REGEXEXTRACT(CELL("address",AM241), "\$([A-Z]+)\$[0-9]+"))</f>
        <v/>
      </c>
      <c r="AN241" s="7" t="str">
        <f t="array" aca="1" ref="AN241" ca="1">IFERROR(IF(OR('Raw Data'!AN241="",LEN(TRIM('Raw Data'!AN241))=0),"",IF(AND(ISNUMBER('Raw Data'!AN241), IFERROR('Raw Data'!AN241 = ROUND('Raw Data'!AN241, 2),FALSE)),"",_xlfn.REGEXEXTRACT(CELL("address",AN241), "\$([A-Z]+)\$[0-9]+"))),_xlfn.REGEXEXTRACT(CELL("address",AN241), "\$([A-Z]+)\$[0-9]+"))</f>
        <v/>
      </c>
      <c r="AO241" s="7" t="str">
        <f t="array" aca="1" ref="AO241" ca="1">IFERROR(IF(OR('Raw Data'!AO241="",LEN(TRIM('Raw Data'!AO241))=0),"",IF(AND(ISNUMBER('Raw Data'!AO241), IFERROR('Raw Data'!AO241 = ROUND('Raw Data'!AO241, 2),FALSE)),"",_xlfn.REGEXEXTRACT(CELL("address",AO241), "\$([A-Z]+)\$[0-9]+"))),_xlfn.REGEXEXTRACT(CELL("address",AO241), "\$([A-Z]+)\$[0-9]+"))</f>
        <v/>
      </c>
      <c r="AP241" s="7" t="str">
        <f t="array" aca="1" ref="AP241" ca="1">IFERROR(IF(OR('Raw Data'!AP241="",LEN(TRIM('Raw Data'!AP241))=0),"",IF(AND(ISNUMBER('Raw Data'!AP241), IFERROR('Raw Data'!AP241 = ROUND('Raw Data'!AP241, 2),FALSE)),"",_xlfn.REGEXEXTRACT(CELL("address",AP241), "\$([A-Z]+)\$[0-9]+"))),_xlfn.REGEXEXTRACT(CELL("address",AP241), "\$([A-Z]+)\$[0-9]+"))</f>
        <v/>
      </c>
    </row>
    <row r="242" spans="2:42" x14ac:dyDescent="0.25">
      <c r="B242" s="7" t="str">
        <f t="array" aca="1" ref="B242" ca="1">IFERROR(IF(OR('Raw Data'!B242="",LEN(TRIM('Raw Data'!B242))=0),"",IF(AND(LEN('Raw Data'!B242) &lt;= 255,LEN('Raw Data'!B242)&gt; 0),"",_xlfn.REGEXEXTRACT(CELL("address",'Raw Data'!B242),"\$([A-Z]+)\$[0-9]+"))),_xlfn.REGEXEXTRACT(CELL("address",'Raw Data'!B242),"\$([A-Z]+)\$[0-9]+"))</f>
        <v/>
      </c>
      <c r="C242" s="7" t="str">
        <f t="array" aca="1" ref="C242" ca="1">IFERROR(IF(OR('Raw Data'!C242="",LEN(TRIM('Raw Data'!C242))=0),"",IF(AND(LEN('Raw Data'!C242) &lt;= 50,LEN('Raw Data'!C242)&gt; 0),"",_xlfn.REGEXEXTRACT(CELL("address",'Raw Data'!C242),"\$([A-Z]+)\$[0-9]+"))),_xlfn.REGEXEXTRACT(CELL("address",'Raw Data'!C242),"\$([A-Z]+)\$[0-9]+"))</f>
        <v/>
      </c>
      <c r="D242" s="7" t="str">
        <f t="array" aca="1" ref="D242" ca="1">IFERROR(IF(OR('Raw Data'!D242="",LEN(TRIM('Raw Data'!D242))=0),"",IF(AND(LEN('Raw Data'!D242) &lt;= 500,LEN('Raw Data'!D242)&gt; 0),"",_xlfn.REGEXEXTRACT(CELL("address",'Raw Data'!D242),"\$([A-Z]+)\$[0-9]+"))),_xlfn.REGEXEXTRACT(CELL("address",'Raw Data'!D242),"\$([A-Z]+)\$[0-9]+"))</f>
        <v/>
      </c>
      <c r="E242" s="7" t="str">
        <f t="array" aca="1" ref="E242" ca="1">IFERROR(IF(OR('Raw Data'!E242="",LEN(TRIM('Raw Data'!E242))=0),"",IF(AND(LEN('Raw Data'!E242) &lt;= 50,LEN('Raw Data'!E242)&gt; 0),"",_xlfn.REGEXEXTRACT(CELL("address",'Raw Data'!E242),"\$([A-Z]+)\$[0-9]+"))),_xlfn.REGEXEXTRACT(CELL("address",'Raw Data'!E242),"\$([A-Z]+)\$[0-9]+"))</f>
        <v/>
      </c>
      <c r="F242" s="7" t="str">
        <f t="array" aca="1" ref="F242" ca="1">IFERROR(IF(OR('Raw Data'!F242="",LEN(TRIM('Raw Data'!F242))=0),"",IF(AND(LEN('Raw Data'!F242) &lt;= 50,LEN('Raw Data'!F242)&gt; 0),"",_xlfn.REGEXEXTRACT(CELL("address",'Raw Data'!F242),"\$([A-Z]+)\$[0-9]+"))),_xlfn.REGEXEXTRACT(CELL("address",'Raw Data'!F242),"\$([A-Z]+)\$[0-9]+"))</f>
        <v/>
      </c>
      <c r="G242" s="7" t="str">
        <f t="array" aca="1" ref="G242" ca="1">IFERROR(IF(OR('Raw Data'!G242="",LEN(TRIM('Raw Data'!G242))=0),"",IF(AND(LEN('Raw Data'!G242) &lt;= 50,LEN('Raw Data'!G242)&gt; 0),"",_xlfn.REGEXEXTRACT(CELL("address",'Raw Data'!G242),"\$([A-Z]+)\$[0-9]+"))),_xlfn.REGEXEXTRACT(CELL("address",'Raw Data'!G242),"\$([A-Z]+)\$[0-9]+"))</f>
        <v/>
      </c>
      <c r="H242" s="7" t="str">
        <f t="array" aca="1" ref="H242" ca="1">IFERROR(IF(OR('Raw Data'!H242="",LEN(TRIM('Raw Data'!H242))=0),"",IF(AND(LEN('Raw Data'!H242) &lt;= 50,LEN('Raw Data'!H242)&gt; 0),"",_xlfn.REGEXEXTRACT(CELL("address",'Raw Data'!H242),"\$([A-Z]+)\$[0-9]+"))),_xlfn.REGEXEXTRACT(CELL("address",'Raw Data'!H242),"\$([A-Z]+)\$[0-9]+"))</f>
        <v/>
      </c>
      <c r="I242" s="7" t="str">
        <f t="array" aca="1" ref="I242" ca="1">IFERROR(IF(OR('Raw Data'!I242="",LEN(TRIM('Raw Data'!I242))=0),"",IF(AND(LEN('Raw Data'!I242) &lt;= 50,LEN('Raw Data'!I242)&gt; 0),"",_xlfn.REGEXEXTRACT(CELL("address",'Raw Data'!I242),"\$([A-Z]+)\$[0-9]+"))),_xlfn.REGEXEXTRACT(CELL("address",'Raw Data'!I242),"\$([A-Z]+)\$[0-9]+"))</f>
        <v/>
      </c>
      <c r="J242" s="7" t="str">
        <f t="array" aca="1" ref="J242" ca="1">IFERROR(IF(OR('Raw Data'!J242="",LEN(TRIM('Raw Data'!J242))=0),"",IF(AND(ISNUMBER('Raw Data'!J242), IFERROR('Raw Data'!J242 = ROUND('Raw Data'!J242, 2),FALSE)),"",_xlfn.REGEXEXTRACT(CELL("address",J242), "\$([A-Z]+)\$[0-9]+"))),_xlfn.REGEXEXTRACT(CELL("address",J242), "\$([A-Z]+)\$[0-9]+"))</f>
        <v/>
      </c>
      <c r="K242" s="7" t="str">
        <f t="array" aca="1" ref="K242" ca="1">IFERROR(IF(OR('Raw Data'!K242="",LEN(TRIM('Raw Data'!K242))=0),"",IF(AND(ISNUMBER('Raw Data'!K242), IFERROR('Raw Data'!K242 = ROUND('Raw Data'!K242, 2),FALSE)),"",_xlfn.REGEXEXTRACT(CELL("address",K242), "\$([A-Z]+)\$[0-9]+"))),_xlfn.REGEXEXTRACT(CELL("address",K242), "\$([A-Z]+)\$[0-9]+"))</f>
        <v/>
      </c>
      <c r="L242" s="7" t="str">
        <f t="array" aca="1" ref="L242" ca="1">IFERROR(IF(OR('Raw Data'!L242="",LEN(TRIM('Raw Data'!L242))=0),"",IF(AND(ISNUMBER('Raw Data'!L242), IFERROR('Raw Data'!L242 = ROUND('Raw Data'!L242, 2),FALSE)),"",_xlfn.REGEXEXTRACT(CELL("address",L242), "\$([A-Z]+)\$[0-9]+"))),_xlfn.REGEXEXTRACT(CELL("address",L242), "\$([A-Z]+)\$[0-9]+"))</f>
        <v/>
      </c>
      <c r="M242" s="7" t="str">
        <f t="array" aca="1" ref="M242" ca="1">IFERROR(IF(OR('Raw Data'!M242="",LEN(TRIM('Raw Data'!M242))=0),"",IF(AND(ISNUMBER('Raw Data'!M242), IFERROR('Raw Data'!M242 = ROUND('Raw Data'!M242, 2),FALSE)),"",_xlfn.REGEXEXTRACT(CELL("address",M242), "\$([A-Z]+)\$[0-9]+"))),_xlfn.REGEXEXTRACT(CELL("address",M242), "\$([A-Z]+)\$[0-9]+"))</f>
        <v/>
      </c>
      <c r="N242" s="7" t="str">
        <f t="array" aca="1" ref="N242" ca="1">IFERROR(IF(OR('Raw Data'!N242="",LEN(TRIM('Raw Data'!N242))=0),"",IF(AND(ISNUMBER('Raw Data'!N242), IFERROR('Raw Data'!N242 = ROUND('Raw Data'!N242, 2),FALSE)),"",_xlfn.REGEXEXTRACT(CELL("address",N242), "\$([A-Z]+)\$[0-9]+"))),_xlfn.REGEXEXTRACT(CELL("address",N242), "\$([A-Z]+)\$[0-9]+"))</f>
        <v/>
      </c>
      <c r="O242" s="7" t="str">
        <f t="array" aca="1" ref="O242" ca="1">IFERROR(IF(OR('Raw Data'!O242="",LEN(TRIM('Raw Data'!O242))=0),"",IF(AND(ISNUMBER('Raw Data'!O242),'Raw Data'!O242&gt;=Configuration!$D$2),"",_xlfn.REGEXEXTRACT(CELL("address",'Raw Data'!O242),"\$([A-Z]+)\$[0-9]+"))),_xlfn.REGEXEXTRACT(CELL("address",O242), "\$([A-Z]+)\$[0-9]+"))</f>
        <v/>
      </c>
      <c r="P242" s="7" t="str">
        <f t="array" aca="1" ref="P242" ca="1">IFERROR(IF(OR('Raw Data'!P242="",LEN(TRIM('Raw Data'!P242))=0),"",IF(AND(ISNUMBER('Raw Data'!P242), IFERROR('Raw Data'!P242 = ROUND('Raw Data'!P242, 2),FALSE)),"",_xlfn.REGEXEXTRACT(CELL("address",P242), "\$([A-Z]+)\$[0-9]+"))),_xlfn.REGEXEXTRACT(CELL("address",P242), "\$([A-Z]+)\$[0-9]+"))</f>
        <v/>
      </c>
      <c r="Q242" s="7" t="str">
        <f t="array" aca="1" ref="Q242" ca="1">IFERROR(IF(OR('Raw Data'!Q242="",LEN(TRIM('Raw Data'!Q242))=0),"",IF(AND(ISNUMBER('Raw Data'!Q242), IFERROR('Raw Data'!Q242 = ROUND('Raw Data'!Q242, 2),FALSE)),"",_xlfn.REGEXEXTRACT(CELL("address",Q242), "\$([A-Z]+)\$[0-9]+"))),_xlfn.REGEXEXTRACT(CELL("address",Q242), "\$([A-Z]+)\$[0-9]+"))</f>
        <v/>
      </c>
      <c r="R242" s="7" t="str">
        <f t="array" aca="1" ref="R242" ca="1">IFERROR(IF(OR('Raw Data'!R242="",LEN(TRIM('Raw Data'!R242))=0),"",IF(AND(LEN('Raw Data'!R242) &lt;= 50,LEN('Raw Data'!R242)&gt; 0),"",_xlfn.REGEXEXTRACT(CELL("address",'Raw Data'!R242),"\$([A-Z]+)\$[0-9]+"))),_xlfn.REGEXEXTRACT(CELL("address",'Raw Data'!R242),"\$([A-Z]+)\$[0-9]+"))</f>
        <v/>
      </c>
      <c r="S242" s="7" t="str">
        <f t="array" aca="1" ref="S242" ca="1">IFERROR(IF(OR('Raw Data'!S242="",LEN(TRIM('Raw Data'!S242))=0),"",IF(AND(LEN('Raw Data'!S242) &lt;= 50,LEN('Raw Data'!S242)&gt; 0),"",_xlfn.REGEXEXTRACT(CELL("address",'Raw Data'!S242),"\$([A-Z]+)\$[0-9]+"))),_xlfn.REGEXEXTRACT(CELL("address",'Raw Data'!S242),"\$([A-Z]+)\$[0-9]+"))</f>
        <v/>
      </c>
      <c r="T242" s="7" t="str">
        <f t="array" aca="1" ref="T242" ca="1">IFERROR(IF(OR('Raw Data'!T242="",LEN(TRIM('Raw Data'!T242))=0),"",IF(AND(ISNUMBER('Raw Data'!T242), IFERROR('Raw Data'!T242 = ROUND('Raw Data'!T242, 2),FALSE)),"",_xlfn.REGEXEXTRACT(CELL("address",T242), "\$([A-Z]+)\$[0-9]+"))),_xlfn.REGEXEXTRACT(CELL("address",T242), "\$([A-Z]+)\$[0-9]+"))</f>
        <v/>
      </c>
      <c r="U242" s="7" t="str">
        <f t="array" aca="1" ref="U242" ca="1">IFERROR(IF(OR('Raw Data'!U242="",LEN(TRIM('Raw Data'!U242))=0),"",IF(AND(ISNUMBER('Raw Data'!U242), IFERROR('Raw Data'!U242 = ROUND('Raw Data'!U242, 2),FALSE)),"",_xlfn.REGEXEXTRACT(CELL("address",U242), "\$([A-Z]+)\$[0-9]+"))),_xlfn.REGEXEXTRACT(CELL("address",U242), "\$([A-Z]+)\$[0-9]+"))</f>
        <v/>
      </c>
      <c r="V242" s="7" t="str">
        <f t="array" aca="1" ref="V242" ca="1">IFERROR(IF(OR('Raw Data'!V242="",LEN(TRIM('Raw Data'!V242))=0),"",IF(AND(ISNUMBER('Raw Data'!V242), IFERROR('Raw Data'!V242 = ROUND('Raw Data'!V242, 2),FALSE)),"",_xlfn.REGEXEXTRACT(CELL("address",V242), "\$([A-Z]+)\$[0-9]+"))),_xlfn.REGEXEXTRACT(CELL("address",V242), "\$([A-Z]+)\$[0-9]+"))</f>
        <v/>
      </c>
      <c r="W242" s="7" t="str">
        <f t="array" aca="1" ref="W242" ca="1">IFERROR(IF(OR('Raw Data'!W242="",LEN(TRIM('Raw Data'!W242))=0),"",IF(AND(ISNUMBER('Raw Data'!W242), IFERROR('Raw Data'!W242 = ROUND('Raw Data'!W242, 2),FALSE)),"",_xlfn.REGEXEXTRACT(CELL("address",W242), "\$([A-Z]+)\$[0-9]+"))),_xlfn.REGEXEXTRACT(CELL("address",W242), "\$([A-Z]+)\$[0-9]+"))</f>
        <v/>
      </c>
      <c r="X242" s="7" t="str">
        <f t="array" aca="1" ref="X242" ca="1">IFERROR(IF(OR('Raw Data'!X242="",LEN(TRIM('Raw Data'!X242))=0),"",IF(AND(ISNUMBER('Raw Data'!X242), IFERROR('Raw Data'!X242 = ROUND('Raw Data'!X242, 2),FALSE)),"",_xlfn.REGEXEXTRACT(CELL("address",X242), "\$([A-Z]+)\$[0-9]+"))),_xlfn.REGEXEXTRACT(CELL("address",X242), "\$([A-Z]+)\$[0-9]+"))</f>
        <v/>
      </c>
      <c r="Y242" s="7" t="str">
        <f t="array" aca="1" ref="Y242" ca="1">IFERROR(IF(OR('Raw Data'!Y242="",LEN(TRIM('Raw Data'!Y242))=0),"",IF(AND(ISNUMBER('Raw Data'!Y242), IFERROR('Raw Data'!Y242 = ROUND('Raw Data'!Y242, 2),FALSE)),"",_xlfn.REGEXEXTRACT(CELL("address",Y242), "\$([A-Z]+)\$[0-9]+"))),_xlfn.REGEXEXTRACT(CELL("address",Y242), "\$([A-Z]+)\$[0-9]+"))</f>
        <v/>
      </c>
      <c r="Z242" s="7" t="str">
        <f t="array" aca="1" ref="Z242" ca="1">IFERROR(IF(OR('Raw Data'!Z242="",LEN(TRIM('Raw Data'!Z242))=0),"",IF(AND(ISNUMBER('Raw Data'!Z242), IFERROR('Raw Data'!Z242 = ROUND('Raw Data'!Z242, 2),FALSE)),"",_xlfn.REGEXEXTRACT(CELL("address",Z242), "\$([A-Z]+)\$[0-9]+"))),_xlfn.REGEXEXTRACT(CELL("address",Z242), "\$([A-Z]+)\$[0-9]+"))</f>
        <v/>
      </c>
      <c r="AA242" s="7" t="str">
        <f t="array" aca="1" ref="AA242" ca="1">IFERROR(IF(OR('Raw Data'!AA242="",LEN(TRIM('Raw Data'!AA242))=0),"",IF(AND(ISNUMBER('Raw Data'!AA242), IFERROR('Raw Data'!AA242 = ROUND('Raw Data'!AA242, 2),FALSE)),"",_xlfn.REGEXEXTRACT(CELL("address",AA242), "\$([A-Z]+)\$[0-9]+"))),_xlfn.REGEXEXTRACT(CELL("address",AA242), "\$([A-Z]+)\$[0-9]+"))</f>
        <v/>
      </c>
      <c r="AB242" s="7" t="str">
        <f t="array" aca="1" ref="AB242" ca="1">IFERROR(IF(OR('Raw Data'!AB242="",LEN(TRIM('Raw Data'!AB242))=0),"",IF(AND(ISNUMBER('Raw Data'!AB242), IFERROR('Raw Data'!AB242 = ROUND('Raw Data'!AB242, 2),FALSE)),"",_xlfn.REGEXEXTRACT(CELL("address",AB242), "\$([A-Z]+)\$[0-9]+"))),_xlfn.REGEXEXTRACT(CELL("address",AB242), "\$([A-Z]+)\$[0-9]+"))</f>
        <v/>
      </c>
      <c r="AC242" s="7" t="str">
        <f t="array" aca="1" ref="AC242" ca="1">IFERROR(IF(OR('Raw Data'!AC242="",LEN(TRIM('Raw Data'!AC242))=0),"",IF(AND(ISNUMBER('Raw Data'!AC242), IFERROR('Raw Data'!AC242 = ROUND('Raw Data'!AC242, 2),FALSE)),"",_xlfn.REGEXEXTRACT(CELL("address",AC242), "\$([A-Z]+)\$[0-9]+"))),_xlfn.REGEXEXTRACT(CELL("address",AC242), "\$([A-Z]+)\$[0-9]+"))</f>
        <v/>
      </c>
      <c r="AD242" s="7" t="str">
        <f t="array" aca="1" ref="AD242" ca="1">IFERROR(IF(OR('Raw Data'!AD242="",LEN(TRIM('Raw Data'!AD242))=0),"",IF(AND(ISNUMBER('Raw Data'!AD242), IFERROR('Raw Data'!AD242 = ROUND('Raw Data'!AD242, 2),FALSE)),"",_xlfn.REGEXEXTRACT(CELL("address",AD242), "\$([A-Z]+)\$[0-9]+"))),_xlfn.REGEXEXTRACT(CELL("address",AD242), "\$([A-Z]+)\$[0-9]+"))</f>
        <v/>
      </c>
      <c r="AE242" s="7" t="str">
        <f t="array" aca="1" ref="AE242" ca="1">IFERROR(IF(OR('Raw Data'!AE242="",LEN(TRIM('Raw Data'!AE242))=0),"",IF(AND(ISNUMBER('Raw Data'!AE242), IFERROR('Raw Data'!AE242 = ROUND('Raw Data'!AE242, 2),FALSE)),"",_xlfn.REGEXEXTRACT(CELL("address",AE242), "\$([A-Z]+)\$[0-9]+"))),_xlfn.REGEXEXTRACT(CELL("address",AE242), "\$([A-Z]+)\$[0-9]+"))</f>
        <v/>
      </c>
      <c r="AF242" s="7" t="str">
        <f t="array" aca="1" ref="AF242" ca="1">IFERROR(IF(OR('Raw Data'!AF242="",LEN(TRIM('Raw Data'!AF242))=0),"",IF(AND(ISNUMBER('Raw Data'!AF242), IFERROR('Raw Data'!AF242 = ROUND('Raw Data'!AF242, 2),FALSE)),"",_xlfn.REGEXEXTRACT(CELL("address",AF242), "\$([A-Z]+)\$[0-9]+"))),_xlfn.REGEXEXTRACT(CELL("address",AF242), "\$([A-Z]+)\$[0-9]+"))</f>
        <v/>
      </c>
      <c r="AG242" s="7" t="str">
        <f t="array" aca="1" ref="AG242" ca="1">IFERROR(IF(OR('Raw Data'!AG242="",LEN(TRIM('Raw Data'!AG242))=0),"",IF(AND(ISNUMBER('Raw Data'!AG242), IFERROR('Raw Data'!AG242 = ROUND('Raw Data'!AG242, 2),FALSE)),"",_xlfn.REGEXEXTRACT(CELL("address",AG242), "\$([A-Z]+)\$[0-9]+"))),_xlfn.REGEXEXTRACT(CELL("address",AG242), "\$([A-Z]+)\$[0-9]+"))</f>
        <v/>
      </c>
      <c r="AH242" s="7" t="str">
        <f t="array" aca="1" ref="AH242" ca="1">IFERROR(IF(OR('Raw Data'!AH242="",LEN(TRIM('Raw Data'!AH242))=0),"",IF(AND(ISNUMBER('Raw Data'!AH242), IFERROR('Raw Data'!AH242 = ROUND('Raw Data'!AH242, 2),FALSE)),"",_xlfn.REGEXEXTRACT(CELL("address",AH242), "\$([A-Z]+)\$[0-9]+"))),_xlfn.REGEXEXTRACT(CELL("address",AH242), "\$([A-Z]+)\$[0-9]+"))</f>
        <v/>
      </c>
      <c r="AI242" s="7" t="str">
        <f t="array" aca="1" ref="AI242" ca="1">IFERROR(IF(OR('Raw Data'!AI242="",LEN(TRIM('Raw Data'!AI242))=0),"",IF(AND(ISNUMBER('Raw Data'!AI242), IFERROR('Raw Data'!AI242 = ROUND('Raw Data'!AI242, 2),FALSE)),"",_xlfn.REGEXEXTRACT(CELL("address",AI242), "\$([A-Z]+)\$[0-9]+"))),_xlfn.REGEXEXTRACT(CELL("address",AI242), "\$([A-Z]+)\$[0-9]+"))</f>
        <v/>
      </c>
      <c r="AJ242" s="7" t="str">
        <f t="array" aca="1" ref="AJ242" ca="1">IFERROR(IF(OR('Raw Data'!AJ242="",LEN(TRIM('Raw Data'!AJ242))=0),"",IF(AND(ISNUMBER('Raw Data'!AJ242), IFERROR('Raw Data'!AJ242 = ROUND('Raw Data'!AJ242, 4),FALSE)),"",_xlfn.REGEXEXTRACT(CELL("address",AJ242), "\$([A-Z]+)\$[0-9]+"))),_xlfn.REGEXEXTRACT(CELL("address",AJ242), "\$([A-Z]+)\$[0-9]+"))</f>
        <v/>
      </c>
      <c r="AK242" s="7" t="str">
        <f t="array" aca="1" ref="AK242" ca="1">IFERROR(IF(OR('Raw Data'!AK242="",LEN(TRIM('Raw Data'!AK242))=0),"",IF(AND(ISNUMBER('Raw Data'!AK242), IFERROR('Raw Data'!AK242 = ROUND('Raw Data'!AK242, 2),FALSE)),"",_xlfn.REGEXEXTRACT(CELL("address",AK242), "\$([A-Z]+)\$[0-9]+"))),_xlfn.REGEXEXTRACT(CELL("address",AK242), "\$([A-Z]+)\$[0-9]+"))</f>
        <v/>
      </c>
      <c r="AL242" s="7" t="str">
        <f t="array" aca="1" ref="AL242" ca="1">IFERROR(IF(OR('Raw Data'!AL242="",LEN(TRIM('Raw Data'!AL242))=0),"",IF(AND(ISNUMBER('Raw Data'!AL242), IFERROR('Raw Data'!AL242 = ROUND('Raw Data'!AL242, 2),FALSE)),"",_xlfn.REGEXEXTRACT(CELL("address",AL242), "\$([A-Z]+)\$[0-9]+"))),_xlfn.REGEXEXTRACT(CELL("address",AL242), "\$([A-Z]+)\$[0-9]+"))</f>
        <v/>
      </c>
      <c r="AM242" s="7" t="str">
        <f t="array" aca="1" ref="AM242" ca="1">IFERROR(IF(OR('Raw Data'!AM242="",LEN(TRIM('Raw Data'!AM242))=0),"",IF(AND(ISNUMBER('Raw Data'!AM242), IFERROR('Raw Data'!AM242 = ROUND('Raw Data'!AM242, 2),FALSE)),"",_xlfn.REGEXEXTRACT(CELL("address",AM242), "\$([A-Z]+)\$[0-9]+"))),_xlfn.REGEXEXTRACT(CELL("address",AM242), "\$([A-Z]+)\$[0-9]+"))</f>
        <v/>
      </c>
      <c r="AN242" s="7" t="str">
        <f t="array" aca="1" ref="AN242" ca="1">IFERROR(IF(OR('Raw Data'!AN242="",LEN(TRIM('Raw Data'!AN242))=0),"",IF(AND(ISNUMBER('Raw Data'!AN242), IFERROR('Raw Data'!AN242 = ROUND('Raw Data'!AN242, 2),FALSE)),"",_xlfn.REGEXEXTRACT(CELL("address",AN242), "\$([A-Z]+)\$[0-9]+"))),_xlfn.REGEXEXTRACT(CELL("address",AN242), "\$([A-Z]+)\$[0-9]+"))</f>
        <v/>
      </c>
      <c r="AO242" s="7" t="str">
        <f t="array" aca="1" ref="AO242" ca="1">IFERROR(IF(OR('Raw Data'!AO242="",LEN(TRIM('Raw Data'!AO242))=0),"",IF(AND(ISNUMBER('Raw Data'!AO242), IFERROR('Raw Data'!AO242 = ROUND('Raw Data'!AO242, 2),FALSE)),"",_xlfn.REGEXEXTRACT(CELL("address",AO242), "\$([A-Z]+)\$[0-9]+"))),_xlfn.REGEXEXTRACT(CELL("address",AO242), "\$([A-Z]+)\$[0-9]+"))</f>
        <v/>
      </c>
      <c r="AP242" s="7" t="str">
        <f t="array" aca="1" ref="AP242" ca="1">IFERROR(IF(OR('Raw Data'!AP242="",LEN(TRIM('Raw Data'!AP242))=0),"",IF(AND(ISNUMBER('Raw Data'!AP242), IFERROR('Raw Data'!AP242 = ROUND('Raw Data'!AP242, 2),FALSE)),"",_xlfn.REGEXEXTRACT(CELL("address",AP242), "\$([A-Z]+)\$[0-9]+"))),_xlfn.REGEXEXTRACT(CELL("address",AP242), "\$([A-Z]+)\$[0-9]+"))</f>
        <v/>
      </c>
    </row>
    <row r="243" spans="2:42" x14ac:dyDescent="0.25">
      <c r="B243" s="7" t="str">
        <f t="array" aca="1" ref="B243" ca="1">IFERROR(IF(OR('Raw Data'!B243="",LEN(TRIM('Raw Data'!B243))=0),"",IF(AND(LEN('Raw Data'!B243) &lt;= 255,LEN('Raw Data'!B243)&gt; 0),"",_xlfn.REGEXEXTRACT(CELL("address",'Raw Data'!B243),"\$([A-Z]+)\$[0-9]+"))),_xlfn.REGEXEXTRACT(CELL("address",'Raw Data'!B243),"\$([A-Z]+)\$[0-9]+"))</f>
        <v/>
      </c>
      <c r="C243" s="7" t="str">
        <f t="array" aca="1" ref="C243" ca="1">IFERROR(IF(OR('Raw Data'!C243="",LEN(TRIM('Raw Data'!C243))=0),"",IF(AND(LEN('Raw Data'!C243) &lt;= 50,LEN('Raw Data'!C243)&gt; 0),"",_xlfn.REGEXEXTRACT(CELL("address",'Raw Data'!C243),"\$([A-Z]+)\$[0-9]+"))),_xlfn.REGEXEXTRACT(CELL("address",'Raw Data'!C243),"\$([A-Z]+)\$[0-9]+"))</f>
        <v/>
      </c>
      <c r="D243" s="7" t="str">
        <f t="array" aca="1" ref="D243" ca="1">IFERROR(IF(OR('Raw Data'!D243="",LEN(TRIM('Raw Data'!D243))=0),"",IF(AND(LEN('Raw Data'!D243) &lt;= 500,LEN('Raw Data'!D243)&gt; 0),"",_xlfn.REGEXEXTRACT(CELL("address",'Raw Data'!D243),"\$([A-Z]+)\$[0-9]+"))),_xlfn.REGEXEXTRACT(CELL("address",'Raw Data'!D243),"\$([A-Z]+)\$[0-9]+"))</f>
        <v/>
      </c>
      <c r="E243" s="7" t="str">
        <f t="array" aca="1" ref="E243" ca="1">IFERROR(IF(OR('Raw Data'!E243="",LEN(TRIM('Raw Data'!E243))=0),"",IF(AND(LEN('Raw Data'!E243) &lt;= 50,LEN('Raw Data'!E243)&gt; 0),"",_xlfn.REGEXEXTRACT(CELL("address",'Raw Data'!E243),"\$([A-Z]+)\$[0-9]+"))),_xlfn.REGEXEXTRACT(CELL("address",'Raw Data'!E243),"\$([A-Z]+)\$[0-9]+"))</f>
        <v/>
      </c>
      <c r="F243" s="7" t="str">
        <f t="array" aca="1" ref="F243" ca="1">IFERROR(IF(OR('Raw Data'!F243="",LEN(TRIM('Raw Data'!F243))=0),"",IF(AND(LEN('Raw Data'!F243) &lt;= 50,LEN('Raw Data'!F243)&gt; 0),"",_xlfn.REGEXEXTRACT(CELL("address",'Raw Data'!F243),"\$([A-Z]+)\$[0-9]+"))),_xlfn.REGEXEXTRACT(CELL("address",'Raw Data'!F243),"\$([A-Z]+)\$[0-9]+"))</f>
        <v/>
      </c>
      <c r="G243" s="7" t="str">
        <f t="array" aca="1" ref="G243" ca="1">IFERROR(IF(OR('Raw Data'!G243="",LEN(TRIM('Raw Data'!G243))=0),"",IF(AND(LEN('Raw Data'!G243) &lt;= 50,LEN('Raw Data'!G243)&gt; 0),"",_xlfn.REGEXEXTRACT(CELL("address",'Raw Data'!G243),"\$([A-Z]+)\$[0-9]+"))),_xlfn.REGEXEXTRACT(CELL("address",'Raw Data'!G243),"\$([A-Z]+)\$[0-9]+"))</f>
        <v/>
      </c>
      <c r="H243" s="7" t="str">
        <f t="array" aca="1" ref="H243" ca="1">IFERROR(IF(OR('Raw Data'!H243="",LEN(TRIM('Raw Data'!H243))=0),"",IF(AND(LEN('Raw Data'!H243) &lt;= 50,LEN('Raw Data'!H243)&gt; 0),"",_xlfn.REGEXEXTRACT(CELL("address",'Raw Data'!H243),"\$([A-Z]+)\$[0-9]+"))),_xlfn.REGEXEXTRACT(CELL("address",'Raw Data'!H243),"\$([A-Z]+)\$[0-9]+"))</f>
        <v/>
      </c>
      <c r="I243" s="7" t="str">
        <f t="array" aca="1" ref="I243" ca="1">IFERROR(IF(OR('Raw Data'!I243="",LEN(TRIM('Raw Data'!I243))=0),"",IF(AND(LEN('Raw Data'!I243) &lt;= 50,LEN('Raw Data'!I243)&gt; 0),"",_xlfn.REGEXEXTRACT(CELL("address",'Raw Data'!I243),"\$([A-Z]+)\$[0-9]+"))),_xlfn.REGEXEXTRACT(CELL("address",'Raw Data'!I243),"\$([A-Z]+)\$[0-9]+"))</f>
        <v/>
      </c>
      <c r="J243" s="7" t="str">
        <f t="array" aca="1" ref="J243" ca="1">IFERROR(IF(OR('Raw Data'!J243="",LEN(TRIM('Raw Data'!J243))=0),"",IF(AND(ISNUMBER('Raw Data'!J243), IFERROR('Raw Data'!J243 = ROUND('Raw Data'!J243, 2),FALSE)),"",_xlfn.REGEXEXTRACT(CELL("address",J243), "\$([A-Z]+)\$[0-9]+"))),_xlfn.REGEXEXTRACT(CELL("address",J243), "\$([A-Z]+)\$[0-9]+"))</f>
        <v/>
      </c>
      <c r="K243" s="7" t="str">
        <f t="array" aca="1" ref="K243" ca="1">IFERROR(IF(OR('Raw Data'!K243="",LEN(TRIM('Raw Data'!K243))=0),"",IF(AND(ISNUMBER('Raw Data'!K243), IFERROR('Raw Data'!K243 = ROUND('Raw Data'!K243, 2),FALSE)),"",_xlfn.REGEXEXTRACT(CELL("address",K243), "\$([A-Z]+)\$[0-9]+"))),_xlfn.REGEXEXTRACT(CELL("address",K243), "\$([A-Z]+)\$[0-9]+"))</f>
        <v/>
      </c>
      <c r="L243" s="7" t="str">
        <f t="array" aca="1" ref="L243" ca="1">IFERROR(IF(OR('Raw Data'!L243="",LEN(TRIM('Raw Data'!L243))=0),"",IF(AND(ISNUMBER('Raw Data'!L243), IFERROR('Raw Data'!L243 = ROUND('Raw Data'!L243, 2),FALSE)),"",_xlfn.REGEXEXTRACT(CELL("address",L243), "\$([A-Z]+)\$[0-9]+"))),_xlfn.REGEXEXTRACT(CELL("address",L243), "\$([A-Z]+)\$[0-9]+"))</f>
        <v/>
      </c>
      <c r="M243" s="7" t="str">
        <f t="array" aca="1" ref="M243" ca="1">IFERROR(IF(OR('Raw Data'!M243="",LEN(TRIM('Raw Data'!M243))=0),"",IF(AND(ISNUMBER('Raw Data'!M243), IFERROR('Raw Data'!M243 = ROUND('Raw Data'!M243, 2),FALSE)),"",_xlfn.REGEXEXTRACT(CELL("address",M243), "\$([A-Z]+)\$[0-9]+"))),_xlfn.REGEXEXTRACT(CELL("address",M243), "\$([A-Z]+)\$[0-9]+"))</f>
        <v/>
      </c>
      <c r="N243" s="7" t="str">
        <f t="array" aca="1" ref="N243" ca="1">IFERROR(IF(OR('Raw Data'!N243="",LEN(TRIM('Raw Data'!N243))=0),"",IF(AND(ISNUMBER('Raw Data'!N243), IFERROR('Raw Data'!N243 = ROUND('Raw Data'!N243, 2),FALSE)),"",_xlfn.REGEXEXTRACT(CELL("address",N243), "\$([A-Z]+)\$[0-9]+"))),_xlfn.REGEXEXTRACT(CELL("address",N243), "\$([A-Z]+)\$[0-9]+"))</f>
        <v/>
      </c>
      <c r="O243" s="7" t="str">
        <f t="array" aca="1" ref="O243" ca="1">IFERROR(IF(OR('Raw Data'!O243="",LEN(TRIM('Raw Data'!O243))=0),"",IF(AND(ISNUMBER('Raw Data'!O243),'Raw Data'!O243&gt;=Configuration!$D$2),"",_xlfn.REGEXEXTRACT(CELL("address",'Raw Data'!O243),"\$([A-Z]+)\$[0-9]+"))),_xlfn.REGEXEXTRACT(CELL("address",O243), "\$([A-Z]+)\$[0-9]+"))</f>
        <v/>
      </c>
      <c r="P243" s="7" t="str">
        <f t="array" aca="1" ref="P243" ca="1">IFERROR(IF(OR('Raw Data'!P243="",LEN(TRIM('Raw Data'!P243))=0),"",IF(AND(ISNUMBER('Raw Data'!P243), IFERROR('Raw Data'!P243 = ROUND('Raw Data'!P243, 2),FALSE)),"",_xlfn.REGEXEXTRACT(CELL("address",P243), "\$([A-Z]+)\$[0-9]+"))),_xlfn.REGEXEXTRACT(CELL("address",P243), "\$([A-Z]+)\$[0-9]+"))</f>
        <v/>
      </c>
      <c r="Q243" s="7" t="str">
        <f t="array" aca="1" ref="Q243" ca="1">IFERROR(IF(OR('Raw Data'!Q243="",LEN(TRIM('Raw Data'!Q243))=0),"",IF(AND(ISNUMBER('Raw Data'!Q243), IFERROR('Raw Data'!Q243 = ROUND('Raw Data'!Q243, 2),FALSE)),"",_xlfn.REGEXEXTRACT(CELL("address",Q243), "\$([A-Z]+)\$[0-9]+"))),_xlfn.REGEXEXTRACT(CELL("address",Q243), "\$([A-Z]+)\$[0-9]+"))</f>
        <v/>
      </c>
      <c r="R243" s="7" t="str">
        <f t="array" aca="1" ref="R243" ca="1">IFERROR(IF(OR('Raw Data'!R243="",LEN(TRIM('Raw Data'!R243))=0),"",IF(AND(LEN('Raw Data'!R243) &lt;= 50,LEN('Raw Data'!R243)&gt; 0),"",_xlfn.REGEXEXTRACT(CELL("address",'Raw Data'!R243),"\$([A-Z]+)\$[0-9]+"))),_xlfn.REGEXEXTRACT(CELL("address",'Raw Data'!R243),"\$([A-Z]+)\$[0-9]+"))</f>
        <v/>
      </c>
      <c r="S243" s="7" t="str">
        <f t="array" aca="1" ref="S243" ca="1">IFERROR(IF(OR('Raw Data'!S243="",LEN(TRIM('Raw Data'!S243))=0),"",IF(AND(LEN('Raw Data'!S243) &lt;= 50,LEN('Raw Data'!S243)&gt; 0),"",_xlfn.REGEXEXTRACT(CELL("address",'Raw Data'!S243),"\$([A-Z]+)\$[0-9]+"))),_xlfn.REGEXEXTRACT(CELL("address",'Raw Data'!S243),"\$([A-Z]+)\$[0-9]+"))</f>
        <v/>
      </c>
      <c r="T243" s="7" t="str">
        <f t="array" aca="1" ref="T243" ca="1">IFERROR(IF(OR('Raw Data'!T243="",LEN(TRIM('Raw Data'!T243))=0),"",IF(AND(ISNUMBER('Raw Data'!T243), IFERROR('Raw Data'!T243 = ROUND('Raw Data'!T243, 2),FALSE)),"",_xlfn.REGEXEXTRACT(CELL("address",T243), "\$([A-Z]+)\$[0-9]+"))),_xlfn.REGEXEXTRACT(CELL("address",T243), "\$([A-Z]+)\$[0-9]+"))</f>
        <v/>
      </c>
      <c r="U243" s="7" t="str">
        <f t="array" aca="1" ref="U243" ca="1">IFERROR(IF(OR('Raw Data'!U243="",LEN(TRIM('Raw Data'!U243))=0),"",IF(AND(ISNUMBER('Raw Data'!U243), IFERROR('Raw Data'!U243 = ROUND('Raw Data'!U243, 2),FALSE)),"",_xlfn.REGEXEXTRACT(CELL("address",U243), "\$([A-Z]+)\$[0-9]+"))),_xlfn.REGEXEXTRACT(CELL("address",U243), "\$([A-Z]+)\$[0-9]+"))</f>
        <v/>
      </c>
      <c r="V243" s="7" t="str">
        <f t="array" aca="1" ref="V243" ca="1">IFERROR(IF(OR('Raw Data'!V243="",LEN(TRIM('Raw Data'!V243))=0),"",IF(AND(ISNUMBER('Raw Data'!V243), IFERROR('Raw Data'!V243 = ROUND('Raw Data'!V243, 2),FALSE)),"",_xlfn.REGEXEXTRACT(CELL("address",V243), "\$([A-Z]+)\$[0-9]+"))),_xlfn.REGEXEXTRACT(CELL("address",V243), "\$([A-Z]+)\$[0-9]+"))</f>
        <v/>
      </c>
      <c r="W243" s="7" t="str">
        <f t="array" aca="1" ref="W243" ca="1">IFERROR(IF(OR('Raw Data'!W243="",LEN(TRIM('Raw Data'!W243))=0),"",IF(AND(ISNUMBER('Raw Data'!W243), IFERROR('Raw Data'!W243 = ROUND('Raw Data'!W243, 2),FALSE)),"",_xlfn.REGEXEXTRACT(CELL("address",W243), "\$([A-Z]+)\$[0-9]+"))),_xlfn.REGEXEXTRACT(CELL("address",W243), "\$([A-Z]+)\$[0-9]+"))</f>
        <v/>
      </c>
      <c r="X243" s="7" t="str">
        <f t="array" aca="1" ref="X243" ca="1">IFERROR(IF(OR('Raw Data'!X243="",LEN(TRIM('Raw Data'!X243))=0),"",IF(AND(ISNUMBER('Raw Data'!X243), IFERROR('Raw Data'!X243 = ROUND('Raw Data'!X243, 2),FALSE)),"",_xlfn.REGEXEXTRACT(CELL("address",X243), "\$([A-Z]+)\$[0-9]+"))),_xlfn.REGEXEXTRACT(CELL("address",X243), "\$([A-Z]+)\$[0-9]+"))</f>
        <v/>
      </c>
      <c r="Y243" s="7" t="str">
        <f t="array" aca="1" ref="Y243" ca="1">IFERROR(IF(OR('Raw Data'!Y243="",LEN(TRIM('Raw Data'!Y243))=0),"",IF(AND(ISNUMBER('Raw Data'!Y243), IFERROR('Raw Data'!Y243 = ROUND('Raw Data'!Y243, 2),FALSE)),"",_xlfn.REGEXEXTRACT(CELL("address",Y243), "\$([A-Z]+)\$[0-9]+"))),_xlfn.REGEXEXTRACT(CELL("address",Y243), "\$([A-Z]+)\$[0-9]+"))</f>
        <v/>
      </c>
      <c r="Z243" s="7" t="str">
        <f t="array" aca="1" ref="Z243" ca="1">IFERROR(IF(OR('Raw Data'!Z243="",LEN(TRIM('Raw Data'!Z243))=0),"",IF(AND(ISNUMBER('Raw Data'!Z243), IFERROR('Raw Data'!Z243 = ROUND('Raw Data'!Z243, 2),FALSE)),"",_xlfn.REGEXEXTRACT(CELL("address",Z243), "\$([A-Z]+)\$[0-9]+"))),_xlfn.REGEXEXTRACT(CELL("address",Z243), "\$([A-Z]+)\$[0-9]+"))</f>
        <v/>
      </c>
      <c r="AA243" s="7" t="str">
        <f t="array" aca="1" ref="AA243" ca="1">IFERROR(IF(OR('Raw Data'!AA243="",LEN(TRIM('Raw Data'!AA243))=0),"",IF(AND(ISNUMBER('Raw Data'!AA243), IFERROR('Raw Data'!AA243 = ROUND('Raw Data'!AA243, 2),FALSE)),"",_xlfn.REGEXEXTRACT(CELL("address",AA243), "\$([A-Z]+)\$[0-9]+"))),_xlfn.REGEXEXTRACT(CELL("address",AA243), "\$([A-Z]+)\$[0-9]+"))</f>
        <v/>
      </c>
      <c r="AB243" s="7" t="str">
        <f t="array" aca="1" ref="AB243" ca="1">IFERROR(IF(OR('Raw Data'!AB243="",LEN(TRIM('Raw Data'!AB243))=0),"",IF(AND(ISNUMBER('Raw Data'!AB243), IFERROR('Raw Data'!AB243 = ROUND('Raw Data'!AB243, 2),FALSE)),"",_xlfn.REGEXEXTRACT(CELL("address",AB243), "\$([A-Z]+)\$[0-9]+"))),_xlfn.REGEXEXTRACT(CELL("address",AB243), "\$([A-Z]+)\$[0-9]+"))</f>
        <v/>
      </c>
      <c r="AC243" s="7" t="str">
        <f t="array" aca="1" ref="AC243" ca="1">IFERROR(IF(OR('Raw Data'!AC243="",LEN(TRIM('Raw Data'!AC243))=0),"",IF(AND(ISNUMBER('Raw Data'!AC243), IFERROR('Raw Data'!AC243 = ROUND('Raw Data'!AC243, 2),FALSE)),"",_xlfn.REGEXEXTRACT(CELL("address",AC243), "\$([A-Z]+)\$[0-9]+"))),_xlfn.REGEXEXTRACT(CELL("address",AC243), "\$([A-Z]+)\$[0-9]+"))</f>
        <v/>
      </c>
      <c r="AD243" s="7" t="str">
        <f t="array" aca="1" ref="AD243" ca="1">IFERROR(IF(OR('Raw Data'!AD243="",LEN(TRIM('Raw Data'!AD243))=0),"",IF(AND(ISNUMBER('Raw Data'!AD243), IFERROR('Raw Data'!AD243 = ROUND('Raw Data'!AD243, 2),FALSE)),"",_xlfn.REGEXEXTRACT(CELL("address",AD243), "\$([A-Z]+)\$[0-9]+"))),_xlfn.REGEXEXTRACT(CELL("address",AD243), "\$([A-Z]+)\$[0-9]+"))</f>
        <v/>
      </c>
      <c r="AE243" s="7" t="str">
        <f t="array" aca="1" ref="AE243" ca="1">IFERROR(IF(OR('Raw Data'!AE243="",LEN(TRIM('Raw Data'!AE243))=0),"",IF(AND(ISNUMBER('Raw Data'!AE243), IFERROR('Raw Data'!AE243 = ROUND('Raw Data'!AE243, 2),FALSE)),"",_xlfn.REGEXEXTRACT(CELL("address",AE243), "\$([A-Z]+)\$[0-9]+"))),_xlfn.REGEXEXTRACT(CELL("address",AE243), "\$([A-Z]+)\$[0-9]+"))</f>
        <v/>
      </c>
      <c r="AF243" s="7" t="str">
        <f t="array" aca="1" ref="AF243" ca="1">IFERROR(IF(OR('Raw Data'!AF243="",LEN(TRIM('Raw Data'!AF243))=0),"",IF(AND(ISNUMBER('Raw Data'!AF243), IFERROR('Raw Data'!AF243 = ROUND('Raw Data'!AF243, 2),FALSE)),"",_xlfn.REGEXEXTRACT(CELL("address",AF243), "\$([A-Z]+)\$[0-9]+"))),_xlfn.REGEXEXTRACT(CELL("address",AF243), "\$([A-Z]+)\$[0-9]+"))</f>
        <v/>
      </c>
      <c r="AG243" s="7" t="str">
        <f t="array" aca="1" ref="AG243" ca="1">IFERROR(IF(OR('Raw Data'!AG243="",LEN(TRIM('Raw Data'!AG243))=0),"",IF(AND(ISNUMBER('Raw Data'!AG243), IFERROR('Raw Data'!AG243 = ROUND('Raw Data'!AG243, 2),FALSE)),"",_xlfn.REGEXEXTRACT(CELL("address",AG243), "\$([A-Z]+)\$[0-9]+"))),_xlfn.REGEXEXTRACT(CELL("address",AG243), "\$([A-Z]+)\$[0-9]+"))</f>
        <v/>
      </c>
      <c r="AH243" s="7" t="str">
        <f t="array" aca="1" ref="AH243" ca="1">IFERROR(IF(OR('Raw Data'!AH243="",LEN(TRIM('Raw Data'!AH243))=0),"",IF(AND(ISNUMBER('Raw Data'!AH243), IFERROR('Raw Data'!AH243 = ROUND('Raw Data'!AH243, 2),FALSE)),"",_xlfn.REGEXEXTRACT(CELL("address",AH243), "\$([A-Z]+)\$[0-9]+"))),_xlfn.REGEXEXTRACT(CELL("address",AH243), "\$([A-Z]+)\$[0-9]+"))</f>
        <v/>
      </c>
      <c r="AI243" s="7" t="str">
        <f t="array" aca="1" ref="AI243" ca="1">IFERROR(IF(OR('Raw Data'!AI243="",LEN(TRIM('Raw Data'!AI243))=0),"",IF(AND(ISNUMBER('Raw Data'!AI243), IFERROR('Raw Data'!AI243 = ROUND('Raw Data'!AI243, 2),FALSE)),"",_xlfn.REGEXEXTRACT(CELL("address",AI243), "\$([A-Z]+)\$[0-9]+"))),_xlfn.REGEXEXTRACT(CELL("address",AI243), "\$([A-Z]+)\$[0-9]+"))</f>
        <v/>
      </c>
      <c r="AJ243" s="7" t="str">
        <f t="array" aca="1" ref="AJ243" ca="1">IFERROR(IF(OR('Raw Data'!AJ243="",LEN(TRIM('Raw Data'!AJ243))=0),"",IF(AND(ISNUMBER('Raw Data'!AJ243), IFERROR('Raw Data'!AJ243 = ROUND('Raw Data'!AJ243, 4),FALSE)),"",_xlfn.REGEXEXTRACT(CELL("address",AJ243), "\$([A-Z]+)\$[0-9]+"))),_xlfn.REGEXEXTRACT(CELL("address",AJ243), "\$([A-Z]+)\$[0-9]+"))</f>
        <v/>
      </c>
      <c r="AK243" s="7" t="str">
        <f t="array" aca="1" ref="AK243" ca="1">IFERROR(IF(OR('Raw Data'!AK243="",LEN(TRIM('Raw Data'!AK243))=0),"",IF(AND(ISNUMBER('Raw Data'!AK243), IFERROR('Raw Data'!AK243 = ROUND('Raw Data'!AK243, 2),FALSE)),"",_xlfn.REGEXEXTRACT(CELL("address",AK243), "\$([A-Z]+)\$[0-9]+"))),_xlfn.REGEXEXTRACT(CELL("address",AK243), "\$([A-Z]+)\$[0-9]+"))</f>
        <v/>
      </c>
      <c r="AL243" s="7" t="str">
        <f t="array" aca="1" ref="AL243" ca="1">IFERROR(IF(OR('Raw Data'!AL243="",LEN(TRIM('Raw Data'!AL243))=0),"",IF(AND(ISNUMBER('Raw Data'!AL243), IFERROR('Raw Data'!AL243 = ROUND('Raw Data'!AL243, 2),FALSE)),"",_xlfn.REGEXEXTRACT(CELL("address",AL243), "\$([A-Z]+)\$[0-9]+"))),_xlfn.REGEXEXTRACT(CELL("address",AL243), "\$([A-Z]+)\$[0-9]+"))</f>
        <v/>
      </c>
      <c r="AM243" s="7" t="str">
        <f t="array" aca="1" ref="AM243" ca="1">IFERROR(IF(OR('Raw Data'!AM243="",LEN(TRIM('Raw Data'!AM243))=0),"",IF(AND(ISNUMBER('Raw Data'!AM243), IFERROR('Raw Data'!AM243 = ROUND('Raw Data'!AM243, 2),FALSE)),"",_xlfn.REGEXEXTRACT(CELL("address",AM243), "\$([A-Z]+)\$[0-9]+"))),_xlfn.REGEXEXTRACT(CELL("address",AM243), "\$([A-Z]+)\$[0-9]+"))</f>
        <v/>
      </c>
      <c r="AN243" s="7" t="str">
        <f t="array" aca="1" ref="AN243" ca="1">IFERROR(IF(OR('Raw Data'!AN243="",LEN(TRIM('Raw Data'!AN243))=0),"",IF(AND(ISNUMBER('Raw Data'!AN243), IFERROR('Raw Data'!AN243 = ROUND('Raw Data'!AN243, 2),FALSE)),"",_xlfn.REGEXEXTRACT(CELL("address",AN243), "\$([A-Z]+)\$[0-9]+"))),_xlfn.REGEXEXTRACT(CELL("address",AN243), "\$([A-Z]+)\$[0-9]+"))</f>
        <v/>
      </c>
      <c r="AO243" s="7" t="str">
        <f t="array" aca="1" ref="AO243" ca="1">IFERROR(IF(OR('Raw Data'!AO243="",LEN(TRIM('Raw Data'!AO243))=0),"",IF(AND(ISNUMBER('Raw Data'!AO243), IFERROR('Raw Data'!AO243 = ROUND('Raw Data'!AO243, 2),FALSE)),"",_xlfn.REGEXEXTRACT(CELL("address",AO243), "\$([A-Z]+)\$[0-9]+"))),_xlfn.REGEXEXTRACT(CELL("address",AO243), "\$([A-Z]+)\$[0-9]+"))</f>
        <v/>
      </c>
      <c r="AP243" s="7" t="str">
        <f t="array" aca="1" ref="AP243" ca="1">IFERROR(IF(OR('Raw Data'!AP243="",LEN(TRIM('Raw Data'!AP243))=0),"",IF(AND(ISNUMBER('Raw Data'!AP243), IFERROR('Raw Data'!AP243 = ROUND('Raw Data'!AP243, 2),FALSE)),"",_xlfn.REGEXEXTRACT(CELL("address",AP243), "\$([A-Z]+)\$[0-9]+"))),_xlfn.REGEXEXTRACT(CELL("address",AP243), "\$([A-Z]+)\$[0-9]+"))</f>
        <v/>
      </c>
    </row>
    <row r="244" spans="2:42" x14ac:dyDescent="0.25">
      <c r="B244" s="7" t="str">
        <f t="array" aca="1" ref="B244" ca="1">IFERROR(IF(OR('Raw Data'!B244="",LEN(TRIM('Raw Data'!B244))=0),"",IF(AND(LEN('Raw Data'!B244) &lt;= 255,LEN('Raw Data'!B244)&gt; 0),"",_xlfn.REGEXEXTRACT(CELL("address",'Raw Data'!B244),"\$([A-Z]+)\$[0-9]+"))),_xlfn.REGEXEXTRACT(CELL("address",'Raw Data'!B244),"\$([A-Z]+)\$[0-9]+"))</f>
        <v/>
      </c>
      <c r="C244" s="7" t="str">
        <f t="array" aca="1" ref="C244" ca="1">IFERROR(IF(OR('Raw Data'!C244="",LEN(TRIM('Raw Data'!C244))=0),"",IF(AND(LEN('Raw Data'!C244) &lt;= 50,LEN('Raw Data'!C244)&gt; 0),"",_xlfn.REGEXEXTRACT(CELL("address",'Raw Data'!C244),"\$([A-Z]+)\$[0-9]+"))),_xlfn.REGEXEXTRACT(CELL("address",'Raw Data'!C244),"\$([A-Z]+)\$[0-9]+"))</f>
        <v/>
      </c>
      <c r="D244" s="7" t="str">
        <f t="array" aca="1" ref="D244" ca="1">IFERROR(IF(OR('Raw Data'!D244="",LEN(TRIM('Raw Data'!D244))=0),"",IF(AND(LEN('Raw Data'!D244) &lt;= 500,LEN('Raw Data'!D244)&gt; 0),"",_xlfn.REGEXEXTRACT(CELL("address",'Raw Data'!D244),"\$([A-Z]+)\$[0-9]+"))),_xlfn.REGEXEXTRACT(CELL("address",'Raw Data'!D244),"\$([A-Z]+)\$[0-9]+"))</f>
        <v/>
      </c>
      <c r="E244" s="7" t="str">
        <f t="array" aca="1" ref="E244" ca="1">IFERROR(IF(OR('Raw Data'!E244="",LEN(TRIM('Raw Data'!E244))=0),"",IF(AND(LEN('Raw Data'!E244) &lt;= 50,LEN('Raw Data'!E244)&gt; 0),"",_xlfn.REGEXEXTRACT(CELL("address",'Raw Data'!E244),"\$([A-Z]+)\$[0-9]+"))),_xlfn.REGEXEXTRACT(CELL("address",'Raw Data'!E244),"\$([A-Z]+)\$[0-9]+"))</f>
        <v/>
      </c>
      <c r="F244" s="7" t="str">
        <f t="array" aca="1" ref="F244" ca="1">IFERROR(IF(OR('Raw Data'!F244="",LEN(TRIM('Raw Data'!F244))=0),"",IF(AND(LEN('Raw Data'!F244) &lt;= 50,LEN('Raw Data'!F244)&gt; 0),"",_xlfn.REGEXEXTRACT(CELL("address",'Raw Data'!F244),"\$([A-Z]+)\$[0-9]+"))),_xlfn.REGEXEXTRACT(CELL("address",'Raw Data'!F244),"\$([A-Z]+)\$[0-9]+"))</f>
        <v/>
      </c>
      <c r="G244" s="7" t="str">
        <f t="array" aca="1" ref="G244" ca="1">IFERROR(IF(OR('Raw Data'!G244="",LEN(TRIM('Raw Data'!G244))=0),"",IF(AND(LEN('Raw Data'!G244) &lt;= 50,LEN('Raw Data'!G244)&gt; 0),"",_xlfn.REGEXEXTRACT(CELL("address",'Raw Data'!G244),"\$([A-Z]+)\$[0-9]+"))),_xlfn.REGEXEXTRACT(CELL("address",'Raw Data'!G244),"\$([A-Z]+)\$[0-9]+"))</f>
        <v/>
      </c>
      <c r="H244" s="7" t="str">
        <f t="array" aca="1" ref="H244" ca="1">IFERROR(IF(OR('Raw Data'!H244="",LEN(TRIM('Raw Data'!H244))=0),"",IF(AND(LEN('Raw Data'!H244) &lt;= 50,LEN('Raw Data'!H244)&gt; 0),"",_xlfn.REGEXEXTRACT(CELL("address",'Raw Data'!H244),"\$([A-Z]+)\$[0-9]+"))),_xlfn.REGEXEXTRACT(CELL("address",'Raw Data'!H244),"\$([A-Z]+)\$[0-9]+"))</f>
        <v/>
      </c>
      <c r="I244" s="7" t="str">
        <f t="array" aca="1" ref="I244" ca="1">IFERROR(IF(OR('Raw Data'!I244="",LEN(TRIM('Raw Data'!I244))=0),"",IF(AND(LEN('Raw Data'!I244) &lt;= 50,LEN('Raw Data'!I244)&gt; 0),"",_xlfn.REGEXEXTRACT(CELL("address",'Raw Data'!I244),"\$([A-Z]+)\$[0-9]+"))),_xlfn.REGEXEXTRACT(CELL("address",'Raw Data'!I244),"\$([A-Z]+)\$[0-9]+"))</f>
        <v/>
      </c>
      <c r="J244" s="7" t="str">
        <f t="array" aca="1" ref="J244" ca="1">IFERROR(IF(OR('Raw Data'!J244="",LEN(TRIM('Raw Data'!J244))=0),"",IF(AND(ISNUMBER('Raw Data'!J244), IFERROR('Raw Data'!J244 = ROUND('Raw Data'!J244, 2),FALSE)),"",_xlfn.REGEXEXTRACT(CELL("address",J244), "\$([A-Z]+)\$[0-9]+"))),_xlfn.REGEXEXTRACT(CELL("address",J244), "\$([A-Z]+)\$[0-9]+"))</f>
        <v/>
      </c>
      <c r="K244" s="7" t="str">
        <f t="array" aca="1" ref="K244" ca="1">IFERROR(IF(OR('Raw Data'!K244="",LEN(TRIM('Raw Data'!K244))=0),"",IF(AND(ISNUMBER('Raw Data'!K244), IFERROR('Raw Data'!K244 = ROUND('Raw Data'!K244, 2),FALSE)),"",_xlfn.REGEXEXTRACT(CELL("address",K244), "\$([A-Z]+)\$[0-9]+"))),_xlfn.REGEXEXTRACT(CELL("address",K244), "\$([A-Z]+)\$[0-9]+"))</f>
        <v/>
      </c>
      <c r="L244" s="7" t="str">
        <f t="array" aca="1" ref="L244" ca="1">IFERROR(IF(OR('Raw Data'!L244="",LEN(TRIM('Raw Data'!L244))=0),"",IF(AND(ISNUMBER('Raw Data'!L244), IFERROR('Raw Data'!L244 = ROUND('Raw Data'!L244, 2),FALSE)),"",_xlfn.REGEXEXTRACT(CELL("address",L244), "\$([A-Z]+)\$[0-9]+"))),_xlfn.REGEXEXTRACT(CELL("address",L244), "\$([A-Z]+)\$[0-9]+"))</f>
        <v/>
      </c>
      <c r="M244" s="7" t="str">
        <f t="array" aca="1" ref="M244" ca="1">IFERROR(IF(OR('Raw Data'!M244="",LEN(TRIM('Raw Data'!M244))=0),"",IF(AND(ISNUMBER('Raw Data'!M244), IFERROR('Raw Data'!M244 = ROUND('Raw Data'!M244, 2),FALSE)),"",_xlfn.REGEXEXTRACT(CELL("address",M244), "\$([A-Z]+)\$[0-9]+"))),_xlfn.REGEXEXTRACT(CELL("address",M244), "\$([A-Z]+)\$[0-9]+"))</f>
        <v/>
      </c>
      <c r="N244" s="7" t="str">
        <f t="array" aca="1" ref="N244" ca="1">IFERROR(IF(OR('Raw Data'!N244="",LEN(TRIM('Raw Data'!N244))=0),"",IF(AND(ISNUMBER('Raw Data'!N244), IFERROR('Raw Data'!N244 = ROUND('Raw Data'!N244, 2),FALSE)),"",_xlfn.REGEXEXTRACT(CELL("address",N244), "\$([A-Z]+)\$[0-9]+"))),_xlfn.REGEXEXTRACT(CELL("address",N244), "\$([A-Z]+)\$[0-9]+"))</f>
        <v/>
      </c>
      <c r="O244" s="7" t="str">
        <f t="array" aca="1" ref="O244" ca="1">IFERROR(IF(OR('Raw Data'!O244="",LEN(TRIM('Raw Data'!O244))=0),"",IF(AND(ISNUMBER('Raw Data'!O244),'Raw Data'!O244&gt;=Configuration!$D$2),"",_xlfn.REGEXEXTRACT(CELL("address",'Raw Data'!O244),"\$([A-Z]+)\$[0-9]+"))),_xlfn.REGEXEXTRACT(CELL("address",O244), "\$([A-Z]+)\$[0-9]+"))</f>
        <v/>
      </c>
      <c r="P244" s="7" t="str">
        <f t="array" aca="1" ref="P244" ca="1">IFERROR(IF(OR('Raw Data'!P244="",LEN(TRIM('Raw Data'!P244))=0),"",IF(AND(ISNUMBER('Raw Data'!P244), IFERROR('Raw Data'!P244 = ROUND('Raw Data'!P244, 2),FALSE)),"",_xlfn.REGEXEXTRACT(CELL("address",P244), "\$([A-Z]+)\$[0-9]+"))),_xlfn.REGEXEXTRACT(CELL("address",P244), "\$([A-Z]+)\$[0-9]+"))</f>
        <v/>
      </c>
      <c r="Q244" s="7" t="str">
        <f t="array" aca="1" ref="Q244" ca="1">IFERROR(IF(OR('Raw Data'!Q244="",LEN(TRIM('Raw Data'!Q244))=0),"",IF(AND(ISNUMBER('Raw Data'!Q244), IFERROR('Raw Data'!Q244 = ROUND('Raw Data'!Q244, 2),FALSE)),"",_xlfn.REGEXEXTRACT(CELL("address",Q244), "\$([A-Z]+)\$[0-9]+"))),_xlfn.REGEXEXTRACT(CELL("address",Q244), "\$([A-Z]+)\$[0-9]+"))</f>
        <v/>
      </c>
      <c r="R244" s="7" t="str">
        <f t="array" aca="1" ref="R244" ca="1">IFERROR(IF(OR('Raw Data'!R244="",LEN(TRIM('Raw Data'!R244))=0),"",IF(AND(LEN('Raw Data'!R244) &lt;= 50,LEN('Raw Data'!R244)&gt; 0),"",_xlfn.REGEXEXTRACT(CELL("address",'Raw Data'!R244),"\$([A-Z]+)\$[0-9]+"))),_xlfn.REGEXEXTRACT(CELL("address",'Raw Data'!R244),"\$([A-Z]+)\$[0-9]+"))</f>
        <v/>
      </c>
      <c r="S244" s="7" t="str">
        <f t="array" aca="1" ref="S244" ca="1">IFERROR(IF(OR('Raw Data'!S244="",LEN(TRIM('Raw Data'!S244))=0),"",IF(AND(LEN('Raw Data'!S244) &lt;= 50,LEN('Raw Data'!S244)&gt; 0),"",_xlfn.REGEXEXTRACT(CELL("address",'Raw Data'!S244),"\$([A-Z]+)\$[0-9]+"))),_xlfn.REGEXEXTRACT(CELL("address",'Raw Data'!S244),"\$([A-Z]+)\$[0-9]+"))</f>
        <v/>
      </c>
      <c r="T244" s="7" t="str">
        <f t="array" aca="1" ref="T244" ca="1">IFERROR(IF(OR('Raw Data'!T244="",LEN(TRIM('Raw Data'!T244))=0),"",IF(AND(ISNUMBER('Raw Data'!T244), IFERROR('Raw Data'!T244 = ROUND('Raw Data'!T244, 2),FALSE)),"",_xlfn.REGEXEXTRACT(CELL("address",T244), "\$([A-Z]+)\$[0-9]+"))),_xlfn.REGEXEXTRACT(CELL("address",T244), "\$([A-Z]+)\$[0-9]+"))</f>
        <v/>
      </c>
      <c r="U244" s="7" t="str">
        <f t="array" aca="1" ref="U244" ca="1">IFERROR(IF(OR('Raw Data'!U244="",LEN(TRIM('Raw Data'!U244))=0),"",IF(AND(ISNUMBER('Raw Data'!U244), IFERROR('Raw Data'!U244 = ROUND('Raw Data'!U244, 2),FALSE)),"",_xlfn.REGEXEXTRACT(CELL("address",U244), "\$([A-Z]+)\$[0-9]+"))),_xlfn.REGEXEXTRACT(CELL("address",U244), "\$([A-Z]+)\$[0-9]+"))</f>
        <v/>
      </c>
      <c r="V244" s="7" t="str">
        <f t="array" aca="1" ref="V244" ca="1">IFERROR(IF(OR('Raw Data'!V244="",LEN(TRIM('Raw Data'!V244))=0),"",IF(AND(ISNUMBER('Raw Data'!V244), IFERROR('Raw Data'!V244 = ROUND('Raw Data'!V244, 2),FALSE)),"",_xlfn.REGEXEXTRACT(CELL("address",V244), "\$([A-Z]+)\$[0-9]+"))),_xlfn.REGEXEXTRACT(CELL("address",V244), "\$([A-Z]+)\$[0-9]+"))</f>
        <v/>
      </c>
      <c r="W244" s="7" t="str">
        <f t="array" aca="1" ref="W244" ca="1">IFERROR(IF(OR('Raw Data'!W244="",LEN(TRIM('Raw Data'!W244))=0),"",IF(AND(ISNUMBER('Raw Data'!W244), IFERROR('Raw Data'!W244 = ROUND('Raw Data'!W244, 2),FALSE)),"",_xlfn.REGEXEXTRACT(CELL("address",W244), "\$([A-Z]+)\$[0-9]+"))),_xlfn.REGEXEXTRACT(CELL("address",W244), "\$([A-Z]+)\$[0-9]+"))</f>
        <v/>
      </c>
      <c r="X244" s="7" t="str">
        <f t="array" aca="1" ref="X244" ca="1">IFERROR(IF(OR('Raw Data'!X244="",LEN(TRIM('Raw Data'!X244))=0),"",IF(AND(ISNUMBER('Raw Data'!X244), IFERROR('Raw Data'!X244 = ROUND('Raw Data'!X244, 2),FALSE)),"",_xlfn.REGEXEXTRACT(CELL("address",X244), "\$([A-Z]+)\$[0-9]+"))),_xlfn.REGEXEXTRACT(CELL("address",X244), "\$([A-Z]+)\$[0-9]+"))</f>
        <v/>
      </c>
      <c r="Y244" s="7" t="str">
        <f t="array" aca="1" ref="Y244" ca="1">IFERROR(IF(OR('Raw Data'!Y244="",LEN(TRIM('Raw Data'!Y244))=0),"",IF(AND(ISNUMBER('Raw Data'!Y244), IFERROR('Raw Data'!Y244 = ROUND('Raw Data'!Y244, 2),FALSE)),"",_xlfn.REGEXEXTRACT(CELL("address",Y244), "\$([A-Z]+)\$[0-9]+"))),_xlfn.REGEXEXTRACT(CELL("address",Y244), "\$([A-Z]+)\$[0-9]+"))</f>
        <v/>
      </c>
      <c r="Z244" s="7" t="str">
        <f t="array" aca="1" ref="Z244" ca="1">IFERROR(IF(OR('Raw Data'!Z244="",LEN(TRIM('Raw Data'!Z244))=0),"",IF(AND(ISNUMBER('Raw Data'!Z244), IFERROR('Raw Data'!Z244 = ROUND('Raw Data'!Z244, 2),FALSE)),"",_xlfn.REGEXEXTRACT(CELL("address",Z244), "\$([A-Z]+)\$[0-9]+"))),_xlfn.REGEXEXTRACT(CELL("address",Z244), "\$([A-Z]+)\$[0-9]+"))</f>
        <v/>
      </c>
      <c r="AA244" s="7" t="str">
        <f t="array" aca="1" ref="AA244" ca="1">IFERROR(IF(OR('Raw Data'!AA244="",LEN(TRIM('Raw Data'!AA244))=0),"",IF(AND(ISNUMBER('Raw Data'!AA244), IFERROR('Raw Data'!AA244 = ROUND('Raw Data'!AA244, 2),FALSE)),"",_xlfn.REGEXEXTRACT(CELL("address",AA244), "\$([A-Z]+)\$[0-9]+"))),_xlfn.REGEXEXTRACT(CELL("address",AA244), "\$([A-Z]+)\$[0-9]+"))</f>
        <v/>
      </c>
      <c r="AB244" s="7" t="str">
        <f t="array" aca="1" ref="AB244" ca="1">IFERROR(IF(OR('Raw Data'!AB244="",LEN(TRIM('Raw Data'!AB244))=0),"",IF(AND(ISNUMBER('Raw Data'!AB244), IFERROR('Raw Data'!AB244 = ROUND('Raw Data'!AB244, 2),FALSE)),"",_xlfn.REGEXEXTRACT(CELL("address",AB244), "\$([A-Z]+)\$[0-9]+"))),_xlfn.REGEXEXTRACT(CELL("address",AB244), "\$([A-Z]+)\$[0-9]+"))</f>
        <v/>
      </c>
      <c r="AC244" s="7" t="str">
        <f t="array" aca="1" ref="AC244" ca="1">IFERROR(IF(OR('Raw Data'!AC244="",LEN(TRIM('Raw Data'!AC244))=0),"",IF(AND(ISNUMBER('Raw Data'!AC244), IFERROR('Raw Data'!AC244 = ROUND('Raw Data'!AC244, 2),FALSE)),"",_xlfn.REGEXEXTRACT(CELL("address",AC244), "\$([A-Z]+)\$[0-9]+"))),_xlfn.REGEXEXTRACT(CELL("address",AC244), "\$([A-Z]+)\$[0-9]+"))</f>
        <v/>
      </c>
      <c r="AD244" s="7" t="str">
        <f t="array" aca="1" ref="AD244" ca="1">IFERROR(IF(OR('Raw Data'!AD244="",LEN(TRIM('Raw Data'!AD244))=0),"",IF(AND(ISNUMBER('Raw Data'!AD244), IFERROR('Raw Data'!AD244 = ROUND('Raw Data'!AD244, 2),FALSE)),"",_xlfn.REGEXEXTRACT(CELL("address",AD244), "\$([A-Z]+)\$[0-9]+"))),_xlfn.REGEXEXTRACT(CELL("address",AD244), "\$([A-Z]+)\$[0-9]+"))</f>
        <v/>
      </c>
      <c r="AE244" s="7" t="str">
        <f t="array" aca="1" ref="AE244" ca="1">IFERROR(IF(OR('Raw Data'!AE244="",LEN(TRIM('Raw Data'!AE244))=0),"",IF(AND(ISNUMBER('Raw Data'!AE244), IFERROR('Raw Data'!AE244 = ROUND('Raw Data'!AE244, 2),FALSE)),"",_xlfn.REGEXEXTRACT(CELL("address",AE244), "\$([A-Z]+)\$[0-9]+"))),_xlfn.REGEXEXTRACT(CELL("address",AE244), "\$([A-Z]+)\$[0-9]+"))</f>
        <v/>
      </c>
      <c r="AF244" s="7" t="str">
        <f t="array" aca="1" ref="AF244" ca="1">IFERROR(IF(OR('Raw Data'!AF244="",LEN(TRIM('Raw Data'!AF244))=0),"",IF(AND(ISNUMBER('Raw Data'!AF244), IFERROR('Raw Data'!AF244 = ROUND('Raw Data'!AF244, 2),FALSE)),"",_xlfn.REGEXEXTRACT(CELL("address",AF244), "\$([A-Z]+)\$[0-9]+"))),_xlfn.REGEXEXTRACT(CELL("address",AF244), "\$([A-Z]+)\$[0-9]+"))</f>
        <v/>
      </c>
      <c r="AG244" s="7" t="str">
        <f t="array" aca="1" ref="AG244" ca="1">IFERROR(IF(OR('Raw Data'!AG244="",LEN(TRIM('Raw Data'!AG244))=0),"",IF(AND(ISNUMBER('Raw Data'!AG244), IFERROR('Raw Data'!AG244 = ROUND('Raw Data'!AG244, 2),FALSE)),"",_xlfn.REGEXEXTRACT(CELL("address",AG244), "\$([A-Z]+)\$[0-9]+"))),_xlfn.REGEXEXTRACT(CELL("address",AG244), "\$([A-Z]+)\$[0-9]+"))</f>
        <v/>
      </c>
      <c r="AH244" s="7" t="str">
        <f t="array" aca="1" ref="AH244" ca="1">IFERROR(IF(OR('Raw Data'!AH244="",LEN(TRIM('Raw Data'!AH244))=0),"",IF(AND(ISNUMBER('Raw Data'!AH244), IFERROR('Raw Data'!AH244 = ROUND('Raw Data'!AH244, 2),FALSE)),"",_xlfn.REGEXEXTRACT(CELL("address",AH244), "\$([A-Z]+)\$[0-9]+"))),_xlfn.REGEXEXTRACT(CELL("address",AH244), "\$([A-Z]+)\$[0-9]+"))</f>
        <v/>
      </c>
      <c r="AI244" s="7" t="str">
        <f t="array" aca="1" ref="AI244" ca="1">IFERROR(IF(OR('Raw Data'!AI244="",LEN(TRIM('Raw Data'!AI244))=0),"",IF(AND(ISNUMBER('Raw Data'!AI244), IFERROR('Raw Data'!AI244 = ROUND('Raw Data'!AI244, 2),FALSE)),"",_xlfn.REGEXEXTRACT(CELL("address",AI244), "\$([A-Z]+)\$[0-9]+"))),_xlfn.REGEXEXTRACT(CELL("address",AI244), "\$([A-Z]+)\$[0-9]+"))</f>
        <v/>
      </c>
      <c r="AJ244" s="7" t="str">
        <f t="array" aca="1" ref="AJ244" ca="1">IFERROR(IF(OR('Raw Data'!AJ244="",LEN(TRIM('Raw Data'!AJ244))=0),"",IF(AND(ISNUMBER('Raw Data'!AJ244), IFERROR('Raw Data'!AJ244 = ROUND('Raw Data'!AJ244, 4),FALSE)),"",_xlfn.REGEXEXTRACT(CELL("address",AJ244), "\$([A-Z]+)\$[0-9]+"))),_xlfn.REGEXEXTRACT(CELL("address",AJ244), "\$([A-Z]+)\$[0-9]+"))</f>
        <v/>
      </c>
      <c r="AK244" s="7" t="str">
        <f t="array" aca="1" ref="AK244" ca="1">IFERROR(IF(OR('Raw Data'!AK244="",LEN(TRIM('Raw Data'!AK244))=0),"",IF(AND(ISNUMBER('Raw Data'!AK244), IFERROR('Raw Data'!AK244 = ROUND('Raw Data'!AK244, 2),FALSE)),"",_xlfn.REGEXEXTRACT(CELL("address",AK244), "\$([A-Z]+)\$[0-9]+"))),_xlfn.REGEXEXTRACT(CELL("address",AK244), "\$([A-Z]+)\$[0-9]+"))</f>
        <v/>
      </c>
      <c r="AL244" s="7" t="str">
        <f t="array" aca="1" ref="AL244" ca="1">IFERROR(IF(OR('Raw Data'!AL244="",LEN(TRIM('Raw Data'!AL244))=0),"",IF(AND(ISNUMBER('Raw Data'!AL244), IFERROR('Raw Data'!AL244 = ROUND('Raw Data'!AL244, 2),FALSE)),"",_xlfn.REGEXEXTRACT(CELL("address",AL244), "\$([A-Z]+)\$[0-9]+"))),_xlfn.REGEXEXTRACT(CELL("address",AL244), "\$([A-Z]+)\$[0-9]+"))</f>
        <v/>
      </c>
      <c r="AM244" s="7" t="str">
        <f t="array" aca="1" ref="AM244" ca="1">IFERROR(IF(OR('Raw Data'!AM244="",LEN(TRIM('Raw Data'!AM244))=0),"",IF(AND(ISNUMBER('Raw Data'!AM244), IFERROR('Raw Data'!AM244 = ROUND('Raw Data'!AM244, 2),FALSE)),"",_xlfn.REGEXEXTRACT(CELL("address",AM244), "\$([A-Z]+)\$[0-9]+"))),_xlfn.REGEXEXTRACT(CELL("address",AM244), "\$([A-Z]+)\$[0-9]+"))</f>
        <v/>
      </c>
      <c r="AN244" s="7" t="str">
        <f t="array" aca="1" ref="AN244" ca="1">IFERROR(IF(OR('Raw Data'!AN244="",LEN(TRIM('Raw Data'!AN244))=0),"",IF(AND(ISNUMBER('Raw Data'!AN244), IFERROR('Raw Data'!AN244 = ROUND('Raw Data'!AN244, 2),FALSE)),"",_xlfn.REGEXEXTRACT(CELL("address",AN244), "\$([A-Z]+)\$[0-9]+"))),_xlfn.REGEXEXTRACT(CELL("address",AN244), "\$([A-Z]+)\$[0-9]+"))</f>
        <v/>
      </c>
      <c r="AO244" s="7" t="str">
        <f t="array" aca="1" ref="AO244" ca="1">IFERROR(IF(OR('Raw Data'!AO244="",LEN(TRIM('Raw Data'!AO244))=0),"",IF(AND(ISNUMBER('Raw Data'!AO244), IFERROR('Raw Data'!AO244 = ROUND('Raw Data'!AO244, 2),FALSE)),"",_xlfn.REGEXEXTRACT(CELL("address",AO244), "\$([A-Z]+)\$[0-9]+"))),_xlfn.REGEXEXTRACT(CELL("address",AO244), "\$([A-Z]+)\$[0-9]+"))</f>
        <v/>
      </c>
      <c r="AP244" s="7" t="str">
        <f t="array" aca="1" ref="AP244" ca="1">IFERROR(IF(OR('Raw Data'!AP244="",LEN(TRIM('Raw Data'!AP244))=0),"",IF(AND(ISNUMBER('Raw Data'!AP244), IFERROR('Raw Data'!AP244 = ROUND('Raw Data'!AP244, 2),FALSE)),"",_xlfn.REGEXEXTRACT(CELL("address",AP244), "\$([A-Z]+)\$[0-9]+"))),_xlfn.REGEXEXTRACT(CELL("address",AP244), "\$([A-Z]+)\$[0-9]+"))</f>
        <v/>
      </c>
    </row>
    <row r="245" spans="2:42" x14ac:dyDescent="0.25">
      <c r="B245" s="7" t="str">
        <f t="array" aca="1" ref="B245" ca="1">IFERROR(IF(OR('Raw Data'!B245="",LEN(TRIM('Raw Data'!B245))=0),"",IF(AND(LEN('Raw Data'!B245) &lt;= 255,LEN('Raw Data'!B245)&gt; 0),"",_xlfn.REGEXEXTRACT(CELL("address",'Raw Data'!B245),"\$([A-Z]+)\$[0-9]+"))),_xlfn.REGEXEXTRACT(CELL("address",'Raw Data'!B245),"\$([A-Z]+)\$[0-9]+"))</f>
        <v/>
      </c>
      <c r="C245" s="7" t="str">
        <f t="array" aca="1" ref="C245" ca="1">IFERROR(IF(OR('Raw Data'!C245="",LEN(TRIM('Raw Data'!C245))=0),"",IF(AND(LEN('Raw Data'!C245) &lt;= 50,LEN('Raw Data'!C245)&gt; 0),"",_xlfn.REGEXEXTRACT(CELL("address",'Raw Data'!C245),"\$([A-Z]+)\$[0-9]+"))),_xlfn.REGEXEXTRACT(CELL("address",'Raw Data'!C245),"\$([A-Z]+)\$[0-9]+"))</f>
        <v/>
      </c>
      <c r="D245" s="7" t="str">
        <f t="array" aca="1" ref="D245" ca="1">IFERROR(IF(OR('Raw Data'!D245="",LEN(TRIM('Raw Data'!D245))=0),"",IF(AND(LEN('Raw Data'!D245) &lt;= 500,LEN('Raw Data'!D245)&gt; 0),"",_xlfn.REGEXEXTRACT(CELL("address",'Raw Data'!D245),"\$([A-Z]+)\$[0-9]+"))),_xlfn.REGEXEXTRACT(CELL("address",'Raw Data'!D245),"\$([A-Z]+)\$[0-9]+"))</f>
        <v/>
      </c>
      <c r="E245" s="7" t="str">
        <f t="array" aca="1" ref="E245" ca="1">IFERROR(IF(OR('Raw Data'!E245="",LEN(TRIM('Raw Data'!E245))=0),"",IF(AND(LEN('Raw Data'!E245) &lt;= 50,LEN('Raw Data'!E245)&gt; 0),"",_xlfn.REGEXEXTRACT(CELL("address",'Raw Data'!E245),"\$([A-Z]+)\$[0-9]+"))),_xlfn.REGEXEXTRACT(CELL("address",'Raw Data'!E245),"\$([A-Z]+)\$[0-9]+"))</f>
        <v/>
      </c>
      <c r="F245" s="7" t="str">
        <f t="array" aca="1" ref="F245" ca="1">IFERROR(IF(OR('Raw Data'!F245="",LEN(TRIM('Raw Data'!F245))=0),"",IF(AND(LEN('Raw Data'!F245) &lt;= 50,LEN('Raw Data'!F245)&gt; 0),"",_xlfn.REGEXEXTRACT(CELL("address",'Raw Data'!F245),"\$([A-Z]+)\$[0-9]+"))),_xlfn.REGEXEXTRACT(CELL("address",'Raw Data'!F245),"\$([A-Z]+)\$[0-9]+"))</f>
        <v/>
      </c>
      <c r="G245" s="7" t="str">
        <f t="array" aca="1" ref="G245" ca="1">IFERROR(IF(OR('Raw Data'!G245="",LEN(TRIM('Raw Data'!G245))=0),"",IF(AND(LEN('Raw Data'!G245) &lt;= 50,LEN('Raw Data'!G245)&gt; 0),"",_xlfn.REGEXEXTRACT(CELL("address",'Raw Data'!G245),"\$([A-Z]+)\$[0-9]+"))),_xlfn.REGEXEXTRACT(CELL("address",'Raw Data'!G245),"\$([A-Z]+)\$[0-9]+"))</f>
        <v/>
      </c>
      <c r="H245" s="7" t="str">
        <f t="array" aca="1" ref="H245" ca="1">IFERROR(IF(OR('Raw Data'!H245="",LEN(TRIM('Raw Data'!H245))=0),"",IF(AND(LEN('Raw Data'!H245) &lt;= 50,LEN('Raw Data'!H245)&gt; 0),"",_xlfn.REGEXEXTRACT(CELL("address",'Raw Data'!H245),"\$([A-Z]+)\$[0-9]+"))),_xlfn.REGEXEXTRACT(CELL("address",'Raw Data'!H245),"\$([A-Z]+)\$[0-9]+"))</f>
        <v/>
      </c>
      <c r="I245" s="7" t="str">
        <f t="array" aca="1" ref="I245" ca="1">IFERROR(IF(OR('Raw Data'!I245="",LEN(TRIM('Raw Data'!I245))=0),"",IF(AND(LEN('Raw Data'!I245) &lt;= 50,LEN('Raw Data'!I245)&gt; 0),"",_xlfn.REGEXEXTRACT(CELL("address",'Raw Data'!I245),"\$([A-Z]+)\$[0-9]+"))),_xlfn.REGEXEXTRACT(CELL("address",'Raw Data'!I245),"\$([A-Z]+)\$[0-9]+"))</f>
        <v/>
      </c>
      <c r="J245" s="7" t="str">
        <f t="array" aca="1" ref="J245" ca="1">IFERROR(IF(OR('Raw Data'!J245="",LEN(TRIM('Raw Data'!J245))=0),"",IF(AND(ISNUMBER('Raw Data'!J245), IFERROR('Raw Data'!J245 = ROUND('Raw Data'!J245, 2),FALSE)),"",_xlfn.REGEXEXTRACT(CELL("address",J245), "\$([A-Z]+)\$[0-9]+"))),_xlfn.REGEXEXTRACT(CELL("address",J245), "\$([A-Z]+)\$[0-9]+"))</f>
        <v/>
      </c>
      <c r="K245" s="7" t="str">
        <f t="array" aca="1" ref="K245" ca="1">IFERROR(IF(OR('Raw Data'!K245="",LEN(TRIM('Raw Data'!K245))=0),"",IF(AND(ISNUMBER('Raw Data'!K245), IFERROR('Raw Data'!K245 = ROUND('Raw Data'!K245, 2),FALSE)),"",_xlfn.REGEXEXTRACT(CELL("address",K245), "\$([A-Z]+)\$[0-9]+"))),_xlfn.REGEXEXTRACT(CELL("address",K245), "\$([A-Z]+)\$[0-9]+"))</f>
        <v/>
      </c>
      <c r="L245" s="7" t="str">
        <f t="array" aca="1" ref="L245" ca="1">IFERROR(IF(OR('Raw Data'!L245="",LEN(TRIM('Raw Data'!L245))=0),"",IF(AND(ISNUMBER('Raw Data'!L245), IFERROR('Raw Data'!L245 = ROUND('Raw Data'!L245, 2),FALSE)),"",_xlfn.REGEXEXTRACT(CELL("address",L245), "\$([A-Z]+)\$[0-9]+"))),_xlfn.REGEXEXTRACT(CELL("address",L245), "\$([A-Z]+)\$[0-9]+"))</f>
        <v/>
      </c>
      <c r="M245" s="7" t="str">
        <f t="array" aca="1" ref="M245" ca="1">IFERROR(IF(OR('Raw Data'!M245="",LEN(TRIM('Raw Data'!M245))=0),"",IF(AND(ISNUMBER('Raw Data'!M245), IFERROR('Raw Data'!M245 = ROUND('Raw Data'!M245, 2),FALSE)),"",_xlfn.REGEXEXTRACT(CELL("address",M245), "\$([A-Z]+)\$[0-9]+"))),_xlfn.REGEXEXTRACT(CELL("address",M245), "\$([A-Z]+)\$[0-9]+"))</f>
        <v/>
      </c>
      <c r="N245" s="7" t="str">
        <f t="array" aca="1" ref="N245" ca="1">IFERROR(IF(OR('Raw Data'!N245="",LEN(TRIM('Raw Data'!N245))=0),"",IF(AND(ISNUMBER('Raw Data'!N245), IFERROR('Raw Data'!N245 = ROUND('Raw Data'!N245, 2),FALSE)),"",_xlfn.REGEXEXTRACT(CELL("address",N245), "\$([A-Z]+)\$[0-9]+"))),_xlfn.REGEXEXTRACT(CELL("address",N245), "\$([A-Z]+)\$[0-9]+"))</f>
        <v/>
      </c>
      <c r="O245" s="7" t="str">
        <f t="array" aca="1" ref="O245" ca="1">IFERROR(IF(OR('Raw Data'!O245="",LEN(TRIM('Raw Data'!O245))=0),"",IF(AND(ISNUMBER('Raw Data'!O245),'Raw Data'!O245&gt;=Configuration!$D$2),"",_xlfn.REGEXEXTRACT(CELL("address",'Raw Data'!O245),"\$([A-Z]+)\$[0-9]+"))),_xlfn.REGEXEXTRACT(CELL("address",O245), "\$([A-Z]+)\$[0-9]+"))</f>
        <v/>
      </c>
      <c r="P245" s="7" t="str">
        <f t="array" aca="1" ref="P245" ca="1">IFERROR(IF(OR('Raw Data'!P245="",LEN(TRIM('Raw Data'!P245))=0),"",IF(AND(ISNUMBER('Raw Data'!P245), IFERROR('Raw Data'!P245 = ROUND('Raw Data'!P245, 2),FALSE)),"",_xlfn.REGEXEXTRACT(CELL("address",P245), "\$([A-Z]+)\$[0-9]+"))),_xlfn.REGEXEXTRACT(CELL("address",P245), "\$([A-Z]+)\$[0-9]+"))</f>
        <v/>
      </c>
      <c r="Q245" s="7" t="str">
        <f t="array" aca="1" ref="Q245" ca="1">IFERROR(IF(OR('Raw Data'!Q245="",LEN(TRIM('Raw Data'!Q245))=0),"",IF(AND(ISNUMBER('Raw Data'!Q245), IFERROR('Raw Data'!Q245 = ROUND('Raw Data'!Q245, 2),FALSE)),"",_xlfn.REGEXEXTRACT(CELL("address",Q245), "\$([A-Z]+)\$[0-9]+"))),_xlfn.REGEXEXTRACT(CELL("address",Q245), "\$([A-Z]+)\$[0-9]+"))</f>
        <v/>
      </c>
      <c r="R245" s="7" t="str">
        <f t="array" aca="1" ref="R245" ca="1">IFERROR(IF(OR('Raw Data'!R245="",LEN(TRIM('Raw Data'!R245))=0),"",IF(AND(LEN('Raw Data'!R245) &lt;= 50,LEN('Raw Data'!R245)&gt; 0),"",_xlfn.REGEXEXTRACT(CELL("address",'Raw Data'!R245),"\$([A-Z]+)\$[0-9]+"))),_xlfn.REGEXEXTRACT(CELL("address",'Raw Data'!R245),"\$([A-Z]+)\$[0-9]+"))</f>
        <v/>
      </c>
      <c r="S245" s="7" t="str">
        <f t="array" aca="1" ref="S245" ca="1">IFERROR(IF(OR('Raw Data'!S245="",LEN(TRIM('Raw Data'!S245))=0),"",IF(AND(LEN('Raw Data'!S245) &lt;= 50,LEN('Raw Data'!S245)&gt; 0),"",_xlfn.REGEXEXTRACT(CELL("address",'Raw Data'!S245),"\$([A-Z]+)\$[0-9]+"))),_xlfn.REGEXEXTRACT(CELL("address",'Raw Data'!S245),"\$([A-Z]+)\$[0-9]+"))</f>
        <v/>
      </c>
      <c r="T245" s="7" t="str">
        <f t="array" aca="1" ref="T245" ca="1">IFERROR(IF(OR('Raw Data'!T245="",LEN(TRIM('Raw Data'!T245))=0),"",IF(AND(ISNUMBER('Raw Data'!T245), IFERROR('Raw Data'!T245 = ROUND('Raw Data'!T245, 2),FALSE)),"",_xlfn.REGEXEXTRACT(CELL("address",T245), "\$([A-Z]+)\$[0-9]+"))),_xlfn.REGEXEXTRACT(CELL("address",T245), "\$([A-Z]+)\$[0-9]+"))</f>
        <v/>
      </c>
      <c r="U245" s="7" t="str">
        <f t="array" aca="1" ref="U245" ca="1">IFERROR(IF(OR('Raw Data'!U245="",LEN(TRIM('Raw Data'!U245))=0),"",IF(AND(ISNUMBER('Raw Data'!U245), IFERROR('Raw Data'!U245 = ROUND('Raw Data'!U245, 2),FALSE)),"",_xlfn.REGEXEXTRACT(CELL("address",U245), "\$([A-Z]+)\$[0-9]+"))),_xlfn.REGEXEXTRACT(CELL("address",U245), "\$([A-Z]+)\$[0-9]+"))</f>
        <v/>
      </c>
      <c r="V245" s="7" t="str">
        <f t="array" aca="1" ref="V245" ca="1">IFERROR(IF(OR('Raw Data'!V245="",LEN(TRIM('Raw Data'!V245))=0),"",IF(AND(ISNUMBER('Raw Data'!V245), IFERROR('Raw Data'!V245 = ROUND('Raw Data'!V245, 2),FALSE)),"",_xlfn.REGEXEXTRACT(CELL("address",V245), "\$([A-Z]+)\$[0-9]+"))),_xlfn.REGEXEXTRACT(CELL("address",V245), "\$([A-Z]+)\$[0-9]+"))</f>
        <v/>
      </c>
      <c r="W245" s="7" t="str">
        <f t="array" aca="1" ref="W245" ca="1">IFERROR(IF(OR('Raw Data'!W245="",LEN(TRIM('Raw Data'!W245))=0),"",IF(AND(ISNUMBER('Raw Data'!W245), IFERROR('Raw Data'!W245 = ROUND('Raw Data'!W245, 2),FALSE)),"",_xlfn.REGEXEXTRACT(CELL("address",W245), "\$([A-Z]+)\$[0-9]+"))),_xlfn.REGEXEXTRACT(CELL("address",W245), "\$([A-Z]+)\$[0-9]+"))</f>
        <v/>
      </c>
      <c r="X245" s="7" t="str">
        <f t="array" aca="1" ref="X245" ca="1">IFERROR(IF(OR('Raw Data'!X245="",LEN(TRIM('Raw Data'!X245))=0),"",IF(AND(ISNUMBER('Raw Data'!X245), IFERROR('Raw Data'!X245 = ROUND('Raw Data'!X245, 2),FALSE)),"",_xlfn.REGEXEXTRACT(CELL("address",X245), "\$([A-Z]+)\$[0-9]+"))),_xlfn.REGEXEXTRACT(CELL("address",X245), "\$([A-Z]+)\$[0-9]+"))</f>
        <v/>
      </c>
      <c r="Y245" s="7" t="str">
        <f t="array" aca="1" ref="Y245" ca="1">IFERROR(IF(OR('Raw Data'!Y245="",LEN(TRIM('Raw Data'!Y245))=0),"",IF(AND(ISNUMBER('Raw Data'!Y245), IFERROR('Raw Data'!Y245 = ROUND('Raw Data'!Y245, 2),FALSE)),"",_xlfn.REGEXEXTRACT(CELL("address",Y245), "\$([A-Z]+)\$[0-9]+"))),_xlfn.REGEXEXTRACT(CELL("address",Y245), "\$([A-Z]+)\$[0-9]+"))</f>
        <v/>
      </c>
      <c r="Z245" s="7" t="str">
        <f t="array" aca="1" ref="Z245" ca="1">IFERROR(IF(OR('Raw Data'!Z245="",LEN(TRIM('Raw Data'!Z245))=0),"",IF(AND(ISNUMBER('Raw Data'!Z245), IFERROR('Raw Data'!Z245 = ROUND('Raw Data'!Z245, 2),FALSE)),"",_xlfn.REGEXEXTRACT(CELL("address",Z245), "\$([A-Z]+)\$[0-9]+"))),_xlfn.REGEXEXTRACT(CELL("address",Z245), "\$([A-Z]+)\$[0-9]+"))</f>
        <v/>
      </c>
      <c r="AA245" s="7" t="str">
        <f t="array" aca="1" ref="AA245" ca="1">IFERROR(IF(OR('Raw Data'!AA245="",LEN(TRIM('Raw Data'!AA245))=0),"",IF(AND(ISNUMBER('Raw Data'!AA245), IFERROR('Raw Data'!AA245 = ROUND('Raw Data'!AA245, 2),FALSE)),"",_xlfn.REGEXEXTRACT(CELL("address",AA245), "\$([A-Z]+)\$[0-9]+"))),_xlfn.REGEXEXTRACT(CELL("address",AA245), "\$([A-Z]+)\$[0-9]+"))</f>
        <v/>
      </c>
      <c r="AB245" s="7" t="str">
        <f t="array" aca="1" ref="AB245" ca="1">IFERROR(IF(OR('Raw Data'!AB245="",LEN(TRIM('Raw Data'!AB245))=0),"",IF(AND(ISNUMBER('Raw Data'!AB245), IFERROR('Raw Data'!AB245 = ROUND('Raw Data'!AB245, 2),FALSE)),"",_xlfn.REGEXEXTRACT(CELL("address",AB245), "\$([A-Z]+)\$[0-9]+"))),_xlfn.REGEXEXTRACT(CELL("address",AB245), "\$([A-Z]+)\$[0-9]+"))</f>
        <v/>
      </c>
      <c r="AC245" s="7" t="str">
        <f t="array" aca="1" ref="AC245" ca="1">IFERROR(IF(OR('Raw Data'!AC245="",LEN(TRIM('Raw Data'!AC245))=0),"",IF(AND(ISNUMBER('Raw Data'!AC245), IFERROR('Raw Data'!AC245 = ROUND('Raw Data'!AC245, 2),FALSE)),"",_xlfn.REGEXEXTRACT(CELL("address",AC245), "\$([A-Z]+)\$[0-9]+"))),_xlfn.REGEXEXTRACT(CELL("address",AC245), "\$([A-Z]+)\$[0-9]+"))</f>
        <v/>
      </c>
      <c r="AD245" s="7" t="str">
        <f t="array" aca="1" ref="AD245" ca="1">IFERROR(IF(OR('Raw Data'!AD245="",LEN(TRIM('Raw Data'!AD245))=0),"",IF(AND(ISNUMBER('Raw Data'!AD245), IFERROR('Raw Data'!AD245 = ROUND('Raw Data'!AD245, 2),FALSE)),"",_xlfn.REGEXEXTRACT(CELL("address",AD245), "\$([A-Z]+)\$[0-9]+"))),_xlfn.REGEXEXTRACT(CELL("address",AD245), "\$([A-Z]+)\$[0-9]+"))</f>
        <v/>
      </c>
      <c r="AE245" s="7" t="str">
        <f t="array" aca="1" ref="AE245" ca="1">IFERROR(IF(OR('Raw Data'!AE245="",LEN(TRIM('Raw Data'!AE245))=0),"",IF(AND(ISNUMBER('Raw Data'!AE245), IFERROR('Raw Data'!AE245 = ROUND('Raw Data'!AE245, 2),FALSE)),"",_xlfn.REGEXEXTRACT(CELL("address",AE245), "\$([A-Z]+)\$[0-9]+"))),_xlfn.REGEXEXTRACT(CELL("address",AE245), "\$([A-Z]+)\$[0-9]+"))</f>
        <v/>
      </c>
      <c r="AF245" s="7" t="str">
        <f t="array" aca="1" ref="AF245" ca="1">IFERROR(IF(OR('Raw Data'!AF245="",LEN(TRIM('Raw Data'!AF245))=0),"",IF(AND(ISNUMBER('Raw Data'!AF245), IFERROR('Raw Data'!AF245 = ROUND('Raw Data'!AF245, 2),FALSE)),"",_xlfn.REGEXEXTRACT(CELL("address",AF245), "\$([A-Z]+)\$[0-9]+"))),_xlfn.REGEXEXTRACT(CELL("address",AF245), "\$([A-Z]+)\$[0-9]+"))</f>
        <v/>
      </c>
      <c r="AG245" s="7" t="str">
        <f t="array" aca="1" ref="AG245" ca="1">IFERROR(IF(OR('Raw Data'!AG245="",LEN(TRIM('Raw Data'!AG245))=0),"",IF(AND(ISNUMBER('Raw Data'!AG245), IFERROR('Raw Data'!AG245 = ROUND('Raw Data'!AG245, 2),FALSE)),"",_xlfn.REGEXEXTRACT(CELL("address",AG245), "\$([A-Z]+)\$[0-9]+"))),_xlfn.REGEXEXTRACT(CELL("address",AG245), "\$([A-Z]+)\$[0-9]+"))</f>
        <v/>
      </c>
      <c r="AH245" s="7" t="str">
        <f t="array" aca="1" ref="AH245" ca="1">IFERROR(IF(OR('Raw Data'!AH245="",LEN(TRIM('Raw Data'!AH245))=0),"",IF(AND(ISNUMBER('Raw Data'!AH245), IFERROR('Raw Data'!AH245 = ROUND('Raw Data'!AH245, 2),FALSE)),"",_xlfn.REGEXEXTRACT(CELL("address",AH245), "\$([A-Z]+)\$[0-9]+"))),_xlfn.REGEXEXTRACT(CELL("address",AH245), "\$([A-Z]+)\$[0-9]+"))</f>
        <v/>
      </c>
      <c r="AI245" s="7" t="str">
        <f t="array" aca="1" ref="AI245" ca="1">IFERROR(IF(OR('Raw Data'!AI245="",LEN(TRIM('Raw Data'!AI245))=0),"",IF(AND(ISNUMBER('Raw Data'!AI245), IFERROR('Raw Data'!AI245 = ROUND('Raw Data'!AI245, 2),FALSE)),"",_xlfn.REGEXEXTRACT(CELL("address",AI245), "\$([A-Z]+)\$[0-9]+"))),_xlfn.REGEXEXTRACT(CELL("address",AI245), "\$([A-Z]+)\$[0-9]+"))</f>
        <v/>
      </c>
      <c r="AJ245" s="7" t="str">
        <f t="array" aca="1" ref="AJ245" ca="1">IFERROR(IF(OR('Raw Data'!AJ245="",LEN(TRIM('Raw Data'!AJ245))=0),"",IF(AND(ISNUMBER('Raw Data'!AJ245), IFERROR('Raw Data'!AJ245 = ROUND('Raw Data'!AJ245, 4),FALSE)),"",_xlfn.REGEXEXTRACT(CELL("address",AJ245), "\$([A-Z]+)\$[0-9]+"))),_xlfn.REGEXEXTRACT(CELL("address",AJ245), "\$([A-Z]+)\$[0-9]+"))</f>
        <v/>
      </c>
      <c r="AK245" s="7" t="str">
        <f t="array" aca="1" ref="AK245" ca="1">IFERROR(IF(OR('Raw Data'!AK245="",LEN(TRIM('Raw Data'!AK245))=0),"",IF(AND(ISNUMBER('Raw Data'!AK245), IFERROR('Raw Data'!AK245 = ROUND('Raw Data'!AK245, 2),FALSE)),"",_xlfn.REGEXEXTRACT(CELL("address",AK245), "\$([A-Z]+)\$[0-9]+"))),_xlfn.REGEXEXTRACT(CELL("address",AK245), "\$([A-Z]+)\$[0-9]+"))</f>
        <v/>
      </c>
      <c r="AL245" s="7" t="str">
        <f t="array" aca="1" ref="AL245" ca="1">IFERROR(IF(OR('Raw Data'!AL245="",LEN(TRIM('Raw Data'!AL245))=0),"",IF(AND(ISNUMBER('Raw Data'!AL245), IFERROR('Raw Data'!AL245 = ROUND('Raw Data'!AL245, 2),FALSE)),"",_xlfn.REGEXEXTRACT(CELL("address",AL245), "\$([A-Z]+)\$[0-9]+"))),_xlfn.REGEXEXTRACT(CELL("address",AL245), "\$([A-Z]+)\$[0-9]+"))</f>
        <v/>
      </c>
      <c r="AM245" s="7" t="str">
        <f t="array" aca="1" ref="AM245" ca="1">IFERROR(IF(OR('Raw Data'!AM245="",LEN(TRIM('Raw Data'!AM245))=0),"",IF(AND(ISNUMBER('Raw Data'!AM245), IFERROR('Raw Data'!AM245 = ROUND('Raw Data'!AM245, 2),FALSE)),"",_xlfn.REGEXEXTRACT(CELL("address",AM245), "\$([A-Z]+)\$[0-9]+"))),_xlfn.REGEXEXTRACT(CELL("address",AM245), "\$([A-Z]+)\$[0-9]+"))</f>
        <v/>
      </c>
      <c r="AN245" s="7" t="str">
        <f t="array" aca="1" ref="AN245" ca="1">IFERROR(IF(OR('Raw Data'!AN245="",LEN(TRIM('Raw Data'!AN245))=0),"",IF(AND(ISNUMBER('Raw Data'!AN245), IFERROR('Raw Data'!AN245 = ROUND('Raw Data'!AN245, 2),FALSE)),"",_xlfn.REGEXEXTRACT(CELL("address",AN245), "\$([A-Z]+)\$[0-9]+"))),_xlfn.REGEXEXTRACT(CELL("address",AN245), "\$([A-Z]+)\$[0-9]+"))</f>
        <v/>
      </c>
      <c r="AO245" s="7" t="str">
        <f t="array" aca="1" ref="AO245" ca="1">IFERROR(IF(OR('Raw Data'!AO245="",LEN(TRIM('Raw Data'!AO245))=0),"",IF(AND(ISNUMBER('Raw Data'!AO245), IFERROR('Raw Data'!AO245 = ROUND('Raw Data'!AO245, 2),FALSE)),"",_xlfn.REGEXEXTRACT(CELL("address",AO245), "\$([A-Z]+)\$[0-9]+"))),_xlfn.REGEXEXTRACT(CELL("address",AO245), "\$([A-Z]+)\$[0-9]+"))</f>
        <v/>
      </c>
      <c r="AP245" s="7" t="str">
        <f t="array" aca="1" ref="AP245" ca="1">IFERROR(IF(OR('Raw Data'!AP245="",LEN(TRIM('Raw Data'!AP245))=0),"",IF(AND(ISNUMBER('Raw Data'!AP245), IFERROR('Raw Data'!AP245 = ROUND('Raw Data'!AP245, 2),FALSE)),"",_xlfn.REGEXEXTRACT(CELL("address",AP245), "\$([A-Z]+)\$[0-9]+"))),_xlfn.REGEXEXTRACT(CELL("address",AP245), "\$([A-Z]+)\$[0-9]+"))</f>
        <v/>
      </c>
    </row>
    <row r="246" spans="2:42" x14ac:dyDescent="0.25">
      <c r="B246" s="7" t="str">
        <f t="array" aca="1" ref="B246" ca="1">IFERROR(IF(OR('Raw Data'!B246="",LEN(TRIM('Raw Data'!B246))=0),"",IF(AND(LEN('Raw Data'!B246) &lt;= 255,LEN('Raw Data'!B246)&gt; 0),"",_xlfn.REGEXEXTRACT(CELL("address",'Raw Data'!B246),"\$([A-Z]+)\$[0-9]+"))),_xlfn.REGEXEXTRACT(CELL("address",'Raw Data'!B246),"\$([A-Z]+)\$[0-9]+"))</f>
        <v/>
      </c>
      <c r="C246" s="7" t="str">
        <f t="array" aca="1" ref="C246" ca="1">IFERROR(IF(OR('Raw Data'!C246="",LEN(TRIM('Raw Data'!C246))=0),"",IF(AND(LEN('Raw Data'!C246) &lt;= 50,LEN('Raw Data'!C246)&gt; 0),"",_xlfn.REGEXEXTRACT(CELL("address",'Raw Data'!C246),"\$([A-Z]+)\$[0-9]+"))),_xlfn.REGEXEXTRACT(CELL("address",'Raw Data'!C246),"\$([A-Z]+)\$[0-9]+"))</f>
        <v/>
      </c>
      <c r="D246" s="7" t="str">
        <f t="array" aca="1" ref="D246" ca="1">IFERROR(IF(OR('Raw Data'!D246="",LEN(TRIM('Raw Data'!D246))=0),"",IF(AND(LEN('Raw Data'!D246) &lt;= 500,LEN('Raw Data'!D246)&gt; 0),"",_xlfn.REGEXEXTRACT(CELL("address",'Raw Data'!D246),"\$([A-Z]+)\$[0-9]+"))),_xlfn.REGEXEXTRACT(CELL("address",'Raw Data'!D246),"\$([A-Z]+)\$[0-9]+"))</f>
        <v/>
      </c>
      <c r="E246" s="7" t="str">
        <f t="array" aca="1" ref="E246" ca="1">IFERROR(IF(OR('Raw Data'!E246="",LEN(TRIM('Raw Data'!E246))=0),"",IF(AND(LEN('Raw Data'!E246) &lt;= 50,LEN('Raw Data'!E246)&gt; 0),"",_xlfn.REGEXEXTRACT(CELL("address",'Raw Data'!E246),"\$([A-Z]+)\$[0-9]+"))),_xlfn.REGEXEXTRACT(CELL("address",'Raw Data'!E246),"\$([A-Z]+)\$[0-9]+"))</f>
        <v/>
      </c>
      <c r="F246" s="7" t="str">
        <f t="array" aca="1" ref="F246" ca="1">IFERROR(IF(OR('Raw Data'!F246="",LEN(TRIM('Raw Data'!F246))=0),"",IF(AND(LEN('Raw Data'!F246) &lt;= 50,LEN('Raw Data'!F246)&gt; 0),"",_xlfn.REGEXEXTRACT(CELL("address",'Raw Data'!F246),"\$([A-Z]+)\$[0-9]+"))),_xlfn.REGEXEXTRACT(CELL("address",'Raw Data'!F246),"\$([A-Z]+)\$[0-9]+"))</f>
        <v/>
      </c>
      <c r="G246" s="7" t="str">
        <f t="array" aca="1" ref="G246" ca="1">IFERROR(IF(OR('Raw Data'!G246="",LEN(TRIM('Raw Data'!G246))=0),"",IF(AND(LEN('Raw Data'!G246) &lt;= 50,LEN('Raw Data'!G246)&gt; 0),"",_xlfn.REGEXEXTRACT(CELL("address",'Raw Data'!G246),"\$([A-Z]+)\$[0-9]+"))),_xlfn.REGEXEXTRACT(CELL("address",'Raw Data'!G246),"\$([A-Z]+)\$[0-9]+"))</f>
        <v/>
      </c>
      <c r="H246" s="7" t="str">
        <f t="array" aca="1" ref="H246" ca="1">IFERROR(IF(OR('Raw Data'!H246="",LEN(TRIM('Raw Data'!H246))=0),"",IF(AND(LEN('Raw Data'!H246) &lt;= 50,LEN('Raw Data'!H246)&gt; 0),"",_xlfn.REGEXEXTRACT(CELL("address",'Raw Data'!H246),"\$([A-Z]+)\$[0-9]+"))),_xlfn.REGEXEXTRACT(CELL("address",'Raw Data'!H246),"\$([A-Z]+)\$[0-9]+"))</f>
        <v/>
      </c>
      <c r="I246" s="7" t="str">
        <f t="array" aca="1" ref="I246" ca="1">IFERROR(IF(OR('Raw Data'!I246="",LEN(TRIM('Raw Data'!I246))=0),"",IF(AND(LEN('Raw Data'!I246) &lt;= 50,LEN('Raw Data'!I246)&gt; 0),"",_xlfn.REGEXEXTRACT(CELL("address",'Raw Data'!I246),"\$([A-Z]+)\$[0-9]+"))),_xlfn.REGEXEXTRACT(CELL("address",'Raw Data'!I246),"\$([A-Z]+)\$[0-9]+"))</f>
        <v/>
      </c>
      <c r="J246" s="7" t="str">
        <f t="array" aca="1" ref="J246" ca="1">IFERROR(IF(OR('Raw Data'!J246="",LEN(TRIM('Raw Data'!J246))=0),"",IF(AND(ISNUMBER('Raw Data'!J246), IFERROR('Raw Data'!J246 = ROUND('Raw Data'!J246, 2),FALSE)),"",_xlfn.REGEXEXTRACT(CELL("address",J246), "\$([A-Z]+)\$[0-9]+"))),_xlfn.REGEXEXTRACT(CELL("address",J246), "\$([A-Z]+)\$[0-9]+"))</f>
        <v/>
      </c>
      <c r="K246" s="7" t="str">
        <f t="array" aca="1" ref="K246" ca="1">IFERROR(IF(OR('Raw Data'!K246="",LEN(TRIM('Raw Data'!K246))=0),"",IF(AND(ISNUMBER('Raw Data'!K246), IFERROR('Raw Data'!K246 = ROUND('Raw Data'!K246, 2),FALSE)),"",_xlfn.REGEXEXTRACT(CELL("address",K246), "\$([A-Z]+)\$[0-9]+"))),_xlfn.REGEXEXTRACT(CELL("address",K246), "\$([A-Z]+)\$[0-9]+"))</f>
        <v/>
      </c>
      <c r="L246" s="7" t="str">
        <f t="array" aca="1" ref="L246" ca="1">IFERROR(IF(OR('Raw Data'!L246="",LEN(TRIM('Raw Data'!L246))=0),"",IF(AND(ISNUMBER('Raw Data'!L246), IFERROR('Raw Data'!L246 = ROUND('Raw Data'!L246, 2),FALSE)),"",_xlfn.REGEXEXTRACT(CELL("address",L246), "\$([A-Z]+)\$[0-9]+"))),_xlfn.REGEXEXTRACT(CELL("address",L246), "\$([A-Z]+)\$[0-9]+"))</f>
        <v/>
      </c>
      <c r="M246" s="7" t="str">
        <f t="array" aca="1" ref="M246" ca="1">IFERROR(IF(OR('Raw Data'!M246="",LEN(TRIM('Raw Data'!M246))=0),"",IF(AND(ISNUMBER('Raw Data'!M246), IFERROR('Raw Data'!M246 = ROUND('Raw Data'!M246, 2),FALSE)),"",_xlfn.REGEXEXTRACT(CELL("address",M246), "\$([A-Z]+)\$[0-9]+"))),_xlfn.REGEXEXTRACT(CELL("address",M246), "\$([A-Z]+)\$[0-9]+"))</f>
        <v/>
      </c>
      <c r="N246" s="7" t="str">
        <f t="array" aca="1" ref="N246" ca="1">IFERROR(IF(OR('Raw Data'!N246="",LEN(TRIM('Raw Data'!N246))=0),"",IF(AND(ISNUMBER('Raw Data'!N246), IFERROR('Raw Data'!N246 = ROUND('Raw Data'!N246, 2),FALSE)),"",_xlfn.REGEXEXTRACT(CELL("address",N246), "\$([A-Z]+)\$[0-9]+"))),_xlfn.REGEXEXTRACT(CELL("address",N246), "\$([A-Z]+)\$[0-9]+"))</f>
        <v/>
      </c>
      <c r="O246" s="7" t="str">
        <f t="array" aca="1" ref="O246" ca="1">IFERROR(IF(OR('Raw Data'!O246="",LEN(TRIM('Raw Data'!O246))=0),"",IF(AND(ISNUMBER('Raw Data'!O246),'Raw Data'!O246&gt;=Configuration!$D$2),"",_xlfn.REGEXEXTRACT(CELL("address",'Raw Data'!O246),"\$([A-Z]+)\$[0-9]+"))),_xlfn.REGEXEXTRACT(CELL("address",O246), "\$([A-Z]+)\$[0-9]+"))</f>
        <v/>
      </c>
      <c r="P246" s="7" t="str">
        <f t="array" aca="1" ref="P246" ca="1">IFERROR(IF(OR('Raw Data'!P246="",LEN(TRIM('Raw Data'!P246))=0),"",IF(AND(ISNUMBER('Raw Data'!P246), IFERROR('Raw Data'!P246 = ROUND('Raw Data'!P246, 2),FALSE)),"",_xlfn.REGEXEXTRACT(CELL("address",P246), "\$([A-Z]+)\$[0-9]+"))),_xlfn.REGEXEXTRACT(CELL("address",P246), "\$([A-Z]+)\$[0-9]+"))</f>
        <v/>
      </c>
      <c r="Q246" s="7" t="str">
        <f t="array" aca="1" ref="Q246" ca="1">IFERROR(IF(OR('Raw Data'!Q246="",LEN(TRIM('Raw Data'!Q246))=0),"",IF(AND(ISNUMBER('Raw Data'!Q246), IFERROR('Raw Data'!Q246 = ROUND('Raw Data'!Q246, 2),FALSE)),"",_xlfn.REGEXEXTRACT(CELL("address",Q246), "\$([A-Z]+)\$[0-9]+"))),_xlfn.REGEXEXTRACT(CELL("address",Q246), "\$([A-Z]+)\$[0-9]+"))</f>
        <v/>
      </c>
      <c r="R246" s="7" t="str">
        <f t="array" aca="1" ref="R246" ca="1">IFERROR(IF(OR('Raw Data'!R246="",LEN(TRIM('Raw Data'!R246))=0),"",IF(AND(LEN('Raw Data'!R246) &lt;= 50,LEN('Raw Data'!R246)&gt; 0),"",_xlfn.REGEXEXTRACT(CELL("address",'Raw Data'!R246),"\$([A-Z]+)\$[0-9]+"))),_xlfn.REGEXEXTRACT(CELL("address",'Raw Data'!R246),"\$([A-Z]+)\$[0-9]+"))</f>
        <v/>
      </c>
      <c r="S246" s="7" t="str">
        <f t="array" aca="1" ref="S246" ca="1">IFERROR(IF(OR('Raw Data'!S246="",LEN(TRIM('Raw Data'!S246))=0),"",IF(AND(LEN('Raw Data'!S246) &lt;= 50,LEN('Raw Data'!S246)&gt; 0),"",_xlfn.REGEXEXTRACT(CELL("address",'Raw Data'!S246),"\$([A-Z]+)\$[0-9]+"))),_xlfn.REGEXEXTRACT(CELL("address",'Raw Data'!S246),"\$([A-Z]+)\$[0-9]+"))</f>
        <v/>
      </c>
      <c r="T246" s="7" t="str">
        <f t="array" aca="1" ref="T246" ca="1">IFERROR(IF(OR('Raw Data'!T246="",LEN(TRIM('Raw Data'!T246))=0),"",IF(AND(ISNUMBER('Raw Data'!T246), IFERROR('Raw Data'!T246 = ROUND('Raw Data'!T246, 2),FALSE)),"",_xlfn.REGEXEXTRACT(CELL("address",T246), "\$([A-Z]+)\$[0-9]+"))),_xlfn.REGEXEXTRACT(CELL("address",T246), "\$([A-Z]+)\$[0-9]+"))</f>
        <v/>
      </c>
      <c r="U246" s="7" t="str">
        <f t="array" aca="1" ref="U246" ca="1">IFERROR(IF(OR('Raw Data'!U246="",LEN(TRIM('Raw Data'!U246))=0),"",IF(AND(ISNUMBER('Raw Data'!U246), IFERROR('Raw Data'!U246 = ROUND('Raw Data'!U246, 2),FALSE)),"",_xlfn.REGEXEXTRACT(CELL("address",U246), "\$([A-Z]+)\$[0-9]+"))),_xlfn.REGEXEXTRACT(CELL("address",U246), "\$([A-Z]+)\$[0-9]+"))</f>
        <v/>
      </c>
      <c r="V246" s="7" t="str">
        <f t="array" aca="1" ref="V246" ca="1">IFERROR(IF(OR('Raw Data'!V246="",LEN(TRIM('Raw Data'!V246))=0),"",IF(AND(ISNUMBER('Raw Data'!V246), IFERROR('Raw Data'!V246 = ROUND('Raw Data'!V246, 2),FALSE)),"",_xlfn.REGEXEXTRACT(CELL("address",V246), "\$([A-Z]+)\$[0-9]+"))),_xlfn.REGEXEXTRACT(CELL("address",V246), "\$([A-Z]+)\$[0-9]+"))</f>
        <v/>
      </c>
      <c r="W246" s="7" t="str">
        <f t="array" aca="1" ref="W246" ca="1">IFERROR(IF(OR('Raw Data'!W246="",LEN(TRIM('Raw Data'!W246))=0),"",IF(AND(ISNUMBER('Raw Data'!W246), IFERROR('Raw Data'!W246 = ROUND('Raw Data'!W246, 2),FALSE)),"",_xlfn.REGEXEXTRACT(CELL("address",W246), "\$([A-Z]+)\$[0-9]+"))),_xlfn.REGEXEXTRACT(CELL("address",W246), "\$([A-Z]+)\$[0-9]+"))</f>
        <v/>
      </c>
      <c r="X246" s="7" t="str">
        <f t="array" aca="1" ref="X246" ca="1">IFERROR(IF(OR('Raw Data'!X246="",LEN(TRIM('Raw Data'!X246))=0),"",IF(AND(ISNUMBER('Raw Data'!X246), IFERROR('Raw Data'!X246 = ROUND('Raw Data'!X246, 2),FALSE)),"",_xlfn.REGEXEXTRACT(CELL("address",X246), "\$([A-Z]+)\$[0-9]+"))),_xlfn.REGEXEXTRACT(CELL("address",X246), "\$([A-Z]+)\$[0-9]+"))</f>
        <v/>
      </c>
      <c r="Y246" s="7" t="str">
        <f t="array" aca="1" ref="Y246" ca="1">IFERROR(IF(OR('Raw Data'!Y246="",LEN(TRIM('Raw Data'!Y246))=0),"",IF(AND(ISNUMBER('Raw Data'!Y246), IFERROR('Raw Data'!Y246 = ROUND('Raw Data'!Y246, 2),FALSE)),"",_xlfn.REGEXEXTRACT(CELL("address",Y246), "\$([A-Z]+)\$[0-9]+"))),_xlfn.REGEXEXTRACT(CELL("address",Y246), "\$([A-Z]+)\$[0-9]+"))</f>
        <v/>
      </c>
      <c r="Z246" s="7" t="str">
        <f t="array" aca="1" ref="Z246" ca="1">IFERROR(IF(OR('Raw Data'!Z246="",LEN(TRIM('Raw Data'!Z246))=0),"",IF(AND(ISNUMBER('Raw Data'!Z246), IFERROR('Raw Data'!Z246 = ROUND('Raw Data'!Z246, 2),FALSE)),"",_xlfn.REGEXEXTRACT(CELL("address",Z246), "\$([A-Z]+)\$[0-9]+"))),_xlfn.REGEXEXTRACT(CELL("address",Z246), "\$([A-Z]+)\$[0-9]+"))</f>
        <v/>
      </c>
      <c r="AA246" s="7" t="str">
        <f t="array" aca="1" ref="AA246" ca="1">IFERROR(IF(OR('Raw Data'!AA246="",LEN(TRIM('Raw Data'!AA246))=0),"",IF(AND(ISNUMBER('Raw Data'!AA246), IFERROR('Raw Data'!AA246 = ROUND('Raw Data'!AA246, 2),FALSE)),"",_xlfn.REGEXEXTRACT(CELL("address",AA246), "\$([A-Z]+)\$[0-9]+"))),_xlfn.REGEXEXTRACT(CELL("address",AA246), "\$([A-Z]+)\$[0-9]+"))</f>
        <v/>
      </c>
      <c r="AB246" s="7" t="str">
        <f t="array" aca="1" ref="AB246" ca="1">IFERROR(IF(OR('Raw Data'!AB246="",LEN(TRIM('Raw Data'!AB246))=0),"",IF(AND(ISNUMBER('Raw Data'!AB246), IFERROR('Raw Data'!AB246 = ROUND('Raw Data'!AB246, 2),FALSE)),"",_xlfn.REGEXEXTRACT(CELL("address",AB246), "\$([A-Z]+)\$[0-9]+"))),_xlfn.REGEXEXTRACT(CELL("address",AB246), "\$([A-Z]+)\$[0-9]+"))</f>
        <v/>
      </c>
      <c r="AC246" s="7" t="str">
        <f t="array" aca="1" ref="AC246" ca="1">IFERROR(IF(OR('Raw Data'!AC246="",LEN(TRIM('Raw Data'!AC246))=0),"",IF(AND(ISNUMBER('Raw Data'!AC246), IFERROR('Raw Data'!AC246 = ROUND('Raw Data'!AC246, 2),FALSE)),"",_xlfn.REGEXEXTRACT(CELL("address",AC246), "\$([A-Z]+)\$[0-9]+"))),_xlfn.REGEXEXTRACT(CELL("address",AC246), "\$([A-Z]+)\$[0-9]+"))</f>
        <v/>
      </c>
      <c r="AD246" s="7" t="str">
        <f t="array" aca="1" ref="AD246" ca="1">IFERROR(IF(OR('Raw Data'!AD246="",LEN(TRIM('Raw Data'!AD246))=0),"",IF(AND(ISNUMBER('Raw Data'!AD246), IFERROR('Raw Data'!AD246 = ROUND('Raw Data'!AD246, 2),FALSE)),"",_xlfn.REGEXEXTRACT(CELL("address",AD246), "\$([A-Z]+)\$[0-9]+"))),_xlfn.REGEXEXTRACT(CELL("address",AD246), "\$([A-Z]+)\$[0-9]+"))</f>
        <v/>
      </c>
      <c r="AE246" s="7" t="str">
        <f t="array" aca="1" ref="AE246" ca="1">IFERROR(IF(OR('Raw Data'!AE246="",LEN(TRIM('Raw Data'!AE246))=0),"",IF(AND(ISNUMBER('Raw Data'!AE246), IFERROR('Raw Data'!AE246 = ROUND('Raw Data'!AE246, 2),FALSE)),"",_xlfn.REGEXEXTRACT(CELL("address",AE246), "\$([A-Z]+)\$[0-9]+"))),_xlfn.REGEXEXTRACT(CELL("address",AE246), "\$([A-Z]+)\$[0-9]+"))</f>
        <v/>
      </c>
      <c r="AF246" s="7" t="str">
        <f t="array" aca="1" ref="AF246" ca="1">IFERROR(IF(OR('Raw Data'!AF246="",LEN(TRIM('Raw Data'!AF246))=0),"",IF(AND(ISNUMBER('Raw Data'!AF246), IFERROR('Raw Data'!AF246 = ROUND('Raw Data'!AF246, 2),FALSE)),"",_xlfn.REGEXEXTRACT(CELL("address",AF246), "\$([A-Z]+)\$[0-9]+"))),_xlfn.REGEXEXTRACT(CELL("address",AF246), "\$([A-Z]+)\$[0-9]+"))</f>
        <v/>
      </c>
      <c r="AG246" s="7" t="str">
        <f t="array" aca="1" ref="AG246" ca="1">IFERROR(IF(OR('Raw Data'!AG246="",LEN(TRIM('Raw Data'!AG246))=0),"",IF(AND(ISNUMBER('Raw Data'!AG246), IFERROR('Raw Data'!AG246 = ROUND('Raw Data'!AG246, 2),FALSE)),"",_xlfn.REGEXEXTRACT(CELL("address",AG246), "\$([A-Z]+)\$[0-9]+"))),_xlfn.REGEXEXTRACT(CELL("address",AG246), "\$([A-Z]+)\$[0-9]+"))</f>
        <v/>
      </c>
      <c r="AH246" s="7" t="str">
        <f t="array" aca="1" ref="AH246" ca="1">IFERROR(IF(OR('Raw Data'!AH246="",LEN(TRIM('Raw Data'!AH246))=0),"",IF(AND(ISNUMBER('Raw Data'!AH246), IFERROR('Raw Data'!AH246 = ROUND('Raw Data'!AH246, 2),FALSE)),"",_xlfn.REGEXEXTRACT(CELL("address",AH246), "\$([A-Z]+)\$[0-9]+"))),_xlfn.REGEXEXTRACT(CELL("address",AH246), "\$([A-Z]+)\$[0-9]+"))</f>
        <v/>
      </c>
      <c r="AI246" s="7" t="str">
        <f t="array" aca="1" ref="AI246" ca="1">IFERROR(IF(OR('Raw Data'!AI246="",LEN(TRIM('Raw Data'!AI246))=0),"",IF(AND(ISNUMBER('Raw Data'!AI246), IFERROR('Raw Data'!AI246 = ROUND('Raw Data'!AI246, 2),FALSE)),"",_xlfn.REGEXEXTRACT(CELL("address",AI246), "\$([A-Z]+)\$[0-9]+"))),_xlfn.REGEXEXTRACT(CELL("address",AI246), "\$([A-Z]+)\$[0-9]+"))</f>
        <v/>
      </c>
      <c r="AJ246" s="7" t="str">
        <f t="array" aca="1" ref="AJ246" ca="1">IFERROR(IF(OR('Raw Data'!AJ246="",LEN(TRIM('Raw Data'!AJ246))=0),"",IF(AND(ISNUMBER('Raw Data'!AJ246), IFERROR('Raw Data'!AJ246 = ROUND('Raw Data'!AJ246, 4),FALSE)),"",_xlfn.REGEXEXTRACT(CELL("address",AJ246), "\$([A-Z]+)\$[0-9]+"))),_xlfn.REGEXEXTRACT(CELL("address",AJ246), "\$([A-Z]+)\$[0-9]+"))</f>
        <v/>
      </c>
      <c r="AK246" s="7" t="str">
        <f t="array" aca="1" ref="AK246" ca="1">IFERROR(IF(OR('Raw Data'!AK246="",LEN(TRIM('Raw Data'!AK246))=0),"",IF(AND(ISNUMBER('Raw Data'!AK246), IFERROR('Raw Data'!AK246 = ROUND('Raw Data'!AK246, 2),FALSE)),"",_xlfn.REGEXEXTRACT(CELL("address",AK246), "\$([A-Z]+)\$[0-9]+"))),_xlfn.REGEXEXTRACT(CELL("address",AK246), "\$([A-Z]+)\$[0-9]+"))</f>
        <v/>
      </c>
      <c r="AL246" s="7" t="str">
        <f t="array" aca="1" ref="AL246" ca="1">IFERROR(IF(OR('Raw Data'!AL246="",LEN(TRIM('Raw Data'!AL246))=0),"",IF(AND(ISNUMBER('Raw Data'!AL246), IFERROR('Raw Data'!AL246 = ROUND('Raw Data'!AL246, 2),FALSE)),"",_xlfn.REGEXEXTRACT(CELL("address",AL246), "\$([A-Z]+)\$[0-9]+"))),_xlfn.REGEXEXTRACT(CELL("address",AL246), "\$([A-Z]+)\$[0-9]+"))</f>
        <v/>
      </c>
      <c r="AM246" s="7" t="str">
        <f t="array" aca="1" ref="AM246" ca="1">IFERROR(IF(OR('Raw Data'!AM246="",LEN(TRIM('Raw Data'!AM246))=0),"",IF(AND(ISNUMBER('Raw Data'!AM246), IFERROR('Raw Data'!AM246 = ROUND('Raw Data'!AM246, 2),FALSE)),"",_xlfn.REGEXEXTRACT(CELL("address",AM246), "\$([A-Z]+)\$[0-9]+"))),_xlfn.REGEXEXTRACT(CELL("address",AM246), "\$([A-Z]+)\$[0-9]+"))</f>
        <v/>
      </c>
      <c r="AN246" s="7" t="str">
        <f t="array" aca="1" ref="AN246" ca="1">IFERROR(IF(OR('Raw Data'!AN246="",LEN(TRIM('Raw Data'!AN246))=0),"",IF(AND(ISNUMBER('Raw Data'!AN246), IFERROR('Raw Data'!AN246 = ROUND('Raw Data'!AN246, 2),FALSE)),"",_xlfn.REGEXEXTRACT(CELL("address",AN246), "\$([A-Z]+)\$[0-9]+"))),_xlfn.REGEXEXTRACT(CELL("address",AN246), "\$([A-Z]+)\$[0-9]+"))</f>
        <v/>
      </c>
      <c r="AO246" s="7" t="str">
        <f t="array" aca="1" ref="AO246" ca="1">IFERROR(IF(OR('Raw Data'!AO246="",LEN(TRIM('Raw Data'!AO246))=0),"",IF(AND(ISNUMBER('Raw Data'!AO246), IFERROR('Raw Data'!AO246 = ROUND('Raw Data'!AO246, 2),FALSE)),"",_xlfn.REGEXEXTRACT(CELL("address",AO246), "\$([A-Z]+)\$[0-9]+"))),_xlfn.REGEXEXTRACT(CELL("address",AO246), "\$([A-Z]+)\$[0-9]+"))</f>
        <v/>
      </c>
      <c r="AP246" s="7" t="str">
        <f t="array" aca="1" ref="AP246" ca="1">IFERROR(IF(OR('Raw Data'!AP246="",LEN(TRIM('Raw Data'!AP246))=0),"",IF(AND(ISNUMBER('Raw Data'!AP246), IFERROR('Raw Data'!AP246 = ROUND('Raw Data'!AP246, 2),FALSE)),"",_xlfn.REGEXEXTRACT(CELL("address",AP246), "\$([A-Z]+)\$[0-9]+"))),_xlfn.REGEXEXTRACT(CELL("address",AP246), "\$([A-Z]+)\$[0-9]+"))</f>
        <v/>
      </c>
    </row>
    <row r="247" spans="2:42" x14ac:dyDescent="0.25">
      <c r="B247" s="7" t="str">
        <f t="array" aca="1" ref="B247" ca="1">IFERROR(IF(OR('Raw Data'!B247="",LEN(TRIM('Raw Data'!B247))=0),"",IF(AND(LEN('Raw Data'!B247) &lt;= 255,LEN('Raw Data'!B247)&gt; 0),"",_xlfn.REGEXEXTRACT(CELL("address",'Raw Data'!B247),"\$([A-Z]+)\$[0-9]+"))),_xlfn.REGEXEXTRACT(CELL("address",'Raw Data'!B247),"\$([A-Z]+)\$[0-9]+"))</f>
        <v/>
      </c>
      <c r="C247" s="7" t="str">
        <f t="array" aca="1" ref="C247" ca="1">IFERROR(IF(OR('Raw Data'!C247="",LEN(TRIM('Raw Data'!C247))=0),"",IF(AND(LEN('Raw Data'!C247) &lt;= 50,LEN('Raw Data'!C247)&gt; 0),"",_xlfn.REGEXEXTRACT(CELL("address",'Raw Data'!C247),"\$([A-Z]+)\$[0-9]+"))),_xlfn.REGEXEXTRACT(CELL("address",'Raw Data'!C247),"\$([A-Z]+)\$[0-9]+"))</f>
        <v/>
      </c>
      <c r="D247" s="7" t="str">
        <f t="array" aca="1" ref="D247" ca="1">IFERROR(IF(OR('Raw Data'!D247="",LEN(TRIM('Raw Data'!D247))=0),"",IF(AND(LEN('Raw Data'!D247) &lt;= 500,LEN('Raw Data'!D247)&gt; 0),"",_xlfn.REGEXEXTRACT(CELL("address",'Raw Data'!D247),"\$([A-Z]+)\$[0-9]+"))),_xlfn.REGEXEXTRACT(CELL("address",'Raw Data'!D247),"\$([A-Z]+)\$[0-9]+"))</f>
        <v/>
      </c>
      <c r="E247" s="7" t="str">
        <f t="array" aca="1" ref="E247" ca="1">IFERROR(IF(OR('Raw Data'!E247="",LEN(TRIM('Raw Data'!E247))=0),"",IF(AND(LEN('Raw Data'!E247) &lt;= 50,LEN('Raw Data'!E247)&gt; 0),"",_xlfn.REGEXEXTRACT(CELL("address",'Raw Data'!E247),"\$([A-Z]+)\$[0-9]+"))),_xlfn.REGEXEXTRACT(CELL("address",'Raw Data'!E247),"\$([A-Z]+)\$[0-9]+"))</f>
        <v/>
      </c>
      <c r="F247" s="7" t="str">
        <f t="array" aca="1" ref="F247" ca="1">IFERROR(IF(OR('Raw Data'!F247="",LEN(TRIM('Raw Data'!F247))=0),"",IF(AND(LEN('Raw Data'!F247) &lt;= 50,LEN('Raw Data'!F247)&gt; 0),"",_xlfn.REGEXEXTRACT(CELL("address",'Raw Data'!F247),"\$([A-Z]+)\$[0-9]+"))),_xlfn.REGEXEXTRACT(CELL("address",'Raw Data'!F247),"\$([A-Z]+)\$[0-9]+"))</f>
        <v/>
      </c>
      <c r="G247" s="7" t="str">
        <f t="array" aca="1" ref="G247" ca="1">IFERROR(IF(OR('Raw Data'!G247="",LEN(TRIM('Raw Data'!G247))=0),"",IF(AND(LEN('Raw Data'!G247) &lt;= 50,LEN('Raw Data'!G247)&gt; 0),"",_xlfn.REGEXEXTRACT(CELL("address",'Raw Data'!G247),"\$([A-Z]+)\$[0-9]+"))),_xlfn.REGEXEXTRACT(CELL("address",'Raw Data'!G247),"\$([A-Z]+)\$[0-9]+"))</f>
        <v/>
      </c>
      <c r="H247" s="7" t="str">
        <f t="array" aca="1" ref="H247" ca="1">IFERROR(IF(OR('Raw Data'!H247="",LEN(TRIM('Raw Data'!H247))=0),"",IF(AND(LEN('Raw Data'!H247) &lt;= 50,LEN('Raw Data'!H247)&gt; 0),"",_xlfn.REGEXEXTRACT(CELL("address",'Raw Data'!H247),"\$([A-Z]+)\$[0-9]+"))),_xlfn.REGEXEXTRACT(CELL("address",'Raw Data'!H247),"\$([A-Z]+)\$[0-9]+"))</f>
        <v/>
      </c>
      <c r="I247" s="7" t="str">
        <f t="array" aca="1" ref="I247" ca="1">IFERROR(IF(OR('Raw Data'!I247="",LEN(TRIM('Raw Data'!I247))=0),"",IF(AND(LEN('Raw Data'!I247) &lt;= 50,LEN('Raw Data'!I247)&gt; 0),"",_xlfn.REGEXEXTRACT(CELL("address",'Raw Data'!I247),"\$([A-Z]+)\$[0-9]+"))),_xlfn.REGEXEXTRACT(CELL("address",'Raw Data'!I247),"\$([A-Z]+)\$[0-9]+"))</f>
        <v/>
      </c>
      <c r="J247" s="7" t="str">
        <f t="array" aca="1" ref="J247" ca="1">IFERROR(IF(OR('Raw Data'!J247="",LEN(TRIM('Raw Data'!J247))=0),"",IF(AND(ISNUMBER('Raw Data'!J247), IFERROR('Raw Data'!J247 = ROUND('Raw Data'!J247, 2),FALSE)),"",_xlfn.REGEXEXTRACT(CELL("address",J247), "\$([A-Z]+)\$[0-9]+"))),_xlfn.REGEXEXTRACT(CELL("address",J247), "\$([A-Z]+)\$[0-9]+"))</f>
        <v/>
      </c>
      <c r="K247" s="7" t="str">
        <f t="array" aca="1" ref="K247" ca="1">IFERROR(IF(OR('Raw Data'!K247="",LEN(TRIM('Raw Data'!K247))=0),"",IF(AND(ISNUMBER('Raw Data'!K247), IFERROR('Raw Data'!K247 = ROUND('Raw Data'!K247, 2),FALSE)),"",_xlfn.REGEXEXTRACT(CELL("address",K247), "\$([A-Z]+)\$[0-9]+"))),_xlfn.REGEXEXTRACT(CELL("address",K247), "\$([A-Z]+)\$[0-9]+"))</f>
        <v/>
      </c>
      <c r="L247" s="7" t="str">
        <f t="array" aca="1" ref="L247" ca="1">IFERROR(IF(OR('Raw Data'!L247="",LEN(TRIM('Raw Data'!L247))=0),"",IF(AND(ISNUMBER('Raw Data'!L247), IFERROR('Raw Data'!L247 = ROUND('Raw Data'!L247, 2),FALSE)),"",_xlfn.REGEXEXTRACT(CELL("address",L247), "\$([A-Z]+)\$[0-9]+"))),_xlfn.REGEXEXTRACT(CELL("address",L247), "\$([A-Z]+)\$[0-9]+"))</f>
        <v/>
      </c>
      <c r="M247" s="7" t="str">
        <f t="array" aca="1" ref="M247" ca="1">IFERROR(IF(OR('Raw Data'!M247="",LEN(TRIM('Raw Data'!M247))=0),"",IF(AND(ISNUMBER('Raw Data'!M247), IFERROR('Raw Data'!M247 = ROUND('Raw Data'!M247, 2),FALSE)),"",_xlfn.REGEXEXTRACT(CELL("address",M247), "\$([A-Z]+)\$[0-9]+"))),_xlfn.REGEXEXTRACT(CELL("address",M247), "\$([A-Z]+)\$[0-9]+"))</f>
        <v/>
      </c>
      <c r="N247" s="7" t="str">
        <f t="array" aca="1" ref="N247" ca="1">IFERROR(IF(OR('Raw Data'!N247="",LEN(TRIM('Raw Data'!N247))=0),"",IF(AND(ISNUMBER('Raw Data'!N247), IFERROR('Raw Data'!N247 = ROUND('Raw Data'!N247, 2),FALSE)),"",_xlfn.REGEXEXTRACT(CELL("address",N247), "\$([A-Z]+)\$[0-9]+"))),_xlfn.REGEXEXTRACT(CELL("address",N247), "\$([A-Z]+)\$[0-9]+"))</f>
        <v/>
      </c>
      <c r="O247" s="7" t="str">
        <f t="array" aca="1" ref="O247" ca="1">IFERROR(IF(OR('Raw Data'!O247="",LEN(TRIM('Raw Data'!O247))=0),"",IF(AND(ISNUMBER('Raw Data'!O247),'Raw Data'!O247&gt;=Configuration!$D$2),"",_xlfn.REGEXEXTRACT(CELL("address",'Raw Data'!O247),"\$([A-Z]+)\$[0-9]+"))),_xlfn.REGEXEXTRACT(CELL("address",O247), "\$([A-Z]+)\$[0-9]+"))</f>
        <v/>
      </c>
      <c r="P247" s="7" t="str">
        <f t="array" aca="1" ref="P247" ca="1">IFERROR(IF(OR('Raw Data'!P247="",LEN(TRIM('Raw Data'!P247))=0),"",IF(AND(ISNUMBER('Raw Data'!P247), IFERROR('Raw Data'!P247 = ROUND('Raw Data'!P247, 2),FALSE)),"",_xlfn.REGEXEXTRACT(CELL("address",P247), "\$([A-Z]+)\$[0-9]+"))),_xlfn.REGEXEXTRACT(CELL("address",P247), "\$([A-Z]+)\$[0-9]+"))</f>
        <v/>
      </c>
      <c r="Q247" s="7" t="str">
        <f t="array" aca="1" ref="Q247" ca="1">IFERROR(IF(OR('Raw Data'!Q247="",LEN(TRIM('Raw Data'!Q247))=0),"",IF(AND(ISNUMBER('Raw Data'!Q247), IFERROR('Raw Data'!Q247 = ROUND('Raw Data'!Q247, 2),FALSE)),"",_xlfn.REGEXEXTRACT(CELL("address",Q247), "\$([A-Z]+)\$[0-9]+"))),_xlfn.REGEXEXTRACT(CELL("address",Q247), "\$([A-Z]+)\$[0-9]+"))</f>
        <v/>
      </c>
      <c r="R247" s="7" t="str">
        <f t="array" aca="1" ref="R247" ca="1">IFERROR(IF(OR('Raw Data'!R247="",LEN(TRIM('Raw Data'!R247))=0),"",IF(AND(LEN('Raw Data'!R247) &lt;= 50,LEN('Raw Data'!R247)&gt; 0),"",_xlfn.REGEXEXTRACT(CELL("address",'Raw Data'!R247),"\$([A-Z]+)\$[0-9]+"))),_xlfn.REGEXEXTRACT(CELL("address",'Raw Data'!R247),"\$([A-Z]+)\$[0-9]+"))</f>
        <v/>
      </c>
      <c r="S247" s="7" t="str">
        <f t="array" aca="1" ref="S247" ca="1">IFERROR(IF(OR('Raw Data'!S247="",LEN(TRIM('Raw Data'!S247))=0),"",IF(AND(LEN('Raw Data'!S247) &lt;= 50,LEN('Raw Data'!S247)&gt; 0),"",_xlfn.REGEXEXTRACT(CELL("address",'Raw Data'!S247),"\$([A-Z]+)\$[0-9]+"))),_xlfn.REGEXEXTRACT(CELL("address",'Raw Data'!S247),"\$([A-Z]+)\$[0-9]+"))</f>
        <v/>
      </c>
      <c r="T247" s="7" t="str">
        <f t="array" aca="1" ref="T247" ca="1">IFERROR(IF(OR('Raw Data'!T247="",LEN(TRIM('Raw Data'!T247))=0),"",IF(AND(ISNUMBER('Raw Data'!T247), IFERROR('Raw Data'!T247 = ROUND('Raw Data'!T247, 2),FALSE)),"",_xlfn.REGEXEXTRACT(CELL("address",T247), "\$([A-Z]+)\$[0-9]+"))),_xlfn.REGEXEXTRACT(CELL("address",T247), "\$([A-Z]+)\$[0-9]+"))</f>
        <v/>
      </c>
      <c r="U247" s="7" t="str">
        <f t="array" aca="1" ref="U247" ca="1">IFERROR(IF(OR('Raw Data'!U247="",LEN(TRIM('Raw Data'!U247))=0),"",IF(AND(ISNUMBER('Raw Data'!U247), IFERROR('Raw Data'!U247 = ROUND('Raw Data'!U247, 2),FALSE)),"",_xlfn.REGEXEXTRACT(CELL("address",U247), "\$([A-Z]+)\$[0-9]+"))),_xlfn.REGEXEXTRACT(CELL("address",U247), "\$([A-Z]+)\$[0-9]+"))</f>
        <v/>
      </c>
      <c r="V247" s="7" t="str">
        <f t="array" aca="1" ref="V247" ca="1">IFERROR(IF(OR('Raw Data'!V247="",LEN(TRIM('Raw Data'!V247))=0),"",IF(AND(ISNUMBER('Raw Data'!V247), IFERROR('Raw Data'!V247 = ROUND('Raw Data'!V247, 2),FALSE)),"",_xlfn.REGEXEXTRACT(CELL("address",V247), "\$([A-Z]+)\$[0-9]+"))),_xlfn.REGEXEXTRACT(CELL("address",V247), "\$([A-Z]+)\$[0-9]+"))</f>
        <v/>
      </c>
      <c r="W247" s="7" t="str">
        <f t="array" aca="1" ref="W247" ca="1">IFERROR(IF(OR('Raw Data'!W247="",LEN(TRIM('Raw Data'!W247))=0),"",IF(AND(ISNUMBER('Raw Data'!W247), IFERROR('Raw Data'!W247 = ROUND('Raw Data'!W247, 2),FALSE)),"",_xlfn.REGEXEXTRACT(CELL("address",W247), "\$([A-Z]+)\$[0-9]+"))),_xlfn.REGEXEXTRACT(CELL("address",W247), "\$([A-Z]+)\$[0-9]+"))</f>
        <v/>
      </c>
      <c r="X247" s="7" t="str">
        <f t="array" aca="1" ref="X247" ca="1">IFERROR(IF(OR('Raw Data'!X247="",LEN(TRIM('Raw Data'!X247))=0),"",IF(AND(ISNUMBER('Raw Data'!X247), IFERROR('Raw Data'!X247 = ROUND('Raw Data'!X247, 2),FALSE)),"",_xlfn.REGEXEXTRACT(CELL("address",X247), "\$([A-Z]+)\$[0-9]+"))),_xlfn.REGEXEXTRACT(CELL("address",X247), "\$([A-Z]+)\$[0-9]+"))</f>
        <v/>
      </c>
      <c r="Y247" s="7" t="str">
        <f t="array" aca="1" ref="Y247" ca="1">IFERROR(IF(OR('Raw Data'!Y247="",LEN(TRIM('Raw Data'!Y247))=0),"",IF(AND(ISNUMBER('Raw Data'!Y247), IFERROR('Raw Data'!Y247 = ROUND('Raw Data'!Y247, 2),FALSE)),"",_xlfn.REGEXEXTRACT(CELL("address",Y247), "\$([A-Z]+)\$[0-9]+"))),_xlfn.REGEXEXTRACT(CELL("address",Y247), "\$([A-Z]+)\$[0-9]+"))</f>
        <v/>
      </c>
      <c r="Z247" s="7" t="str">
        <f t="array" aca="1" ref="Z247" ca="1">IFERROR(IF(OR('Raw Data'!Z247="",LEN(TRIM('Raw Data'!Z247))=0),"",IF(AND(ISNUMBER('Raw Data'!Z247), IFERROR('Raw Data'!Z247 = ROUND('Raw Data'!Z247, 2),FALSE)),"",_xlfn.REGEXEXTRACT(CELL("address",Z247), "\$([A-Z]+)\$[0-9]+"))),_xlfn.REGEXEXTRACT(CELL("address",Z247), "\$([A-Z]+)\$[0-9]+"))</f>
        <v/>
      </c>
      <c r="AA247" s="7" t="str">
        <f t="array" aca="1" ref="AA247" ca="1">IFERROR(IF(OR('Raw Data'!AA247="",LEN(TRIM('Raw Data'!AA247))=0),"",IF(AND(ISNUMBER('Raw Data'!AA247), IFERROR('Raw Data'!AA247 = ROUND('Raw Data'!AA247, 2),FALSE)),"",_xlfn.REGEXEXTRACT(CELL("address",AA247), "\$([A-Z]+)\$[0-9]+"))),_xlfn.REGEXEXTRACT(CELL("address",AA247), "\$([A-Z]+)\$[0-9]+"))</f>
        <v/>
      </c>
      <c r="AB247" s="7" t="str">
        <f t="array" aca="1" ref="AB247" ca="1">IFERROR(IF(OR('Raw Data'!AB247="",LEN(TRIM('Raw Data'!AB247))=0),"",IF(AND(ISNUMBER('Raw Data'!AB247), IFERROR('Raw Data'!AB247 = ROUND('Raw Data'!AB247, 2),FALSE)),"",_xlfn.REGEXEXTRACT(CELL("address",AB247), "\$([A-Z]+)\$[0-9]+"))),_xlfn.REGEXEXTRACT(CELL("address",AB247), "\$([A-Z]+)\$[0-9]+"))</f>
        <v/>
      </c>
      <c r="AC247" s="7" t="str">
        <f t="array" aca="1" ref="AC247" ca="1">IFERROR(IF(OR('Raw Data'!AC247="",LEN(TRIM('Raw Data'!AC247))=0),"",IF(AND(ISNUMBER('Raw Data'!AC247), IFERROR('Raw Data'!AC247 = ROUND('Raw Data'!AC247, 2),FALSE)),"",_xlfn.REGEXEXTRACT(CELL("address",AC247), "\$([A-Z]+)\$[0-9]+"))),_xlfn.REGEXEXTRACT(CELL("address",AC247), "\$([A-Z]+)\$[0-9]+"))</f>
        <v/>
      </c>
      <c r="AD247" s="7" t="str">
        <f t="array" aca="1" ref="AD247" ca="1">IFERROR(IF(OR('Raw Data'!AD247="",LEN(TRIM('Raw Data'!AD247))=0),"",IF(AND(ISNUMBER('Raw Data'!AD247), IFERROR('Raw Data'!AD247 = ROUND('Raw Data'!AD247, 2),FALSE)),"",_xlfn.REGEXEXTRACT(CELL("address",AD247), "\$([A-Z]+)\$[0-9]+"))),_xlfn.REGEXEXTRACT(CELL("address",AD247), "\$([A-Z]+)\$[0-9]+"))</f>
        <v/>
      </c>
      <c r="AE247" s="7" t="str">
        <f t="array" aca="1" ref="AE247" ca="1">IFERROR(IF(OR('Raw Data'!AE247="",LEN(TRIM('Raw Data'!AE247))=0),"",IF(AND(ISNUMBER('Raw Data'!AE247), IFERROR('Raw Data'!AE247 = ROUND('Raw Data'!AE247, 2),FALSE)),"",_xlfn.REGEXEXTRACT(CELL("address",AE247), "\$([A-Z]+)\$[0-9]+"))),_xlfn.REGEXEXTRACT(CELL("address",AE247), "\$([A-Z]+)\$[0-9]+"))</f>
        <v/>
      </c>
      <c r="AF247" s="7" t="str">
        <f t="array" aca="1" ref="AF247" ca="1">IFERROR(IF(OR('Raw Data'!AF247="",LEN(TRIM('Raw Data'!AF247))=0),"",IF(AND(ISNUMBER('Raw Data'!AF247), IFERROR('Raw Data'!AF247 = ROUND('Raw Data'!AF247, 2),FALSE)),"",_xlfn.REGEXEXTRACT(CELL("address",AF247), "\$([A-Z]+)\$[0-9]+"))),_xlfn.REGEXEXTRACT(CELL("address",AF247), "\$([A-Z]+)\$[0-9]+"))</f>
        <v/>
      </c>
      <c r="AG247" s="7" t="str">
        <f t="array" aca="1" ref="AG247" ca="1">IFERROR(IF(OR('Raw Data'!AG247="",LEN(TRIM('Raw Data'!AG247))=0),"",IF(AND(ISNUMBER('Raw Data'!AG247), IFERROR('Raw Data'!AG247 = ROUND('Raw Data'!AG247, 2),FALSE)),"",_xlfn.REGEXEXTRACT(CELL("address",AG247), "\$([A-Z]+)\$[0-9]+"))),_xlfn.REGEXEXTRACT(CELL("address",AG247), "\$([A-Z]+)\$[0-9]+"))</f>
        <v/>
      </c>
      <c r="AH247" s="7" t="str">
        <f t="array" aca="1" ref="AH247" ca="1">IFERROR(IF(OR('Raw Data'!AH247="",LEN(TRIM('Raw Data'!AH247))=0),"",IF(AND(ISNUMBER('Raw Data'!AH247), IFERROR('Raw Data'!AH247 = ROUND('Raw Data'!AH247, 2),FALSE)),"",_xlfn.REGEXEXTRACT(CELL("address",AH247), "\$([A-Z]+)\$[0-9]+"))),_xlfn.REGEXEXTRACT(CELL("address",AH247), "\$([A-Z]+)\$[0-9]+"))</f>
        <v/>
      </c>
      <c r="AI247" s="7" t="str">
        <f t="array" aca="1" ref="AI247" ca="1">IFERROR(IF(OR('Raw Data'!AI247="",LEN(TRIM('Raw Data'!AI247))=0),"",IF(AND(ISNUMBER('Raw Data'!AI247), IFERROR('Raw Data'!AI247 = ROUND('Raw Data'!AI247, 2),FALSE)),"",_xlfn.REGEXEXTRACT(CELL("address",AI247), "\$([A-Z]+)\$[0-9]+"))),_xlfn.REGEXEXTRACT(CELL("address",AI247), "\$([A-Z]+)\$[0-9]+"))</f>
        <v/>
      </c>
      <c r="AJ247" s="7" t="str">
        <f t="array" aca="1" ref="AJ247" ca="1">IFERROR(IF(OR('Raw Data'!AJ247="",LEN(TRIM('Raw Data'!AJ247))=0),"",IF(AND(ISNUMBER('Raw Data'!AJ247), IFERROR('Raw Data'!AJ247 = ROUND('Raw Data'!AJ247, 4),FALSE)),"",_xlfn.REGEXEXTRACT(CELL("address",AJ247), "\$([A-Z]+)\$[0-9]+"))),_xlfn.REGEXEXTRACT(CELL("address",AJ247), "\$([A-Z]+)\$[0-9]+"))</f>
        <v/>
      </c>
      <c r="AK247" s="7" t="str">
        <f t="array" aca="1" ref="AK247" ca="1">IFERROR(IF(OR('Raw Data'!AK247="",LEN(TRIM('Raw Data'!AK247))=0),"",IF(AND(ISNUMBER('Raw Data'!AK247), IFERROR('Raw Data'!AK247 = ROUND('Raw Data'!AK247, 2),FALSE)),"",_xlfn.REGEXEXTRACT(CELL("address",AK247), "\$([A-Z]+)\$[0-9]+"))),_xlfn.REGEXEXTRACT(CELL("address",AK247), "\$([A-Z]+)\$[0-9]+"))</f>
        <v/>
      </c>
      <c r="AL247" s="7" t="str">
        <f t="array" aca="1" ref="AL247" ca="1">IFERROR(IF(OR('Raw Data'!AL247="",LEN(TRIM('Raw Data'!AL247))=0),"",IF(AND(ISNUMBER('Raw Data'!AL247), IFERROR('Raw Data'!AL247 = ROUND('Raw Data'!AL247, 2),FALSE)),"",_xlfn.REGEXEXTRACT(CELL("address",AL247), "\$([A-Z]+)\$[0-9]+"))),_xlfn.REGEXEXTRACT(CELL("address",AL247), "\$([A-Z]+)\$[0-9]+"))</f>
        <v/>
      </c>
      <c r="AM247" s="7" t="str">
        <f t="array" aca="1" ref="AM247" ca="1">IFERROR(IF(OR('Raw Data'!AM247="",LEN(TRIM('Raw Data'!AM247))=0),"",IF(AND(ISNUMBER('Raw Data'!AM247), IFERROR('Raw Data'!AM247 = ROUND('Raw Data'!AM247, 2),FALSE)),"",_xlfn.REGEXEXTRACT(CELL("address",AM247), "\$([A-Z]+)\$[0-9]+"))),_xlfn.REGEXEXTRACT(CELL("address",AM247), "\$([A-Z]+)\$[0-9]+"))</f>
        <v/>
      </c>
      <c r="AN247" s="7" t="str">
        <f t="array" aca="1" ref="AN247" ca="1">IFERROR(IF(OR('Raw Data'!AN247="",LEN(TRIM('Raw Data'!AN247))=0),"",IF(AND(ISNUMBER('Raw Data'!AN247), IFERROR('Raw Data'!AN247 = ROUND('Raw Data'!AN247, 2),FALSE)),"",_xlfn.REGEXEXTRACT(CELL("address",AN247), "\$([A-Z]+)\$[0-9]+"))),_xlfn.REGEXEXTRACT(CELL("address",AN247), "\$([A-Z]+)\$[0-9]+"))</f>
        <v/>
      </c>
      <c r="AO247" s="7" t="str">
        <f t="array" aca="1" ref="AO247" ca="1">IFERROR(IF(OR('Raw Data'!AO247="",LEN(TRIM('Raw Data'!AO247))=0),"",IF(AND(ISNUMBER('Raw Data'!AO247), IFERROR('Raw Data'!AO247 = ROUND('Raw Data'!AO247, 2),FALSE)),"",_xlfn.REGEXEXTRACT(CELL("address",AO247), "\$([A-Z]+)\$[0-9]+"))),_xlfn.REGEXEXTRACT(CELL("address",AO247), "\$([A-Z]+)\$[0-9]+"))</f>
        <v/>
      </c>
      <c r="AP247" s="7" t="str">
        <f t="array" aca="1" ref="AP247" ca="1">IFERROR(IF(OR('Raw Data'!AP247="",LEN(TRIM('Raw Data'!AP247))=0),"",IF(AND(ISNUMBER('Raw Data'!AP247), IFERROR('Raw Data'!AP247 = ROUND('Raw Data'!AP247, 2),FALSE)),"",_xlfn.REGEXEXTRACT(CELL("address",AP247), "\$([A-Z]+)\$[0-9]+"))),_xlfn.REGEXEXTRACT(CELL("address",AP247), "\$([A-Z]+)\$[0-9]+"))</f>
        <v/>
      </c>
    </row>
    <row r="248" spans="2:42" x14ac:dyDescent="0.25">
      <c r="B248" s="7" t="str">
        <f t="array" aca="1" ref="B248" ca="1">IFERROR(IF(OR('Raw Data'!B248="",LEN(TRIM('Raw Data'!B248))=0),"",IF(AND(LEN('Raw Data'!B248) &lt;= 255,LEN('Raw Data'!B248)&gt; 0),"",_xlfn.REGEXEXTRACT(CELL("address",'Raw Data'!B248),"\$([A-Z]+)\$[0-9]+"))),_xlfn.REGEXEXTRACT(CELL("address",'Raw Data'!B248),"\$([A-Z]+)\$[0-9]+"))</f>
        <v/>
      </c>
      <c r="C248" s="7" t="str">
        <f t="array" aca="1" ref="C248" ca="1">IFERROR(IF(OR('Raw Data'!C248="",LEN(TRIM('Raw Data'!C248))=0),"",IF(AND(LEN('Raw Data'!C248) &lt;= 50,LEN('Raw Data'!C248)&gt; 0),"",_xlfn.REGEXEXTRACT(CELL("address",'Raw Data'!C248),"\$([A-Z]+)\$[0-9]+"))),_xlfn.REGEXEXTRACT(CELL("address",'Raw Data'!C248),"\$([A-Z]+)\$[0-9]+"))</f>
        <v/>
      </c>
      <c r="D248" s="7" t="str">
        <f t="array" aca="1" ref="D248" ca="1">IFERROR(IF(OR('Raw Data'!D248="",LEN(TRIM('Raw Data'!D248))=0),"",IF(AND(LEN('Raw Data'!D248) &lt;= 500,LEN('Raw Data'!D248)&gt; 0),"",_xlfn.REGEXEXTRACT(CELL("address",'Raw Data'!D248),"\$([A-Z]+)\$[0-9]+"))),_xlfn.REGEXEXTRACT(CELL("address",'Raw Data'!D248),"\$([A-Z]+)\$[0-9]+"))</f>
        <v/>
      </c>
      <c r="E248" s="7" t="str">
        <f t="array" aca="1" ref="E248" ca="1">IFERROR(IF(OR('Raw Data'!E248="",LEN(TRIM('Raw Data'!E248))=0),"",IF(AND(LEN('Raw Data'!E248) &lt;= 50,LEN('Raw Data'!E248)&gt; 0),"",_xlfn.REGEXEXTRACT(CELL("address",'Raw Data'!E248),"\$([A-Z]+)\$[0-9]+"))),_xlfn.REGEXEXTRACT(CELL("address",'Raw Data'!E248),"\$([A-Z]+)\$[0-9]+"))</f>
        <v/>
      </c>
      <c r="F248" s="7" t="str">
        <f t="array" aca="1" ref="F248" ca="1">IFERROR(IF(OR('Raw Data'!F248="",LEN(TRIM('Raw Data'!F248))=0),"",IF(AND(LEN('Raw Data'!F248) &lt;= 50,LEN('Raw Data'!F248)&gt; 0),"",_xlfn.REGEXEXTRACT(CELL("address",'Raw Data'!F248),"\$([A-Z]+)\$[0-9]+"))),_xlfn.REGEXEXTRACT(CELL("address",'Raw Data'!F248),"\$([A-Z]+)\$[0-9]+"))</f>
        <v/>
      </c>
      <c r="G248" s="7" t="str">
        <f t="array" aca="1" ref="G248" ca="1">IFERROR(IF(OR('Raw Data'!G248="",LEN(TRIM('Raw Data'!G248))=0),"",IF(AND(LEN('Raw Data'!G248) &lt;= 50,LEN('Raw Data'!G248)&gt; 0),"",_xlfn.REGEXEXTRACT(CELL("address",'Raw Data'!G248),"\$([A-Z]+)\$[0-9]+"))),_xlfn.REGEXEXTRACT(CELL("address",'Raw Data'!G248),"\$([A-Z]+)\$[0-9]+"))</f>
        <v/>
      </c>
      <c r="H248" s="7" t="str">
        <f t="array" aca="1" ref="H248" ca="1">IFERROR(IF(OR('Raw Data'!H248="",LEN(TRIM('Raw Data'!H248))=0),"",IF(AND(LEN('Raw Data'!H248) &lt;= 50,LEN('Raw Data'!H248)&gt; 0),"",_xlfn.REGEXEXTRACT(CELL("address",'Raw Data'!H248),"\$([A-Z]+)\$[0-9]+"))),_xlfn.REGEXEXTRACT(CELL("address",'Raw Data'!H248),"\$([A-Z]+)\$[0-9]+"))</f>
        <v/>
      </c>
      <c r="I248" s="7" t="str">
        <f t="array" aca="1" ref="I248" ca="1">IFERROR(IF(OR('Raw Data'!I248="",LEN(TRIM('Raw Data'!I248))=0),"",IF(AND(LEN('Raw Data'!I248) &lt;= 50,LEN('Raw Data'!I248)&gt; 0),"",_xlfn.REGEXEXTRACT(CELL("address",'Raw Data'!I248),"\$([A-Z]+)\$[0-9]+"))),_xlfn.REGEXEXTRACT(CELL("address",'Raw Data'!I248),"\$([A-Z]+)\$[0-9]+"))</f>
        <v/>
      </c>
      <c r="J248" s="7" t="str">
        <f t="array" aca="1" ref="J248" ca="1">IFERROR(IF(OR('Raw Data'!J248="",LEN(TRIM('Raw Data'!J248))=0),"",IF(AND(ISNUMBER('Raw Data'!J248), IFERROR('Raw Data'!J248 = ROUND('Raw Data'!J248, 2),FALSE)),"",_xlfn.REGEXEXTRACT(CELL("address",J248), "\$([A-Z]+)\$[0-9]+"))),_xlfn.REGEXEXTRACT(CELL("address",J248), "\$([A-Z]+)\$[0-9]+"))</f>
        <v/>
      </c>
      <c r="K248" s="7" t="str">
        <f t="array" aca="1" ref="K248" ca="1">IFERROR(IF(OR('Raw Data'!K248="",LEN(TRIM('Raw Data'!K248))=0),"",IF(AND(ISNUMBER('Raw Data'!K248), IFERROR('Raw Data'!K248 = ROUND('Raw Data'!K248, 2),FALSE)),"",_xlfn.REGEXEXTRACT(CELL("address",K248), "\$([A-Z]+)\$[0-9]+"))),_xlfn.REGEXEXTRACT(CELL("address",K248), "\$([A-Z]+)\$[0-9]+"))</f>
        <v/>
      </c>
      <c r="L248" s="7" t="str">
        <f t="array" aca="1" ref="L248" ca="1">IFERROR(IF(OR('Raw Data'!L248="",LEN(TRIM('Raw Data'!L248))=0),"",IF(AND(ISNUMBER('Raw Data'!L248), IFERROR('Raw Data'!L248 = ROUND('Raw Data'!L248, 2),FALSE)),"",_xlfn.REGEXEXTRACT(CELL("address",L248), "\$([A-Z]+)\$[0-9]+"))),_xlfn.REGEXEXTRACT(CELL("address",L248), "\$([A-Z]+)\$[0-9]+"))</f>
        <v/>
      </c>
      <c r="M248" s="7" t="str">
        <f t="array" aca="1" ref="M248" ca="1">IFERROR(IF(OR('Raw Data'!M248="",LEN(TRIM('Raw Data'!M248))=0),"",IF(AND(ISNUMBER('Raw Data'!M248), IFERROR('Raw Data'!M248 = ROUND('Raw Data'!M248, 2),FALSE)),"",_xlfn.REGEXEXTRACT(CELL("address",M248), "\$([A-Z]+)\$[0-9]+"))),_xlfn.REGEXEXTRACT(CELL("address",M248), "\$([A-Z]+)\$[0-9]+"))</f>
        <v/>
      </c>
      <c r="N248" s="7" t="str">
        <f t="array" aca="1" ref="N248" ca="1">IFERROR(IF(OR('Raw Data'!N248="",LEN(TRIM('Raw Data'!N248))=0),"",IF(AND(ISNUMBER('Raw Data'!N248), IFERROR('Raw Data'!N248 = ROUND('Raw Data'!N248, 2),FALSE)),"",_xlfn.REGEXEXTRACT(CELL("address",N248), "\$([A-Z]+)\$[0-9]+"))),_xlfn.REGEXEXTRACT(CELL("address",N248), "\$([A-Z]+)\$[0-9]+"))</f>
        <v/>
      </c>
      <c r="O248" s="7" t="str">
        <f t="array" aca="1" ref="O248" ca="1">IFERROR(IF(OR('Raw Data'!O248="",LEN(TRIM('Raw Data'!O248))=0),"",IF(AND(ISNUMBER('Raw Data'!O248),'Raw Data'!O248&gt;=Configuration!$D$2),"",_xlfn.REGEXEXTRACT(CELL("address",'Raw Data'!O248),"\$([A-Z]+)\$[0-9]+"))),_xlfn.REGEXEXTRACT(CELL("address",O248), "\$([A-Z]+)\$[0-9]+"))</f>
        <v/>
      </c>
      <c r="P248" s="7" t="str">
        <f t="array" aca="1" ref="P248" ca="1">IFERROR(IF(OR('Raw Data'!P248="",LEN(TRIM('Raw Data'!P248))=0),"",IF(AND(ISNUMBER('Raw Data'!P248), IFERROR('Raw Data'!P248 = ROUND('Raw Data'!P248, 2),FALSE)),"",_xlfn.REGEXEXTRACT(CELL("address",P248), "\$([A-Z]+)\$[0-9]+"))),_xlfn.REGEXEXTRACT(CELL("address",P248), "\$([A-Z]+)\$[0-9]+"))</f>
        <v/>
      </c>
      <c r="Q248" s="7" t="str">
        <f t="array" aca="1" ref="Q248" ca="1">IFERROR(IF(OR('Raw Data'!Q248="",LEN(TRIM('Raw Data'!Q248))=0),"",IF(AND(ISNUMBER('Raw Data'!Q248), IFERROR('Raw Data'!Q248 = ROUND('Raw Data'!Q248, 2),FALSE)),"",_xlfn.REGEXEXTRACT(CELL("address",Q248), "\$([A-Z]+)\$[0-9]+"))),_xlfn.REGEXEXTRACT(CELL("address",Q248), "\$([A-Z]+)\$[0-9]+"))</f>
        <v/>
      </c>
      <c r="R248" s="7" t="str">
        <f t="array" aca="1" ref="R248" ca="1">IFERROR(IF(OR('Raw Data'!R248="",LEN(TRIM('Raw Data'!R248))=0),"",IF(AND(LEN('Raw Data'!R248) &lt;= 50,LEN('Raw Data'!R248)&gt; 0),"",_xlfn.REGEXEXTRACT(CELL("address",'Raw Data'!R248),"\$([A-Z]+)\$[0-9]+"))),_xlfn.REGEXEXTRACT(CELL("address",'Raw Data'!R248),"\$([A-Z]+)\$[0-9]+"))</f>
        <v/>
      </c>
      <c r="S248" s="7" t="str">
        <f t="array" aca="1" ref="S248" ca="1">IFERROR(IF(OR('Raw Data'!S248="",LEN(TRIM('Raw Data'!S248))=0),"",IF(AND(LEN('Raw Data'!S248) &lt;= 50,LEN('Raw Data'!S248)&gt; 0),"",_xlfn.REGEXEXTRACT(CELL("address",'Raw Data'!S248),"\$([A-Z]+)\$[0-9]+"))),_xlfn.REGEXEXTRACT(CELL("address",'Raw Data'!S248),"\$([A-Z]+)\$[0-9]+"))</f>
        <v/>
      </c>
      <c r="T248" s="7" t="str">
        <f t="array" aca="1" ref="T248" ca="1">IFERROR(IF(OR('Raw Data'!T248="",LEN(TRIM('Raw Data'!T248))=0),"",IF(AND(ISNUMBER('Raw Data'!T248), IFERROR('Raw Data'!T248 = ROUND('Raw Data'!T248, 2),FALSE)),"",_xlfn.REGEXEXTRACT(CELL("address",T248), "\$([A-Z]+)\$[0-9]+"))),_xlfn.REGEXEXTRACT(CELL("address",T248), "\$([A-Z]+)\$[0-9]+"))</f>
        <v/>
      </c>
      <c r="U248" s="7" t="str">
        <f t="array" aca="1" ref="U248" ca="1">IFERROR(IF(OR('Raw Data'!U248="",LEN(TRIM('Raw Data'!U248))=0),"",IF(AND(ISNUMBER('Raw Data'!U248), IFERROR('Raw Data'!U248 = ROUND('Raw Data'!U248, 2),FALSE)),"",_xlfn.REGEXEXTRACT(CELL("address",U248), "\$([A-Z]+)\$[0-9]+"))),_xlfn.REGEXEXTRACT(CELL("address",U248), "\$([A-Z]+)\$[0-9]+"))</f>
        <v/>
      </c>
      <c r="V248" s="7" t="str">
        <f t="array" aca="1" ref="V248" ca="1">IFERROR(IF(OR('Raw Data'!V248="",LEN(TRIM('Raw Data'!V248))=0),"",IF(AND(ISNUMBER('Raw Data'!V248), IFERROR('Raw Data'!V248 = ROUND('Raw Data'!V248, 2),FALSE)),"",_xlfn.REGEXEXTRACT(CELL("address",V248), "\$([A-Z]+)\$[0-9]+"))),_xlfn.REGEXEXTRACT(CELL("address",V248), "\$([A-Z]+)\$[0-9]+"))</f>
        <v/>
      </c>
      <c r="W248" s="7" t="str">
        <f t="array" aca="1" ref="W248" ca="1">IFERROR(IF(OR('Raw Data'!W248="",LEN(TRIM('Raw Data'!W248))=0),"",IF(AND(ISNUMBER('Raw Data'!W248), IFERROR('Raw Data'!W248 = ROUND('Raw Data'!W248, 2),FALSE)),"",_xlfn.REGEXEXTRACT(CELL("address",W248), "\$([A-Z]+)\$[0-9]+"))),_xlfn.REGEXEXTRACT(CELL("address",W248), "\$([A-Z]+)\$[0-9]+"))</f>
        <v/>
      </c>
      <c r="X248" s="7" t="str">
        <f t="array" aca="1" ref="X248" ca="1">IFERROR(IF(OR('Raw Data'!X248="",LEN(TRIM('Raw Data'!X248))=0),"",IF(AND(ISNUMBER('Raw Data'!X248), IFERROR('Raw Data'!X248 = ROUND('Raw Data'!X248, 2),FALSE)),"",_xlfn.REGEXEXTRACT(CELL("address",X248), "\$([A-Z]+)\$[0-9]+"))),_xlfn.REGEXEXTRACT(CELL("address",X248), "\$([A-Z]+)\$[0-9]+"))</f>
        <v/>
      </c>
      <c r="Y248" s="7" t="str">
        <f t="array" aca="1" ref="Y248" ca="1">IFERROR(IF(OR('Raw Data'!Y248="",LEN(TRIM('Raw Data'!Y248))=0),"",IF(AND(ISNUMBER('Raw Data'!Y248), IFERROR('Raw Data'!Y248 = ROUND('Raw Data'!Y248, 2),FALSE)),"",_xlfn.REGEXEXTRACT(CELL("address",Y248), "\$([A-Z]+)\$[0-9]+"))),_xlfn.REGEXEXTRACT(CELL("address",Y248), "\$([A-Z]+)\$[0-9]+"))</f>
        <v/>
      </c>
      <c r="Z248" s="7" t="str">
        <f t="array" aca="1" ref="Z248" ca="1">IFERROR(IF(OR('Raw Data'!Z248="",LEN(TRIM('Raw Data'!Z248))=0),"",IF(AND(ISNUMBER('Raw Data'!Z248), IFERROR('Raw Data'!Z248 = ROUND('Raw Data'!Z248, 2),FALSE)),"",_xlfn.REGEXEXTRACT(CELL("address",Z248), "\$([A-Z]+)\$[0-9]+"))),_xlfn.REGEXEXTRACT(CELL("address",Z248), "\$([A-Z]+)\$[0-9]+"))</f>
        <v/>
      </c>
      <c r="AA248" s="7" t="str">
        <f t="array" aca="1" ref="AA248" ca="1">IFERROR(IF(OR('Raw Data'!AA248="",LEN(TRIM('Raw Data'!AA248))=0),"",IF(AND(ISNUMBER('Raw Data'!AA248), IFERROR('Raw Data'!AA248 = ROUND('Raw Data'!AA248, 2),FALSE)),"",_xlfn.REGEXEXTRACT(CELL("address",AA248), "\$([A-Z]+)\$[0-9]+"))),_xlfn.REGEXEXTRACT(CELL("address",AA248), "\$([A-Z]+)\$[0-9]+"))</f>
        <v/>
      </c>
      <c r="AB248" s="7" t="str">
        <f t="array" aca="1" ref="AB248" ca="1">IFERROR(IF(OR('Raw Data'!AB248="",LEN(TRIM('Raw Data'!AB248))=0),"",IF(AND(ISNUMBER('Raw Data'!AB248), IFERROR('Raw Data'!AB248 = ROUND('Raw Data'!AB248, 2),FALSE)),"",_xlfn.REGEXEXTRACT(CELL("address",AB248), "\$([A-Z]+)\$[0-9]+"))),_xlfn.REGEXEXTRACT(CELL("address",AB248), "\$([A-Z]+)\$[0-9]+"))</f>
        <v/>
      </c>
      <c r="AC248" s="7" t="str">
        <f t="array" aca="1" ref="AC248" ca="1">IFERROR(IF(OR('Raw Data'!AC248="",LEN(TRIM('Raw Data'!AC248))=0),"",IF(AND(ISNUMBER('Raw Data'!AC248), IFERROR('Raw Data'!AC248 = ROUND('Raw Data'!AC248, 2),FALSE)),"",_xlfn.REGEXEXTRACT(CELL("address",AC248), "\$([A-Z]+)\$[0-9]+"))),_xlfn.REGEXEXTRACT(CELL("address",AC248), "\$([A-Z]+)\$[0-9]+"))</f>
        <v/>
      </c>
      <c r="AD248" s="7" t="str">
        <f t="array" aca="1" ref="AD248" ca="1">IFERROR(IF(OR('Raw Data'!AD248="",LEN(TRIM('Raw Data'!AD248))=0),"",IF(AND(ISNUMBER('Raw Data'!AD248), IFERROR('Raw Data'!AD248 = ROUND('Raw Data'!AD248, 2),FALSE)),"",_xlfn.REGEXEXTRACT(CELL("address",AD248), "\$([A-Z]+)\$[0-9]+"))),_xlfn.REGEXEXTRACT(CELL("address",AD248), "\$([A-Z]+)\$[0-9]+"))</f>
        <v/>
      </c>
      <c r="AE248" s="7" t="str">
        <f t="array" aca="1" ref="AE248" ca="1">IFERROR(IF(OR('Raw Data'!AE248="",LEN(TRIM('Raw Data'!AE248))=0),"",IF(AND(ISNUMBER('Raw Data'!AE248), IFERROR('Raw Data'!AE248 = ROUND('Raw Data'!AE248, 2),FALSE)),"",_xlfn.REGEXEXTRACT(CELL("address",AE248), "\$([A-Z]+)\$[0-9]+"))),_xlfn.REGEXEXTRACT(CELL("address",AE248), "\$([A-Z]+)\$[0-9]+"))</f>
        <v/>
      </c>
      <c r="AF248" s="7" t="str">
        <f t="array" aca="1" ref="AF248" ca="1">IFERROR(IF(OR('Raw Data'!AF248="",LEN(TRIM('Raw Data'!AF248))=0),"",IF(AND(ISNUMBER('Raw Data'!AF248), IFERROR('Raw Data'!AF248 = ROUND('Raw Data'!AF248, 2),FALSE)),"",_xlfn.REGEXEXTRACT(CELL("address",AF248), "\$([A-Z]+)\$[0-9]+"))),_xlfn.REGEXEXTRACT(CELL("address",AF248), "\$([A-Z]+)\$[0-9]+"))</f>
        <v/>
      </c>
      <c r="AG248" s="7" t="str">
        <f t="array" aca="1" ref="AG248" ca="1">IFERROR(IF(OR('Raw Data'!AG248="",LEN(TRIM('Raw Data'!AG248))=0),"",IF(AND(ISNUMBER('Raw Data'!AG248), IFERROR('Raw Data'!AG248 = ROUND('Raw Data'!AG248, 2),FALSE)),"",_xlfn.REGEXEXTRACT(CELL("address",AG248), "\$([A-Z]+)\$[0-9]+"))),_xlfn.REGEXEXTRACT(CELL("address",AG248), "\$([A-Z]+)\$[0-9]+"))</f>
        <v/>
      </c>
      <c r="AH248" s="7" t="str">
        <f t="array" aca="1" ref="AH248" ca="1">IFERROR(IF(OR('Raw Data'!AH248="",LEN(TRIM('Raw Data'!AH248))=0),"",IF(AND(ISNUMBER('Raw Data'!AH248), IFERROR('Raw Data'!AH248 = ROUND('Raw Data'!AH248, 2),FALSE)),"",_xlfn.REGEXEXTRACT(CELL("address",AH248), "\$([A-Z]+)\$[0-9]+"))),_xlfn.REGEXEXTRACT(CELL("address",AH248), "\$([A-Z]+)\$[0-9]+"))</f>
        <v/>
      </c>
      <c r="AI248" s="7" t="str">
        <f t="array" aca="1" ref="AI248" ca="1">IFERROR(IF(OR('Raw Data'!AI248="",LEN(TRIM('Raw Data'!AI248))=0),"",IF(AND(ISNUMBER('Raw Data'!AI248), IFERROR('Raw Data'!AI248 = ROUND('Raw Data'!AI248, 2),FALSE)),"",_xlfn.REGEXEXTRACT(CELL("address",AI248), "\$([A-Z]+)\$[0-9]+"))),_xlfn.REGEXEXTRACT(CELL("address",AI248), "\$([A-Z]+)\$[0-9]+"))</f>
        <v/>
      </c>
      <c r="AJ248" s="7" t="str">
        <f t="array" aca="1" ref="AJ248" ca="1">IFERROR(IF(OR('Raw Data'!AJ248="",LEN(TRIM('Raw Data'!AJ248))=0),"",IF(AND(ISNUMBER('Raw Data'!AJ248), IFERROR('Raw Data'!AJ248 = ROUND('Raw Data'!AJ248, 4),FALSE)),"",_xlfn.REGEXEXTRACT(CELL("address",AJ248), "\$([A-Z]+)\$[0-9]+"))),_xlfn.REGEXEXTRACT(CELL("address",AJ248), "\$([A-Z]+)\$[0-9]+"))</f>
        <v/>
      </c>
      <c r="AK248" s="7" t="str">
        <f t="array" aca="1" ref="AK248" ca="1">IFERROR(IF(OR('Raw Data'!AK248="",LEN(TRIM('Raw Data'!AK248))=0),"",IF(AND(ISNUMBER('Raw Data'!AK248), IFERROR('Raw Data'!AK248 = ROUND('Raw Data'!AK248, 2),FALSE)),"",_xlfn.REGEXEXTRACT(CELL("address",AK248), "\$([A-Z]+)\$[0-9]+"))),_xlfn.REGEXEXTRACT(CELL("address",AK248), "\$([A-Z]+)\$[0-9]+"))</f>
        <v/>
      </c>
      <c r="AL248" s="7" t="str">
        <f t="array" aca="1" ref="AL248" ca="1">IFERROR(IF(OR('Raw Data'!AL248="",LEN(TRIM('Raw Data'!AL248))=0),"",IF(AND(ISNUMBER('Raw Data'!AL248), IFERROR('Raw Data'!AL248 = ROUND('Raw Data'!AL248, 2),FALSE)),"",_xlfn.REGEXEXTRACT(CELL("address",AL248), "\$([A-Z]+)\$[0-9]+"))),_xlfn.REGEXEXTRACT(CELL("address",AL248), "\$([A-Z]+)\$[0-9]+"))</f>
        <v/>
      </c>
      <c r="AM248" s="7" t="str">
        <f t="array" aca="1" ref="AM248" ca="1">IFERROR(IF(OR('Raw Data'!AM248="",LEN(TRIM('Raw Data'!AM248))=0),"",IF(AND(ISNUMBER('Raw Data'!AM248), IFERROR('Raw Data'!AM248 = ROUND('Raw Data'!AM248, 2),FALSE)),"",_xlfn.REGEXEXTRACT(CELL("address",AM248), "\$([A-Z]+)\$[0-9]+"))),_xlfn.REGEXEXTRACT(CELL("address",AM248), "\$([A-Z]+)\$[0-9]+"))</f>
        <v/>
      </c>
      <c r="AN248" s="7" t="str">
        <f t="array" aca="1" ref="AN248" ca="1">IFERROR(IF(OR('Raw Data'!AN248="",LEN(TRIM('Raw Data'!AN248))=0),"",IF(AND(ISNUMBER('Raw Data'!AN248), IFERROR('Raw Data'!AN248 = ROUND('Raw Data'!AN248, 2),FALSE)),"",_xlfn.REGEXEXTRACT(CELL("address",AN248), "\$([A-Z]+)\$[0-9]+"))),_xlfn.REGEXEXTRACT(CELL("address",AN248), "\$([A-Z]+)\$[0-9]+"))</f>
        <v/>
      </c>
      <c r="AO248" s="7" t="str">
        <f t="array" aca="1" ref="AO248" ca="1">IFERROR(IF(OR('Raw Data'!AO248="",LEN(TRIM('Raw Data'!AO248))=0),"",IF(AND(ISNUMBER('Raw Data'!AO248), IFERROR('Raw Data'!AO248 = ROUND('Raw Data'!AO248, 2),FALSE)),"",_xlfn.REGEXEXTRACT(CELL("address",AO248), "\$([A-Z]+)\$[0-9]+"))),_xlfn.REGEXEXTRACT(CELL("address",AO248), "\$([A-Z]+)\$[0-9]+"))</f>
        <v/>
      </c>
      <c r="AP248" s="7" t="str">
        <f t="array" aca="1" ref="AP248" ca="1">IFERROR(IF(OR('Raw Data'!AP248="",LEN(TRIM('Raw Data'!AP248))=0),"",IF(AND(ISNUMBER('Raw Data'!AP248), IFERROR('Raw Data'!AP248 = ROUND('Raw Data'!AP248, 2),FALSE)),"",_xlfn.REGEXEXTRACT(CELL("address",AP248), "\$([A-Z]+)\$[0-9]+"))),_xlfn.REGEXEXTRACT(CELL("address",AP248), "\$([A-Z]+)\$[0-9]+"))</f>
        <v/>
      </c>
    </row>
    <row r="249" spans="2:42" x14ac:dyDescent="0.25">
      <c r="B249" s="7" t="str">
        <f t="array" aca="1" ref="B249" ca="1">IFERROR(IF(OR('Raw Data'!B249="",LEN(TRIM('Raw Data'!B249))=0),"",IF(AND(LEN('Raw Data'!B249) &lt;= 255,LEN('Raw Data'!B249)&gt; 0),"",_xlfn.REGEXEXTRACT(CELL("address",'Raw Data'!B249),"\$([A-Z]+)\$[0-9]+"))),_xlfn.REGEXEXTRACT(CELL("address",'Raw Data'!B249),"\$([A-Z]+)\$[0-9]+"))</f>
        <v/>
      </c>
      <c r="C249" s="7" t="str">
        <f t="array" aca="1" ref="C249" ca="1">IFERROR(IF(OR('Raw Data'!C249="",LEN(TRIM('Raw Data'!C249))=0),"",IF(AND(LEN('Raw Data'!C249) &lt;= 50,LEN('Raw Data'!C249)&gt; 0),"",_xlfn.REGEXEXTRACT(CELL("address",'Raw Data'!C249),"\$([A-Z]+)\$[0-9]+"))),_xlfn.REGEXEXTRACT(CELL("address",'Raw Data'!C249),"\$([A-Z]+)\$[0-9]+"))</f>
        <v/>
      </c>
      <c r="D249" s="7" t="str">
        <f t="array" aca="1" ref="D249" ca="1">IFERROR(IF(OR('Raw Data'!D249="",LEN(TRIM('Raw Data'!D249))=0),"",IF(AND(LEN('Raw Data'!D249) &lt;= 500,LEN('Raw Data'!D249)&gt; 0),"",_xlfn.REGEXEXTRACT(CELL("address",'Raw Data'!D249),"\$([A-Z]+)\$[0-9]+"))),_xlfn.REGEXEXTRACT(CELL("address",'Raw Data'!D249),"\$([A-Z]+)\$[0-9]+"))</f>
        <v/>
      </c>
      <c r="E249" s="7" t="str">
        <f t="array" aca="1" ref="E249" ca="1">IFERROR(IF(OR('Raw Data'!E249="",LEN(TRIM('Raw Data'!E249))=0),"",IF(AND(LEN('Raw Data'!E249) &lt;= 50,LEN('Raw Data'!E249)&gt; 0),"",_xlfn.REGEXEXTRACT(CELL("address",'Raw Data'!E249),"\$([A-Z]+)\$[0-9]+"))),_xlfn.REGEXEXTRACT(CELL("address",'Raw Data'!E249),"\$([A-Z]+)\$[0-9]+"))</f>
        <v/>
      </c>
      <c r="F249" s="7" t="str">
        <f t="array" aca="1" ref="F249" ca="1">IFERROR(IF(OR('Raw Data'!F249="",LEN(TRIM('Raw Data'!F249))=0),"",IF(AND(LEN('Raw Data'!F249) &lt;= 50,LEN('Raw Data'!F249)&gt; 0),"",_xlfn.REGEXEXTRACT(CELL("address",'Raw Data'!F249),"\$([A-Z]+)\$[0-9]+"))),_xlfn.REGEXEXTRACT(CELL("address",'Raw Data'!F249),"\$([A-Z]+)\$[0-9]+"))</f>
        <v/>
      </c>
      <c r="G249" s="7" t="str">
        <f t="array" aca="1" ref="G249" ca="1">IFERROR(IF(OR('Raw Data'!G249="",LEN(TRIM('Raw Data'!G249))=0),"",IF(AND(LEN('Raw Data'!G249) &lt;= 50,LEN('Raw Data'!G249)&gt; 0),"",_xlfn.REGEXEXTRACT(CELL("address",'Raw Data'!G249),"\$([A-Z]+)\$[0-9]+"))),_xlfn.REGEXEXTRACT(CELL("address",'Raw Data'!G249),"\$([A-Z]+)\$[0-9]+"))</f>
        <v/>
      </c>
      <c r="H249" s="7" t="str">
        <f t="array" aca="1" ref="H249" ca="1">IFERROR(IF(OR('Raw Data'!H249="",LEN(TRIM('Raw Data'!H249))=0),"",IF(AND(LEN('Raw Data'!H249) &lt;= 50,LEN('Raw Data'!H249)&gt; 0),"",_xlfn.REGEXEXTRACT(CELL("address",'Raw Data'!H249),"\$([A-Z]+)\$[0-9]+"))),_xlfn.REGEXEXTRACT(CELL("address",'Raw Data'!H249),"\$([A-Z]+)\$[0-9]+"))</f>
        <v/>
      </c>
      <c r="I249" s="7" t="str">
        <f t="array" aca="1" ref="I249" ca="1">IFERROR(IF(OR('Raw Data'!I249="",LEN(TRIM('Raw Data'!I249))=0),"",IF(AND(LEN('Raw Data'!I249) &lt;= 50,LEN('Raw Data'!I249)&gt; 0),"",_xlfn.REGEXEXTRACT(CELL("address",'Raw Data'!I249),"\$([A-Z]+)\$[0-9]+"))),_xlfn.REGEXEXTRACT(CELL("address",'Raw Data'!I249),"\$([A-Z]+)\$[0-9]+"))</f>
        <v/>
      </c>
      <c r="J249" s="7" t="str">
        <f t="array" aca="1" ref="J249" ca="1">IFERROR(IF(OR('Raw Data'!J249="",LEN(TRIM('Raw Data'!J249))=0),"",IF(AND(ISNUMBER('Raw Data'!J249), IFERROR('Raw Data'!J249 = ROUND('Raw Data'!J249, 2),FALSE)),"",_xlfn.REGEXEXTRACT(CELL("address",J249), "\$([A-Z]+)\$[0-9]+"))),_xlfn.REGEXEXTRACT(CELL("address",J249), "\$([A-Z]+)\$[0-9]+"))</f>
        <v/>
      </c>
      <c r="K249" s="7" t="str">
        <f t="array" aca="1" ref="K249" ca="1">IFERROR(IF(OR('Raw Data'!K249="",LEN(TRIM('Raw Data'!K249))=0),"",IF(AND(ISNUMBER('Raw Data'!K249), IFERROR('Raw Data'!K249 = ROUND('Raw Data'!K249, 2),FALSE)),"",_xlfn.REGEXEXTRACT(CELL("address",K249), "\$([A-Z]+)\$[0-9]+"))),_xlfn.REGEXEXTRACT(CELL("address",K249), "\$([A-Z]+)\$[0-9]+"))</f>
        <v/>
      </c>
      <c r="L249" s="7" t="str">
        <f t="array" aca="1" ref="L249" ca="1">IFERROR(IF(OR('Raw Data'!L249="",LEN(TRIM('Raw Data'!L249))=0),"",IF(AND(ISNUMBER('Raw Data'!L249), IFERROR('Raw Data'!L249 = ROUND('Raw Data'!L249, 2),FALSE)),"",_xlfn.REGEXEXTRACT(CELL("address",L249), "\$([A-Z]+)\$[0-9]+"))),_xlfn.REGEXEXTRACT(CELL("address",L249), "\$([A-Z]+)\$[0-9]+"))</f>
        <v/>
      </c>
      <c r="M249" s="7" t="str">
        <f t="array" aca="1" ref="M249" ca="1">IFERROR(IF(OR('Raw Data'!M249="",LEN(TRIM('Raw Data'!M249))=0),"",IF(AND(ISNUMBER('Raw Data'!M249), IFERROR('Raw Data'!M249 = ROUND('Raw Data'!M249, 2),FALSE)),"",_xlfn.REGEXEXTRACT(CELL("address",M249), "\$([A-Z]+)\$[0-9]+"))),_xlfn.REGEXEXTRACT(CELL("address",M249), "\$([A-Z]+)\$[0-9]+"))</f>
        <v/>
      </c>
      <c r="N249" s="7" t="str">
        <f t="array" aca="1" ref="N249" ca="1">IFERROR(IF(OR('Raw Data'!N249="",LEN(TRIM('Raw Data'!N249))=0),"",IF(AND(ISNUMBER('Raw Data'!N249), IFERROR('Raw Data'!N249 = ROUND('Raw Data'!N249, 2),FALSE)),"",_xlfn.REGEXEXTRACT(CELL("address",N249), "\$([A-Z]+)\$[0-9]+"))),_xlfn.REGEXEXTRACT(CELL("address",N249), "\$([A-Z]+)\$[0-9]+"))</f>
        <v/>
      </c>
      <c r="O249" s="7" t="str">
        <f t="array" aca="1" ref="O249" ca="1">IFERROR(IF(OR('Raw Data'!O249="",LEN(TRIM('Raw Data'!O249))=0),"",IF(AND(ISNUMBER('Raw Data'!O249),'Raw Data'!O249&gt;=Configuration!$D$2),"",_xlfn.REGEXEXTRACT(CELL("address",'Raw Data'!O249),"\$([A-Z]+)\$[0-9]+"))),_xlfn.REGEXEXTRACT(CELL("address",O249), "\$([A-Z]+)\$[0-9]+"))</f>
        <v/>
      </c>
      <c r="P249" s="7" t="str">
        <f t="array" aca="1" ref="P249" ca="1">IFERROR(IF(OR('Raw Data'!P249="",LEN(TRIM('Raw Data'!P249))=0),"",IF(AND(ISNUMBER('Raw Data'!P249), IFERROR('Raw Data'!P249 = ROUND('Raw Data'!P249, 2),FALSE)),"",_xlfn.REGEXEXTRACT(CELL("address",P249), "\$([A-Z]+)\$[0-9]+"))),_xlfn.REGEXEXTRACT(CELL("address",P249), "\$([A-Z]+)\$[0-9]+"))</f>
        <v/>
      </c>
      <c r="Q249" s="7" t="str">
        <f t="array" aca="1" ref="Q249" ca="1">IFERROR(IF(OR('Raw Data'!Q249="",LEN(TRIM('Raw Data'!Q249))=0),"",IF(AND(ISNUMBER('Raw Data'!Q249), IFERROR('Raw Data'!Q249 = ROUND('Raw Data'!Q249, 2),FALSE)),"",_xlfn.REGEXEXTRACT(CELL("address",Q249), "\$([A-Z]+)\$[0-9]+"))),_xlfn.REGEXEXTRACT(CELL("address",Q249), "\$([A-Z]+)\$[0-9]+"))</f>
        <v/>
      </c>
      <c r="R249" s="7" t="str">
        <f t="array" aca="1" ref="R249" ca="1">IFERROR(IF(OR('Raw Data'!R249="",LEN(TRIM('Raw Data'!R249))=0),"",IF(AND(LEN('Raw Data'!R249) &lt;= 50,LEN('Raw Data'!R249)&gt; 0),"",_xlfn.REGEXEXTRACT(CELL("address",'Raw Data'!R249),"\$([A-Z]+)\$[0-9]+"))),_xlfn.REGEXEXTRACT(CELL("address",'Raw Data'!R249),"\$([A-Z]+)\$[0-9]+"))</f>
        <v/>
      </c>
      <c r="S249" s="7" t="str">
        <f t="array" aca="1" ref="S249" ca="1">IFERROR(IF(OR('Raw Data'!S249="",LEN(TRIM('Raw Data'!S249))=0),"",IF(AND(LEN('Raw Data'!S249) &lt;= 50,LEN('Raw Data'!S249)&gt; 0),"",_xlfn.REGEXEXTRACT(CELL("address",'Raw Data'!S249),"\$([A-Z]+)\$[0-9]+"))),_xlfn.REGEXEXTRACT(CELL("address",'Raw Data'!S249),"\$([A-Z]+)\$[0-9]+"))</f>
        <v/>
      </c>
      <c r="T249" s="7" t="str">
        <f t="array" aca="1" ref="T249" ca="1">IFERROR(IF(OR('Raw Data'!T249="",LEN(TRIM('Raw Data'!T249))=0),"",IF(AND(ISNUMBER('Raw Data'!T249), IFERROR('Raw Data'!T249 = ROUND('Raw Data'!T249, 2),FALSE)),"",_xlfn.REGEXEXTRACT(CELL("address",T249), "\$([A-Z]+)\$[0-9]+"))),_xlfn.REGEXEXTRACT(CELL("address",T249), "\$([A-Z]+)\$[0-9]+"))</f>
        <v/>
      </c>
      <c r="U249" s="7" t="str">
        <f t="array" aca="1" ref="U249" ca="1">IFERROR(IF(OR('Raw Data'!U249="",LEN(TRIM('Raw Data'!U249))=0),"",IF(AND(ISNUMBER('Raw Data'!U249), IFERROR('Raw Data'!U249 = ROUND('Raw Data'!U249, 2),FALSE)),"",_xlfn.REGEXEXTRACT(CELL("address",U249), "\$([A-Z]+)\$[0-9]+"))),_xlfn.REGEXEXTRACT(CELL("address",U249), "\$([A-Z]+)\$[0-9]+"))</f>
        <v/>
      </c>
      <c r="V249" s="7" t="str">
        <f t="array" aca="1" ref="V249" ca="1">IFERROR(IF(OR('Raw Data'!V249="",LEN(TRIM('Raw Data'!V249))=0),"",IF(AND(ISNUMBER('Raw Data'!V249), IFERROR('Raw Data'!V249 = ROUND('Raw Data'!V249, 2),FALSE)),"",_xlfn.REGEXEXTRACT(CELL("address",V249), "\$([A-Z]+)\$[0-9]+"))),_xlfn.REGEXEXTRACT(CELL("address",V249), "\$([A-Z]+)\$[0-9]+"))</f>
        <v/>
      </c>
      <c r="W249" s="7" t="str">
        <f t="array" aca="1" ref="W249" ca="1">IFERROR(IF(OR('Raw Data'!W249="",LEN(TRIM('Raw Data'!W249))=0),"",IF(AND(ISNUMBER('Raw Data'!W249), IFERROR('Raw Data'!W249 = ROUND('Raw Data'!W249, 2),FALSE)),"",_xlfn.REGEXEXTRACT(CELL("address",W249), "\$([A-Z]+)\$[0-9]+"))),_xlfn.REGEXEXTRACT(CELL("address",W249), "\$([A-Z]+)\$[0-9]+"))</f>
        <v/>
      </c>
      <c r="X249" s="7" t="str">
        <f t="array" aca="1" ref="X249" ca="1">IFERROR(IF(OR('Raw Data'!X249="",LEN(TRIM('Raw Data'!X249))=0),"",IF(AND(ISNUMBER('Raw Data'!X249), IFERROR('Raw Data'!X249 = ROUND('Raw Data'!X249, 2),FALSE)),"",_xlfn.REGEXEXTRACT(CELL("address",X249), "\$([A-Z]+)\$[0-9]+"))),_xlfn.REGEXEXTRACT(CELL("address",X249), "\$([A-Z]+)\$[0-9]+"))</f>
        <v/>
      </c>
      <c r="Y249" s="7" t="str">
        <f t="array" aca="1" ref="Y249" ca="1">IFERROR(IF(OR('Raw Data'!Y249="",LEN(TRIM('Raw Data'!Y249))=0),"",IF(AND(ISNUMBER('Raw Data'!Y249), IFERROR('Raw Data'!Y249 = ROUND('Raw Data'!Y249, 2),FALSE)),"",_xlfn.REGEXEXTRACT(CELL("address",Y249), "\$([A-Z]+)\$[0-9]+"))),_xlfn.REGEXEXTRACT(CELL("address",Y249), "\$([A-Z]+)\$[0-9]+"))</f>
        <v/>
      </c>
      <c r="Z249" s="7" t="str">
        <f t="array" aca="1" ref="Z249" ca="1">IFERROR(IF(OR('Raw Data'!Z249="",LEN(TRIM('Raw Data'!Z249))=0),"",IF(AND(ISNUMBER('Raw Data'!Z249), IFERROR('Raw Data'!Z249 = ROUND('Raw Data'!Z249, 2),FALSE)),"",_xlfn.REGEXEXTRACT(CELL("address",Z249), "\$([A-Z]+)\$[0-9]+"))),_xlfn.REGEXEXTRACT(CELL("address",Z249), "\$([A-Z]+)\$[0-9]+"))</f>
        <v/>
      </c>
      <c r="AA249" s="7" t="str">
        <f t="array" aca="1" ref="AA249" ca="1">IFERROR(IF(OR('Raw Data'!AA249="",LEN(TRIM('Raw Data'!AA249))=0),"",IF(AND(ISNUMBER('Raw Data'!AA249), IFERROR('Raw Data'!AA249 = ROUND('Raw Data'!AA249, 2),FALSE)),"",_xlfn.REGEXEXTRACT(CELL("address",AA249), "\$([A-Z]+)\$[0-9]+"))),_xlfn.REGEXEXTRACT(CELL("address",AA249), "\$([A-Z]+)\$[0-9]+"))</f>
        <v/>
      </c>
      <c r="AB249" s="7" t="str">
        <f t="array" aca="1" ref="AB249" ca="1">IFERROR(IF(OR('Raw Data'!AB249="",LEN(TRIM('Raw Data'!AB249))=0),"",IF(AND(ISNUMBER('Raw Data'!AB249), IFERROR('Raw Data'!AB249 = ROUND('Raw Data'!AB249, 2),FALSE)),"",_xlfn.REGEXEXTRACT(CELL("address",AB249), "\$([A-Z]+)\$[0-9]+"))),_xlfn.REGEXEXTRACT(CELL("address",AB249), "\$([A-Z]+)\$[0-9]+"))</f>
        <v/>
      </c>
      <c r="AC249" s="7" t="str">
        <f t="array" aca="1" ref="AC249" ca="1">IFERROR(IF(OR('Raw Data'!AC249="",LEN(TRIM('Raw Data'!AC249))=0),"",IF(AND(ISNUMBER('Raw Data'!AC249), IFERROR('Raw Data'!AC249 = ROUND('Raw Data'!AC249, 2),FALSE)),"",_xlfn.REGEXEXTRACT(CELL("address",AC249), "\$([A-Z]+)\$[0-9]+"))),_xlfn.REGEXEXTRACT(CELL("address",AC249), "\$([A-Z]+)\$[0-9]+"))</f>
        <v/>
      </c>
      <c r="AD249" s="7" t="str">
        <f t="array" aca="1" ref="AD249" ca="1">IFERROR(IF(OR('Raw Data'!AD249="",LEN(TRIM('Raw Data'!AD249))=0),"",IF(AND(ISNUMBER('Raw Data'!AD249), IFERROR('Raw Data'!AD249 = ROUND('Raw Data'!AD249, 2),FALSE)),"",_xlfn.REGEXEXTRACT(CELL("address",AD249), "\$([A-Z]+)\$[0-9]+"))),_xlfn.REGEXEXTRACT(CELL("address",AD249), "\$([A-Z]+)\$[0-9]+"))</f>
        <v/>
      </c>
      <c r="AE249" s="7" t="str">
        <f t="array" aca="1" ref="AE249" ca="1">IFERROR(IF(OR('Raw Data'!AE249="",LEN(TRIM('Raw Data'!AE249))=0),"",IF(AND(ISNUMBER('Raw Data'!AE249), IFERROR('Raw Data'!AE249 = ROUND('Raw Data'!AE249, 2),FALSE)),"",_xlfn.REGEXEXTRACT(CELL("address",AE249), "\$([A-Z]+)\$[0-9]+"))),_xlfn.REGEXEXTRACT(CELL("address",AE249), "\$([A-Z]+)\$[0-9]+"))</f>
        <v/>
      </c>
      <c r="AF249" s="7" t="str">
        <f t="array" aca="1" ref="AF249" ca="1">IFERROR(IF(OR('Raw Data'!AF249="",LEN(TRIM('Raw Data'!AF249))=0),"",IF(AND(ISNUMBER('Raw Data'!AF249), IFERROR('Raw Data'!AF249 = ROUND('Raw Data'!AF249, 2),FALSE)),"",_xlfn.REGEXEXTRACT(CELL("address",AF249), "\$([A-Z]+)\$[0-9]+"))),_xlfn.REGEXEXTRACT(CELL("address",AF249), "\$([A-Z]+)\$[0-9]+"))</f>
        <v/>
      </c>
      <c r="AG249" s="7" t="str">
        <f t="array" aca="1" ref="AG249" ca="1">IFERROR(IF(OR('Raw Data'!AG249="",LEN(TRIM('Raw Data'!AG249))=0),"",IF(AND(ISNUMBER('Raw Data'!AG249), IFERROR('Raw Data'!AG249 = ROUND('Raw Data'!AG249, 2),FALSE)),"",_xlfn.REGEXEXTRACT(CELL("address",AG249), "\$([A-Z]+)\$[0-9]+"))),_xlfn.REGEXEXTRACT(CELL("address",AG249), "\$([A-Z]+)\$[0-9]+"))</f>
        <v/>
      </c>
      <c r="AH249" s="7" t="str">
        <f t="array" aca="1" ref="AH249" ca="1">IFERROR(IF(OR('Raw Data'!AH249="",LEN(TRIM('Raw Data'!AH249))=0),"",IF(AND(ISNUMBER('Raw Data'!AH249), IFERROR('Raw Data'!AH249 = ROUND('Raw Data'!AH249, 2),FALSE)),"",_xlfn.REGEXEXTRACT(CELL("address",AH249), "\$([A-Z]+)\$[0-9]+"))),_xlfn.REGEXEXTRACT(CELL("address",AH249), "\$([A-Z]+)\$[0-9]+"))</f>
        <v/>
      </c>
      <c r="AI249" s="7" t="str">
        <f t="array" aca="1" ref="AI249" ca="1">IFERROR(IF(OR('Raw Data'!AI249="",LEN(TRIM('Raw Data'!AI249))=0),"",IF(AND(ISNUMBER('Raw Data'!AI249), IFERROR('Raw Data'!AI249 = ROUND('Raw Data'!AI249, 2),FALSE)),"",_xlfn.REGEXEXTRACT(CELL("address",AI249), "\$([A-Z]+)\$[0-9]+"))),_xlfn.REGEXEXTRACT(CELL("address",AI249), "\$([A-Z]+)\$[0-9]+"))</f>
        <v/>
      </c>
      <c r="AJ249" s="7" t="str">
        <f t="array" aca="1" ref="AJ249" ca="1">IFERROR(IF(OR('Raw Data'!AJ249="",LEN(TRIM('Raw Data'!AJ249))=0),"",IF(AND(ISNUMBER('Raw Data'!AJ249), IFERROR('Raw Data'!AJ249 = ROUND('Raw Data'!AJ249, 4),FALSE)),"",_xlfn.REGEXEXTRACT(CELL("address",AJ249), "\$([A-Z]+)\$[0-9]+"))),_xlfn.REGEXEXTRACT(CELL("address",AJ249), "\$([A-Z]+)\$[0-9]+"))</f>
        <v/>
      </c>
      <c r="AK249" s="7" t="str">
        <f t="array" aca="1" ref="AK249" ca="1">IFERROR(IF(OR('Raw Data'!AK249="",LEN(TRIM('Raw Data'!AK249))=0),"",IF(AND(ISNUMBER('Raw Data'!AK249), IFERROR('Raw Data'!AK249 = ROUND('Raw Data'!AK249, 2),FALSE)),"",_xlfn.REGEXEXTRACT(CELL("address",AK249), "\$([A-Z]+)\$[0-9]+"))),_xlfn.REGEXEXTRACT(CELL("address",AK249), "\$([A-Z]+)\$[0-9]+"))</f>
        <v/>
      </c>
      <c r="AL249" s="7" t="str">
        <f t="array" aca="1" ref="AL249" ca="1">IFERROR(IF(OR('Raw Data'!AL249="",LEN(TRIM('Raw Data'!AL249))=0),"",IF(AND(ISNUMBER('Raw Data'!AL249), IFERROR('Raw Data'!AL249 = ROUND('Raw Data'!AL249, 2),FALSE)),"",_xlfn.REGEXEXTRACT(CELL("address",AL249), "\$([A-Z]+)\$[0-9]+"))),_xlfn.REGEXEXTRACT(CELL("address",AL249), "\$([A-Z]+)\$[0-9]+"))</f>
        <v/>
      </c>
      <c r="AM249" s="7" t="str">
        <f t="array" aca="1" ref="AM249" ca="1">IFERROR(IF(OR('Raw Data'!AM249="",LEN(TRIM('Raw Data'!AM249))=0),"",IF(AND(ISNUMBER('Raw Data'!AM249), IFERROR('Raw Data'!AM249 = ROUND('Raw Data'!AM249, 2),FALSE)),"",_xlfn.REGEXEXTRACT(CELL("address",AM249), "\$([A-Z]+)\$[0-9]+"))),_xlfn.REGEXEXTRACT(CELL("address",AM249), "\$([A-Z]+)\$[0-9]+"))</f>
        <v/>
      </c>
      <c r="AN249" s="7" t="str">
        <f t="array" aca="1" ref="AN249" ca="1">IFERROR(IF(OR('Raw Data'!AN249="",LEN(TRIM('Raw Data'!AN249))=0),"",IF(AND(ISNUMBER('Raw Data'!AN249), IFERROR('Raw Data'!AN249 = ROUND('Raw Data'!AN249, 2),FALSE)),"",_xlfn.REGEXEXTRACT(CELL("address",AN249), "\$([A-Z]+)\$[0-9]+"))),_xlfn.REGEXEXTRACT(CELL("address",AN249), "\$([A-Z]+)\$[0-9]+"))</f>
        <v/>
      </c>
      <c r="AO249" s="7" t="str">
        <f t="array" aca="1" ref="AO249" ca="1">IFERROR(IF(OR('Raw Data'!AO249="",LEN(TRIM('Raw Data'!AO249))=0),"",IF(AND(ISNUMBER('Raw Data'!AO249), IFERROR('Raw Data'!AO249 = ROUND('Raw Data'!AO249, 2),FALSE)),"",_xlfn.REGEXEXTRACT(CELL("address",AO249), "\$([A-Z]+)\$[0-9]+"))),_xlfn.REGEXEXTRACT(CELL("address",AO249), "\$([A-Z]+)\$[0-9]+"))</f>
        <v/>
      </c>
      <c r="AP249" s="7" t="str">
        <f t="array" aca="1" ref="AP249" ca="1">IFERROR(IF(OR('Raw Data'!AP249="",LEN(TRIM('Raw Data'!AP249))=0),"",IF(AND(ISNUMBER('Raw Data'!AP249), IFERROR('Raw Data'!AP249 = ROUND('Raw Data'!AP249, 2),FALSE)),"",_xlfn.REGEXEXTRACT(CELL("address",AP249), "\$([A-Z]+)\$[0-9]+"))),_xlfn.REGEXEXTRACT(CELL("address",AP249), "\$([A-Z]+)\$[0-9]+"))</f>
        <v/>
      </c>
    </row>
    <row r="250" spans="2:42" x14ac:dyDescent="0.25">
      <c r="B250" s="7" t="str">
        <f t="array" aca="1" ref="B250" ca="1">IFERROR(IF(OR('Raw Data'!B250="",LEN(TRIM('Raw Data'!B250))=0),"",IF(AND(LEN('Raw Data'!B250) &lt;= 255,LEN('Raw Data'!B250)&gt; 0),"",_xlfn.REGEXEXTRACT(CELL("address",'Raw Data'!B250),"\$([A-Z]+)\$[0-9]+"))),_xlfn.REGEXEXTRACT(CELL("address",'Raw Data'!B250),"\$([A-Z]+)\$[0-9]+"))</f>
        <v/>
      </c>
      <c r="C250" s="7" t="str">
        <f t="array" aca="1" ref="C250" ca="1">IFERROR(IF(OR('Raw Data'!C250="",LEN(TRIM('Raw Data'!C250))=0),"",IF(AND(LEN('Raw Data'!C250) &lt;= 50,LEN('Raw Data'!C250)&gt; 0),"",_xlfn.REGEXEXTRACT(CELL("address",'Raw Data'!C250),"\$([A-Z]+)\$[0-9]+"))),_xlfn.REGEXEXTRACT(CELL("address",'Raw Data'!C250),"\$([A-Z]+)\$[0-9]+"))</f>
        <v/>
      </c>
      <c r="D250" s="7" t="str">
        <f t="array" aca="1" ref="D250" ca="1">IFERROR(IF(OR('Raw Data'!D250="",LEN(TRIM('Raw Data'!D250))=0),"",IF(AND(LEN('Raw Data'!D250) &lt;= 500,LEN('Raw Data'!D250)&gt; 0),"",_xlfn.REGEXEXTRACT(CELL("address",'Raw Data'!D250),"\$([A-Z]+)\$[0-9]+"))),_xlfn.REGEXEXTRACT(CELL("address",'Raw Data'!D250),"\$([A-Z]+)\$[0-9]+"))</f>
        <v/>
      </c>
      <c r="E250" s="7" t="str">
        <f t="array" aca="1" ref="E250" ca="1">IFERROR(IF(OR('Raw Data'!E250="",LEN(TRIM('Raw Data'!E250))=0),"",IF(AND(LEN('Raw Data'!E250) &lt;= 50,LEN('Raw Data'!E250)&gt; 0),"",_xlfn.REGEXEXTRACT(CELL("address",'Raw Data'!E250),"\$([A-Z]+)\$[0-9]+"))),_xlfn.REGEXEXTRACT(CELL("address",'Raw Data'!E250),"\$([A-Z]+)\$[0-9]+"))</f>
        <v/>
      </c>
      <c r="F250" s="7" t="str">
        <f t="array" aca="1" ref="F250" ca="1">IFERROR(IF(OR('Raw Data'!F250="",LEN(TRIM('Raw Data'!F250))=0),"",IF(AND(LEN('Raw Data'!F250) &lt;= 50,LEN('Raw Data'!F250)&gt; 0),"",_xlfn.REGEXEXTRACT(CELL("address",'Raw Data'!F250),"\$([A-Z]+)\$[0-9]+"))),_xlfn.REGEXEXTRACT(CELL("address",'Raw Data'!F250),"\$([A-Z]+)\$[0-9]+"))</f>
        <v/>
      </c>
      <c r="G250" s="7" t="str">
        <f t="array" aca="1" ref="G250" ca="1">IFERROR(IF(OR('Raw Data'!G250="",LEN(TRIM('Raw Data'!G250))=0),"",IF(AND(LEN('Raw Data'!G250) &lt;= 50,LEN('Raw Data'!G250)&gt; 0),"",_xlfn.REGEXEXTRACT(CELL("address",'Raw Data'!G250),"\$([A-Z]+)\$[0-9]+"))),_xlfn.REGEXEXTRACT(CELL("address",'Raw Data'!G250),"\$([A-Z]+)\$[0-9]+"))</f>
        <v/>
      </c>
      <c r="H250" s="7" t="str">
        <f t="array" aca="1" ref="H250" ca="1">IFERROR(IF(OR('Raw Data'!H250="",LEN(TRIM('Raw Data'!H250))=0),"",IF(AND(LEN('Raw Data'!H250) &lt;= 50,LEN('Raw Data'!H250)&gt; 0),"",_xlfn.REGEXEXTRACT(CELL("address",'Raw Data'!H250),"\$([A-Z]+)\$[0-9]+"))),_xlfn.REGEXEXTRACT(CELL("address",'Raw Data'!H250),"\$([A-Z]+)\$[0-9]+"))</f>
        <v/>
      </c>
      <c r="I250" s="7" t="str">
        <f t="array" aca="1" ref="I250" ca="1">IFERROR(IF(OR('Raw Data'!I250="",LEN(TRIM('Raw Data'!I250))=0),"",IF(AND(LEN('Raw Data'!I250) &lt;= 50,LEN('Raw Data'!I250)&gt; 0),"",_xlfn.REGEXEXTRACT(CELL("address",'Raw Data'!I250),"\$([A-Z]+)\$[0-9]+"))),_xlfn.REGEXEXTRACT(CELL("address",'Raw Data'!I250),"\$([A-Z]+)\$[0-9]+"))</f>
        <v/>
      </c>
      <c r="J250" s="7" t="str">
        <f t="array" aca="1" ref="J250" ca="1">IFERROR(IF(OR('Raw Data'!J250="",LEN(TRIM('Raw Data'!J250))=0),"",IF(AND(ISNUMBER('Raw Data'!J250), IFERROR('Raw Data'!J250 = ROUND('Raw Data'!J250, 2),FALSE)),"",_xlfn.REGEXEXTRACT(CELL("address",J250), "\$([A-Z]+)\$[0-9]+"))),_xlfn.REGEXEXTRACT(CELL("address",J250), "\$([A-Z]+)\$[0-9]+"))</f>
        <v/>
      </c>
      <c r="K250" s="7" t="str">
        <f t="array" aca="1" ref="K250" ca="1">IFERROR(IF(OR('Raw Data'!K250="",LEN(TRIM('Raw Data'!K250))=0),"",IF(AND(ISNUMBER('Raw Data'!K250), IFERROR('Raw Data'!K250 = ROUND('Raw Data'!K250, 2),FALSE)),"",_xlfn.REGEXEXTRACT(CELL("address",K250), "\$([A-Z]+)\$[0-9]+"))),_xlfn.REGEXEXTRACT(CELL("address",K250), "\$([A-Z]+)\$[0-9]+"))</f>
        <v/>
      </c>
      <c r="L250" s="7" t="str">
        <f t="array" aca="1" ref="L250" ca="1">IFERROR(IF(OR('Raw Data'!L250="",LEN(TRIM('Raw Data'!L250))=0),"",IF(AND(ISNUMBER('Raw Data'!L250), IFERROR('Raw Data'!L250 = ROUND('Raw Data'!L250, 2),FALSE)),"",_xlfn.REGEXEXTRACT(CELL("address",L250), "\$([A-Z]+)\$[0-9]+"))),_xlfn.REGEXEXTRACT(CELL("address",L250), "\$([A-Z]+)\$[0-9]+"))</f>
        <v/>
      </c>
      <c r="M250" s="7" t="str">
        <f t="array" aca="1" ref="M250" ca="1">IFERROR(IF(OR('Raw Data'!M250="",LEN(TRIM('Raw Data'!M250))=0),"",IF(AND(ISNUMBER('Raw Data'!M250), IFERROR('Raw Data'!M250 = ROUND('Raw Data'!M250, 2),FALSE)),"",_xlfn.REGEXEXTRACT(CELL("address",M250), "\$([A-Z]+)\$[0-9]+"))),_xlfn.REGEXEXTRACT(CELL("address",M250), "\$([A-Z]+)\$[0-9]+"))</f>
        <v/>
      </c>
      <c r="N250" s="7" t="str">
        <f t="array" aca="1" ref="N250" ca="1">IFERROR(IF(OR('Raw Data'!N250="",LEN(TRIM('Raw Data'!N250))=0),"",IF(AND(ISNUMBER('Raw Data'!N250), IFERROR('Raw Data'!N250 = ROUND('Raw Data'!N250, 2),FALSE)),"",_xlfn.REGEXEXTRACT(CELL("address",N250), "\$([A-Z]+)\$[0-9]+"))),_xlfn.REGEXEXTRACT(CELL("address",N250), "\$([A-Z]+)\$[0-9]+"))</f>
        <v/>
      </c>
      <c r="O250" s="7" t="str">
        <f t="array" aca="1" ref="O250" ca="1">IFERROR(IF(OR('Raw Data'!O250="",LEN(TRIM('Raw Data'!O250))=0),"",IF(AND(ISNUMBER('Raw Data'!O250),'Raw Data'!O250&gt;=Configuration!$D$2),"",_xlfn.REGEXEXTRACT(CELL("address",'Raw Data'!O250),"\$([A-Z]+)\$[0-9]+"))),_xlfn.REGEXEXTRACT(CELL("address",O250), "\$([A-Z]+)\$[0-9]+"))</f>
        <v/>
      </c>
      <c r="P250" s="7" t="str">
        <f t="array" aca="1" ref="P250" ca="1">IFERROR(IF(OR('Raw Data'!P250="",LEN(TRIM('Raw Data'!P250))=0),"",IF(AND(ISNUMBER('Raw Data'!P250), IFERROR('Raw Data'!P250 = ROUND('Raw Data'!P250, 2),FALSE)),"",_xlfn.REGEXEXTRACT(CELL("address",P250), "\$([A-Z]+)\$[0-9]+"))),_xlfn.REGEXEXTRACT(CELL("address",P250), "\$([A-Z]+)\$[0-9]+"))</f>
        <v/>
      </c>
      <c r="Q250" s="7" t="str">
        <f t="array" aca="1" ref="Q250" ca="1">IFERROR(IF(OR('Raw Data'!Q250="",LEN(TRIM('Raw Data'!Q250))=0),"",IF(AND(ISNUMBER('Raw Data'!Q250), IFERROR('Raw Data'!Q250 = ROUND('Raw Data'!Q250, 2),FALSE)),"",_xlfn.REGEXEXTRACT(CELL("address",Q250), "\$([A-Z]+)\$[0-9]+"))),_xlfn.REGEXEXTRACT(CELL("address",Q250), "\$([A-Z]+)\$[0-9]+"))</f>
        <v/>
      </c>
      <c r="R250" s="7" t="str">
        <f t="array" aca="1" ref="R250" ca="1">IFERROR(IF(OR('Raw Data'!R250="",LEN(TRIM('Raw Data'!R250))=0),"",IF(AND(LEN('Raw Data'!R250) &lt;= 50,LEN('Raw Data'!R250)&gt; 0),"",_xlfn.REGEXEXTRACT(CELL("address",'Raw Data'!R250),"\$([A-Z]+)\$[0-9]+"))),_xlfn.REGEXEXTRACT(CELL("address",'Raw Data'!R250),"\$([A-Z]+)\$[0-9]+"))</f>
        <v/>
      </c>
      <c r="S250" s="7" t="str">
        <f t="array" aca="1" ref="S250" ca="1">IFERROR(IF(OR('Raw Data'!S250="",LEN(TRIM('Raw Data'!S250))=0),"",IF(AND(LEN('Raw Data'!S250) &lt;= 50,LEN('Raw Data'!S250)&gt; 0),"",_xlfn.REGEXEXTRACT(CELL("address",'Raw Data'!S250),"\$([A-Z]+)\$[0-9]+"))),_xlfn.REGEXEXTRACT(CELL("address",'Raw Data'!S250),"\$([A-Z]+)\$[0-9]+"))</f>
        <v/>
      </c>
      <c r="T250" s="7" t="str">
        <f t="array" aca="1" ref="T250" ca="1">IFERROR(IF(OR('Raw Data'!T250="",LEN(TRIM('Raw Data'!T250))=0),"",IF(AND(ISNUMBER('Raw Data'!T250), IFERROR('Raw Data'!T250 = ROUND('Raw Data'!T250, 2),FALSE)),"",_xlfn.REGEXEXTRACT(CELL("address",T250), "\$([A-Z]+)\$[0-9]+"))),_xlfn.REGEXEXTRACT(CELL("address",T250), "\$([A-Z]+)\$[0-9]+"))</f>
        <v/>
      </c>
      <c r="U250" s="7" t="str">
        <f t="array" aca="1" ref="U250" ca="1">IFERROR(IF(OR('Raw Data'!U250="",LEN(TRIM('Raw Data'!U250))=0),"",IF(AND(ISNUMBER('Raw Data'!U250), IFERROR('Raw Data'!U250 = ROUND('Raw Data'!U250, 2),FALSE)),"",_xlfn.REGEXEXTRACT(CELL("address",U250), "\$([A-Z]+)\$[0-9]+"))),_xlfn.REGEXEXTRACT(CELL("address",U250), "\$([A-Z]+)\$[0-9]+"))</f>
        <v/>
      </c>
      <c r="V250" s="7" t="str">
        <f t="array" aca="1" ref="V250" ca="1">IFERROR(IF(OR('Raw Data'!V250="",LEN(TRIM('Raw Data'!V250))=0),"",IF(AND(ISNUMBER('Raw Data'!V250), IFERROR('Raw Data'!V250 = ROUND('Raw Data'!V250, 2),FALSE)),"",_xlfn.REGEXEXTRACT(CELL("address",V250), "\$([A-Z]+)\$[0-9]+"))),_xlfn.REGEXEXTRACT(CELL("address",V250), "\$([A-Z]+)\$[0-9]+"))</f>
        <v/>
      </c>
      <c r="W250" s="7" t="str">
        <f t="array" aca="1" ref="W250" ca="1">IFERROR(IF(OR('Raw Data'!W250="",LEN(TRIM('Raw Data'!W250))=0),"",IF(AND(ISNUMBER('Raw Data'!W250), IFERROR('Raw Data'!W250 = ROUND('Raw Data'!W250, 2),FALSE)),"",_xlfn.REGEXEXTRACT(CELL("address",W250), "\$([A-Z]+)\$[0-9]+"))),_xlfn.REGEXEXTRACT(CELL("address",W250), "\$([A-Z]+)\$[0-9]+"))</f>
        <v/>
      </c>
      <c r="X250" s="7" t="str">
        <f t="array" aca="1" ref="X250" ca="1">IFERROR(IF(OR('Raw Data'!X250="",LEN(TRIM('Raw Data'!X250))=0),"",IF(AND(ISNUMBER('Raw Data'!X250), IFERROR('Raw Data'!X250 = ROUND('Raw Data'!X250, 2),FALSE)),"",_xlfn.REGEXEXTRACT(CELL("address",X250), "\$([A-Z]+)\$[0-9]+"))),_xlfn.REGEXEXTRACT(CELL("address",X250), "\$([A-Z]+)\$[0-9]+"))</f>
        <v/>
      </c>
      <c r="Y250" s="7" t="str">
        <f t="array" aca="1" ref="Y250" ca="1">IFERROR(IF(OR('Raw Data'!Y250="",LEN(TRIM('Raw Data'!Y250))=0),"",IF(AND(ISNUMBER('Raw Data'!Y250), IFERROR('Raw Data'!Y250 = ROUND('Raw Data'!Y250, 2),FALSE)),"",_xlfn.REGEXEXTRACT(CELL("address",Y250), "\$([A-Z]+)\$[0-9]+"))),_xlfn.REGEXEXTRACT(CELL("address",Y250), "\$([A-Z]+)\$[0-9]+"))</f>
        <v/>
      </c>
      <c r="Z250" s="7" t="str">
        <f t="array" aca="1" ref="Z250" ca="1">IFERROR(IF(OR('Raw Data'!Z250="",LEN(TRIM('Raw Data'!Z250))=0),"",IF(AND(ISNUMBER('Raw Data'!Z250), IFERROR('Raw Data'!Z250 = ROUND('Raw Data'!Z250, 2),FALSE)),"",_xlfn.REGEXEXTRACT(CELL("address",Z250), "\$([A-Z]+)\$[0-9]+"))),_xlfn.REGEXEXTRACT(CELL("address",Z250), "\$([A-Z]+)\$[0-9]+"))</f>
        <v/>
      </c>
      <c r="AA250" s="7" t="str">
        <f t="array" aca="1" ref="AA250" ca="1">IFERROR(IF(OR('Raw Data'!AA250="",LEN(TRIM('Raw Data'!AA250))=0),"",IF(AND(ISNUMBER('Raw Data'!AA250), IFERROR('Raw Data'!AA250 = ROUND('Raw Data'!AA250, 2),FALSE)),"",_xlfn.REGEXEXTRACT(CELL("address",AA250), "\$([A-Z]+)\$[0-9]+"))),_xlfn.REGEXEXTRACT(CELL("address",AA250), "\$([A-Z]+)\$[0-9]+"))</f>
        <v/>
      </c>
      <c r="AB250" s="7" t="str">
        <f t="array" aca="1" ref="AB250" ca="1">IFERROR(IF(OR('Raw Data'!AB250="",LEN(TRIM('Raw Data'!AB250))=0),"",IF(AND(ISNUMBER('Raw Data'!AB250), IFERROR('Raw Data'!AB250 = ROUND('Raw Data'!AB250, 2),FALSE)),"",_xlfn.REGEXEXTRACT(CELL("address",AB250), "\$([A-Z]+)\$[0-9]+"))),_xlfn.REGEXEXTRACT(CELL("address",AB250), "\$([A-Z]+)\$[0-9]+"))</f>
        <v/>
      </c>
      <c r="AC250" s="7" t="str">
        <f t="array" aca="1" ref="AC250" ca="1">IFERROR(IF(OR('Raw Data'!AC250="",LEN(TRIM('Raw Data'!AC250))=0),"",IF(AND(ISNUMBER('Raw Data'!AC250), IFERROR('Raw Data'!AC250 = ROUND('Raw Data'!AC250, 2),FALSE)),"",_xlfn.REGEXEXTRACT(CELL("address",AC250), "\$([A-Z]+)\$[0-9]+"))),_xlfn.REGEXEXTRACT(CELL("address",AC250), "\$([A-Z]+)\$[0-9]+"))</f>
        <v/>
      </c>
      <c r="AD250" s="7" t="str">
        <f t="array" aca="1" ref="AD250" ca="1">IFERROR(IF(OR('Raw Data'!AD250="",LEN(TRIM('Raw Data'!AD250))=0),"",IF(AND(ISNUMBER('Raw Data'!AD250), IFERROR('Raw Data'!AD250 = ROUND('Raw Data'!AD250, 2),FALSE)),"",_xlfn.REGEXEXTRACT(CELL("address",AD250), "\$([A-Z]+)\$[0-9]+"))),_xlfn.REGEXEXTRACT(CELL("address",AD250), "\$([A-Z]+)\$[0-9]+"))</f>
        <v/>
      </c>
      <c r="AE250" s="7" t="str">
        <f t="array" aca="1" ref="AE250" ca="1">IFERROR(IF(OR('Raw Data'!AE250="",LEN(TRIM('Raw Data'!AE250))=0),"",IF(AND(ISNUMBER('Raw Data'!AE250), IFERROR('Raw Data'!AE250 = ROUND('Raw Data'!AE250, 2),FALSE)),"",_xlfn.REGEXEXTRACT(CELL("address",AE250), "\$([A-Z]+)\$[0-9]+"))),_xlfn.REGEXEXTRACT(CELL("address",AE250), "\$([A-Z]+)\$[0-9]+"))</f>
        <v/>
      </c>
      <c r="AF250" s="7" t="str">
        <f t="array" aca="1" ref="AF250" ca="1">IFERROR(IF(OR('Raw Data'!AF250="",LEN(TRIM('Raw Data'!AF250))=0),"",IF(AND(ISNUMBER('Raw Data'!AF250), IFERROR('Raw Data'!AF250 = ROUND('Raw Data'!AF250, 2),FALSE)),"",_xlfn.REGEXEXTRACT(CELL("address",AF250), "\$([A-Z]+)\$[0-9]+"))),_xlfn.REGEXEXTRACT(CELL("address",AF250), "\$([A-Z]+)\$[0-9]+"))</f>
        <v/>
      </c>
      <c r="AG250" s="7" t="str">
        <f t="array" aca="1" ref="AG250" ca="1">IFERROR(IF(OR('Raw Data'!AG250="",LEN(TRIM('Raw Data'!AG250))=0),"",IF(AND(ISNUMBER('Raw Data'!AG250), IFERROR('Raw Data'!AG250 = ROUND('Raw Data'!AG250, 2),FALSE)),"",_xlfn.REGEXEXTRACT(CELL("address",AG250), "\$([A-Z]+)\$[0-9]+"))),_xlfn.REGEXEXTRACT(CELL("address",AG250), "\$([A-Z]+)\$[0-9]+"))</f>
        <v/>
      </c>
      <c r="AH250" s="7" t="str">
        <f t="array" aca="1" ref="AH250" ca="1">IFERROR(IF(OR('Raw Data'!AH250="",LEN(TRIM('Raw Data'!AH250))=0),"",IF(AND(ISNUMBER('Raw Data'!AH250), IFERROR('Raw Data'!AH250 = ROUND('Raw Data'!AH250, 2),FALSE)),"",_xlfn.REGEXEXTRACT(CELL("address",AH250), "\$([A-Z]+)\$[0-9]+"))),_xlfn.REGEXEXTRACT(CELL("address",AH250), "\$([A-Z]+)\$[0-9]+"))</f>
        <v/>
      </c>
      <c r="AI250" s="7" t="str">
        <f t="array" aca="1" ref="AI250" ca="1">IFERROR(IF(OR('Raw Data'!AI250="",LEN(TRIM('Raw Data'!AI250))=0),"",IF(AND(ISNUMBER('Raw Data'!AI250), IFERROR('Raw Data'!AI250 = ROUND('Raw Data'!AI250, 2),FALSE)),"",_xlfn.REGEXEXTRACT(CELL("address",AI250), "\$([A-Z]+)\$[0-9]+"))),_xlfn.REGEXEXTRACT(CELL("address",AI250), "\$([A-Z]+)\$[0-9]+"))</f>
        <v/>
      </c>
      <c r="AJ250" s="7" t="str">
        <f t="array" aca="1" ref="AJ250" ca="1">IFERROR(IF(OR('Raw Data'!AJ250="",LEN(TRIM('Raw Data'!AJ250))=0),"",IF(AND(ISNUMBER('Raw Data'!AJ250), IFERROR('Raw Data'!AJ250 = ROUND('Raw Data'!AJ250, 4),FALSE)),"",_xlfn.REGEXEXTRACT(CELL("address",AJ250), "\$([A-Z]+)\$[0-9]+"))),_xlfn.REGEXEXTRACT(CELL("address",AJ250), "\$([A-Z]+)\$[0-9]+"))</f>
        <v/>
      </c>
      <c r="AK250" s="7" t="str">
        <f t="array" aca="1" ref="AK250" ca="1">IFERROR(IF(OR('Raw Data'!AK250="",LEN(TRIM('Raw Data'!AK250))=0),"",IF(AND(ISNUMBER('Raw Data'!AK250), IFERROR('Raw Data'!AK250 = ROUND('Raw Data'!AK250, 2),FALSE)),"",_xlfn.REGEXEXTRACT(CELL("address",AK250), "\$([A-Z]+)\$[0-9]+"))),_xlfn.REGEXEXTRACT(CELL("address",AK250), "\$([A-Z]+)\$[0-9]+"))</f>
        <v/>
      </c>
      <c r="AL250" s="7" t="str">
        <f t="array" aca="1" ref="AL250" ca="1">IFERROR(IF(OR('Raw Data'!AL250="",LEN(TRIM('Raw Data'!AL250))=0),"",IF(AND(ISNUMBER('Raw Data'!AL250), IFERROR('Raw Data'!AL250 = ROUND('Raw Data'!AL250, 2),FALSE)),"",_xlfn.REGEXEXTRACT(CELL("address",AL250), "\$([A-Z]+)\$[0-9]+"))),_xlfn.REGEXEXTRACT(CELL("address",AL250), "\$([A-Z]+)\$[0-9]+"))</f>
        <v/>
      </c>
      <c r="AM250" s="7" t="str">
        <f t="array" aca="1" ref="AM250" ca="1">IFERROR(IF(OR('Raw Data'!AM250="",LEN(TRIM('Raw Data'!AM250))=0),"",IF(AND(ISNUMBER('Raw Data'!AM250), IFERROR('Raw Data'!AM250 = ROUND('Raw Data'!AM250, 2),FALSE)),"",_xlfn.REGEXEXTRACT(CELL("address",AM250), "\$([A-Z]+)\$[0-9]+"))),_xlfn.REGEXEXTRACT(CELL("address",AM250), "\$([A-Z]+)\$[0-9]+"))</f>
        <v/>
      </c>
      <c r="AN250" s="7" t="str">
        <f t="array" aca="1" ref="AN250" ca="1">IFERROR(IF(OR('Raw Data'!AN250="",LEN(TRIM('Raw Data'!AN250))=0),"",IF(AND(ISNUMBER('Raw Data'!AN250), IFERROR('Raw Data'!AN250 = ROUND('Raw Data'!AN250, 2),FALSE)),"",_xlfn.REGEXEXTRACT(CELL("address",AN250), "\$([A-Z]+)\$[0-9]+"))),_xlfn.REGEXEXTRACT(CELL("address",AN250), "\$([A-Z]+)\$[0-9]+"))</f>
        <v/>
      </c>
      <c r="AO250" s="7" t="str">
        <f t="array" aca="1" ref="AO250" ca="1">IFERROR(IF(OR('Raw Data'!AO250="",LEN(TRIM('Raw Data'!AO250))=0),"",IF(AND(ISNUMBER('Raw Data'!AO250), IFERROR('Raw Data'!AO250 = ROUND('Raw Data'!AO250, 2),FALSE)),"",_xlfn.REGEXEXTRACT(CELL("address",AO250), "\$([A-Z]+)\$[0-9]+"))),_xlfn.REGEXEXTRACT(CELL("address",AO250), "\$([A-Z]+)\$[0-9]+"))</f>
        <v/>
      </c>
      <c r="AP250" s="7" t="str">
        <f t="array" aca="1" ref="AP250" ca="1">IFERROR(IF(OR('Raw Data'!AP250="",LEN(TRIM('Raw Data'!AP250))=0),"",IF(AND(ISNUMBER('Raw Data'!AP250), IFERROR('Raw Data'!AP250 = ROUND('Raw Data'!AP250, 2),FALSE)),"",_xlfn.REGEXEXTRACT(CELL("address",AP250), "\$([A-Z]+)\$[0-9]+"))),_xlfn.REGEXEXTRACT(CELL("address",AP250), 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5D01-1507-4631-866C-A3699F20DB76}">
  <dimension ref="B8:AP250"/>
  <sheetViews>
    <sheetView topLeftCell="A3" zoomScale="70" zoomScaleNormal="70" workbookViewId="0">
      <selection activeCell="AH11" sqref="AH11"/>
    </sheetView>
  </sheetViews>
  <sheetFormatPr defaultRowHeight="15" x14ac:dyDescent="0.25"/>
  <cols>
    <col min="2" max="42" width="17.5703125" style="8" customWidth="1"/>
  </cols>
  <sheetData>
    <row r="8" spans="2:42" s="17" customFormat="1" x14ac:dyDescent="0.25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</row>
    <row r="9" spans="2:42" s="17" customFormat="1" x14ac:dyDescent="0.25">
      <c r="B9" s="15"/>
      <c r="C9" s="15"/>
      <c r="D9" s="15"/>
      <c r="E9" s="15"/>
      <c r="F9" s="15"/>
      <c r="G9" s="15"/>
      <c r="H9" s="15"/>
      <c r="I9" s="15"/>
      <c r="J9" s="15" t="s">
        <v>47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 t="s">
        <v>47</v>
      </c>
      <c r="AA9" s="15"/>
      <c r="AB9" s="15"/>
      <c r="AC9" s="15"/>
      <c r="AD9" s="15"/>
      <c r="AE9" s="15"/>
      <c r="AF9" s="15"/>
      <c r="AG9" s="15" t="s">
        <v>47</v>
      </c>
      <c r="AH9" s="15" t="s">
        <v>47</v>
      </c>
      <c r="AI9" s="15" t="s">
        <v>47</v>
      </c>
      <c r="AJ9" s="16"/>
      <c r="AK9" s="15"/>
      <c r="AL9" s="15"/>
      <c r="AM9" s="15"/>
      <c r="AN9" s="15"/>
      <c r="AO9" s="15"/>
      <c r="AP9" s="15" t="s">
        <v>47</v>
      </c>
    </row>
    <row r="10" spans="2:42" x14ac:dyDescent="0.25">
      <c r="B10" s="1" t="s">
        <v>0</v>
      </c>
      <c r="C10" s="1" t="s">
        <v>1</v>
      </c>
      <c r="D10" s="11" t="s">
        <v>2</v>
      </c>
      <c r="E10" s="1" t="s">
        <v>3</v>
      </c>
      <c r="F10" s="1" t="s">
        <v>4</v>
      </c>
      <c r="G10" s="1" t="s">
        <v>5</v>
      </c>
      <c r="H10" s="1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1" t="s">
        <v>11</v>
      </c>
      <c r="N10" s="1" t="s">
        <v>12</v>
      </c>
      <c r="O10" s="1" t="s">
        <v>13</v>
      </c>
      <c r="P10" s="11" t="s">
        <v>14</v>
      </c>
      <c r="Q10" s="1" t="s">
        <v>15</v>
      </c>
      <c r="R10" s="1" t="s">
        <v>16</v>
      </c>
      <c r="S10" s="11" t="s">
        <v>17</v>
      </c>
      <c r="T10" s="1" t="s">
        <v>18</v>
      </c>
      <c r="U10" s="1" t="s">
        <v>19</v>
      </c>
      <c r="V10" s="11" t="s">
        <v>20</v>
      </c>
      <c r="W10" s="1" t="s">
        <v>21</v>
      </c>
      <c r="X10" s="11" t="s">
        <v>22</v>
      </c>
      <c r="Y10" s="1" t="s">
        <v>23</v>
      </c>
      <c r="Z10" s="1" t="s">
        <v>24</v>
      </c>
      <c r="AA10" s="11" t="s">
        <v>25</v>
      </c>
      <c r="AB10" s="1" t="s">
        <v>26</v>
      </c>
      <c r="AC10" s="11" t="s">
        <v>27</v>
      </c>
      <c r="AD10" s="1" t="s">
        <v>28</v>
      </c>
      <c r="AE10" s="1" t="s">
        <v>29</v>
      </c>
      <c r="AF10" s="11" t="s">
        <v>30</v>
      </c>
      <c r="AG10" s="1" t="s">
        <v>31</v>
      </c>
      <c r="AH10" s="11" t="s">
        <v>32</v>
      </c>
      <c r="AI10" s="1" t="s">
        <v>33</v>
      </c>
      <c r="AJ10" s="1" t="s">
        <v>34</v>
      </c>
      <c r="AK10" s="11" t="s">
        <v>35</v>
      </c>
      <c r="AL10" s="1" t="s">
        <v>36</v>
      </c>
      <c r="AM10" s="11" t="s">
        <v>37</v>
      </c>
      <c r="AN10" s="1" t="s">
        <v>38</v>
      </c>
      <c r="AO10" s="1" t="s">
        <v>39</v>
      </c>
      <c r="AP10" s="11" t="s">
        <v>40</v>
      </c>
    </row>
    <row r="11" spans="2:42" x14ac:dyDescent="0.25">
      <c r="B11" s="7"/>
      <c r="C11" s="7"/>
      <c r="D11" s="7"/>
      <c r="E11" s="7"/>
      <c r="F11" s="7"/>
      <c r="G11" s="7"/>
      <c r="H11" s="7"/>
      <c r="I11" s="7"/>
      <c r="J11" s="7" t="str" cm="1">
        <f t="array" aca="1" ref="J11" ca="1">IF(OR('Raw Data'!J11="",LEN(TRIM('Raw Data'!J11))=0,Validate_Empty!J11&lt;&gt;"",Validate_Value!J11&lt;&gt;""),"",IF('Raw Data'!J11=SUM('Raw Data'!K11:N11),"",_xlfn.REGEXEXTRACT(CELL("address",J11), "\$([A-Z]+)\$[0-9]+")))</f>
        <v/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 t="str" cm="1">
        <f t="array" aca="1" ref="Z11" ca="1">IF(OR('Raw Data'!Z11="",LEN(TRIM('Raw Data'!Z11))=0,Validate_Empty!Z11&lt;&gt;"",Validate_Value!Z11&lt;&gt;""),"",IF('Raw Data'!Z11=SUM('Raw Data'!T11:Y11),"",_xlfn.REGEXEXTRACT(CELL("address",Z11), "\$([A-Z]+)\$[0-9]+")))</f>
        <v/>
      </c>
      <c r="AA11" s="7"/>
      <c r="AB11" s="7"/>
      <c r="AC11" s="7"/>
      <c r="AD11" s="7"/>
      <c r="AE11" s="7"/>
      <c r="AF11" s="7"/>
      <c r="AG11" s="7" t="str" cm="1">
        <f t="array" aca="1" ref="AG11" ca="1">IF(OR('Raw Data'!AG11="",LEN(TRIM('Raw Data'!AG11))=0,Validate_Empty!AG11&lt;&gt;"",Validate_Value!AG11&lt;&gt;""),"",IF('Raw Data'!AG11=SUM('Raw Data'!AA11:AF11),"",_xlfn.REGEXEXTRACT(CELL("address",AG11), "\$([A-Z]+)\$[0-9]+")))</f>
        <v/>
      </c>
      <c r="AH11" s="7" t="str" cm="1">
        <f t="array" aca="1" ref="AH11" ca="1">IF(OR('Raw Data'!AH11="",LEN(TRIM('Raw Data'!AH11))=0,Validate_Empty!AH11&lt;&gt;"",Validate_Value!AH11&lt;&gt;""),"",IF(Configuration!$G$2 = Configuration!$I$2,"",_xlfn.REGEXEXTRACT(CELL("address",AH11), "\$([A-Z]+)\$[0-9]+")))</f>
        <v/>
      </c>
      <c r="AI11" s="7" t="str" cm="1">
        <f t="array" aca="1" ref="AI11" ca="1">IF(OR('Raw Data'!AI11="",LEN(TRIM('Raw Data'!AI11))=0,Validate_Empty!AI11&lt;&gt;"",Validate_Value!AI11&lt;&gt;""),"",IF(Configuration!$H$2 = Configuration!$J$2,"",_xlfn.REGEXEXTRACT(CELL("address",AI11), "\$([A-Z]+)\$[0-9]+")))</f>
        <v/>
      </c>
      <c r="AJ11" s="7"/>
      <c r="AK11" s="7"/>
      <c r="AL11" s="7"/>
      <c r="AM11" s="7"/>
      <c r="AN11" s="7"/>
      <c r="AO11" s="7"/>
      <c r="AP11" s="7" t="str" cm="1">
        <f t="array" aca="1" ref="AP11" ca="1">IF(OR('Raw Data'!AP11="",LEN(TRIM('Raw Data'!AP11))=0,Validate_Empty!AP11&lt;&gt;"",Validate_Value!AP11&lt;&gt;""),"",IF('Raw Data'!AP11=SUM('Raw Data'!AK11:AO11),"",_xlfn.REGEXEXTRACT(CELL("address",AP11), "\$([A-Z]+)\$[0-9]+")))</f>
        <v/>
      </c>
    </row>
    <row r="12" spans="2:42" x14ac:dyDescent="0.25">
      <c r="B12" s="7"/>
      <c r="C12" s="7"/>
      <c r="D12" s="7"/>
      <c r="E12" s="7"/>
      <c r="F12" s="7"/>
      <c r="G12" s="7"/>
      <c r="H12" s="7"/>
      <c r="I12" s="7"/>
      <c r="J12" s="7" t="str" cm="1">
        <f t="array" aca="1" ref="J12" ca="1">IF(OR('Raw Data'!J12="",LEN(TRIM('Raw Data'!J12))=0,Validate_Empty!J12&lt;&gt;"",Validate_Value!J12&lt;&gt;""),"",IF('Raw Data'!J12=SUM('Raw Data'!K12:N12),"",_xlfn.REGEXEXTRACT(CELL("address",J12), "\$([A-Z]+)\$[0-9]+")))</f>
        <v/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 t="str" cm="1">
        <f t="array" aca="1" ref="Z12" ca="1">IF(OR('Raw Data'!Z12="",LEN(TRIM('Raw Data'!Z12))=0,Validate_Empty!Z12&lt;&gt;"",Validate_Value!Z12&lt;&gt;""),"",IF('Raw Data'!Z12=SUM('Raw Data'!T12:Y12),"",_xlfn.REGEXEXTRACT(CELL("address",Z12), "\$([A-Z]+)\$[0-9]+")))</f>
        <v/>
      </c>
      <c r="AA12" s="7"/>
      <c r="AB12" s="7"/>
      <c r="AC12" s="7"/>
      <c r="AD12" s="7"/>
      <c r="AE12" s="7"/>
      <c r="AF12" s="7"/>
      <c r="AG12" s="7" t="str" cm="1">
        <f t="array" aca="1" ref="AG12" ca="1">IF(OR('Raw Data'!AG12="",LEN(TRIM('Raw Data'!AG12))=0,Validate_Empty!AG12&lt;&gt;"",Validate_Value!AG12&lt;&gt;""),"",IF('Raw Data'!AG12=SUM('Raw Data'!AA12:AF12),"",_xlfn.REGEXEXTRACT(CELL("address",AG12), "\$([A-Z]+)\$[0-9]+")))</f>
        <v/>
      </c>
      <c r="AH12" s="7" t="str" cm="1">
        <f t="array" aca="1" ref="AH12" ca="1">IF(OR('Raw Data'!AH12="",LEN(TRIM('Raw Data'!AH12))=0,Validate_Empty!AH12&lt;&gt;"",Validate_Value!AH12&lt;&gt;""),"",IF(Configuration!$G$2 = Configuration!$I$2,"",_xlfn.REGEXEXTRACT(CELL("address",AH12), "\$([A-Z]+)\$[0-9]+")))</f>
        <v/>
      </c>
      <c r="AI12" s="7" t="str" cm="1">
        <f t="array" aca="1" ref="AI12" ca="1">IF(OR('Raw Data'!AI12="",LEN(TRIM('Raw Data'!AI12))=0,Validate_Empty!AI12&lt;&gt;"",Validate_Value!AI12&lt;&gt;""),"",IF(Configuration!$H$2 = Configuration!$J$2,"",_xlfn.REGEXEXTRACT(CELL("address",AI12), "\$([A-Z]+)\$[0-9]+")))</f>
        <v/>
      </c>
      <c r="AJ12" s="7"/>
      <c r="AK12" s="7"/>
      <c r="AL12" s="7"/>
      <c r="AM12" s="7"/>
      <c r="AN12" s="7"/>
      <c r="AO12" s="7"/>
      <c r="AP12" s="7" t="str" cm="1">
        <f t="array" aca="1" ref="AP12" ca="1">IF(OR('Raw Data'!AP12="",LEN(TRIM('Raw Data'!AP12))=0,Validate_Empty!AP12&lt;&gt;"",Validate_Value!AP12&lt;&gt;""),"",IF('Raw Data'!AP12=SUM('Raw Data'!AK12:AO12),"",_xlfn.REGEXEXTRACT(CELL("address",AP12), "\$([A-Z]+)\$[0-9]+")))</f>
        <v/>
      </c>
    </row>
    <row r="13" spans="2:42" x14ac:dyDescent="0.25">
      <c r="B13" s="7"/>
      <c r="C13" s="7"/>
      <c r="D13" s="7"/>
      <c r="E13" s="7"/>
      <c r="F13" s="7"/>
      <c r="G13" s="7"/>
      <c r="H13" s="7"/>
      <c r="I13" s="7"/>
      <c r="J13" s="7" t="str" cm="1">
        <f t="array" aca="1" ref="J13" ca="1">IF(OR('Raw Data'!J13="",LEN(TRIM('Raw Data'!J13))=0,Validate_Empty!J13&lt;&gt;"",Validate_Value!J13&lt;&gt;""),"",IF('Raw Data'!J13=SUM('Raw Data'!K13:N13),"",_xlfn.REGEXEXTRACT(CELL("address",J13), "\$([A-Z]+)\$[0-9]+")))</f>
        <v/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 t="str" cm="1">
        <f t="array" aca="1" ref="Z13" ca="1">IF(OR('Raw Data'!Z13="",LEN(TRIM('Raw Data'!Z13))=0,Validate_Empty!Z13&lt;&gt;"",Validate_Value!Z13&lt;&gt;""),"",IF('Raw Data'!Z13=SUM('Raw Data'!T13:Y13),"",_xlfn.REGEXEXTRACT(CELL("address",Z13), "\$([A-Z]+)\$[0-9]+")))</f>
        <v/>
      </c>
      <c r="AA13" s="7"/>
      <c r="AB13" s="7"/>
      <c r="AC13" s="7"/>
      <c r="AD13" s="7"/>
      <c r="AE13" s="7"/>
      <c r="AF13" s="7"/>
      <c r="AG13" s="7" t="str" cm="1">
        <f t="array" aca="1" ref="AG13" ca="1">IF(OR('Raw Data'!AG13="",LEN(TRIM('Raw Data'!AG13))=0,Validate_Empty!AG13&lt;&gt;"",Validate_Value!AG13&lt;&gt;""),"",IF('Raw Data'!AG13=SUM('Raw Data'!AA13:AF13),"",_xlfn.REGEXEXTRACT(CELL("address",AG13), "\$([A-Z]+)\$[0-9]+")))</f>
        <v/>
      </c>
      <c r="AH13" s="7" t="str" cm="1">
        <f t="array" aca="1" ref="AH13" ca="1">IF(OR('Raw Data'!AH13="",LEN(TRIM('Raw Data'!AH13))=0,Validate_Empty!AH13&lt;&gt;"",Validate_Value!AH13&lt;&gt;""),"",IF(Configuration!$G$2 = Configuration!$I$2,"",_xlfn.REGEXEXTRACT(CELL("address",AH13), "\$([A-Z]+)\$[0-9]+")))</f>
        <v/>
      </c>
      <c r="AI13" s="7" t="str" cm="1">
        <f t="array" aca="1" ref="AI13" ca="1">IF(OR('Raw Data'!AI13="",LEN(TRIM('Raw Data'!AI13))=0,Validate_Empty!AI13&lt;&gt;"",Validate_Value!AI13&lt;&gt;""),"",IF(Configuration!$H$2 = Configuration!$J$2,"",_xlfn.REGEXEXTRACT(CELL("address",AI13), "\$([A-Z]+)\$[0-9]+")))</f>
        <v/>
      </c>
      <c r="AJ13" s="7"/>
      <c r="AK13" s="7"/>
      <c r="AL13" s="7"/>
      <c r="AM13" s="7"/>
      <c r="AN13" s="7"/>
      <c r="AO13" s="7"/>
      <c r="AP13" s="7" t="str" cm="1">
        <f t="array" aca="1" ref="AP13" ca="1">IF(OR('Raw Data'!AP13="",LEN(TRIM('Raw Data'!AP13))=0,Validate_Empty!AP13&lt;&gt;"",Validate_Value!AP13&lt;&gt;""),"",IF('Raw Data'!AP13=SUM('Raw Data'!AK13:AO13),"",_xlfn.REGEXEXTRACT(CELL("address",AP13), "\$([A-Z]+)\$[0-9]+")))</f>
        <v/>
      </c>
    </row>
    <row r="14" spans="2:42" x14ac:dyDescent="0.25">
      <c r="B14" s="7"/>
      <c r="C14" s="7"/>
      <c r="D14" s="7"/>
      <c r="E14" s="7"/>
      <c r="F14" s="7"/>
      <c r="G14" s="7"/>
      <c r="H14" s="7"/>
      <c r="I14" s="7"/>
      <c r="J14" s="7" t="str" cm="1">
        <f t="array" aca="1" ref="J14" ca="1">IF(OR('Raw Data'!J14="",LEN(TRIM('Raw Data'!J14))=0,Validate_Empty!J14&lt;&gt;"",Validate_Value!J14&lt;&gt;""),"",IF('Raw Data'!J14=SUM('Raw Data'!K14:N14),"",_xlfn.REGEXEXTRACT(CELL("address",J14), "\$([A-Z]+)\$[0-9]+")))</f>
        <v/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 t="str" cm="1">
        <f t="array" aca="1" ref="Z14" ca="1">IF(OR('Raw Data'!Z14="",LEN(TRIM('Raw Data'!Z14))=0,Validate_Empty!Z14&lt;&gt;"",Validate_Value!Z14&lt;&gt;""),"",IF('Raw Data'!Z14=SUM('Raw Data'!T14:Y14),"",_xlfn.REGEXEXTRACT(CELL("address",Z14), "\$([A-Z]+)\$[0-9]+")))</f>
        <v/>
      </c>
      <c r="AA14" s="7"/>
      <c r="AB14" s="7"/>
      <c r="AC14" s="7"/>
      <c r="AD14" s="7"/>
      <c r="AE14" s="7"/>
      <c r="AF14" s="7"/>
      <c r="AG14" s="7" t="str" cm="1">
        <f t="array" aca="1" ref="AG14" ca="1">IF(OR('Raw Data'!AG14="",LEN(TRIM('Raw Data'!AG14))=0,Validate_Empty!AG14&lt;&gt;"",Validate_Value!AG14&lt;&gt;""),"",IF('Raw Data'!AG14=SUM('Raw Data'!AA14:AF14),"",_xlfn.REGEXEXTRACT(CELL("address",AG14), "\$([A-Z]+)\$[0-9]+")))</f>
        <v/>
      </c>
      <c r="AH14" s="7" t="str" cm="1">
        <f t="array" aca="1" ref="AH14" ca="1">IF(OR('Raw Data'!AH14="",LEN(TRIM('Raw Data'!AH14))=0,Validate_Empty!AH14&lt;&gt;"",Validate_Value!AH14&lt;&gt;""),"",IF(Configuration!$G$2 = Configuration!$I$2,"",_xlfn.REGEXEXTRACT(CELL("address",AH14), "\$([A-Z]+)\$[0-9]+")))</f>
        <v/>
      </c>
      <c r="AI14" s="7" t="str" cm="1">
        <f t="array" aca="1" ref="AI14" ca="1">IF(OR('Raw Data'!AI14="",LEN(TRIM('Raw Data'!AI14))=0,Validate_Empty!AI14&lt;&gt;"",Validate_Value!AI14&lt;&gt;""),"",IF(Configuration!$H$2 = Configuration!$J$2,"",_xlfn.REGEXEXTRACT(CELL("address",AI14), "\$([A-Z]+)\$[0-9]+")))</f>
        <v/>
      </c>
      <c r="AJ14" s="7"/>
      <c r="AK14" s="7"/>
      <c r="AL14" s="7"/>
      <c r="AM14" s="7"/>
      <c r="AN14" s="7"/>
      <c r="AO14" s="7"/>
      <c r="AP14" s="7" t="str" cm="1">
        <f t="array" aca="1" ref="AP14" ca="1">IF(OR('Raw Data'!AP14="",LEN(TRIM('Raw Data'!AP14))=0,Validate_Empty!AP14&lt;&gt;"",Validate_Value!AP14&lt;&gt;""),"",IF('Raw Data'!AP14=SUM('Raw Data'!AK14:AO14),"",_xlfn.REGEXEXTRACT(CELL("address",AP14), "\$([A-Z]+)\$[0-9]+")))</f>
        <v/>
      </c>
    </row>
    <row r="15" spans="2:42" x14ac:dyDescent="0.25">
      <c r="B15" s="7"/>
      <c r="C15" s="7"/>
      <c r="D15" s="7"/>
      <c r="E15" s="7"/>
      <c r="F15" s="7"/>
      <c r="G15" s="7"/>
      <c r="H15" s="7"/>
      <c r="I15" s="7"/>
      <c r="J15" s="7" t="str" cm="1">
        <f t="array" aca="1" ref="J15" ca="1">IF(OR('Raw Data'!J15="",LEN(TRIM('Raw Data'!J15))=0,Validate_Empty!J15&lt;&gt;"",Validate_Value!J15&lt;&gt;""),"",IF('Raw Data'!J15=SUM('Raw Data'!K15:N15),"",_xlfn.REGEXEXTRACT(CELL("address",J15), "\$([A-Z]+)\$[0-9]+")))</f>
        <v/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 t="str" cm="1">
        <f t="array" aca="1" ref="Z15" ca="1">IF(OR('Raw Data'!Z15="",LEN(TRIM('Raw Data'!Z15))=0,Validate_Empty!Z15&lt;&gt;"",Validate_Value!Z15&lt;&gt;""),"",IF('Raw Data'!Z15=SUM('Raw Data'!T15:Y15),"",_xlfn.REGEXEXTRACT(CELL("address",Z15), "\$([A-Z]+)\$[0-9]+")))</f>
        <v/>
      </c>
      <c r="AA15" s="7"/>
      <c r="AB15" s="7"/>
      <c r="AC15" s="7"/>
      <c r="AD15" s="7"/>
      <c r="AE15" s="7"/>
      <c r="AF15" s="7"/>
      <c r="AG15" s="7" t="str" cm="1">
        <f t="array" aca="1" ref="AG15" ca="1">IF(OR('Raw Data'!AG15="",LEN(TRIM('Raw Data'!AG15))=0,Validate_Empty!AG15&lt;&gt;"",Validate_Value!AG15&lt;&gt;""),"",IF('Raw Data'!AG15=SUM('Raw Data'!AA15:AF15),"",_xlfn.REGEXEXTRACT(CELL("address",AG15), "\$([A-Z]+)\$[0-9]+")))</f>
        <v/>
      </c>
      <c r="AH15" s="7" t="str" cm="1">
        <f t="array" aca="1" ref="AH15" ca="1">IF(OR('Raw Data'!AH15="",LEN(TRIM('Raw Data'!AH15))=0,Validate_Empty!AH15&lt;&gt;"",Validate_Value!AH15&lt;&gt;""),"",IF(Configuration!$G$2 = Configuration!$I$2,"",_xlfn.REGEXEXTRACT(CELL("address",AH15), "\$([A-Z]+)\$[0-9]+")))</f>
        <v/>
      </c>
      <c r="AI15" s="7" t="str" cm="1">
        <f t="array" aca="1" ref="AI15" ca="1">IF(OR('Raw Data'!AI15="",LEN(TRIM('Raw Data'!AI15))=0,Validate_Empty!AI15&lt;&gt;"",Validate_Value!AI15&lt;&gt;""),"",IF(Configuration!$H$2 = Configuration!$J$2,"",_xlfn.REGEXEXTRACT(CELL("address",AI15), "\$([A-Z]+)\$[0-9]+")))</f>
        <v/>
      </c>
      <c r="AJ15" s="7"/>
      <c r="AK15" s="7"/>
      <c r="AL15" s="7"/>
      <c r="AM15" s="7"/>
      <c r="AN15" s="7"/>
      <c r="AO15" s="7"/>
      <c r="AP15" s="7" t="str" cm="1">
        <f t="array" aca="1" ref="AP15" ca="1">IF(OR('Raw Data'!AP15="",LEN(TRIM('Raw Data'!AP15))=0,Validate_Empty!AP15&lt;&gt;"",Validate_Value!AP15&lt;&gt;""),"",IF('Raw Data'!AP15=SUM('Raw Data'!AK15:AO15),"",_xlfn.REGEXEXTRACT(CELL("address",AP15), "\$([A-Z]+)\$[0-9]+")))</f>
        <v/>
      </c>
    </row>
    <row r="16" spans="2:42" x14ac:dyDescent="0.25">
      <c r="B16" s="7"/>
      <c r="C16" s="7"/>
      <c r="D16" s="7"/>
      <c r="E16" s="7"/>
      <c r="F16" s="7"/>
      <c r="G16" s="7"/>
      <c r="H16" s="7"/>
      <c r="I16" s="7"/>
      <c r="J16" s="7" t="str" cm="1">
        <f t="array" aca="1" ref="J16" ca="1">IF(OR('Raw Data'!J16="",LEN(TRIM('Raw Data'!J16))=0,Validate_Empty!J16&lt;&gt;"",Validate_Value!J16&lt;&gt;""),"",IF('Raw Data'!J16=SUM('Raw Data'!K16:N16),"",_xlfn.REGEXEXTRACT(CELL("address",J16), "\$([A-Z]+)\$[0-9]+")))</f>
        <v/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 t="str" cm="1">
        <f t="array" aca="1" ref="Z16" ca="1">IF(OR('Raw Data'!Z16="",LEN(TRIM('Raw Data'!Z16))=0,Validate_Empty!Z16&lt;&gt;"",Validate_Value!Z16&lt;&gt;""),"",IF('Raw Data'!Z16=SUM('Raw Data'!T16:Y16),"",_xlfn.REGEXEXTRACT(CELL("address",Z16), "\$([A-Z]+)\$[0-9]+")))</f>
        <v/>
      </c>
      <c r="AA16" s="7"/>
      <c r="AB16" s="7"/>
      <c r="AC16" s="7"/>
      <c r="AD16" s="7"/>
      <c r="AE16" s="7"/>
      <c r="AF16" s="7"/>
      <c r="AG16" s="7" t="str" cm="1">
        <f t="array" aca="1" ref="AG16" ca="1">IF(OR('Raw Data'!AG16="",LEN(TRIM('Raw Data'!AG16))=0,Validate_Empty!AG16&lt;&gt;"",Validate_Value!AG16&lt;&gt;""),"",IF('Raw Data'!AG16=SUM('Raw Data'!AA16:AF16),"",_xlfn.REGEXEXTRACT(CELL("address",AG16), "\$([A-Z]+)\$[0-9]+")))</f>
        <v/>
      </c>
      <c r="AH16" s="7" t="str" cm="1">
        <f t="array" aca="1" ref="AH16" ca="1">IF(OR('Raw Data'!AH16="",LEN(TRIM('Raw Data'!AH16))=0,Validate_Empty!AH16&lt;&gt;"",Validate_Value!AH16&lt;&gt;""),"",IF(Configuration!$G$2 = Configuration!$I$2,"",_xlfn.REGEXEXTRACT(CELL("address",AH16), "\$([A-Z]+)\$[0-9]+")))</f>
        <v/>
      </c>
      <c r="AI16" s="7" t="str" cm="1">
        <f t="array" aca="1" ref="AI16" ca="1">IF(OR('Raw Data'!AI16="",LEN(TRIM('Raw Data'!AI16))=0,Validate_Empty!AI16&lt;&gt;"",Validate_Value!AI16&lt;&gt;""),"",IF(Configuration!$H$2 = Configuration!$J$2,"",_xlfn.REGEXEXTRACT(CELL("address",AI16), "\$([A-Z]+)\$[0-9]+")))</f>
        <v/>
      </c>
      <c r="AJ16" s="7"/>
      <c r="AK16" s="7"/>
      <c r="AL16" s="7"/>
      <c r="AM16" s="7"/>
      <c r="AN16" s="7"/>
      <c r="AO16" s="7"/>
      <c r="AP16" s="7" t="str" cm="1">
        <f t="array" aca="1" ref="AP16" ca="1">IF(OR('Raw Data'!AP16="",LEN(TRIM('Raw Data'!AP16))=0,Validate_Empty!AP16&lt;&gt;"",Validate_Value!AP16&lt;&gt;""),"",IF('Raw Data'!AP16=SUM('Raw Data'!AK16:AO16),"",_xlfn.REGEXEXTRACT(CELL("address",AP16), "\$([A-Z]+)\$[0-9]+")))</f>
        <v/>
      </c>
    </row>
    <row r="17" spans="2:42" x14ac:dyDescent="0.25">
      <c r="B17" s="7"/>
      <c r="C17" s="7"/>
      <c r="D17" s="7"/>
      <c r="E17" s="7"/>
      <c r="F17" s="7"/>
      <c r="G17" s="7"/>
      <c r="H17" s="7"/>
      <c r="I17" s="7"/>
      <c r="J17" s="7" t="str" cm="1">
        <f t="array" aca="1" ref="J17" ca="1">IF(OR('Raw Data'!J17="",LEN(TRIM('Raw Data'!J17))=0,Validate_Empty!J17&lt;&gt;"",Validate_Value!J17&lt;&gt;""),"",IF('Raw Data'!J17=SUM('Raw Data'!K17:N17),"",_xlfn.REGEXEXTRACT(CELL("address",J17), "\$([A-Z]+)\$[0-9]+")))</f>
        <v/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 t="str" cm="1">
        <f t="array" aca="1" ref="Z17" ca="1">IF(OR('Raw Data'!Z17="",LEN(TRIM('Raw Data'!Z17))=0,Validate_Empty!Z17&lt;&gt;"",Validate_Value!Z17&lt;&gt;""),"",IF('Raw Data'!Z17=SUM('Raw Data'!T17:Y17),"",_xlfn.REGEXEXTRACT(CELL("address",Z17), "\$([A-Z]+)\$[0-9]+")))</f>
        <v/>
      </c>
      <c r="AA17" s="7"/>
      <c r="AB17" s="7"/>
      <c r="AC17" s="7"/>
      <c r="AD17" s="7"/>
      <c r="AE17" s="7"/>
      <c r="AF17" s="7"/>
      <c r="AG17" s="7" t="str" cm="1">
        <f t="array" aca="1" ref="AG17" ca="1">IF(OR('Raw Data'!AG17="",LEN(TRIM('Raw Data'!AG17))=0,Validate_Empty!AG17&lt;&gt;"",Validate_Value!AG17&lt;&gt;""),"",IF('Raw Data'!AG17=SUM('Raw Data'!AA17:AF17),"",_xlfn.REGEXEXTRACT(CELL("address",AG17), "\$([A-Z]+)\$[0-9]+")))</f>
        <v/>
      </c>
      <c r="AH17" s="7" t="str" cm="1">
        <f t="array" aca="1" ref="AH17" ca="1">IF(OR('Raw Data'!AH17="",LEN(TRIM('Raw Data'!AH17))=0,Validate_Empty!AH17&lt;&gt;"",Validate_Value!AH17&lt;&gt;""),"",IF(Configuration!$G$2 = Configuration!$I$2,"",_xlfn.REGEXEXTRACT(CELL("address",AH17), "\$([A-Z]+)\$[0-9]+")))</f>
        <v/>
      </c>
      <c r="AI17" s="7" t="str" cm="1">
        <f t="array" aca="1" ref="AI17" ca="1">IF(OR('Raw Data'!AI17="",LEN(TRIM('Raw Data'!AI17))=0,Validate_Empty!AI17&lt;&gt;"",Validate_Value!AI17&lt;&gt;""),"",IF(Configuration!$H$2 = Configuration!$J$2,"",_xlfn.REGEXEXTRACT(CELL("address",AI17), "\$([A-Z]+)\$[0-9]+")))</f>
        <v/>
      </c>
      <c r="AJ17" s="7"/>
      <c r="AK17" s="7"/>
      <c r="AL17" s="7"/>
      <c r="AM17" s="7"/>
      <c r="AN17" s="7"/>
      <c r="AO17" s="7"/>
      <c r="AP17" s="7" t="str" cm="1">
        <f t="array" aca="1" ref="AP17" ca="1">IF(OR('Raw Data'!AP17="",LEN(TRIM('Raw Data'!AP17))=0,Validate_Empty!AP17&lt;&gt;"",Validate_Value!AP17&lt;&gt;""),"",IF('Raw Data'!AP17=SUM('Raw Data'!AK17:AO17),"",_xlfn.REGEXEXTRACT(CELL("address",AP17), "\$([A-Z]+)\$[0-9]+")))</f>
        <v/>
      </c>
    </row>
    <row r="18" spans="2:42" x14ac:dyDescent="0.25">
      <c r="B18" s="7"/>
      <c r="C18" s="7"/>
      <c r="D18" s="7"/>
      <c r="E18" s="7"/>
      <c r="F18" s="7"/>
      <c r="G18" s="7"/>
      <c r="H18" s="7"/>
      <c r="I18" s="7"/>
      <c r="J18" s="7" t="str" cm="1">
        <f t="array" aca="1" ref="J18" ca="1">IF(OR('Raw Data'!J18="",LEN(TRIM('Raw Data'!J18))=0,Validate_Empty!J18&lt;&gt;"",Validate_Value!J18&lt;&gt;""),"",IF('Raw Data'!J18=SUM('Raw Data'!K18:N18),"",_xlfn.REGEXEXTRACT(CELL("address",J18), "\$([A-Z]+)\$[0-9]+")))</f>
        <v/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 t="str" cm="1">
        <f t="array" aca="1" ref="Z18" ca="1">IF(OR('Raw Data'!Z18="",LEN(TRIM('Raw Data'!Z18))=0,Validate_Empty!Z18&lt;&gt;"",Validate_Value!Z18&lt;&gt;""),"",IF('Raw Data'!Z18=SUM('Raw Data'!T18:Y18),"",_xlfn.REGEXEXTRACT(CELL("address",Z18), "\$([A-Z]+)\$[0-9]+")))</f>
        <v/>
      </c>
      <c r="AA18" s="7"/>
      <c r="AB18" s="7"/>
      <c r="AC18" s="7"/>
      <c r="AD18" s="7"/>
      <c r="AE18" s="7"/>
      <c r="AF18" s="7"/>
      <c r="AG18" s="7" t="str" cm="1">
        <f t="array" aca="1" ref="AG18" ca="1">IF(OR('Raw Data'!AG18="",LEN(TRIM('Raw Data'!AG18))=0,Validate_Empty!AG18&lt;&gt;"",Validate_Value!AG18&lt;&gt;""),"",IF('Raw Data'!AG18=SUM('Raw Data'!AA18:AF18),"",_xlfn.REGEXEXTRACT(CELL("address",AG18), "\$([A-Z]+)\$[0-9]+")))</f>
        <v/>
      </c>
      <c r="AH18" s="7" t="str" cm="1">
        <f t="array" aca="1" ref="AH18" ca="1">IF(OR('Raw Data'!AH18="",LEN(TRIM('Raw Data'!AH18))=0,Validate_Empty!AH18&lt;&gt;"",Validate_Value!AH18&lt;&gt;""),"",IF(Configuration!$G$2 = Configuration!$I$2,"",_xlfn.REGEXEXTRACT(CELL("address",AH18), "\$([A-Z]+)\$[0-9]+")))</f>
        <v/>
      </c>
      <c r="AI18" s="7" t="str" cm="1">
        <f t="array" aca="1" ref="AI18" ca="1">IF(OR('Raw Data'!AI18="",LEN(TRIM('Raw Data'!AI18))=0,Validate_Empty!AI18&lt;&gt;"",Validate_Value!AI18&lt;&gt;""),"",IF(Configuration!$H$2 = Configuration!$J$2,"",_xlfn.REGEXEXTRACT(CELL("address",AI18), "\$([A-Z]+)\$[0-9]+")))</f>
        <v/>
      </c>
      <c r="AJ18" s="7"/>
      <c r="AK18" s="7"/>
      <c r="AL18" s="7"/>
      <c r="AM18" s="7"/>
      <c r="AN18" s="7"/>
      <c r="AO18" s="7"/>
      <c r="AP18" s="7" t="str" cm="1">
        <f t="array" aca="1" ref="AP18" ca="1">IF(OR('Raw Data'!AP18="",LEN(TRIM('Raw Data'!AP18))=0,Validate_Empty!AP18&lt;&gt;"",Validate_Value!AP18&lt;&gt;""),"",IF('Raw Data'!AP18=SUM('Raw Data'!AK18:AO18),"",_xlfn.REGEXEXTRACT(CELL("address",AP18), "\$([A-Z]+)\$[0-9]+")))</f>
        <v/>
      </c>
    </row>
    <row r="19" spans="2:42" x14ac:dyDescent="0.25">
      <c r="B19" s="7"/>
      <c r="C19" s="7"/>
      <c r="D19" s="7"/>
      <c r="E19" s="7"/>
      <c r="F19" s="7"/>
      <c r="G19" s="7"/>
      <c r="H19" s="7"/>
      <c r="I19" s="7"/>
      <c r="J19" s="7" t="str" cm="1">
        <f t="array" aca="1" ref="J19" ca="1">IF(OR('Raw Data'!J19="",LEN(TRIM('Raw Data'!J19))=0,Validate_Empty!J19&lt;&gt;"",Validate_Value!J19&lt;&gt;""),"",IF('Raw Data'!J19=SUM('Raw Data'!K19:N19),"",_xlfn.REGEXEXTRACT(CELL("address",J19), "\$([A-Z]+)\$[0-9]+")))</f>
        <v/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 t="str" cm="1">
        <f t="array" aca="1" ref="Z19" ca="1">IF(OR('Raw Data'!Z19="",LEN(TRIM('Raw Data'!Z19))=0,Validate_Empty!Z19&lt;&gt;"",Validate_Value!Z19&lt;&gt;""),"",IF('Raw Data'!Z19=SUM('Raw Data'!T19:Y19),"",_xlfn.REGEXEXTRACT(CELL("address",Z19), "\$([A-Z]+)\$[0-9]+")))</f>
        <v/>
      </c>
      <c r="AA19" s="7"/>
      <c r="AB19" s="7"/>
      <c r="AC19" s="7"/>
      <c r="AD19" s="7"/>
      <c r="AE19" s="7"/>
      <c r="AF19" s="7"/>
      <c r="AG19" s="7" t="str" cm="1">
        <f t="array" aca="1" ref="AG19" ca="1">IF(OR('Raw Data'!AG19="",LEN(TRIM('Raw Data'!AG19))=0,Validate_Empty!AG19&lt;&gt;"",Validate_Value!AG19&lt;&gt;""),"",IF('Raw Data'!AG19=SUM('Raw Data'!AA19:AF19),"",_xlfn.REGEXEXTRACT(CELL("address",AG19), "\$([A-Z]+)\$[0-9]+")))</f>
        <v/>
      </c>
      <c r="AH19" s="7" t="str" cm="1">
        <f t="array" aca="1" ref="AH19" ca="1">IF(OR('Raw Data'!AH19="",LEN(TRIM('Raw Data'!AH19))=0,Validate_Empty!AH19&lt;&gt;"",Validate_Value!AH19&lt;&gt;""),"",IF(Configuration!$G$2 = Configuration!$I$2,"",_xlfn.REGEXEXTRACT(CELL("address",AH19), "\$([A-Z]+)\$[0-9]+")))</f>
        <v/>
      </c>
      <c r="AI19" s="7" t="str" cm="1">
        <f t="array" aca="1" ref="AI19" ca="1">IF(OR('Raw Data'!AI19="",LEN(TRIM('Raw Data'!AI19))=0,Validate_Empty!AI19&lt;&gt;"",Validate_Value!AI19&lt;&gt;""),"",IF(Configuration!$H$2 = Configuration!$J$2,"",_xlfn.REGEXEXTRACT(CELL("address",AI19), "\$([A-Z]+)\$[0-9]+")))</f>
        <v/>
      </c>
      <c r="AJ19" s="7"/>
      <c r="AK19" s="7"/>
      <c r="AL19" s="7"/>
      <c r="AM19" s="7"/>
      <c r="AN19" s="7"/>
      <c r="AO19" s="7"/>
      <c r="AP19" s="7" t="str" cm="1">
        <f t="array" aca="1" ref="AP19" ca="1">IF(OR('Raw Data'!AP19="",LEN(TRIM('Raw Data'!AP19))=0,Validate_Empty!AP19&lt;&gt;"",Validate_Value!AP19&lt;&gt;""),"",IF('Raw Data'!AP19=SUM('Raw Data'!AK19:AO19),"",_xlfn.REGEXEXTRACT(CELL("address",AP19), "\$([A-Z]+)\$[0-9]+")))</f>
        <v/>
      </c>
    </row>
    <row r="20" spans="2:42" x14ac:dyDescent="0.25">
      <c r="B20" s="7"/>
      <c r="C20" s="7"/>
      <c r="D20" s="7"/>
      <c r="E20" s="7"/>
      <c r="F20" s="7"/>
      <c r="G20" s="7"/>
      <c r="H20" s="7"/>
      <c r="I20" s="7"/>
      <c r="J20" s="7" t="str" cm="1">
        <f t="array" aca="1" ref="J20" ca="1">IF(OR('Raw Data'!J20="",LEN(TRIM('Raw Data'!J20))=0,Validate_Empty!J20&lt;&gt;"",Validate_Value!J20&lt;&gt;""),"",IF('Raw Data'!J20=SUM('Raw Data'!K20:N20),"",_xlfn.REGEXEXTRACT(CELL("address",J20), "\$([A-Z]+)\$[0-9]+")))</f>
        <v/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 t="str" cm="1">
        <f t="array" aca="1" ref="Z20" ca="1">IF(OR('Raw Data'!Z20="",LEN(TRIM('Raw Data'!Z20))=0,Validate_Empty!Z20&lt;&gt;"",Validate_Value!Z20&lt;&gt;""),"",IF('Raw Data'!Z20=SUM('Raw Data'!T20:Y20),"",_xlfn.REGEXEXTRACT(CELL("address",Z20), "\$([A-Z]+)\$[0-9]+")))</f>
        <v/>
      </c>
      <c r="AA20" s="7"/>
      <c r="AB20" s="7"/>
      <c r="AC20" s="7"/>
      <c r="AD20" s="7"/>
      <c r="AE20" s="7"/>
      <c r="AF20" s="7"/>
      <c r="AG20" s="7" t="str" cm="1">
        <f t="array" aca="1" ref="AG20" ca="1">IF(OR('Raw Data'!AG20="",LEN(TRIM('Raw Data'!AG20))=0,Validate_Empty!AG20&lt;&gt;"",Validate_Value!AG20&lt;&gt;""),"",IF('Raw Data'!AG20=SUM('Raw Data'!AA20:AF20),"",_xlfn.REGEXEXTRACT(CELL("address",AG20), "\$([A-Z]+)\$[0-9]+")))</f>
        <v/>
      </c>
      <c r="AH20" s="7" t="str" cm="1">
        <f t="array" aca="1" ref="AH20" ca="1">IF(OR('Raw Data'!AH20="",LEN(TRIM('Raw Data'!AH20))=0,Validate_Empty!AH20&lt;&gt;"",Validate_Value!AH20&lt;&gt;""),"",IF(Configuration!$G$2 = Configuration!$I$2,"",_xlfn.REGEXEXTRACT(CELL("address",AH20), "\$([A-Z]+)\$[0-9]+")))</f>
        <v/>
      </c>
      <c r="AI20" s="7" t="str" cm="1">
        <f t="array" aca="1" ref="AI20" ca="1">IF(OR('Raw Data'!AI20="",LEN(TRIM('Raw Data'!AI20))=0,Validate_Empty!AI20&lt;&gt;"",Validate_Value!AI20&lt;&gt;""),"",IF(Configuration!$H$2 = Configuration!$J$2,"",_xlfn.REGEXEXTRACT(CELL("address",AI20), "\$([A-Z]+)\$[0-9]+")))</f>
        <v/>
      </c>
      <c r="AJ20" s="7"/>
      <c r="AK20" s="7"/>
      <c r="AL20" s="7"/>
      <c r="AM20" s="7"/>
      <c r="AN20" s="7"/>
      <c r="AO20" s="7"/>
      <c r="AP20" s="7" t="str" cm="1">
        <f t="array" aca="1" ref="AP20" ca="1">IF(OR('Raw Data'!AP20="",LEN(TRIM('Raw Data'!AP20))=0,Validate_Empty!AP20&lt;&gt;"",Validate_Value!AP20&lt;&gt;""),"",IF('Raw Data'!AP20=SUM('Raw Data'!AK20:AO20),"",_xlfn.REGEXEXTRACT(CELL("address",AP20), "\$([A-Z]+)\$[0-9]+")))</f>
        <v/>
      </c>
    </row>
    <row r="21" spans="2:42" x14ac:dyDescent="0.25">
      <c r="B21" s="7"/>
      <c r="C21" s="7"/>
      <c r="D21" s="7"/>
      <c r="E21" s="7"/>
      <c r="F21" s="7"/>
      <c r="G21" s="7"/>
      <c r="H21" s="7"/>
      <c r="I21" s="7"/>
      <c r="J21" s="7" t="str" cm="1">
        <f t="array" aca="1" ref="J21" ca="1">IF(OR('Raw Data'!J21="",LEN(TRIM('Raw Data'!J21))=0,Validate_Empty!J21&lt;&gt;"",Validate_Value!J21&lt;&gt;""),"",IF('Raw Data'!J21=SUM('Raw Data'!K21:N21),"",_xlfn.REGEXEXTRACT(CELL("address",J21), "\$([A-Z]+)\$[0-9]+")))</f>
        <v/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 t="str" cm="1">
        <f t="array" aca="1" ref="Z21" ca="1">IF(OR('Raw Data'!Z21="",LEN(TRIM('Raw Data'!Z21))=0,Validate_Empty!Z21&lt;&gt;"",Validate_Value!Z21&lt;&gt;""),"",IF('Raw Data'!Z21=SUM('Raw Data'!T21:Y21),"",_xlfn.REGEXEXTRACT(CELL("address",Z21), "\$([A-Z]+)\$[0-9]+")))</f>
        <v/>
      </c>
      <c r="AA21" s="7"/>
      <c r="AB21" s="7"/>
      <c r="AC21" s="7"/>
      <c r="AD21" s="7"/>
      <c r="AE21" s="7"/>
      <c r="AF21" s="7"/>
      <c r="AG21" s="7" t="str" cm="1">
        <f t="array" aca="1" ref="AG21" ca="1">IF(OR('Raw Data'!AG21="",LEN(TRIM('Raw Data'!AG21))=0,Validate_Empty!AG21&lt;&gt;"",Validate_Value!AG21&lt;&gt;""),"",IF('Raw Data'!AG21=SUM('Raw Data'!AA21:AF21),"",_xlfn.REGEXEXTRACT(CELL("address",AG21), "\$([A-Z]+)\$[0-9]+")))</f>
        <v/>
      </c>
      <c r="AH21" s="7" t="str" cm="1">
        <f t="array" aca="1" ref="AH21" ca="1">IF(OR('Raw Data'!AH21="",LEN(TRIM('Raw Data'!AH21))=0,Validate_Empty!AH21&lt;&gt;"",Validate_Value!AH21&lt;&gt;""),"",IF(Configuration!$G$2 = Configuration!$I$2,"",_xlfn.REGEXEXTRACT(CELL("address",AH21), "\$([A-Z]+)\$[0-9]+")))</f>
        <v/>
      </c>
      <c r="AI21" s="7" t="str" cm="1">
        <f t="array" aca="1" ref="AI21" ca="1">IF(OR('Raw Data'!AI21="",LEN(TRIM('Raw Data'!AI21))=0,Validate_Empty!AI21&lt;&gt;"",Validate_Value!AI21&lt;&gt;""),"",IF(Configuration!$H$2 = Configuration!$J$2,"",_xlfn.REGEXEXTRACT(CELL("address",AI21), "\$([A-Z]+)\$[0-9]+")))</f>
        <v/>
      </c>
      <c r="AJ21" s="7"/>
      <c r="AK21" s="7"/>
      <c r="AL21" s="7"/>
      <c r="AM21" s="7"/>
      <c r="AN21" s="7"/>
      <c r="AO21" s="7"/>
      <c r="AP21" s="7" t="str" cm="1">
        <f t="array" aca="1" ref="AP21" ca="1">IF(OR('Raw Data'!AP21="",LEN(TRIM('Raw Data'!AP21))=0,Validate_Empty!AP21&lt;&gt;"",Validate_Value!AP21&lt;&gt;""),"",IF('Raw Data'!AP21=SUM('Raw Data'!AK21:AO21),"",_xlfn.REGEXEXTRACT(CELL("address",AP21), "\$([A-Z]+)\$[0-9]+")))</f>
        <v/>
      </c>
    </row>
    <row r="22" spans="2:42" x14ac:dyDescent="0.25">
      <c r="B22" s="7"/>
      <c r="C22" s="7"/>
      <c r="D22" s="7"/>
      <c r="E22" s="7"/>
      <c r="F22" s="7"/>
      <c r="G22" s="7"/>
      <c r="H22" s="7"/>
      <c r="I22" s="7"/>
      <c r="J22" s="7" t="str" cm="1">
        <f t="array" aca="1" ref="J22" ca="1">IF(OR('Raw Data'!J22="",LEN(TRIM('Raw Data'!J22))=0,Validate_Empty!J22&lt;&gt;"",Validate_Value!J22&lt;&gt;""),"",IF('Raw Data'!J22=SUM('Raw Data'!K22:N22),"",_xlfn.REGEXEXTRACT(CELL("address",J22), "\$([A-Z]+)\$[0-9]+")))</f>
        <v/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 t="str" cm="1">
        <f t="array" aca="1" ref="Z22" ca="1">IF(OR('Raw Data'!Z22="",LEN(TRIM('Raw Data'!Z22))=0,Validate_Empty!Z22&lt;&gt;"",Validate_Value!Z22&lt;&gt;""),"",IF('Raw Data'!Z22=SUM('Raw Data'!T22:Y22),"",_xlfn.REGEXEXTRACT(CELL("address",Z22), "\$([A-Z]+)\$[0-9]+")))</f>
        <v/>
      </c>
      <c r="AA22" s="7"/>
      <c r="AB22" s="7"/>
      <c r="AC22" s="7"/>
      <c r="AD22" s="7"/>
      <c r="AE22" s="7"/>
      <c r="AF22" s="7"/>
      <c r="AG22" s="7" t="str" cm="1">
        <f t="array" aca="1" ref="AG22" ca="1">IF(OR('Raw Data'!AG22="",LEN(TRIM('Raw Data'!AG22))=0,Validate_Empty!AG22&lt;&gt;"",Validate_Value!AG22&lt;&gt;""),"",IF('Raw Data'!AG22=SUM('Raw Data'!AA22:AF22),"",_xlfn.REGEXEXTRACT(CELL("address",AG22), "\$([A-Z]+)\$[0-9]+")))</f>
        <v/>
      </c>
      <c r="AH22" s="7" t="str" cm="1">
        <f t="array" aca="1" ref="AH22" ca="1">IF(OR('Raw Data'!AH22="",LEN(TRIM('Raw Data'!AH22))=0,Validate_Empty!AH22&lt;&gt;"",Validate_Value!AH22&lt;&gt;""),"",IF(Configuration!$G$2 = Configuration!$I$2,"",_xlfn.REGEXEXTRACT(CELL("address",AH22), "\$([A-Z]+)\$[0-9]+")))</f>
        <v/>
      </c>
      <c r="AI22" s="7" t="str" cm="1">
        <f t="array" aca="1" ref="AI22" ca="1">IF(OR('Raw Data'!AI22="",LEN(TRIM('Raw Data'!AI22))=0,Validate_Empty!AI22&lt;&gt;"",Validate_Value!AI22&lt;&gt;""),"",IF(Configuration!$H$2 = Configuration!$J$2,"",_xlfn.REGEXEXTRACT(CELL("address",AI22), "\$([A-Z]+)\$[0-9]+")))</f>
        <v/>
      </c>
      <c r="AJ22" s="7"/>
      <c r="AK22" s="7"/>
      <c r="AL22" s="7"/>
      <c r="AM22" s="7"/>
      <c r="AN22" s="7"/>
      <c r="AO22" s="7"/>
      <c r="AP22" s="7" t="str" cm="1">
        <f t="array" aca="1" ref="AP22" ca="1">IF(OR('Raw Data'!AP22="",LEN(TRIM('Raw Data'!AP22))=0,Validate_Empty!AP22&lt;&gt;"",Validate_Value!AP22&lt;&gt;""),"",IF('Raw Data'!AP22=SUM('Raw Data'!AK22:AO22),"",_xlfn.REGEXEXTRACT(CELL("address",AP22), "\$([A-Z]+)\$[0-9]+")))</f>
        <v/>
      </c>
    </row>
    <row r="23" spans="2:42" x14ac:dyDescent="0.25">
      <c r="B23" s="7"/>
      <c r="C23" s="7"/>
      <c r="D23" s="7"/>
      <c r="E23" s="7"/>
      <c r="F23" s="7"/>
      <c r="G23" s="7"/>
      <c r="H23" s="7"/>
      <c r="I23" s="7"/>
      <c r="J23" s="7" t="str" cm="1">
        <f t="array" aca="1" ref="J23" ca="1">IF(OR('Raw Data'!J23="",LEN(TRIM('Raw Data'!J23))=0,Validate_Empty!J23&lt;&gt;"",Validate_Value!J23&lt;&gt;""),"",IF('Raw Data'!J23=SUM('Raw Data'!K23:N23),"",_xlfn.REGEXEXTRACT(CELL("address",J23), "\$([A-Z]+)\$[0-9]+")))</f>
        <v/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 t="str" cm="1">
        <f t="array" aca="1" ref="Z23" ca="1">IF(OR('Raw Data'!Z23="",LEN(TRIM('Raw Data'!Z23))=0,Validate_Empty!Z23&lt;&gt;"",Validate_Value!Z23&lt;&gt;""),"",IF('Raw Data'!Z23=SUM('Raw Data'!T23:Y23),"",_xlfn.REGEXEXTRACT(CELL("address",Z23), "\$([A-Z]+)\$[0-9]+")))</f>
        <v/>
      </c>
      <c r="AA23" s="7"/>
      <c r="AB23" s="7"/>
      <c r="AC23" s="7"/>
      <c r="AD23" s="7"/>
      <c r="AE23" s="7"/>
      <c r="AF23" s="7"/>
      <c r="AG23" s="7" t="str" cm="1">
        <f t="array" aca="1" ref="AG23" ca="1">IF(OR('Raw Data'!AG23="",LEN(TRIM('Raw Data'!AG23))=0,Validate_Empty!AG23&lt;&gt;"",Validate_Value!AG23&lt;&gt;""),"",IF('Raw Data'!AG23=SUM('Raw Data'!AA23:AF23),"",_xlfn.REGEXEXTRACT(CELL("address",AG23), "\$([A-Z]+)\$[0-9]+")))</f>
        <v/>
      </c>
      <c r="AH23" s="7" t="str" cm="1">
        <f t="array" aca="1" ref="AH23" ca="1">IF(OR('Raw Data'!AH23="",LEN(TRIM('Raw Data'!AH23))=0,Validate_Empty!AH23&lt;&gt;"",Validate_Value!AH23&lt;&gt;""),"",IF(Configuration!$G$2 = Configuration!$I$2,"",_xlfn.REGEXEXTRACT(CELL("address",AH23), "\$([A-Z]+)\$[0-9]+")))</f>
        <v/>
      </c>
      <c r="AI23" s="7" t="str" cm="1">
        <f t="array" aca="1" ref="AI23" ca="1">IF(OR('Raw Data'!AI23="",LEN(TRIM('Raw Data'!AI23))=0,Validate_Empty!AI23&lt;&gt;"",Validate_Value!AI23&lt;&gt;""),"",IF(Configuration!$H$2 = Configuration!$J$2,"",_xlfn.REGEXEXTRACT(CELL("address",AI23), "\$([A-Z]+)\$[0-9]+")))</f>
        <v/>
      </c>
      <c r="AJ23" s="7"/>
      <c r="AK23" s="7"/>
      <c r="AL23" s="7"/>
      <c r="AM23" s="7"/>
      <c r="AN23" s="7"/>
      <c r="AO23" s="7"/>
      <c r="AP23" s="7" t="str" cm="1">
        <f t="array" aca="1" ref="AP23" ca="1">IF(OR('Raw Data'!AP23="",LEN(TRIM('Raw Data'!AP23))=0,Validate_Empty!AP23&lt;&gt;"",Validate_Value!AP23&lt;&gt;""),"",IF('Raw Data'!AP23=SUM('Raw Data'!AK23:AO23),"",_xlfn.REGEXEXTRACT(CELL("address",AP23), "\$([A-Z]+)\$[0-9]+")))</f>
        <v/>
      </c>
    </row>
    <row r="24" spans="2:42" x14ac:dyDescent="0.25">
      <c r="B24" s="7"/>
      <c r="C24" s="7"/>
      <c r="D24" s="7"/>
      <c r="E24" s="7"/>
      <c r="F24" s="7"/>
      <c r="G24" s="7"/>
      <c r="H24" s="7"/>
      <c r="I24" s="7"/>
      <c r="J24" s="7" t="str" cm="1">
        <f t="array" aca="1" ref="J24" ca="1">IF(OR('Raw Data'!J24="",LEN(TRIM('Raw Data'!J24))=0,Validate_Empty!J24&lt;&gt;"",Validate_Value!J24&lt;&gt;""),"",IF('Raw Data'!J24=SUM('Raw Data'!K24:N24),"",_xlfn.REGEXEXTRACT(CELL("address",J24), "\$([A-Z]+)\$[0-9]+")))</f>
        <v/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 t="str" cm="1">
        <f t="array" aca="1" ref="Z24" ca="1">IF(OR('Raw Data'!Z24="",LEN(TRIM('Raw Data'!Z24))=0,Validate_Empty!Z24&lt;&gt;"",Validate_Value!Z24&lt;&gt;""),"",IF('Raw Data'!Z24=SUM('Raw Data'!T24:Y24),"",_xlfn.REGEXEXTRACT(CELL("address",Z24), "\$([A-Z]+)\$[0-9]+")))</f>
        <v/>
      </c>
      <c r="AA24" s="7"/>
      <c r="AB24" s="7"/>
      <c r="AC24" s="7"/>
      <c r="AD24" s="7"/>
      <c r="AE24" s="7"/>
      <c r="AF24" s="7"/>
      <c r="AG24" s="7" t="str" cm="1">
        <f t="array" aca="1" ref="AG24" ca="1">IF(OR('Raw Data'!AG24="",LEN(TRIM('Raw Data'!AG24))=0,Validate_Empty!AG24&lt;&gt;"",Validate_Value!AG24&lt;&gt;""),"",IF('Raw Data'!AG24=SUM('Raw Data'!AA24:AF24),"",_xlfn.REGEXEXTRACT(CELL("address",AG24), "\$([A-Z]+)\$[0-9]+")))</f>
        <v/>
      </c>
      <c r="AH24" s="7" t="str" cm="1">
        <f t="array" aca="1" ref="AH24" ca="1">IF(OR('Raw Data'!AH24="",LEN(TRIM('Raw Data'!AH24))=0,Validate_Empty!AH24&lt;&gt;"",Validate_Value!AH24&lt;&gt;""),"",IF(Configuration!$G$2 = Configuration!$I$2,"",_xlfn.REGEXEXTRACT(CELL("address",AH24), "\$([A-Z]+)\$[0-9]+")))</f>
        <v/>
      </c>
      <c r="AI24" s="7" t="str" cm="1">
        <f t="array" aca="1" ref="AI24" ca="1">IF(OR('Raw Data'!AI24="",LEN(TRIM('Raw Data'!AI24))=0,Validate_Empty!AI24&lt;&gt;"",Validate_Value!AI24&lt;&gt;""),"",IF(Configuration!$H$2 = Configuration!$J$2,"",_xlfn.REGEXEXTRACT(CELL("address",AI24), "\$([A-Z]+)\$[0-9]+")))</f>
        <v/>
      </c>
      <c r="AJ24" s="7"/>
      <c r="AK24" s="7"/>
      <c r="AL24" s="7"/>
      <c r="AM24" s="7"/>
      <c r="AN24" s="7"/>
      <c r="AO24" s="7"/>
      <c r="AP24" s="7" t="str" cm="1">
        <f t="array" aca="1" ref="AP24" ca="1">IF(OR('Raw Data'!AP24="",LEN(TRIM('Raw Data'!AP24))=0,Validate_Empty!AP24&lt;&gt;"",Validate_Value!AP24&lt;&gt;""),"",IF('Raw Data'!AP24=SUM('Raw Data'!AK24:AO24),"",_xlfn.REGEXEXTRACT(CELL("address",AP24), "\$([A-Z]+)\$[0-9]+")))</f>
        <v/>
      </c>
    </row>
    <row r="25" spans="2:42" x14ac:dyDescent="0.25">
      <c r="B25" s="7"/>
      <c r="C25" s="7"/>
      <c r="D25" s="7"/>
      <c r="E25" s="7"/>
      <c r="F25" s="7"/>
      <c r="G25" s="7"/>
      <c r="H25" s="7"/>
      <c r="I25" s="7"/>
      <c r="J25" s="7" t="str" cm="1">
        <f t="array" aca="1" ref="J25" ca="1">IF(OR('Raw Data'!J25="",LEN(TRIM('Raw Data'!J25))=0,Validate_Empty!J25&lt;&gt;"",Validate_Value!J25&lt;&gt;""),"",IF('Raw Data'!J25=SUM('Raw Data'!K25:N25),"",_xlfn.REGEXEXTRACT(CELL("address",J25), "\$([A-Z]+)\$[0-9]+")))</f>
        <v/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 t="str" cm="1">
        <f t="array" aca="1" ref="Z25" ca="1">IF(OR('Raw Data'!Z25="",LEN(TRIM('Raw Data'!Z25))=0,Validate_Empty!Z25&lt;&gt;"",Validate_Value!Z25&lt;&gt;""),"",IF('Raw Data'!Z25=SUM('Raw Data'!T25:Y25),"",_xlfn.REGEXEXTRACT(CELL("address",Z25), "\$([A-Z]+)\$[0-9]+")))</f>
        <v/>
      </c>
      <c r="AA25" s="7"/>
      <c r="AB25" s="7"/>
      <c r="AC25" s="7"/>
      <c r="AD25" s="7"/>
      <c r="AE25" s="7"/>
      <c r="AF25" s="7"/>
      <c r="AG25" s="7" t="str" cm="1">
        <f t="array" aca="1" ref="AG25" ca="1">IF(OR('Raw Data'!AG25="",LEN(TRIM('Raw Data'!AG25))=0,Validate_Empty!AG25&lt;&gt;"",Validate_Value!AG25&lt;&gt;""),"",IF('Raw Data'!AG25=SUM('Raw Data'!AA25:AF25),"",_xlfn.REGEXEXTRACT(CELL("address",AG25), "\$([A-Z]+)\$[0-9]+")))</f>
        <v/>
      </c>
      <c r="AH25" s="7" t="str" cm="1">
        <f t="array" aca="1" ref="AH25" ca="1">IF(OR('Raw Data'!AH25="",LEN(TRIM('Raw Data'!AH25))=0,Validate_Empty!AH25&lt;&gt;"",Validate_Value!AH25&lt;&gt;""),"",IF(Configuration!$G$2 = Configuration!$I$2,"",_xlfn.REGEXEXTRACT(CELL("address",AH25), "\$([A-Z]+)\$[0-9]+")))</f>
        <v/>
      </c>
      <c r="AI25" s="7" t="str" cm="1">
        <f t="array" aca="1" ref="AI25" ca="1">IF(OR('Raw Data'!AI25="",LEN(TRIM('Raw Data'!AI25))=0,Validate_Empty!AI25&lt;&gt;"",Validate_Value!AI25&lt;&gt;""),"",IF(Configuration!$H$2 = Configuration!$J$2,"",_xlfn.REGEXEXTRACT(CELL("address",AI25), "\$([A-Z]+)\$[0-9]+")))</f>
        <v/>
      </c>
      <c r="AJ25" s="7"/>
      <c r="AK25" s="7"/>
      <c r="AL25" s="7"/>
      <c r="AM25" s="7"/>
      <c r="AN25" s="7"/>
      <c r="AO25" s="7"/>
      <c r="AP25" s="7" t="str" cm="1">
        <f t="array" aca="1" ref="AP25" ca="1">IF(OR('Raw Data'!AP25="",LEN(TRIM('Raw Data'!AP25))=0,Validate_Empty!AP25&lt;&gt;"",Validate_Value!AP25&lt;&gt;""),"",IF('Raw Data'!AP25=SUM('Raw Data'!AK25:AO25),"",_xlfn.REGEXEXTRACT(CELL("address",AP25), "\$([A-Z]+)\$[0-9]+")))</f>
        <v/>
      </c>
    </row>
    <row r="26" spans="2:42" x14ac:dyDescent="0.25">
      <c r="B26" s="7"/>
      <c r="C26" s="7"/>
      <c r="D26" s="7"/>
      <c r="E26" s="7"/>
      <c r="F26" s="7"/>
      <c r="G26" s="7"/>
      <c r="H26" s="7"/>
      <c r="I26" s="7"/>
      <c r="J26" s="7" t="str" cm="1">
        <f t="array" aca="1" ref="J26" ca="1">IF(OR('Raw Data'!J26="",LEN(TRIM('Raw Data'!J26))=0,Validate_Empty!J26&lt;&gt;"",Validate_Value!J26&lt;&gt;""),"",IF('Raw Data'!J26=SUM('Raw Data'!K26:N26),"",_xlfn.REGEXEXTRACT(CELL("address",J26), "\$([A-Z]+)\$[0-9]+")))</f>
        <v/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 t="str" cm="1">
        <f t="array" aca="1" ref="Z26" ca="1">IF(OR('Raw Data'!Z26="",LEN(TRIM('Raw Data'!Z26))=0,Validate_Empty!Z26&lt;&gt;"",Validate_Value!Z26&lt;&gt;""),"",IF('Raw Data'!Z26=SUM('Raw Data'!T26:Y26),"",_xlfn.REGEXEXTRACT(CELL("address",Z26), "\$([A-Z]+)\$[0-9]+")))</f>
        <v/>
      </c>
      <c r="AA26" s="7"/>
      <c r="AB26" s="7"/>
      <c r="AC26" s="7"/>
      <c r="AD26" s="7"/>
      <c r="AE26" s="7"/>
      <c r="AF26" s="7"/>
      <c r="AG26" s="7" t="str" cm="1">
        <f t="array" aca="1" ref="AG26" ca="1">IF(OR('Raw Data'!AG26="",LEN(TRIM('Raw Data'!AG26))=0,Validate_Empty!AG26&lt;&gt;"",Validate_Value!AG26&lt;&gt;""),"",IF('Raw Data'!AG26=SUM('Raw Data'!AA26:AF26),"",_xlfn.REGEXEXTRACT(CELL("address",AG26), "\$([A-Z]+)\$[0-9]+")))</f>
        <v/>
      </c>
      <c r="AH26" s="7" t="str" cm="1">
        <f t="array" aca="1" ref="AH26" ca="1">IF(OR('Raw Data'!AH26="",LEN(TRIM('Raw Data'!AH26))=0,Validate_Empty!AH26&lt;&gt;"",Validate_Value!AH26&lt;&gt;""),"",IF(Configuration!$G$2 = Configuration!$I$2,"",_xlfn.REGEXEXTRACT(CELL("address",AH26), "\$([A-Z]+)\$[0-9]+")))</f>
        <v/>
      </c>
      <c r="AI26" s="7" t="str" cm="1">
        <f t="array" aca="1" ref="AI26" ca="1">IF(OR('Raw Data'!AI26="",LEN(TRIM('Raw Data'!AI26))=0,Validate_Empty!AI26&lt;&gt;"",Validate_Value!AI26&lt;&gt;""),"",IF(Configuration!$H$2 = Configuration!$J$2,"",_xlfn.REGEXEXTRACT(CELL("address",AI26), "\$([A-Z]+)\$[0-9]+")))</f>
        <v/>
      </c>
      <c r="AJ26" s="7"/>
      <c r="AK26" s="7"/>
      <c r="AL26" s="7"/>
      <c r="AM26" s="7"/>
      <c r="AN26" s="7"/>
      <c r="AO26" s="7"/>
      <c r="AP26" s="7" t="str" cm="1">
        <f t="array" aca="1" ref="AP26" ca="1">IF(OR('Raw Data'!AP26="",LEN(TRIM('Raw Data'!AP26))=0,Validate_Empty!AP26&lt;&gt;"",Validate_Value!AP26&lt;&gt;""),"",IF('Raw Data'!AP26=SUM('Raw Data'!AK26:AO26),"",_xlfn.REGEXEXTRACT(CELL("address",AP26), "\$([A-Z]+)\$[0-9]+")))</f>
        <v/>
      </c>
    </row>
    <row r="27" spans="2:42" x14ac:dyDescent="0.25">
      <c r="B27" s="7"/>
      <c r="C27" s="7"/>
      <c r="D27" s="7"/>
      <c r="E27" s="7"/>
      <c r="F27" s="7"/>
      <c r="G27" s="7"/>
      <c r="H27" s="7"/>
      <c r="I27" s="7"/>
      <c r="J27" s="7" t="str" cm="1">
        <f t="array" aca="1" ref="J27" ca="1">IF(OR('Raw Data'!J27="",LEN(TRIM('Raw Data'!J27))=0,Validate_Empty!J27&lt;&gt;"",Validate_Value!J27&lt;&gt;""),"",IF('Raw Data'!J27=SUM('Raw Data'!K27:N27),"",_xlfn.REGEXEXTRACT(CELL("address",J27), "\$([A-Z]+)\$[0-9]+")))</f>
        <v/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 t="str" cm="1">
        <f t="array" aca="1" ref="Z27" ca="1">IF(OR('Raw Data'!Z27="",LEN(TRIM('Raw Data'!Z27))=0,Validate_Empty!Z27&lt;&gt;"",Validate_Value!Z27&lt;&gt;""),"",IF('Raw Data'!Z27=SUM('Raw Data'!T27:Y27),"",_xlfn.REGEXEXTRACT(CELL("address",Z27), "\$([A-Z]+)\$[0-9]+")))</f>
        <v/>
      </c>
      <c r="AA27" s="7"/>
      <c r="AB27" s="7"/>
      <c r="AC27" s="7"/>
      <c r="AD27" s="7"/>
      <c r="AE27" s="7"/>
      <c r="AF27" s="7"/>
      <c r="AG27" s="7" t="str" cm="1">
        <f t="array" aca="1" ref="AG27" ca="1">IF(OR('Raw Data'!AG27="",LEN(TRIM('Raw Data'!AG27))=0,Validate_Empty!AG27&lt;&gt;"",Validate_Value!AG27&lt;&gt;""),"",IF('Raw Data'!AG27=SUM('Raw Data'!AA27:AF27),"",_xlfn.REGEXEXTRACT(CELL("address",AG27), "\$([A-Z]+)\$[0-9]+")))</f>
        <v/>
      </c>
      <c r="AH27" s="7" t="str" cm="1">
        <f t="array" aca="1" ref="AH27" ca="1">IF(OR('Raw Data'!AH27="",LEN(TRIM('Raw Data'!AH27))=0,Validate_Empty!AH27&lt;&gt;"",Validate_Value!AH27&lt;&gt;""),"",IF(Configuration!$G$2 = Configuration!$I$2,"",_xlfn.REGEXEXTRACT(CELL("address",AH27), "\$([A-Z]+)\$[0-9]+")))</f>
        <v/>
      </c>
      <c r="AI27" s="7" t="str" cm="1">
        <f t="array" aca="1" ref="AI27" ca="1">IF(OR('Raw Data'!AI27="",LEN(TRIM('Raw Data'!AI27))=0,Validate_Empty!AI27&lt;&gt;"",Validate_Value!AI27&lt;&gt;""),"",IF(Configuration!$H$2 = Configuration!$J$2,"",_xlfn.REGEXEXTRACT(CELL("address",AI27), "\$([A-Z]+)\$[0-9]+")))</f>
        <v/>
      </c>
      <c r="AJ27" s="7"/>
      <c r="AK27" s="7"/>
      <c r="AL27" s="7"/>
      <c r="AM27" s="7"/>
      <c r="AN27" s="7"/>
      <c r="AO27" s="7"/>
      <c r="AP27" s="7" t="str" cm="1">
        <f t="array" aca="1" ref="AP27" ca="1">IF(OR('Raw Data'!AP27="",LEN(TRIM('Raw Data'!AP27))=0,Validate_Empty!AP27&lt;&gt;"",Validate_Value!AP27&lt;&gt;""),"",IF('Raw Data'!AP27=SUM('Raw Data'!AK27:AO27),"",_xlfn.REGEXEXTRACT(CELL("address",AP27), "\$([A-Z]+)\$[0-9]+")))</f>
        <v/>
      </c>
    </row>
    <row r="28" spans="2:42" x14ac:dyDescent="0.25">
      <c r="B28" s="7"/>
      <c r="C28" s="7"/>
      <c r="D28" s="7"/>
      <c r="E28" s="7"/>
      <c r="F28" s="7"/>
      <c r="G28" s="7"/>
      <c r="H28" s="7"/>
      <c r="I28" s="7"/>
      <c r="J28" s="7" t="str" cm="1">
        <f t="array" aca="1" ref="J28" ca="1">IF(OR('Raw Data'!J28="",LEN(TRIM('Raw Data'!J28))=0,Validate_Empty!J28&lt;&gt;"",Validate_Value!J28&lt;&gt;""),"",IF('Raw Data'!J28=SUM('Raw Data'!K28:N28),"",_xlfn.REGEXEXTRACT(CELL("address",J28), "\$([A-Z]+)\$[0-9]+")))</f>
        <v/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 t="str" cm="1">
        <f t="array" aca="1" ref="Z28" ca="1">IF(OR('Raw Data'!Z28="",LEN(TRIM('Raw Data'!Z28))=0,Validate_Empty!Z28&lt;&gt;"",Validate_Value!Z28&lt;&gt;""),"",IF('Raw Data'!Z28=SUM('Raw Data'!T28:Y28),"",_xlfn.REGEXEXTRACT(CELL("address",Z28), "\$([A-Z]+)\$[0-9]+")))</f>
        <v/>
      </c>
      <c r="AA28" s="7"/>
      <c r="AB28" s="7"/>
      <c r="AC28" s="7"/>
      <c r="AD28" s="7"/>
      <c r="AE28" s="7"/>
      <c r="AF28" s="7"/>
      <c r="AG28" s="7" t="str" cm="1">
        <f t="array" aca="1" ref="AG28" ca="1">IF(OR('Raw Data'!AG28="",LEN(TRIM('Raw Data'!AG28))=0,Validate_Empty!AG28&lt;&gt;"",Validate_Value!AG28&lt;&gt;""),"",IF('Raw Data'!AG28=SUM('Raw Data'!AA28:AF28),"",_xlfn.REGEXEXTRACT(CELL("address",AG28), "\$([A-Z]+)\$[0-9]+")))</f>
        <v/>
      </c>
      <c r="AH28" s="7" t="str" cm="1">
        <f t="array" aca="1" ref="AH28" ca="1">IF(OR('Raw Data'!AH28="",LEN(TRIM('Raw Data'!AH28))=0,Validate_Empty!AH28&lt;&gt;"",Validate_Value!AH28&lt;&gt;""),"",IF(Configuration!$G$2 = Configuration!$I$2,"",_xlfn.REGEXEXTRACT(CELL("address",AH28), "\$([A-Z]+)\$[0-9]+")))</f>
        <v/>
      </c>
      <c r="AI28" s="7" t="str" cm="1">
        <f t="array" aca="1" ref="AI28" ca="1">IF(OR('Raw Data'!AI28="",LEN(TRIM('Raw Data'!AI28))=0,Validate_Empty!AI28&lt;&gt;"",Validate_Value!AI28&lt;&gt;""),"",IF(Configuration!$H$2 = Configuration!$J$2,"",_xlfn.REGEXEXTRACT(CELL("address",AI28), "\$([A-Z]+)\$[0-9]+")))</f>
        <v/>
      </c>
      <c r="AJ28" s="7"/>
      <c r="AK28" s="7"/>
      <c r="AL28" s="7"/>
      <c r="AM28" s="7"/>
      <c r="AN28" s="7"/>
      <c r="AO28" s="7"/>
      <c r="AP28" s="7" t="str" cm="1">
        <f t="array" aca="1" ref="AP28" ca="1">IF(OR('Raw Data'!AP28="",LEN(TRIM('Raw Data'!AP28))=0,Validate_Empty!AP28&lt;&gt;"",Validate_Value!AP28&lt;&gt;""),"",IF('Raw Data'!AP28=SUM('Raw Data'!AK28:AO28),"",_xlfn.REGEXEXTRACT(CELL("address",AP28), "\$([A-Z]+)\$[0-9]+")))</f>
        <v/>
      </c>
    </row>
    <row r="29" spans="2:42" x14ac:dyDescent="0.25">
      <c r="B29" s="7"/>
      <c r="C29" s="7"/>
      <c r="D29" s="7"/>
      <c r="E29" s="7"/>
      <c r="F29" s="7"/>
      <c r="G29" s="7"/>
      <c r="H29" s="7"/>
      <c r="I29" s="7"/>
      <c r="J29" s="7" t="str" cm="1">
        <f t="array" aca="1" ref="J29" ca="1">IF(OR('Raw Data'!J29="",LEN(TRIM('Raw Data'!J29))=0,Validate_Empty!J29&lt;&gt;"",Validate_Value!J29&lt;&gt;""),"",IF('Raw Data'!J29=SUM('Raw Data'!K29:N29),"",_xlfn.REGEXEXTRACT(CELL("address",J29), "\$([A-Z]+)\$[0-9]+")))</f>
        <v/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 t="str" cm="1">
        <f t="array" aca="1" ref="Z29" ca="1">IF(OR('Raw Data'!Z29="",LEN(TRIM('Raw Data'!Z29))=0,Validate_Empty!Z29&lt;&gt;"",Validate_Value!Z29&lt;&gt;""),"",IF('Raw Data'!Z29=SUM('Raw Data'!T29:Y29),"",_xlfn.REGEXEXTRACT(CELL("address",Z29), "\$([A-Z]+)\$[0-9]+")))</f>
        <v/>
      </c>
      <c r="AA29" s="7"/>
      <c r="AB29" s="7"/>
      <c r="AC29" s="7"/>
      <c r="AD29" s="7"/>
      <c r="AE29" s="7"/>
      <c r="AF29" s="7"/>
      <c r="AG29" s="7" t="str" cm="1">
        <f t="array" aca="1" ref="AG29" ca="1">IF(OR('Raw Data'!AG29="",LEN(TRIM('Raw Data'!AG29))=0,Validate_Empty!AG29&lt;&gt;"",Validate_Value!AG29&lt;&gt;""),"",IF('Raw Data'!AG29=SUM('Raw Data'!AA29:AF29),"",_xlfn.REGEXEXTRACT(CELL("address",AG29), "\$([A-Z]+)\$[0-9]+")))</f>
        <v/>
      </c>
      <c r="AH29" s="7" t="str" cm="1">
        <f t="array" aca="1" ref="AH29" ca="1">IF(OR('Raw Data'!AH29="",LEN(TRIM('Raw Data'!AH29))=0,Validate_Empty!AH29&lt;&gt;"",Validate_Value!AH29&lt;&gt;""),"",IF(Configuration!$G$2 = Configuration!$I$2,"",_xlfn.REGEXEXTRACT(CELL("address",AH29), "\$([A-Z]+)\$[0-9]+")))</f>
        <v/>
      </c>
      <c r="AI29" s="7" t="str" cm="1">
        <f t="array" aca="1" ref="AI29" ca="1">IF(OR('Raw Data'!AI29="",LEN(TRIM('Raw Data'!AI29))=0,Validate_Empty!AI29&lt;&gt;"",Validate_Value!AI29&lt;&gt;""),"",IF(Configuration!$H$2 = Configuration!$J$2,"",_xlfn.REGEXEXTRACT(CELL("address",AI29), "\$([A-Z]+)\$[0-9]+")))</f>
        <v/>
      </c>
      <c r="AJ29" s="7"/>
      <c r="AK29" s="7"/>
      <c r="AL29" s="7"/>
      <c r="AM29" s="7"/>
      <c r="AN29" s="7"/>
      <c r="AO29" s="7"/>
      <c r="AP29" s="7" t="str" cm="1">
        <f t="array" aca="1" ref="AP29" ca="1">IF(OR('Raw Data'!AP29="",LEN(TRIM('Raw Data'!AP29))=0,Validate_Empty!AP29&lt;&gt;"",Validate_Value!AP29&lt;&gt;""),"",IF('Raw Data'!AP29=SUM('Raw Data'!AK29:AO29),"",_xlfn.REGEXEXTRACT(CELL("address",AP29), "\$([A-Z]+)\$[0-9]+")))</f>
        <v/>
      </c>
    </row>
    <row r="30" spans="2:42" x14ac:dyDescent="0.25">
      <c r="B30" s="7"/>
      <c r="C30" s="7"/>
      <c r="D30" s="7"/>
      <c r="E30" s="7"/>
      <c r="F30" s="7"/>
      <c r="G30" s="7"/>
      <c r="H30" s="7"/>
      <c r="I30" s="7"/>
      <c r="J30" s="7" t="str" cm="1">
        <f t="array" aca="1" ref="J30" ca="1">IF(OR('Raw Data'!J30="",LEN(TRIM('Raw Data'!J30))=0,Validate_Empty!J30&lt;&gt;"",Validate_Value!J30&lt;&gt;""),"",IF('Raw Data'!J30=SUM('Raw Data'!K30:N30),"",_xlfn.REGEXEXTRACT(CELL("address",J30), "\$([A-Z]+)\$[0-9]+")))</f>
        <v/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 t="str" cm="1">
        <f t="array" aca="1" ref="Z30" ca="1">IF(OR('Raw Data'!Z30="",LEN(TRIM('Raw Data'!Z30))=0,Validate_Empty!Z30&lt;&gt;"",Validate_Value!Z30&lt;&gt;""),"",IF('Raw Data'!Z30=SUM('Raw Data'!T30:Y30),"",_xlfn.REGEXEXTRACT(CELL("address",Z30), "\$([A-Z]+)\$[0-9]+")))</f>
        <v/>
      </c>
      <c r="AA30" s="7"/>
      <c r="AB30" s="7"/>
      <c r="AC30" s="7"/>
      <c r="AD30" s="7"/>
      <c r="AE30" s="7"/>
      <c r="AF30" s="7"/>
      <c r="AG30" s="7" t="str" cm="1">
        <f t="array" aca="1" ref="AG30" ca="1">IF(OR('Raw Data'!AG30="",LEN(TRIM('Raw Data'!AG30))=0,Validate_Empty!AG30&lt;&gt;"",Validate_Value!AG30&lt;&gt;""),"",IF('Raw Data'!AG30=SUM('Raw Data'!AA30:AF30),"",_xlfn.REGEXEXTRACT(CELL("address",AG30), "\$([A-Z]+)\$[0-9]+")))</f>
        <v/>
      </c>
      <c r="AH30" s="7" t="str" cm="1">
        <f t="array" aca="1" ref="AH30" ca="1">IF(OR('Raw Data'!AH30="",LEN(TRIM('Raw Data'!AH30))=0,Validate_Empty!AH30&lt;&gt;"",Validate_Value!AH30&lt;&gt;""),"",IF(Configuration!$G$2 = Configuration!$I$2,"",_xlfn.REGEXEXTRACT(CELL("address",AH30), "\$([A-Z]+)\$[0-9]+")))</f>
        <v/>
      </c>
      <c r="AI30" s="7" t="str" cm="1">
        <f t="array" aca="1" ref="AI30" ca="1">IF(OR('Raw Data'!AI30="",LEN(TRIM('Raw Data'!AI30))=0,Validate_Empty!AI30&lt;&gt;"",Validate_Value!AI30&lt;&gt;""),"",IF(Configuration!$H$2 = Configuration!$J$2,"",_xlfn.REGEXEXTRACT(CELL("address",AI30), "\$([A-Z]+)\$[0-9]+")))</f>
        <v/>
      </c>
      <c r="AJ30" s="7"/>
      <c r="AK30" s="7"/>
      <c r="AL30" s="7"/>
      <c r="AM30" s="7"/>
      <c r="AN30" s="7"/>
      <c r="AO30" s="7"/>
      <c r="AP30" s="7" t="str" cm="1">
        <f t="array" aca="1" ref="AP30" ca="1">IF(OR('Raw Data'!AP30="",LEN(TRIM('Raw Data'!AP30))=0,Validate_Empty!AP30&lt;&gt;"",Validate_Value!AP30&lt;&gt;""),"",IF('Raw Data'!AP30=SUM('Raw Data'!AK30:AO30),"",_xlfn.REGEXEXTRACT(CELL("address",AP30), "\$([A-Z]+)\$[0-9]+")))</f>
        <v/>
      </c>
    </row>
    <row r="31" spans="2:42" x14ac:dyDescent="0.25">
      <c r="B31" s="7"/>
      <c r="C31" s="7"/>
      <c r="D31" s="7"/>
      <c r="E31" s="7"/>
      <c r="F31" s="7"/>
      <c r="G31" s="7"/>
      <c r="H31" s="7"/>
      <c r="I31" s="7"/>
      <c r="J31" s="7" t="str" cm="1">
        <f t="array" aca="1" ref="J31" ca="1">IF(OR('Raw Data'!J31="",LEN(TRIM('Raw Data'!J31))=0,Validate_Empty!J31&lt;&gt;"",Validate_Value!J31&lt;&gt;""),"",IF('Raw Data'!J31=SUM('Raw Data'!K31:N31),"",_xlfn.REGEXEXTRACT(CELL("address",J31), "\$([A-Z]+)\$[0-9]+")))</f>
        <v/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 t="str" cm="1">
        <f t="array" aca="1" ref="Z31" ca="1">IF(OR('Raw Data'!Z31="",LEN(TRIM('Raw Data'!Z31))=0,Validate_Empty!Z31&lt;&gt;"",Validate_Value!Z31&lt;&gt;""),"",IF('Raw Data'!Z31=SUM('Raw Data'!T31:Y31),"",_xlfn.REGEXEXTRACT(CELL("address",Z31), "\$([A-Z]+)\$[0-9]+")))</f>
        <v/>
      </c>
      <c r="AA31" s="7"/>
      <c r="AB31" s="7"/>
      <c r="AC31" s="7"/>
      <c r="AD31" s="7"/>
      <c r="AE31" s="7"/>
      <c r="AF31" s="7"/>
      <c r="AG31" s="7" t="str" cm="1">
        <f t="array" aca="1" ref="AG31" ca="1">IF(OR('Raw Data'!AG31="",LEN(TRIM('Raw Data'!AG31))=0,Validate_Empty!AG31&lt;&gt;"",Validate_Value!AG31&lt;&gt;""),"",IF('Raw Data'!AG31=SUM('Raw Data'!AA31:AF31),"",_xlfn.REGEXEXTRACT(CELL("address",AG31), "\$([A-Z]+)\$[0-9]+")))</f>
        <v/>
      </c>
      <c r="AH31" s="7" t="str" cm="1">
        <f t="array" aca="1" ref="AH31" ca="1">IF(OR('Raw Data'!AH31="",LEN(TRIM('Raw Data'!AH31))=0,Validate_Empty!AH31&lt;&gt;"",Validate_Value!AH31&lt;&gt;""),"",IF(Configuration!$G$2 = Configuration!$I$2,"",_xlfn.REGEXEXTRACT(CELL("address",AH31), "\$([A-Z]+)\$[0-9]+")))</f>
        <v/>
      </c>
      <c r="AI31" s="7" t="str" cm="1">
        <f t="array" aca="1" ref="AI31" ca="1">IF(OR('Raw Data'!AI31="",LEN(TRIM('Raw Data'!AI31))=0,Validate_Empty!AI31&lt;&gt;"",Validate_Value!AI31&lt;&gt;""),"",IF(Configuration!$H$2 = Configuration!$J$2,"",_xlfn.REGEXEXTRACT(CELL("address",AI31), "\$([A-Z]+)\$[0-9]+")))</f>
        <v/>
      </c>
      <c r="AJ31" s="7"/>
      <c r="AK31" s="7"/>
      <c r="AL31" s="7"/>
      <c r="AM31" s="7"/>
      <c r="AN31" s="7"/>
      <c r="AO31" s="7"/>
      <c r="AP31" s="7" t="str" cm="1">
        <f t="array" aca="1" ref="AP31" ca="1">IF(OR('Raw Data'!AP31="",LEN(TRIM('Raw Data'!AP31))=0,Validate_Empty!AP31&lt;&gt;"",Validate_Value!AP31&lt;&gt;""),"",IF('Raw Data'!AP31=SUM('Raw Data'!AK31:AO31),"",_xlfn.REGEXEXTRACT(CELL("address",AP31), "\$([A-Z]+)\$[0-9]+")))</f>
        <v/>
      </c>
    </row>
    <row r="32" spans="2:42" x14ac:dyDescent="0.25">
      <c r="B32" s="7"/>
      <c r="C32" s="7"/>
      <c r="D32" s="7"/>
      <c r="E32" s="7"/>
      <c r="F32" s="7"/>
      <c r="G32" s="7"/>
      <c r="H32" s="7"/>
      <c r="I32" s="7"/>
      <c r="J32" s="7" t="str" cm="1">
        <f t="array" aca="1" ref="J32" ca="1">IF(OR('Raw Data'!J32="",LEN(TRIM('Raw Data'!J32))=0,Validate_Empty!J32&lt;&gt;"",Validate_Value!J32&lt;&gt;""),"",IF('Raw Data'!J32=SUM('Raw Data'!K32:N32),"",_xlfn.REGEXEXTRACT(CELL("address",J32), "\$([A-Z]+)\$[0-9]+")))</f>
        <v/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 t="str" cm="1">
        <f t="array" aca="1" ref="Z32" ca="1">IF(OR('Raw Data'!Z32="",LEN(TRIM('Raw Data'!Z32))=0,Validate_Empty!Z32&lt;&gt;"",Validate_Value!Z32&lt;&gt;""),"",IF('Raw Data'!Z32=SUM('Raw Data'!T32:Y32),"",_xlfn.REGEXEXTRACT(CELL("address",Z32), "\$([A-Z]+)\$[0-9]+")))</f>
        <v/>
      </c>
      <c r="AA32" s="7"/>
      <c r="AB32" s="7"/>
      <c r="AC32" s="7"/>
      <c r="AD32" s="7"/>
      <c r="AE32" s="7"/>
      <c r="AF32" s="7"/>
      <c r="AG32" s="7" t="str" cm="1">
        <f t="array" aca="1" ref="AG32" ca="1">IF(OR('Raw Data'!AG32="",LEN(TRIM('Raw Data'!AG32))=0,Validate_Empty!AG32&lt;&gt;"",Validate_Value!AG32&lt;&gt;""),"",IF('Raw Data'!AG32=SUM('Raw Data'!AA32:AF32),"",_xlfn.REGEXEXTRACT(CELL("address",AG32), "\$([A-Z]+)\$[0-9]+")))</f>
        <v/>
      </c>
      <c r="AH32" s="7" t="str" cm="1">
        <f t="array" aca="1" ref="AH32" ca="1">IF(OR('Raw Data'!AH32="",LEN(TRIM('Raw Data'!AH32))=0,Validate_Empty!AH32&lt;&gt;"",Validate_Value!AH32&lt;&gt;""),"",IF(Configuration!$G$2 = Configuration!$I$2,"",_xlfn.REGEXEXTRACT(CELL("address",AH32), "\$([A-Z]+)\$[0-9]+")))</f>
        <v/>
      </c>
      <c r="AI32" s="7" t="str" cm="1">
        <f t="array" aca="1" ref="AI32" ca="1">IF(OR('Raw Data'!AI32="",LEN(TRIM('Raw Data'!AI32))=0,Validate_Empty!AI32&lt;&gt;"",Validate_Value!AI32&lt;&gt;""),"",IF(Configuration!$H$2 = Configuration!$J$2,"",_xlfn.REGEXEXTRACT(CELL("address",AI32), "\$([A-Z]+)\$[0-9]+")))</f>
        <v/>
      </c>
      <c r="AJ32" s="7"/>
      <c r="AK32" s="7"/>
      <c r="AL32" s="7"/>
      <c r="AM32" s="7"/>
      <c r="AN32" s="7"/>
      <c r="AO32" s="7"/>
      <c r="AP32" s="7" t="str" cm="1">
        <f t="array" aca="1" ref="AP32" ca="1">IF(OR('Raw Data'!AP32="",LEN(TRIM('Raw Data'!AP32))=0,Validate_Empty!AP32&lt;&gt;"",Validate_Value!AP32&lt;&gt;""),"",IF('Raw Data'!AP32=SUM('Raw Data'!AK32:AO32),"",_xlfn.REGEXEXTRACT(CELL("address",AP32), "\$([A-Z]+)\$[0-9]+")))</f>
        <v/>
      </c>
    </row>
    <row r="33" spans="2:42" x14ac:dyDescent="0.25">
      <c r="B33" s="7"/>
      <c r="C33" s="7"/>
      <c r="D33" s="7"/>
      <c r="E33" s="7"/>
      <c r="F33" s="7"/>
      <c r="G33" s="7"/>
      <c r="H33" s="7"/>
      <c r="I33" s="7"/>
      <c r="J33" s="7" t="str" cm="1">
        <f t="array" aca="1" ref="J33" ca="1">IF(OR('Raw Data'!J33="",LEN(TRIM('Raw Data'!J33))=0,Validate_Empty!J33&lt;&gt;"",Validate_Value!J33&lt;&gt;""),"",IF('Raw Data'!J33=SUM('Raw Data'!K33:N33),"",_xlfn.REGEXEXTRACT(CELL("address",J33), "\$([A-Z]+)\$[0-9]+")))</f>
        <v/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 t="str" cm="1">
        <f t="array" aca="1" ref="Z33" ca="1">IF(OR('Raw Data'!Z33="",LEN(TRIM('Raw Data'!Z33))=0,Validate_Empty!Z33&lt;&gt;"",Validate_Value!Z33&lt;&gt;""),"",IF('Raw Data'!Z33=SUM('Raw Data'!T33:Y33),"",_xlfn.REGEXEXTRACT(CELL("address",Z33), "\$([A-Z]+)\$[0-9]+")))</f>
        <v/>
      </c>
      <c r="AA33" s="7"/>
      <c r="AB33" s="7"/>
      <c r="AC33" s="7"/>
      <c r="AD33" s="7"/>
      <c r="AE33" s="7"/>
      <c r="AF33" s="7"/>
      <c r="AG33" s="7" t="str" cm="1">
        <f t="array" aca="1" ref="AG33" ca="1">IF(OR('Raw Data'!AG33="",LEN(TRIM('Raw Data'!AG33))=0,Validate_Empty!AG33&lt;&gt;"",Validate_Value!AG33&lt;&gt;""),"",IF('Raw Data'!AG33=SUM('Raw Data'!AA33:AF33),"",_xlfn.REGEXEXTRACT(CELL("address",AG33), "\$([A-Z]+)\$[0-9]+")))</f>
        <v/>
      </c>
      <c r="AH33" s="7" t="str" cm="1">
        <f t="array" aca="1" ref="AH33" ca="1">IF(OR('Raw Data'!AH33="",LEN(TRIM('Raw Data'!AH33))=0,Validate_Empty!AH33&lt;&gt;"",Validate_Value!AH33&lt;&gt;""),"",IF(Configuration!$G$2 = Configuration!$I$2,"",_xlfn.REGEXEXTRACT(CELL("address",AH33), "\$([A-Z]+)\$[0-9]+")))</f>
        <v/>
      </c>
      <c r="AI33" s="7" t="str" cm="1">
        <f t="array" aca="1" ref="AI33" ca="1">IF(OR('Raw Data'!AI33="",LEN(TRIM('Raw Data'!AI33))=0,Validate_Empty!AI33&lt;&gt;"",Validate_Value!AI33&lt;&gt;""),"",IF(Configuration!$H$2 = Configuration!$J$2,"",_xlfn.REGEXEXTRACT(CELL("address",AI33), "\$([A-Z]+)\$[0-9]+")))</f>
        <v/>
      </c>
      <c r="AJ33" s="7"/>
      <c r="AK33" s="7"/>
      <c r="AL33" s="7"/>
      <c r="AM33" s="7"/>
      <c r="AN33" s="7"/>
      <c r="AO33" s="7"/>
      <c r="AP33" s="7" t="str" cm="1">
        <f t="array" aca="1" ref="AP33" ca="1">IF(OR('Raw Data'!AP33="",LEN(TRIM('Raw Data'!AP33))=0,Validate_Empty!AP33&lt;&gt;"",Validate_Value!AP33&lt;&gt;""),"",IF('Raw Data'!AP33=SUM('Raw Data'!AK33:AO33),"",_xlfn.REGEXEXTRACT(CELL("address",AP33), "\$([A-Z]+)\$[0-9]+")))</f>
        <v/>
      </c>
    </row>
    <row r="34" spans="2:42" x14ac:dyDescent="0.25">
      <c r="B34" s="7"/>
      <c r="C34" s="7"/>
      <c r="D34" s="7"/>
      <c r="E34" s="7"/>
      <c r="F34" s="7"/>
      <c r="G34" s="7"/>
      <c r="H34" s="7"/>
      <c r="I34" s="7"/>
      <c r="J34" s="7" t="str" cm="1">
        <f t="array" aca="1" ref="J34" ca="1">IF(OR('Raw Data'!J34="",LEN(TRIM('Raw Data'!J34))=0,Validate_Empty!J34&lt;&gt;"",Validate_Value!J34&lt;&gt;""),"",IF('Raw Data'!J34=SUM('Raw Data'!K34:N34),"",_xlfn.REGEXEXTRACT(CELL("address",J34), "\$([A-Z]+)\$[0-9]+")))</f>
        <v/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 t="str" cm="1">
        <f t="array" aca="1" ref="Z34" ca="1">IF(OR('Raw Data'!Z34="",LEN(TRIM('Raw Data'!Z34))=0,Validate_Empty!Z34&lt;&gt;"",Validate_Value!Z34&lt;&gt;""),"",IF('Raw Data'!Z34=SUM('Raw Data'!T34:Y34),"",_xlfn.REGEXEXTRACT(CELL("address",Z34), "\$([A-Z]+)\$[0-9]+")))</f>
        <v/>
      </c>
      <c r="AA34" s="7"/>
      <c r="AB34" s="7"/>
      <c r="AC34" s="7"/>
      <c r="AD34" s="7"/>
      <c r="AE34" s="7"/>
      <c r="AF34" s="7"/>
      <c r="AG34" s="7" t="str" cm="1">
        <f t="array" aca="1" ref="AG34" ca="1">IF(OR('Raw Data'!AG34="",LEN(TRIM('Raw Data'!AG34))=0,Validate_Empty!AG34&lt;&gt;"",Validate_Value!AG34&lt;&gt;""),"",IF('Raw Data'!AG34=SUM('Raw Data'!AA34:AF34),"",_xlfn.REGEXEXTRACT(CELL("address",AG34), "\$([A-Z]+)\$[0-9]+")))</f>
        <v/>
      </c>
      <c r="AH34" s="7" t="str" cm="1">
        <f t="array" aca="1" ref="AH34" ca="1">IF(OR('Raw Data'!AH34="",LEN(TRIM('Raw Data'!AH34))=0,Validate_Empty!AH34&lt;&gt;"",Validate_Value!AH34&lt;&gt;""),"",IF(Configuration!$G$2 = Configuration!$I$2,"",_xlfn.REGEXEXTRACT(CELL("address",AH34), "\$([A-Z]+)\$[0-9]+")))</f>
        <v/>
      </c>
      <c r="AI34" s="7" t="str" cm="1">
        <f t="array" aca="1" ref="AI34" ca="1">IF(OR('Raw Data'!AI34="",LEN(TRIM('Raw Data'!AI34))=0,Validate_Empty!AI34&lt;&gt;"",Validate_Value!AI34&lt;&gt;""),"",IF(Configuration!$H$2 = Configuration!$J$2,"",_xlfn.REGEXEXTRACT(CELL("address",AI34), "\$([A-Z]+)\$[0-9]+")))</f>
        <v/>
      </c>
      <c r="AJ34" s="7"/>
      <c r="AK34" s="7"/>
      <c r="AL34" s="7"/>
      <c r="AM34" s="7"/>
      <c r="AN34" s="7"/>
      <c r="AO34" s="7"/>
      <c r="AP34" s="7" t="str" cm="1">
        <f t="array" aca="1" ref="AP34" ca="1">IF(OR('Raw Data'!AP34="",LEN(TRIM('Raw Data'!AP34))=0,Validate_Empty!AP34&lt;&gt;"",Validate_Value!AP34&lt;&gt;""),"",IF('Raw Data'!AP34=SUM('Raw Data'!AK34:AO34),"",_xlfn.REGEXEXTRACT(CELL("address",AP34), "\$([A-Z]+)\$[0-9]+")))</f>
        <v/>
      </c>
    </row>
    <row r="35" spans="2:42" x14ac:dyDescent="0.25">
      <c r="B35" s="7"/>
      <c r="C35" s="7"/>
      <c r="D35" s="7"/>
      <c r="E35" s="7"/>
      <c r="F35" s="7"/>
      <c r="G35" s="7"/>
      <c r="H35" s="7"/>
      <c r="I35" s="7"/>
      <c r="J35" s="7" t="str" cm="1">
        <f t="array" aca="1" ref="J35" ca="1">IF(OR('Raw Data'!J35="",LEN(TRIM('Raw Data'!J35))=0,Validate_Empty!J35&lt;&gt;"",Validate_Value!J35&lt;&gt;""),"",IF('Raw Data'!J35=SUM('Raw Data'!K35:N35),"",_xlfn.REGEXEXTRACT(CELL("address",J35), "\$([A-Z]+)\$[0-9]+")))</f>
        <v/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 t="str" cm="1">
        <f t="array" aca="1" ref="Z35" ca="1">IF(OR('Raw Data'!Z35="",LEN(TRIM('Raw Data'!Z35))=0,Validate_Empty!Z35&lt;&gt;"",Validate_Value!Z35&lt;&gt;""),"",IF('Raw Data'!Z35=SUM('Raw Data'!T35:Y35),"",_xlfn.REGEXEXTRACT(CELL("address",Z35), "\$([A-Z]+)\$[0-9]+")))</f>
        <v/>
      </c>
      <c r="AA35" s="7"/>
      <c r="AB35" s="7"/>
      <c r="AC35" s="7"/>
      <c r="AD35" s="7"/>
      <c r="AE35" s="7"/>
      <c r="AF35" s="7"/>
      <c r="AG35" s="7" t="str" cm="1">
        <f t="array" aca="1" ref="AG35" ca="1">IF(OR('Raw Data'!AG35="",LEN(TRIM('Raw Data'!AG35))=0,Validate_Empty!AG35&lt;&gt;"",Validate_Value!AG35&lt;&gt;""),"",IF('Raw Data'!AG35=SUM('Raw Data'!AA35:AF35),"",_xlfn.REGEXEXTRACT(CELL("address",AG35), "\$([A-Z]+)\$[0-9]+")))</f>
        <v/>
      </c>
      <c r="AH35" s="7" t="str" cm="1">
        <f t="array" aca="1" ref="AH35" ca="1">IF(OR('Raw Data'!AH35="",LEN(TRIM('Raw Data'!AH35))=0,Validate_Empty!AH35&lt;&gt;"",Validate_Value!AH35&lt;&gt;""),"",IF(Configuration!$G$2 = Configuration!$I$2,"",_xlfn.REGEXEXTRACT(CELL("address",AH35), "\$([A-Z]+)\$[0-9]+")))</f>
        <v/>
      </c>
      <c r="AI35" s="7" t="str" cm="1">
        <f t="array" aca="1" ref="AI35" ca="1">IF(OR('Raw Data'!AI35="",LEN(TRIM('Raw Data'!AI35))=0,Validate_Empty!AI35&lt;&gt;"",Validate_Value!AI35&lt;&gt;""),"",IF(Configuration!$H$2 = Configuration!$J$2,"",_xlfn.REGEXEXTRACT(CELL("address",AI35), "\$([A-Z]+)\$[0-9]+")))</f>
        <v/>
      </c>
      <c r="AJ35" s="7"/>
      <c r="AK35" s="7"/>
      <c r="AL35" s="7"/>
      <c r="AM35" s="7"/>
      <c r="AN35" s="7"/>
      <c r="AO35" s="7"/>
      <c r="AP35" s="7" t="str" cm="1">
        <f t="array" aca="1" ref="AP35" ca="1">IF(OR('Raw Data'!AP35="",LEN(TRIM('Raw Data'!AP35))=0,Validate_Empty!AP35&lt;&gt;"",Validate_Value!AP35&lt;&gt;""),"",IF('Raw Data'!AP35=SUM('Raw Data'!AK35:AO35),"",_xlfn.REGEXEXTRACT(CELL("address",AP35), "\$([A-Z]+)\$[0-9]+")))</f>
        <v/>
      </c>
    </row>
    <row r="36" spans="2:42" x14ac:dyDescent="0.25">
      <c r="B36" s="7"/>
      <c r="C36" s="7"/>
      <c r="D36" s="7"/>
      <c r="E36" s="7"/>
      <c r="F36" s="7"/>
      <c r="G36" s="7"/>
      <c r="H36" s="7"/>
      <c r="I36" s="7"/>
      <c r="J36" s="7" t="str" cm="1">
        <f t="array" aca="1" ref="J36" ca="1">IF(OR('Raw Data'!J36="",LEN(TRIM('Raw Data'!J36))=0,Validate_Empty!J36&lt;&gt;"",Validate_Value!J36&lt;&gt;""),"",IF('Raw Data'!J36=SUM('Raw Data'!K36:N36),"",_xlfn.REGEXEXTRACT(CELL("address",J36), "\$([A-Z]+)\$[0-9]+")))</f>
        <v/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 t="str" cm="1">
        <f t="array" aca="1" ref="Z36" ca="1">IF(OR('Raw Data'!Z36="",LEN(TRIM('Raw Data'!Z36))=0,Validate_Empty!Z36&lt;&gt;"",Validate_Value!Z36&lt;&gt;""),"",IF('Raw Data'!Z36=SUM('Raw Data'!T36:Y36),"",_xlfn.REGEXEXTRACT(CELL("address",Z36), "\$([A-Z]+)\$[0-9]+")))</f>
        <v/>
      </c>
      <c r="AA36" s="7"/>
      <c r="AB36" s="7"/>
      <c r="AC36" s="7"/>
      <c r="AD36" s="7"/>
      <c r="AE36" s="7"/>
      <c r="AF36" s="7"/>
      <c r="AG36" s="7" t="str" cm="1">
        <f t="array" aca="1" ref="AG36" ca="1">IF(OR('Raw Data'!AG36="",LEN(TRIM('Raw Data'!AG36))=0,Validate_Empty!AG36&lt;&gt;"",Validate_Value!AG36&lt;&gt;""),"",IF('Raw Data'!AG36=SUM('Raw Data'!AA36:AF36),"",_xlfn.REGEXEXTRACT(CELL("address",AG36), "\$([A-Z]+)\$[0-9]+")))</f>
        <v/>
      </c>
      <c r="AH36" s="7" t="str" cm="1">
        <f t="array" aca="1" ref="AH36" ca="1">IF(OR('Raw Data'!AH36="",LEN(TRIM('Raw Data'!AH36))=0,Validate_Empty!AH36&lt;&gt;"",Validate_Value!AH36&lt;&gt;""),"",IF(Configuration!$G$2 = Configuration!$I$2,"",_xlfn.REGEXEXTRACT(CELL("address",AH36), "\$([A-Z]+)\$[0-9]+")))</f>
        <v/>
      </c>
      <c r="AI36" s="7" t="str" cm="1">
        <f t="array" aca="1" ref="AI36" ca="1">IF(OR('Raw Data'!AI36="",LEN(TRIM('Raw Data'!AI36))=0,Validate_Empty!AI36&lt;&gt;"",Validate_Value!AI36&lt;&gt;""),"",IF(Configuration!$H$2 = Configuration!$J$2,"",_xlfn.REGEXEXTRACT(CELL("address",AI36), "\$([A-Z]+)\$[0-9]+")))</f>
        <v/>
      </c>
      <c r="AJ36" s="7"/>
      <c r="AK36" s="7"/>
      <c r="AL36" s="7"/>
      <c r="AM36" s="7"/>
      <c r="AN36" s="7"/>
      <c r="AO36" s="7"/>
      <c r="AP36" s="7" t="str" cm="1">
        <f t="array" aca="1" ref="AP36" ca="1">IF(OR('Raw Data'!AP36="",LEN(TRIM('Raw Data'!AP36))=0,Validate_Empty!AP36&lt;&gt;"",Validate_Value!AP36&lt;&gt;""),"",IF('Raw Data'!AP36=SUM('Raw Data'!AK36:AO36),"",_xlfn.REGEXEXTRACT(CELL("address",AP36), "\$([A-Z]+)\$[0-9]+")))</f>
        <v/>
      </c>
    </row>
    <row r="37" spans="2:42" x14ac:dyDescent="0.25">
      <c r="B37" s="7"/>
      <c r="C37" s="7"/>
      <c r="D37" s="7"/>
      <c r="E37" s="7"/>
      <c r="F37" s="7"/>
      <c r="G37" s="7"/>
      <c r="H37" s="7"/>
      <c r="I37" s="7"/>
      <c r="J37" s="7" t="str" cm="1">
        <f t="array" aca="1" ref="J37" ca="1">IF(OR('Raw Data'!J37="",LEN(TRIM('Raw Data'!J37))=0,Validate_Empty!J37&lt;&gt;"",Validate_Value!J37&lt;&gt;""),"",IF('Raw Data'!J37=SUM('Raw Data'!K37:N37),"",_xlfn.REGEXEXTRACT(CELL("address",J37), "\$([A-Z]+)\$[0-9]+")))</f>
        <v/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 t="str" cm="1">
        <f t="array" aca="1" ref="Z37" ca="1">IF(OR('Raw Data'!Z37="",LEN(TRIM('Raw Data'!Z37))=0,Validate_Empty!Z37&lt;&gt;"",Validate_Value!Z37&lt;&gt;""),"",IF('Raw Data'!Z37=SUM('Raw Data'!T37:Y37),"",_xlfn.REGEXEXTRACT(CELL("address",Z37), "\$([A-Z]+)\$[0-9]+")))</f>
        <v/>
      </c>
      <c r="AA37" s="7"/>
      <c r="AB37" s="7"/>
      <c r="AC37" s="7"/>
      <c r="AD37" s="7"/>
      <c r="AE37" s="7"/>
      <c r="AF37" s="7"/>
      <c r="AG37" s="7" t="str" cm="1">
        <f t="array" aca="1" ref="AG37" ca="1">IF(OR('Raw Data'!AG37="",LEN(TRIM('Raw Data'!AG37))=0,Validate_Empty!AG37&lt;&gt;"",Validate_Value!AG37&lt;&gt;""),"",IF('Raw Data'!AG37=SUM('Raw Data'!AA37:AF37),"",_xlfn.REGEXEXTRACT(CELL("address",AG37), "\$([A-Z]+)\$[0-9]+")))</f>
        <v/>
      </c>
      <c r="AH37" s="7" t="str" cm="1">
        <f t="array" aca="1" ref="AH37" ca="1">IF(OR('Raw Data'!AH37="",LEN(TRIM('Raw Data'!AH37))=0,Validate_Empty!AH37&lt;&gt;"",Validate_Value!AH37&lt;&gt;""),"",IF(Configuration!$G$2 = Configuration!$I$2,"",_xlfn.REGEXEXTRACT(CELL("address",AH37), "\$([A-Z]+)\$[0-9]+")))</f>
        <v/>
      </c>
      <c r="AI37" s="7" t="str" cm="1">
        <f t="array" aca="1" ref="AI37" ca="1">IF(OR('Raw Data'!AI37="",LEN(TRIM('Raw Data'!AI37))=0,Validate_Empty!AI37&lt;&gt;"",Validate_Value!AI37&lt;&gt;""),"",IF(Configuration!$H$2 = Configuration!$J$2,"",_xlfn.REGEXEXTRACT(CELL("address",AI37), "\$([A-Z]+)\$[0-9]+")))</f>
        <v/>
      </c>
      <c r="AJ37" s="7"/>
      <c r="AK37" s="7"/>
      <c r="AL37" s="7"/>
      <c r="AM37" s="7"/>
      <c r="AN37" s="7"/>
      <c r="AO37" s="7"/>
      <c r="AP37" s="7" t="str" cm="1">
        <f t="array" aca="1" ref="AP37" ca="1">IF(OR('Raw Data'!AP37="",LEN(TRIM('Raw Data'!AP37))=0,Validate_Empty!AP37&lt;&gt;"",Validate_Value!AP37&lt;&gt;""),"",IF('Raw Data'!AP37=SUM('Raw Data'!AK37:AO37),"",_xlfn.REGEXEXTRACT(CELL("address",AP37), "\$([A-Z]+)\$[0-9]+")))</f>
        <v/>
      </c>
    </row>
    <row r="38" spans="2:42" x14ac:dyDescent="0.25">
      <c r="B38" s="7"/>
      <c r="C38" s="7"/>
      <c r="D38" s="7"/>
      <c r="E38" s="7"/>
      <c r="F38" s="7"/>
      <c r="G38" s="7"/>
      <c r="H38" s="7"/>
      <c r="I38" s="7"/>
      <c r="J38" s="7" t="str" cm="1">
        <f t="array" aca="1" ref="J38" ca="1">IF(OR('Raw Data'!J38="",LEN(TRIM('Raw Data'!J38))=0,Validate_Empty!J38&lt;&gt;"",Validate_Value!J38&lt;&gt;""),"",IF('Raw Data'!J38=SUM('Raw Data'!K38:N38),"",_xlfn.REGEXEXTRACT(CELL("address",J38), "\$([A-Z]+)\$[0-9]+")))</f>
        <v/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 t="str" cm="1">
        <f t="array" aca="1" ref="Z38" ca="1">IF(OR('Raw Data'!Z38="",LEN(TRIM('Raw Data'!Z38))=0,Validate_Empty!Z38&lt;&gt;"",Validate_Value!Z38&lt;&gt;""),"",IF('Raw Data'!Z38=SUM('Raw Data'!T38:Y38),"",_xlfn.REGEXEXTRACT(CELL("address",Z38), "\$([A-Z]+)\$[0-9]+")))</f>
        <v/>
      </c>
      <c r="AA38" s="7"/>
      <c r="AB38" s="7"/>
      <c r="AC38" s="7"/>
      <c r="AD38" s="7"/>
      <c r="AE38" s="7"/>
      <c r="AF38" s="7"/>
      <c r="AG38" s="7" t="str" cm="1">
        <f t="array" aca="1" ref="AG38" ca="1">IF(OR('Raw Data'!AG38="",LEN(TRIM('Raw Data'!AG38))=0,Validate_Empty!AG38&lt;&gt;"",Validate_Value!AG38&lt;&gt;""),"",IF('Raw Data'!AG38=SUM('Raw Data'!AA38:AF38),"",_xlfn.REGEXEXTRACT(CELL("address",AG38), "\$([A-Z]+)\$[0-9]+")))</f>
        <v/>
      </c>
      <c r="AH38" s="7" t="str" cm="1">
        <f t="array" aca="1" ref="AH38" ca="1">IF(OR('Raw Data'!AH38="",LEN(TRIM('Raw Data'!AH38))=0,Validate_Empty!AH38&lt;&gt;"",Validate_Value!AH38&lt;&gt;""),"",IF(Configuration!$G$2 = Configuration!$I$2,"",_xlfn.REGEXEXTRACT(CELL("address",AH38), "\$([A-Z]+)\$[0-9]+")))</f>
        <v/>
      </c>
      <c r="AI38" s="7" t="str" cm="1">
        <f t="array" aca="1" ref="AI38" ca="1">IF(OR('Raw Data'!AI38="",LEN(TRIM('Raw Data'!AI38))=0,Validate_Empty!AI38&lt;&gt;"",Validate_Value!AI38&lt;&gt;""),"",IF(Configuration!$H$2 = Configuration!$J$2,"",_xlfn.REGEXEXTRACT(CELL("address",AI38), "\$([A-Z]+)\$[0-9]+")))</f>
        <v/>
      </c>
      <c r="AJ38" s="7"/>
      <c r="AK38" s="7"/>
      <c r="AL38" s="7"/>
      <c r="AM38" s="7"/>
      <c r="AN38" s="7"/>
      <c r="AO38" s="7"/>
      <c r="AP38" s="7" t="str" cm="1">
        <f t="array" aca="1" ref="AP38" ca="1">IF(OR('Raw Data'!AP38="",LEN(TRIM('Raw Data'!AP38))=0,Validate_Empty!AP38&lt;&gt;"",Validate_Value!AP38&lt;&gt;""),"",IF('Raw Data'!AP38=SUM('Raw Data'!AK38:AO38),"",_xlfn.REGEXEXTRACT(CELL("address",AP38), "\$([A-Z]+)\$[0-9]+")))</f>
        <v/>
      </c>
    </row>
    <row r="39" spans="2:42" x14ac:dyDescent="0.25">
      <c r="B39" s="7"/>
      <c r="C39" s="7"/>
      <c r="D39" s="7"/>
      <c r="E39" s="7"/>
      <c r="F39" s="7"/>
      <c r="G39" s="7"/>
      <c r="H39" s="7"/>
      <c r="I39" s="7"/>
      <c r="J39" s="7" t="str" cm="1">
        <f t="array" aca="1" ref="J39" ca="1">IF(OR('Raw Data'!J39="",LEN(TRIM('Raw Data'!J39))=0,Validate_Empty!J39&lt;&gt;"",Validate_Value!J39&lt;&gt;""),"",IF('Raw Data'!J39=SUM('Raw Data'!K39:N39),"",_xlfn.REGEXEXTRACT(CELL("address",J39), "\$([A-Z]+)\$[0-9]+")))</f>
        <v/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 t="str" cm="1">
        <f t="array" aca="1" ref="Z39" ca="1">IF(OR('Raw Data'!Z39="",LEN(TRIM('Raw Data'!Z39))=0,Validate_Empty!Z39&lt;&gt;"",Validate_Value!Z39&lt;&gt;""),"",IF('Raw Data'!Z39=SUM('Raw Data'!T39:Y39),"",_xlfn.REGEXEXTRACT(CELL("address",Z39), "\$([A-Z]+)\$[0-9]+")))</f>
        <v/>
      </c>
      <c r="AA39" s="7"/>
      <c r="AB39" s="7"/>
      <c r="AC39" s="7"/>
      <c r="AD39" s="7"/>
      <c r="AE39" s="7"/>
      <c r="AF39" s="7"/>
      <c r="AG39" s="7" t="str" cm="1">
        <f t="array" aca="1" ref="AG39" ca="1">IF(OR('Raw Data'!AG39="",LEN(TRIM('Raw Data'!AG39))=0,Validate_Empty!AG39&lt;&gt;"",Validate_Value!AG39&lt;&gt;""),"",IF('Raw Data'!AG39=SUM('Raw Data'!AA39:AF39),"",_xlfn.REGEXEXTRACT(CELL("address",AG39), "\$([A-Z]+)\$[0-9]+")))</f>
        <v/>
      </c>
      <c r="AH39" s="7" t="str" cm="1">
        <f t="array" aca="1" ref="AH39" ca="1">IF(OR('Raw Data'!AH39="",LEN(TRIM('Raw Data'!AH39))=0,Validate_Empty!AH39&lt;&gt;"",Validate_Value!AH39&lt;&gt;""),"",IF(Configuration!$G$2 = Configuration!$I$2,"",_xlfn.REGEXEXTRACT(CELL("address",AH39), "\$([A-Z]+)\$[0-9]+")))</f>
        <v/>
      </c>
      <c r="AI39" s="7" t="str" cm="1">
        <f t="array" aca="1" ref="AI39" ca="1">IF(OR('Raw Data'!AI39="",LEN(TRIM('Raw Data'!AI39))=0,Validate_Empty!AI39&lt;&gt;"",Validate_Value!AI39&lt;&gt;""),"",IF(Configuration!$H$2 = Configuration!$J$2,"",_xlfn.REGEXEXTRACT(CELL("address",AI39), "\$([A-Z]+)\$[0-9]+")))</f>
        <v/>
      </c>
      <c r="AJ39" s="7"/>
      <c r="AK39" s="7"/>
      <c r="AL39" s="7"/>
      <c r="AM39" s="7"/>
      <c r="AN39" s="7"/>
      <c r="AO39" s="7"/>
      <c r="AP39" s="7" t="str" cm="1">
        <f t="array" aca="1" ref="AP39" ca="1">IF(OR('Raw Data'!AP39="",LEN(TRIM('Raw Data'!AP39))=0,Validate_Empty!AP39&lt;&gt;"",Validate_Value!AP39&lt;&gt;""),"",IF('Raw Data'!AP39=SUM('Raw Data'!AK39:AO39),"",_xlfn.REGEXEXTRACT(CELL("address",AP39), "\$([A-Z]+)\$[0-9]+")))</f>
        <v/>
      </c>
    </row>
    <row r="40" spans="2:42" x14ac:dyDescent="0.25">
      <c r="B40" s="7"/>
      <c r="C40" s="7"/>
      <c r="D40" s="7"/>
      <c r="E40" s="7"/>
      <c r="F40" s="7"/>
      <c r="G40" s="7"/>
      <c r="H40" s="7"/>
      <c r="I40" s="7"/>
      <c r="J40" s="7" t="str" cm="1">
        <f t="array" aca="1" ref="J40" ca="1">IF(OR('Raw Data'!J40="",LEN(TRIM('Raw Data'!J40))=0,Validate_Empty!J40&lt;&gt;"",Validate_Value!J40&lt;&gt;""),"",IF('Raw Data'!J40=SUM('Raw Data'!K40:N40),"",_xlfn.REGEXEXTRACT(CELL("address",J40), "\$([A-Z]+)\$[0-9]+")))</f>
        <v/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 t="str" cm="1">
        <f t="array" aca="1" ref="Z40" ca="1">IF(OR('Raw Data'!Z40="",LEN(TRIM('Raw Data'!Z40))=0,Validate_Empty!Z40&lt;&gt;"",Validate_Value!Z40&lt;&gt;""),"",IF('Raw Data'!Z40=SUM('Raw Data'!T40:Y40),"",_xlfn.REGEXEXTRACT(CELL("address",Z40), "\$([A-Z]+)\$[0-9]+")))</f>
        <v/>
      </c>
      <c r="AA40" s="7"/>
      <c r="AB40" s="7"/>
      <c r="AC40" s="7"/>
      <c r="AD40" s="7"/>
      <c r="AE40" s="7"/>
      <c r="AF40" s="7"/>
      <c r="AG40" s="7" t="str" cm="1">
        <f t="array" aca="1" ref="AG40" ca="1">IF(OR('Raw Data'!AG40="",LEN(TRIM('Raw Data'!AG40))=0,Validate_Empty!AG40&lt;&gt;"",Validate_Value!AG40&lt;&gt;""),"",IF('Raw Data'!AG40=SUM('Raw Data'!AA40:AF40),"",_xlfn.REGEXEXTRACT(CELL("address",AG40), "\$([A-Z]+)\$[0-9]+")))</f>
        <v/>
      </c>
      <c r="AH40" s="7" t="str" cm="1">
        <f t="array" aca="1" ref="AH40" ca="1">IF(OR('Raw Data'!AH40="",LEN(TRIM('Raw Data'!AH40))=0,Validate_Empty!AH40&lt;&gt;"",Validate_Value!AH40&lt;&gt;""),"",IF(Configuration!$G$2 = Configuration!$I$2,"",_xlfn.REGEXEXTRACT(CELL("address",AH40), "\$([A-Z]+)\$[0-9]+")))</f>
        <v/>
      </c>
      <c r="AI40" s="7" t="str" cm="1">
        <f t="array" aca="1" ref="AI40" ca="1">IF(OR('Raw Data'!AI40="",LEN(TRIM('Raw Data'!AI40))=0,Validate_Empty!AI40&lt;&gt;"",Validate_Value!AI40&lt;&gt;""),"",IF(Configuration!$H$2 = Configuration!$J$2,"",_xlfn.REGEXEXTRACT(CELL("address",AI40), "\$([A-Z]+)\$[0-9]+")))</f>
        <v/>
      </c>
      <c r="AJ40" s="7"/>
      <c r="AK40" s="7"/>
      <c r="AL40" s="7"/>
      <c r="AM40" s="7"/>
      <c r="AN40" s="7"/>
      <c r="AO40" s="7"/>
      <c r="AP40" s="7" t="str" cm="1">
        <f t="array" aca="1" ref="AP40" ca="1">IF(OR('Raw Data'!AP40="",LEN(TRIM('Raw Data'!AP40))=0,Validate_Empty!AP40&lt;&gt;"",Validate_Value!AP40&lt;&gt;""),"",IF('Raw Data'!AP40=SUM('Raw Data'!AK40:AO40),"",_xlfn.REGEXEXTRACT(CELL("address",AP40), "\$([A-Z]+)\$[0-9]+")))</f>
        <v/>
      </c>
    </row>
    <row r="41" spans="2:42" x14ac:dyDescent="0.25">
      <c r="B41" s="7"/>
      <c r="C41" s="7"/>
      <c r="D41" s="7"/>
      <c r="E41" s="7"/>
      <c r="F41" s="7"/>
      <c r="G41" s="7"/>
      <c r="H41" s="7"/>
      <c r="I41" s="7"/>
      <c r="J41" s="7" t="str" cm="1">
        <f t="array" aca="1" ref="J41" ca="1">IF(OR('Raw Data'!J41="",LEN(TRIM('Raw Data'!J41))=0,Validate_Empty!J41&lt;&gt;"",Validate_Value!J41&lt;&gt;""),"",IF('Raw Data'!J41=SUM('Raw Data'!K41:N41),"",_xlfn.REGEXEXTRACT(CELL("address",J41), "\$([A-Z]+)\$[0-9]+")))</f>
        <v/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 t="str" cm="1">
        <f t="array" aca="1" ref="Z41" ca="1">IF(OR('Raw Data'!Z41="",LEN(TRIM('Raw Data'!Z41))=0,Validate_Empty!Z41&lt;&gt;"",Validate_Value!Z41&lt;&gt;""),"",IF('Raw Data'!Z41=SUM('Raw Data'!T41:Y41),"",_xlfn.REGEXEXTRACT(CELL("address",Z41), "\$([A-Z]+)\$[0-9]+")))</f>
        <v/>
      </c>
      <c r="AA41" s="7"/>
      <c r="AB41" s="7"/>
      <c r="AC41" s="7"/>
      <c r="AD41" s="7"/>
      <c r="AE41" s="7"/>
      <c r="AF41" s="7"/>
      <c r="AG41" s="7" t="str" cm="1">
        <f t="array" aca="1" ref="AG41" ca="1">IF(OR('Raw Data'!AG41="",LEN(TRIM('Raw Data'!AG41))=0,Validate_Empty!AG41&lt;&gt;"",Validate_Value!AG41&lt;&gt;""),"",IF('Raw Data'!AG41=SUM('Raw Data'!AA41:AF41),"",_xlfn.REGEXEXTRACT(CELL("address",AG41), "\$([A-Z]+)\$[0-9]+")))</f>
        <v/>
      </c>
      <c r="AH41" s="7" t="str" cm="1">
        <f t="array" aca="1" ref="AH41" ca="1">IF(OR('Raw Data'!AH41="",LEN(TRIM('Raw Data'!AH41))=0,Validate_Empty!AH41&lt;&gt;"",Validate_Value!AH41&lt;&gt;""),"",IF(Configuration!$G$2 = Configuration!$I$2,"",_xlfn.REGEXEXTRACT(CELL("address",AH41), "\$([A-Z]+)\$[0-9]+")))</f>
        <v/>
      </c>
      <c r="AI41" s="7" t="str" cm="1">
        <f t="array" aca="1" ref="AI41" ca="1">IF(OR('Raw Data'!AI41="",LEN(TRIM('Raw Data'!AI41))=0,Validate_Empty!AI41&lt;&gt;"",Validate_Value!AI41&lt;&gt;""),"",IF(Configuration!$H$2 = Configuration!$J$2,"",_xlfn.REGEXEXTRACT(CELL("address",AI41), "\$([A-Z]+)\$[0-9]+")))</f>
        <v/>
      </c>
      <c r="AJ41" s="7"/>
      <c r="AK41" s="7"/>
      <c r="AL41" s="7"/>
      <c r="AM41" s="7"/>
      <c r="AN41" s="7"/>
      <c r="AO41" s="7"/>
      <c r="AP41" s="7" t="str" cm="1">
        <f t="array" aca="1" ref="AP41" ca="1">IF(OR('Raw Data'!AP41="",LEN(TRIM('Raw Data'!AP41))=0,Validate_Empty!AP41&lt;&gt;"",Validate_Value!AP41&lt;&gt;""),"",IF('Raw Data'!AP41=SUM('Raw Data'!AK41:AO41),"",_xlfn.REGEXEXTRACT(CELL("address",AP41), "\$([A-Z]+)\$[0-9]+")))</f>
        <v/>
      </c>
    </row>
    <row r="42" spans="2:42" x14ac:dyDescent="0.25">
      <c r="B42" s="7"/>
      <c r="C42" s="7"/>
      <c r="D42" s="7"/>
      <c r="E42" s="7"/>
      <c r="F42" s="7"/>
      <c r="G42" s="7"/>
      <c r="H42" s="7"/>
      <c r="I42" s="7"/>
      <c r="J42" s="7" t="str" cm="1">
        <f t="array" aca="1" ref="J42" ca="1">IF(OR('Raw Data'!J42="",LEN(TRIM('Raw Data'!J42))=0,Validate_Empty!J42&lt;&gt;"",Validate_Value!J42&lt;&gt;""),"",IF('Raw Data'!J42=SUM('Raw Data'!K42:N42),"",_xlfn.REGEXEXTRACT(CELL("address",J42), "\$([A-Z]+)\$[0-9]+")))</f>
        <v/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 t="str" cm="1">
        <f t="array" aca="1" ref="Z42" ca="1">IF(OR('Raw Data'!Z42="",LEN(TRIM('Raw Data'!Z42))=0,Validate_Empty!Z42&lt;&gt;"",Validate_Value!Z42&lt;&gt;""),"",IF('Raw Data'!Z42=SUM('Raw Data'!T42:Y42),"",_xlfn.REGEXEXTRACT(CELL("address",Z42), "\$([A-Z]+)\$[0-9]+")))</f>
        <v/>
      </c>
      <c r="AA42" s="7"/>
      <c r="AB42" s="7"/>
      <c r="AC42" s="7"/>
      <c r="AD42" s="7"/>
      <c r="AE42" s="7"/>
      <c r="AF42" s="7"/>
      <c r="AG42" s="7" t="str" cm="1">
        <f t="array" aca="1" ref="AG42" ca="1">IF(OR('Raw Data'!AG42="",LEN(TRIM('Raw Data'!AG42))=0,Validate_Empty!AG42&lt;&gt;"",Validate_Value!AG42&lt;&gt;""),"",IF('Raw Data'!AG42=SUM('Raw Data'!AA42:AF42),"",_xlfn.REGEXEXTRACT(CELL("address",AG42), "\$([A-Z]+)\$[0-9]+")))</f>
        <v/>
      </c>
      <c r="AH42" s="7" t="str" cm="1">
        <f t="array" aca="1" ref="AH42" ca="1">IF(OR('Raw Data'!AH42="",LEN(TRIM('Raw Data'!AH42))=0,Validate_Empty!AH42&lt;&gt;"",Validate_Value!AH42&lt;&gt;""),"",IF(Configuration!$G$2 = Configuration!$I$2,"",_xlfn.REGEXEXTRACT(CELL("address",AH42), "\$([A-Z]+)\$[0-9]+")))</f>
        <v/>
      </c>
      <c r="AI42" s="7" t="str" cm="1">
        <f t="array" aca="1" ref="AI42" ca="1">IF(OR('Raw Data'!AI42="",LEN(TRIM('Raw Data'!AI42))=0,Validate_Empty!AI42&lt;&gt;"",Validate_Value!AI42&lt;&gt;""),"",IF(Configuration!$H$2 = Configuration!$J$2,"",_xlfn.REGEXEXTRACT(CELL("address",AI42), "\$([A-Z]+)\$[0-9]+")))</f>
        <v/>
      </c>
      <c r="AJ42" s="7"/>
      <c r="AK42" s="7"/>
      <c r="AL42" s="7"/>
      <c r="AM42" s="7"/>
      <c r="AN42" s="7"/>
      <c r="AO42" s="7"/>
      <c r="AP42" s="7" t="str" cm="1">
        <f t="array" aca="1" ref="AP42" ca="1">IF(OR('Raw Data'!AP42="",LEN(TRIM('Raw Data'!AP42))=0,Validate_Empty!AP42&lt;&gt;"",Validate_Value!AP42&lt;&gt;""),"",IF('Raw Data'!AP42=SUM('Raw Data'!AK42:AO42),"",_xlfn.REGEXEXTRACT(CELL("address",AP42), "\$([A-Z]+)\$[0-9]+")))</f>
        <v/>
      </c>
    </row>
    <row r="43" spans="2:42" x14ac:dyDescent="0.25">
      <c r="B43" s="7"/>
      <c r="C43" s="7"/>
      <c r="D43" s="7"/>
      <c r="E43" s="7"/>
      <c r="F43" s="7"/>
      <c r="G43" s="7"/>
      <c r="H43" s="7"/>
      <c r="I43" s="7"/>
      <c r="J43" s="7" t="str" cm="1">
        <f t="array" aca="1" ref="J43" ca="1">IF(OR('Raw Data'!J43="",LEN(TRIM('Raw Data'!J43))=0,Validate_Empty!J43&lt;&gt;"",Validate_Value!J43&lt;&gt;""),"",IF('Raw Data'!J43=SUM('Raw Data'!K43:N43),"",_xlfn.REGEXEXTRACT(CELL("address",J43), "\$([A-Z]+)\$[0-9]+")))</f>
        <v/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 t="str" cm="1">
        <f t="array" aca="1" ref="Z43" ca="1">IF(OR('Raw Data'!Z43="",LEN(TRIM('Raw Data'!Z43))=0,Validate_Empty!Z43&lt;&gt;"",Validate_Value!Z43&lt;&gt;""),"",IF('Raw Data'!Z43=SUM('Raw Data'!T43:Y43),"",_xlfn.REGEXEXTRACT(CELL("address",Z43), "\$([A-Z]+)\$[0-9]+")))</f>
        <v/>
      </c>
      <c r="AA43" s="7"/>
      <c r="AB43" s="7"/>
      <c r="AC43" s="7"/>
      <c r="AD43" s="7"/>
      <c r="AE43" s="7"/>
      <c r="AF43" s="7"/>
      <c r="AG43" s="7" t="str" cm="1">
        <f t="array" aca="1" ref="AG43" ca="1">IF(OR('Raw Data'!AG43="",LEN(TRIM('Raw Data'!AG43))=0,Validate_Empty!AG43&lt;&gt;"",Validate_Value!AG43&lt;&gt;""),"",IF('Raw Data'!AG43=SUM('Raw Data'!AA43:AF43),"",_xlfn.REGEXEXTRACT(CELL("address",AG43), "\$([A-Z]+)\$[0-9]+")))</f>
        <v/>
      </c>
      <c r="AH43" s="7" t="str" cm="1">
        <f t="array" aca="1" ref="AH43" ca="1">IF(OR('Raw Data'!AH43="",LEN(TRIM('Raw Data'!AH43))=0,Validate_Empty!AH43&lt;&gt;"",Validate_Value!AH43&lt;&gt;""),"",IF(Configuration!$G$2 = Configuration!$I$2,"",_xlfn.REGEXEXTRACT(CELL("address",AH43), "\$([A-Z]+)\$[0-9]+")))</f>
        <v/>
      </c>
      <c r="AI43" s="7" t="str" cm="1">
        <f t="array" aca="1" ref="AI43" ca="1">IF(OR('Raw Data'!AI43="",LEN(TRIM('Raw Data'!AI43))=0,Validate_Empty!AI43&lt;&gt;"",Validate_Value!AI43&lt;&gt;""),"",IF(Configuration!$H$2 = Configuration!$J$2,"",_xlfn.REGEXEXTRACT(CELL("address",AI43), "\$([A-Z]+)\$[0-9]+")))</f>
        <v/>
      </c>
      <c r="AJ43" s="7"/>
      <c r="AK43" s="7"/>
      <c r="AL43" s="7"/>
      <c r="AM43" s="7"/>
      <c r="AN43" s="7"/>
      <c r="AO43" s="7"/>
      <c r="AP43" s="7" t="str" cm="1">
        <f t="array" aca="1" ref="AP43" ca="1">IF(OR('Raw Data'!AP43="",LEN(TRIM('Raw Data'!AP43))=0,Validate_Empty!AP43&lt;&gt;"",Validate_Value!AP43&lt;&gt;""),"",IF('Raw Data'!AP43=SUM('Raw Data'!AK43:AO43),"",_xlfn.REGEXEXTRACT(CELL("address",AP43), "\$([A-Z]+)\$[0-9]+")))</f>
        <v/>
      </c>
    </row>
    <row r="44" spans="2:42" x14ac:dyDescent="0.25">
      <c r="B44" s="7"/>
      <c r="C44" s="7"/>
      <c r="D44" s="7"/>
      <c r="E44" s="7"/>
      <c r="F44" s="7"/>
      <c r="G44" s="7"/>
      <c r="H44" s="7"/>
      <c r="I44" s="7"/>
      <c r="J44" s="7" t="str" cm="1">
        <f t="array" aca="1" ref="J44" ca="1">IF(OR('Raw Data'!J44="",LEN(TRIM('Raw Data'!J44))=0,Validate_Empty!J44&lt;&gt;"",Validate_Value!J44&lt;&gt;""),"",IF('Raw Data'!J44=SUM('Raw Data'!K44:N44),"",_xlfn.REGEXEXTRACT(CELL("address",J44), "\$([A-Z]+)\$[0-9]+")))</f>
        <v/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 t="str" cm="1">
        <f t="array" aca="1" ref="Z44" ca="1">IF(OR('Raw Data'!Z44="",LEN(TRIM('Raw Data'!Z44))=0,Validate_Empty!Z44&lt;&gt;"",Validate_Value!Z44&lt;&gt;""),"",IF('Raw Data'!Z44=SUM('Raw Data'!T44:Y44),"",_xlfn.REGEXEXTRACT(CELL("address",Z44), "\$([A-Z]+)\$[0-9]+")))</f>
        <v/>
      </c>
      <c r="AA44" s="7"/>
      <c r="AB44" s="7"/>
      <c r="AC44" s="7"/>
      <c r="AD44" s="7"/>
      <c r="AE44" s="7"/>
      <c r="AF44" s="7"/>
      <c r="AG44" s="7" t="str" cm="1">
        <f t="array" aca="1" ref="AG44" ca="1">IF(OR('Raw Data'!AG44="",LEN(TRIM('Raw Data'!AG44))=0,Validate_Empty!AG44&lt;&gt;"",Validate_Value!AG44&lt;&gt;""),"",IF('Raw Data'!AG44=SUM('Raw Data'!AA44:AF44),"",_xlfn.REGEXEXTRACT(CELL("address",AG44), "\$([A-Z]+)\$[0-9]+")))</f>
        <v/>
      </c>
      <c r="AH44" s="7" t="str" cm="1">
        <f t="array" aca="1" ref="AH44" ca="1">IF(OR('Raw Data'!AH44="",LEN(TRIM('Raw Data'!AH44))=0,Validate_Empty!AH44&lt;&gt;"",Validate_Value!AH44&lt;&gt;""),"",IF(Configuration!$G$2 = Configuration!$I$2,"",_xlfn.REGEXEXTRACT(CELL("address",AH44), "\$([A-Z]+)\$[0-9]+")))</f>
        <v/>
      </c>
      <c r="AI44" s="7" t="str" cm="1">
        <f t="array" aca="1" ref="AI44" ca="1">IF(OR('Raw Data'!AI44="",LEN(TRIM('Raw Data'!AI44))=0,Validate_Empty!AI44&lt;&gt;"",Validate_Value!AI44&lt;&gt;""),"",IF(Configuration!$H$2 = Configuration!$J$2,"",_xlfn.REGEXEXTRACT(CELL("address",AI44), "\$([A-Z]+)\$[0-9]+")))</f>
        <v/>
      </c>
      <c r="AJ44" s="7"/>
      <c r="AK44" s="7"/>
      <c r="AL44" s="7"/>
      <c r="AM44" s="7"/>
      <c r="AN44" s="7"/>
      <c r="AO44" s="7"/>
      <c r="AP44" s="7" t="str" cm="1">
        <f t="array" aca="1" ref="AP44" ca="1">IF(OR('Raw Data'!AP44="",LEN(TRIM('Raw Data'!AP44))=0,Validate_Empty!AP44&lt;&gt;"",Validate_Value!AP44&lt;&gt;""),"",IF('Raw Data'!AP44=SUM('Raw Data'!AK44:AO44),"",_xlfn.REGEXEXTRACT(CELL("address",AP44), "\$([A-Z]+)\$[0-9]+")))</f>
        <v/>
      </c>
    </row>
    <row r="45" spans="2:42" x14ac:dyDescent="0.25">
      <c r="B45" s="7"/>
      <c r="C45" s="7"/>
      <c r="D45" s="7"/>
      <c r="E45" s="7"/>
      <c r="F45" s="7"/>
      <c r="G45" s="7"/>
      <c r="H45" s="7"/>
      <c r="I45" s="7"/>
      <c r="J45" s="7" t="str" cm="1">
        <f t="array" aca="1" ref="J45" ca="1">IF(OR('Raw Data'!J45="",LEN(TRIM('Raw Data'!J45))=0,Validate_Empty!J45&lt;&gt;"",Validate_Value!J45&lt;&gt;""),"",IF('Raw Data'!J45=SUM('Raw Data'!K45:N45),"",_xlfn.REGEXEXTRACT(CELL("address",J45), "\$([A-Z]+)\$[0-9]+")))</f>
        <v/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 t="str" cm="1">
        <f t="array" aca="1" ref="Z45" ca="1">IF(OR('Raw Data'!Z45="",LEN(TRIM('Raw Data'!Z45))=0,Validate_Empty!Z45&lt;&gt;"",Validate_Value!Z45&lt;&gt;""),"",IF('Raw Data'!Z45=SUM('Raw Data'!T45:Y45),"",_xlfn.REGEXEXTRACT(CELL("address",Z45), "\$([A-Z]+)\$[0-9]+")))</f>
        <v/>
      </c>
      <c r="AA45" s="7"/>
      <c r="AB45" s="7"/>
      <c r="AC45" s="7"/>
      <c r="AD45" s="7"/>
      <c r="AE45" s="7"/>
      <c r="AF45" s="7"/>
      <c r="AG45" s="7" t="str" cm="1">
        <f t="array" aca="1" ref="AG45" ca="1">IF(OR('Raw Data'!AG45="",LEN(TRIM('Raw Data'!AG45))=0,Validate_Empty!AG45&lt;&gt;"",Validate_Value!AG45&lt;&gt;""),"",IF('Raw Data'!AG45=SUM('Raw Data'!AA45:AF45),"",_xlfn.REGEXEXTRACT(CELL("address",AG45), "\$([A-Z]+)\$[0-9]+")))</f>
        <v/>
      </c>
      <c r="AH45" s="7" t="str" cm="1">
        <f t="array" aca="1" ref="AH45" ca="1">IF(OR('Raw Data'!AH45="",LEN(TRIM('Raw Data'!AH45))=0,Validate_Empty!AH45&lt;&gt;"",Validate_Value!AH45&lt;&gt;""),"",IF(Configuration!$G$2 = Configuration!$I$2,"",_xlfn.REGEXEXTRACT(CELL("address",AH45), "\$([A-Z]+)\$[0-9]+")))</f>
        <v/>
      </c>
      <c r="AI45" s="7" t="str" cm="1">
        <f t="array" aca="1" ref="AI45" ca="1">IF(OR('Raw Data'!AI45="",LEN(TRIM('Raw Data'!AI45))=0,Validate_Empty!AI45&lt;&gt;"",Validate_Value!AI45&lt;&gt;""),"",IF(Configuration!$H$2 = Configuration!$J$2,"",_xlfn.REGEXEXTRACT(CELL("address",AI45), "\$([A-Z]+)\$[0-9]+")))</f>
        <v/>
      </c>
      <c r="AJ45" s="7"/>
      <c r="AK45" s="7"/>
      <c r="AL45" s="7"/>
      <c r="AM45" s="7"/>
      <c r="AN45" s="7"/>
      <c r="AO45" s="7"/>
      <c r="AP45" s="7" t="str" cm="1">
        <f t="array" aca="1" ref="AP45" ca="1">IF(OR('Raw Data'!AP45="",LEN(TRIM('Raw Data'!AP45))=0,Validate_Empty!AP45&lt;&gt;"",Validate_Value!AP45&lt;&gt;""),"",IF('Raw Data'!AP45=SUM('Raw Data'!AK45:AO45),"",_xlfn.REGEXEXTRACT(CELL("address",AP45), "\$([A-Z]+)\$[0-9]+")))</f>
        <v/>
      </c>
    </row>
    <row r="46" spans="2:42" x14ac:dyDescent="0.25">
      <c r="B46" s="7"/>
      <c r="C46" s="7"/>
      <c r="D46" s="7"/>
      <c r="E46" s="7"/>
      <c r="F46" s="7"/>
      <c r="G46" s="7"/>
      <c r="H46" s="7"/>
      <c r="I46" s="7"/>
      <c r="J46" s="7" t="str" cm="1">
        <f t="array" aca="1" ref="J46" ca="1">IF(OR('Raw Data'!J46="",LEN(TRIM('Raw Data'!J46))=0,Validate_Empty!J46&lt;&gt;"",Validate_Value!J46&lt;&gt;""),"",IF('Raw Data'!J46=SUM('Raw Data'!K46:N46),"",_xlfn.REGEXEXTRACT(CELL("address",J46), "\$([A-Z]+)\$[0-9]+")))</f>
        <v/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 t="str" cm="1">
        <f t="array" aca="1" ref="Z46" ca="1">IF(OR('Raw Data'!Z46="",LEN(TRIM('Raw Data'!Z46))=0,Validate_Empty!Z46&lt;&gt;"",Validate_Value!Z46&lt;&gt;""),"",IF('Raw Data'!Z46=SUM('Raw Data'!T46:Y46),"",_xlfn.REGEXEXTRACT(CELL("address",Z46), "\$([A-Z]+)\$[0-9]+")))</f>
        <v/>
      </c>
      <c r="AA46" s="7"/>
      <c r="AB46" s="7"/>
      <c r="AC46" s="7"/>
      <c r="AD46" s="7"/>
      <c r="AE46" s="7"/>
      <c r="AF46" s="7"/>
      <c r="AG46" s="7" t="str" cm="1">
        <f t="array" aca="1" ref="AG46" ca="1">IF(OR('Raw Data'!AG46="",LEN(TRIM('Raw Data'!AG46))=0,Validate_Empty!AG46&lt;&gt;"",Validate_Value!AG46&lt;&gt;""),"",IF('Raw Data'!AG46=SUM('Raw Data'!AA46:AF46),"",_xlfn.REGEXEXTRACT(CELL("address",AG46), "\$([A-Z]+)\$[0-9]+")))</f>
        <v/>
      </c>
      <c r="AH46" s="7" t="str" cm="1">
        <f t="array" aca="1" ref="AH46" ca="1">IF(OR('Raw Data'!AH46="",LEN(TRIM('Raw Data'!AH46))=0,Validate_Empty!AH46&lt;&gt;"",Validate_Value!AH46&lt;&gt;""),"",IF(Configuration!$G$2 = Configuration!$I$2,"",_xlfn.REGEXEXTRACT(CELL("address",AH46), "\$([A-Z]+)\$[0-9]+")))</f>
        <v/>
      </c>
      <c r="AI46" s="7" t="str" cm="1">
        <f t="array" aca="1" ref="AI46" ca="1">IF(OR('Raw Data'!AI46="",LEN(TRIM('Raw Data'!AI46))=0,Validate_Empty!AI46&lt;&gt;"",Validate_Value!AI46&lt;&gt;""),"",IF(Configuration!$H$2 = Configuration!$J$2,"",_xlfn.REGEXEXTRACT(CELL("address",AI46), "\$([A-Z]+)\$[0-9]+")))</f>
        <v/>
      </c>
      <c r="AJ46" s="7"/>
      <c r="AK46" s="7"/>
      <c r="AL46" s="7"/>
      <c r="AM46" s="7"/>
      <c r="AN46" s="7"/>
      <c r="AO46" s="7"/>
      <c r="AP46" s="7" t="str" cm="1">
        <f t="array" aca="1" ref="AP46" ca="1">IF(OR('Raw Data'!AP46="",LEN(TRIM('Raw Data'!AP46))=0,Validate_Empty!AP46&lt;&gt;"",Validate_Value!AP46&lt;&gt;""),"",IF('Raw Data'!AP46=SUM('Raw Data'!AK46:AO46),"",_xlfn.REGEXEXTRACT(CELL("address",AP46), "\$([A-Z]+)\$[0-9]+")))</f>
        <v/>
      </c>
    </row>
    <row r="47" spans="2:42" x14ac:dyDescent="0.25">
      <c r="B47" s="7"/>
      <c r="C47" s="7"/>
      <c r="D47" s="7"/>
      <c r="E47" s="7"/>
      <c r="F47" s="7"/>
      <c r="G47" s="7"/>
      <c r="H47" s="7"/>
      <c r="I47" s="7"/>
      <c r="J47" s="7" t="str" cm="1">
        <f t="array" aca="1" ref="J47" ca="1">IF(OR('Raw Data'!J47="",LEN(TRIM('Raw Data'!J47))=0,Validate_Empty!J47&lt;&gt;"",Validate_Value!J47&lt;&gt;""),"",IF('Raw Data'!J47=SUM('Raw Data'!K47:N47),"",_xlfn.REGEXEXTRACT(CELL("address",J47), "\$([A-Z]+)\$[0-9]+")))</f>
        <v/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 t="str" cm="1">
        <f t="array" aca="1" ref="Z47" ca="1">IF(OR('Raw Data'!Z47="",LEN(TRIM('Raw Data'!Z47))=0,Validate_Empty!Z47&lt;&gt;"",Validate_Value!Z47&lt;&gt;""),"",IF('Raw Data'!Z47=SUM('Raw Data'!T47:Y47),"",_xlfn.REGEXEXTRACT(CELL("address",Z47), "\$([A-Z]+)\$[0-9]+")))</f>
        <v/>
      </c>
      <c r="AA47" s="7"/>
      <c r="AB47" s="7"/>
      <c r="AC47" s="7"/>
      <c r="AD47" s="7"/>
      <c r="AE47" s="7"/>
      <c r="AF47" s="7"/>
      <c r="AG47" s="7" t="str" cm="1">
        <f t="array" aca="1" ref="AG47" ca="1">IF(OR('Raw Data'!AG47="",LEN(TRIM('Raw Data'!AG47))=0,Validate_Empty!AG47&lt;&gt;"",Validate_Value!AG47&lt;&gt;""),"",IF('Raw Data'!AG47=SUM('Raw Data'!AA47:AF47),"",_xlfn.REGEXEXTRACT(CELL("address",AG47), "\$([A-Z]+)\$[0-9]+")))</f>
        <v/>
      </c>
      <c r="AH47" s="7" t="str" cm="1">
        <f t="array" aca="1" ref="AH47" ca="1">IF(OR('Raw Data'!AH47="",LEN(TRIM('Raw Data'!AH47))=0,Validate_Empty!AH47&lt;&gt;"",Validate_Value!AH47&lt;&gt;""),"",IF(Configuration!$G$2 = Configuration!$I$2,"",_xlfn.REGEXEXTRACT(CELL("address",AH47), "\$([A-Z]+)\$[0-9]+")))</f>
        <v/>
      </c>
      <c r="AI47" s="7" t="str" cm="1">
        <f t="array" aca="1" ref="AI47" ca="1">IF(OR('Raw Data'!AI47="",LEN(TRIM('Raw Data'!AI47))=0,Validate_Empty!AI47&lt;&gt;"",Validate_Value!AI47&lt;&gt;""),"",IF(Configuration!$H$2 = Configuration!$J$2,"",_xlfn.REGEXEXTRACT(CELL("address",AI47), "\$([A-Z]+)\$[0-9]+")))</f>
        <v/>
      </c>
      <c r="AJ47" s="7"/>
      <c r="AK47" s="7"/>
      <c r="AL47" s="7"/>
      <c r="AM47" s="7"/>
      <c r="AN47" s="7"/>
      <c r="AO47" s="7"/>
      <c r="AP47" s="7" t="str" cm="1">
        <f t="array" aca="1" ref="AP47" ca="1">IF(OR('Raw Data'!AP47="",LEN(TRIM('Raw Data'!AP47))=0,Validate_Empty!AP47&lt;&gt;"",Validate_Value!AP47&lt;&gt;""),"",IF('Raw Data'!AP47=SUM('Raw Data'!AK47:AO47),"",_xlfn.REGEXEXTRACT(CELL("address",AP47), "\$([A-Z]+)\$[0-9]+")))</f>
        <v/>
      </c>
    </row>
    <row r="48" spans="2:42" x14ac:dyDescent="0.25">
      <c r="B48" s="7"/>
      <c r="C48" s="7"/>
      <c r="D48" s="7"/>
      <c r="E48" s="7"/>
      <c r="F48" s="7"/>
      <c r="G48" s="7"/>
      <c r="H48" s="7"/>
      <c r="I48" s="7"/>
      <c r="J48" s="7" t="str" cm="1">
        <f t="array" aca="1" ref="J48" ca="1">IF(OR('Raw Data'!J48="",LEN(TRIM('Raw Data'!J48))=0,Validate_Empty!J48&lt;&gt;"",Validate_Value!J48&lt;&gt;""),"",IF('Raw Data'!J48=SUM('Raw Data'!K48:N48),"",_xlfn.REGEXEXTRACT(CELL("address",J48), "\$([A-Z]+)\$[0-9]+")))</f>
        <v/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 t="str" cm="1">
        <f t="array" aca="1" ref="Z48" ca="1">IF(OR('Raw Data'!Z48="",LEN(TRIM('Raw Data'!Z48))=0,Validate_Empty!Z48&lt;&gt;"",Validate_Value!Z48&lt;&gt;""),"",IF('Raw Data'!Z48=SUM('Raw Data'!T48:Y48),"",_xlfn.REGEXEXTRACT(CELL("address",Z48), "\$([A-Z]+)\$[0-9]+")))</f>
        <v/>
      </c>
      <c r="AA48" s="7"/>
      <c r="AB48" s="7"/>
      <c r="AC48" s="7"/>
      <c r="AD48" s="7"/>
      <c r="AE48" s="7"/>
      <c r="AF48" s="7"/>
      <c r="AG48" s="7" t="str" cm="1">
        <f t="array" aca="1" ref="AG48" ca="1">IF(OR('Raw Data'!AG48="",LEN(TRIM('Raw Data'!AG48))=0,Validate_Empty!AG48&lt;&gt;"",Validate_Value!AG48&lt;&gt;""),"",IF('Raw Data'!AG48=SUM('Raw Data'!AA48:AF48),"",_xlfn.REGEXEXTRACT(CELL("address",AG48), "\$([A-Z]+)\$[0-9]+")))</f>
        <v/>
      </c>
      <c r="AH48" s="7" t="str" cm="1">
        <f t="array" aca="1" ref="AH48" ca="1">IF(OR('Raw Data'!AH48="",LEN(TRIM('Raw Data'!AH48))=0,Validate_Empty!AH48&lt;&gt;"",Validate_Value!AH48&lt;&gt;""),"",IF(Configuration!$G$2 = Configuration!$I$2,"",_xlfn.REGEXEXTRACT(CELL("address",AH48), "\$([A-Z]+)\$[0-9]+")))</f>
        <v/>
      </c>
      <c r="AI48" s="7" t="str" cm="1">
        <f t="array" aca="1" ref="AI48" ca="1">IF(OR('Raw Data'!AI48="",LEN(TRIM('Raw Data'!AI48))=0,Validate_Empty!AI48&lt;&gt;"",Validate_Value!AI48&lt;&gt;""),"",IF(Configuration!$H$2 = Configuration!$J$2,"",_xlfn.REGEXEXTRACT(CELL("address",AI48), "\$([A-Z]+)\$[0-9]+")))</f>
        <v/>
      </c>
      <c r="AJ48" s="7"/>
      <c r="AK48" s="7"/>
      <c r="AL48" s="7"/>
      <c r="AM48" s="7"/>
      <c r="AN48" s="7"/>
      <c r="AO48" s="7"/>
      <c r="AP48" s="7" t="str" cm="1">
        <f t="array" aca="1" ref="AP48" ca="1">IF(OR('Raw Data'!AP48="",LEN(TRIM('Raw Data'!AP48))=0,Validate_Empty!AP48&lt;&gt;"",Validate_Value!AP48&lt;&gt;""),"",IF('Raw Data'!AP48=SUM('Raw Data'!AK48:AO48),"",_xlfn.REGEXEXTRACT(CELL("address",AP48), "\$([A-Z]+)\$[0-9]+")))</f>
        <v/>
      </c>
    </row>
    <row r="49" spans="2:42" x14ac:dyDescent="0.25">
      <c r="B49" s="7"/>
      <c r="C49" s="7"/>
      <c r="D49" s="7"/>
      <c r="E49" s="7"/>
      <c r="F49" s="7"/>
      <c r="G49" s="7"/>
      <c r="H49" s="7"/>
      <c r="I49" s="7"/>
      <c r="J49" s="7" t="str" cm="1">
        <f t="array" aca="1" ref="J49" ca="1">IF(OR('Raw Data'!J49="",LEN(TRIM('Raw Data'!J49))=0,Validate_Empty!J49&lt;&gt;"",Validate_Value!J49&lt;&gt;""),"",IF('Raw Data'!J49=SUM('Raw Data'!K49:N49),"",_xlfn.REGEXEXTRACT(CELL("address",J49), "\$([A-Z]+)\$[0-9]+")))</f>
        <v/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 t="str" cm="1">
        <f t="array" aca="1" ref="Z49" ca="1">IF(OR('Raw Data'!Z49="",LEN(TRIM('Raw Data'!Z49))=0,Validate_Empty!Z49&lt;&gt;"",Validate_Value!Z49&lt;&gt;""),"",IF('Raw Data'!Z49=SUM('Raw Data'!T49:Y49),"",_xlfn.REGEXEXTRACT(CELL("address",Z49), "\$([A-Z]+)\$[0-9]+")))</f>
        <v/>
      </c>
      <c r="AA49" s="7"/>
      <c r="AB49" s="7"/>
      <c r="AC49" s="7"/>
      <c r="AD49" s="7"/>
      <c r="AE49" s="7"/>
      <c r="AF49" s="7"/>
      <c r="AG49" s="7" t="str" cm="1">
        <f t="array" aca="1" ref="AG49" ca="1">IF(OR('Raw Data'!AG49="",LEN(TRIM('Raw Data'!AG49))=0,Validate_Empty!AG49&lt;&gt;"",Validate_Value!AG49&lt;&gt;""),"",IF('Raw Data'!AG49=SUM('Raw Data'!AA49:AF49),"",_xlfn.REGEXEXTRACT(CELL("address",AG49), "\$([A-Z]+)\$[0-9]+")))</f>
        <v/>
      </c>
      <c r="AH49" s="7" t="str" cm="1">
        <f t="array" aca="1" ref="AH49" ca="1">IF(OR('Raw Data'!AH49="",LEN(TRIM('Raw Data'!AH49))=0,Validate_Empty!AH49&lt;&gt;"",Validate_Value!AH49&lt;&gt;""),"",IF(Configuration!$G$2 = Configuration!$I$2,"",_xlfn.REGEXEXTRACT(CELL("address",AH49), "\$([A-Z]+)\$[0-9]+")))</f>
        <v/>
      </c>
      <c r="AI49" s="7" t="str" cm="1">
        <f t="array" aca="1" ref="AI49" ca="1">IF(OR('Raw Data'!AI49="",LEN(TRIM('Raw Data'!AI49))=0,Validate_Empty!AI49&lt;&gt;"",Validate_Value!AI49&lt;&gt;""),"",IF(Configuration!$H$2 = Configuration!$J$2,"",_xlfn.REGEXEXTRACT(CELL("address",AI49), "\$([A-Z]+)\$[0-9]+")))</f>
        <v/>
      </c>
      <c r="AJ49" s="7"/>
      <c r="AK49" s="7"/>
      <c r="AL49" s="7"/>
      <c r="AM49" s="7"/>
      <c r="AN49" s="7"/>
      <c r="AO49" s="7"/>
      <c r="AP49" s="7" t="str" cm="1">
        <f t="array" aca="1" ref="AP49" ca="1">IF(OR('Raw Data'!AP49="",LEN(TRIM('Raw Data'!AP49))=0,Validate_Empty!AP49&lt;&gt;"",Validate_Value!AP49&lt;&gt;""),"",IF('Raw Data'!AP49=SUM('Raw Data'!AK49:AO49),"",_xlfn.REGEXEXTRACT(CELL("address",AP49), "\$([A-Z]+)\$[0-9]+")))</f>
        <v/>
      </c>
    </row>
    <row r="50" spans="2:42" x14ac:dyDescent="0.25">
      <c r="B50" s="7"/>
      <c r="C50" s="7"/>
      <c r="D50" s="7"/>
      <c r="E50" s="7"/>
      <c r="F50" s="7"/>
      <c r="G50" s="7"/>
      <c r="H50" s="7"/>
      <c r="I50" s="7"/>
      <c r="J50" s="7" t="str" cm="1">
        <f t="array" aca="1" ref="J50" ca="1">IF(OR('Raw Data'!J50="",LEN(TRIM('Raw Data'!J50))=0,Validate_Empty!J50&lt;&gt;"",Validate_Value!J50&lt;&gt;""),"",IF('Raw Data'!J50=SUM('Raw Data'!K50:N50),"",_xlfn.REGEXEXTRACT(CELL("address",J50), "\$([A-Z]+)\$[0-9]+")))</f>
        <v/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 t="str" cm="1">
        <f t="array" aca="1" ref="Z50" ca="1">IF(OR('Raw Data'!Z50="",LEN(TRIM('Raw Data'!Z50))=0,Validate_Empty!Z50&lt;&gt;"",Validate_Value!Z50&lt;&gt;""),"",IF('Raw Data'!Z50=SUM('Raw Data'!T50:Y50),"",_xlfn.REGEXEXTRACT(CELL("address",Z50), "\$([A-Z]+)\$[0-9]+")))</f>
        <v/>
      </c>
      <c r="AA50" s="7"/>
      <c r="AB50" s="7"/>
      <c r="AC50" s="7"/>
      <c r="AD50" s="7"/>
      <c r="AE50" s="7"/>
      <c r="AF50" s="7"/>
      <c r="AG50" s="7" t="str" cm="1">
        <f t="array" aca="1" ref="AG50" ca="1">IF(OR('Raw Data'!AG50="",LEN(TRIM('Raw Data'!AG50))=0,Validate_Empty!AG50&lt;&gt;"",Validate_Value!AG50&lt;&gt;""),"",IF('Raw Data'!AG50=SUM('Raw Data'!AA50:AF50),"",_xlfn.REGEXEXTRACT(CELL("address",AG50), "\$([A-Z]+)\$[0-9]+")))</f>
        <v/>
      </c>
      <c r="AH50" s="7" t="str" cm="1">
        <f t="array" aca="1" ref="AH50" ca="1">IF(OR('Raw Data'!AH50="",LEN(TRIM('Raw Data'!AH50))=0,Validate_Empty!AH50&lt;&gt;"",Validate_Value!AH50&lt;&gt;""),"",IF(Configuration!$G$2 = Configuration!$I$2,"",_xlfn.REGEXEXTRACT(CELL("address",AH50), "\$([A-Z]+)\$[0-9]+")))</f>
        <v/>
      </c>
      <c r="AI50" s="7" t="str" cm="1">
        <f t="array" aca="1" ref="AI50" ca="1">IF(OR('Raw Data'!AI50="",LEN(TRIM('Raw Data'!AI50))=0,Validate_Empty!AI50&lt;&gt;"",Validate_Value!AI50&lt;&gt;""),"",IF(Configuration!$H$2 = Configuration!$J$2,"",_xlfn.REGEXEXTRACT(CELL("address",AI50), "\$([A-Z]+)\$[0-9]+")))</f>
        <v/>
      </c>
      <c r="AJ50" s="7"/>
      <c r="AK50" s="7"/>
      <c r="AL50" s="7"/>
      <c r="AM50" s="7"/>
      <c r="AN50" s="7"/>
      <c r="AO50" s="7"/>
      <c r="AP50" s="7" t="str" cm="1">
        <f t="array" aca="1" ref="AP50" ca="1">IF(OR('Raw Data'!AP50="",LEN(TRIM('Raw Data'!AP50))=0,Validate_Empty!AP50&lt;&gt;"",Validate_Value!AP50&lt;&gt;""),"",IF('Raw Data'!AP50=SUM('Raw Data'!AK50:AO50),"",_xlfn.REGEXEXTRACT(CELL("address",AP50), "\$([A-Z]+)\$[0-9]+")))</f>
        <v/>
      </c>
    </row>
    <row r="51" spans="2:42" x14ac:dyDescent="0.25">
      <c r="B51" s="7"/>
      <c r="C51" s="7"/>
      <c r="D51" s="7"/>
      <c r="E51" s="7"/>
      <c r="F51" s="7"/>
      <c r="G51" s="7"/>
      <c r="H51" s="7"/>
      <c r="I51" s="7"/>
      <c r="J51" s="7" t="str" cm="1">
        <f t="array" aca="1" ref="J51" ca="1">IF(OR('Raw Data'!J51="",LEN(TRIM('Raw Data'!J51))=0,Validate_Empty!J51&lt;&gt;"",Validate_Value!J51&lt;&gt;""),"",IF('Raw Data'!J51=SUM('Raw Data'!K51:N51),"",_xlfn.REGEXEXTRACT(CELL("address",J51), "\$([A-Z]+)\$[0-9]+")))</f>
        <v/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 t="str" cm="1">
        <f t="array" aca="1" ref="Z51" ca="1">IF(OR('Raw Data'!Z51="",LEN(TRIM('Raw Data'!Z51))=0,Validate_Empty!Z51&lt;&gt;"",Validate_Value!Z51&lt;&gt;""),"",IF('Raw Data'!Z51=SUM('Raw Data'!T51:Y51),"",_xlfn.REGEXEXTRACT(CELL("address",Z51), "\$([A-Z]+)\$[0-9]+")))</f>
        <v/>
      </c>
      <c r="AA51" s="7"/>
      <c r="AB51" s="7"/>
      <c r="AC51" s="7"/>
      <c r="AD51" s="7"/>
      <c r="AE51" s="7"/>
      <c r="AF51" s="7"/>
      <c r="AG51" s="7" t="str" cm="1">
        <f t="array" aca="1" ref="AG51" ca="1">IF(OR('Raw Data'!AG51="",LEN(TRIM('Raw Data'!AG51))=0,Validate_Empty!AG51&lt;&gt;"",Validate_Value!AG51&lt;&gt;""),"",IF('Raw Data'!AG51=SUM('Raw Data'!AA51:AF51),"",_xlfn.REGEXEXTRACT(CELL("address",AG51), "\$([A-Z]+)\$[0-9]+")))</f>
        <v/>
      </c>
      <c r="AH51" s="7" t="str" cm="1">
        <f t="array" aca="1" ref="AH51" ca="1">IF(OR('Raw Data'!AH51="",LEN(TRIM('Raw Data'!AH51))=0,Validate_Empty!AH51&lt;&gt;"",Validate_Value!AH51&lt;&gt;""),"",IF(Configuration!$G$2 = Configuration!$I$2,"",_xlfn.REGEXEXTRACT(CELL("address",AH51), "\$([A-Z]+)\$[0-9]+")))</f>
        <v/>
      </c>
      <c r="AI51" s="7" t="str" cm="1">
        <f t="array" aca="1" ref="AI51" ca="1">IF(OR('Raw Data'!AI51="",LEN(TRIM('Raw Data'!AI51))=0,Validate_Empty!AI51&lt;&gt;"",Validate_Value!AI51&lt;&gt;""),"",IF(Configuration!$H$2 = Configuration!$J$2,"",_xlfn.REGEXEXTRACT(CELL("address",AI51), "\$([A-Z]+)\$[0-9]+")))</f>
        <v/>
      </c>
      <c r="AJ51" s="7"/>
      <c r="AK51" s="7"/>
      <c r="AL51" s="7"/>
      <c r="AM51" s="7"/>
      <c r="AN51" s="7"/>
      <c r="AO51" s="7"/>
      <c r="AP51" s="7" t="str" cm="1">
        <f t="array" aca="1" ref="AP51" ca="1">IF(OR('Raw Data'!AP51="",LEN(TRIM('Raw Data'!AP51))=0,Validate_Empty!AP51&lt;&gt;"",Validate_Value!AP51&lt;&gt;""),"",IF('Raw Data'!AP51=SUM('Raw Data'!AK51:AO51),"",_xlfn.REGEXEXTRACT(CELL("address",AP51), "\$([A-Z]+)\$[0-9]+")))</f>
        <v/>
      </c>
    </row>
    <row r="52" spans="2:42" x14ac:dyDescent="0.25">
      <c r="B52" s="7"/>
      <c r="C52" s="7"/>
      <c r="D52" s="7"/>
      <c r="E52" s="7"/>
      <c r="F52" s="7"/>
      <c r="G52" s="7"/>
      <c r="H52" s="7"/>
      <c r="I52" s="7"/>
      <c r="J52" s="7" t="str" cm="1">
        <f t="array" aca="1" ref="J52" ca="1">IF(OR('Raw Data'!J52="",LEN(TRIM('Raw Data'!J52))=0,Validate_Empty!J52&lt;&gt;"",Validate_Value!J52&lt;&gt;""),"",IF('Raw Data'!J52=SUM('Raw Data'!K52:N52),"",_xlfn.REGEXEXTRACT(CELL("address",J52), "\$([A-Z]+)\$[0-9]+")))</f>
        <v/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 t="str" cm="1">
        <f t="array" aca="1" ref="Z52" ca="1">IF(OR('Raw Data'!Z52="",LEN(TRIM('Raw Data'!Z52))=0,Validate_Empty!Z52&lt;&gt;"",Validate_Value!Z52&lt;&gt;""),"",IF('Raw Data'!Z52=SUM('Raw Data'!T52:Y52),"",_xlfn.REGEXEXTRACT(CELL("address",Z52), "\$([A-Z]+)\$[0-9]+")))</f>
        <v/>
      </c>
      <c r="AA52" s="7"/>
      <c r="AB52" s="7"/>
      <c r="AC52" s="7"/>
      <c r="AD52" s="7"/>
      <c r="AE52" s="7"/>
      <c r="AF52" s="7"/>
      <c r="AG52" s="7" t="str" cm="1">
        <f t="array" aca="1" ref="AG52" ca="1">IF(OR('Raw Data'!AG52="",LEN(TRIM('Raw Data'!AG52))=0,Validate_Empty!AG52&lt;&gt;"",Validate_Value!AG52&lt;&gt;""),"",IF('Raw Data'!AG52=SUM('Raw Data'!AA52:AF52),"",_xlfn.REGEXEXTRACT(CELL("address",AG52), "\$([A-Z]+)\$[0-9]+")))</f>
        <v/>
      </c>
      <c r="AH52" s="7" t="str" cm="1">
        <f t="array" aca="1" ref="AH52" ca="1">IF(OR('Raw Data'!AH52="",LEN(TRIM('Raw Data'!AH52))=0,Validate_Empty!AH52&lt;&gt;"",Validate_Value!AH52&lt;&gt;""),"",IF(Configuration!$G$2 = Configuration!$I$2,"",_xlfn.REGEXEXTRACT(CELL("address",AH52), "\$([A-Z]+)\$[0-9]+")))</f>
        <v/>
      </c>
      <c r="AI52" s="7" t="str" cm="1">
        <f t="array" aca="1" ref="AI52" ca="1">IF(OR('Raw Data'!AI52="",LEN(TRIM('Raw Data'!AI52))=0,Validate_Empty!AI52&lt;&gt;"",Validate_Value!AI52&lt;&gt;""),"",IF(Configuration!$H$2 = Configuration!$J$2,"",_xlfn.REGEXEXTRACT(CELL("address",AI52), "\$([A-Z]+)\$[0-9]+")))</f>
        <v/>
      </c>
      <c r="AJ52" s="7"/>
      <c r="AK52" s="7"/>
      <c r="AL52" s="7"/>
      <c r="AM52" s="7"/>
      <c r="AN52" s="7"/>
      <c r="AO52" s="7"/>
      <c r="AP52" s="7" t="str" cm="1">
        <f t="array" aca="1" ref="AP52" ca="1">IF(OR('Raw Data'!AP52="",LEN(TRIM('Raw Data'!AP52))=0,Validate_Empty!AP52&lt;&gt;"",Validate_Value!AP52&lt;&gt;""),"",IF('Raw Data'!AP52=SUM('Raw Data'!AK52:AO52),"",_xlfn.REGEXEXTRACT(CELL("address",AP52), "\$([A-Z]+)\$[0-9]+")))</f>
        <v/>
      </c>
    </row>
    <row r="53" spans="2:42" x14ac:dyDescent="0.25">
      <c r="B53" s="7"/>
      <c r="C53" s="7"/>
      <c r="D53" s="7"/>
      <c r="E53" s="7"/>
      <c r="F53" s="7"/>
      <c r="G53" s="7"/>
      <c r="H53" s="7"/>
      <c r="I53" s="7"/>
      <c r="J53" s="7" t="str" cm="1">
        <f t="array" aca="1" ref="J53" ca="1">IF(OR('Raw Data'!J53="",LEN(TRIM('Raw Data'!J53))=0,Validate_Empty!J53&lt;&gt;"",Validate_Value!J53&lt;&gt;""),"",IF('Raw Data'!J53=SUM('Raw Data'!K53:N53),"",_xlfn.REGEXEXTRACT(CELL("address",J53), "\$([A-Z]+)\$[0-9]+")))</f>
        <v/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 t="str" cm="1">
        <f t="array" aca="1" ref="Z53" ca="1">IF(OR('Raw Data'!Z53="",LEN(TRIM('Raw Data'!Z53))=0,Validate_Empty!Z53&lt;&gt;"",Validate_Value!Z53&lt;&gt;""),"",IF('Raw Data'!Z53=SUM('Raw Data'!T53:Y53),"",_xlfn.REGEXEXTRACT(CELL("address",Z53), "\$([A-Z]+)\$[0-9]+")))</f>
        <v/>
      </c>
      <c r="AA53" s="7"/>
      <c r="AB53" s="7"/>
      <c r="AC53" s="7"/>
      <c r="AD53" s="7"/>
      <c r="AE53" s="7"/>
      <c r="AF53" s="7"/>
      <c r="AG53" s="7" t="str" cm="1">
        <f t="array" aca="1" ref="AG53" ca="1">IF(OR('Raw Data'!AG53="",LEN(TRIM('Raw Data'!AG53))=0,Validate_Empty!AG53&lt;&gt;"",Validate_Value!AG53&lt;&gt;""),"",IF('Raw Data'!AG53=SUM('Raw Data'!AA53:AF53),"",_xlfn.REGEXEXTRACT(CELL("address",AG53), "\$([A-Z]+)\$[0-9]+")))</f>
        <v/>
      </c>
      <c r="AH53" s="7" t="str" cm="1">
        <f t="array" aca="1" ref="AH53" ca="1">IF(OR('Raw Data'!AH53="",LEN(TRIM('Raw Data'!AH53))=0,Validate_Empty!AH53&lt;&gt;"",Validate_Value!AH53&lt;&gt;""),"",IF(Configuration!$G$2 = Configuration!$I$2,"",_xlfn.REGEXEXTRACT(CELL("address",AH53), "\$([A-Z]+)\$[0-9]+")))</f>
        <v/>
      </c>
      <c r="AI53" s="7" t="str" cm="1">
        <f t="array" aca="1" ref="AI53" ca="1">IF(OR('Raw Data'!AI53="",LEN(TRIM('Raw Data'!AI53))=0,Validate_Empty!AI53&lt;&gt;"",Validate_Value!AI53&lt;&gt;""),"",IF(Configuration!$H$2 = Configuration!$J$2,"",_xlfn.REGEXEXTRACT(CELL("address",AI53), "\$([A-Z]+)\$[0-9]+")))</f>
        <v/>
      </c>
      <c r="AJ53" s="7"/>
      <c r="AK53" s="7"/>
      <c r="AL53" s="7"/>
      <c r="AM53" s="7"/>
      <c r="AN53" s="7"/>
      <c r="AO53" s="7"/>
      <c r="AP53" s="7" t="str" cm="1">
        <f t="array" aca="1" ref="AP53" ca="1">IF(OR('Raw Data'!AP53="",LEN(TRIM('Raw Data'!AP53))=0,Validate_Empty!AP53&lt;&gt;"",Validate_Value!AP53&lt;&gt;""),"",IF('Raw Data'!AP53=SUM('Raw Data'!AK53:AO53),"",_xlfn.REGEXEXTRACT(CELL("address",AP53), "\$([A-Z]+)\$[0-9]+")))</f>
        <v/>
      </c>
    </row>
    <row r="54" spans="2:42" x14ac:dyDescent="0.25">
      <c r="B54" s="7"/>
      <c r="C54" s="7"/>
      <c r="D54" s="7"/>
      <c r="E54" s="7"/>
      <c r="F54" s="7"/>
      <c r="G54" s="7"/>
      <c r="H54" s="7"/>
      <c r="I54" s="7"/>
      <c r="J54" s="7" t="str" cm="1">
        <f t="array" aca="1" ref="J54" ca="1">IF(OR('Raw Data'!J54="",LEN(TRIM('Raw Data'!J54))=0,Validate_Empty!J54&lt;&gt;"",Validate_Value!J54&lt;&gt;""),"",IF('Raw Data'!J54=SUM('Raw Data'!K54:N54),"",_xlfn.REGEXEXTRACT(CELL("address",J54), "\$([A-Z]+)\$[0-9]+")))</f>
        <v/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 t="str" cm="1">
        <f t="array" aca="1" ref="Z54" ca="1">IF(OR('Raw Data'!Z54="",LEN(TRIM('Raw Data'!Z54))=0,Validate_Empty!Z54&lt;&gt;"",Validate_Value!Z54&lt;&gt;""),"",IF('Raw Data'!Z54=SUM('Raw Data'!T54:Y54),"",_xlfn.REGEXEXTRACT(CELL("address",Z54), "\$([A-Z]+)\$[0-9]+")))</f>
        <v/>
      </c>
      <c r="AA54" s="7"/>
      <c r="AB54" s="7"/>
      <c r="AC54" s="7"/>
      <c r="AD54" s="7"/>
      <c r="AE54" s="7"/>
      <c r="AF54" s="7"/>
      <c r="AG54" s="7" t="str" cm="1">
        <f t="array" aca="1" ref="AG54" ca="1">IF(OR('Raw Data'!AG54="",LEN(TRIM('Raw Data'!AG54))=0,Validate_Empty!AG54&lt;&gt;"",Validate_Value!AG54&lt;&gt;""),"",IF('Raw Data'!AG54=SUM('Raw Data'!AA54:AF54),"",_xlfn.REGEXEXTRACT(CELL("address",AG54), "\$([A-Z]+)\$[0-9]+")))</f>
        <v/>
      </c>
      <c r="AH54" s="7" t="str" cm="1">
        <f t="array" aca="1" ref="AH54" ca="1">IF(OR('Raw Data'!AH54="",LEN(TRIM('Raw Data'!AH54))=0,Validate_Empty!AH54&lt;&gt;"",Validate_Value!AH54&lt;&gt;""),"",IF(Configuration!$G$2 = Configuration!$I$2,"",_xlfn.REGEXEXTRACT(CELL("address",AH54), "\$([A-Z]+)\$[0-9]+")))</f>
        <v/>
      </c>
      <c r="AI54" s="7" t="str" cm="1">
        <f t="array" aca="1" ref="AI54" ca="1">IF(OR('Raw Data'!AI54="",LEN(TRIM('Raw Data'!AI54))=0,Validate_Empty!AI54&lt;&gt;"",Validate_Value!AI54&lt;&gt;""),"",IF(Configuration!$H$2 = Configuration!$J$2,"",_xlfn.REGEXEXTRACT(CELL("address",AI54), "\$([A-Z]+)\$[0-9]+")))</f>
        <v/>
      </c>
      <c r="AJ54" s="7"/>
      <c r="AK54" s="7"/>
      <c r="AL54" s="7"/>
      <c r="AM54" s="7"/>
      <c r="AN54" s="7"/>
      <c r="AO54" s="7"/>
      <c r="AP54" s="7" t="str" cm="1">
        <f t="array" aca="1" ref="AP54" ca="1">IF(OR('Raw Data'!AP54="",LEN(TRIM('Raw Data'!AP54))=0,Validate_Empty!AP54&lt;&gt;"",Validate_Value!AP54&lt;&gt;""),"",IF('Raw Data'!AP54=SUM('Raw Data'!AK54:AO54),"",_xlfn.REGEXEXTRACT(CELL("address",AP54), "\$([A-Z]+)\$[0-9]+")))</f>
        <v/>
      </c>
    </row>
    <row r="55" spans="2:42" x14ac:dyDescent="0.25">
      <c r="B55" s="7"/>
      <c r="C55" s="7"/>
      <c r="D55" s="7"/>
      <c r="E55" s="7"/>
      <c r="F55" s="7"/>
      <c r="G55" s="7"/>
      <c r="H55" s="7"/>
      <c r="I55" s="7"/>
      <c r="J55" s="7" t="str" cm="1">
        <f t="array" aca="1" ref="J55" ca="1">IF(OR('Raw Data'!J55="",LEN(TRIM('Raw Data'!J55))=0,Validate_Empty!J55&lt;&gt;"",Validate_Value!J55&lt;&gt;""),"",IF('Raw Data'!J55=SUM('Raw Data'!K55:N55),"",_xlfn.REGEXEXTRACT(CELL("address",J55), "\$([A-Z]+)\$[0-9]+")))</f>
        <v/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 t="str" cm="1">
        <f t="array" aca="1" ref="Z55" ca="1">IF(OR('Raw Data'!Z55="",LEN(TRIM('Raw Data'!Z55))=0,Validate_Empty!Z55&lt;&gt;"",Validate_Value!Z55&lt;&gt;""),"",IF('Raw Data'!Z55=SUM('Raw Data'!T55:Y55),"",_xlfn.REGEXEXTRACT(CELL("address",Z55), "\$([A-Z]+)\$[0-9]+")))</f>
        <v/>
      </c>
      <c r="AA55" s="7"/>
      <c r="AB55" s="7"/>
      <c r="AC55" s="7"/>
      <c r="AD55" s="7"/>
      <c r="AE55" s="7"/>
      <c r="AF55" s="7"/>
      <c r="AG55" s="7" t="str" cm="1">
        <f t="array" aca="1" ref="AG55" ca="1">IF(OR('Raw Data'!AG55="",LEN(TRIM('Raw Data'!AG55))=0,Validate_Empty!AG55&lt;&gt;"",Validate_Value!AG55&lt;&gt;""),"",IF('Raw Data'!AG55=SUM('Raw Data'!AA55:AF55),"",_xlfn.REGEXEXTRACT(CELL("address",AG55), "\$([A-Z]+)\$[0-9]+")))</f>
        <v/>
      </c>
      <c r="AH55" s="7" t="str" cm="1">
        <f t="array" aca="1" ref="AH55" ca="1">IF(OR('Raw Data'!AH55="",LEN(TRIM('Raw Data'!AH55))=0,Validate_Empty!AH55&lt;&gt;"",Validate_Value!AH55&lt;&gt;""),"",IF(Configuration!$G$2 = Configuration!$I$2,"",_xlfn.REGEXEXTRACT(CELL("address",AH55), "\$([A-Z]+)\$[0-9]+")))</f>
        <v/>
      </c>
      <c r="AI55" s="7" t="str" cm="1">
        <f t="array" aca="1" ref="AI55" ca="1">IF(OR('Raw Data'!AI55="",LEN(TRIM('Raw Data'!AI55))=0,Validate_Empty!AI55&lt;&gt;"",Validate_Value!AI55&lt;&gt;""),"",IF(Configuration!$H$2 = Configuration!$J$2,"",_xlfn.REGEXEXTRACT(CELL("address",AI55), "\$([A-Z]+)\$[0-9]+")))</f>
        <v/>
      </c>
      <c r="AJ55" s="7"/>
      <c r="AK55" s="7"/>
      <c r="AL55" s="7"/>
      <c r="AM55" s="7"/>
      <c r="AN55" s="7"/>
      <c r="AO55" s="7"/>
      <c r="AP55" s="7" t="str" cm="1">
        <f t="array" aca="1" ref="AP55" ca="1">IF(OR('Raw Data'!AP55="",LEN(TRIM('Raw Data'!AP55))=0,Validate_Empty!AP55&lt;&gt;"",Validate_Value!AP55&lt;&gt;""),"",IF('Raw Data'!AP55=SUM('Raw Data'!AK55:AO55),"",_xlfn.REGEXEXTRACT(CELL("address",AP55), "\$([A-Z]+)\$[0-9]+")))</f>
        <v/>
      </c>
    </row>
    <row r="56" spans="2:42" x14ac:dyDescent="0.25">
      <c r="B56" s="7"/>
      <c r="C56" s="7"/>
      <c r="D56" s="7"/>
      <c r="E56" s="7"/>
      <c r="F56" s="7"/>
      <c r="G56" s="7"/>
      <c r="H56" s="7"/>
      <c r="I56" s="7"/>
      <c r="J56" s="7" t="str" cm="1">
        <f t="array" aca="1" ref="J56" ca="1">IF(OR('Raw Data'!J56="",LEN(TRIM('Raw Data'!J56))=0,Validate_Empty!J56&lt;&gt;"",Validate_Value!J56&lt;&gt;""),"",IF('Raw Data'!J56=SUM('Raw Data'!K56:N56),"",_xlfn.REGEXEXTRACT(CELL("address",J56), "\$([A-Z]+)\$[0-9]+")))</f>
        <v/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 t="str" cm="1">
        <f t="array" aca="1" ref="Z56" ca="1">IF(OR('Raw Data'!Z56="",LEN(TRIM('Raw Data'!Z56))=0,Validate_Empty!Z56&lt;&gt;"",Validate_Value!Z56&lt;&gt;""),"",IF('Raw Data'!Z56=SUM('Raw Data'!T56:Y56),"",_xlfn.REGEXEXTRACT(CELL("address",Z56), "\$([A-Z]+)\$[0-9]+")))</f>
        <v/>
      </c>
      <c r="AA56" s="7"/>
      <c r="AB56" s="7"/>
      <c r="AC56" s="7"/>
      <c r="AD56" s="7"/>
      <c r="AE56" s="7"/>
      <c r="AF56" s="7"/>
      <c r="AG56" s="7" t="str" cm="1">
        <f t="array" aca="1" ref="AG56" ca="1">IF(OR('Raw Data'!AG56="",LEN(TRIM('Raw Data'!AG56))=0,Validate_Empty!AG56&lt;&gt;"",Validate_Value!AG56&lt;&gt;""),"",IF('Raw Data'!AG56=SUM('Raw Data'!AA56:AF56),"",_xlfn.REGEXEXTRACT(CELL("address",AG56), "\$([A-Z]+)\$[0-9]+")))</f>
        <v/>
      </c>
      <c r="AH56" s="7" t="str" cm="1">
        <f t="array" aca="1" ref="AH56" ca="1">IF(OR('Raw Data'!AH56="",LEN(TRIM('Raw Data'!AH56))=0,Validate_Empty!AH56&lt;&gt;"",Validate_Value!AH56&lt;&gt;""),"",IF(Configuration!$G$2 = Configuration!$I$2,"",_xlfn.REGEXEXTRACT(CELL("address",AH56), "\$([A-Z]+)\$[0-9]+")))</f>
        <v/>
      </c>
      <c r="AI56" s="7" t="str" cm="1">
        <f t="array" aca="1" ref="AI56" ca="1">IF(OR('Raw Data'!AI56="",LEN(TRIM('Raw Data'!AI56))=0,Validate_Empty!AI56&lt;&gt;"",Validate_Value!AI56&lt;&gt;""),"",IF(Configuration!$H$2 = Configuration!$J$2,"",_xlfn.REGEXEXTRACT(CELL("address",AI56), "\$([A-Z]+)\$[0-9]+")))</f>
        <v/>
      </c>
      <c r="AJ56" s="7"/>
      <c r="AK56" s="7"/>
      <c r="AL56" s="7"/>
      <c r="AM56" s="7"/>
      <c r="AN56" s="7"/>
      <c r="AO56" s="7"/>
      <c r="AP56" s="7" t="str" cm="1">
        <f t="array" aca="1" ref="AP56" ca="1">IF(OR('Raw Data'!AP56="",LEN(TRIM('Raw Data'!AP56))=0,Validate_Empty!AP56&lt;&gt;"",Validate_Value!AP56&lt;&gt;""),"",IF('Raw Data'!AP56=SUM('Raw Data'!AK56:AO56),"",_xlfn.REGEXEXTRACT(CELL("address",AP56), "\$([A-Z]+)\$[0-9]+")))</f>
        <v/>
      </c>
    </row>
    <row r="57" spans="2:42" x14ac:dyDescent="0.25">
      <c r="B57" s="7"/>
      <c r="C57" s="7"/>
      <c r="D57" s="7"/>
      <c r="E57" s="7"/>
      <c r="F57" s="7"/>
      <c r="G57" s="7"/>
      <c r="H57" s="7"/>
      <c r="I57" s="7"/>
      <c r="J57" s="7" t="str" cm="1">
        <f t="array" aca="1" ref="J57" ca="1">IF(OR('Raw Data'!J57="",LEN(TRIM('Raw Data'!J57))=0,Validate_Empty!J57&lt;&gt;"",Validate_Value!J57&lt;&gt;""),"",IF('Raw Data'!J57=SUM('Raw Data'!K57:N57),"",_xlfn.REGEXEXTRACT(CELL("address",J57), "\$([A-Z]+)\$[0-9]+")))</f>
        <v/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 t="str" cm="1">
        <f t="array" aca="1" ref="Z57" ca="1">IF(OR('Raw Data'!Z57="",LEN(TRIM('Raw Data'!Z57))=0,Validate_Empty!Z57&lt;&gt;"",Validate_Value!Z57&lt;&gt;""),"",IF('Raw Data'!Z57=SUM('Raw Data'!T57:Y57),"",_xlfn.REGEXEXTRACT(CELL("address",Z57), "\$([A-Z]+)\$[0-9]+")))</f>
        <v/>
      </c>
      <c r="AA57" s="7"/>
      <c r="AB57" s="7"/>
      <c r="AC57" s="7"/>
      <c r="AD57" s="7"/>
      <c r="AE57" s="7"/>
      <c r="AF57" s="7"/>
      <c r="AG57" s="7" t="str" cm="1">
        <f t="array" aca="1" ref="AG57" ca="1">IF(OR('Raw Data'!AG57="",LEN(TRIM('Raw Data'!AG57))=0,Validate_Empty!AG57&lt;&gt;"",Validate_Value!AG57&lt;&gt;""),"",IF('Raw Data'!AG57=SUM('Raw Data'!AA57:AF57),"",_xlfn.REGEXEXTRACT(CELL("address",AG57), "\$([A-Z]+)\$[0-9]+")))</f>
        <v/>
      </c>
      <c r="AH57" s="7" t="str" cm="1">
        <f t="array" aca="1" ref="AH57" ca="1">IF(OR('Raw Data'!AH57="",LEN(TRIM('Raw Data'!AH57))=0,Validate_Empty!AH57&lt;&gt;"",Validate_Value!AH57&lt;&gt;""),"",IF(Configuration!$G$2 = Configuration!$I$2,"",_xlfn.REGEXEXTRACT(CELL("address",AH57), "\$([A-Z]+)\$[0-9]+")))</f>
        <v/>
      </c>
      <c r="AI57" s="7" t="str" cm="1">
        <f t="array" aca="1" ref="AI57" ca="1">IF(OR('Raw Data'!AI57="",LEN(TRIM('Raw Data'!AI57))=0,Validate_Empty!AI57&lt;&gt;"",Validate_Value!AI57&lt;&gt;""),"",IF(Configuration!$H$2 = Configuration!$J$2,"",_xlfn.REGEXEXTRACT(CELL("address",AI57), "\$([A-Z]+)\$[0-9]+")))</f>
        <v/>
      </c>
      <c r="AJ57" s="7"/>
      <c r="AK57" s="7"/>
      <c r="AL57" s="7"/>
      <c r="AM57" s="7"/>
      <c r="AN57" s="7"/>
      <c r="AO57" s="7"/>
      <c r="AP57" s="7" t="str" cm="1">
        <f t="array" aca="1" ref="AP57" ca="1">IF(OR('Raw Data'!AP57="",LEN(TRIM('Raw Data'!AP57))=0,Validate_Empty!AP57&lt;&gt;"",Validate_Value!AP57&lt;&gt;""),"",IF('Raw Data'!AP57=SUM('Raw Data'!AK57:AO57),"",_xlfn.REGEXEXTRACT(CELL("address",AP57), "\$([A-Z]+)\$[0-9]+")))</f>
        <v/>
      </c>
    </row>
    <row r="58" spans="2:42" x14ac:dyDescent="0.25">
      <c r="B58" s="7"/>
      <c r="C58" s="7"/>
      <c r="D58" s="7"/>
      <c r="E58" s="7"/>
      <c r="F58" s="7"/>
      <c r="G58" s="7"/>
      <c r="H58" s="7"/>
      <c r="I58" s="7"/>
      <c r="J58" s="7" t="str" cm="1">
        <f t="array" aca="1" ref="J58" ca="1">IF(OR('Raw Data'!J58="",LEN(TRIM('Raw Data'!J58))=0,Validate_Empty!J58&lt;&gt;"",Validate_Value!J58&lt;&gt;""),"",IF('Raw Data'!J58=SUM('Raw Data'!K58:N58),"",_xlfn.REGEXEXTRACT(CELL("address",J58), "\$([A-Z]+)\$[0-9]+")))</f>
        <v/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 t="str" cm="1">
        <f t="array" aca="1" ref="Z58" ca="1">IF(OR('Raw Data'!Z58="",LEN(TRIM('Raw Data'!Z58))=0,Validate_Empty!Z58&lt;&gt;"",Validate_Value!Z58&lt;&gt;""),"",IF('Raw Data'!Z58=SUM('Raw Data'!T58:Y58),"",_xlfn.REGEXEXTRACT(CELL("address",Z58), "\$([A-Z]+)\$[0-9]+")))</f>
        <v/>
      </c>
      <c r="AA58" s="7"/>
      <c r="AB58" s="7"/>
      <c r="AC58" s="7"/>
      <c r="AD58" s="7"/>
      <c r="AE58" s="7"/>
      <c r="AF58" s="7"/>
      <c r="AG58" s="7" t="str" cm="1">
        <f t="array" aca="1" ref="AG58" ca="1">IF(OR('Raw Data'!AG58="",LEN(TRIM('Raw Data'!AG58))=0,Validate_Empty!AG58&lt;&gt;"",Validate_Value!AG58&lt;&gt;""),"",IF('Raw Data'!AG58=SUM('Raw Data'!AA58:AF58),"",_xlfn.REGEXEXTRACT(CELL("address",AG58), "\$([A-Z]+)\$[0-9]+")))</f>
        <v/>
      </c>
      <c r="AH58" s="7" t="str" cm="1">
        <f t="array" aca="1" ref="AH58" ca="1">IF(OR('Raw Data'!AH58="",LEN(TRIM('Raw Data'!AH58))=0,Validate_Empty!AH58&lt;&gt;"",Validate_Value!AH58&lt;&gt;""),"",IF(Configuration!$G$2 = Configuration!$I$2,"",_xlfn.REGEXEXTRACT(CELL("address",AH58), "\$([A-Z]+)\$[0-9]+")))</f>
        <v/>
      </c>
      <c r="AI58" s="7" t="str" cm="1">
        <f t="array" aca="1" ref="AI58" ca="1">IF(OR('Raw Data'!AI58="",LEN(TRIM('Raw Data'!AI58))=0,Validate_Empty!AI58&lt;&gt;"",Validate_Value!AI58&lt;&gt;""),"",IF(Configuration!$H$2 = Configuration!$J$2,"",_xlfn.REGEXEXTRACT(CELL("address",AI58), "\$([A-Z]+)\$[0-9]+")))</f>
        <v/>
      </c>
      <c r="AJ58" s="7"/>
      <c r="AK58" s="7"/>
      <c r="AL58" s="7"/>
      <c r="AM58" s="7"/>
      <c r="AN58" s="7"/>
      <c r="AO58" s="7"/>
      <c r="AP58" s="7" t="str" cm="1">
        <f t="array" aca="1" ref="AP58" ca="1">IF(OR('Raw Data'!AP58="",LEN(TRIM('Raw Data'!AP58))=0,Validate_Empty!AP58&lt;&gt;"",Validate_Value!AP58&lt;&gt;""),"",IF('Raw Data'!AP58=SUM('Raw Data'!AK58:AO58),"",_xlfn.REGEXEXTRACT(CELL("address",AP58), "\$([A-Z]+)\$[0-9]+")))</f>
        <v/>
      </c>
    </row>
    <row r="59" spans="2:42" x14ac:dyDescent="0.25">
      <c r="B59" s="7"/>
      <c r="C59" s="7"/>
      <c r="D59" s="7"/>
      <c r="E59" s="7"/>
      <c r="F59" s="7"/>
      <c r="G59" s="7"/>
      <c r="H59" s="7"/>
      <c r="I59" s="7"/>
      <c r="J59" s="7" t="str" cm="1">
        <f t="array" aca="1" ref="J59" ca="1">IF(OR('Raw Data'!J59="",LEN(TRIM('Raw Data'!J59))=0,Validate_Empty!J59&lt;&gt;"",Validate_Value!J59&lt;&gt;""),"",IF('Raw Data'!J59=SUM('Raw Data'!K59:N59),"",_xlfn.REGEXEXTRACT(CELL("address",J59), "\$([A-Z]+)\$[0-9]+")))</f>
        <v/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 t="str" cm="1">
        <f t="array" aca="1" ref="Z59" ca="1">IF(OR('Raw Data'!Z59="",LEN(TRIM('Raw Data'!Z59))=0,Validate_Empty!Z59&lt;&gt;"",Validate_Value!Z59&lt;&gt;""),"",IF('Raw Data'!Z59=SUM('Raw Data'!T59:Y59),"",_xlfn.REGEXEXTRACT(CELL("address",Z59), "\$([A-Z]+)\$[0-9]+")))</f>
        <v/>
      </c>
      <c r="AA59" s="7"/>
      <c r="AB59" s="7"/>
      <c r="AC59" s="7"/>
      <c r="AD59" s="7"/>
      <c r="AE59" s="7"/>
      <c r="AF59" s="7"/>
      <c r="AG59" s="7" t="str" cm="1">
        <f t="array" aca="1" ref="AG59" ca="1">IF(OR('Raw Data'!AG59="",LEN(TRIM('Raw Data'!AG59))=0,Validate_Empty!AG59&lt;&gt;"",Validate_Value!AG59&lt;&gt;""),"",IF('Raw Data'!AG59=SUM('Raw Data'!AA59:AF59),"",_xlfn.REGEXEXTRACT(CELL("address",AG59), "\$([A-Z]+)\$[0-9]+")))</f>
        <v/>
      </c>
      <c r="AH59" s="7" t="str" cm="1">
        <f t="array" aca="1" ref="AH59" ca="1">IF(OR('Raw Data'!AH59="",LEN(TRIM('Raw Data'!AH59))=0,Validate_Empty!AH59&lt;&gt;"",Validate_Value!AH59&lt;&gt;""),"",IF(Configuration!$G$2 = Configuration!$I$2,"",_xlfn.REGEXEXTRACT(CELL("address",AH59), "\$([A-Z]+)\$[0-9]+")))</f>
        <v/>
      </c>
      <c r="AI59" s="7" t="str" cm="1">
        <f t="array" aca="1" ref="AI59" ca="1">IF(OR('Raw Data'!AI59="",LEN(TRIM('Raw Data'!AI59))=0,Validate_Empty!AI59&lt;&gt;"",Validate_Value!AI59&lt;&gt;""),"",IF(Configuration!$H$2 = Configuration!$J$2,"",_xlfn.REGEXEXTRACT(CELL("address",AI59), "\$([A-Z]+)\$[0-9]+")))</f>
        <v/>
      </c>
      <c r="AJ59" s="7"/>
      <c r="AK59" s="7"/>
      <c r="AL59" s="7"/>
      <c r="AM59" s="7"/>
      <c r="AN59" s="7"/>
      <c r="AO59" s="7"/>
      <c r="AP59" s="7" t="str" cm="1">
        <f t="array" aca="1" ref="AP59" ca="1">IF(OR('Raw Data'!AP59="",LEN(TRIM('Raw Data'!AP59))=0,Validate_Empty!AP59&lt;&gt;"",Validate_Value!AP59&lt;&gt;""),"",IF('Raw Data'!AP59=SUM('Raw Data'!AK59:AO59),"",_xlfn.REGEXEXTRACT(CELL("address",AP59), "\$([A-Z]+)\$[0-9]+")))</f>
        <v/>
      </c>
    </row>
    <row r="60" spans="2:42" x14ac:dyDescent="0.25">
      <c r="B60" s="7"/>
      <c r="C60" s="7"/>
      <c r="D60" s="7"/>
      <c r="E60" s="7"/>
      <c r="F60" s="7"/>
      <c r="G60" s="7"/>
      <c r="H60" s="7"/>
      <c r="I60" s="7"/>
      <c r="J60" s="7" t="str" cm="1">
        <f t="array" aca="1" ref="J60" ca="1">IF(OR('Raw Data'!J60="",LEN(TRIM('Raw Data'!J60))=0,Validate_Empty!J60&lt;&gt;"",Validate_Value!J60&lt;&gt;""),"",IF('Raw Data'!J60=SUM('Raw Data'!K60:N60),"",_xlfn.REGEXEXTRACT(CELL("address",J60), "\$([A-Z]+)\$[0-9]+")))</f>
        <v/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 t="str" cm="1">
        <f t="array" aca="1" ref="Z60" ca="1">IF(OR('Raw Data'!Z60="",LEN(TRIM('Raw Data'!Z60))=0,Validate_Empty!Z60&lt;&gt;"",Validate_Value!Z60&lt;&gt;""),"",IF('Raw Data'!Z60=SUM('Raw Data'!T60:Y60),"",_xlfn.REGEXEXTRACT(CELL("address",Z60), "\$([A-Z]+)\$[0-9]+")))</f>
        <v/>
      </c>
      <c r="AA60" s="7"/>
      <c r="AB60" s="7"/>
      <c r="AC60" s="7"/>
      <c r="AD60" s="7"/>
      <c r="AE60" s="7"/>
      <c r="AF60" s="7"/>
      <c r="AG60" s="7" t="str" cm="1">
        <f t="array" aca="1" ref="AG60" ca="1">IF(OR('Raw Data'!AG60="",LEN(TRIM('Raw Data'!AG60))=0,Validate_Empty!AG60&lt;&gt;"",Validate_Value!AG60&lt;&gt;""),"",IF('Raw Data'!AG60=SUM('Raw Data'!AA60:AF60),"",_xlfn.REGEXEXTRACT(CELL("address",AG60), "\$([A-Z]+)\$[0-9]+")))</f>
        <v/>
      </c>
      <c r="AH60" s="7" t="str" cm="1">
        <f t="array" aca="1" ref="AH60" ca="1">IF(OR('Raw Data'!AH60="",LEN(TRIM('Raw Data'!AH60))=0,Validate_Empty!AH60&lt;&gt;"",Validate_Value!AH60&lt;&gt;""),"",IF(Configuration!$G$2 = Configuration!$I$2,"",_xlfn.REGEXEXTRACT(CELL("address",AH60), "\$([A-Z]+)\$[0-9]+")))</f>
        <v/>
      </c>
      <c r="AI60" s="7" t="str" cm="1">
        <f t="array" aca="1" ref="AI60" ca="1">IF(OR('Raw Data'!AI60="",LEN(TRIM('Raw Data'!AI60))=0,Validate_Empty!AI60&lt;&gt;"",Validate_Value!AI60&lt;&gt;""),"",IF(Configuration!$H$2 = Configuration!$J$2,"",_xlfn.REGEXEXTRACT(CELL("address",AI60), "\$([A-Z]+)\$[0-9]+")))</f>
        <v/>
      </c>
      <c r="AJ60" s="7"/>
      <c r="AK60" s="7"/>
      <c r="AL60" s="7"/>
      <c r="AM60" s="7"/>
      <c r="AN60" s="7"/>
      <c r="AO60" s="7"/>
      <c r="AP60" s="7" t="str" cm="1">
        <f t="array" aca="1" ref="AP60" ca="1">IF(OR('Raw Data'!AP60="",LEN(TRIM('Raw Data'!AP60))=0,Validate_Empty!AP60&lt;&gt;"",Validate_Value!AP60&lt;&gt;""),"",IF('Raw Data'!AP60=SUM('Raw Data'!AK60:AO60),"",_xlfn.REGEXEXTRACT(CELL("address",AP60), "\$([A-Z]+)\$[0-9]+")))</f>
        <v/>
      </c>
    </row>
    <row r="61" spans="2:42" x14ac:dyDescent="0.25">
      <c r="B61" s="7"/>
      <c r="C61" s="7"/>
      <c r="D61" s="7"/>
      <c r="E61" s="7"/>
      <c r="F61" s="7"/>
      <c r="G61" s="7"/>
      <c r="H61" s="7"/>
      <c r="I61" s="7"/>
      <c r="J61" s="7" t="str" cm="1">
        <f t="array" aca="1" ref="J61" ca="1">IF(OR('Raw Data'!J61="",LEN(TRIM('Raw Data'!J61))=0,Validate_Empty!J61&lt;&gt;"",Validate_Value!J61&lt;&gt;""),"",IF('Raw Data'!J61=SUM('Raw Data'!K61:N61),"",_xlfn.REGEXEXTRACT(CELL("address",J61), "\$([A-Z]+)\$[0-9]+")))</f>
        <v/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 t="str" cm="1">
        <f t="array" aca="1" ref="Z61" ca="1">IF(OR('Raw Data'!Z61="",LEN(TRIM('Raw Data'!Z61))=0,Validate_Empty!Z61&lt;&gt;"",Validate_Value!Z61&lt;&gt;""),"",IF('Raw Data'!Z61=SUM('Raw Data'!T61:Y61),"",_xlfn.REGEXEXTRACT(CELL("address",Z61), "\$([A-Z]+)\$[0-9]+")))</f>
        <v/>
      </c>
      <c r="AA61" s="7"/>
      <c r="AB61" s="7"/>
      <c r="AC61" s="7"/>
      <c r="AD61" s="7"/>
      <c r="AE61" s="7"/>
      <c r="AF61" s="7"/>
      <c r="AG61" s="7" t="str" cm="1">
        <f t="array" aca="1" ref="AG61" ca="1">IF(OR('Raw Data'!AG61="",LEN(TRIM('Raw Data'!AG61))=0,Validate_Empty!AG61&lt;&gt;"",Validate_Value!AG61&lt;&gt;""),"",IF('Raw Data'!AG61=SUM('Raw Data'!AA61:AF61),"",_xlfn.REGEXEXTRACT(CELL("address",AG61), "\$([A-Z]+)\$[0-9]+")))</f>
        <v/>
      </c>
      <c r="AH61" s="7" t="str" cm="1">
        <f t="array" aca="1" ref="AH61" ca="1">IF(OR('Raw Data'!AH61="",LEN(TRIM('Raw Data'!AH61))=0,Validate_Empty!AH61&lt;&gt;"",Validate_Value!AH61&lt;&gt;""),"",IF(Configuration!$G$2 = Configuration!$I$2,"",_xlfn.REGEXEXTRACT(CELL("address",AH61), "\$([A-Z]+)\$[0-9]+")))</f>
        <v/>
      </c>
      <c r="AI61" s="7" t="str" cm="1">
        <f t="array" aca="1" ref="AI61" ca="1">IF(OR('Raw Data'!AI61="",LEN(TRIM('Raw Data'!AI61))=0,Validate_Empty!AI61&lt;&gt;"",Validate_Value!AI61&lt;&gt;""),"",IF(Configuration!$H$2 = Configuration!$J$2,"",_xlfn.REGEXEXTRACT(CELL("address",AI61), "\$([A-Z]+)\$[0-9]+")))</f>
        <v/>
      </c>
      <c r="AJ61" s="7"/>
      <c r="AK61" s="7"/>
      <c r="AL61" s="7"/>
      <c r="AM61" s="7"/>
      <c r="AN61" s="7"/>
      <c r="AO61" s="7"/>
      <c r="AP61" s="7" t="str" cm="1">
        <f t="array" aca="1" ref="AP61" ca="1">IF(OR('Raw Data'!AP61="",LEN(TRIM('Raw Data'!AP61))=0,Validate_Empty!AP61&lt;&gt;"",Validate_Value!AP61&lt;&gt;""),"",IF('Raw Data'!AP61=SUM('Raw Data'!AK61:AO61),"",_xlfn.REGEXEXTRACT(CELL("address",AP61), "\$([A-Z]+)\$[0-9]+")))</f>
        <v/>
      </c>
    </row>
    <row r="62" spans="2:42" x14ac:dyDescent="0.25">
      <c r="B62" s="7"/>
      <c r="C62" s="7"/>
      <c r="D62" s="7"/>
      <c r="E62" s="7"/>
      <c r="F62" s="7"/>
      <c r="G62" s="7"/>
      <c r="H62" s="7"/>
      <c r="I62" s="7"/>
      <c r="J62" s="7" t="str" cm="1">
        <f t="array" aca="1" ref="J62" ca="1">IF(OR('Raw Data'!J62="",LEN(TRIM('Raw Data'!J62))=0,Validate_Empty!J62&lt;&gt;"",Validate_Value!J62&lt;&gt;""),"",IF('Raw Data'!J62=SUM('Raw Data'!K62:N62),"",_xlfn.REGEXEXTRACT(CELL("address",J62), "\$([A-Z]+)\$[0-9]+")))</f>
        <v/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 t="str" cm="1">
        <f t="array" aca="1" ref="Z62" ca="1">IF(OR('Raw Data'!Z62="",LEN(TRIM('Raw Data'!Z62))=0,Validate_Empty!Z62&lt;&gt;"",Validate_Value!Z62&lt;&gt;""),"",IF('Raw Data'!Z62=SUM('Raw Data'!T62:Y62),"",_xlfn.REGEXEXTRACT(CELL("address",Z62), "\$([A-Z]+)\$[0-9]+")))</f>
        <v/>
      </c>
      <c r="AA62" s="7"/>
      <c r="AB62" s="7"/>
      <c r="AC62" s="7"/>
      <c r="AD62" s="7"/>
      <c r="AE62" s="7"/>
      <c r="AF62" s="7"/>
      <c r="AG62" s="7" t="str" cm="1">
        <f t="array" aca="1" ref="AG62" ca="1">IF(OR('Raw Data'!AG62="",LEN(TRIM('Raw Data'!AG62))=0,Validate_Empty!AG62&lt;&gt;"",Validate_Value!AG62&lt;&gt;""),"",IF('Raw Data'!AG62=SUM('Raw Data'!AA62:AF62),"",_xlfn.REGEXEXTRACT(CELL("address",AG62), "\$([A-Z]+)\$[0-9]+")))</f>
        <v/>
      </c>
      <c r="AH62" s="7" t="str" cm="1">
        <f t="array" aca="1" ref="AH62" ca="1">IF(OR('Raw Data'!AH62="",LEN(TRIM('Raw Data'!AH62))=0,Validate_Empty!AH62&lt;&gt;"",Validate_Value!AH62&lt;&gt;""),"",IF(Configuration!$G$2 = Configuration!$I$2,"",_xlfn.REGEXEXTRACT(CELL("address",AH62), "\$([A-Z]+)\$[0-9]+")))</f>
        <v/>
      </c>
      <c r="AI62" s="7" t="str" cm="1">
        <f t="array" aca="1" ref="AI62" ca="1">IF(OR('Raw Data'!AI62="",LEN(TRIM('Raw Data'!AI62))=0,Validate_Empty!AI62&lt;&gt;"",Validate_Value!AI62&lt;&gt;""),"",IF(Configuration!$H$2 = Configuration!$J$2,"",_xlfn.REGEXEXTRACT(CELL("address",AI62), "\$([A-Z]+)\$[0-9]+")))</f>
        <v/>
      </c>
      <c r="AJ62" s="7"/>
      <c r="AK62" s="7"/>
      <c r="AL62" s="7"/>
      <c r="AM62" s="7"/>
      <c r="AN62" s="7"/>
      <c r="AO62" s="7"/>
      <c r="AP62" s="7" t="str" cm="1">
        <f t="array" aca="1" ref="AP62" ca="1">IF(OR('Raw Data'!AP62="",LEN(TRIM('Raw Data'!AP62))=0,Validate_Empty!AP62&lt;&gt;"",Validate_Value!AP62&lt;&gt;""),"",IF('Raw Data'!AP62=SUM('Raw Data'!AK62:AO62),"",_xlfn.REGEXEXTRACT(CELL("address",AP62), "\$([A-Z]+)\$[0-9]+")))</f>
        <v/>
      </c>
    </row>
    <row r="63" spans="2:42" x14ac:dyDescent="0.25">
      <c r="B63" s="7"/>
      <c r="C63" s="7"/>
      <c r="D63" s="7"/>
      <c r="E63" s="7"/>
      <c r="F63" s="7"/>
      <c r="G63" s="7"/>
      <c r="H63" s="7"/>
      <c r="I63" s="7"/>
      <c r="J63" s="7" t="str" cm="1">
        <f t="array" aca="1" ref="J63" ca="1">IF(OR('Raw Data'!J63="",LEN(TRIM('Raw Data'!J63))=0,Validate_Empty!J63&lt;&gt;"",Validate_Value!J63&lt;&gt;""),"",IF('Raw Data'!J63=SUM('Raw Data'!K63:N63),"",_xlfn.REGEXEXTRACT(CELL("address",J63), "\$([A-Z]+)\$[0-9]+")))</f>
        <v/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 t="str" cm="1">
        <f t="array" aca="1" ref="Z63" ca="1">IF(OR('Raw Data'!Z63="",LEN(TRIM('Raw Data'!Z63))=0,Validate_Empty!Z63&lt;&gt;"",Validate_Value!Z63&lt;&gt;""),"",IF('Raw Data'!Z63=SUM('Raw Data'!T63:Y63),"",_xlfn.REGEXEXTRACT(CELL("address",Z63), "\$([A-Z]+)\$[0-9]+")))</f>
        <v/>
      </c>
      <c r="AA63" s="7"/>
      <c r="AB63" s="7"/>
      <c r="AC63" s="7"/>
      <c r="AD63" s="7"/>
      <c r="AE63" s="7"/>
      <c r="AF63" s="7"/>
      <c r="AG63" s="7" t="str" cm="1">
        <f t="array" aca="1" ref="AG63" ca="1">IF(OR('Raw Data'!AG63="",LEN(TRIM('Raw Data'!AG63))=0,Validate_Empty!AG63&lt;&gt;"",Validate_Value!AG63&lt;&gt;""),"",IF('Raw Data'!AG63=SUM('Raw Data'!AA63:AF63),"",_xlfn.REGEXEXTRACT(CELL("address",AG63), "\$([A-Z]+)\$[0-9]+")))</f>
        <v/>
      </c>
      <c r="AH63" s="7" t="str" cm="1">
        <f t="array" aca="1" ref="AH63" ca="1">IF(OR('Raw Data'!AH63="",LEN(TRIM('Raw Data'!AH63))=0,Validate_Empty!AH63&lt;&gt;"",Validate_Value!AH63&lt;&gt;""),"",IF(Configuration!$G$2 = Configuration!$I$2,"",_xlfn.REGEXEXTRACT(CELL("address",AH63), "\$([A-Z]+)\$[0-9]+")))</f>
        <v/>
      </c>
      <c r="AI63" s="7" t="str" cm="1">
        <f t="array" aca="1" ref="AI63" ca="1">IF(OR('Raw Data'!AI63="",LEN(TRIM('Raw Data'!AI63))=0,Validate_Empty!AI63&lt;&gt;"",Validate_Value!AI63&lt;&gt;""),"",IF(Configuration!$H$2 = Configuration!$J$2,"",_xlfn.REGEXEXTRACT(CELL("address",AI63), "\$([A-Z]+)\$[0-9]+")))</f>
        <v/>
      </c>
      <c r="AJ63" s="7"/>
      <c r="AK63" s="7"/>
      <c r="AL63" s="7"/>
      <c r="AM63" s="7"/>
      <c r="AN63" s="7"/>
      <c r="AO63" s="7"/>
      <c r="AP63" s="7" t="str" cm="1">
        <f t="array" aca="1" ref="AP63" ca="1">IF(OR('Raw Data'!AP63="",LEN(TRIM('Raw Data'!AP63))=0,Validate_Empty!AP63&lt;&gt;"",Validate_Value!AP63&lt;&gt;""),"",IF('Raw Data'!AP63=SUM('Raw Data'!AK63:AO63),"",_xlfn.REGEXEXTRACT(CELL("address",AP63), "\$([A-Z]+)\$[0-9]+")))</f>
        <v/>
      </c>
    </row>
    <row r="64" spans="2:42" x14ac:dyDescent="0.25">
      <c r="B64" s="7"/>
      <c r="C64" s="7"/>
      <c r="D64" s="7"/>
      <c r="E64" s="7"/>
      <c r="F64" s="7"/>
      <c r="G64" s="7"/>
      <c r="H64" s="7"/>
      <c r="I64" s="7"/>
      <c r="J64" s="7" t="str" cm="1">
        <f t="array" aca="1" ref="J64" ca="1">IF(OR('Raw Data'!J64="",LEN(TRIM('Raw Data'!J64))=0,Validate_Empty!J64&lt;&gt;"",Validate_Value!J64&lt;&gt;""),"",IF('Raw Data'!J64=SUM('Raw Data'!K64:N64),"",_xlfn.REGEXEXTRACT(CELL("address",J64), "\$([A-Z]+)\$[0-9]+")))</f>
        <v/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 t="str" cm="1">
        <f t="array" aca="1" ref="Z64" ca="1">IF(OR('Raw Data'!Z64="",LEN(TRIM('Raw Data'!Z64))=0,Validate_Empty!Z64&lt;&gt;"",Validate_Value!Z64&lt;&gt;""),"",IF('Raw Data'!Z64=SUM('Raw Data'!T64:Y64),"",_xlfn.REGEXEXTRACT(CELL("address",Z64), "\$([A-Z]+)\$[0-9]+")))</f>
        <v/>
      </c>
      <c r="AA64" s="7"/>
      <c r="AB64" s="7"/>
      <c r="AC64" s="7"/>
      <c r="AD64" s="7"/>
      <c r="AE64" s="7"/>
      <c r="AF64" s="7"/>
      <c r="AG64" s="7" t="str" cm="1">
        <f t="array" aca="1" ref="AG64" ca="1">IF(OR('Raw Data'!AG64="",LEN(TRIM('Raw Data'!AG64))=0,Validate_Empty!AG64&lt;&gt;"",Validate_Value!AG64&lt;&gt;""),"",IF('Raw Data'!AG64=SUM('Raw Data'!AA64:AF64),"",_xlfn.REGEXEXTRACT(CELL("address",AG64), "\$([A-Z]+)\$[0-9]+")))</f>
        <v/>
      </c>
      <c r="AH64" s="7" t="str" cm="1">
        <f t="array" aca="1" ref="AH64" ca="1">IF(OR('Raw Data'!AH64="",LEN(TRIM('Raw Data'!AH64))=0,Validate_Empty!AH64&lt;&gt;"",Validate_Value!AH64&lt;&gt;""),"",IF(Configuration!$G$2 = Configuration!$I$2,"",_xlfn.REGEXEXTRACT(CELL("address",AH64), "\$([A-Z]+)\$[0-9]+")))</f>
        <v/>
      </c>
      <c r="AI64" s="7" t="str" cm="1">
        <f t="array" aca="1" ref="AI64" ca="1">IF(OR('Raw Data'!AI64="",LEN(TRIM('Raw Data'!AI64))=0,Validate_Empty!AI64&lt;&gt;"",Validate_Value!AI64&lt;&gt;""),"",IF(Configuration!$H$2 = Configuration!$J$2,"",_xlfn.REGEXEXTRACT(CELL("address",AI64), "\$([A-Z]+)\$[0-9]+")))</f>
        <v/>
      </c>
      <c r="AJ64" s="7"/>
      <c r="AK64" s="7"/>
      <c r="AL64" s="7"/>
      <c r="AM64" s="7"/>
      <c r="AN64" s="7"/>
      <c r="AO64" s="7"/>
      <c r="AP64" s="7" t="str" cm="1">
        <f t="array" aca="1" ref="AP64" ca="1">IF(OR('Raw Data'!AP64="",LEN(TRIM('Raw Data'!AP64))=0,Validate_Empty!AP64&lt;&gt;"",Validate_Value!AP64&lt;&gt;""),"",IF('Raw Data'!AP64=SUM('Raw Data'!AK64:AO64),"",_xlfn.REGEXEXTRACT(CELL("address",AP64), "\$([A-Z]+)\$[0-9]+")))</f>
        <v/>
      </c>
    </row>
    <row r="65" spans="2:42" x14ac:dyDescent="0.25">
      <c r="B65" s="7"/>
      <c r="C65" s="7"/>
      <c r="D65" s="7"/>
      <c r="E65" s="7"/>
      <c r="F65" s="7"/>
      <c r="G65" s="7"/>
      <c r="H65" s="7"/>
      <c r="I65" s="7"/>
      <c r="J65" s="7" t="str" cm="1">
        <f t="array" aca="1" ref="J65" ca="1">IF(OR('Raw Data'!J65="",LEN(TRIM('Raw Data'!J65))=0,Validate_Empty!J65&lt;&gt;"",Validate_Value!J65&lt;&gt;""),"",IF('Raw Data'!J65=SUM('Raw Data'!K65:N65),"",_xlfn.REGEXEXTRACT(CELL("address",J65), "\$([A-Z]+)\$[0-9]+")))</f>
        <v/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 t="str" cm="1">
        <f t="array" aca="1" ref="Z65" ca="1">IF(OR('Raw Data'!Z65="",LEN(TRIM('Raw Data'!Z65))=0,Validate_Empty!Z65&lt;&gt;"",Validate_Value!Z65&lt;&gt;""),"",IF('Raw Data'!Z65=SUM('Raw Data'!T65:Y65),"",_xlfn.REGEXEXTRACT(CELL("address",Z65), "\$([A-Z]+)\$[0-9]+")))</f>
        <v/>
      </c>
      <c r="AA65" s="7"/>
      <c r="AB65" s="7"/>
      <c r="AC65" s="7"/>
      <c r="AD65" s="7"/>
      <c r="AE65" s="7"/>
      <c r="AF65" s="7"/>
      <c r="AG65" s="7" t="str" cm="1">
        <f t="array" aca="1" ref="AG65" ca="1">IF(OR('Raw Data'!AG65="",LEN(TRIM('Raw Data'!AG65))=0,Validate_Empty!AG65&lt;&gt;"",Validate_Value!AG65&lt;&gt;""),"",IF('Raw Data'!AG65=SUM('Raw Data'!AA65:AF65),"",_xlfn.REGEXEXTRACT(CELL("address",AG65), "\$([A-Z]+)\$[0-9]+")))</f>
        <v/>
      </c>
      <c r="AH65" s="7" t="str" cm="1">
        <f t="array" aca="1" ref="AH65" ca="1">IF(OR('Raw Data'!AH65="",LEN(TRIM('Raw Data'!AH65))=0,Validate_Empty!AH65&lt;&gt;"",Validate_Value!AH65&lt;&gt;""),"",IF(Configuration!$G$2 = Configuration!$I$2,"",_xlfn.REGEXEXTRACT(CELL("address",AH65), "\$([A-Z]+)\$[0-9]+")))</f>
        <v/>
      </c>
      <c r="AI65" s="7" t="str" cm="1">
        <f t="array" aca="1" ref="AI65" ca="1">IF(OR('Raw Data'!AI65="",LEN(TRIM('Raw Data'!AI65))=0,Validate_Empty!AI65&lt;&gt;"",Validate_Value!AI65&lt;&gt;""),"",IF(Configuration!$H$2 = Configuration!$J$2,"",_xlfn.REGEXEXTRACT(CELL("address",AI65), "\$([A-Z]+)\$[0-9]+")))</f>
        <v/>
      </c>
      <c r="AJ65" s="7"/>
      <c r="AK65" s="7"/>
      <c r="AL65" s="7"/>
      <c r="AM65" s="7"/>
      <c r="AN65" s="7"/>
      <c r="AO65" s="7"/>
      <c r="AP65" s="7" t="str" cm="1">
        <f t="array" aca="1" ref="AP65" ca="1">IF(OR('Raw Data'!AP65="",LEN(TRIM('Raw Data'!AP65))=0,Validate_Empty!AP65&lt;&gt;"",Validate_Value!AP65&lt;&gt;""),"",IF('Raw Data'!AP65=SUM('Raw Data'!AK65:AO65),"",_xlfn.REGEXEXTRACT(CELL("address",AP65), "\$([A-Z]+)\$[0-9]+")))</f>
        <v/>
      </c>
    </row>
    <row r="66" spans="2:42" x14ac:dyDescent="0.25">
      <c r="B66" s="7"/>
      <c r="C66" s="7"/>
      <c r="D66" s="7"/>
      <c r="E66" s="7"/>
      <c r="F66" s="7"/>
      <c r="G66" s="7"/>
      <c r="H66" s="7"/>
      <c r="I66" s="7"/>
      <c r="J66" s="7" t="str" cm="1">
        <f t="array" aca="1" ref="J66" ca="1">IF(OR('Raw Data'!J66="",LEN(TRIM('Raw Data'!J66))=0,Validate_Empty!J66&lt;&gt;"",Validate_Value!J66&lt;&gt;""),"",IF('Raw Data'!J66=SUM('Raw Data'!K66:N66),"",_xlfn.REGEXEXTRACT(CELL("address",J66), "\$([A-Z]+)\$[0-9]+")))</f>
        <v/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 t="str" cm="1">
        <f t="array" aca="1" ref="Z66" ca="1">IF(OR('Raw Data'!Z66="",LEN(TRIM('Raw Data'!Z66))=0,Validate_Empty!Z66&lt;&gt;"",Validate_Value!Z66&lt;&gt;""),"",IF('Raw Data'!Z66=SUM('Raw Data'!T66:Y66),"",_xlfn.REGEXEXTRACT(CELL("address",Z66), "\$([A-Z]+)\$[0-9]+")))</f>
        <v/>
      </c>
      <c r="AA66" s="7"/>
      <c r="AB66" s="7"/>
      <c r="AC66" s="7"/>
      <c r="AD66" s="7"/>
      <c r="AE66" s="7"/>
      <c r="AF66" s="7"/>
      <c r="AG66" s="7" t="str" cm="1">
        <f t="array" aca="1" ref="AG66" ca="1">IF(OR('Raw Data'!AG66="",LEN(TRIM('Raw Data'!AG66))=0,Validate_Empty!AG66&lt;&gt;"",Validate_Value!AG66&lt;&gt;""),"",IF('Raw Data'!AG66=SUM('Raw Data'!AA66:AF66),"",_xlfn.REGEXEXTRACT(CELL("address",AG66), "\$([A-Z]+)\$[0-9]+")))</f>
        <v/>
      </c>
      <c r="AH66" s="7" t="str" cm="1">
        <f t="array" aca="1" ref="AH66" ca="1">IF(OR('Raw Data'!AH66="",LEN(TRIM('Raw Data'!AH66))=0,Validate_Empty!AH66&lt;&gt;"",Validate_Value!AH66&lt;&gt;""),"",IF(Configuration!$G$2 = Configuration!$I$2,"",_xlfn.REGEXEXTRACT(CELL("address",AH66), "\$([A-Z]+)\$[0-9]+")))</f>
        <v/>
      </c>
      <c r="AI66" s="7" t="str" cm="1">
        <f t="array" aca="1" ref="AI66" ca="1">IF(OR('Raw Data'!AI66="",LEN(TRIM('Raw Data'!AI66))=0,Validate_Empty!AI66&lt;&gt;"",Validate_Value!AI66&lt;&gt;""),"",IF(Configuration!$H$2 = Configuration!$J$2,"",_xlfn.REGEXEXTRACT(CELL("address",AI66), "\$([A-Z]+)\$[0-9]+")))</f>
        <v/>
      </c>
      <c r="AJ66" s="7"/>
      <c r="AK66" s="7"/>
      <c r="AL66" s="7"/>
      <c r="AM66" s="7"/>
      <c r="AN66" s="7"/>
      <c r="AO66" s="7"/>
      <c r="AP66" s="7" t="str" cm="1">
        <f t="array" aca="1" ref="AP66" ca="1">IF(OR('Raw Data'!AP66="",LEN(TRIM('Raw Data'!AP66))=0,Validate_Empty!AP66&lt;&gt;"",Validate_Value!AP66&lt;&gt;""),"",IF('Raw Data'!AP66=SUM('Raw Data'!AK66:AO66),"",_xlfn.REGEXEXTRACT(CELL("address",AP66), "\$([A-Z]+)\$[0-9]+")))</f>
        <v/>
      </c>
    </row>
    <row r="67" spans="2:42" x14ac:dyDescent="0.25">
      <c r="B67" s="7"/>
      <c r="C67" s="7"/>
      <c r="D67" s="7"/>
      <c r="E67" s="7"/>
      <c r="F67" s="7"/>
      <c r="G67" s="7"/>
      <c r="H67" s="7"/>
      <c r="I67" s="7"/>
      <c r="J67" s="7" t="str" cm="1">
        <f t="array" aca="1" ref="J67" ca="1">IF(OR('Raw Data'!J67="",LEN(TRIM('Raw Data'!J67))=0,Validate_Empty!J67&lt;&gt;"",Validate_Value!J67&lt;&gt;""),"",IF('Raw Data'!J67=SUM('Raw Data'!K67:N67),"",_xlfn.REGEXEXTRACT(CELL("address",J67), "\$([A-Z]+)\$[0-9]+")))</f>
        <v/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 t="str" cm="1">
        <f t="array" aca="1" ref="Z67" ca="1">IF(OR('Raw Data'!Z67="",LEN(TRIM('Raw Data'!Z67))=0,Validate_Empty!Z67&lt;&gt;"",Validate_Value!Z67&lt;&gt;""),"",IF('Raw Data'!Z67=SUM('Raw Data'!T67:Y67),"",_xlfn.REGEXEXTRACT(CELL("address",Z67), "\$([A-Z]+)\$[0-9]+")))</f>
        <v/>
      </c>
      <c r="AA67" s="7"/>
      <c r="AB67" s="7"/>
      <c r="AC67" s="7"/>
      <c r="AD67" s="7"/>
      <c r="AE67" s="7"/>
      <c r="AF67" s="7"/>
      <c r="AG67" s="7" t="str" cm="1">
        <f t="array" aca="1" ref="AG67" ca="1">IF(OR('Raw Data'!AG67="",LEN(TRIM('Raw Data'!AG67))=0,Validate_Empty!AG67&lt;&gt;"",Validate_Value!AG67&lt;&gt;""),"",IF('Raw Data'!AG67=SUM('Raw Data'!AA67:AF67),"",_xlfn.REGEXEXTRACT(CELL("address",AG67), "\$([A-Z]+)\$[0-9]+")))</f>
        <v/>
      </c>
      <c r="AH67" s="7" t="str" cm="1">
        <f t="array" aca="1" ref="AH67" ca="1">IF(OR('Raw Data'!AH67="",LEN(TRIM('Raw Data'!AH67))=0,Validate_Empty!AH67&lt;&gt;"",Validate_Value!AH67&lt;&gt;""),"",IF(Configuration!$G$2 = Configuration!$I$2,"",_xlfn.REGEXEXTRACT(CELL("address",AH67), "\$([A-Z]+)\$[0-9]+")))</f>
        <v/>
      </c>
      <c r="AI67" s="7" t="str" cm="1">
        <f t="array" aca="1" ref="AI67" ca="1">IF(OR('Raw Data'!AI67="",LEN(TRIM('Raw Data'!AI67))=0,Validate_Empty!AI67&lt;&gt;"",Validate_Value!AI67&lt;&gt;""),"",IF(Configuration!$H$2 = Configuration!$J$2,"",_xlfn.REGEXEXTRACT(CELL("address",AI67), "\$([A-Z]+)\$[0-9]+")))</f>
        <v/>
      </c>
      <c r="AJ67" s="7"/>
      <c r="AK67" s="7"/>
      <c r="AL67" s="7"/>
      <c r="AM67" s="7"/>
      <c r="AN67" s="7"/>
      <c r="AO67" s="7"/>
      <c r="AP67" s="7" t="str" cm="1">
        <f t="array" aca="1" ref="AP67" ca="1">IF(OR('Raw Data'!AP67="",LEN(TRIM('Raw Data'!AP67))=0,Validate_Empty!AP67&lt;&gt;"",Validate_Value!AP67&lt;&gt;""),"",IF('Raw Data'!AP67=SUM('Raw Data'!AK67:AO67),"",_xlfn.REGEXEXTRACT(CELL("address",AP67), "\$([A-Z]+)\$[0-9]+")))</f>
        <v/>
      </c>
    </row>
    <row r="68" spans="2:42" x14ac:dyDescent="0.25">
      <c r="B68" s="7"/>
      <c r="C68" s="7"/>
      <c r="D68" s="7"/>
      <c r="E68" s="7"/>
      <c r="F68" s="7"/>
      <c r="G68" s="7"/>
      <c r="H68" s="7"/>
      <c r="I68" s="7"/>
      <c r="J68" s="7" t="str" cm="1">
        <f t="array" aca="1" ref="J68" ca="1">IF(OR('Raw Data'!J68="",LEN(TRIM('Raw Data'!J68))=0,Validate_Empty!J68&lt;&gt;"",Validate_Value!J68&lt;&gt;""),"",IF('Raw Data'!J68=SUM('Raw Data'!K68:N68),"",_xlfn.REGEXEXTRACT(CELL("address",J68), "\$([A-Z]+)\$[0-9]+")))</f>
        <v/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 t="str" cm="1">
        <f t="array" aca="1" ref="Z68" ca="1">IF(OR('Raw Data'!Z68="",LEN(TRIM('Raw Data'!Z68))=0,Validate_Empty!Z68&lt;&gt;"",Validate_Value!Z68&lt;&gt;""),"",IF('Raw Data'!Z68=SUM('Raw Data'!T68:Y68),"",_xlfn.REGEXEXTRACT(CELL("address",Z68), "\$([A-Z]+)\$[0-9]+")))</f>
        <v/>
      </c>
      <c r="AA68" s="7"/>
      <c r="AB68" s="7"/>
      <c r="AC68" s="7"/>
      <c r="AD68" s="7"/>
      <c r="AE68" s="7"/>
      <c r="AF68" s="7"/>
      <c r="AG68" s="7" t="str" cm="1">
        <f t="array" aca="1" ref="AG68" ca="1">IF(OR('Raw Data'!AG68="",LEN(TRIM('Raw Data'!AG68))=0,Validate_Empty!AG68&lt;&gt;"",Validate_Value!AG68&lt;&gt;""),"",IF('Raw Data'!AG68=SUM('Raw Data'!AA68:AF68),"",_xlfn.REGEXEXTRACT(CELL("address",AG68), "\$([A-Z]+)\$[0-9]+")))</f>
        <v/>
      </c>
      <c r="AH68" s="7" t="str" cm="1">
        <f t="array" aca="1" ref="AH68" ca="1">IF(OR('Raw Data'!AH68="",LEN(TRIM('Raw Data'!AH68))=0,Validate_Empty!AH68&lt;&gt;"",Validate_Value!AH68&lt;&gt;""),"",IF(Configuration!$G$2 = Configuration!$I$2,"",_xlfn.REGEXEXTRACT(CELL("address",AH68), "\$([A-Z]+)\$[0-9]+")))</f>
        <v/>
      </c>
      <c r="AI68" s="7" t="str" cm="1">
        <f t="array" aca="1" ref="AI68" ca="1">IF(OR('Raw Data'!AI68="",LEN(TRIM('Raw Data'!AI68))=0,Validate_Empty!AI68&lt;&gt;"",Validate_Value!AI68&lt;&gt;""),"",IF(Configuration!$H$2 = Configuration!$J$2,"",_xlfn.REGEXEXTRACT(CELL("address",AI68), "\$([A-Z]+)\$[0-9]+")))</f>
        <v/>
      </c>
      <c r="AJ68" s="7"/>
      <c r="AK68" s="7"/>
      <c r="AL68" s="7"/>
      <c r="AM68" s="7"/>
      <c r="AN68" s="7"/>
      <c r="AO68" s="7"/>
      <c r="AP68" s="7" t="str" cm="1">
        <f t="array" aca="1" ref="AP68" ca="1">IF(OR('Raw Data'!AP68="",LEN(TRIM('Raw Data'!AP68))=0,Validate_Empty!AP68&lt;&gt;"",Validate_Value!AP68&lt;&gt;""),"",IF('Raw Data'!AP68=SUM('Raw Data'!AK68:AO68),"",_xlfn.REGEXEXTRACT(CELL("address",AP68), "\$([A-Z]+)\$[0-9]+")))</f>
        <v/>
      </c>
    </row>
    <row r="69" spans="2:42" x14ac:dyDescent="0.25">
      <c r="B69" s="7"/>
      <c r="C69" s="7"/>
      <c r="D69" s="7"/>
      <c r="E69" s="7"/>
      <c r="F69" s="7"/>
      <c r="G69" s="7"/>
      <c r="H69" s="7"/>
      <c r="I69" s="7"/>
      <c r="J69" s="7" t="str" cm="1">
        <f t="array" aca="1" ref="J69" ca="1">IF(OR('Raw Data'!J69="",LEN(TRIM('Raw Data'!J69))=0,Validate_Empty!J69&lt;&gt;"",Validate_Value!J69&lt;&gt;""),"",IF('Raw Data'!J69=SUM('Raw Data'!K69:N69),"",_xlfn.REGEXEXTRACT(CELL("address",J69), "\$([A-Z]+)\$[0-9]+")))</f>
        <v/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 t="str" cm="1">
        <f t="array" aca="1" ref="Z69" ca="1">IF(OR('Raw Data'!Z69="",LEN(TRIM('Raw Data'!Z69))=0,Validate_Empty!Z69&lt;&gt;"",Validate_Value!Z69&lt;&gt;""),"",IF('Raw Data'!Z69=SUM('Raw Data'!T69:Y69),"",_xlfn.REGEXEXTRACT(CELL("address",Z69), "\$([A-Z]+)\$[0-9]+")))</f>
        <v/>
      </c>
      <c r="AA69" s="7"/>
      <c r="AB69" s="7"/>
      <c r="AC69" s="7"/>
      <c r="AD69" s="7"/>
      <c r="AE69" s="7"/>
      <c r="AF69" s="7"/>
      <c r="AG69" s="7" t="str" cm="1">
        <f t="array" aca="1" ref="AG69" ca="1">IF(OR('Raw Data'!AG69="",LEN(TRIM('Raw Data'!AG69))=0,Validate_Empty!AG69&lt;&gt;"",Validate_Value!AG69&lt;&gt;""),"",IF('Raw Data'!AG69=SUM('Raw Data'!AA69:AF69),"",_xlfn.REGEXEXTRACT(CELL("address",AG69), "\$([A-Z]+)\$[0-9]+")))</f>
        <v/>
      </c>
      <c r="AH69" s="7" t="str" cm="1">
        <f t="array" aca="1" ref="AH69" ca="1">IF(OR('Raw Data'!AH69="",LEN(TRIM('Raw Data'!AH69))=0,Validate_Empty!AH69&lt;&gt;"",Validate_Value!AH69&lt;&gt;""),"",IF(Configuration!$G$2 = Configuration!$I$2,"",_xlfn.REGEXEXTRACT(CELL("address",AH69), "\$([A-Z]+)\$[0-9]+")))</f>
        <v/>
      </c>
      <c r="AI69" s="7" t="str" cm="1">
        <f t="array" aca="1" ref="AI69" ca="1">IF(OR('Raw Data'!AI69="",LEN(TRIM('Raw Data'!AI69))=0,Validate_Empty!AI69&lt;&gt;"",Validate_Value!AI69&lt;&gt;""),"",IF(Configuration!$H$2 = Configuration!$J$2,"",_xlfn.REGEXEXTRACT(CELL("address",AI69), "\$([A-Z]+)\$[0-9]+")))</f>
        <v/>
      </c>
      <c r="AJ69" s="7"/>
      <c r="AK69" s="7"/>
      <c r="AL69" s="7"/>
      <c r="AM69" s="7"/>
      <c r="AN69" s="7"/>
      <c r="AO69" s="7"/>
      <c r="AP69" s="7" t="str" cm="1">
        <f t="array" aca="1" ref="AP69" ca="1">IF(OR('Raw Data'!AP69="",LEN(TRIM('Raw Data'!AP69))=0,Validate_Empty!AP69&lt;&gt;"",Validate_Value!AP69&lt;&gt;""),"",IF('Raw Data'!AP69=SUM('Raw Data'!AK69:AO69),"",_xlfn.REGEXEXTRACT(CELL("address",AP69), "\$([A-Z]+)\$[0-9]+")))</f>
        <v/>
      </c>
    </row>
    <row r="70" spans="2:42" x14ac:dyDescent="0.25">
      <c r="B70" s="7"/>
      <c r="C70" s="7"/>
      <c r="D70" s="7"/>
      <c r="E70" s="7"/>
      <c r="F70" s="7"/>
      <c r="G70" s="7"/>
      <c r="H70" s="7"/>
      <c r="I70" s="7"/>
      <c r="J70" s="7" t="str" cm="1">
        <f t="array" aca="1" ref="J70" ca="1">IF(OR('Raw Data'!J70="",LEN(TRIM('Raw Data'!J70))=0,Validate_Empty!J70&lt;&gt;"",Validate_Value!J70&lt;&gt;""),"",IF('Raw Data'!J70=SUM('Raw Data'!K70:N70),"",_xlfn.REGEXEXTRACT(CELL("address",J70), "\$([A-Z]+)\$[0-9]+")))</f>
        <v/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 t="str" cm="1">
        <f t="array" aca="1" ref="Z70" ca="1">IF(OR('Raw Data'!Z70="",LEN(TRIM('Raw Data'!Z70))=0,Validate_Empty!Z70&lt;&gt;"",Validate_Value!Z70&lt;&gt;""),"",IF('Raw Data'!Z70=SUM('Raw Data'!T70:Y70),"",_xlfn.REGEXEXTRACT(CELL("address",Z70), "\$([A-Z]+)\$[0-9]+")))</f>
        <v/>
      </c>
      <c r="AA70" s="7"/>
      <c r="AB70" s="7"/>
      <c r="AC70" s="7"/>
      <c r="AD70" s="7"/>
      <c r="AE70" s="7"/>
      <c r="AF70" s="7"/>
      <c r="AG70" s="7" t="str" cm="1">
        <f t="array" aca="1" ref="AG70" ca="1">IF(OR('Raw Data'!AG70="",LEN(TRIM('Raw Data'!AG70))=0,Validate_Empty!AG70&lt;&gt;"",Validate_Value!AG70&lt;&gt;""),"",IF('Raw Data'!AG70=SUM('Raw Data'!AA70:AF70),"",_xlfn.REGEXEXTRACT(CELL("address",AG70), "\$([A-Z]+)\$[0-9]+")))</f>
        <v/>
      </c>
      <c r="AH70" s="7" t="str" cm="1">
        <f t="array" aca="1" ref="AH70" ca="1">IF(OR('Raw Data'!AH70="",LEN(TRIM('Raw Data'!AH70))=0,Validate_Empty!AH70&lt;&gt;"",Validate_Value!AH70&lt;&gt;""),"",IF(Configuration!$G$2 = Configuration!$I$2,"",_xlfn.REGEXEXTRACT(CELL("address",AH70), "\$([A-Z]+)\$[0-9]+")))</f>
        <v/>
      </c>
      <c r="AI70" s="7" t="str" cm="1">
        <f t="array" aca="1" ref="AI70" ca="1">IF(OR('Raw Data'!AI70="",LEN(TRIM('Raw Data'!AI70))=0,Validate_Empty!AI70&lt;&gt;"",Validate_Value!AI70&lt;&gt;""),"",IF(Configuration!$H$2 = Configuration!$J$2,"",_xlfn.REGEXEXTRACT(CELL("address",AI70), "\$([A-Z]+)\$[0-9]+")))</f>
        <v/>
      </c>
      <c r="AJ70" s="7"/>
      <c r="AK70" s="7"/>
      <c r="AL70" s="7"/>
      <c r="AM70" s="7"/>
      <c r="AN70" s="7"/>
      <c r="AO70" s="7"/>
      <c r="AP70" s="7" t="str" cm="1">
        <f t="array" aca="1" ref="AP70" ca="1">IF(OR('Raw Data'!AP70="",LEN(TRIM('Raw Data'!AP70))=0,Validate_Empty!AP70&lt;&gt;"",Validate_Value!AP70&lt;&gt;""),"",IF('Raw Data'!AP70=SUM('Raw Data'!AK70:AO70),"",_xlfn.REGEXEXTRACT(CELL("address",AP70), "\$([A-Z]+)\$[0-9]+")))</f>
        <v/>
      </c>
    </row>
    <row r="71" spans="2:42" x14ac:dyDescent="0.25">
      <c r="B71" s="7"/>
      <c r="C71" s="7"/>
      <c r="D71" s="7"/>
      <c r="E71" s="7"/>
      <c r="F71" s="7"/>
      <c r="G71" s="7"/>
      <c r="H71" s="7"/>
      <c r="I71" s="7"/>
      <c r="J71" s="7" t="str" cm="1">
        <f t="array" aca="1" ref="J71" ca="1">IF(OR('Raw Data'!J71="",LEN(TRIM('Raw Data'!J71))=0,Validate_Empty!J71&lt;&gt;"",Validate_Value!J71&lt;&gt;""),"",IF('Raw Data'!J71=SUM('Raw Data'!K71:N71),"",_xlfn.REGEXEXTRACT(CELL("address",J71), "\$([A-Z]+)\$[0-9]+")))</f>
        <v/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 t="str" cm="1">
        <f t="array" aca="1" ref="Z71" ca="1">IF(OR('Raw Data'!Z71="",LEN(TRIM('Raw Data'!Z71))=0,Validate_Empty!Z71&lt;&gt;"",Validate_Value!Z71&lt;&gt;""),"",IF('Raw Data'!Z71=SUM('Raw Data'!T71:Y71),"",_xlfn.REGEXEXTRACT(CELL("address",Z71), "\$([A-Z]+)\$[0-9]+")))</f>
        <v/>
      </c>
      <c r="AA71" s="7"/>
      <c r="AB71" s="7"/>
      <c r="AC71" s="7"/>
      <c r="AD71" s="7"/>
      <c r="AE71" s="7"/>
      <c r="AF71" s="7"/>
      <c r="AG71" s="7" t="str" cm="1">
        <f t="array" aca="1" ref="AG71" ca="1">IF(OR('Raw Data'!AG71="",LEN(TRIM('Raw Data'!AG71))=0,Validate_Empty!AG71&lt;&gt;"",Validate_Value!AG71&lt;&gt;""),"",IF('Raw Data'!AG71=SUM('Raw Data'!AA71:AF71),"",_xlfn.REGEXEXTRACT(CELL("address",AG71), "\$([A-Z]+)\$[0-9]+")))</f>
        <v/>
      </c>
      <c r="AH71" s="7" t="str" cm="1">
        <f t="array" aca="1" ref="AH71" ca="1">IF(OR('Raw Data'!AH71="",LEN(TRIM('Raw Data'!AH71))=0,Validate_Empty!AH71&lt;&gt;"",Validate_Value!AH71&lt;&gt;""),"",IF(Configuration!$G$2 = Configuration!$I$2,"",_xlfn.REGEXEXTRACT(CELL("address",AH71), "\$([A-Z]+)\$[0-9]+")))</f>
        <v/>
      </c>
      <c r="AI71" s="7" t="str" cm="1">
        <f t="array" aca="1" ref="AI71" ca="1">IF(OR('Raw Data'!AI71="",LEN(TRIM('Raw Data'!AI71))=0,Validate_Empty!AI71&lt;&gt;"",Validate_Value!AI71&lt;&gt;""),"",IF(Configuration!$H$2 = Configuration!$J$2,"",_xlfn.REGEXEXTRACT(CELL("address",AI71), "\$([A-Z]+)\$[0-9]+")))</f>
        <v/>
      </c>
      <c r="AJ71" s="7"/>
      <c r="AK71" s="7"/>
      <c r="AL71" s="7"/>
      <c r="AM71" s="7"/>
      <c r="AN71" s="7"/>
      <c r="AO71" s="7"/>
      <c r="AP71" s="7" t="str" cm="1">
        <f t="array" aca="1" ref="AP71" ca="1">IF(OR('Raw Data'!AP71="",LEN(TRIM('Raw Data'!AP71))=0,Validate_Empty!AP71&lt;&gt;"",Validate_Value!AP71&lt;&gt;""),"",IF('Raw Data'!AP71=SUM('Raw Data'!AK71:AO71),"",_xlfn.REGEXEXTRACT(CELL("address",AP71), "\$([A-Z]+)\$[0-9]+")))</f>
        <v/>
      </c>
    </row>
    <row r="72" spans="2:42" x14ac:dyDescent="0.25">
      <c r="B72" s="7"/>
      <c r="C72" s="7"/>
      <c r="D72" s="7"/>
      <c r="E72" s="7"/>
      <c r="F72" s="7"/>
      <c r="G72" s="7"/>
      <c r="H72" s="7"/>
      <c r="I72" s="7"/>
      <c r="J72" s="7" t="str" cm="1">
        <f t="array" aca="1" ref="J72" ca="1">IF(OR('Raw Data'!J72="",LEN(TRIM('Raw Data'!J72))=0,Validate_Empty!J72&lt;&gt;"",Validate_Value!J72&lt;&gt;""),"",IF('Raw Data'!J72=SUM('Raw Data'!K72:N72),"",_xlfn.REGEXEXTRACT(CELL("address",J72), "\$([A-Z]+)\$[0-9]+")))</f>
        <v/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 t="str" cm="1">
        <f t="array" aca="1" ref="Z72" ca="1">IF(OR('Raw Data'!Z72="",LEN(TRIM('Raw Data'!Z72))=0,Validate_Empty!Z72&lt;&gt;"",Validate_Value!Z72&lt;&gt;""),"",IF('Raw Data'!Z72=SUM('Raw Data'!T72:Y72),"",_xlfn.REGEXEXTRACT(CELL("address",Z72), "\$([A-Z]+)\$[0-9]+")))</f>
        <v/>
      </c>
      <c r="AA72" s="7"/>
      <c r="AB72" s="7"/>
      <c r="AC72" s="7"/>
      <c r="AD72" s="7"/>
      <c r="AE72" s="7"/>
      <c r="AF72" s="7"/>
      <c r="AG72" s="7" t="str" cm="1">
        <f t="array" aca="1" ref="AG72" ca="1">IF(OR('Raw Data'!AG72="",LEN(TRIM('Raw Data'!AG72))=0,Validate_Empty!AG72&lt;&gt;"",Validate_Value!AG72&lt;&gt;""),"",IF('Raw Data'!AG72=SUM('Raw Data'!AA72:AF72),"",_xlfn.REGEXEXTRACT(CELL("address",AG72), "\$([A-Z]+)\$[0-9]+")))</f>
        <v/>
      </c>
      <c r="AH72" s="7" t="str" cm="1">
        <f t="array" aca="1" ref="AH72" ca="1">IF(OR('Raw Data'!AH72="",LEN(TRIM('Raw Data'!AH72))=0,Validate_Empty!AH72&lt;&gt;"",Validate_Value!AH72&lt;&gt;""),"",IF(Configuration!$G$2 = Configuration!$I$2,"",_xlfn.REGEXEXTRACT(CELL("address",AH72), "\$([A-Z]+)\$[0-9]+")))</f>
        <v/>
      </c>
      <c r="AI72" s="7" t="str" cm="1">
        <f t="array" aca="1" ref="AI72" ca="1">IF(OR('Raw Data'!AI72="",LEN(TRIM('Raw Data'!AI72))=0,Validate_Empty!AI72&lt;&gt;"",Validate_Value!AI72&lt;&gt;""),"",IF(Configuration!$H$2 = Configuration!$J$2,"",_xlfn.REGEXEXTRACT(CELL("address",AI72), "\$([A-Z]+)\$[0-9]+")))</f>
        <v/>
      </c>
      <c r="AJ72" s="7"/>
      <c r="AK72" s="7"/>
      <c r="AL72" s="7"/>
      <c r="AM72" s="7"/>
      <c r="AN72" s="7"/>
      <c r="AO72" s="7"/>
      <c r="AP72" s="7" t="str" cm="1">
        <f t="array" aca="1" ref="AP72" ca="1">IF(OR('Raw Data'!AP72="",LEN(TRIM('Raw Data'!AP72))=0,Validate_Empty!AP72&lt;&gt;"",Validate_Value!AP72&lt;&gt;""),"",IF('Raw Data'!AP72=SUM('Raw Data'!AK72:AO72),"",_xlfn.REGEXEXTRACT(CELL("address",AP72), "\$([A-Z]+)\$[0-9]+")))</f>
        <v/>
      </c>
    </row>
    <row r="73" spans="2:42" x14ac:dyDescent="0.25">
      <c r="B73" s="7"/>
      <c r="C73" s="7"/>
      <c r="D73" s="7"/>
      <c r="E73" s="7"/>
      <c r="F73" s="7"/>
      <c r="G73" s="7"/>
      <c r="H73" s="7"/>
      <c r="I73" s="7"/>
      <c r="J73" s="7" t="str" cm="1">
        <f t="array" aca="1" ref="J73" ca="1">IF(OR('Raw Data'!J73="",LEN(TRIM('Raw Data'!J73))=0,Validate_Empty!J73&lt;&gt;"",Validate_Value!J73&lt;&gt;""),"",IF('Raw Data'!J73=SUM('Raw Data'!K73:N73),"",_xlfn.REGEXEXTRACT(CELL("address",J73), "\$([A-Z]+)\$[0-9]+")))</f>
        <v/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 t="str" cm="1">
        <f t="array" aca="1" ref="Z73" ca="1">IF(OR('Raw Data'!Z73="",LEN(TRIM('Raw Data'!Z73))=0,Validate_Empty!Z73&lt;&gt;"",Validate_Value!Z73&lt;&gt;""),"",IF('Raw Data'!Z73=SUM('Raw Data'!T73:Y73),"",_xlfn.REGEXEXTRACT(CELL("address",Z73), "\$([A-Z]+)\$[0-9]+")))</f>
        <v/>
      </c>
      <c r="AA73" s="7"/>
      <c r="AB73" s="7"/>
      <c r="AC73" s="7"/>
      <c r="AD73" s="7"/>
      <c r="AE73" s="7"/>
      <c r="AF73" s="7"/>
      <c r="AG73" s="7" t="str" cm="1">
        <f t="array" aca="1" ref="AG73" ca="1">IF(OR('Raw Data'!AG73="",LEN(TRIM('Raw Data'!AG73))=0,Validate_Empty!AG73&lt;&gt;"",Validate_Value!AG73&lt;&gt;""),"",IF('Raw Data'!AG73=SUM('Raw Data'!AA73:AF73),"",_xlfn.REGEXEXTRACT(CELL("address",AG73), "\$([A-Z]+)\$[0-9]+")))</f>
        <v/>
      </c>
      <c r="AH73" s="7" t="str" cm="1">
        <f t="array" aca="1" ref="AH73" ca="1">IF(OR('Raw Data'!AH73="",LEN(TRIM('Raw Data'!AH73))=0,Validate_Empty!AH73&lt;&gt;"",Validate_Value!AH73&lt;&gt;""),"",IF(Configuration!$G$2 = Configuration!$I$2,"",_xlfn.REGEXEXTRACT(CELL("address",AH73), "\$([A-Z]+)\$[0-9]+")))</f>
        <v/>
      </c>
      <c r="AI73" s="7" t="str" cm="1">
        <f t="array" aca="1" ref="AI73" ca="1">IF(OR('Raw Data'!AI73="",LEN(TRIM('Raw Data'!AI73))=0,Validate_Empty!AI73&lt;&gt;"",Validate_Value!AI73&lt;&gt;""),"",IF(Configuration!$H$2 = Configuration!$J$2,"",_xlfn.REGEXEXTRACT(CELL("address",AI73), "\$([A-Z]+)\$[0-9]+")))</f>
        <v/>
      </c>
      <c r="AJ73" s="7"/>
      <c r="AK73" s="7"/>
      <c r="AL73" s="7"/>
      <c r="AM73" s="7"/>
      <c r="AN73" s="7"/>
      <c r="AO73" s="7"/>
      <c r="AP73" s="7" t="str" cm="1">
        <f t="array" aca="1" ref="AP73" ca="1">IF(OR('Raw Data'!AP73="",LEN(TRIM('Raw Data'!AP73))=0,Validate_Empty!AP73&lt;&gt;"",Validate_Value!AP73&lt;&gt;""),"",IF('Raw Data'!AP73=SUM('Raw Data'!AK73:AO73),"",_xlfn.REGEXEXTRACT(CELL("address",AP73), "\$([A-Z]+)\$[0-9]+")))</f>
        <v/>
      </c>
    </row>
    <row r="74" spans="2:42" x14ac:dyDescent="0.25">
      <c r="B74" s="7"/>
      <c r="C74" s="7"/>
      <c r="D74" s="7"/>
      <c r="E74" s="7"/>
      <c r="F74" s="7"/>
      <c r="G74" s="7"/>
      <c r="H74" s="7"/>
      <c r="I74" s="7"/>
      <c r="J74" s="7" t="str" cm="1">
        <f t="array" aca="1" ref="J74" ca="1">IF(OR('Raw Data'!J74="",LEN(TRIM('Raw Data'!J74))=0,Validate_Empty!J74&lt;&gt;"",Validate_Value!J74&lt;&gt;""),"",IF('Raw Data'!J74=SUM('Raw Data'!K74:N74),"",_xlfn.REGEXEXTRACT(CELL("address",J74), "\$([A-Z]+)\$[0-9]+")))</f>
        <v/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 t="str" cm="1">
        <f t="array" aca="1" ref="Z74" ca="1">IF(OR('Raw Data'!Z74="",LEN(TRIM('Raw Data'!Z74))=0,Validate_Empty!Z74&lt;&gt;"",Validate_Value!Z74&lt;&gt;""),"",IF('Raw Data'!Z74=SUM('Raw Data'!T74:Y74),"",_xlfn.REGEXEXTRACT(CELL("address",Z74), "\$([A-Z]+)\$[0-9]+")))</f>
        <v/>
      </c>
      <c r="AA74" s="7"/>
      <c r="AB74" s="7"/>
      <c r="AC74" s="7"/>
      <c r="AD74" s="7"/>
      <c r="AE74" s="7"/>
      <c r="AF74" s="7"/>
      <c r="AG74" s="7" t="str" cm="1">
        <f t="array" aca="1" ref="AG74" ca="1">IF(OR('Raw Data'!AG74="",LEN(TRIM('Raw Data'!AG74))=0,Validate_Empty!AG74&lt;&gt;"",Validate_Value!AG74&lt;&gt;""),"",IF('Raw Data'!AG74=SUM('Raw Data'!AA74:AF74),"",_xlfn.REGEXEXTRACT(CELL("address",AG74), "\$([A-Z]+)\$[0-9]+")))</f>
        <v/>
      </c>
      <c r="AH74" s="7" t="str" cm="1">
        <f t="array" aca="1" ref="AH74" ca="1">IF(OR('Raw Data'!AH74="",LEN(TRIM('Raw Data'!AH74))=0,Validate_Empty!AH74&lt;&gt;"",Validate_Value!AH74&lt;&gt;""),"",IF(Configuration!$G$2 = Configuration!$I$2,"",_xlfn.REGEXEXTRACT(CELL("address",AH74), "\$([A-Z]+)\$[0-9]+")))</f>
        <v/>
      </c>
      <c r="AI74" s="7" t="str" cm="1">
        <f t="array" aca="1" ref="AI74" ca="1">IF(OR('Raw Data'!AI74="",LEN(TRIM('Raw Data'!AI74))=0,Validate_Empty!AI74&lt;&gt;"",Validate_Value!AI74&lt;&gt;""),"",IF(Configuration!$H$2 = Configuration!$J$2,"",_xlfn.REGEXEXTRACT(CELL("address",AI74), "\$([A-Z]+)\$[0-9]+")))</f>
        <v/>
      </c>
      <c r="AJ74" s="7"/>
      <c r="AK74" s="7"/>
      <c r="AL74" s="7"/>
      <c r="AM74" s="7"/>
      <c r="AN74" s="7"/>
      <c r="AO74" s="7"/>
      <c r="AP74" s="7" t="str" cm="1">
        <f t="array" aca="1" ref="AP74" ca="1">IF(OR('Raw Data'!AP74="",LEN(TRIM('Raw Data'!AP74))=0,Validate_Empty!AP74&lt;&gt;"",Validate_Value!AP74&lt;&gt;""),"",IF('Raw Data'!AP74=SUM('Raw Data'!AK74:AO74),"",_xlfn.REGEXEXTRACT(CELL("address",AP74), "\$([A-Z]+)\$[0-9]+")))</f>
        <v/>
      </c>
    </row>
    <row r="75" spans="2:42" x14ac:dyDescent="0.25">
      <c r="B75" s="7"/>
      <c r="C75" s="7"/>
      <c r="D75" s="7"/>
      <c r="E75" s="7"/>
      <c r="F75" s="7"/>
      <c r="G75" s="7"/>
      <c r="H75" s="7"/>
      <c r="I75" s="7"/>
      <c r="J75" s="7" t="str" cm="1">
        <f t="array" aca="1" ref="J75" ca="1">IF(OR('Raw Data'!J75="",LEN(TRIM('Raw Data'!J75))=0,Validate_Empty!J75&lt;&gt;"",Validate_Value!J75&lt;&gt;""),"",IF('Raw Data'!J75=SUM('Raw Data'!K75:N75),"",_xlfn.REGEXEXTRACT(CELL("address",J75), "\$([A-Z]+)\$[0-9]+")))</f>
        <v/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 t="str" cm="1">
        <f t="array" aca="1" ref="Z75" ca="1">IF(OR('Raw Data'!Z75="",LEN(TRIM('Raw Data'!Z75))=0,Validate_Empty!Z75&lt;&gt;"",Validate_Value!Z75&lt;&gt;""),"",IF('Raw Data'!Z75=SUM('Raw Data'!T75:Y75),"",_xlfn.REGEXEXTRACT(CELL("address",Z75), "\$([A-Z]+)\$[0-9]+")))</f>
        <v/>
      </c>
      <c r="AA75" s="7"/>
      <c r="AB75" s="7"/>
      <c r="AC75" s="7"/>
      <c r="AD75" s="7"/>
      <c r="AE75" s="7"/>
      <c r="AF75" s="7"/>
      <c r="AG75" s="7" t="str" cm="1">
        <f t="array" aca="1" ref="AG75" ca="1">IF(OR('Raw Data'!AG75="",LEN(TRIM('Raw Data'!AG75))=0,Validate_Empty!AG75&lt;&gt;"",Validate_Value!AG75&lt;&gt;""),"",IF('Raw Data'!AG75=SUM('Raw Data'!AA75:AF75),"",_xlfn.REGEXEXTRACT(CELL("address",AG75), "\$([A-Z]+)\$[0-9]+")))</f>
        <v/>
      </c>
      <c r="AH75" s="7" t="str" cm="1">
        <f t="array" aca="1" ref="AH75" ca="1">IF(OR('Raw Data'!AH75="",LEN(TRIM('Raw Data'!AH75))=0,Validate_Empty!AH75&lt;&gt;"",Validate_Value!AH75&lt;&gt;""),"",IF(Configuration!$G$2 = Configuration!$I$2,"",_xlfn.REGEXEXTRACT(CELL("address",AH75), "\$([A-Z]+)\$[0-9]+")))</f>
        <v/>
      </c>
      <c r="AI75" s="7" t="str" cm="1">
        <f t="array" aca="1" ref="AI75" ca="1">IF(OR('Raw Data'!AI75="",LEN(TRIM('Raw Data'!AI75))=0,Validate_Empty!AI75&lt;&gt;"",Validate_Value!AI75&lt;&gt;""),"",IF(Configuration!$H$2 = Configuration!$J$2,"",_xlfn.REGEXEXTRACT(CELL("address",AI75), "\$([A-Z]+)\$[0-9]+")))</f>
        <v/>
      </c>
      <c r="AJ75" s="7"/>
      <c r="AK75" s="7"/>
      <c r="AL75" s="7"/>
      <c r="AM75" s="7"/>
      <c r="AN75" s="7"/>
      <c r="AO75" s="7"/>
      <c r="AP75" s="7" t="str" cm="1">
        <f t="array" aca="1" ref="AP75" ca="1">IF(OR('Raw Data'!AP75="",LEN(TRIM('Raw Data'!AP75))=0,Validate_Empty!AP75&lt;&gt;"",Validate_Value!AP75&lt;&gt;""),"",IF('Raw Data'!AP75=SUM('Raw Data'!AK75:AO75),"",_xlfn.REGEXEXTRACT(CELL("address",AP75), "\$([A-Z]+)\$[0-9]+")))</f>
        <v/>
      </c>
    </row>
    <row r="76" spans="2:42" x14ac:dyDescent="0.25">
      <c r="B76" s="7"/>
      <c r="C76" s="7"/>
      <c r="D76" s="7"/>
      <c r="E76" s="7"/>
      <c r="F76" s="7"/>
      <c r="G76" s="7"/>
      <c r="H76" s="7"/>
      <c r="I76" s="7"/>
      <c r="J76" s="7" t="str" cm="1">
        <f t="array" aca="1" ref="J76" ca="1">IF(OR('Raw Data'!J76="",LEN(TRIM('Raw Data'!J76))=0,Validate_Empty!J76&lt;&gt;"",Validate_Value!J76&lt;&gt;""),"",IF('Raw Data'!J76=SUM('Raw Data'!K76:N76),"",_xlfn.REGEXEXTRACT(CELL("address",J76), "\$([A-Z]+)\$[0-9]+")))</f>
        <v/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 t="str" cm="1">
        <f t="array" aca="1" ref="Z76" ca="1">IF(OR('Raw Data'!Z76="",LEN(TRIM('Raw Data'!Z76))=0,Validate_Empty!Z76&lt;&gt;"",Validate_Value!Z76&lt;&gt;""),"",IF('Raw Data'!Z76=SUM('Raw Data'!T76:Y76),"",_xlfn.REGEXEXTRACT(CELL("address",Z76), "\$([A-Z]+)\$[0-9]+")))</f>
        <v/>
      </c>
      <c r="AA76" s="7"/>
      <c r="AB76" s="7"/>
      <c r="AC76" s="7"/>
      <c r="AD76" s="7"/>
      <c r="AE76" s="7"/>
      <c r="AF76" s="7"/>
      <c r="AG76" s="7" t="str" cm="1">
        <f t="array" aca="1" ref="AG76" ca="1">IF(OR('Raw Data'!AG76="",LEN(TRIM('Raw Data'!AG76))=0,Validate_Empty!AG76&lt;&gt;"",Validate_Value!AG76&lt;&gt;""),"",IF('Raw Data'!AG76=SUM('Raw Data'!AA76:AF76),"",_xlfn.REGEXEXTRACT(CELL("address",AG76), "\$([A-Z]+)\$[0-9]+")))</f>
        <v/>
      </c>
      <c r="AH76" s="7" t="str" cm="1">
        <f t="array" aca="1" ref="AH76" ca="1">IF(OR('Raw Data'!AH76="",LEN(TRIM('Raw Data'!AH76))=0,Validate_Empty!AH76&lt;&gt;"",Validate_Value!AH76&lt;&gt;""),"",IF(Configuration!$G$2 = Configuration!$I$2,"",_xlfn.REGEXEXTRACT(CELL("address",AH76), "\$([A-Z]+)\$[0-9]+")))</f>
        <v/>
      </c>
      <c r="AI76" s="7" t="str" cm="1">
        <f t="array" aca="1" ref="AI76" ca="1">IF(OR('Raw Data'!AI76="",LEN(TRIM('Raw Data'!AI76))=0,Validate_Empty!AI76&lt;&gt;"",Validate_Value!AI76&lt;&gt;""),"",IF(Configuration!$H$2 = Configuration!$J$2,"",_xlfn.REGEXEXTRACT(CELL("address",AI76), "\$([A-Z]+)\$[0-9]+")))</f>
        <v/>
      </c>
      <c r="AJ76" s="7"/>
      <c r="AK76" s="7"/>
      <c r="AL76" s="7"/>
      <c r="AM76" s="7"/>
      <c r="AN76" s="7"/>
      <c r="AO76" s="7"/>
      <c r="AP76" s="7" t="str" cm="1">
        <f t="array" aca="1" ref="AP76" ca="1">IF(OR('Raw Data'!AP76="",LEN(TRIM('Raw Data'!AP76))=0,Validate_Empty!AP76&lt;&gt;"",Validate_Value!AP76&lt;&gt;""),"",IF('Raw Data'!AP76=SUM('Raw Data'!AK76:AO76),"",_xlfn.REGEXEXTRACT(CELL("address",AP76), "\$([A-Z]+)\$[0-9]+")))</f>
        <v/>
      </c>
    </row>
    <row r="77" spans="2:42" x14ac:dyDescent="0.25">
      <c r="B77" s="7"/>
      <c r="C77" s="7"/>
      <c r="D77" s="7"/>
      <c r="E77" s="7"/>
      <c r="F77" s="7"/>
      <c r="G77" s="7"/>
      <c r="H77" s="7"/>
      <c r="I77" s="7"/>
      <c r="J77" s="7" t="str" cm="1">
        <f t="array" aca="1" ref="J77" ca="1">IF(OR('Raw Data'!J77="",LEN(TRIM('Raw Data'!J77))=0,Validate_Empty!J77&lt;&gt;"",Validate_Value!J77&lt;&gt;""),"",IF('Raw Data'!J77=SUM('Raw Data'!K77:N77),"",_xlfn.REGEXEXTRACT(CELL("address",J77), "\$([A-Z]+)\$[0-9]+")))</f>
        <v/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 t="str" cm="1">
        <f t="array" aca="1" ref="Z77" ca="1">IF(OR('Raw Data'!Z77="",LEN(TRIM('Raw Data'!Z77))=0,Validate_Empty!Z77&lt;&gt;"",Validate_Value!Z77&lt;&gt;""),"",IF('Raw Data'!Z77=SUM('Raw Data'!T77:Y77),"",_xlfn.REGEXEXTRACT(CELL("address",Z77), "\$([A-Z]+)\$[0-9]+")))</f>
        <v/>
      </c>
      <c r="AA77" s="7"/>
      <c r="AB77" s="7"/>
      <c r="AC77" s="7"/>
      <c r="AD77" s="7"/>
      <c r="AE77" s="7"/>
      <c r="AF77" s="7"/>
      <c r="AG77" s="7" t="str" cm="1">
        <f t="array" aca="1" ref="AG77" ca="1">IF(OR('Raw Data'!AG77="",LEN(TRIM('Raw Data'!AG77))=0,Validate_Empty!AG77&lt;&gt;"",Validate_Value!AG77&lt;&gt;""),"",IF('Raw Data'!AG77=SUM('Raw Data'!AA77:AF77),"",_xlfn.REGEXEXTRACT(CELL("address",AG77), "\$([A-Z]+)\$[0-9]+")))</f>
        <v/>
      </c>
      <c r="AH77" s="7" t="str" cm="1">
        <f t="array" aca="1" ref="AH77" ca="1">IF(OR('Raw Data'!AH77="",LEN(TRIM('Raw Data'!AH77))=0,Validate_Empty!AH77&lt;&gt;"",Validate_Value!AH77&lt;&gt;""),"",IF(Configuration!$G$2 = Configuration!$I$2,"",_xlfn.REGEXEXTRACT(CELL("address",AH77), "\$([A-Z]+)\$[0-9]+")))</f>
        <v/>
      </c>
      <c r="AI77" s="7" t="str" cm="1">
        <f t="array" aca="1" ref="AI77" ca="1">IF(OR('Raw Data'!AI77="",LEN(TRIM('Raw Data'!AI77))=0,Validate_Empty!AI77&lt;&gt;"",Validate_Value!AI77&lt;&gt;""),"",IF(Configuration!$H$2 = Configuration!$J$2,"",_xlfn.REGEXEXTRACT(CELL("address",AI77), "\$([A-Z]+)\$[0-9]+")))</f>
        <v/>
      </c>
      <c r="AJ77" s="7"/>
      <c r="AK77" s="7"/>
      <c r="AL77" s="7"/>
      <c r="AM77" s="7"/>
      <c r="AN77" s="7"/>
      <c r="AO77" s="7"/>
      <c r="AP77" s="7" t="str" cm="1">
        <f t="array" aca="1" ref="AP77" ca="1">IF(OR('Raw Data'!AP77="",LEN(TRIM('Raw Data'!AP77))=0,Validate_Empty!AP77&lt;&gt;"",Validate_Value!AP77&lt;&gt;""),"",IF('Raw Data'!AP77=SUM('Raw Data'!AK77:AO77),"",_xlfn.REGEXEXTRACT(CELL("address",AP77), "\$([A-Z]+)\$[0-9]+")))</f>
        <v/>
      </c>
    </row>
    <row r="78" spans="2:42" x14ac:dyDescent="0.25">
      <c r="B78" s="7"/>
      <c r="C78" s="7"/>
      <c r="D78" s="7"/>
      <c r="E78" s="7"/>
      <c r="F78" s="7"/>
      <c r="G78" s="7"/>
      <c r="H78" s="7"/>
      <c r="I78" s="7"/>
      <c r="J78" s="7" t="str" cm="1">
        <f t="array" aca="1" ref="J78" ca="1">IF(OR('Raw Data'!J78="",LEN(TRIM('Raw Data'!J78))=0,Validate_Empty!J78&lt;&gt;"",Validate_Value!J78&lt;&gt;""),"",IF('Raw Data'!J78=SUM('Raw Data'!K78:N78),"",_xlfn.REGEXEXTRACT(CELL("address",J78), "\$([A-Z]+)\$[0-9]+")))</f>
        <v/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 t="str" cm="1">
        <f t="array" aca="1" ref="Z78" ca="1">IF(OR('Raw Data'!Z78="",LEN(TRIM('Raw Data'!Z78))=0,Validate_Empty!Z78&lt;&gt;"",Validate_Value!Z78&lt;&gt;""),"",IF('Raw Data'!Z78=SUM('Raw Data'!T78:Y78),"",_xlfn.REGEXEXTRACT(CELL("address",Z78), "\$([A-Z]+)\$[0-9]+")))</f>
        <v/>
      </c>
      <c r="AA78" s="7"/>
      <c r="AB78" s="7"/>
      <c r="AC78" s="7"/>
      <c r="AD78" s="7"/>
      <c r="AE78" s="7"/>
      <c r="AF78" s="7"/>
      <c r="AG78" s="7" t="str" cm="1">
        <f t="array" aca="1" ref="AG78" ca="1">IF(OR('Raw Data'!AG78="",LEN(TRIM('Raw Data'!AG78))=0,Validate_Empty!AG78&lt;&gt;"",Validate_Value!AG78&lt;&gt;""),"",IF('Raw Data'!AG78=SUM('Raw Data'!AA78:AF78),"",_xlfn.REGEXEXTRACT(CELL("address",AG78), "\$([A-Z]+)\$[0-9]+")))</f>
        <v/>
      </c>
      <c r="AH78" s="7" t="str" cm="1">
        <f t="array" aca="1" ref="AH78" ca="1">IF(OR('Raw Data'!AH78="",LEN(TRIM('Raw Data'!AH78))=0,Validate_Empty!AH78&lt;&gt;"",Validate_Value!AH78&lt;&gt;""),"",IF(Configuration!$G$2 = Configuration!$I$2,"",_xlfn.REGEXEXTRACT(CELL("address",AH78), "\$([A-Z]+)\$[0-9]+")))</f>
        <v/>
      </c>
      <c r="AI78" s="7" t="str" cm="1">
        <f t="array" aca="1" ref="AI78" ca="1">IF(OR('Raw Data'!AI78="",LEN(TRIM('Raw Data'!AI78))=0,Validate_Empty!AI78&lt;&gt;"",Validate_Value!AI78&lt;&gt;""),"",IF(Configuration!$H$2 = Configuration!$J$2,"",_xlfn.REGEXEXTRACT(CELL("address",AI78), "\$([A-Z]+)\$[0-9]+")))</f>
        <v/>
      </c>
      <c r="AJ78" s="7"/>
      <c r="AK78" s="7"/>
      <c r="AL78" s="7"/>
      <c r="AM78" s="7"/>
      <c r="AN78" s="7"/>
      <c r="AO78" s="7"/>
      <c r="AP78" s="7" t="str" cm="1">
        <f t="array" aca="1" ref="AP78" ca="1">IF(OR('Raw Data'!AP78="",LEN(TRIM('Raw Data'!AP78))=0,Validate_Empty!AP78&lt;&gt;"",Validate_Value!AP78&lt;&gt;""),"",IF('Raw Data'!AP78=SUM('Raw Data'!AK78:AO78),"",_xlfn.REGEXEXTRACT(CELL("address",AP78), "\$([A-Z]+)\$[0-9]+")))</f>
        <v/>
      </c>
    </row>
    <row r="79" spans="2:42" x14ac:dyDescent="0.25">
      <c r="B79" s="7"/>
      <c r="C79" s="7"/>
      <c r="D79" s="7"/>
      <c r="E79" s="7"/>
      <c r="F79" s="7"/>
      <c r="G79" s="7"/>
      <c r="H79" s="7"/>
      <c r="I79" s="7"/>
      <c r="J79" s="7" t="str" cm="1">
        <f t="array" aca="1" ref="J79" ca="1">IF(OR('Raw Data'!J79="",LEN(TRIM('Raw Data'!J79))=0,Validate_Empty!J79&lt;&gt;"",Validate_Value!J79&lt;&gt;""),"",IF('Raw Data'!J79=SUM('Raw Data'!K79:N79),"",_xlfn.REGEXEXTRACT(CELL("address",J79), "\$([A-Z]+)\$[0-9]+")))</f>
        <v/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 t="str" cm="1">
        <f t="array" aca="1" ref="Z79" ca="1">IF(OR('Raw Data'!Z79="",LEN(TRIM('Raw Data'!Z79))=0,Validate_Empty!Z79&lt;&gt;"",Validate_Value!Z79&lt;&gt;""),"",IF('Raw Data'!Z79=SUM('Raw Data'!T79:Y79),"",_xlfn.REGEXEXTRACT(CELL("address",Z79), "\$([A-Z]+)\$[0-9]+")))</f>
        <v/>
      </c>
      <c r="AA79" s="7"/>
      <c r="AB79" s="7"/>
      <c r="AC79" s="7"/>
      <c r="AD79" s="7"/>
      <c r="AE79" s="7"/>
      <c r="AF79" s="7"/>
      <c r="AG79" s="7" t="str" cm="1">
        <f t="array" aca="1" ref="AG79" ca="1">IF(OR('Raw Data'!AG79="",LEN(TRIM('Raw Data'!AG79))=0,Validate_Empty!AG79&lt;&gt;"",Validate_Value!AG79&lt;&gt;""),"",IF('Raw Data'!AG79=SUM('Raw Data'!AA79:AF79),"",_xlfn.REGEXEXTRACT(CELL("address",AG79), "\$([A-Z]+)\$[0-9]+")))</f>
        <v/>
      </c>
      <c r="AH79" s="7" t="str" cm="1">
        <f t="array" aca="1" ref="AH79" ca="1">IF(OR('Raw Data'!AH79="",LEN(TRIM('Raw Data'!AH79))=0,Validate_Empty!AH79&lt;&gt;"",Validate_Value!AH79&lt;&gt;""),"",IF(Configuration!$G$2 = Configuration!$I$2,"",_xlfn.REGEXEXTRACT(CELL("address",AH79), "\$([A-Z]+)\$[0-9]+")))</f>
        <v/>
      </c>
      <c r="AI79" s="7" t="str" cm="1">
        <f t="array" aca="1" ref="AI79" ca="1">IF(OR('Raw Data'!AI79="",LEN(TRIM('Raw Data'!AI79))=0,Validate_Empty!AI79&lt;&gt;"",Validate_Value!AI79&lt;&gt;""),"",IF(Configuration!$H$2 = Configuration!$J$2,"",_xlfn.REGEXEXTRACT(CELL("address",AI79), "\$([A-Z]+)\$[0-9]+")))</f>
        <v/>
      </c>
      <c r="AJ79" s="7"/>
      <c r="AK79" s="7"/>
      <c r="AL79" s="7"/>
      <c r="AM79" s="7"/>
      <c r="AN79" s="7"/>
      <c r="AO79" s="7"/>
      <c r="AP79" s="7" t="str" cm="1">
        <f t="array" aca="1" ref="AP79" ca="1">IF(OR('Raw Data'!AP79="",LEN(TRIM('Raw Data'!AP79))=0,Validate_Empty!AP79&lt;&gt;"",Validate_Value!AP79&lt;&gt;""),"",IF('Raw Data'!AP79=SUM('Raw Data'!AK79:AO79),"",_xlfn.REGEXEXTRACT(CELL("address",AP79), "\$([A-Z]+)\$[0-9]+")))</f>
        <v/>
      </c>
    </row>
    <row r="80" spans="2:42" x14ac:dyDescent="0.25">
      <c r="B80" s="7"/>
      <c r="C80" s="7"/>
      <c r="D80" s="7"/>
      <c r="E80" s="7"/>
      <c r="F80" s="7"/>
      <c r="G80" s="7"/>
      <c r="H80" s="7"/>
      <c r="I80" s="7"/>
      <c r="J80" s="7" t="str" cm="1">
        <f t="array" aca="1" ref="J80" ca="1">IF(OR('Raw Data'!J80="",LEN(TRIM('Raw Data'!J80))=0,Validate_Empty!J80&lt;&gt;"",Validate_Value!J80&lt;&gt;""),"",IF('Raw Data'!J80=SUM('Raw Data'!K80:N80),"",_xlfn.REGEXEXTRACT(CELL("address",J80), "\$([A-Z]+)\$[0-9]+")))</f>
        <v/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 t="str" cm="1">
        <f t="array" aca="1" ref="Z80" ca="1">IF(OR('Raw Data'!Z80="",LEN(TRIM('Raw Data'!Z80))=0,Validate_Empty!Z80&lt;&gt;"",Validate_Value!Z80&lt;&gt;""),"",IF('Raw Data'!Z80=SUM('Raw Data'!T80:Y80),"",_xlfn.REGEXEXTRACT(CELL("address",Z80), "\$([A-Z]+)\$[0-9]+")))</f>
        <v/>
      </c>
      <c r="AA80" s="7"/>
      <c r="AB80" s="7"/>
      <c r="AC80" s="7"/>
      <c r="AD80" s="7"/>
      <c r="AE80" s="7"/>
      <c r="AF80" s="7"/>
      <c r="AG80" s="7" t="str" cm="1">
        <f t="array" aca="1" ref="AG80" ca="1">IF(OR('Raw Data'!AG80="",LEN(TRIM('Raw Data'!AG80))=0,Validate_Empty!AG80&lt;&gt;"",Validate_Value!AG80&lt;&gt;""),"",IF('Raw Data'!AG80=SUM('Raw Data'!AA80:AF80),"",_xlfn.REGEXEXTRACT(CELL("address",AG80), "\$([A-Z]+)\$[0-9]+")))</f>
        <v/>
      </c>
      <c r="AH80" s="7" t="str" cm="1">
        <f t="array" aca="1" ref="AH80" ca="1">IF(OR('Raw Data'!AH80="",LEN(TRIM('Raw Data'!AH80))=0,Validate_Empty!AH80&lt;&gt;"",Validate_Value!AH80&lt;&gt;""),"",IF(Configuration!$G$2 = Configuration!$I$2,"",_xlfn.REGEXEXTRACT(CELL("address",AH80), "\$([A-Z]+)\$[0-9]+")))</f>
        <v/>
      </c>
      <c r="AI80" s="7" t="str" cm="1">
        <f t="array" aca="1" ref="AI80" ca="1">IF(OR('Raw Data'!AI80="",LEN(TRIM('Raw Data'!AI80))=0,Validate_Empty!AI80&lt;&gt;"",Validate_Value!AI80&lt;&gt;""),"",IF(Configuration!$H$2 = Configuration!$J$2,"",_xlfn.REGEXEXTRACT(CELL("address",AI80), "\$([A-Z]+)\$[0-9]+")))</f>
        <v/>
      </c>
      <c r="AJ80" s="7"/>
      <c r="AK80" s="7"/>
      <c r="AL80" s="7"/>
      <c r="AM80" s="7"/>
      <c r="AN80" s="7"/>
      <c r="AO80" s="7"/>
      <c r="AP80" s="7" t="str" cm="1">
        <f t="array" aca="1" ref="AP80" ca="1">IF(OR('Raw Data'!AP80="",LEN(TRIM('Raw Data'!AP80))=0,Validate_Empty!AP80&lt;&gt;"",Validate_Value!AP80&lt;&gt;""),"",IF('Raw Data'!AP80=SUM('Raw Data'!AK80:AO80),"",_xlfn.REGEXEXTRACT(CELL("address",AP80), "\$([A-Z]+)\$[0-9]+")))</f>
        <v/>
      </c>
    </row>
    <row r="81" spans="2:42" x14ac:dyDescent="0.25">
      <c r="B81" s="7"/>
      <c r="C81" s="7"/>
      <c r="D81" s="7"/>
      <c r="E81" s="7"/>
      <c r="F81" s="7"/>
      <c r="G81" s="7"/>
      <c r="H81" s="7"/>
      <c r="I81" s="7"/>
      <c r="J81" s="7" t="str" cm="1">
        <f t="array" aca="1" ref="J81" ca="1">IF(OR('Raw Data'!J81="",LEN(TRIM('Raw Data'!J81))=0,Validate_Empty!J81&lt;&gt;"",Validate_Value!J81&lt;&gt;""),"",IF('Raw Data'!J81=SUM('Raw Data'!K81:N81),"",_xlfn.REGEXEXTRACT(CELL("address",J81), "\$([A-Z]+)\$[0-9]+")))</f>
        <v/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 t="str" cm="1">
        <f t="array" aca="1" ref="Z81" ca="1">IF(OR('Raw Data'!Z81="",LEN(TRIM('Raw Data'!Z81))=0,Validate_Empty!Z81&lt;&gt;"",Validate_Value!Z81&lt;&gt;""),"",IF('Raw Data'!Z81=SUM('Raw Data'!T81:Y81),"",_xlfn.REGEXEXTRACT(CELL("address",Z81), "\$([A-Z]+)\$[0-9]+")))</f>
        <v/>
      </c>
      <c r="AA81" s="7"/>
      <c r="AB81" s="7"/>
      <c r="AC81" s="7"/>
      <c r="AD81" s="7"/>
      <c r="AE81" s="7"/>
      <c r="AF81" s="7"/>
      <c r="AG81" s="7" t="str" cm="1">
        <f t="array" aca="1" ref="AG81" ca="1">IF(OR('Raw Data'!AG81="",LEN(TRIM('Raw Data'!AG81))=0,Validate_Empty!AG81&lt;&gt;"",Validate_Value!AG81&lt;&gt;""),"",IF('Raw Data'!AG81=SUM('Raw Data'!AA81:AF81),"",_xlfn.REGEXEXTRACT(CELL("address",AG81), "\$([A-Z]+)\$[0-9]+")))</f>
        <v/>
      </c>
      <c r="AH81" s="7" t="str" cm="1">
        <f t="array" aca="1" ref="AH81" ca="1">IF(OR('Raw Data'!AH81="",LEN(TRIM('Raw Data'!AH81))=0,Validate_Empty!AH81&lt;&gt;"",Validate_Value!AH81&lt;&gt;""),"",IF(Configuration!$G$2 = Configuration!$I$2,"",_xlfn.REGEXEXTRACT(CELL("address",AH81), "\$([A-Z]+)\$[0-9]+")))</f>
        <v/>
      </c>
      <c r="AI81" s="7" t="str" cm="1">
        <f t="array" aca="1" ref="AI81" ca="1">IF(OR('Raw Data'!AI81="",LEN(TRIM('Raw Data'!AI81))=0,Validate_Empty!AI81&lt;&gt;"",Validate_Value!AI81&lt;&gt;""),"",IF(Configuration!$H$2 = Configuration!$J$2,"",_xlfn.REGEXEXTRACT(CELL("address",AI81), "\$([A-Z]+)\$[0-9]+")))</f>
        <v/>
      </c>
      <c r="AJ81" s="7"/>
      <c r="AK81" s="7"/>
      <c r="AL81" s="7"/>
      <c r="AM81" s="7"/>
      <c r="AN81" s="7"/>
      <c r="AO81" s="7"/>
      <c r="AP81" s="7" t="str" cm="1">
        <f t="array" aca="1" ref="AP81" ca="1">IF(OR('Raw Data'!AP81="",LEN(TRIM('Raw Data'!AP81))=0,Validate_Empty!AP81&lt;&gt;"",Validate_Value!AP81&lt;&gt;""),"",IF('Raw Data'!AP81=SUM('Raw Data'!AK81:AO81),"",_xlfn.REGEXEXTRACT(CELL("address",AP81), "\$([A-Z]+)\$[0-9]+")))</f>
        <v/>
      </c>
    </row>
    <row r="82" spans="2:42" x14ac:dyDescent="0.25">
      <c r="B82" s="7"/>
      <c r="C82" s="7"/>
      <c r="D82" s="7"/>
      <c r="E82" s="7"/>
      <c r="F82" s="7"/>
      <c r="G82" s="7"/>
      <c r="H82" s="7"/>
      <c r="I82" s="7"/>
      <c r="J82" s="7" t="str" cm="1">
        <f t="array" aca="1" ref="J82" ca="1">IF(OR('Raw Data'!J82="",LEN(TRIM('Raw Data'!J82))=0,Validate_Empty!J82&lt;&gt;"",Validate_Value!J82&lt;&gt;""),"",IF('Raw Data'!J82=SUM('Raw Data'!K82:N82),"",_xlfn.REGEXEXTRACT(CELL("address",J82), "\$([A-Z]+)\$[0-9]+")))</f>
        <v/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 t="str" cm="1">
        <f t="array" aca="1" ref="Z82" ca="1">IF(OR('Raw Data'!Z82="",LEN(TRIM('Raw Data'!Z82))=0,Validate_Empty!Z82&lt;&gt;"",Validate_Value!Z82&lt;&gt;""),"",IF('Raw Data'!Z82=SUM('Raw Data'!T82:Y82),"",_xlfn.REGEXEXTRACT(CELL("address",Z82), "\$([A-Z]+)\$[0-9]+")))</f>
        <v/>
      </c>
      <c r="AA82" s="7"/>
      <c r="AB82" s="7"/>
      <c r="AC82" s="7"/>
      <c r="AD82" s="7"/>
      <c r="AE82" s="7"/>
      <c r="AF82" s="7"/>
      <c r="AG82" s="7" t="str" cm="1">
        <f t="array" aca="1" ref="AG82" ca="1">IF(OR('Raw Data'!AG82="",LEN(TRIM('Raw Data'!AG82))=0,Validate_Empty!AG82&lt;&gt;"",Validate_Value!AG82&lt;&gt;""),"",IF('Raw Data'!AG82=SUM('Raw Data'!AA82:AF82),"",_xlfn.REGEXEXTRACT(CELL("address",AG82), "\$([A-Z]+)\$[0-9]+")))</f>
        <v/>
      </c>
      <c r="AH82" s="7" t="str" cm="1">
        <f t="array" aca="1" ref="AH82" ca="1">IF(OR('Raw Data'!AH82="",LEN(TRIM('Raw Data'!AH82))=0,Validate_Empty!AH82&lt;&gt;"",Validate_Value!AH82&lt;&gt;""),"",IF(Configuration!$G$2 = Configuration!$I$2,"",_xlfn.REGEXEXTRACT(CELL("address",AH82), "\$([A-Z]+)\$[0-9]+")))</f>
        <v/>
      </c>
      <c r="AI82" s="7" t="str" cm="1">
        <f t="array" aca="1" ref="AI82" ca="1">IF(OR('Raw Data'!AI82="",LEN(TRIM('Raw Data'!AI82))=0,Validate_Empty!AI82&lt;&gt;"",Validate_Value!AI82&lt;&gt;""),"",IF(Configuration!$H$2 = Configuration!$J$2,"",_xlfn.REGEXEXTRACT(CELL("address",AI82), "\$([A-Z]+)\$[0-9]+")))</f>
        <v/>
      </c>
      <c r="AJ82" s="7"/>
      <c r="AK82" s="7"/>
      <c r="AL82" s="7"/>
      <c r="AM82" s="7"/>
      <c r="AN82" s="7"/>
      <c r="AO82" s="7"/>
      <c r="AP82" s="7" t="str" cm="1">
        <f t="array" aca="1" ref="AP82" ca="1">IF(OR('Raw Data'!AP82="",LEN(TRIM('Raw Data'!AP82))=0,Validate_Empty!AP82&lt;&gt;"",Validate_Value!AP82&lt;&gt;""),"",IF('Raw Data'!AP82=SUM('Raw Data'!AK82:AO82),"",_xlfn.REGEXEXTRACT(CELL("address",AP82), "\$([A-Z]+)\$[0-9]+")))</f>
        <v/>
      </c>
    </row>
    <row r="83" spans="2:42" x14ac:dyDescent="0.25">
      <c r="B83" s="7"/>
      <c r="C83" s="7"/>
      <c r="D83" s="7"/>
      <c r="E83" s="7"/>
      <c r="F83" s="7"/>
      <c r="G83" s="7"/>
      <c r="H83" s="7"/>
      <c r="I83" s="7"/>
      <c r="J83" s="7" t="str" cm="1">
        <f t="array" aca="1" ref="J83" ca="1">IF(OR('Raw Data'!J83="",LEN(TRIM('Raw Data'!J83))=0,Validate_Empty!J83&lt;&gt;"",Validate_Value!J83&lt;&gt;""),"",IF('Raw Data'!J83=SUM('Raw Data'!K83:N83),"",_xlfn.REGEXEXTRACT(CELL("address",J83), "\$([A-Z]+)\$[0-9]+")))</f>
        <v/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 t="str" cm="1">
        <f t="array" aca="1" ref="Z83" ca="1">IF(OR('Raw Data'!Z83="",LEN(TRIM('Raw Data'!Z83))=0,Validate_Empty!Z83&lt;&gt;"",Validate_Value!Z83&lt;&gt;""),"",IF('Raw Data'!Z83=SUM('Raw Data'!T83:Y83),"",_xlfn.REGEXEXTRACT(CELL("address",Z83), "\$([A-Z]+)\$[0-9]+")))</f>
        <v/>
      </c>
      <c r="AA83" s="7"/>
      <c r="AB83" s="7"/>
      <c r="AC83" s="7"/>
      <c r="AD83" s="7"/>
      <c r="AE83" s="7"/>
      <c r="AF83" s="7"/>
      <c r="AG83" s="7" t="str" cm="1">
        <f t="array" aca="1" ref="AG83" ca="1">IF(OR('Raw Data'!AG83="",LEN(TRIM('Raw Data'!AG83))=0,Validate_Empty!AG83&lt;&gt;"",Validate_Value!AG83&lt;&gt;""),"",IF('Raw Data'!AG83=SUM('Raw Data'!AA83:AF83),"",_xlfn.REGEXEXTRACT(CELL("address",AG83), "\$([A-Z]+)\$[0-9]+")))</f>
        <v/>
      </c>
      <c r="AH83" s="7" t="str" cm="1">
        <f t="array" aca="1" ref="AH83" ca="1">IF(OR('Raw Data'!AH83="",LEN(TRIM('Raw Data'!AH83))=0,Validate_Empty!AH83&lt;&gt;"",Validate_Value!AH83&lt;&gt;""),"",IF(Configuration!$G$2 = Configuration!$I$2,"",_xlfn.REGEXEXTRACT(CELL("address",AH83), "\$([A-Z]+)\$[0-9]+")))</f>
        <v/>
      </c>
      <c r="AI83" s="7" t="str" cm="1">
        <f t="array" aca="1" ref="AI83" ca="1">IF(OR('Raw Data'!AI83="",LEN(TRIM('Raw Data'!AI83))=0,Validate_Empty!AI83&lt;&gt;"",Validate_Value!AI83&lt;&gt;""),"",IF(Configuration!$H$2 = Configuration!$J$2,"",_xlfn.REGEXEXTRACT(CELL("address",AI83), "\$([A-Z]+)\$[0-9]+")))</f>
        <v/>
      </c>
      <c r="AJ83" s="7"/>
      <c r="AK83" s="7"/>
      <c r="AL83" s="7"/>
      <c r="AM83" s="7"/>
      <c r="AN83" s="7"/>
      <c r="AO83" s="7"/>
      <c r="AP83" s="7" t="str" cm="1">
        <f t="array" aca="1" ref="AP83" ca="1">IF(OR('Raw Data'!AP83="",LEN(TRIM('Raw Data'!AP83))=0,Validate_Empty!AP83&lt;&gt;"",Validate_Value!AP83&lt;&gt;""),"",IF('Raw Data'!AP83=SUM('Raw Data'!AK83:AO83),"",_xlfn.REGEXEXTRACT(CELL("address",AP83), "\$([A-Z]+)\$[0-9]+")))</f>
        <v/>
      </c>
    </row>
    <row r="84" spans="2:42" x14ac:dyDescent="0.25">
      <c r="B84" s="7"/>
      <c r="C84" s="7"/>
      <c r="D84" s="7"/>
      <c r="E84" s="7"/>
      <c r="F84" s="7"/>
      <c r="G84" s="7"/>
      <c r="H84" s="7"/>
      <c r="I84" s="7"/>
      <c r="J84" s="7" t="str" cm="1">
        <f t="array" aca="1" ref="J84" ca="1">IF(OR('Raw Data'!J84="",LEN(TRIM('Raw Data'!J84))=0,Validate_Empty!J84&lt;&gt;"",Validate_Value!J84&lt;&gt;""),"",IF('Raw Data'!J84=SUM('Raw Data'!K84:N84),"",_xlfn.REGEXEXTRACT(CELL("address",J84), "\$([A-Z]+)\$[0-9]+")))</f>
        <v/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 t="str" cm="1">
        <f t="array" aca="1" ref="Z84" ca="1">IF(OR('Raw Data'!Z84="",LEN(TRIM('Raw Data'!Z84))=0,Validate_Empty!Z84&lt;&gt;"",Validate_Value!Z84&lt;&gt;""),"",IF('Raw Data'!Z84=SUM('Raw Data'!T84:Y84),"",_xlfn.REGEXEXTRACT(CELL("address",Z84), "\$([A-Z]+)\$[0-9]+")))</f>
        <v/>
      </c>
      <c r="AA84" s="7"/>
      <c r="AB84" s="7"/>
      <c r="AC84" s="7"/>
      <c r="AD84" s="7"/>
      <c r="AE84" s="7"/>
      <c r="AF84" s="7"/>
      <c r="AG84" s="7" t="str" cm="1">
        <f t="array" aca="1" ref="AG84" ca="1">IF(OR('Raw Data'!AG84="",LEN(TRIM('Raw Data'!AG84))=0,Validate_Empty!AG84&lt;&gt;"",Validate_Value!AG84&lt;&gt;""),"",IF('Raw Data'!AG84=SUM('Raw Data'!AA84:AF84),"",_xlfn.REGEXEXTRACT(CELL("address",AG84), "\$([A-Z]+)\$[0-9]+")))</f>
        <v/>
      </c>
      <c r="AH84" s="7" t="str" cm="1">
        <f t="array" aca="1" ref="AH84" ca="1">IF(OR('Raw Data'!AH84="",LEN(TRIM('Raw Data'!AH84))=0,Validate_Empty!AH84&lt;&gt;"",Validate_Value!AH84&lt;&gt;""),"",IF(Configuration!$G$2 = Configuration!$I$2,"",_xlfn.REGEXEXTRACT(CELL("address",AH84), "\$([A-Z]+)\$[0-9]+")))</f>
        <v/>
      </c>
      <c r="AI84" s="7" t="str" cm="1">
        <f t="array" aca="1" ref="AI84" ca="1">IF(OR('Raw Data'!AI84="",LEN(TRIM('Raw Data'!AI84))=0,Validate_Empty!AI84&lt;&gt;"",Validate_Value!AI84&lt;&gt;""),"",IF(Configuration!$H$2 = Configuration!$J$2,"",_xlfn.REGEXEXTRACT(CELL("address",AI84), "\$([A-Z]+)\$[0-9]+")))</f>
        <v/>
      </c>
      <c r="AJ84" s="7"/>
      <c r="AK84" s="7"/>
      <c r="AL84" s="7"/>
      <c r="AM84" s="7"/>
      <c r="AN84" s="7"/>
      <c r="AO84" s="7"/>
      <c r="AP84" s="7" t="str" cm="1">
        <f t="array" aca="1" ref="AP84" ca="1">IF(OR('Raw Data'!AP84="",LEN(TRIM('Raw Data'!AP84))=0,Validate_Empty!AP84&lt;&gt;"",Validate_Value!AP84&lt;&gt;""),"",IF('Raw Data'!AP84=SUM('Raw Data'!AK84:AO84),"",_xlfn.REGEXEXTRACT(CELL("address",AP84), "\$([A-Z]+)\$[0-9]+")))</f>
        <v/>
      </c>
    </row>
    <row r="85" spans="2:42" x14ac:dyDescent="0.25">
      <c r="B85" s="7"/>
      <c r="C85" s="7"/>
      <c r="D85" s="7"/>
      <c r="E85" s="7"/>
      <c r="F85" s="7"/>
      <c r="G85" s="7"/>
      <c r="H85" s="7"/>
      <c r="I85" s="7"/>
      <c r="J85" s="7" t="str" cm="1">
        <f t="array" aca="1" ref="J85" ca="1">IF(OR('Raw Data'!J85="",LEN(TRIM('Raw Data'!J85))=0,Validate_Empty!J85&lt;&gt;"",Validate_Value!J85&lt;&gt;""),"",IF('Raw Data'!J85=SUM('Raw Data'!K85:N85),"",_xlfn.REGEXEXTRACT(CELL("address",J85), "\$([A-Z]+)\$[0-9]+")))</f>
        <v/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 t="str" cm="1">
        <f t="array" aca="1" ref="Z85" ca="1">IF(OR('Raw Data'!Z85="",LEN(TRIM('Raw Data'!Z85))=0,Validate_Empty!Z85&lt;&gt;"",Validate_Value!Z85&lt;&gt;""),"",IF('Raw Data'!Z85=SUM('Raw Data'!T85:Y85),"",_xlfn.REGEXEXTRACT(CELL("address",Z85), "\$([A-Z]+)\$[0-9]+")))</f>
        <v/>
      </c>
      <c r="AA85" s="7"/>
      <c r="AB85" s="7"/>
      <c r="AC85" s="7"/>
      <c r="AD85" s="7"/>
      <c r="AE85" s="7"/>
      <c r="AF85" s="7"/>
      <c r="AG85" s="7" t="str" cm="1">
        <f t="array" aca="1" ref="AG85" ca="1">IF(OR('Raw Data'!AG85="",LEN(TRIM('Raw Data'!AG85))=0,Validate_Empty!AG85&lt;&gt;"",Validate_Value!AG85&lt;&gt;""),"",IF('Raw Data'!AG85=SUM('Raw Data'!AA85:AF85),"",_xlfn.REGEXEXTRACT(CELL("address",AG85), "\$([A-Z]+)\$[0-9]+")))</f>
        <v/>
      </c>
      <c r="AH85" s="7" t="str" cm="1">
        <f t="array" aca="1" ref="AH85" ca="1">IF(OR('Raw Data'!AH85="",LEN(TRIM('Raw Data'!AH85))=0,Validate_Empty!AH85&lt;&gt;"",Validate_Value!AH85&lt;&gt;""),"",IF(Configuration!$G$2 = Configuration!$I$2,"",_xlfn.REGEXEXTRACT(CELL("address",AH85), "\$([A-Z]+)\$[0-9]+")))</f>
        <v/>
      </c>
      <c r="AI85" s="7" t="str" cm="1">
        <f t="array" aca="1" ref="AI85" ca="1">IF(OR('Raw Data'!AI85="",LEN(TRIM('Raw Data'!AI85))=0,Validate_Empty!AI85&lt;&gt;"",Validate_Value!AI85&lt;&gt;""),"",IF(Configuration!$H$2 = Configuration!$J$2,"",_xlfn.REGEXEXTRACT(CELL("address",AI85), "\$([A-Z]+)\$[0-9]+")))</f>
        <v/>
      </c>
      <c r="AJ85" s="7"/>
      <c r="AK85" s="7"/>
      <c r="AL85" s="7"/>
      <c r="AM85" s="7"/>
      <c r="AN85" s="7"/>
      <c r="AO85" s="7"/>
      <c r="AP85" s="7" t="str" cm="1">
        <f t="array" aca="1" ref="AP85" ca="1">IF(OR('Raw Data'!AP85="",LEN(TRIM('Raw Data'!AP85))=0,Validate_Empty!AP85&lt;&gt;"",Validate_Value!AP85&lt;&gt;""),"",IF('Raw Data'!AP85=SUM('Raw Data'!AK85:AO85),"",_xlfn.REGEXEXTRACT(CELL("address",AP85), "\$([A-Z]+)\$[0-9]+")))</f>
        <v/>
      </c>
    </row>
    <row r="86" spans="2:42" x14ac:dyDescent="0.25">
      <c r="B86" s="7"/>
      <c r="C86" s="7"/>
      <c r="D86" s="7"/>
      <c r="E86" s="7"/>
      <c r="F86" s="7"/>
      <c r="G86" s="7"/>
      <c r="H86" s="7"/>
      <c r="I86" s="7"/>
      <c r="J86" s="7" t="str" cm="1">
        <f t="array" aca="1" ref="J86" ca="1">IF(OR('Raw Data'!J86="",LEN(TRIM('Raw Data'!J86))=0,Validate_Empty!J86&lt;&gt;"",Validate_Value!J86&lt;&gt;""),"",IF('Raw Data'!J86=SUM('Raw Data'!K86:N86),"",_xlfn.REGEXEXTRACT(CELL("address",J86), "\$([A-Z]+)\$[0-9]+")))</f>
        <v/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 t="str" cm="1">
        <f t="array" aca="1" ref="Z86" ca="1">IF(OR('Raw Data'!Z86="",LEN(TRIM('Raw Data'!Z86))=0,Validate_Empty!Z86&lt;&gt;"",Validate_Value!Z86&lt;&gt;""),"",IF('Raw Data'!Z86=SUM('Raw Data'!T86:Y86),"",_xlfn.REGEXEXTRACT(CELL("address",Z86), "\$([A-Z]+)\$[0-9]+")))</f>
        <v/>
      </c>
      <c r="AA86" s="7"/>
      <c r="AB86" s="7"/>
      <c r="AC86" s="7"/>
      <c r="AD86" s="7"/>
      <c r="AE86" s="7"/>
      <c r="AF86" s="7"/>
      <c r="AG86" s="7" t="str" cm="1">
        <f t="array" aca="1" ref="AG86" ca="1">IF(OR('Raw Data'!AG86="",LEN(TRIM('Raw Data'!AG86))=0,Validate_Empty!AG86&lt;&gt;"",Validate_Value!AG86&lt;&gt;""),"",IF('Raw Data'!AG86=SUM('Raw Data'!AA86:AF86),"",_xlfn.REGEXEXTRACT(CELL("address",AG86), "\$([A-Z]+)\$[0-9]+")))</f>
        <v/>
      </c>
      <c r="AH86" s="7" t="str" cm="1">
        <f t="array" aca="1" ref="AH86" ca="1">IF(OR('Raw Data'!AH86="",LEN(TRIM('Raw Data'!AH86))=0,Validate_Empty!AH86&lt;&gt;"",Validate_Value!AH86&lt;&gt;""),"",IF(Configuration!$G$2 = Configuration!$I$2,"",_xlfn.REGEXEXTRACT(CELL("address",AH86), "\$([A-Z]+)\$[0-9]+")))</f>
        <v/>
      </c>
      <c r="AI86" s="7" t="str" cm="1">
        <f t="array" aca="1" ref="AI86" ca="1">IF(OR('Raw Data'!AI86="",LEN(TRIM('Raw Data'!AI86))=0,Validate_Empty!AI86&lt;&gt;"",Validate_Value!AI86&lt;&gt;""),"",IF(Configuration!$H$2 = Configuration!$J$2,"",_xlfn.REGEXEXTRACT(CELL("address",AI86), "\$([A-Z]+)\$[0-9]+")))</f>
        <v/>
      </c>
      <c r="AJ86" s="7"/>
      <c r="AK86" s="7"/>
      <c r="AL86" s="7"/>
      <c r="AM86" s="7"/>
      <c r="AN86" s="7"/>
      <c r="AO86" s="7"/>
      <c r="AP86" s="7" t="str" cm="1">
        <f t="array" aca="1" ref="AP86" ca="1">IF(OR('Raw Data'!AP86="",LEN(TRIM('Raw Data'!AP86))=0,Validate_Empty!AP86&lt;&gt;"",Validate_Value!AP86&lt;&gt;""),"",IF('Raw Data'!AP86=SUM('Raw Data'!AK86:AO86),"",_xlfn.REGEXEXTRACT(CELL("address",AP86), "\$([A-Z]+)\$[0-9]+")))</f>
        <v/>
      </c>
    </row>
    <row r="87" spans="2:42" x14ac:dyDescent="0.25">
      <c r="B87" s="7"/>
      <c r="C87" s="7"/>
      <c r="D87" s="7"/>
      <c r="E87" s="7"/>
      <c r="F87" s="7"/>
      <c r="G87" s="7"/>
      <c r="H87" s="7"/>
      <c r="I87" s="7"/>
      <c r="J87" s="7" t="str" cm="1">
        <f t="array" aca="1" ref="J87" ca="1">IF(OR('Raw Data'!J87="",LEN(TRIM('Raw Data'!J87))=0,Validate_Empty!J87&lt;&gt;"",Validate_Value!J87&lt;&gt;""),"",IF('Raw Data'!J87=SUM('Raw Data'!K87:N87),"",_xlfn.REGEXEXTRACT(CELL("address",J87), "\$([A-Z]+)\$[0-9]+")))</f>
        <v/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 t="str" cm="1">
        <f t="array" aca="1" ref="Z87" ca="1">IF(OR('Raw Data'!Z87="",LEN(TRIM('Raw Data'!Z87))=0,Validate_Empty!Z87&lt;&gt;"",Validate_Value!Z87&lt;&gt;""),"",IF('Raw Data'!Z87=SUM('Raw Data'!T87:Y87),"",_xlfn.REGEXEXTRACT(CELL("address",Z87), "\$([A-Z]+)\$[0-9]+")))</f>
        <v/>
      </c>
      <c r="AA87" s="7"/>
      <c r="AB87" s="7"/>
      <c r="AC87" s="7"/>
      <c r="AD87" s="7"/>
      <c r="AE87" s="7"/>
      <c r="AF87" s="7"/>
      <c r="AG87" s="7" t="str" cm="1">
        <f t="array" aca="1" ref="AG87" ca="1">IF(OR('Raw Data'!AG87="",LEN(TRIM('Raw Data'!AG87))=0,Validate_Empty!AG87&lt;&gt;"",Validate_Value!AG87&lt;&gt;""),"",IF('Raw Data'!AG87=SUM('Raw Data'!AA87:AF87),"",_xlfn.REGEXEXTRACT(CELL("address",AG87), "\$([A-Z]+)\$[0-9]+")))</f>
        <v/>
      </c>
      <c r="AH87" s="7" t="str" cm="1">
        <f t="array" aca="1" ref="AH87" ca="1">IF(OR('Raw Data'!AH87="",LEN(TRIM('Raw Data'!AH87))=0,Validate_Empty!AH87&lt;&gt;"",Validate_Value!AH87&lt;&gt;""),"",IF(Configuration!$G$2 = Configuration!$I$2,"",_xlfn.REGEXEXTRACT(CELL("address",AH87), "\$([A-Z]+)\$[0-9]+")))</f>
        <v/>
      </c>
      <c r="AI87" s="7" t="str" cm="1">
        <f t="array" aca="1" ref="AI87" ca="1">IF(OR('Raw Data'!AI87="",LEN(TRIM('Raw Data'!AI87))=0,Validate_Empty!AI87&lt;&gt;"",Validate_Value!AI87&lt;&gt;""),"",IF(Configuration!$H$2 = Configuration!$J$2,"",_xlfn.REGEXEXTRACT(CELL("address",AI87), "\$([A-Z]+)\$[0-9]+")))</f>
        <v/>
      </c>
      <c r="AJ87" s="7"/>
      <c r="AK87" s="7"/>
      <c r="AL87" s="7"/>
      <c r="AM87" s="7"/>
      <c r="AN87" s="7"/>
      <c r="AO87" s="7"/>
      <c r="AP87" s="7" t="str" cm="1">
        <f t="array" aca="1" ref="AP87" ca="1">IF(OR('Raw Data'!AP87="",LEN(TRIM('Raw Data'!AP87))=0,Validate_Empty!AP87&lt;&gt;"",Validate_Value!AP87&lt;&gt;""),"",IF('Raw Data'!AP87=SUM('Raw Data'!AK87:AO87),"",_xlfn.REGEXEXTRACT(CELL("address",AP87), "\$([A-Z]+)\$[0-9]+")))</f>
        <v/>
      </c>
    </row>
    <row r="88" spans="2:42" x14ac:dyDescent="0.25">
      <c r="B88" s="7"/>
      <c r="C88" s="7"/>
      <c r="D88" s="7"/>
      <c r="E88" s="7"/>
      <c r="F88" s="7"/>
      <c r="G88" s="7"/>
      <c r="H88" s="7"/>
      <c r="I88" s="7"/>
      <c r="J88" s="7" t="str" cm="1">
        <f t="array" aca="1" ref="J88" ca="1">IF(OR('Raw Data'!J88="",LEN(TRIM('Raw Data'!J88))=0,Validate_Empty!J88&lt;&gt;"",Validate_Value!J88&lt;&gt;""),"",IF('Raw Data'!J88=SUM('Raw Data'!K88:N88),"",_xlfn.REGEXEXTRACT(CELL("address",J88), "\$([A-Z]+)\$[0-9]+")))</f>
        <v/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 t="str" cm="1">
        <f t="array" aca="1" ref="Z88" ca="1">IF(OR('Raw Data'!Z88="",LEN(TRIM('Raw Data'!Z88))=0,Validate_Empty!Z88&lt;&gt;"",Validate_Value!Z88&lt;&gt;""),"",IF('Raw Data'!Z88=SUM('Raw Data'!T88:Y88),"",_xlfn.REGEXEXTRACT(CELL("address",Z88), "\$([A-Z]+)\$[0-9]+")))</f>
        <v/>
      </c>
      <c r="AA88" s="7"/>
      <c r="AB88" s="7"/>
      <c r="AC88" s="7"/>
      <c r="AD88" s="7"/>
      <c r="AE88" s="7"/>
      <c r="AF88" s="7"/>
      <c r="AG88" s="7" t="str" cm="1">
        <f t="array" aca="1" ref="AG88" ca="1">IF(OR('Raw Data'!AG88="",LEN(TRIM('Raw Data'!AG88))=0,Validate_Empty!AG88&lt;&gt;"",Validate_Value!AG88&lt;&gt;""),"",IF('Raw Data'!AG88=SUM('Raw Data'!AA88:AF88),"",_xlfn.REGEXEXTRACT(CELL("address",AG88), "\$([A-Z]+)\$[0-9]+")))</f>
        <v/>
      </c>
      <c r="AH88" s="7" t="str" cm="1">
        <f t="array" aca="1" ref="AH88" ca="1">IF(OR('Raw Data'!AH88="",LEN(TRIM('Raw Data'!AH88))=0,Validate_Empty!AH88&lt;&gt;"",Validate_Value!AH88&lt;&gt;""),"",IF(Configuration!$G$2 = Configuration!$I$2,"",_xlfn.REGEXEXTRACT(CELL("address",AH88), "\$([A-Z]+)\$[0-9]+")))</f>
        <v/>
      </c>
      <c r="AI88" s="7" t="str" cm="1">
        <f t="array" aca="1" ref="AI88" ca="1">IF(OR('Raw Data'!AI88="",LEN(TRIM('Raw Data'!AI88))=0,Validate_Empty!AI88&lt;&gt;"",Validate_Value!AI88&lt;&gt;""),"",IF(Configuration!$H$2 = Configuration!$J$2,"",_xlfn.REGEXEXTRACT(CELL("address",AI88), "\$([A-Z]+)\$[0-9]+")))</f>
        <v/>
      </c>
      <c r="AJ88" s="7"/>
      <c r="AK88" s="7"/>
      <c r="AL88" s="7"/>
      <c r="AM88" s="7"/>
      <c r="AN88" s="7"/>
      <c r="AO88" s="7"/>
      <c r="AP88" s="7" t="str" cm="1">
        <f t="array" aca="1" ref="AP88" ca="1">IF(OR('Raw Data'!AP88="",LEN(TRIM('Raw Data'!AP88))=0,Validate_Empty!AP88&lt;&gt;"",Validate_Value!AP88&lt;&gt;""),"",IF('Raw Data'!AP88=SUM('Raw Data'!AK88:AO88),"",_xlfn.REGEXEXTRACT(CELL("address",AP88), "\$([A-Z]+)\$[0-9]+")))</f>
        <v/>
      </c>
    </row>
    <row r="89" spans="2:42" x14ac:dyDescent="0.25">
      <c r="B89" s="7"/>
      <c r="C89" s="7"/>
      <c r="D89" s="7"/>
      <c r="E89" s="7"/>
      <c r="F89" s="7"/>
      <c r="G89" s="7"/>
      <c r="H89" s="7"/>
      <c r="I89" s="7"/>
      <c r="J89" s="7" t="str" cm="1">
        <f t="array" aca="1" ref="J89" ca="1">IF(OR('Raw Data'!J89="",LEN(TRIM('Raw Data'!J89))=0,Validate_Empty!J89&lt;&gt;"",Validate_Value!J89&lt;&gt;""),"",IF('Raw Data'!J89=SUM('Raw Data'!K89:N89),"",_xlfn.REGEXEXTRACT(CELL("address",J89), "\$([A-Z]+)\$[0-9]+")))</f>
        <v/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 t="str" cm="1">
        <f t="array" aca="1" ref="Z89" ca="1">IF(OR('Raw Data'!Z89="",LEN(TRIM('Raw Data'!Z89))=0,Validate_Empty!Z89&lt;&gt;"",Validate_Value!Z89&lt;&gt;""),"",IF('Raw Data'!Z89=SUM('Raw Data'!T89:Y89),"",_xlfn.REGEXEXTRACT(CELL("address",Z89), "\$([A-Z]+)\$[0-9]+")))</f>
        <v/>
      </c>
      <c r="AA89" s="7"/>
      <c r="AB89" s="7"/>
      <c r="AC89" s="7"/>
      <c r="AD89" s="7"/>
      <c r="AE89" s="7"/>
      <c r="AF89" s="7"/>
      <c r="AG89" s="7" t="str" cm="1">
        <f t="array" aca="1" ref="AG89" ca="1">IF(OR('Raw Data'!AG89="",LEN(TRIM('Raw Data'!AG89))=0,Validate_Empty!AG89&lt;&gt;"",Validate_Value!AG89&lt;&gt;""),"",IF('Raw Data'!AG89=SUM('Raw Data'!AA89:AF89),"",_xlfn.REGEXEXTRACT(CELL("address",AG89), "\$([A-Z]+)\$[0-9]+")))</f>
        <v/>
      </c>
      <c r="AH89" s="7" t="str" cm="1">
        <f t="array" aca="1" ref="AH89" ca="1">IF(OR('Raw Data'!AH89="",LEN(TRIM('Raw Data'!AH89))=0,Validate_Empty!AH89&lt;&gt;"",Validate_Value!AH89&lt;&gt;""),"",IF(Configuration!$G$2 = Configuration!$I$2,"",_xlfn.REGEXEXTRACT(CELL("address",AH89), "\$([A-Z]+)\$[0-9]+")))</f>
        <v/>
      </c>
      <c r="AI89" s="7" t="str" cm="1">
        <f t="array" aca="1" ref="AI89" ca="1">IF(OR('Raw Data'!AI89="",LEN(TRIM('Raw Data'!AI89))=0,Validate_Empty!AI89&lt;&gt;"",Validate_Value!AI89&lt;&gt;""),"",IF(Configuration!$H$2 = Configuration!$J$2,"",_xlfn.REGEXEXTRACT(CELL("address",AI89), "\$([A-Z]+)\$[0-9]+")))</f>
        <v/>
      </c>
      <c r="AJ89" s="7"/>
      <c r="AK89" s="7"/>
      <c r="AL89" s="7"/>
      <c r="AM89" s="7"/>
      <c r="AN89" s="7"/>
      <c r="AO89" s="7"/>
      <c r="AP89" s="7" t="str" cm="1">
        <f t="array" aca="1" ref="AP89" ca="1">IF(OR('Raw Data'!AP89="",LEN(TRIM('Raw Data'!AP89))=0,Validate_Empty!AP89&lt;&gt;"",Validate_Value!AP89&lt;&gt;""),"",IF('Raw Data'!AP89=SUM('Raw Data'!AK89:AO89),"",_xlfn.REGEXEXTRACT(CELL("address",AP89), "\$([A-Z]+)\$[0-9]+")))</f>
        <v/>
      </c>
    </row>
    <row r="90" spans="2:42" x14ac:dyDescent="0.25">
      <c r="B90" s="7"/>
      <c r="C90" s="7"/>
      <c r="D90" s="7"/>
      <c r="E90" s="7"/>
      <c r="F90" s="7"/>
      <c r="G90" s="7"/>
      <c r="H90" s="7"/>
      <c r="I90" s="7"/>
      <c r="J90" s="7" t="str" cm="1">
        <f t="array" aca="1" ref="J90" ca="1">IF(OR('Raw Data'!J90="",LEN(TRIM('Raw Data'!J90))=0,Validate_Empty!J90&lt;&gt;"",Validate_Value!J90&lt;&gt;""),"",IF('Raw Data'!J90=SUM('Raw Data'!K90:N90),"",_xlfn.REGEXEXTRACT(CELL("address",J90), "\$([A-Z]+)\$[0-9]+")))</f>
        <v/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 t="str" cm="1">
        <f t="array" aca="1" ref="Z90" ca="1">IF(OR('Raw Data'!Z90="",LEN(TRIM('Raw Data'!Z90))=0,Validate_Empty!Z90&lt;&gt;"",Validate_Value!Z90&lt;&gt;""),"",IF('Raw Data'!Z90=SUM('Raw Data'!T90:Y90),"",_xlfn.REGEXEXTRACT(CELL("address",Z90), "\$([A-Z]+)\$[0-9]+")))</f>
        <v/>
      </c>
      <c r="AA90" s="7"/>
      <c r="AB90" s="7"/>
      <c r="AC90" s="7"/>
      <c r="AD90" s="7"/>
      <c r="AE90" s="7"/>
      <c r="AF90" s="7"/>
      <c r="AG90" s="7" t="str" cm="1">
        <f t="array" aca="1" ref="AG90" ca="1">IF(OR('Raw Data'!AG90="",LEN(TRIM('Raw Data'!AG90))=0,Validate_Empty!AG90&lt;&gt;"",Validate_Value!AG90&lt;&gt;""),"",IF('Raw Data'!AG90=SUM('Raw Data'!AA90:AF90),"",_xlfn.REGEXEXTRACT(CELL("address",AG90), "\$([A-Z]+)\$[0-9]+")))</f>
        <v/>
      </c>
      <c r="AH90" s="7" t="str" cm="1">
        <f t="array" aca="1" ref="AH90" ca="1">IF(OR('Raw Data'!AH90="",LEN(TRIM('Raw Data'!AH90))=0,Validate_Empty!AH90&lt;&gt;"",Validate_Value!AH90&lt;&gt;""),"",IF(Configuration!$G$2 = Configuration!$I$2,"",_xlfn.REGEXEXTRACT(CELL("address",AH90), "\$([A-Z]+)\$[0-9]+")))</f>
        <v/>
      </c>
      <c r="AI90" s="7" t="str" cm="1">
        <f t="array" aca="1" ref="AI90" ca="1">IF(OR('Raw Data'!AI90="",LEN(TRIM('Raw Data'!AI90))=0,Validate_Empty!AI90&lt;&gt;"",Validate_Value!AI90&lt;&gt;""),"",IF(Configuration!$H$2 = Configuration!$J$2,"",_xlfn.REGEXEXTRACT(CELL("address",AI90), "\$([A-Z]+)\$[0-9]+")))</f>
        <v/>
      </c>
      <c r="AJ90" s="7"/>
      <c r="AK90" s="7"/>
      <c r="AL90" s="7"/>
      <c r="AM90" s="7"/>
      <c r="AN90" s="7"/>
      <c r="AO90" s="7"/>
      <c r="AP90" s="7" t="str" cm="1">
        <f t="array" aca="1" ref="AP90" ca="1">IF(OR('Raw Data'!AP90="",LEN(TRIM('Raw Data'!AP90))=0,Validate_Empty!AP90&lt;&gt;"",Validate_Value!AP90&lt;&gt;""),"",IF('Raw Data'!AP90=SUM('Raw Data'!AK90:AO90),"",_xlfn.REGEXEXTRACT(CELL("address",AP90), "\$([A-Z]+)\$[0-9]+")))</f>
        <v/>
      </c>
    </row>
    <row r="91" spans="2:42" x14ac:dyDescent="0.25">
      <c r="B91" s="7"/>
      <c r="C91" s="7"/>
      <c r="D91" s="7"/>
      <c r="E91" s="7"/>
      <c r="F91" s="7"/>
      <c r="G91" s="7"/>
      <c r="H91" s="7"/>
      <c r="I91" s="7"/>
      <c r="J91" s="7" t="str" cm="1">
        <f t="array" aca="1" ref="J91" ca="1">IF(OR('Raw Data'!J91="",LEN(TRIM('Raw Data'!J91))=0,Validate_Empty!J91&lt;&gt;"",Validate_Value!J91&lt;&gt;""),"",IF('Raw Data'!J91=SUM('Raw Data'!K91:N91),"",_xlfn.REGEXEXTRACT(CELL("address",J91), "\$([A-Z]+)\$[0-9]+")))</f>
        <v/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 t="str" cm="1">
        <f t="array" aca="1" ref="Z91" ca="1">IF(OR('Raw Data'!Z91="",LEN(TRIM('Raw Data'!Z91))=0,Validate_Empty!Z91&lt;&gt;"",Validate_Value!Z91&lt;&gt;""),"",IF('Raw Data'!Z91=SUM('Raw Data'!T91:Y91),"",_xlfn.REGEXEXTRACT(CELL("address",Z91), "\$([A-Z]+)\$[0-9]+")))</f>
        <v/>
      </c>
      <c r="AA91" s="7"/>
      <c r="AB91" s="7"/>
      <c r="AC91" s="7"/>
      <c r="AD91" s="7"/>
      <c r="AE91" s="7"/>
      <c r="AF91" s="7"/>
      <c r="AG91" s="7" t="str" cm="1">
        <f t="array" aca="1" ref="AG91" ca="1">IF(OR('Raw Data'!AG91="",LEN(TRIM('Raw Data'!AG91))=0,Validate_Empty!AG91&lt;&gt;"",Validate_Value!AG91&lt;&gt;""),"",IF('Raw Data'!AG91=SUM('Raw Data'!AA91:AF91),"",_xlfn.REGEXEXTRACT(CELL("address",AG91), "\$([A-Z]+)\$[0-9]+")))</f>
        <v/>
      </c>
      <c r="AH91" s="7" t="str" cm="1">
        <f t="array" aca="1" ref="AH91" ca="1">IF(OR('Raw Data'!AH91="",LEN(TRIM('Raw Data'!AH91))=0,Validate_Empty!AH91&lt;&gt;"",Validate_Value!AH91&lt;&gt;""),"",IF(Configuration!$G$2 = Configuration!$I$2,"",_xlfn.REGEXEXTRACT(CELL("address",AH91), "\$([A-Z]+)\$[0-9]+")))</f>
        <v/>
      </c>
      <c r="AI91" s="7" t="str" cm="1">
        <f t="array" aca="1" ref="AI91" ca="1">IF(OR('Raw Data'!AI91="",LEN(TRIM('Raw Data'!AI91))=0,Validate_Empty!AI91&lt;&gt;"",Validate_Value!AI91&lt;&gt;""),"",IF(Configuration!$H$2 = Configuration!$J$2,"",_xlfn.REGEXEXTRACT(CELL("address",AI91), "\$([A-Z]+)\$[0-9]+")))</f>
        <v/>
      </c>
      <c r="AJ91" s="7"/>
      <c r="AK91" s="7"/>
      <c r="AL91" s="7"/>
      <c r="AM91" s="7"/>
      <c r="AN91" s="7"/>
      <c r="AO91" s="7"/>
      <c r="AP91" s="7" t="str" cm="1">
        <f t="array" aca="1" ref="AP91" ca="1">IF(OR('Raw Data'!AP91="",LEN(TRIM('Raw Data'!AP91))=0,Validate_Empty!AP91&lt;&gt;"",Validate_Value!AP91&lt;&gt;""),"",IF('Raw Data'!AP91=SUM('Raw Data'!AK91:AO91),"",_xlfn.REGEXEXTRACT(CELL("address",AP91), "\$([A-Z]+)\$[0-9]+")))</f>
        <v/>
      </c>
    </row>
    <row r="92" spans="2:42" x14ac:dyDescent="0.25">
      <c r="B92" s="7"/>
      <c r="C92" s="7"/>
      <c r="D92" s="7"/>
      <c r="E92" s="7"/>
      <c r="F92" s="7"/>
      <c r="G92" s="7"/>
      <c r="H92" s="7"/>
      <c r="I92" s="7"/>
      <c r="J92" s="7" t="str" cm="1">
        <f t="array" aca="1" ref="J92" ca="1">IF(OR('Raw Data'!J92="",LEN(TRIM('Raw Data'!J92))=0,Validate_Empty!J92&lt;&gt;"",Validate_Value!J92&lt;&gt;""),"",IF('Raw Data'!J92=SUM('Raw Data'!K92:N92),"",_xlfn.REGEXEXTRACT(CELL("address",J92), "\$([A-Z]+)\$[0-9]+")))</f>
        <v/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 t="str" cm="1">
        <f t="array" aca="1" ref="Z92" ca="1">IF(OR('Raw Data'!Z92="",LEN(TRIM('Raw Data'!Z92))=0,Validate_Empty!Z92&lt;&gt;"",Validate_Value!Z92&lt;&gt;""),"",IF('Raw Data'!Z92=SUM('Raw Data'!T92:Y92),"",_xlfn.REGEXEXTRACT(CELL("address",Z92), "\$([A-Z]+)\$[0-9]+")))</f>
        <v/>
      </c>
      <c r="AA92" s="7"/>
      <c r="AB92" s="7"/>
      <c r="AC92" s="7"/>
      <c r="AD92" s="7"/>
      <c r="AE92" s="7"/>
      <c r="AF92" s="7"/>
      <c r="AG92" s="7" t="str" cm="1">
        <f t="array" aca="1" ref="AG92" ca="1">IF(OR('Raw Data'!AG92="",LEN(TRIM('Raw Data'!AG92))=0,Validate_Empty!AG92&lt;&gt;"",Validate_Value!AG92&lt;&gt;""),"",IF('Raw Data'!AG92=SUM('Raw Data'!AA92:AF92),"",_xlfn.REGEXEXTRACT(CELL("address",AG92), "\$([A-Z]+)\$[0-9]+")))</f>
        <v/>
      </c>
      <c r="AH92" s="7" t="str" cm="1">
        <f t="array" aca="1" ref="AH92" ca="1">IF(OR('Raw Data'!AH92="",LEN(TRIM('Raw Data'!AH92))=0,Validate_Empty!AH92&lt;&gt;"",Validate_Value!AH92&lt;&gt;""),"",IF(Configuration!$G$2 = Configuration!$I$2,"",_xlfn.REGEXEXTRACT(CELL("address",AH92), "\$([A-Z]+)\$[0-9]+")))</f>
        <v/>
      </c>
      <c r="AI92" s="7" t="str" cm="1">
        <f t="array" aca="1" ref="AI92" ca="1">IF(OR('Raw Data'!AI92="",LEN(TRIM('Raw Data'!AI92))=0,Validate_Empty!AI92&lt;&gt;"",Validate_Value!AI92&lt;&gt;""),"",IF(Configuration!$H$2 = Configuration!$J$2,"",_xlfn.REGEXEXTRACT(CELL("address",AI92), "\$([A-Z]+)\$[0-9]+")))</f>
        <v/>
      </c>
      <c r="AJ92" s="7"/>
      <c r="AK92" s="7"/>
      <c r="AL92" s="7"/>
      <c r="AM92" s="7"/>
      <c r="AN92" s="7"/>
      <c r="AO92" s="7"/>
      <c r="AP92" s="7" t="str" cm="1">
        <f t="array" aca="1" ref="AP92" ca="1">IF(OR('Raw Data'!AP92="",LEN(TRIM('Raw Data'!AP92))=0,Validate_Empty!AP92&lt;&gt;"",Validate_Value!AP92&lt;&gt;""),"",IF('Raw Data'!AP92=SUM('Raw Data'!AK92:AO92),"",_xlfn.REGEXEXTRACT(CELL("address",AP92), "\$([A-Z]+)\$[0-9]+")))</f>
        <v/>
      </c>
    </row>
    <row r="93" spans="2:42" x14ac:dyDescent="0.25">
      <c r="B93" s="7"/>
      <c r="C93" s="7"/>
      <c r="D93" s="7"/>
      <c r="E93" s="7"/>
      <c r="F93" s="7"/>
      <c r="G93" s="7"/>
      <c r="H93" s="7"/>
      <c r="I93" s="7"/>
      <c r="J93" s="7" t="str" cm="1">
        <f t="array" aca="1" ref="J93" ca="1">IF(OR('Raw Data'!J93="",LEN(TRIM('Raw Data'!J93))=0,Validate_Empty!J93&lt;&gt;"",Validate_Value!J93&lt;&gt;""),"",IF('Raw Data'!J93=SUM('Raw Data'!K93:N93),"",_xlfn.REGEXEXTRACT(CELL("address",J93), "\$([A-Z]+)\$[0-9]+")))</f>
        <v/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 t="str" cm="1">
        <f t="array" aca="1" ref="Z93" ca="1">IF(OR('Raw Data'!Z93="",LEN(TRIM('Raw Data'!Z93))=0,Validate_Empty!Z93&lt;&gt;"",Validate_Value!Z93&lt;&gt;""),"",IF('Raw Data'!Z93=SUM('Raw Data'!T93:Y93),"",_xlfn.REGEXEXTRACT(CELL("address",Z93), "\$([A-Z]+)\$[0-9]+")))</f>
        <v/>
      </c>
      <c r="AA93" s="7"/>
      <c r="AB93" s="7"/>
      <c r="AC93" s="7"/>
      <c r="AD93" s="7"/>
      <c r="AE93" s="7"/>
      <c r="AF93" s="7"/>
      <c r="AG93" s="7" t="str" cm="1">
        <f t="array" aca="1" ref="AG93" ca="1">IF(OR('Raw Data'!AG93="",LEN(TRIM('Raw Data'!AG93))=0,Validate_Empty!AG93&lt;&gt;"",Validate_Value!AG93&lt;&gt;""),"",IF('Raw Data'!AG93=SUM('Raw Data'!AA93:AF93),"",_xlfn.REGEXEXTRACT(CELL("address",AG93), "\$([A-Z]+)\$[0-9]+")))</f>
        <v/>
      </c>
      <c r="AH93" s="7" t="str" cm="1">
        <f t="array" aca="1" ref="AH93" ca="1">IF(OR('Raw Data'!AH93="",LEN(TRIM('Raw Data'!AH93))=0,Validate_Empty!AH93&lt;&gt;"",Validate_Value!AH93&lt;&gt;""),"",IF(Configuration!$G$2 = Configuration!$I$2,"",_xlfn.REGEXEXTRACT(CELL("address",AH93), "\$([A-Z]+)\$[0-9]+")))</f>
        <v/>
      </c>
      <c r="AI93" s="7" t="str" cm="1">
        <f t="array" aca="1" ref="AI93" ca="1">IF(OR('Raw Data'!AI93="",LEN(TRIM('Raw Data'!AI93))=0,Validate_Empty!AI93&lt;&gt;"",Validate_Value!AI93&lt;&gt;""),"",IF(Configuration!$H$2 = Configuration!$J$2,"",_xlfn.REGEXEXTRACT(CELL("address",AI93), "\$([A-Z]+)\$[0-9]+")))</f>
        <v/>
      </c>
      <c r="AJ93" s="7"/>
      <c r="AK93" s="7"/>
      <c r="AL93" s="7"/>
      <c r="AM93" s="7"/>
      <c r="AN93" s="7"/>
      <c r="AO93" s="7"/>
      <c r="AP93" s="7" t="str" cm="1">
        <f t="array" aca="1" ref="AP93" ca="1">IF(OR('Raw Data'!AP93="",LEN(TRIM('Raw Data'!AP93))=0,Validate_Empty!AP93&lt;&gt;"",Validate_Value!AP93&lt;&gt;""),"",IF('Raw Data'!AP93=SUM('Raw Data'!AK93:AO93),"",_xlfn.REGEXEXTRACT(CELL("address",AP93), "\$([A-Z]+)\$[0-9]+")))</f>
        <v/>
      </c>
    </row>
    <row r="94" spans="2:42" x14ac:dyDescent="0.25">
      <c r="B94" s="7"/>
      <c r="C94" s="7"/>
      <c r="D94" s="7"/>
      <c r="E94" s="7"/>
      <c r="F94" s="7"/>
      <c r="G94" s="7"/>
      <c r="H94" s="7"/>
      <c r="I94" s="7"/>
      <c r="J94" s="7" t="str" cm="1">
        <f t="array" aca="1" ref="J94" ca="1">IF(OR('Raw Data'!J94="",LEN(TRIM('Raw Data'!J94))=0,Validate_Empty!J94&lt;&gt;"",Validate_Value!J94&lt;&gt;""),"",IF('Raw Data'!J94=SUM('Raw Data'!K94:N94),"",_xlfn.REGEXEXTRACT(CELL("address",J94), "\$([A-Z]+)\$[0-9]+")))</f>
        <v/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 t="str" cm="1">
        <f t="array" aca="1" ref="Z94" ca="1">IF(OR('Raw Data'!Z94="",LEN(TRIM('Raw Data'!Z94))=0,Validate_Empty!Z94&lt;&gt;"",Validate_Value!Z94&lt;&gt;""),"",IF('Raw Data'!Z94=SUM('Raw Data'!T94:Y94),"",_xlfn.REGEXEXTRACT(CELL("address",Z94), "\$([A-Z]+)\$[0-9]+")))</f>
        <v/>
      </c>
      <c r="AA94" s="7"/>
      <c r="AB94" s="7"/>
      <c r="AC94" s="7"/>
      <c r="AD94" s="7"/>
      <c r="AE94" s="7"/>
      <c r="AF94" s="7"/>
      <c r="AG94" s="7" t="str" cm="1">
        <f t="array" aca="1" ref="AG94" ca="1">IF(OR('Raw Data'!AG94="",LEN(TRIM('Raw Data'!AG94))=0,Validate_Empty!AG94&lt;&gt;"",Validate_Value!AG94&lt;&gt;""),"",IF('Raw Data'!AG94=SUM('Raw Data'!AA94:AF94),"",_xlfn.REGEXEXTRACT(CELL("address",AG94), "\$([A-Z]+)\$[0-9]+")))</f>
        <v/>
      </c>
      <c r="AH94" s="7" t="str" cm="1">
        <f t="array" aca="1" ref="AH94" ca="1">IF(OR('Raw Data'!AH94="",LEN(TRIM('Raw Data'!AH94))=0,Validate_Empty!AH94&lt;&gt;"",Validate_Value!AH94&lt;&gt;""),"",IF(Configuration!$G$2 = Configuration!$I$2,"",_xlfn.REGEXEXTRACT(CELL("address",AH94), "\$([A-Z]+)\$[0-9]+")))</f>
        <v/>
      </c>
      <c r="AI94" s="7" t="str" cm="1">
        <f t="array" aca="1" ref="AI94" ca="1">IF(OR('Raw Data'!AI94="",LEN(TRIM('Raw Data'!AI94))=0,Validate_Empty!AI94&lt;&gt;"",Validate_Value!AI94&lt;&gt;""),"",IF(Configuration!$H$2 = Configuration!$J$2,"",_xlfn.REGEXEXTRACT(CELL("address",AI94), "\$([A-Z]+)\$[0-9]+")))</f>
        <v/>
      </c>
      <c r="AJ94" s="7"/>
      <c r="AK94" s="7"/>
      <c r="AL94" s="7"/>
      <c r="AM94" s="7"/>
      <c r="AN94" s="7"/>
      <c r="AO94" s="7"/>
      <c r="AP94" s="7" t="str" cm="1">
        <f t="array" aca="1" ref="AP94" ca="1">IF(OR('Raw Data'!AP94="",LEN(TRIM('Raw Data'!AP94))=0,Validate_Empty!AP94&lt;&gt;"",Validate_Value!AP94&lt;&gt;""),"",IF('Raw Data'!AP94=SUM('Raw Data'!AK94:AO94),"",_xlfn.REGEXEXTRACT(CELL("address",AP94), "\$([A-Z]+)\$[0-9]+")))</f>
        <v/>
      </c>
    </row>
    <row r="95" spans="2:42" x14ac:dyDescent="0.25">
      <c r="B95" s="7"/>
      <c r="C95" s="7"/>
      <c r="D95" s="7"/>
      <c r="E95" s="7"/>
      <c r="F95" s="7"/>
      <c r="G95" s="7"/>
      <c r="H95" s="7"/>
      <c r="I95" s="7"/>
      <c r="J95" s="7" t="str" cm="1">
        <f t="array" aca="1" ref="J95" ca="1">IF(OR('Raw Data'!J95="",LEN(TRIM('Raw Data'!J95))=0,Validate_Empty!J95&lt;&gt;"",Validate_Value!J95&lt;&gt;""),"",IF('Raw Data'!J95=SUM('Raw Data'!K95:N95),"",_xlfn.REGEXEXTRACT(CELL("address",J95), "\$([A-Z]+)\$[0-9]+")))</f>
        <v/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 t="str" cm="1">
        <f t="array" aca="1" ref="Z95" ca="1">IF(OR('Raw Data'!Z95="",LEN(TRIM('Raw Data'!Z95))=0,Validate_Empty!Z95&lt;&gt;"",Validate_Value!Z95&lt;&gt;""),"",IF('Raw Data'!Z95=SUM('Raw Data'!T95:Y95),"",_xlfn.REGEXEXTRACT(CELL("address",Z95), "\$([A-Z]+)\$[0-9]+")))</f>
        <v/>
      </c>
      <c r="AA95" s="7"/>
      <c r="AB95" s="7"/>
      <c r="AC95" s="7"/>
      <c r="AD95" s="7"/>
      <c r="AE95" s="7"/>
      <c r="AF95" s="7"/>
      <c r="AG95" s="7" t="str" cm="1">
        <f t="array" aca="1" ref="AG95" ca="1">IF(OR('Raw Data'!AG95="",LEN(TRIM('Raw Data'!AG95))=0,Validate_Empty!AG95&lt;&gt;"",Validate_Value!AG95&lt;&gt;""),"",IF('Raw Data'!AG95=SUM('Raw Data'!AA95:AF95),"",_xlfn.REGEXEXTRACT(CELL("address",AG95), "\$([A-Z]+)\$[0-9]+")))</f>
        <v/>
      </c>
      <c r="AH95" s="7" t="str" cm="1">
        <f t="array" aca="1" ref="AH95" ca="1">IF(OR('Raw Data'!AH95="",LEN(TRIM('Raw Data'!AH95))=0,Validate_Empty!AH95&lt;&gt;"",Validate_Value!AH95&lt;&gt;""),"",IF(Configuration!$G$2 = Configuration!$I$2,"",_xlfn.REGEXEXTRACT(CELL("address",AH95), "\$([A-Z]+)\$[0-9]+")))</f>
        <v/>
      </c>
      <c r="AI95" s="7" t="str" cm="1">
        <f t="array" aca="1" ref="AI95" ca="1">IF(OR('Raw Data'!AI95="",LEN(TRIM('Raw Data'!AI95))=0,Validate_Empty!AI95&lt;&gt;"",Validate_Value!AI95&lt;&gt;""),"",IF(Configuration!$H$2 = Configuration!$J$2,"",_xlfn.REGEXEXTRACT(CELL("address",AI95), "\$([A-Z]+)\$[0-9]+")))</f>
        <v/>
      </c>
      <c r="AJ95" s="7"/>
      <c r="AK95" s="7"/>
      <c r="AL95" s="7"/>
      <c r="AM95" s="7"/>
      <c r="AN95" s="7"/>
      <c r="AO95" s="7"/>
      <c r="AP95" s="7" t="str" cm="1">
        <f t="array" aca="1" ref="AP95" ca="1">IF(OR('Raw Data'!AP95="",LEN(TRIM('Raw Data'!AP95))=0,Validate_Empty!AP95&lt;&gt;"",Validate_Value!AP95&lt;&gt;""),"",IF('Raw Data'!AP95=SUM('Raw Data'!AK95:AO95),"",_xlfn.REGEXEXTRACT(CELL("address",AP95), "\$([A-Z]+)\$[0-9]+")))</f>
        <v/>
      </c>
    </row>
    <row r="96" spans="2:42" x14ac:dyDescent="0.25">
      <c r="B96" s="7"/>
      <c r="C96" s="7"/>
      <c r="D96" s="7"/>
      <c r="E96" s="7"/>
      <c r="F96" s="7"/>
      <c r="G96" s="7"/>
      <c r="H96" s="7"/>
      <c r="I96" s="7"/>
      <c r="J96" s="7" t="str" cm="1">
        <f t="array" aca="1" ref="J96" ca="1">IF(OR('Raw Data'!J96="",LEN(TRIM('Raw Data'!J96))=0,Validate_Empty!J96&lt;&gt;"",Validate_Value!J96&lt;&gt;""),"",IF('Raw Data'!J96=SUM('Raw Data'!K96:N96),"",_xlfn.REGEXEXTRACT(CELL("address",J96), "\$([A-Z]+)\$[0-9]+")))</f>
        <v/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 t="str" cm="1">
        <f t="array" aca="1" ref="Z96" ca="1">IF(OR('Raw Data'!Z96="",LEN(TRIM('Raw Data'!Z96))=0,Validate_Empty!Z96&lt;&gt;"",Validate_Value!Z96&lt;&gt;""),"",IF('Raw Data'!Z96=SUM('Raw Data'!T96:Y96),"",_xlfn.REGEXEXTRACT(CELL("address",Z96), "\$([A-Z]+)\$[0-9]+")))</f>
        <v/>
      </c>
      <c r="AA96" s="7"/>
      <c r="AB96" s="7"/>
      <c r="AC96" s="7"/>
      <c r="AD96" s="7"/>
      <c r="AE96" s="7"/>
      <c r="AF96" s="7"/>
      <c r="AG96" s="7" t="str" cm="1">
        <f t="array" aca="1" ref="AG96" ca="1">IF(OR('Raw Data'!AG96="",LEN(TRIM('Raw Data'!AG96))=0,Validate_Empty!AG96&lt;&gt;"",Validate_Value!AG96&lt;&gt;""),"",IF('Raw Data'!AG96=SUM('Raw Data'!AA96:AF96),"",_xlfn.REGEXEXTRACT(CELL("address",AG96), "\$([A-Z]+)\$[0-9]+")))</f>
        <v/>
      </c>
      <c r="AH96" s="7" t="str" cm="1">
        <f t="array" aca="1" ref="AH96" ca="1">IF(OR('Raw Data'!AH96="",LEN(TRIM('Raw Data'!AH96))=0,Validate_Empty!AH96&lt;&gt;"",Validate_Value!AH96&lt;&gt;""),"",IF(Configuration!$G$2 = Configuration!$I$2,"",_xlfn.REGEXEXTRACT(CELL("address",AH96), "\$([A-Z]+)\$[0-9]+")))</f>
        <v/>
      </c>
      <c r="AI96" s="7" t="str" cm="1">
        <f t="array" aca="1" ref="AI96" ca="1">IF(OR('Raw Data'!AI96="",LEN(TRIM('Raw Data'!AI96))=0,Validate_Empty!AI96&lt;&gt;"",Validate_Value!AI96&lt;&gt;""),"",IF(Configuration!$H$2 = Configuration!$J$2,"",_xlfn.REGEXEXTRACT(CELL("address",AI96), "\$([A-Z]+)\$[0-9]+")))</f>
        <v/>
      </c>
      <c r="AJ96" s="7"/>
      <c r="AK96" s="7"/>
      <c r="AL96" s="7"/>
      <c r="AM96" s="7"/>
      <c r="AN96" s="7"/>
      <c r="AO96" s="7"/>
      <c r="AP96" s="7" t="str" cm="1">
        <f t="array" aca="1" ref="AP96" ca="1">IF(OR('Raw Data'!AP96="",LEN(TRIM('Raw Data'!AP96))=0,Validate_Empty!AP96&lt;&gt;"",Validate_Value!AP96&lt;&gt;""),"",IF('Raw Data'!AP96=SUM('Raw Data'!AK96:AO96),"",_xlfn.REGEXEXTRACT(CELL("address",AP96), "\$([A-Z]+)\$[0-9]+")))</f>
        <v/>
      </c>
    </row>
    <row r="97" spans="2:42" x14ac:dyDescent="0.25">
      <c r="B97" s="7"/>
      <c r="C97" s="7"/>
      <c r="D97" s="7"/>
      <c r="E97" s="7"/>
      <c r="F97" s="7"/>
      <c r="G97" s="7"/>
      <c r="H97" s="7"/>
      <c r="I97" s="7"/>
      <c r="J97" s="7" t="str" cm="1">
        <f t="array" aca="1" ref="J97" ca="1">IF(OR('Raw Data'!J97="",LEN(TRIM('Raw Data'!J97))=0,Validate_Empty!J97&lt;&gt;"",Validate_Value!J97&lt;&gt;""),"",IF('Raw Data'!J97=SUM('Raw Data'!K97:N97),"",_xlfn.REGEXEXTRACT(CELL("address",J97), "\$([A-Z]+)\$[0-9]+")))</f>
        <v/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 t="str" cm="1">
        <f t="array" aca="1" ref="Z97" ca="1">IF(OR('Raw Data'!Z97="",LEN(TRIM('Raw Data'!Z97))=0,Validate_Empty!Z97&lt;&gt;"",Validate_Value!Z97&lt;&gt;""),"",IF('Raw Data'!Z97=SUM('Raw Data'!T97:Y97),"",_xlfn.REGEXEXTRACT(CELL("address",Z97), "\$([A-Z]+)\$[0-9]+")))</f>
        <v/>
      </c>
      <c r="AA97" s="7"/>
      <c r="AB97" s="7"/>
      <c r="AC97" s="7"/>
      <c r="AD97" s="7"/>
      <c r="AE97" s="7"/>
      <c r="AF97" s="7"/>
      <c r="AG97" s="7" t="str" cm="1">
        <f t="array" aca="1" ref="AG97" ca="1">IF(OR('Raw Data'!AG97="",LEN(TRIM('Raw Data'!AG97))=0,Validate_Empty!AG97&lt;&gt;"",Validate_Value!AG97&lt;&gt;""),"",IF('Raw Data'!AG97=SUM('Raw Data'!AA97:AF97),"",_xlfn.REGEXEXTRACT(CELL("address",AG97), "\$([A-Z]+)\$[0-9]+")))</f>
        <v/>
      </c>
      <c r="AH97" s="7" t="str" cm="1">
        <f t="array" aca="1" ref="AH97" ca="1">IF(OR('Raw Data'!AH97="",LEN(TRIM('Raw Data'!AH97))=0,Validate_Empty!AH97&lt;&gt;"",Validate_Value!AH97&lt;&gt;""),"",IF(Configuration!$G$2 = Configuration!$I$2,"",_xlfn.REGEXEXTRACT(CELL("address",AH97), "\$([A-Z]+)\$[0-9]+")))</f>
        <v/>
      </c>
      <c r="AI97" s="7" t="str" cm="1">
        <f t="array" aca="1" ref="AI97" ca="1">IF(OR('Raw Data'!AI97="",LEN(TRIM('Raw Data'!AI97))=0,Validate_Empty!AI97&lt;&gt;"",Validate_Value!AI97&lt;&gt;""),"",IF(Configuration!$H$2 = Configuration!$J$2,"",_xlfn.REGEXEXTRACT(CELL("address",AI97), "\$([A-Z]+)\$[0-9]+")))</f>
        <v/>
      </c>
      <c r="AJ97" s="7"/>
      <c r="AK97" s="7"/>
      <c r="AL97" s="7"/>
      <c r="AM97" s="7"/>
      <c r="AN97" s="7"/>
      <c r="AO97" s="7"/>
      <c r="AP97" s="7" t="str" cm="1">
        <f t="array" aca="1" ref="AP97" ca="1">IF(OR('Raw Data'!AP97="",LEN(TRIM('Raw Data'!AP97))=0,Validate_Empty!AP97&lt;&gt;"",Validate_Value!AP97&lt;&gt;""),"",IF('Raw Data'!AP97=SUM('Raw Data'!AK97:AO97),"",_xlfn.REGEXEXTRACT(CELL("address",AP97), "\$([A-Z]+)\$[0-9]+")))</f>
        <v/>
      </c>
    </row>
    <row r="98" spans="2:42" x14ac:dyDescent="0.25">
      <c r="B98" s="7"/>
      <c r="C98" s="7"/>
      <c r="D98" s="7"/>
      <c r="E98" s="7"/>
      <c r="F98" s="7"/>
      <c r="G98" s="7"/>
      <c r="H98" s="7"/>
      <c r="I98" s="7"/>
      <c r="J98" s="7" t="str" cm="1">
        <f t="array" aca="1" ref="J98" ca="1">IF(OR('Raw Data'!J98="",LEN(TRIM('Raw Data'!J98))=0,Validate_Empty!J98&lt;&gt;"",Validate_Value!J98&lt;&gt;""),"",IF('Raw Data'!J98=SUM('Raw Data'!K98:N98),"",_xlfn.REGEXEXTRACT(CELL("address",J98), "\$([A-Z]+)\$[0-9]+")))</f>
        <v/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 t="str" cm="1">
        <f t="array" aca="1" ref="Z98" ca="1">IF(OR('Raw Data'!Z98="",LEN(TRIM('Raw Data'!Z98))=0,Validate_Empty!Z98&lt;&gt;"",Validate_Value!Z98&lt;&gt;""),"",IF('Raw Data'!Z98=SUM('Raw Data'!T98:Y98),"",_xlfn.REGEXEXTRACT(CELL("address",Z98), "\$([A-Z]+)\$[0-9]+")))</f>
        <v/>
      </c>
      <c r="AA98" s="7"/>
      <c r="AB98" s="7"/>
      <c r="AC98" s="7"/>
      <c r="AD98" s="7"/>
      <c r="AE98" s="7"/>
      <c r="AF98" s="7"/>
      <c r="AG98" s="7" t="str" cm="1">
        <f t="array" aca="1" ref="AG98" ca="1">IF(OR('Raw Data'!AG98="",LEN(TRIM('Raw Data'!AG98))=0,Validate_Empty!AG98&lt;&gt;"",Validate_Value!AG98&lt;&gt;""),"",IF('Raw Data'!AG98=SUM('Raw Data'!AA98:AF98),"",_xlfn.REGEXEXTRACT(CELL("address",AG98), "\$([A-Z]+)\$[0-9]+")))</f>
        <v/>
      </c>
      <c r="AH98" s="7" t="str" cm="1">
        <f t="array" aca="1" ref="AH98" ca="1">IF(OR('Raw Data'!AH98="",LEN(TRIM('Raw Data'!AH98))=0,Validate_Empty!AH98&lt;&gt;"",Validate_Value!AH98&lt;&gt;""),"",IF(Configuration!$G$2 = Configuration!$I$2,"",_xlfn.REGEXEXTRACT(CELL("address",AH98), "\$([A-Z]+)\$[0-9]+")))</f>
        <v/>
      </c>
      <c r="AI98" s="7" t="str" cm="1">
        <f t="array" aca="1" ref="AI98" ca="1">IF(OR('Raw Data'!AI98="",LEN(TRIM('Raw Data'!AI98))=0,Validate_Empty!AI98&lt;&gt;"",Validate_Value!AI98&lt;&gt;""),"",IF(Configuration!$H$2 = Configuration!$J$2,"",_xlfn.REGEXEXTRACT(CELL("address",AI98), "\$([A-Z]+)\$[0-9]+")))</f>
        <v/>
      </c>
      <c r="AJ98" s="7"/>
      <c r="AK98" s="7"/>
      <c r="AL98" s="7"/>
      <c r="AM98" s="7"/>
      <c r="AN98" s="7"/>
      <c r="AO98" s="7"/>
      <c r="AP98" s="7" t="str" cm="1">
        <f t="array" aca="1" ref="AP98" ca="1">IF(OR('Raw Data'!AP98="",LEN(TRIM('Raw Data'!AP98))=0,Validate_Empty!AP98&lt;&gt;"",Validate_Value!AP98&lt;&gt;""),"",IF('Raw Data'!AP98=SUM('Raw Data'!AK98:AO98),"",_xlfn.REGEXEXTRACT(CELL("address",AP98), "\$([A-Z]+)\$[0-9]+")))</f>
        <v/>
      </c>
    </row>
    <row r="99" spans="2:42" x14ac:dyDescent="0.25">
      <c r="B99" s="7"/>
      <c r="C99" s="7"/>
      <c r="D99" s="7"/>
      <c r="E99" s="7"/>
      <c r="F99" s="7"/>
      <c r="G99" s="7"/>
      <c r="H99" s="7"/>
      <c r="I99" s="7"/>
      <c r="J99" s="7" t="str" cm="1">
        <f t="array" aca="1" ref="J99" ca="1">IF(OR('Raw Data'!J99="",LEN(TRIM('Raw Data'!J99))=0,Validate_Empty!J99&lt;&gt;"",Validate_Value!J99&lt;&gt;""),"",IF('Raw Data'!J99=SUM('Raw Data'!K99:N99),"",_xlfn.REGEXEXTRACT(CELL("address",J99), "\$([A-Z]+)\$[0-9]+")))</f>
        <v/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 t="str" cm="1">
        <f t="array" aca="1" ref="Z99" ca="1">IF(OR('Raw Data'!Z99="",LEN(TRIM('Raw Data'!Z99))=0,Validate_Empty!Z99&lt;&gt;"",Validate_Value!Z99&lt;&gt;""),"",IF('Raw Data'!Z99=SUM('Raw Data'!T99:Y99),"",_xlfn.REGEXEXTRACT(CELL("address",Z99), "\$([A-Z]+)\$[0-9]+")))</f>
        <v/>
      </c>
      <c r="AA99" s="7"/>
      <c r="AB99" s="7"/>
      <c r="AC99" s="7"/>
      <c r="AD99" s="7"/>
      <c r="AE99" s="7"/>
      <c r="AF99" s="7"/>
      <c r="AG99" s="7" t="str" cm="1">
        <f t="array" aca="1" ref="AG99" ca="1">IF(OR('Raw Data'!AG99="",LEN(TRIM('Raw Data'!AG99))=0,Validate_Empty!AG99&lt;&gt;"",Validate_Value!AG99&lt;&gt;""),"",IF('Raw Data'!AG99=SUM('Raw Data'!AA99:AF99),"",_xlfn.REGEXEXTRACT(CELL("address",AG99), "\$([A-Z]+)\$[0-9]+")))</f>
        <v/>
      </c>
      <c r="AH99" s="7" t="str" cm="1">
        <f t="array" aca="1" ref="AH99" ca="1">IF(OR('Raw Data'!AH99="",LEN(TRIM('Raw Data'!AH99))=0,Validate_Empty!AH99&lt;&gt;"",Validate_Value!AH99&lt;&gt;""),"",IF(Configuration!$G$2 = Configuration!$I$2,"",_xlfn.REGEXEXTRACT(CELL("address",AH99), "\$([A-Z]+)\$[0-9]+")))</f>
        <v/>
      </c>
      <c r="AI99" s="7" t="str" cm="1">
        <f t="array" aca="1" ref="AI99" ca="1">IF(OR('Raw Data'!AI99="",LEN(TRIM('Raw Data'!AI99))=0,Validate_Empty!AI99&lt;&gt;"",Validate_Value!AI99&lt;&gt;""),"",IF(Configuration!$H$2 = Configuration!$J$2,"",_xlfn.REGEXEXTRACT(CELL("address",AI99), "\$([A-Z]+)\$[0-9]+")))</f>
        <v/>
      </c>
      <c r="AJ99" s="7"/>
      <c r="AK99" s="7"/>
      <c r="AL99" s="7"/>
      <c r="AM99" s="7"/>
      <c r="AN99" s="7"/>
      <c r="AO99" s="7"/>
      <c r="AP99" s="7" t="str" cm="1">
        <f t="array" aca="1" ref="AP99" ca="1">IF(OR('Raw Data'!AP99="",LEN(TRIM('Raw Data'!AP99))=0,Validate_Empty!AP99&lt;&gt;"",Validate_Value!AP99&lt;&gt;""),"",IF('Raw Data'!AP99=SUM('Raw Data'!AK99:AO99),"",_xlfn.REGEXEXTRACT(CELL("address",AP99), "\$([A-Z]+)\$[0-9]+")))</f>
        <v/>
      </c>
    </row>
    <row r="100" spans="2:42" x14ac:dyDescent="0.25">
      <c r="B100" s="7"/>
      <c r="C100" s="7"/>
      <c r="D100" s="7"/>
      <c r="E100" s="7"/>
      <c r="F100" s="7"/>
      <c r="G100" s="7"/>
      <c r="H100" s="7"/>
      <c r="I100" s="7"/>
      <c r="J100" s="7" t="str" cm="1">
        <f t="array" aca="1" ref="J100" ca="1">IF(OR('Raw Data'!J100="",LEN(TRIM('Raw Data'!J100))=0,Validate_Empty!J100&lt;&gt;"",Validate_Value!J100&lt;&gt;""),"",IF('Raw Data'!J100=SUM('Raw Data'!K100:N100),"",_xlfn.REGEXEXTRACT(CELL("address",J100), "\$([A-Z]+)\$[0-9]+")))</f>
        <v/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 t="str" cm="1">
        <f t="array" aca="1" ref="Z100" ca="1">IF(OR('Raw Data'!Z100="",LEN(TRIM('Raw Data'!Z100))=0,Validate_Empty!Z100&lt;&gt;"",Validate_Value!Z100&lt;&gt;""),"",IF('Raw Data'!Z100=SUM('Raw Data'!T100:Y100),"",_xlfn.REGEXEXTRACT(CELL("address",Z100), "\$([A-Z]+)\$[0-9]+")))</f>
        <v/>
      </c>
      <c r="AA100" s="7"/>
      <c r="AB100" s="7"/>
      <c r="AC100" s="7"/>
      <c r="AD100" s="7"/>
      <c r="AE100" s="7"/>
      <c r="AF100" s="7"/>
      <c r="AG100" s="7" t="str" cm="1">
        <f t="array" aca="1" ref="AG100" ca="1">IF(OR('Raw Data'!AG100="",LEN(TRIM('Raw Data'!AG100))=0,Validate_Empty!AG100&lt;&gt;"",Validate_Value!AG100&lt;&gt;""),"",IF('Raw Data'!AG100=SUM('Raw Data'!AA100:AF100),"",_xlfn.REGEXEXTRACT(CELL("address",AG100), "\$([A-Z]+)\$[0-9]+")))</f>
        <v/>
      </c>
      <c r="AH100" s="7" t="str" cm="1">
        <f t="array" aca="1" ref="AH100" ca="1">IF(OR('Raw Data'!AH100="",LEN(TRIM('Raw Data'!AH100))=0,Validate_Empty!AH100&lt;&gt;"",Validate_Value!AH100&lt;&gt;""),"",IF(Configuration!$G$2 = Configuration!$I$2,"",_xlfn.REGEXEXTRACT(CELL("address",AH100), "\$([A-Z]+)\$[0-9]+")))</f>
        <v/>
      </c>
      <c r="AI100" s="7" t="str" cm="1">
        <f t="array" aca="1" ref="AI100" ca="1">IF(OR('Raw Data'!AI100="",LEN(TRIM('Raw Data'!AI100))=0,Validate_Empty!AI100&lt;&gt;"",Validate_Value!AI100&lt;&gt;""),"",IF(Configuration!$H$2 = Configuration!$J$2,"",_xlfn.REGEXEXTRACT(CELL("address",AI100), "\$([A-Z]+)\$[0-9]+")))</f>
        <v/>
      </c>
      <c r="AJ100" s="7"/>
      <c r="AK100" s="7"/>
      <c r="AL100" s="7"/>
      <c r="AM100" s="7"/>
      <c r="AN100" s="7"/>
      <c r="AO100" s="7"/>
      <c r="AP100" s="7" t="str" cm="1">
        <f t="array" aca="1" ref="AP100" ca="1">IF(OR('Raw Data'!AP100="",LEN(TRIM('Raw Data'!AP100))=0,Validate_Empty!AP100&lt;&gt;"",Validate_Value!AP100&lt;&gt;""),"",IF('Raw Data'!AP100=SUM('Raw Data'!AK100:AO100),"",_xlfn.REGEXEXTRACT(CELL("address",AP100), "\$([A-Z]+)\$[0-9]+")))</f>
        <v/>
      </c>
    </row>
    <row r="101" spans="2:42" x14ac:dyDescent="0.25">
      <c r="B101" s="7"/>
      <c r="C101" s="7"/>
      <c r="D101" s="7"/>
      <c r="E101" s="7"/>
      <c r="F101" s="7"/>
      <c r="G101" s="7"/>
      <c r="H101" s="7"/>
      <c r="I101" s="7"/>
      <c r="J101" s="7" t="str" cm="1">
        <f t="array" aca="1" ref="J101" ca="1">IF(OR('Raw Data'!J101="",LEN(TRIM('Raw Data'!J101))=0,Validate_Empty!J101&lt;&gt;"",Validate_Value!J101&lt;&gt;""),"",IF('Raw Data'!J101=SUM('Raw Data'!K101:N101),"",_xlfn.REGEXEXTRACT(CELL("address",J101), "\$([A-Z]+)\$[0-9]+")))</f>
        <v/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 t="str" cm="1">
        <f t="array" aca="1" ref="Z101" ca="1">IF(OR('Raw Data'!Z101="",LEN(TRIM('Raw Data'!Z101))=0,Validate_Empty!Z101&lt;&gt;"",Validate_Value!Z101&lt;&gt;""),"",IF('Raw Data'!Z101=SUM('Raw Data'!T101:Y101),"",_xlfn.REGEXEXTRACT(CELL("address",Z101), "\$([A-Z]+)\$[0-9]+")))</f>
        <v/>
      </c>
      <c r="AA101" s="7"/>
      <c r="AB101" s="7"/>
      <c r="AC101" s="7"/>
      <c r="AD101" s="7"/>
      <c r="AE101" s="7"/>
      <c r="AF101" s="7"/>
      <c r="AG101" s="7" t="str" cm="1">
        <f t="array" aca="1" ref="AG101" ca="1">IF(OR('Raw Data'!AG101="",LEN(TRIM('Raw Data'!AG101))=0,Validate_Empty!AG101&lt;&gt;"",Validate_Value!AG101&lt;&gt;""),"",IF('Raw Data'!AG101=SUM('Raw Data'!AA101:AF101),"",_xlfn.REGEXEXTRACT(CELL("address",AG101), "\$([A-Z]+)\$[0-9]+")))</f>
        <v/>
      </c>
      <c r="AH101" s="7" t="str" cm="1">
        <f t="array" aca="1" ref="AH101" ca="1">IF(OR('Raw Data'!AH101="",LEN(TRIM('Raw Data'!AH101))=0,Validate_Empty!AH101&lt;&gt;"",Validate_Value!AH101&lt;&gt;""),"",IF(Configuration!$G$2 = Configuration!$I$2,"",_xlfn.REGEXEXTRACT(CELL("address",AH101), "\$([A-Z]+)\$[0-9]+")))</f>
        <v/>
      </c>
      <c r="AI101" s="7" t="str" cm="1">
        <f t="array" aca="1" ref="AI101" ca="1">IF(OR('Raw Data'!AI101="",LEN(TRIM('Raw Data'!AI101))=0,Validate_Empty!AI101&lt;&gt;"",Validate_Value!AI101&lt;&gt;""),"",IF(Configuration!$H$2 = Configuration!$J$2,"",_xlfn.REGEXEXTRACT(CELL("address",AI101), "\$([A-Z]+)\$[0-9]+")))</f>
        <v/>
      </c>
      <c r="AJ101" s="7"/>
      <c r="AK101" s="7"/>
      <c r="AL101" s="7"/>
      <c r="AM101" s="7"/>
      <c r="AN101" s="7"/>
      <c r="AO101" s="7"/>
      <c r="AP101" s="7" t="str" cm="1">
        <f t="array" aca="1" ref="AP101" ca="1">IF(OR('Raw Data'!AP101="",LEN(TRIM('Raw Data'!AP101))=0,Validate_Empty!AP101&lt;&gt;"",Validate_Value!AP101&lt;&gt;""),"",IF('Raw Data'!AP101=SUM('Raw Data'!AK101:AO101),"",_xlfn.REGEXEXTRACT(CELL("address",AP101), "\$([A-Z]+)\$[0-9]+")))</f>
        <v/>
      </c>
    </row>
    <row r="102" spans="2:42" x14ac:dyDescent="0.25">
      <c r="B102" s="7"/>
      <c r="C102" s="7"/>
      <c r="D102" s="7"/>
      <c r="E102" s="7"/>
      <c r="F102" s="7"/>
      <c r="G102" s="7"/>
      <c r="H102" s="7"/>
      <c r="I102" s="7"/>
      <c r="J102" s="7" t="str" cm="1">
        <f t="array" aca="1" ref="J102" ca="1">IF(OR('Raw Data'!J102="",LEN(TRIM('Raw Data'!J102))=0,Validate_Empty!J102&lt;&gt;"",Validate_Value!J102&lt;&gt;""),"",IF('Raw Data'!J102=SUM('Raw Data'!K102:N102),"",_xlfn.REGEXEXTRACT(CELL("address",J102), "\$([A-Z]+)\$[0-9]+")))</f>
        <v/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 t="str" cm="1">
        <f t="array" aca="1" ref="Z102" ca="1">IF(OR('Raw Data'!Z102="",LEN(TRIM('Raw Data'!Z102))=0,Validate_Empty!Z102&lt;&gt;"",Validate_Value!Z102&lt;&gt;""),"",IF('Raw Data'!Z102=SUM('Raw Data'!T102:Y102),"",_xlfn.REGEXEXTRACT(CELL("address",Z102), "\$([A-Z]+)\$[0-9]+")))</f>
        <v/>
      </c>
      <c r="AA102" s="7"/>
      <c r="AB102" s="7"/>
      <c r="AC102" s="7"/>
      <c r="AD102" s="7"/>
      <c r="AE102" s="7"/>
      <c r="AF102" s="7"/>
      <c r="AG102" s="7" t="str" cm="1">
        <f t="array" aca="1" ref="AG102" ca="1">IF(OR('Raw Data'!AG102="",LEN(TRIM('Raw Data'!AG102))=0,Validate_Empty!AG102&lt;&gt;"",Validate_Value!AG102&lt;&gt;""),"",IF('Raw Data'!AG102=SUM('Raw Data'!AA102:AF102),"",_xlfn.REGEXEXTRACT(CELL("address",AG102), "\$([A-Z]+)\$[0-9]+")))</f>
        <v/>
      </c>
      <c r="AH102" s="7" t="str" cm="1">
        <f t="array" aca="1" ref="AH102" ca="1">IF(OR('Raw Data'!AH102="",LEN(TRIM('Raw Data'!AH102))=0,Validate_Empty!AH102&lt;&gt;"",Validate_Value!AH102&lt;&gt;""),"",IF(Configuration!$G$2 = Configuration!$I$2,"",_xlfn.REGEXEXTRACT(CELL("address",AH102), "\$([A-Z]+)\$[0-9]+")))</f>
        <v/>
      </c>
      <c r="AI102" s="7" t="str" cm="1">
        <f t="array" aca="1" ref="AI102" ca="1">IF(OR('Raw Data'!AI102="",LEN(TRIM('Raw Data'!AI102))=0,Validate_Empty!AI102&lt;&gt;"",Validate_Value!AI102&lt;&gt;""),"",IF(Configuration!$H$2 = Configuration!$J$2,"",_xlfn.REGEXEXTRACT(CELL("address",AI102), "\$([A-Z]+)\$[0-9]+")))</f>
        <v/>
      </c>
      <c r="AJ102" s="7"/>
      <c r="AK102" s="7"/>
      <c r="AL102" s="7"/>
      <c r="AM102" s="7"/>
      <c r="AN102" s="7"/>
      <c r="AO102" s="7"/>
      <c r="AP102" s="7" t="str" cm="1">
        <f t="array" aca="1" ref="AP102" ca="1">IF(OR('Raw Data'!AP102="",LEN(TRIM('Raw Data'!AP102))=0,Validate_Empty!AP102&lt;&gt;"",Validate_Value!AP102&lt;&gt;""),"",IF('Raw Data'!AP102=SUM('Raw Data'!AK102:AO102),"",_xlfn.REGEXEXTRACT(CELL("address",AP102), "\$([A-Z]+)\$[0-9]+")))</f>
        <v/>
      </c>
    </row>
    <row r="103" spans="2:42" x14ac:dyDescent="0.25">
      <c r="B103" s="7"/>
      <c r="C103" s="7"/>
      <c r="D103" s="7"/>
      <c r="E103" s="7"/>
      <c r="F103" s="7"/>
      <c r="G103" s="7"/>
      <c r="H103" s="7"/>
      <c r="I103" s="7"/>
      <c r="J103" s="7" t="str" cm="1">
        <f t="array" aca="1" ref="J103" ca="1">IF(OR('Raw Data'!J103="",LEN(TRIM('Raw Data'!J103))=0,Validate_Empty!J103&lt;&gt;"",Validate_Value!J103&lt;&gt;""),"",IF('Raw Data'!J103=SUM('Raw Data'!K103:N103),"",_xlfn.REGEXEXTRACT(CELL("address",J103), "\$([A-Z]+)\$[0-9]+")))</f>
        <v/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 t="str" cm="1">
        <f t="array" aca="1" ref="Z103" ca="1">IF(OR('Raw Data'!Z103="",LEN(TRIM('Raw Data'!Z103))=0,Validate_Empty!Z103&lt;&gt;"",Validate_Value!Z103&lt;&gt;""),"",IF('Raw Data'!Z103=SUM('Raw Data'!T103:Y103),"",_xlfn.REGEXEXTRACT(CELL("address",Z103), "\$([A-Z]+)\$[0-9]+")))</f>
        <v/>
      </c>
      <c r="AA103" s="7"/>
      <c r="AB103" s="7"/>
      <c r="AC103" s="7"/>
      <c r="AD103" s="7"/>
      <c r="AE103" s="7"/>
      <c r="AF103" s="7"/>
      <c r="AG103" s="7" t="str" cm="1">
        <f t="array" aca="1" ref="AG103" ca="1">IF(OR('Raw Data'!AG103="",LEN(TRIM('Raw Data'!AG103))=0,Validate_Empty!AG103&lt;&gt;"",Validate_Value!AG103&lt;&gt;""),"",IF('Raw Data'!AG103=SUM('Raw Data'!AA103:AF103),"",_xlfn.REGEXEXTRACT(CELL("address",AG103), "\$([A-Z]+)\$[0-9]+")))</f>
        <v/>
      </c>
      <c r="AH103" s="7" t="str" cm="1">
        <f t="array" aca="1" ref="AH103" ca="1">IF(OR('Raw Data'!AH103="",LEN(TRIM('Raw Data'!AH103))=0,Validate_Empty!AH103&lt;&gt;"",Validate_Value!AH103&lt;&gt;""),"",IF(Configuration!$G$2 = Configuration!$I$2,"",_xlfn.REGEXEXTRACT(CELL("address",AH103), "\$([A-Z]+)\$[0-9]+")))</f>
        <v/>
      </c>
      <c r="AI103" s="7" t="str" cm="1">
        <f t="array" aca="1" ref="AI103" ca="1">IF(OR('Raw Data'!AI103="",LEN(TRIM('Raw Data'!AI103))=0,Validate_Empty!AI103&lt;&gt;"",Validate_Value!AI103&lt;&gt;""),"",IF(Configuration!$H$2 = Configuration!$J$2,"",_xlfn.REGEXEXTRACT(CELL("address",AI103), "\$([A-Z]+)\$[0-9]+")))</f>
        <v/>
      </c>
      <c r="AJ103" s="7"/>
      <c r="AK103" s="7"/>
      <c r="AL103" s="7"/>
      <c r="AM103" s="7"/>
      <c r="AN103" s="7"/>
      <c r="AO103" s="7"/>
      <c r="AP103" s="7" t="str" cm="1">
        <f t="array" aca="1" ref="AP103" ca="1">IF(OR('Raw Data'!AP103="",LEN(TRIM('Raw Data'!AP103))=0,Validate_Empty!AP103&lt;&gt;"",Validate_Value!AP103&lt;&gt;""),"",IF('Raw Data'!AP103=SUM('Raw Data'!AK103:AO103),"",_xlfn.REGEXEXTRACT(CELL("address",AP103), "\$([A-Z]+)\$[0-9]+")))</f>
        <v/>
      </c>
    </row>
    <row r="104" spans="2:42" x14ac:dyDescent="0.25">
      <c r="B104" s="7"/>
      <c r="C104" s="7"/>
      <c r="D104" s="7"/>
      <c r="E104" s="7"/>
      <c r="F104" s="7"/>
      <c r="G104" s="7"/>
      <c r="H104" s="7"/>
      <c r="I104" s="7"/>
      <c r="J104" s="7" t="str" cm="1">
        <f t="array" aca="1" ref="J104" ca="1">IF(OR('Raw Data'!J104="",LEN(TRIM('Raw Data'!J104))=0,Validate_Empty!J104&lt;&gt;"",Validate_Value!J104&lt;&gt;""),"",IF('Raw Data'!J104=SUM('Raw Data'!K104:N104),"",_xlfn.REGEXEXTRACT(CELL("address",J104), "\$([A-Z]+)\$[0-9]+")))</f>
        <v/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 t="str" cm="1">
        <f t="array" aca="1" ref="Z104" ca="1">IF(OR('Raw Data'!Z104="",LEN(TRIM('Raw Data'!Z104))=0,Validate_Empty!Z104&lt;&gt;"",Validate_Value!Z104&lt;&gt;""),"",IF('Raw Data'!Z104=SUM('Raw Data'!T104:Y104),"",_xlfn.REGEXEXTRACT(CELL("address",Z104), "\$([A-Z]+)\$[0-9]+")))</f>
        <v/>
      </c>
      <c r="AA104" s="7"/>
      <c r="AB104" s="7"/>
      <c r="AC104" s="7"/>
      <c r="AD104" s="7"/>
      <c r="AE104" s="7"/>
      <c r="AF104" s="7"/>
      <c r="AG104" s="7" t="str" cm="1">
        <f t="array" aca="1" ref="AG104" ca="1">IF(OR('Raw Data'!AG104="",LEN(TRIM('Raw Data'!AG104))=0,Validate_Empty!AG104&lt;&gt;"",Validate_Value!AG104&lt;&gt;""),"",IF('Raw Data'!AG104=SUM('Raw Data'!AA104:AF104),"",_xlfn.REGEXEXTRACT(CELL("address",AG104), "\$([A-Z]+)\$[0-9]+")))</f>
        <v/>
      </c>
      <c r="AH104" s="7" t="str" cm="1">
        <f t="array" aca="1" ref="AH104" ca="1">IF(OR('Raw Data'!AH104="",LEN(TRIM('Raw Data'!AH104))=0,Validate_Empty!AH104&lt;&gt;"",Validate_Value!AH104&lt;&gt;""),"",IF(Configuration!$G$2 = Configuration!$I$2,"",_xlfn.REGEXEXTRACT(CELL("address",AH104), "\$([A-Z]+)\$[0-9]+")))</f>
        <v/>
      </c>
      <c r="AI104" s="7" t="str" cm="1">
        <f t="array" aca="1" ref="AI104" ca="1">IF(OR('Raw Data'!AI104="",LEN(TRIM('Raw Data'!AI104))=0,Validate_Empty!AI104&lt;&gt;"",Validate_Value!AI104&lt;&gt;""),"",IF(Configuration!$H$2 = Configuration!$J$2,"",_xlfn.REGEXEXTRACT(CELL("address",AI104), "\$([A-Z]+)\$[0-9]+")))</f>
        <v/>
      </c>
      <c r="AJ104" s="7"/>
      <c r="AK104" s="7"/>
      <c r="AL104" s="7"/>
      <c r="AM104" s="7"/>
      <c r="AN104" s="7"/>
      <c r="AO104" s="7"/>
      <c r="AP104" s="7" t="str" cm="1">
        <f t="array" aca="1" ref="AP104" ca="1">IF(OR('Raw Data'!AP104="",LEN(TRIM('Raw Data'!AP104))=0,Validate_Empty!AP104&lt;&gt;"",Validate_Value!AP104&lt;&gt;""),"",IF('Raw Data'!AP104=SUM('Raw Data'!AK104:AO104),"",_xlfn.REGEXEXTRACT(CELL("address",AP104), "\$([A-Z]+)\$[0-9]+")))</f>
        <v/>
      </c>
    </row>
    <row r="105" spans="2:42" x14ac:dyDescent="0.25">
      <c r="B105" s="7"/>
      <c r="C105" s="7"/>
      <c r="D105" s="7"/>
      <c r="E105" s="7"/>
      <c r="F105" s="7"/>
      <c r="G105" s="7"/>
      <c r="H105" s="7"/>
      <c r="I105" s="7"/>
      <c r="J105" s="7" t="str" cm="1">
        <f t="array" aca="1" ref="J105" ca="1">IF(OR('Raw Data'!J105="",LEN(TRIM('Raw Data'!J105))=0,Validate_Empty!J105&lt;&gt;"",Validate_Value!J105&lt;&gt;""),"",IF('Raw Data'!J105=SUM('Raw Data'!K105:N105),"",_xlfn.REGEXEXTRACT(CELL("address",J105), "\$([A-Z]+)\$[0-9]+")))</f>
        <v/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 t="str" cm="1">
        <f t="array" aca="1" ref="Z105" ca="1">IF(OR('Raw Data'!Z105="",LEN(TRIM('Raw Data'!Z105))=0,Validate_Empty!Z105&lt;&gt;"",Validate_Value!Z105&lt;&gt;""),"",IF('Raw Data'!Z105=SUM('Raw Data'!T105:Y105),"",_xlfn.REGEXEXTRACT(CELL("address",Z105), "\$([A-Z]+)\$[0-9]+")))</f>
        <v/>
      </c>
      <c r="AA105" s="7"/>
      <c r="AB105" s="7"/>
      <c r="AC105" s="7"/>
      <c r="AD105" s="7"/>
      <c r="AE105" s="7"/>
      <c r="AF105" s="7"/>
      <c r="AG105" s="7" t="str" cm="1">
        <f t="array" aca="1" ref="AG105" ca="1">IF(OR('Raw Data'!AG105="",LEN(TRIM('Raw Data'!AG105))=0,Validate_Empty!AG105&lt;&gt;"",Validate_Value!AG105&lt;&gt;""),"",IF('Raw Data'!AG105=SUM('Raw Data'!AA105:AF105),"",_xlfn.REGEXEXTRACT(CELL("address",AG105), "\$([A-Z]+)\$[0-9]+")))</f>
        <v/>
      </c>
      <c r="AH105" s="7" t="str" cm="1">
        <f t="array" aca="1" ref="AH105" ca="1">IF(OR('Raw Data'!AH105="",LEN(TRIM('Raw Data'!AH105))=0,Validate_Empty!AH105&lt;&gt;"",Validate_Value!AH105&lt;&gt;""),"",IF(Configuration!$G$2 = Configuration!$I$2,"",_xlfn.REGEXEXTRACT(CELL("address",AH105), "\$([A-Z]+)\$[0-9]+")))</f>
        <v/>
      </c>
      <c r="AI105" s="7" t="str" cm="1">
        <f t="array" aca="1" ref="AI105" ca="1">IF(OR('Raw Data'!AI105="",LEN(TRIM('Raw Data'!AI105))=0,Validate_Empty!AI105&lt;&gt;"",Validate_Value!AI105&lt;&gt;""),"",IF(Configuration!$H$2 = Configuration!$J$2,"",_xlfn.REGEXEXTRACT(CELL("address",AI105), "\$([A-Z]+)\$[0-9]+")))</f>
        <v/>
      </c>
      <c r="AJ105" s="7"/>
      <c r="AK105" s="7"/>
      <c r="AL105" s="7"/>
      <c r="AM105" s="7"/>
      <c r="AN105" s="7"/>
      <c r="AO105" s="7"/>
      <c r="AP105" s="7" t="str" cm="1">
        <f t="array" aca="1" ref="AP105" ca="1">IF(OR('Raw Data'!AP105="",LEN(TRIM('Raw Data'!AP105))=0,Validate_Empty!AP105&lt;&gt;"",Validate_Value!AP105&lt;&gt;""),"",IF('Raw Data'!AP105=SUM('Raw Data'!AK105:AO105),"",_xlfn.REGEXEXTRACT(CELL("address",AP105), "\$([A-Z]+)\$[0-9]+")))</f>
        <v/>
      </c>
    </row>
    <row r="106" spans="2:42" x14ac:dyDescent="0.25">
      <c r="B106" s="7"/>
      <c r="C106" s="7"/>
      <c r="D106" s="7"/>
      <c r="E106" s="7"/>
      <c r="F106" s="7"/>
      <c r="G106" s="7"/>
      <c r="H106" s="7"/>
      <c r="I106" s="7"/>
      <c r="J106" s="7" t="str" cm="1">
        <f t="array" aca="1" ref="J106" ca="1">IF(OR('Raw Data'!J106="",LEN(TRIM('Raw Data'!J106))=0,Validate_Empty!J106&lt;&gt;"",Validate_Value!J106&lt;&gt;""),"",IF('Raw Data'!J106=SUM('Raw Data'!K106:N106),"",_xlfn.REGEXEXTRACT(CELL("address",J106), "\$([A-Z]+)\$[0-9]+")))</f>
        <v/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 t="str" cm="1">
        <f t="array" aca="1" ref="Z106" ca="1">IF(OR('Raw Data'!Z106="",LEN(TRIM('Raw Data'!Z106))=0,Validate_Empty!Z106&lt;&gt;"",Validate_Value!Z106&lt;&gt;""),"",IF('Raw Data'!Z106=SUM('Raw Data'!T106:Y106),"",_xlfn.REGEXEXTRACT(CELL("address",Z106), "\$([A-Z]+)\$[0-9]+")))</f>
        <v/>
      </c>
      <c r="AA106" s="7"/>
      <c r="AB106" s="7"/>
      <c r="AC106" s="7"/>
      <c r="AD106" s="7"/>
      <c r="AE106" s="7"/>
      <c r="AF106" s="7"/>
      <c r="AG106" s="7" t="str" cm="1">
        <f t="array" aca="1" ref="AG106" ca="1">IF(OR('Raw Data'!AG106="",LEN(TRIM('Raw Data'!AG106))=0,Validate_Empty!AG106&lt;&gt;"",Validate_Value!AG106&lt;&gt;""),"",IF('Raw Data'!AG106=SUM('Raw Data'!AA106:AF106),"",_xlfn.REGEXEXTRACT(CELL("address",AG106), "\$([A-Z]+)\$[0-9]+")))</f>
        <v/>
      </c>
      <c r="AH106" s="7" t="str" cm="1">
        <f t="array" aca="1" ref="AH106" ca="1">IF(OR('Raw Data'!AH106="",LEN(TRIM('Raw Data'!AH106))=0,Validate_Empty!AH106&lt;&gt;"",Validate_Value!AH106&lt;&gt;""),"",IF(Configuration!$G$2 = Configuration!$I$2,"",_xlfn.REGEXEXTRACT(CELL("address",AH106), "\$([A-Z]+)\$[0-9]+")))</f>
        <v/>
      </c>
      <c r="AI106" s="7" t="str" cm="1">
        <f t="array" aca="1" ref="AI106" ca="1">IF(OR('Raw Data'!AI106="",LEN(TRIM('Raw Data'!AI106))=0,Validate_Empty!AI106&lt;&gt;"",Validate_Value!AI106&lt;&gt;""),"",IF(Configuration!$H$2 = Configuration!$J$2,"",_xlfn.REGEXEXTRACT(CELL("address",AI106), "\$([A-Z]+)\$[0-9]+")))</f>
        <v/>
      </c>
      <c r="AJ106" s="7"/>
      <c r="AK106" s="7"/>
      <c r="AL106" s="7"/>
      <c r="AM106" s="7"/>
      <c r="AN106" s="7"/>
      <c r="AO106" s="7"/>
      <c r="AP106" s="7" t="str" cm="1">
        <f t="array" aca="1" ref="AP106" ca="1">IF(OR('Raw Data'!AP106="",LEN(TRIM('Raw Data'!AP106))=0,Validate_Empty!AP106&lt;&gt;"",Validate_Value!AP106&lt;&gt;""),"",IF('Raw Data'!AP106=SUM('Raw Data'!AK106:AO106),"",_xlfn.REGEXEXTRACT(CELL("address",AP106), "\$([A-Z]+)\$[0-9]+")))</f>
        <v/>
      </c>
    </row>
    <row r="107" spans="2:42" x14ac:dyDescent="0.25">
      <c r="B107" s="7"/>
      <c r="C107" s="7"/>
      <c r="D107" s="7"/>
      <c r="E107" s="7"/>
      <c r="F107" s="7"/>
      <c r="G107" s="7"/>
      <c r="H107" s="7"/>
      <c r="I107" s="7"/>
      <c r="J107" s="7" t="str" cm="1">
        <f t="array" aca="1" ref="J107" ca="1">IF(OR('Raw Data'!J107="",LEN(TRIM('Raw Data'!J107))=0,Validate_Empty!J107&lt;&gt;"",Validate_Value!J107&lt;&gt;""),"",IF('Raw Data'!J107=SUM('Raw Data'!K107:N107),"",_xlfn.REGEXEXTRACT(CELL("address",J107), "\$([A-Z]+)\$[0-9]+")))</f>
        <v/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 t="str" cm="1">
        <f t="array" aca="1" ref="Z107" ca="1">IF(OR('Raw Data'!Z107="",LEN(TRIM('Raw Data'!Z107))=0,Validate_Empty!Z107&lt;&gt;"",Validate_Value!Z107&lt;&gt;""),"",IF('Raw Data'!Z107=SUM('Raw Data'!T107:Y107),"",_xlfn.REGEXEXTRACT(CELL("address",Z107), "\$([A-Z]+)\$[0-9]+")))</f>
        <v/>
      </c>
      <c r="AA107" s="7"/>
      <c r="AB107" s="7"/>
      <c r="AC107" s="7"/>
      <c r="AD107" s="7"/>
      <c r="AE107" s="7"/>
      <c r="AF107" s="7"/>
      <c r="AG107" s="7" t="str" cm="1">
        <f t="array" aca="1" ref="AG107" ca="1">IF(OR('Raw Data'!AG107="",LEN(TRIM('Raw Data'!AG107))=0,Validate_Empty!AG107&lt;&gt;"",Validate_Value!AG107&lt;&gt;""),"",IF('Raw Data'!AG107=SUM('Raw Data'!AA107:AF107),"",_xlfn.REGEXEXTRACT(CELL("address",AG107), "\$([A-Z]+)\$[0-9]+")))</f>
        <v/>
      </c>
      <c r="AH107" s="7" t="str" cm="1">
        <f t="array" aca="1" ref="AH107" ca="1">IF(OR('Raw Data'!AH107="",LEN(TRIM('Raw Data'!AH107))=0,Validate_Empty!AH107&lt;&gt;"",Validate_Value!AH107&lt;&gt;""),"",IF(Configuration!$G$2 = Configuration!$I$2,"",_xlfn.REGEXEXTRACT(CELL("address",AH107), "\$([A-Z]+)\$[0-9]+")))</f>
        <v/>
      </c>
      <c r="AI107" s="7" t="str" cm="1">
        <f t="array" aca="1" ref="AI107" ca="1">IF(OR('Raw Data'!AI107="",LEN(TRIM('Raw Data'!AI107))=0,Validate_Empty!AI107&lt;&gt;"",Validate_Value!AI107&lt;&gt;""),"",IF(Configuration!$H$2 = Configuration!$J$2,"",_xlfn.REGEXEXTRACT(CELL("address",AI107), "\$([A-Z]+)\$[0-9]+")))</f>
        <v/>
      </c>
      <c r="AJ107" s="7"/>
      <c r="AK107" s="7"/>
      <c r="AL107" s="7"/>
      <c r="AM107" s="7"/>
      <c r="AN107" s="7"/>
      <c r="AO107" s="7"/>
      <c r="AP107" s="7" t="str" cm="1">
        <f t="array" aca="1" ref="AP107" ca="1">IF(OR('Raw Data'!AP107="",LEN(TRIM('Raw Data'!AP107))=0,Validate_Empty!AP107&lt;&gt;"",Validate_Value!AP107&lt;&gt;""),"",IF('Raw Data'!AP107=SUM('Raw Data'!AK107:AO107),"",_xlfn.REGEXEXTRACT(CELL("address",AP107), "\$([A-Z]+)\$[0-9]+")))</f>
        <v/>
      </c>
    </row>
    <row r="108" spans="2:42" x14ac:dyDescent="0.25">
      <c r="B108" s="7"/>
      <c r="C108" s="7"/>
      <c r="D108" s="7"/>
      <c r="E108" s="7"/>
      <c r="F108" s="7"/>
      <c r="G108" s="7"/>
      <c r="H108" s="7"/>
      <c r="I108" s="7"/>
      <c r="J108" s="7" t="str" cm="1">
        <f t="array" aca="1" ref="J108" ca="1">IF(OR('Raw Data'!J108="",LEN(TRIM('Raw Data'!J108))=0,Validate_Empty!J108&lt;&gt;"",Validate_Value!J108&lt;&gt;""),"",IF('Raw Data'!J108=SUM('Raw Data'!K108:N108),"",_xlfn.REGEXEXTRACT(CELL("address",J108), "\$([A-Z]+)\$[0-9]+")))</f>
        <v/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 t="str" cm="1">
        <f t="array" aca="1" ref="Z108" ca="1">IF(OR('Raw Data'!Z108="",LEN(TRIM('Raw Data'!Z108))=0,Validate_Empty!Z108&lt;&gt;"",Validate_Value!Z108&lt;&gt;""),"",IF('Raw Data'!Z108=SUM('Raw Data'!T108:Y108),"",_xlfn.REGEXEXTRACT(CELL("address",Z108), "\$([A-Z]+)\$[0-9]+")))</f>
        <v/>
      </c>
      <c r="AA108" s="7"/>
      <c r="AB108" s="7"/>
      <c r="AC108" s="7"/>
      <c r="AD108" s="7"/>
      <c r="AE108" s="7"/>
      <c r="AF108" s="7"/>
      <c r="AG108" s="7" t="str" cm="1">
        <f t="array" aca="1" ref="AG108" ca="1">IF(OR('Raw Data'!AG108="",LEN(TRIM('Raw Data'!AG108))=0,Validate_Empty!AG108&lt;&gt;"",Validate_Value!AG108&lt;&gt;""),"",IF('Raw Data'!AG108=SUM('Raw Data'!AA108:AF108),"",_xlfn.REGEXEXTRACT(CELL("address",AG108), "\$([A-Z]+)\$[0-9]+")))</f>
        <v/>
      </c>
      <c r="AH108" s="7" t="str" cm="1">
        <f t="array" aca="1" ref="AH108" ca="1">IF(OR('Raw Data'!AH108="",LEN(TRIM('Raw Data'!AH108))=0,Validate_Empty!AH108&lt;&gt;"",Validate_Value!AH108&lt;&gt;""),"",IF(Configuration!$G$2 = Configuration!$I$2,"",_xlfn.REGEXEXTRACT(CELL("address",AH108), "\$([A-Z]+)\$[0-9]+")))</f>
        <v/>
      </c>
      <c r="AI108" s="7" t="str" cm="1">
        <f t="array" aca="1" ref="AI108" ca="1">IF(OR('Raw Data'!AI108="",LEN(TRIM('Raw Data'!AI108))=0,Validate_Empty!AI108&lt;&gt;"",Validate_Value!AI108&lt;&gt;""),"",IF(Configuration!$H$2 = Configuration!$J$2,"",_xlfn.REGEXEXTRACT(CELL("address",AI108), "\$([A-Z]+)\$[0-9]+")))</f>
        <v/>
      </c>
      <c r="AJ108" s="7"/>
      <c r="AK108" s="7"/>
      <c r="AL108" s="7"/>
      <c r="AM108" s="7"/>
      <c r="AN108" s="7"/>
      <c r="AO108" s="7"/>
      <c r="AP108" s="7" t="str" cm="1">
        <f t="array" aca="1" ref="AP108" ca="1">IF(OR('Raw Data'!AP108="",LEN(TRIM('Raw Data'!AP108))=0,Validate_Empty!AP108&lt;&gt;"",Validate_Value!AP108&lt;&gt;""),"",IF('Raw Data'!AP108=SUM('Raw Data'!AK108:AO108),"",_xlfn.REGEXEXTRACT(CELL("address",AP108), "\$([A-Z]+)\$[0-9]+")))</f>
        <v/>
      </c>
    </row>
    <row r="109" spans="2:42" x14ac:dyDescent="0.25">
      <c r="B109" s="7"/>
      <c r="C109" s="7"/>
      <c r="D109" s="7"/>
      <c r="E109" s="7"/>
      <c r="F109" s="7"/>
      <c r="G109" s="7"/>
      <c r="H109" s="7"/>
      <c r="I109" s="7"/>
      <c r="J109" s="7" t="str" cm="1">
        <f t="array" aca="1" ref="J109" ca="1">IF(OR('Raw Data'!J109="",LEN(TRIM('Raw Data'!J109))=0,Validate_Empty!J109&lt;&gt;"",Validate_Value!J109&lt;&gt;""),"",IF('Raw Data'!J109=SUM('Raw Data'!K109:N109),"",_xlfn.REGEXEXTRACT(CELL("address",J109), "\$([A-Z]+)\$[0-9]+")))</f>
        <v/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 t="str" cm="1">
        <f t="array" aca="1" ref="Z109" ca="1">IF(OR('Raw Data'!Z109="",LEN(TRIM('Raw Data'!Z109))=0,Validate_Empty!Z109&lt;&gt;"",Validate_Value!Z109&lt;&gt;""),"",IF('Raw Data'!Z109=SUM('Raw Data'!T109:Y109),"",_xlfn.REGEXEXTRACT(CELL("address",Z109), "\$([A-Z]+)\$[0-9]+")))</f>
        <v/>
      </c>
      <c r="AA109" s="7"/>
      <c r="AB109" s="7"/>
      <c r="AC109" s="7"/>
      <c r="AD109" s="7"/>
      <c r="AE109" s="7"/>
      <c r="AF109" s="7"/>
      <c r="AG109" s="7" t="str" cm="1">
        <f t="array" aca="1" ref="AG109" ca="1">IF(OR('Raw Data'!AG109="",LEN(TRIM('Raw Data'!AG109))=0,Validate_Empty!AG109&lt;&gt;"",Validate_Value!AG109&lt;&gt;""),"",IF('Raw Data'!AG109=SUM('Raw Data'!AA109:AF109),"",_xlfn.REGEXEXTRACT(CELL("address",AG109), "\$([A-Z]+)\$[0-9]+")))</f>
        <v/>
      </c>
      <c r="AH109" s="7" t="str" cm="1">
        <f t="array" aca="1" ref="AH109" ca="1">IF(OR('Raw Data'!AH109="",LEN(TRIM('Raw Data'!AH109))=0,Validate_Empty!AH109&lt;&gt;"",Validate_Value!AH109&lt;&gt;""),"",IF(Configuration!$G$2 = Configuration!$I$2,"",_xlfn.REGEXEXTRACT(CELL("address",AH109), "\$([A-Z]+)\$[0-9]+")))</f>
        <v/>
      </c>
      <c r="AI109" s="7" t="str" cm="1">
        <f t="array" aca="1" ref="AI109" ca="1">IF(OR('Raw Data'!AI109="",LEN(TRIM('Raw Data'!AI109))=0,Validate_Empty!AI109&lt;&gt;"",Validate_Value!AI109&lt;&gt;""),"",IF(Configuration!$H$2 = Configuration!$J$2,"",_xlfn.REGEXEXTRACT(CELL("address",AI109), "\$([A-Z]+)\$[0-9]+")))</f>
        <v/>
      </c>
      <c r="AJ109" s="7"/>
      <c r="AK109" s="7"/>
      <c r="AL109" s="7"/>
      <c r="AM109" s="7"/>
      <c r="AN109" s="7"/>
      <c r="AO109" s="7"/>
      <c r="AP109" s="7" t="str" cm="1">
        <f t="array" aca="1" ref="AP109" ca="1">IF(OR('Raw Data'!AP109="",LEN(TRIM('Raw Data'!AP109))=0,Validate_Empty!AP109&lt;&gt;"",Validate_Value!AP109&lt;&gt;""),"",IF('Raw Data'!AP109=SUM('Raw Data'!AK109:AO109),"",_xlfn.REGEXEXTRACT(CELL("address",AP109), "\$([A-Z]+)\$[0-9]+")))</f>
        <v/>
      </c>
    </row>
    <row r="110" spans="2:42" x14ac:dyDescent="0.25">
      <c r="B110" s="7"/>
      <c r="C110" s="7"/>
      <c r="D110" s="7"/>
      <c r="E110" s="7"/>
      <c r="F110" s="7"/>
      <c r="G110" s="7"/>
      <c r="H110" s="7"/>
      <c r="I110" s="7"/>
      <c r="J110" s="7" t="str" cm="1">
        <f t="array" aca="1" ref="J110" ca="1">IF(OR('Raw Data'!J110="",LEN(TRIM('Raw Data'!J110))=0,Validate_Empty!J110&lt;&gt;"",Validate_Value!J110&lt;&gt;""),"",IF('Raw Data'!J110=SUM('Raw Data'!K110:N110),"",_xlfn.REGEXEXTRACT(CELL("address",J110), "\$([A-Z]+)\$[0-9]+")))</f>
        <v/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 t="str" cm="1">
        <f t="array" aca="1" ref="Z110" ca="1">IF(OR('Raw Data'!Z110="",LEN(TRIM('Raw Data'!Z110))=0,Validate_Empty!Z110&lt;&gt;"",Validate_Value!Z110&lt;&gt;""),"",IF('Raw Data'!Z110=SUM('Raw Data'!T110:Y110),"",_xlfn.REGEXEXTRACT(CELL("address",Z110), "\$([A-Z]+)\$[0-9]+")))</f>
        <v/>
      </c>
      <c r="AA110" s="7"/>
      <c r="AB110" s="7"/>
      <c r="AC110" s="7"/>
      <c r="AD110" s="7"/>
      <c r="AE110" s="7"/>
      <c r="AF110" s="7"/>
      <c r="AG110" s="7" t="str" cm="1">
        <f t="array" aca="1" ref="AG110" ca="1">IF(OR('Raw Data'!AG110="",LEN(TRIM('Raw Data'!AG110))=0,Validate_Empty!AG110&lt;&gt;"",Validate_Value!AG110&lt;&gt;""),"",IF('Raw Data'!AG110=SUM('Raw Data'!AA110:AF110),"",_xlfn.REGEXEXTRACT(CELL("address",AG110), "\$([A-Z]+)\$[0-9]+")))</f>
        <v/>
      </c>
      <c r="AH110" s="7" t="str" cm="1">
        <f t="array" aca="1" ref="AH110" ca="1">IF(OR('Raw Data'!AH110="",LEN(TRIM('Raw Data'!AH110))=0,Validate_Empty!AH110&lt;&gt;"",Validate_Value!AH110&lt;&gt;""),"",IF(Configuration!$G$2 = Configuration!$I$2,"",_xlfn.REGEXEXTRACT(CELL("address",AH110), "\$([A-Z]+)\$[0-9]+")))</f>
        <v/>
      </c>
      <c r="AI110" s="7" t="str" cm="1">
        <f t="array" aca="1" ref="AI110" ca="1">IF(OR('Raw Data'!AI110="",LEN(TRIM('Raw Data'!AI110))=0,Validate_Empty!AI110&lt;&gt;"",Validate_Value!AI110&lt;&gt;""),"",IF(Configuration!$H$2 = Configuration!$J$2,"",_xlfn.REGEXEXTRACT(CELL("address",AI110), "\$([A-Z]+)\$[0-9]+")))</f>
        <v/>
      </c>
      <c r="AJ110" s="7"/>
      <c r="AK110" s="7"/>
      <c r="AL110" s="7"/>
      <c r="AM110" s="7"/>
      <c r="AN110" s="7"/>
      <c r="AO110" s="7"/>
      <c r="AP110" s="7" t="str" cm="1">
        <f t="array" aca="1" ref="AP110" ca="1">IF(OR('Raw Data'!AP110="",LEN(TRIM('Raw Data'!AP110))=0,Validate_Empty!AP110&lt;&gt;"",Validate_Value!AP110&lt;&gt;""),"",IF('Raw Data'!AP110=SUM('Raw Data'!AK110:AO110),"",_xlfn.REGEXEXTRACT(CELL("address",AP110), "\$([A-Z]+)\$[0-9]+")))</f>
        <v/>
      </c>
    </row>
    <row r="111" spans="2:42" x14ac:dyDescent="0.25">
      <c r="B111" s="7"/>
      <c r="C111" s="7"/>
      <c r="D111" s="7"/>
      <c r="E111" s="7"/>
      <c r="F111" s="7"/>
      <c r="G111" s="7"/>
      <c r="H111" s="7"/>
      <c r="I111" s="7"/>
      <c r="J111" s="7" t="str" cm="1">
        <f t="array" aca="1" ref="J111" ca="1">IF(OR('Raw Data'!J111="",LEN(TRIM('Raw Data'!J111))=0,Validate_Empty!J111&lt;&gt;"",Validate_Value!J111&lt;&gt;""),"",IF('Raw Data'!J111=SUM('Raw Data'!K111:N111),"",_xlfn.REGEXEXTRACT(CELL("address",J111), "\$([A-Z]+)\$[0-9]+")))</f>
        <v/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 t="str" cm="1">
        <f t="array" aca="1" ref="Z111" ca="1">IF(OR('Raw Data'!Z111="",LEN(TRIM('Raw Data'!Z111))=0,Validate_Empty!Z111&lt;&gt;"",Validate_Value!Z111&lt;&gt;""),"",IF('Raw Data'!Z111=SUM('Raw Data'!T111:Y111),"",_xlfn.REGEXEXTRACT(CELL("address",Z111), "\$([A-Z]+)\$[0-9]+")))</f>
        <v/>
      </c>
      <c r="AA111" s="7"/>
      <c r="AB111" s="7"/>
      <c r="AC111" s="7"/>
      <c r="AD111" s="7"/>
      <c r="AE111" s="7"/>
      <c r="AF111" s="7"/>
      <c r="AG111" s="7" t="str" cm="1">
        <f t="array" aca="1" ref="AG111" ca="1">IF(OR('Raw Data'!AG111="",LEN(TRIM('Raw Data'!AG111))=0,Validate_Empty!AG111&lt;&gt;"",Validate_Value!AG111&lt;&gt;""),"",IF('Raw Data'!AG111=SUM('Raw Data'!AA111:AF111),"",_xlfn.REGEXEXTRACT(CELL("address",AG111), "\$([A-Z]+)\$[0-9]+")))</f>
        <v/>
      </c>
      <c r="AH111" s="7" t="str" cm="1">
        <f t="array" aca="1" ref="AH111" ca="1">IF(OR('Raw Data'!AH111="",LEN(TRIM('Raw Data'!AH111))=0,Validate_Empty!AH111&lt;&gt;"",Validate_Value!AH111&lt;&gt;""),"",IF(Configuration!$G$2 = Configuration!$I$2,"",_xlfn.REGEXEXTRACT(CELL("address",AH111), "\$([A-Z]+)\$[0-9]+")))</f>
        <v/>
      </c>
      <c r="AI111" s="7" t="str" cm="1">
        <f t="array" aca="1" ref="AI111" ca="1">IF(OR('Raw Data'!AI111="",LEN(TRIM('Raw Data'!AI111))=0,Validate_Empty!AI111&lt;&gt;"",Validate_Value!AI111&lt;&gt;""),"",IF(Configuration!$H$2 = Configuration!$J$2,"",_xlfn.REGEXEXTRACT(CELL("address",AI111), "\$([A-Z]+)\$[0-9]+")))</f>
        <v/>
      </c>
      <c r="AJ111" s="7"/>
      <c r="AK111" s="7"/>
      <c r="AL111" s="7"/>
      <c r="AM111" s="7"/>
      <c r="AN111" s="7"/>
      <c r="AO111" s="7"/>
      <c r="AP111" s="7" t="str" cm="1">
        <f t="array" aca="1" ref="AP111" ca="1">IF(OR('Raw Data'!AP111="",LEN(TRIM('Raw Data'!AP111))=0,Validate_Empty!AP111&lt;&gt;"",Validate_Value!AP111&lt;&gt;""),"",IF('Raw Data'!AP111=SUM('Raw Data'!AK111:AO111),"",_xlfn.REGEXEXTRACT(CELL("address",AP111), "\$([A-Z]+)\$[0-9]+")))</f>
        <v/>
      </c>
    </row>
    <row r="112" spans="2:42" x14ac:dyDescent="0.25">
      <c r="B112" s="7"/>
      <c r="C112" s="7"/>
      <c r="D112" s="7"/>
      <c r="E112" s="7"/>
      <c r="F112" s="7"/>
      <c r="G112" s="7"/>
      <c r="H112" s="7"/>
      <c r="I112" s="7"/>
      <c r="J112" s="7" t="str" cm="1">
        <f t="array" aca="1" ref="J112" ca="1">IF(OR('Raw Data'!J112="",LEN(TRIM('Raw Data'!J112))=0,Validate_Empty!J112&lt;&gt;"",Validate_Value!J112&lt;&gt;""),"",IF('Raw Data'!J112=SUM('Raw Data'!K112:N112),"",_xlfn.REGEXEXTRACT(CELL("address",J112), "\$([A-Z]+)\$[0-9]+")))</f>
        <v/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 t="str" cm="1">
        <f t="array" aca="1" ref="Z112" ca="1">IF(OR('Raw Data'!Z112="",LEN(TRIM('Raw Data'!Z112))=0,Validate_Empty!Z112&lt;&gt;"",Validate_Value!Z112&lt;&gt;""),"",IF('Raw Data'!Z112=SUM('Raw Data'!T112:Y112),"",_xlfn.REGEXEXTRACT(CELL("address",Z112), "\$([A-Z]+)\$[0-9]+")))</f>
        <v/>
      </c>
      <c r="AA112" s="7"/>
      <c r="AB112" s="7"/>
      <c r="AC112" s="7"/>
      <c r="AD112" s="7"/>
      <c r="AE112" s="7"/>
      <c r="AF112" s="7"/>
      <c r="AG112" s="7" t="str" cm="1">
        <f t="array" aca="1" ref="AG112" ca="1">IF(OR('Raw Data'!AG112="",LEN(TRIM('Raw Data'!AG112))=0,Validate_Empty!AG112&lt;&gt;"",Validate_Value!AG112&lt;&gt;""),"",IF('Raw Data'!AG112=SUM('Raw Data'!AA112:AF112),"",_xlfn.REGEXEXTRACT(CELL("address",AG112), "\$([A-Z]+)\$[0-9]+")))</f>
        <v/>
      </c>
      <c r="AH112" s="7" t="str" cm="1">
        <f t="array" aca="1" ref="AH112" ca="1">IF(OR('Raw Data'!AH112="",LEN(TRIM('Raw Data'!AH112))=0,Validate_Empty!AH112&lt;&gt;"",Validate_Value!AH112&lt;&gt;""),"",IF(Configuration!$G$2 = Configuration!$I$2,"",_xlfn.REGEXEXTRACT(CELL("address",AH112), "\$([A-Z]+)\$[0-9]+")))</f>
        <v/>
      </c>
      <c r="AI112" s="7" t="str" cm="1">
        <f t="array" aca="1" ref="AI112" ca="1">IF(OR('Raw Data'!AI112="",LEN(TRIM('Raw Data'!AI112))=0,Validate_Empty!AI112&lt;&gt;"",Validate_Value!AI112&lt;&gt;""),"",IF(Configuration!$H$2 = Configuration!$J$2,"",_xlfn.REGEXEXTRACT(CELL("address",AI112), "\$([A-Z]+)\$[0-9]+")))</f>
        <v/>
      </c>
      <c r="AJ112" s="7"/>
      <c r="AK112" s="7"/>
      <c r="AL112" s="7"/>
      <c r="AM112" s="7"/>
      <c r="AN112" s="7"/>
      <c r="AO112" s="7"/>
      <c r="AP112" s="7" t="str" cm="1">
        <f t="array" aca="1" ref="AP112" ca="1">IF(OR('Raw Data'!AP112="",LEN(TRIM('Raw Data'!AP112))=0,Validate_Empty!AP112&lt;&gt;"",Validate_Value!AP112&lt;&gt;""),"",IF('Raw Data'!AP112=SUM('Raw Data'!AK112:AO112),"",_xlfn.REGEXEXTRACT(CELL("address",AP112), "\$([A-Z]+)\$[0-9]+")))</f>
        <v/>
      </c>
    </row>
    <row r="113" spans="2:42" x14ac:dyDescent="0.25">
      <c r="B113" s="7"/>
      <c r="C113" s="7"/>
      <c r="D113" s="7"/>
      <c r="E113" s="7"/>
      <c r="F113" s="7"/>
      <c r="G113" s="7"/>
      <c r="H113" s="7"/>
      <c r="I113" s="7"/>
      <c r="J113" s="7" t="str" cm="1">
        <f t="array" aca="1" ref="J113" ca="1">IF(OR('Raw Data'!J113="",LEN(TRIM('Raw Data'!J113))=0,Validate_Empty!J113&lt;&gt;"",Validate_Value!J113&lt;&gt;""),"",IF('Raw Data'!J113=SUM('Raw Data'!K113:N113),"",_xlfn.REGEXEXTRACT(CELL("address",J113), "\$([A-Z]+)\$[0-9]+")))</f>
        <v/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 t="str" cm="1">
        <f t="array" aca="1" ref="Z113" ca="1">IF(OR('Raw Data'!Z113="",LEN(TRIM('Raw Data'!Z113))=0,Validate_Empty!Z113&lt;&gt;"",Validate_Value!Z113&lt;&gt;""),"",IF('Raw Data'!Z113=SUM('Raw Data'!T113:Y113),"",_xlfn.REGEXEXTRACT(CELL("address",Z113), "\$([A-Z]+)\$[0-9]+")))</f>
        <v/>
      </c>
      <c r="AA113" s="7"/>
      <c r="AB113" s="7"/>
      <c r="AC113" s="7"/>
      <c r="AD113" s="7"/>
      <c r="AE113" s="7"/>
      <c r="AF113" s="7"/>
      <c r="AG113" s="7" t="str" cm="1">
        <f t="array" aca="1" ref="AG113" ca="1">IF(OR('Raw Data'!AG113="",LEN(TRIM('Raw Data'!AG113))=0,Validate_Empty!AG113&lt;&gt;"",Validate_Value!AG113&lt;&gt;""),"",IF('Raw Data'!AG113=SUM('Raw Data'!AA113:AF113),"",_xlfn.REGEXEXTRACT(CELL("address",AG113), "\$([A-Z]+)\$[0-9]+")))</f>
        <v/>
      </c>
      <c r="AH113" s="7" t="str" cm="1">
        <f t="array" aca="1" ref="AH113" ca="1">IF(OR('Raw Data'!AH113="",LEN(TRIM('Raw Data'!AH113))=0,Validate_Empty!AH113&lt;&gt;"",Validate_Value!AH113&lt;&gt;""),"",IF(Configuration!$G$2 = Configuration!$I$2,"",_xlfn.REGEXEXTRACT(CELL("address",AH113), "\$([A-Z]+)\$[0-9]+")))</f>
        <v/>
      </c>
      <c r="AI113" s="7" t="str" cm="1">
        <f t="array" aca="1" ref="AI113" ca="1">IF(OR('Raw Data'!AI113="",LEN(TRIM('Raw Data'!AI113))=0,Validate_Empty!AI113&lt;&gt;"",Validate_Value!AI113&lt;&gt;""),"",IF(Configuration!$H$2 = Configuration!$J$2,"",_xlfn.REGEXEXTRACT(CELL("address",AI113), "\$([A-Z]+)\$[0-9]+")))</f>
        <v/>
      </c>
      <c r="AJ113" s="7"/>
      <c r="AK113" s="7"/>
      <c r="AL113" s="7"/>
      <c r="AM113" s="7"/>
      <c r="AN113" s="7"/>
      <c r="AO113" s="7"/>
      <c r="AP113" s="7" t="str" cm="1">
        <f t="array" aca="1" ref="AP113" ca="1">IF(OR('Raw Data'!AP113="",LEN(TRIM('Raw Data'!AP113))=0,Validate_Empty!AP113&lt;&gt;"",Validate_Value!AP113&lt;&gt;""),"",IF('Raw Data'!AP113=SUM('Raw Data'!AK113:AO113),"",_xlfn.REGEXEXTRACT(CELL("address",AP113), "\$([A-Z]+)\$[0-9]+")))</f>
        <v/>
      </c>
    </row>
    <row r="114" spans="2:42" x14ac:dyDescent="0.25">
      <c r="B114" s="7"/>
      <c r="C114" s="7"/>
      <c r="D114" s="7"/>
      <c r="E114" s="7"/>
      <c r="F114" s="7"/>
      <c r="G114" s="7"/>
      <c r="H114" s="7"/>
      <c r="I114" s="7"/>
      <c r="J114" s="7" t="str" cm="1">
        <f t="array" aca="1" ref="J114" ca="1">IF(OR('Raw Data'!J114="",LEN(TRIM('Raw Data'!J114))=0,Validate_Empty!J114&lt;&gt;"",Validate_Value!J114&lt;&gt;""),"",IF('Raw Data'!J114=SUM('Raw Data'!K114:N114),"",_xlfn.REGEXEXTRACT(CELL("address",J114), "\$([A-Z]+)\$[0-9]+")))</f>
        <v/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 t="str" cm="1">
        <f t="array" aca="1" ref="Z114" ca="1">IF(OR('Raw Data'!Z114="",LEN(TRIM('Raw Data'!Z114))=0,Validate_Empty!Z114&lt;&gt;"",Validate_Value!Z114&lt;&gt;""),"",IF('Raw Data'!Z114=SUM('Raw Data'!T114:Y114),"",_xlfn.REGEXEXTRACT(CELL("address",Z114), "\$([A-Z]+)\$[0-9]+")))</f>
        <v/>
      </c>
      <c r="AA114" s="7"/>
      <c r="AB114" s="7"/>
      <c r="AC114" s="7"/>
      <c r="AD114" s="7"/>
      <c r="AE114" s="7"/>
      <c r="AF114" s="7"/>
      <c r="AG114" s="7" t="str" cm="1">
        <f t="array" aca="1" ref="AG114" ca="1">IF(OR('Raw Data'!AG114="",LEN(TRIM('Raw Data'!AG114))=0,Validate_Empty!AG114&lt;&gt;"",Validate_Value!AG114&lt;&gt;""),"",IF('Raw Data'!AG114=SUM('Raw Data'!AA114:AF114),"",_xlfn.REGEXEXTRACT(CELL("address",AG114), "\$([A-Z]+)\$[0-9]+")))</f>
        <v/>
      </c>
      <c r="AH114" s="7" t="str" cm="1">
        <f t="array" aca="1" ref="AH114" ca="1">IF(OR('Raw Data'!AH114="",LEN(TRIM('Raw Data'!AH114))=0,Validate_Empty!AH114&lt;&gt;"",Validate_Value!AH114&lt;&gt;""),"",IF(Configuration!$G$2 = Configuration!$I$2,"",_xlfn.REGEXEXTRACT(CELL("address",AH114), "\$([A-Z]+)\$[0-9]+")))</f>
        <v/>
      </c>
      <c r="AI114" s="7" t="str" cm="1">
        <f t="array" aca="1" ref="AI114" ca="1">IF(OR('Raw Data'!AI114="",LEN(TRIM('Raw Data'!AI114))=0,Validate_Empty!AI114&lt;&gt;"",Validate_Value!AI114&lt;&gt;""),"",IF(Configuration!$H$2 = Configuration!$J$2,"",_xlfn.REGEXEXTRACT(CELL("address",AI114), "\$([A-Z]+)\$[0-9]+")))</f>
        <v/>
      </c>
      <c r="AJ114" s="7"/>
      <c r="AK114" s="7"/>
      <c r="AL114" s="7"/>
      <c r="AM114" s="7"/>
      <c r="AN114" s="7"/>
      <c r="AO114" s="7"/>
      <c r="AP114" s="7" t="str" cm="1">
        <f t="array" aca="1" ref="AP114" ca="1">IF(OR('Raw Data'!AP114="",LEN(TRIM('Raw Data'!AP114))=0,Validate_Empty!AP114&lt;&gt;"",Validate_Value!AP114&lt;&gt;""),"",IF('Raw Data'!AP114=SUM('Raw Data'!AK114:AO114),"",_xlfn.REGEXEXTRACT(CELL("address",AP114), "\$([A-Z]+)\$[0-9]+")))</f>
        <v/>
      </c>
    </row>
    <row r="115" spans="2:42" x14ac:dyDescent="0.25">
      <c r="B115" s="7"/>
      <c r="C115" s="7"/>
      <c r="D115" s="7"/>
      <c r="E115" s="7"/>
      <c r="F115" s="7"/>
      <c r="G115" s="7"/>
      <c r="H115" s="7"/>
      <c r="I115" s="7"/>
      <c r="J115" s="7" t="str" cm="1">
        <f t="array" aca="1" ref="J115" ca="1">IF(OR('Raw Data'!J115="",LEN(TRIM('Raw Data'!J115))=0,Validate_Empty!J115&lt;&gt;"",Validate_Value!J115&lt;&gt;""),"",IF('Raw Data'!J115=SUM('Raw Data'!K115:N115),"",_xlfn.REGEXEXTRACT(CELL("address",J115), "\$([A-Z]+)\$[0-9]+")))</f>
        <v/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 t="str" cm="1">
        <f t="array" aca="1" ref="Z115" ca="1">IF(OR('Raw Data'!Z115="",LEN(TRIM('Raw Data'!Z115))=0,Validate_Empty!Z115&lt;&gt;"",Validate_Value!Z115&lt;&gt;""),"",IF('Raw Data'!Z115=SUM('Raw Data'!T115:Y115),"",_xlfn.REGEXEXTRACT(CELL("address",Z115), "\$([A-Z]+)\$[0-9]+")))</f>
        <v/>
      </c>
      <c r="AA115" s="7"/>
      <c r="AB115" s="7"/>
      <c r="AC115" s="7"/>
      <c r="AD115" s="7"/>
      <c r="AE115" s="7"/>
      <c r="AF115" s="7"/>
      <c r="AG115" s="7" t="str" cm="1">
        <f t="array" aca="1" ref="AG115" ca="1">IF(OR('Raw Data'!AG115="",LEN(TRIM('Raw Data'!AG115))=0,Validate_Empty!AG115&lt;&gt;"",Validate_Value!AG115&lt;&gt;""),"",IF('Raw Data'!AG115=SUM('Raw Data'!AA115:AF115),"",_xlfn.REGEXEXTRACT(CELL("address",AG115), "\$([A-Z]+)\$[0-9]+")))</f>
        <v/>
      </c>
      <c r="AH115" s="7" t="str" cm="1">
        <f t="array" aca="1" ref="AH115" ca="1">IF(OR('Raw Data'!AH115="",LEN(TRIM('Raw Data'!AH115))=0,Validate_Empty!AH115&lt;&gt;"",Validate_Value!AH115&lt;&gt;""),"",IF(Configuration!$G$2 = Configuration!$I$2,"",_xlfn.REGEXEXTRACT(CELL("address",AH115), "\$([A-Z]+)\$[0-9]+")))</f>
        <v/>
      </c>
      <c r="AI115" s="7" t="str" cm="1">
        <f t="array" aca="1" ref="AI115" ca="1">IF(OR('Raw Data'!AI115="",LEN(TRIM('Raw Data'!AI115))=0,Validate_Empty!AI115&lt;&gt;"",Validate_Value!AI115&lt;&gt;""),"",IF(Configuration!$H$2 = Configuration!$J$2,"",_xlfn.REGEXEXTRACT(CELL("address",AI115), "\$([A-Z]+)\$[0-9]+")))</f>
        <v/>
      </c>
      <c r="AJ115" s="7"/>
      <c r="AK115" s="7"/>
      <c r="AL115" s="7"/>
      <c r="AM115" s="7"/>
      <c r="AN115" s="7"/>
      <c r="AO115" s="7"/>
      <c r="AP115" s="7" t="str" cm="1">
        <f t="array" aca="1" ref="AP115" ca="1">IF(OR('Raw Data'!AP115="",LEN(TRIM('Raw Data'!AP115))=0,Validate_Empty!AP115&lt;&gt;"",Validate_Value!AP115&lt;&gt;""),"",IF('Raw Data'!AP115=SUM('Raw Data'!AK115:AO115),"",_xlfn.REGEXEXTRACT(CELL("address",AP115), "\$([A-Z]+)\$[0-9]+")))</f>
        <v/>
      </c>
    </row>
    <row r="116" spans="2:42" x14ac:dyDescent="0.25">
      <c r="B116" s="7"/>
      <c r="C116" s="7"/>
      <c r="D116" s="7"/>
      <c r="E116" s="7"/>
      <c r="F116" s="7"/>
      <c r="G116" s="7"/>
      <c r="H116" s="7"/>
      <c r="I116" s="7"/>
      <c r="J116" s="7" t="str" cm="1">
        <f t="array" aca="1" ref="J116" ca="1">IF(OR('Raw Data'!J116="",LEN(TRIM('Raw Data'!J116))=0,Validate_Empty!J116&lt;&gt;"",Validate_Value!J116&lt;&gt;""),"",IF('Raw Data'!J116=SUM('Raw Data'!K116:N116),"",_xlfn.REGEXEXTRACT(CELL("address",J116), "\$([A-Z]+)\$[0-9]+")))</f>
        <v/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 t="str" cm="1">
        <f t="array" aca="1" ref="Z116" ca="1">IF(OR('Raw Data'!Z116="",LEN(TRIM('Raw Data'!Z116))=0,Validate_Empty!Z116&lt;&gt;"",Validate_Value!Z116&lt;&gt;""),"",IF('Raw Data'!Z116=SUM('Raw Data'!T116:Y116),"",_xlfn.REGEXEXTRACT(CELL("address",Z116), "\$([A-Z]+)\$[0-9]+")))</f>
        <v/>
      </c>
      <c r="AA116" s="7"/>
      <c r="AB116" s="7"/>
      <c r="AC116" s="7"/>
      <c r="AD116" s="7"/>
      <c r="AE116" s="7"/>
      <c r="AF116" s="7"/>
      <c r="AG116" s="7" t="str" cm="1">
        <f t="array" aca="1" ref="AG116" ca="1">IF(OR('Raw Data'!AG116="",LEN(TRIM('Raw Data'!AG116))=0,Validate_Empty!AG116&lt;&gt;"",Validate_Value!AG116&lt;&gt;""),"",IF('Raw Data'!AG116=SUM('Raw Data'!AA116:AF116),"",_xlfn.REGEXEXTRACT(CELL("address",AG116), "\$([A-Z]+)\$[0-9]+")))</f>
        <v/>
      </c>
      <c r="AH116" s="7" t="str" cm="1">
        <f t="array" aca="1" ref="AH116" ca="1">IF(OR('Raw Data'!AH116="",LEN(TRIM('Raw Data'!AH116))=0,Validate_Empty!AH116&lt;&gt;"",Validate_Value!AH116&lt;&gt;""),"",IF(Configuration!$G$2 = Configuration!$I$2,"",_xlfn.REGEXEXTRACT(CELL("address",AH116), "\$([A-Z]+)\$[0-9]+")))</f>
        <v/>
      </c>
      <c r="AI116" s="7" t="str" cm="1">
        <f t="array" aca="1" ref="AI116" ca="1">IF(OR('Raw Data'!AI116="",LEN(TRIM('Raw Data'!AI116))=0,Validate_Empty!AI116&lt;&gt;"",Validate_Value!AI116&lt;&gt;""),"",IF(Configuration!$H$2 = Configuration!$J$2,"",_xlfn.REGEXEXTRACT(CELL("address",AI116), "\$([A-Z]+)\$[0-9]+")))</f>
        <v/>
      </c>
      <c r="AJ116" s="7"/>
      <c r="AK116" s="7"/>
      <c r="AL116" s="7"/>
      <c r="AM116" s="7"/>
      <c r="AN116" s="7"/>
      <c r="AO116" s="7"/>
      <c r="AP116" s="7" t="str" cm="1">
        <f t="array" aca="1" ref="AP116" ca="1">IF(OR('Raw Data'!AP116="",LEN(TRIM('Raw Data'!AP116))=0,Validate_Empty!AP116&lt;&gt;"",Validate_Value!AP116&lt;&gt;""),"",IF('Raw Data'!AP116=SUM('Raw Data'!AK116:AO116),"",_xlfn.REGEXEXTRACT(CELL("address",AP116), "\$([A-Z]+)\$[0-9]+")))</f>
        <v/>
      </c>
    </row>
    <row r="117" spans="2:42" x14ac:dyDescent="0.25">
      <c r="B117" s="7"/>
      <c r="C117" s="7"/>
      <c r="D117" s="7"/>
      <c r="E117" s="7"/>
      <c r="F117" s="7"/>
      <c r="G117" s="7"/>
      <c r="H117" s="7"/>
      <c r="I117" s="7"/>
      <c r="J117" s="7" t="str" cm="1">
        <f t="array" aca="1" ref="J117" ca="1">IF(OR('Raw Data'!J117="",LEN(TRIM('Raw Data'!J117))=0,Validate_Empty!J117&lt;&gt;"",Validate_Value!J117&lt;&gt;""),"",IF('Raw Data'!J117=SUM('Raw Data'!K117:N117),"",_xlfn.REGEXEXTRACT(CELL("address",J117), "\$([A-Z]+)\$[0-9]+")))</f>
        <v/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 t="str" cm="1">
        <f t="array" aca="1" ref="Z117" ca="1">IF(OR('Raw Data'!Z117="",LEN(TRIM('Raw Data'!Z117))=0,Validate_Empty!Z117&lt;&gt;"",Validate_Value!Z117&lt;&gt;""),"",IF('Raw Data'!Z117=SUM('Raw Data'!T117:Y117),"",_xlfn.REGEXEXTRACT(CELL("address",Z117), "\$([A-Z]+)\$[0-9]+")))</f>
        <v/>
      </c>
      <c r="AA117" s="7"/>
      <c r="AB117" s="7"/>
      <c r="AC117" s="7"/>
      <c r="AD117" s="7"/>
      <c r="AE117" s="7"/>
      <c r="AF117" s="7"/>
      <c r="AG117" s="7" t="str" cm="1">
        <f t="array" aca="1" ref="AG117" ca="1">IF(OR('Raw Data'!AG117="",LEN(TRIM('Raw Data'!AG117))=0,Validate_Empty!AG117&lt;&gt;"",Validate_Value!AG117&lt;&gt;""),"",IF('Raw Data'!AG117=SUM('Raw Data'!AA117:AF117),"",_xlfn.REGEXEXTRACT(CELL("address",AG117), "\$([A-Z]+)\$[0-9]+")))</f>
        <v/>
      </c>
      <c r="AH117" s="7" t="str" cm="1">
        <f t="array" aca="1" ref="AH117" ca="1">IF(OR('Raw Data'!AH117="",LEN(TRIM('Raw Data'!AH117))=0,Validate_Empty!AH117&lt;&gt;"",Validate_Value!AH117&lt;&gt;""),"",IF(Configuration!$G$2 = Configuration!$I$2,"",_xlfn.REGEXEXTRACT(CELL("address",AH117), "\$([A-Z]+)\$[0-9]+")))</f>
        <v/>
      </c>
      <c r="AI117" s="7" t="str" cm="1">
        <f t="array" aca="1" ref="AI117" ca="1">IF(OR('Raw Data'!AI117="",LEN(TRIM('Raw Data'!AI117))=0,Validate_Empty!AI117&lt;&gt;"",Validate_Value!AI117&lt;&gt;""),"",IF(Configuration!$H$2 = Configuration!$J$2,"",_xlfn.REGEXEXTRACT(CELL("address",AI117), "\$([A-Z]+)\$[0-9]+")))</f>
        <v/>
      </c>
      <c r="AJ117" s="7"/>
      <c r="AK117" s="7"/>
      <c r="AL117" s="7"/>
      <c r="AM117" s="7"/>
      <c r="AN117" s="7"/>
      <c r="AO117" s="7"/>
      <c r="AP117" s="7" t="str" cm="1">
        <f t="array" aca="1" ref="AP117" ca="1">IF(OR('Raw Data'!AP117="",LEN(TRIM('Raw Data'!AP117))=0,Validate_Empty!AP117&lt;&gt;"",Validate_Value!AP117&lt;&gt;""),"",IF('Raw Data'!AP117=SUM('Raw Data'!AK117:AO117),"",_xlfn.REGEXEXTRACT(CELL("address",AP117), "\$([A-Z]+)\$[0-9]+")))</f>
        <v/>
      </c>
    </row>
    <row r="118" spans="2:42" x14ac:dyDescent="0.25">
      <c r="B118" s="7"/>
      <c r="C118" s="7"/>
      <c r="D118" s="7"/>
      <c r="E118" s="7"/>
      <c r="F118" s="7"/>
      <c r="G118" s="7"/>
      <c r="H118" s="7"/>
      <c r="I118" s="7"/>
      <c r="J118" s="7" t="str" cm="1">
        <f t="array" aca="1" ref="J118" ca="1">IF(OR('Raw Data'!J118="",LEN(TRIM('Raw Data'!J118))=0,Validate_Empty!J118&lt;&gt;"",Validate_Value!J118&lt;&gt;""),"",IF('Raw Data'!J118=SUM('Raw Data'!K118:N118),"",_xlfn.REGEXEXTRACT(CELL("address",J118), "\$([A-Z]+)\$[0-9]+")))</f>
        <v/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 t="str" cm="1">
        <f t="array" aca="1" ref="Z118" ca="1">IF(OR('Raw Data'!Z118="",LEN(TRIM('Raw Data'!Z118))=0,Validate_Empty!Z118&lt;&gt;"",Validate_Value!Z118&lt;&gt;""),"",IF('Raw Data'!Z118=SUM('Raw Data'!T118:Y118),"",_xlfn.REGEXEXTRACT(CELL("address",Z118), "\$([A-Z]+)\$[0-9]+")))</f>
        <v/>
      </c>
      <c r="AA118" s="7"/>
      <c r="AB118" s="7"/>
      <c r="AC118" s="7"/>
      <c r="AD118" s="7"/>
      <c r="AE118" s="7"/>
      <c r="AF118" s="7"/>
      <c r="AG118" s="7" t="str" cm="1">
        <f t="array" aca="1" ref="AG118" ca="1">IF(OR('Raw Data'!AG118="",LEN(TRIM('Raw Data'!AG118))=0,Validate_Empty!AG118&lt;&gt;"",Validate_Value!AG118&lt;&gt;""),"",IF('Raw Data'!AG118=SUM('Raw Data'!AA118:AF118),"",_xlfn.REGEXEXTRACT(CELL("address",AG118), "\$([A-Z]+)\$[0-9]+")))</f>
        <v/>
      </c>
      <c r="AH118" s="7" t="str" cm="1">
        <f t="array" aca="1" ref="AH118" ca="1">IF(OR('Raw Data'!AH118="",LEN(TRIM('Raw Data'!AH118))=0,Validate_Empty!AH118&lt;&gt;"",Validate_Value!AH118&lt;&gt;""),"",IF(Configuration!$G$2 = Configuration!$I$2,"",_xlfn.REGEXEXTRACT(CELL("address",AH118), "\$([A-Z]+)\$[0-9]+")))</f>
        <v/>
      </c>
      <c r="AI118" s="7" t="str" cm="1">
        <f t="array" aca="1" ref="AI118" ca="1">IF(OR('Raw Data'!AI118="",LEN(TRIM('Raw Data'!AI118))=0,Validate_Empty!AI118&lt;&gt;"",Validate_Value!AI118&lt;&gt;""),"",IF(Configuration!$H$2 = Configuration!$J$2,"",_xlfn.REGEXEXTRACT(CELL("address",AI118), "\$([A-Z]+)\$[0-9]+")))</f>
        <v/>
      </c>
      <c r="AJ118" s="7"/>
      <c r="AK118" s="7"/>
      <c r="AL118" s="7"/>
      <c r="AM118" s="7"/>
      <c r="AN118" s="7"/>
      <c r="AO118" s="7"/>
      <c r="AP118" s="7" t="str" cm="1">
        <f t="array" aca="1" ref="AP118" ca="1">IF(OR('Raw Data'!AP118="",LEN(TRIM('Raw Data'!AP118))=0,Validate_Empty!AP118&lt;&gt;"",Validate_Value!AP118&lt;&gt;""),"",IF('Raw Data'!AP118=SUM('Raw Data'!AK118:AO118),"",_xlfn.REGEXEXTRACT(CELL("address",AP118), "\$([A-Z]+)\$[0-9]+")))</f>
        <v/>
      </c>
    </row>
    <row r="119" spans="2:42" x14ac:dyDescent="0.25">
      <c r="B119" s="7"/>
      <c r="C119" s="7"/>
      <c r="D119" s="7"/>
      <c r="E119" s="7"/>
      <c r="F119" s="7"/>
      <c r="G119" s="7"/>
      <c r="H119" s="7"/>
      <c r="I119" s="7"/>
      <c r="J119" s="7" t="str" cm="1">
        <f t="array" aca="1" ref="J119" ca="1">IF(OR('Raw Data'!J119="",LEN(TRIM('Raw Data'!J119))=0,Validate_Empty!J119&lt;&gt;"",Validate_Value!J119&lt;&gt;""),"",IF('Raw Data'!J119=SUM('Raw Data'!K119:N119),"",_xlfn.REGEXEXTRACT(CELL("address",J119), "\$([A-Z]+)\$[0-9]+")))</f>
        <v/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 t="str" cm="1">
        <f t="array" aca="1" ref="Z119" ca="1">IF(OR('Raw Data'!Z119="",LEN(TRIM('Raw Data'!Z119))=0,Validate_Empty!Z119&lt;&gt;"",Validate_Value!Z119&lt;&gt;""),"",IF('Raw Data'!Z119=SUM('Raw Data'!T119:Y119),"",_xlfn.REGEXEXTRACT(CELL("address",Z119), "\$([A-Z]+)\$[0-9]+")))</f>
        <v/>
      </c>
      <c r="AA119" s="7"/>
      <c r="AB119" s="7"/>
      <c r="AC119" s="7"/>
      <c r="AD119" s="7"/>
      <c r="AE119" s="7"/>
      <c r="AF119" s="7"/>
      <c r="AG119" s="7" t="str" cm="1">
        <f t="array" aca="1" ref="AG119" ca="1">IF(OR('Raw Data'!AG119="",LEN(TRIM('Raw Data'!AG119))=0,Validate_Empty!AG119&lt;&gt;"",Validate_Value!AG119&lt;&gt;""),"",IF('Raw Data'!AG119=SUM('Raw Data'!AA119:AF119),"",_xlfn.REGEXEXTRACT(CELL("address",AG119), "\$([A-Z]+)\$[0-9]+")))</f>
        <v/>
      </c>
      <c r="AH119" s="7" t="str" cm="1">
        <f t="array" aca="1" ref="AH119" ca="1">IF(OR('Raw Data'!AH119="",LEN(TRIM('Raw Data'!AH119))=0,Validate_Empty!AH119&lt;&gt;"",Validate_Value!AH119&lt;&gt;""),"",IF(Configuration!$G$2 = Configuration!$I$2,"",_xlfn.REGEXEXTRACT(CELL("address",AH119), "\$([A-Z]+)\$[0-9]+")))</f>
        <v/>
      </c>
      <c r="AI119" s="7" t="str" cm="1">
        <f t="array" aca="1" ref="AI119" ca="1">IF(OR('Raw Data'!AI119="",LEN(TRIM('Raw Data'!AI119))=0,Validate_Empty!AI119&lt;&gt;"",Validate_Value!AI119&lt;&gt;""),"",IF(Configuration!$H$2 = Configuration!$J$2,"",_xlfn.REGEXEXTRACT(CELL("address",AI119), "\$([A-Z]+)\$[0-9]+")))</f>
        <v/>
      </c>
      <c r="AJ119" s="7"/>
      <c r="AK119" s="7"/>
      <c r="AL119" s="7"/>
      <c r="AM119" s="7"/>
      <c r="AN119" s="7"/>
      <c r="AO119" s="7"/>
      <c r="AP119" s="7" t="str" cm="1">
        <f t="array" aca="1" ref="AP119" ca="1">IF(OR('Raw Data'!AP119="",LEN(TRIM('Raw Data'!AP119))=0,Validate_Empty!AP119&lt;&gt;"",Validate_Value!AP119&lt;&gt;""),"",IF('Raw Data'!AP119=SUM('Raw Data'!AK119:AO119),"",_xlfn.REGEXEXTRACT(CELL("address",AP119), "\$([A-Z]+)\$[0-9]+")))</f>
        <v/>
      </c>
    </row>
    <row r="120" spans="2:42" x14ac:dyDescent="0.25">
      <c r="B120" s="7"/>
      <c r="C120" s="7"/>
      <c r="D120" s="7"/>
      <c r="E120" s="7"/>
      <c r="F120" s="7"/>
      <c r="G120" s="7"/>
      <c r="H120" s="7"/>
      <c r="I120" s="7"/>
      <c r="J120" s="7" t="str" cm="1">
        <f t="array" aca="1" ref="J120" ca="1">IF(OR('Raw Data'!J120="",LEN(TRIM('Raw Data'!J120))=0,Validate_Empty!J120&lt;&gt;"",Validate_Value!J120&lt;&gt;""),"",IF('Raw Data'!J120=SUM('Raw Data'!K120:N120),"",_xlfn.REGEXEXTRACT(CELL("address",J120), "\$([A-Z]+)\$[0-9]+")))</f>
        <v/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 t="str" cm="1">
        <f t="array" aca="1" ref="Z120" ca="1">IF(OR('Raw Data'!Z120="",LEN(TRIM('Raw Data'!Z120))=0,Validate_Empty!Z120&lt;&gt;"",Validate_Value!Z120&lt;&gt;""),"",IF('Raw Data'!Z120=SUM('Raw Data'!T120:Y120),"",_xlfn.REGEXEXTRACT(CELL("address",Z120), "\$([A-Z]+)\$[0-9]+")))</f>
        <v/>
      </c>
      <c r="AA120" s="7"/>
      <c r="AB120" s="7"/>
      <c r="AC120" s="7"/>
      <c r="AD120" s="7"/>
      <c r="AE120" s="7"/>
      <c r="AF120" s="7"/>
      <c r="AG120" s="7" t="str" cm="1">
        <f t="array" aca="1" ref="AG120" ca="1">IF(OR('Raw Data'!AG120="",LEN(TRIM('Raw Data'!AG120))=0,Validate_Empty!AG120&lt;&gt;"",Validate_Value!AG120&lt;&gt;""),"",IF('Raw Data'!AG120=SUM('Raw Data'!AA120:AF120),"",_xlfn.REGEXEXTRACT(CELL("address",AG120), "\$([A-Z]+)\$[0-9]+")))</f>
        <v/>
      </c>
      <c r="AH120" s="7" t="str" cm="1">
        <f t="array" aca="1" ref="AH120" ca="1">IF(OR('Raw Data'!AH120="",LEN(TRIM('Raw Data'!AH120))=0,Validate_Empty!AH120&lt;&gt;"",Validate_Value!AH120&lt;&gt;""),"",IF(Configuration!$G$2 = Configuration!$I$2,"",_xlfn.REGEXEXTRACT(CELL("address",AH120), "\$([A-Z]+)\$[0-9]+")))</f>
        <v/>
      </c>
      <c r="AI120" s="7" t="str" cm="1">
        <f t="array" aca="1" ref="AI120" ca="1">IF(OR('Raw Data'!AI120="",LEN(TRIM('Raw Data'!AI120))=0,Validate_Empty!AI120&lt;&gt;"",Validate_Value!AI120&lt;&gt;""),"",IF(Configuration!$H$2 = Configuration!$J$2,"",_xlfn.REGEXEXTRACT(CELL("address",AI120), "\$([A-Z]+)\$[0-9]+")))</f>
        <v/>
      </c>
      <c r="AJ120" s="7"/>
      <c r="AK120" s="7"/>
      <c r="AL120" s="7"/>
      <c r="AM120" s="7"/>
      <c r="AN120" s="7"/>
      <c r="AO120" s="7"/>
      <c r="AP120" s="7" t="str" cm="1">
        <f t="array" aca="1" ref="AP120" ca="1">IF(OR('Raw Data'!AP120="",LEN(TRIM('Raw Data'!AP120))=0,Validate_Empty!AP120&lt;&gt;"",Validate_Value!AP120&lt;&gt;""),"",IF('Raw Data'!AP120=SUM('Raw Data'!AK120:AO120),"",_xlfn.REGEXEXTRACT(CELL("address",AP120), "\$([A-Z]+)\$[0-9]+")))</f>
        <v/>
      </c>
    </row>
    <row r="121" spans="2:42" x14ac:dyDescent="0.25">
      <c r="B121" s="7"/>
      <c r="C121" s="7"/>
      <c r="D121" s="7"/>
      <c r="E121" s="7"/>
      <c r="F121" s="7"/>
      <c r="G121" s="7"/>
      <c r="H121" s="7"/>
      <c r="I121" s="7"/>
      <c r="J121" s="7" t="str" cm="1">
        <f t="array" aca="1" ref="J121" ca="1">IF(OR('Raw Data'!J121="",LEN(TRIM('Raw Data'!J121))=0,Validate_Empty!J121&lt;&gt;"",Validate_Value!J121&lt;&gt;""),"",IF('Raw Data'!J121=SUM('Raw Data'!K121:N121),"",_xlfn.REGEXEXTRACT(CELL("address",J121), "\$([A-Z]+)\$[0-9]+")))</f>
        <v/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 t="str" cm="1">
        <f t="array" aca="1" ref="Z121" ca="1">IF(OR('Raw Data'!Z121="",LEN(TRIM('Raw Data'!Z121))=0,Validate_Empty!Z121&lt;&gt;"",Validate_Value!Z121&lt;&gt;""),"",IF('Raw Data'!Z121=SUM('Raw Data'!T121:Y121),"",_xlfn.REGEXEXTRACT(CELL("address",Z121), "\$([A-Z]+)\$[0-9]+")))</f>
        <v/>
      </c>
      <c r="AA121" s="7"/>
      <c r="AB121" s="7"/>
      <c r="AC121" s="7"/>
      <c r="AD121" s="7"/>
      <c r="AE121" s="7"/>
      <c r="AF121" s="7"/>
      <c r="AG121" s="7" t="str" cm="1">
        <f t="array" aca="1" ref="AG121" ca="1">IF(OR('Raw Data'!AG121="",LEN(TRIM('Raw Data'!AG121))=0,Validate_Empty!AG121&lt;&gt;"",Validate_Value!AG121&lt;&gt;""),"",IF('Raw Data'!AG121=SUM('Raw Data'!AA121:AF121),"",_xlfn.REGEXEXTRACT(CELL("address",AG121), "\$([A-Z]+)\$[0-9]+")))</f>
        <v/>
      </c>
      <c r="AH121" s="7" t="str" cm="1">
        <f t="array" aca="1" ref="AH121" ca="1">IF(OR('Raw Data'!AH121="",LEN(TRIM('Raw Data'!AH121))=0,Validate_Empty!AH121&lt;&gt;"",Validate_Value!AH121&lt;&gt;""),"",IF(Configuration!$G$2 = Configuration!$I$2,"",_xlfn.REGEXEXTRACT(CELL("address",AH121), "\$([A-Z]+)\$[0-9]+")))</f>
        <v/>
      </c>
      <c r="AI121" s="7" t="str" cm="1">
        <f t="array" aca="1" ref="AI121" ca="1">IF(OR('Raw Data'!AI121="",LEN(TRIM('Raw Data'!AI121))=0,Validate_Empty!AI121&lt;&gt;"",Validate_Value!AI121&lt;&gt;""),"",IF(Configuration!$H$2 = Configuration!$J$2,"",_xlfn.REGEXEXTRACT(CELL("address",AI121), "\$([A-Z]+)\$[0-9]+")))</f>
        <v/>
      </c>
      <c r="AJ121" s="7"/>
      <c r="AK121" s="7"/>
      <c r="AL121" s="7"/>
      <c r="AM121" s="7"/>
      <c r="AN121" s="7"/>
      <c r="AO121" s="7"/>
      <c r="AP121" s="7" t="str" cm="1">
        <f t="array" aca="1" ref="AP121" ca="1">IF(OR('Raw Data'!AP121="",LEN(TRIM('Raw Data'!AP121))=0,Validate_Empty!AP121&lt;&gt;"",Validate_Value!AP121&lt;&gt;""),"",IF('Raw Data'!AP121=SUM('Raw Data'!AK121:AO121),"",_xlfn.REGEXEXTRACT(CELL("address",AP121), "\$([A-Z]+)\$[0-9]+")))</f>
        <v/>
      </c>
    </row>
    <row r="122" spans="2:42" x14ac:dyDescent="0.25">
      <c r="B122" s="7"/>
      <c r="C122" s="7"/>
      <c r="D122" s="7"/>
      <c r="E122" s="7"/>
      <c r="F122" s="7"/>
      <c r="G122" s="7"/>
      <c r="H122" s="7"/>
      <c r="I122" s="7"/>
      <c r="J122" s="7" t="str" cm="1">
        <f t="array" aca="1" ref="J122" ca="1">IF(OR('Raw Data'!J122="",LEN(TRIM('Raw Data'!J122))=0,Validate_Empty!J122&lt;&gt;"",Validate_Value!J122&lt;&gt;""),"",IF('Raw Data'!J122=SUM('Raw Data'!K122:N122),"",_xlfn.REGEXEXTRACT(CELL("address",J122), "\$([A-Z]+)\$[0-9]+")))</f>
        <v/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 t="str" cm="1">
        <f t="array" aca="1" ref="Z122" ca="1">IF(OR('Raw Data'!Z122="",LEN(TRIM('Raw Data'!Z122))=0,Validate_Empty!Z122&lt;&gt;"",Validate_Value!Z122&lt;&gt;""),"",IF('Raw Data'!Z122=SUM('Raw Data'!T122:Y122),"",_xlfn.REGEXEXTRACT(CELL("address",Z122), "\$([A-Z]+)\$[0-9]+")))</f>
        <v/>
      </c>
      <c r="AA122" s="7"/>
      <c r="AB122" s="7"/>
      <c r="AC122" s="7"/>
      <c r="AD122" s="7"/>
      <c r="AE122" s="7"/>
      <c r="AF122" s="7"/>
      <c r="AG122" s="7" t="str" cm="1">
        <f t="array" aca="1" ref="AG122" ca="1">IF(OR('Raw Data'!AG122="",LEN(TRIM('Raw Data'!AG122))=0,Validate_Empty!AG122&lt;&gt;"",Validate_Value!AG122&lt;&gt;""),"",IF('Raw Data'!AG122=SUM('Raw Data'!AA122:AF122),"",_xlfn.REGEXEXTRACT(CELL("address",AG122), "\$([A-Z]+)\$[0-9]+")))</f>
        <v/>
      </c>
      <c r="AH122" s="7" t="str" cm="1">
        <f t="array" aca="1" ref="AH122" ca="1">IF(OR('Raw Data'!AH122="",LEN(TRIM('Raw Data'!AH122))=0,Validate_Empty!AH122&lt;&gt;"",Validate_Value!AH122&lt;&gt;""),"",IF(Configuration!$G$2 = Configuration!$I$2,"",_xlfn.REGEXEXTRACT(CELL("address",AH122), "\$([A-Z]+)\$[0-9]+")))</f>
        <v/>
      </c>
      <c r="AI122" s="7" t="str" cm="1">
        <f t="array" aca="1" ref="AI122" ca="1">IF(OR('Raw Data'!AI122="",LEN(TRIM('Raw Data'!AI122))=0,Validate_Empty!AI122&lt;&gt;"",Validate_Value!AI122&lt;&gt;""),"",IF(Configuration!$H$2 = Configuration!$J$2,"",_xlfn.REGEXEXTRACT(CELL("address",AI122), "\$([A-Z]+)\$[0-9]+")))</f>
        <v/>
      </c>
      <c r="AJ122" s="7"/>
      <c r="AK122" s="7"/>
      <c r="AL122" s="7"/>
      <c r="AM122" s="7"/>
      <c r="AN122" s="7"/>
      <c r="AO122" s="7"/>
      <c r="AP122" s="7" t="str" cm="1">
        <f t="array" aca="1" ref="AP122" ca="1">IF(OR('Raw Data'!AP122="",LEN(TRIM('Raw Data'!AP122))=0,Validate_Empty!AP122&lt;&gt;"",Validate_Value!AP122&lt;&gt;""),"",IF('Raw Data'!AP122=SUM('Raw Data'!AK122:AO122),"",_xlfn.REGEXEXTRACT(CELL("address",AP122), "\$([A-Z]+)\$[0-9]+")))</f>
        <v/>
      </c>
    </row>
    <row r="123" spans="2:42" x14ac:dyDescent="0.25">
      <c r="B123" s="7"/>
      <c r="C123" s="7"/>
      <c r="D123" s="7"/>
      <c r="E123" s="7"/>
      <c r="F123" s="7"/>
      <c r="G123" s="7"/>
      <c r="H123" s="7"/>
      <c r="I123" s="7"/>
      <c r="J123" s="7" t="str" cm="1">
        <f t="array" aca="1" ref="J123" ca="1">IF(OR('Raw Data'!J123="",LEN(TRIM('Raw Data'!J123))=0,Validate_Empty!J123&lt;&gt;"",Validate_Value!J123&lt;&gt;""),"",IF('Raw Data'!J123=SUM('Raw Data'!K123:N123),"",_xlfn.REGEXEXTRACT(CELL("address",J123), "\$([A-Z]+)\$[0-9]+")))</f>
        <v/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 t="str" cm="1">
        <f t="array" aca="1" ref="Z123" ca="1">IF(OR('Raw Data'!Z123="",LEN(TRIM('Raw Data'!Z123))=0,Validate_Empty!Z123&lt;&gt;"",Validate_Value!Z123&lt;&gt;""),"",IF('Raw Data'!Z123=SUM('Raw Data'!T123:Y123),"",_xlfn.REGEXEXTRACT(CELL("address",Z123), "\$([A-Z]+)\$[0-9]+")))</f>
        <v/>
      </c>
      <c r="AA123" s="7"/>
      <c r="AB123" s="7"/>
      <c r="AC123" s="7"/>
      <c r="AD123" s="7"/>
      <c r="AE123" s="7"/>
      <c r="AF123" s="7"/>
      <c r="AG123" s="7" t="str" cm="1">
        <f t="array" aca="1" ref="AG123" ca="1">IF(OR('Raw Data'!AG123="",LEN(TRIM('Raw Data'!AG123))=0,Validate_Empty!AG123&lt;&gt;"",Validate_Value!AG123&lt;&gt;""),"",IF('Raw Data'!AG123=SUM('Raw Data'!AA123:AF123),"",_xlfn.REGEXEXTRACT(CELL("address",AG123), "\$([A-Z]+)\$[0-9]+")))</f>
        <v/>
      </c>
      <c r="AH123" s="7" t="str" cm="1">
        <f t="array" aca="1" ref="AH123" ca="1">IF(OR('Raw Data'!AH123="",LEN(TRIM('Raw Data'!AH123))=0,Validate_Empty!AH123&lt;&gt;"",Validate_Value!AH123&lt;&gt;""),"",IF(Configuration!$G$2 = Configuration!$I$2,"",_xlfn.REGEXEXTRACT(CELL("address",AH123), "\$([A-Z]+)\$[0-9]+")))</f>
        <v/>
      </c>
      <c r="AI123" s="7" t="str" cm="1">
        <f t="array" aca="1" ref="AI123" ca="1">IF(OR('Raw Data'!AI123="",LEN(TRIM('Raw Data'!AI123))=0,Validate_Empty!AI123&lt;&gt;"",Validate_Value!AI123&lt;&gt;""),"",IF(Configuration!$H$2 = Configuration!$J$2,"",_xlfn.REGEXEXTRACT(CELL("address",AI123), "\$([A-Z]+)\$[0-9]+")))</f>
        <v/>
      </c>
      <c r="AJ123" s="7"/>
      <c r="AK123" s="7"/>
      <c r="AL123" s="7"/>
      <c r="AM123" s="7"/>
      <c r="AN123" s="7"/>
      <c r="AO123" s="7"/>
      <c r="AP123" s="7" t="str" cm="1">
        <f t="array" aca="1" ref="AP123" ca="1">IF(OR('Raw Data'!AP123="",LEN(TRIM('Raw Data'!AP123))=0,Validate_Empty!AP123&lt;&gt;"",Validate_Value!AP123&lt;&gt;""),"",IF('Raw Data'!AP123=SUM('Raw Data'!AK123:AO123),"",_xlfn.REGEXEXTRACT(CELL("address",AP123), "\$([A-Z]+)\$[0-9]+")))</f>
        <v/>
      </c>
    </row>
    <row r="124" spans="2:42" x14ac:dyDescent="0.25">
      <c r="B124" s="7"/>
      <c r="C124" s="7"/>
      <c r="D124" s="7"/>
      <c r="E124" s="7"/>
      <c r="F124" s="7"/>
      <c r="G124" s="7"/>
      <c r="H124" s="7"/>
      <c r="I124" s="7"/>
      <c r="J124" s="7" t="str" cm="1">
        <f t="array" aca="1" ref="J124" ca="1">IF(OR('Raw Data'!J124="",LEN(TRIM('Raw Data'!J124))=0,Validate_Empty!J124&lt;&gt;"",Validate_Value!J124&lt;&gt;""),"",IF('Raw Data'!J124=SUM('Raw Data'!K124:N124),"",_xlfn.REGEXEXTRACT(CELL("address",J124), "\$([A-Z]+)\$[0-9]+")))</f>
        <v/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 t="str" cm="1">
        <f t="array" aca="1" ref="Z124" ca="1">IF(OR('Raw Data'!Z124="",LEN(TRIM('Raw Data'!Z124))=0,Validate_Empty!Z124&lt;&gt;"",Validate_Value!Z124&lt;&gt;""),"",IF('Raw Data'!Z124=SUM('Raw Data'!T124:Y124),"",_xlfn.REGEXEXTRACT(CELL("address",Z124), "\$([A-Z]+)\$[0-9]+")))</f>
        <v/>
      </c>
      <c r="AA124" s="7"/>
      <c r="AB124" s="7"/>
      <c r="AC124" s="7"/>
      <c r="AD124" s="7"/>
      <c r="AE124" s="7"/>
      <c r="AF124" s="7"/>
      <c r="AG124" s="7" t="str" cm="1">
        <f t="array" aca="1" ref="AG124" ca="1">IF(OR('Raw Data'!AG124="",LEN(TRIM('Raw Data'!AG124))=0,Validate_Empty!AG124&lt;&gt;"",Validate_Value!AG124&lt;&gt;""),"",IF('Raw Data'!AG124=SUM('Raw Data'!AA124:AF124),"",_xlfn.REGEXEXTRACT(CELL("address",AG124), "\$([A-Z]+)\$[0-9]+")))</f>
        <v/>
      </c>
      <c r="AH124" s="7" t="str" cm="1">
        <f t="array" aca="1" ref="AH124" ca="1">IF(OR('Raw Data'!AH124="",LEN(TRIM('Raw Data'!AH124))=0,Validate_Empty!AH124&lt;&gt;"",Validate_Value!AH124&lt;&gt;""),"",IF(Configuration!$G$2 = Configuration!$I$2,"",_xlfn.REGEXEXTRACT(CELL("address",AH124), "\$([A-Z]+)\$[0-9]+")))</f>
        <v/>
      </c>
      <c r="AI124" s="7" t="str" cm="1">
        <f t="array" aca="1" ref="AI124" ca="1">IF(OR('Raw Data'!AI124="",LEN(TRIM('Raw Data'!AI124))=0,Validate_Empty!AI124&lt;&gt;"",Validate_Value!AI124&lt;&gt;""),"",IF(Configuration!$H$2 = Configuration!$J$2,"",_xlfn.REGEXEXTRACT(CELL("address",AI124), "\$([A-Z]+)\$[0-9]+")))</f>
        <v/>
      </c>
      <c r="AJ124" s="7"/>
      <c r="AK124" s="7"/>
      <c r="AL124" s="7"/>
      <c r="AM124" s="7"/>
      <c r="AN124" s="7"/>
      <c r="AO124" s="7"/>
      <c r="AP124" s="7" t="str" cm="1">
        <f t="array" aca="1" ref="AP124" ca="1">IF(OR('Raw Data'!AP124="",LEN(TRIM('Raw Data'!AP124))=0,Validate_Empty!AP124&lt;&gt;"",Validate_Value!AP124&lt;&gt;""),"",IF('Raw Data'!AP124=SUM('Raw Data'!AK124:AO124),"",_xlfn.REGEXEXTRACT(CELL("address",AP124), "\$([A-Z]+)\$[0-9]+")))</f>
        <v/>
      </c>
    </row>
    <row r="125" spans="2:42" x14ac:dyDescent="0.25">
      <c r="B125" s="7"/>
      <c r="C125" s="7"/>
      <c r="D125" s="7"/>
      <c r="E125" s="7"/>
      <c r="F125" s="7"/>
      <c r="G125" s="7"/>
      <c r="H125" s="7"/>
      <c r="I125" s="7"/>
      <c r="J125" s="7" t="str" cm="1">
        <f t="array" aca="1" ref="J125" ca="1">IF(OR('Raw Data'!J125="",LEN(TRIM('Raw Data'!J125))=0,Validate_Empty!J125&lt;&gt;"",Validate_Value!J125&lt;&gt;""),"",IF('Raw Data'!J125=SUM('Raw Data'!K125:N125),"",_xlfn.REGEXEXTRACT(CELL("address",J125), "\$([A-Z]+)\$[0-9]+")))</f>
        <v/>
      </c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 t="str" cm="1">
        <f t="array" aca="1" ref="Z125" ca="1">IF(OR('Raw Data'!Z125="",LEN(TRIM('Raw Data'!Z125))=0,Validate_Empty!Z125&lt;&gt;"",Validate_Value!Z125&lt;&gt;""),"",IF('Raw Data'!Z125=SUM('Raw Data'!T125:Y125),"",_xlfn.REGEXEXTRACT(CELL("address",Z125), "\$([A-Z]+)\$[0-9]+")))</f>
        <v/>
      </c>
      <c r="AA125" s="7"/>
      <c r="AB125" s="7"/>
      <c r="AC125" s="7"/>
      <c r="AD125" s="7"/>
      <c r="AE125" s="7"/>
      <c r="AF125" s="7"/>
      <c r="AG125" s="7" t="str" cm="1">
        <f t="array" aca="1" ref="AG125" ca="1">IF(OR('Raw Data'!AG125="",LEN(TRIM('Raw Data'!AG125))=0,Validate_Empty!AG125&lt;&gt;"",Validate_Value!AG125&lt;&gt;""),"",IF('Raw Data'!AG125=SUM('Raw Data'!AA125:AF125),"",_xlfn.REGEXEXTRACT(CELL("address",AG125), "\$([A-Z]+)\$[0-9]+")))</f>
        <v/>
      </c>
      <c r="AH125" s="7" t="str" cm="1">
        <f t="array" aca="1" ref="AH125" ca="1">IF(OR('Raw Data'!AH125="",LEN(TRIM('Raw Data'!AH125))=0,Validate_Empty!AH125&lt;&gt;"",Validate_Value!AH125&lt;&gt;""),"",IF(Configuration!$G$2 = Configuration!$I$2,"",_xlfn.REGEXEXTRACT(CELL("address",AH125), "\$([A-Z]+)\$[0-9]+")))</f>
        <v/>
      </c>
      <c r="AI125" s="7" t="str" cm="1">
        <f t="array" aca="1" ref="AI125" ca="1">IF(OR('Raw Data'!AI125="",LEN(TRIM('Raw Data'!AI125))=0,Validate_Empty!AI125&lt;&gt;"",Validate_Value!AI125&lt;&gt;""),"",IF(Configuration!$H$2 = Configuration!$J$2,"",_xlfn.REGEXEXTRACT(CELL("address",AI125), "\$([A-Z]+)\$[0-9]+")))</f>
        <v/>
      </c>
      <c r="AJ125" s="7"/>
      <c r="AK125" s="7"/>
      <c r="AL125" s="7"/>
      <c r="AM125" s="7"/>
      <c r="AN125" s="7"/>
      <c r="AO125" s="7"/>
      <c r="AP125" s="7" t="str" cm="1">
        <f t="array" aca="1" ref="AP125" ca="1">IF(OR('Raw Data'!AP125="",LEN(TRIM('Raw Data'!AP125))=0,Validate_Empty!AP125&lt;&gt;"",Validate_Value!AP125&lt;&gt;""),"",IF('Raw Data'!AP125=SUM('Raw Data'!AK125:AO125),"",_xlfn.REGEXEXTRACT(CELL("address",AP125), "\$([A-Z]+)\$[0-9]+")))</f>
        <v/>
      </c>
    </row>
    <row r="126" spans="2:42" x14ac:dyDescent="0.25">
      <c r="B126" s="7"/>
      <c r="C126" s="7"/>
      <c r="D126" s="7"/>
      <c r="E126" s="7"/>
      <c r="F126" s="7"/>
      <c r="G126" s="7"/>
      <c r="H126" s="7"/>
      <c r="I126" s="7"/>
      <c r="J126" s="7" t="str" cm="1">
        <f t="array" aca="1" ref="J126" ca="1">IF(OR('Raw Data'!J126="",LEN(TRIM('Raw Data'!J126))=0,Validate_Empty!J126&lt;&gt;"",Validate_Value!J126&lt;&gt;""),"",IF('Raw Data'!J126=SUM('Raw Data'!K126:N126),"",_xlfn.REGEXEXTRACT(CELL("address",J126), "\$([A-Z]+)\$[0-9]+")))</f>
        <v/>
      </c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 t="str" cm="1">
        <f t="array" aca="1" ref="Z126" ca="1">IF(OR('Raw Data'!Z126="",LEN(TRIM('Raw Data'!Z126))=0,Validate_Empty!Z126&lt;&gt;"",Validate_Value!Z126&lt;&gt;""),"",IF('Raw Data'!Z126=SUM('Raw Data'!T126:Y126),"",_xlfn.REGEXEXTRACT(CELL("address",Z126), "\$([A-Z]+)\$[0-9]+")))</f>
        <v/>
      </c>
      <c r="AA126" s="7"/>
      <c r="AB126" s="7"/>
      <c r="AC126" s="7"/>
      <c r="AD126" s="7"/>
      <c r="AE126" s="7"/>
      <c r="AF126" s="7"/>
      <c r="AG126" s="7" t="str" cm="1">
        <f t="array" aca="1" ref="AG126" ca="1">IF(OR('Raw Data'!AG126="",LEN(TRIM('Raw Data'!AG126))=0,Validate_Empty!AG126&lt;&gt;"",Validate_Value!AG126&lt;&gt;""),"",IF('Raw Data'!AG126=SUM('Raw Data'!AA126:AF126),"",_xlfn.REGEXEXTRACT(CELL("address",AG126), "\$([A-Z]+)\$[0-9]+")))</f>
        <v/>
      </c>
      <c r="AH126" s="7" t="str" cm="1">
        <f t="array" aca="1" ref="AH126" ca="1">IF(OR('Raw Data'!AH126="",LEN(TRIM('Raw Data'!AH126))=0,Validate_Empty!AH126&lt;&gt;"",Validate_Value!AH126&lt;&gt;""),"",IF(Configuration!$G$2 = Configuration!$I$2,"",_xlfn.REGEXEXTRACT(CELL("address",AH126), "\$([A-Z]+)\$[0-9]+")))</f>
        <v/>
      </c>
      <c r="AI126" s="7" t="str" cm="1">
        <f t="array" aca="1" ref="AI126" ca="1">IF(OR('Raw Data'!AI126="",LEN(TRIM('Raw Data'!AI126))=0,Validate_Empty!AI126&lt;&gt;"",Validate_Value!AI126&lt;&gt;""),"",IF(Configuration!$H$2 = Configuration!$J$2,"",_xlfn.REGEXEXTRACT(CELL("address",AI126), "\$([A-Z]+)\$[0-9]+")))</f>
        <v/>
      </c>
      <c r="AJ126" s="7"/>
      <c r="AK126" s="7"/>
      <c r="AL126" s="7"/>
      <c r="AM126" s="7"/>
      <c r="AN126" s="7"/>
      <c r="AO126" s="7"/>
      <c r="AP126" s="7" t="str" cm="1">
        <f t="array" aca="1" ref="AP126" ca="1">IF(OR('Raw Data'!AP126="",LEN(TRIM('Raw Data'!AP126))=0,Validate_Empty!AP126&lt;&gt;"",Validate_Value!AP126&lt;&gt;""),"",IF('Raw Data'!AP126=SUM('Raw Data'!AK126:AO126),"",_xlfn.REGEXEXTRACT(CELL("address",AP126), "\$([A-Z]+)\$[0-9]+")))</f>
        <v/>
      </c>
    </row>
    <row r="127" spans="2:42" x14ac:dyDescent="0.25">
      <c r="B127" s="7"/>
      <c r="C127" s="7"/>
      <c r="D127" s="7"/>
      <c r="E127" s="7"/>
      <c r="F127" s="7"/>
      <c r="G127" s="7"/>
      <c r="H127" s="7"/>
      <c r="I127" s="7"/>
      <c r="J127" s="7" t="str" cm="1">
        <f t="array" aca="1" ref="J127" ca="1">IF(OR('Raw Data'!J127="",LEN(TRIM('Raw Data'!J127))=0,Validate_Empty!J127&lt;&gt;"",Validate_Value!J127&lt;&gt;""),"",IF('Raw Data'!J127=SUM('Raw Data'!K127:N127),"",_xlfn.REGEXEXTRACT(CELL("address",J127), "\$([A-Z]+)\$[0-9]+")))</f>
        <v/>
      </c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 t="str" cm="1">
        <f t="array" aca="1" ref="Z127" ca="1">IF(OR('Raw Data'!Z127="",LEN(TRIM('Raw Data'!Z127))=0,Validate_Empty!Z127&lt;&gt;"",Validate_Value!Z127&lt;&gt;""),"",IF('Raw Data'!Z127=SUM('Raw Data'!T127:Y127),"",_xlfn.REGEXEXTRACT(CELL("address",Z127), "\$([A-Z]+)\$[0-9]+")))</f>
        <v/>
      </c>
      <c r="AA127" s="7"/>
      <c r="AB127" s="7"/>
      <c r="AC127" s="7"/>
      <c r="AD127" s="7"/>
      <c r="AE127" s="7"/>
      <c r="AF127" s="7"/>
      <c r="AG127" s="7" t="str" cm="1">
        <f t="array" aca="1" ref="AG127" ca="1">IF(OR('Raw Data'!AG127="",LEN(TRIM('Raw Data'!AG127))=0,Validate_Empty!AG127&lt;&gt;"",Validate_Value!AG127&lt;&gt;""),"",IF('Raw Data'!AG127=SUM('Raw Data'!AA127:AF127),"",_xlfn.REGEXEXTRACT(CELL("address",AG127), "\$([A-Z]+)\$[0-9]+")))</f>
        <v/>
      </c>
      <c r="AH127" s="7" t="str" cm="1">
        <f t="array" aca="1" ref="AH127" ca="1">IF(OR('Raw Data'!AH127="",LEN(TRIM('Raw Data'!AH127))=0,Validate_Empty!AH127&lt;&gt;"",Validate_Value!AH127&lt;&gt;""),"",IF(Configuration!$G$2 = Configuration!$I$2,"",_xlfn.REGEXEXTRACT(CELL("address",AH127), "\$([A-Z]+)\$[0-9]+")))</f>
        <v/>
      </c>
      <c r="AI127" s="7" t="str" cm="1">
        <f t="array" aca="1" ref="AI127" ca="1">IF(OR('Raw Data'!AI127="",LEN(TRIM('Raw Data'!AI127))=0,Validate_Empty!AI127&lt;&gt;"",Validate_Value!AI127&lt;&gt;""),"",IF(Configuration!$H$2 = Configuration!$J$2,"",_xlfn.REGEXEXTRACT(CELL("address",AI127), "\$([A-Z]+)\$[0-9]+")))</f>
        <v/>
      </c>
      <c r="AJ127" s="7"/>
      <c r="AK127" s="7"/>
      <c r="AL127" s="7"/>
      <c r="AM127" s="7"/>
      <c r="AN127" s="7"/>
      <c r="AO127" s="7"/>
      <c r="AP127" s="7" t="str" cm="1">
        <f t="array" aca="1" ref="AP127" ca="1">IF(OR('Raw Data'!AP127="",LEN(TRIM('Raw Data'!AP127))=0,Validate_Empty!AP127&lt;&gt;"",Validate_Value!AP127&lt;&gt;""),"",IF('Raw Data'!AP127=SUM('Raw Data'!AK127:AO127),"",_xlfn.REGEXEXTRACT(CELL("address",AP127), "\$([A-Z]+)\$[0-9]+")))</f>
        <v/>
      </c>
    </row>
    <row r="128" spans="2:42" x14ac:dyDescent="0.25">
      <c r="B128" s="7"/>
      <c r="C128" s="7"/>
      <c r="D128" s="7"/>
      <c r="E128" s="7"/>
      <c r="F128" s="7"/>
      <c r="G128" s="7"/>
      <c r="H128" s="7"/>
      <c r="I128" s="7"/>
      <c r="J128" s="7" t="str" cm="1">
        <f t="array" aca="1" ref="J128" ca="1">IF(OR('Raw Data'!J128="",LEN(TRIM('Raw Data'!J128))=0,Validate_Empty!J128&lt;&gt;"",Validate_Value!J128&lt;&gt;""),"",IF('Raw Data'!J128=SUM('Raw Data'!K128:N128),"",_xlfn.REGEXEXTRACT(CELL("address",J128), "\$([A-Z]+)\$[0-9]+")))</f>
        <v/>
      </c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 t="str" cm="1">
        <f t="array" aca="1" ref="Z128" ca="1">IF(OR('Raw Data'!Z128="",LEN(TRIM('Raw Data'!Z128))=0,Validate_Empty!Z128&lt;&gt;"",Validate_Value!Z128&lt;&gt;""),"",IF('Raw Data'!Z128=SUM('Raw Data'!T128:Y128),"",_xlfn.REGEXEXTRACT(CELL("address",Z128), "\$([A-Z]+)\$[0-9]+")))</f>
        <v/>
      </c>
      <c r="AA128" s="7"/>
      <c r="AB128" s="7"/>
      <c r="AC128" s="7"/>
      <c r="AD128" s="7"/>
      <c r="AE128" s="7"/>
      <c r="AF128" s="7"/>
      <c r="AG128" s="7" t="str" cm="1">
        <f t="array" aca="1" ref="AG128" ca="1">IF(OR('Raw Data'!AG128="",LEN(TRIM('Raw Data'!AG128))=0,Validate_Empty!AG128&lt;&gt;"",Validate_Value!AG128&lt;&gt;""),"",IF('Raw Data'!AG128=SUM('Raw Data'!AA128:AF128),"",_xlfn.REGEXEXTRACT(CELL("address",AG128), "\$([A-Z]+)\$[0-9]+")))</f>
        <v/>
      </c>
      <c r="AH128" s="7" t="str" cm="1">
        <f t="array" aca="1" ref="AH128" ca="1">IF(OR('Raw Data'!AH128="",LEN(TRIM('Raw Data'!AH128))=0,Validate_Empty!AH128&lt;&gt;"",Validate_Value!AH128&lt;&gt;""),"",IF(Configuration!$G$2 = Configuration!$I$2,"",_xlfn.REGEXEXTRACT(CELL("address",AH128), "\$([A-Z]+)\$[0-9]+")))</f>
        <v/>
      </c>
      <c r="AI128" s="7" t="str" cm="1">
        <f t="array" aca="1" ref="AI128" ca="1">IF(OR('Raw Data'!AI128="",LEN(TRIM('Raw Data'!AI128))=0,Validate_Empty!AI128&lt;&gt;"",Validate_Value!AI128&lt;&gt;""),"",IF(Configuration!$H$2 = Configuration!$J$2,"",_xlfn.REGEXEXTRACT(CELL("address",AI128), "\$([A-Z]+)\$[0-9]+")))</f>
        <v/>
      </c>
      <c r="AJ128" s="7"/>
      <c r="AK128" s="7"/>
      <c r="AL128" s="7"/>
      <c r="AM128" s="7"/>
      <c r="AN128" s="7"/>
      <c r="AO128" s="7"/>
      <c r="AP128" s="7" t="str" cm="1">
        <f t="array" aca="1" ref="AP128" ca="1">IF(OR('Raw Data'!AP128="",LEN(TRIM('Raw Data'!AP128))=0,Validate_Empty!AP128&lt;&gt;"",Validate_Value!AP128&lt;&gt;""),"",IF('Raw Data'!AP128=SUM('Raw Data'!AK128:AO128),"",_xlfn.REGEXEXTRACT(CELL("address",AP128), "\$([A-Z]+)\$[0-9]+")))</f>
        <v/>
      </c>
    </row>
    <row r="129" spans="2:42" x14ac:dyDescent="0.25">
      <c r="B129" s="7"/>
      <c r="C129" s="7"/>
      <c r="D129" s="7"/>
      <c r="E129" s="7"/>
      <c r="F129" s="7"/>
      <c r="G129" s="7"/>
      <c r="H129" s="7"/>
      <c r="I129" s="7"/>
      <c r="J129" s="7" t="str" cm="1">
        <f t="array" aca="1" ref="J129" ca="1">IF(OR('Raw Data'!J129="",LEN(TRIM('Raw Data'!J129))=0,Validate_Empty!J129&lt;&gt;"",Validate_Value!J129&lt;&gt;""),"",IF('Raw Data'!J129=SUM('Raw Data'!K129:N129),"",_xlfn.REGEXEXTRACT(CELL("address",J129), "\$([A-Z]+)\$[0-9]+")))</f>
        <v/>
      </c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 t="str" cm="1">
        <f t="array" aca="1" ref="Z129" ca="1">IF(OR('Raw Data'!Z129="",LEN(TRIM('Raw Data'!Z129))=0,Validate_Empty!Z129&lt;&gt;"",Validate_Value!Z129&lt;&gt;""),"",IF('Raw Data'!Z129=SUM('Raw Data'!T129:Y129),"",_xlfn.REGEXEXTRACT(CELL("address",Z129), "\$([A-Z]+)\$[0-9]+")))</f>
        <v/>
      </c>
      <c r="AA129" s="7"/>
      <c r="AB129" s="7"/>
      <c r="AC129" s="7"/>
      <c r="AD129" s="7"/>
      <c r="AE129" s="7"/>
      <c r="AF129" s="7"/>
      <c r="AG129" s="7" t="str" cm="1">
        <f t="array" aca="1" ref="AG129" ca="1">IF(OR('Raw Data'!AG129="",LEN(TRIM('Raw Data'!AG129))=0,Validate_Empty!AG129&lt;&gt;"",Validate_Value!AG129&lt;&gt;""),"",IF('Raw Data'!AG129=SUM('Raw Data'!AA129:AF129),"",_xlfn.REGEXEXTRACT(CELL("address",AG129), "\$([A-Z]+)\$[0-9]+")))</f>
        <v/>
      </c>
      <c r="AH129" s="7" t="str" cm="1">
        <f t="array" aca="1" ref="AH129" ca="1">IF(OR('Raw Data'!AH129="",LEN(TRIM('Raw Data'!AH129))=0,Validate_Empty!AH129&lt;&gt;"",Validate_Value!AH129&lt;&gt;""),"",IF(Configuration!$G$2 = Configuration!$I$2,"",_xlfn.REGEXEXTRACT(CELL("address",AH129), "\$([A-Z]+)\$[0-9]+")))</f>
        <v/>
      </c>
      <c r="AI129" s="7" t="str" cm="1">
        <f t="array" aca="1" ref="AI129" ca="1">IF(OR('Raw Data'!AI129="",LEN(TRIM('Raw Data'!AI129))=0,Validate_Empty!AI129&lt;&gt;"",Validate_Value!AI129&lt;&gt;""),"",IF(Configuration!$H$2 = Configuration!$J$2,"",_xlfn.REGEXEXTRACT(CELL("address",AI129), "\$([A-Z]+)\$[0-9]+")))</f>
        <v/>
      </c>
      <c r="AJ129" s="7"/>
      <c r="AK129" s="7"/>
      <c r="AL129" s="7"/>
      <c r="AM129" s="7"/>
      <c r="AN129" s="7"/>
      <c r="AO129" s="7"/>
      <c r="AP129" s="7" t="str" cm="1">
        <f t="array" aca="1" ref="AP129" ca="1">IF(OR('Raw Data'!AP129="",LEN(TRIM('Raw Data'!AP129))=0,Validate_Empty!AP129&lt;&gt;"",Validate_Value!AP129&lt;&gt;""),"",IF('Raw Data'!AP129=SUM('Raw Data'!AK129:AO129),"",_xlfn.REGEXEXTRACT(CELL("address",AP129), "\$([A-Z]+)\$[0-9]+")))</f>
        <v/>
      </c>
    </row>
    <row r="130" spans="2:42" x14ac:dyDescent="0.25">
      <c r="B130" s="7"/>
      <c r="C130" s="7"/>
      <c r="D130" s="7"/>
      <c r="E130" s="7"/>
      <c r="F130" s="7"/>
      <c r="G130" s="7"/>
      <c r="H130" s="7"/>
      <c r="I130" s="7"/>
      <c r="J130" s="7" t="str" cm="1">
        <f t="array" aca="1" ref="J130" ca="1">IF(OR('Raw Data'!J130="",LEN(TRIM('Raw Data'!J130))=0,Validate_Empty!J130&lt;&gt;"",Validate_Value!J130&lt;&gt;""),"",IF('Raw Data'!J130=SUM('Raw Data'!K130:N130),"",_xlfn.REGEXEXTRACT(CELL("address",J130), "\$([A-Z]+)\$[0-9]+")))</f>
        <v/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 t="str" cm="1">
        <f t="array" aca="1" ref="Z130" ca="1">IF(OR('Raw Data'!Z130="",LEN(TRIM('Raw Data'!Z130))=0,Validate_Empty!Z130&lt;&gt;"",Validate_Value!Z130&lt;&gt;""),"",IF('Raw Data'!Z130=SUM('Raw Data'!T130:Y130),"",_xlfn.REGEXEXTRACT(CELL("address",Z130), "\$([A-Z]+)\$[0-9]+")))</f>
        <v/>
      </c>
      <c r="AA130" s="7"/>
      <c r="AB130" s="7"/>
      <c r="AC130" s="7"/>
      <c r="AD130" s="7"/>
      <c r="AE130" s="7"/>
      <c r="AF130" s="7"/>
      <c r="AG130" s="7" t="str" cm="1">
        <f t="array" aca="1" ref="AG130" ca="1">IF(OR('Raw Data'!AG130="",LEN(TRIM('Raw Data'!AG130))=0,Validate_Empty!AG130&lt;&gt;"",Validate_Value!AG130&lt;&gt;""),"",IF('Raw Data'!AG130=SUM('Raw Data'!AA130:AF130),"",_xlfn.REGEXEXTRACT(CELL("address",AG130), "\$([A-Z]+)\$[0-9]+")))</f>
        <v/>
      </c>
      <c r="AH130" s="7" t="str" cm="1">
        <f t="array" aca="1" ref="AH130" ca="1">IF(OR('Raw Data'!AH130="",LEN(TRIM('Raw Data'!AH130))=0,Validate_Empty!AH130&lt;&gt;"",Validate_Value!AH130&lt;&gt;""),"",IF(Configuration!$G$2 = Configuration!$I$2,"",_xlfn.REGEXEXTRACT(CELL("address",AH130), "\$([A-Z]+)\$[0-9]+")))</f>
        <v/>
      </c>
      <c r="AI130" s="7" t="str" cm="1">
        <f t="array" aca="1" ref="AI130" ca="1">IF(OR('Raw Data'!AI130="",LEN(TRIM('Raw Data'!AI130))=0,Validate_Empty!AI130&lt;&gt;"",Validate_Value!AI130&lt;&gt;""),"",IF(Configuration!$H$2 = Configuration!$J$2,"",_xlfn.REGEXEXTRACT(CELL("address",AI130), "\$([A-Z]+)\$[0-9]+")))</f>
        <v/>
      </c>
      <c r="AJ130" s="7"/>
      <c r="AK130" s="7"/>
      <c r="AL130" s="7"/>
      <c r="AM130" s="7"/>
      <c r="AN130" s="7"/>
      <c r="AO130" s="7"/>
      <c r="AP130" s="7" t="str" cm="1">
        <f t="array" aca="1" ref="AP130" ca="1">IF(OR('Raw Data'!AP130="",LEN(TRIM('Raw Data'!AP130))=0,Validate_Empty!AP130&lt;&gt;"",Validate_Value!AP130&lt;&gt;""),"",IF('Raw Data'!AP130=SUM('Raw Data'!AK130:AO130),"",_xlfn.REGEXEXTRACT(CELL("address",AP130), "\$([A-Z]+)\$[0-9]+")))</f>
        <v/>
      </c>
    </row>
    <row r="131" spans="2:42" x14ac:dyDescent="0.25">
      <c r="B131" s="7"/>
      <c r="C131" s="7"/>
      <c r="D131" s="7"/>
      <c r="E131" s="7"/>
      <c r="F131" s="7"/>
      <c r="G131" s="7"/>
      <c r="H131" s="7"/>
      <c r="I131" s="7"/>
      <c r="J131" s="7" t="str" cm="1">
        <f t="array" aca="1" ref="J131" ca="1">IF(OR('Raw Data'!J131="",LEN(TRIM('Raw Data'!J131))=0,Validate_Empty!J131&lt;&gt;"",Validate_Value!J131&lt;&gt;""),"",IF('Raw Data'!J131=SUM('Raw Data'!K131:N131),"",_xlfn.REGEXEXTRACT(CELL("address",J131), "\$([A-Z]+)\$[0-9]+")))</f>
        <v/>
      </c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 t="str" cm="1">
        <f t="array" aca="1" ref="Z131" ca="1">IF(OR('Raw Data'!Z131="",LEN(TRIM('Raw Data'!Z131))=0,Validate_Empty!Z131&lt;&gt;"",Validate_Value!Z131&lt;&gt;""),"",IF('Raw Data'!Z131=SUM('Raw Data'!T131:Y131),"",_xlfn.REGEXEXTRACT(CELL("address",Z131), "\$([A-Z]+)\$[0-9]+")))</f>
        <v/>
      </c>
      <c r="AA131" s="7"/>
      <c r="AB131" s="7"/>
      <c r="AC131" s="7"/>
      <c r="AD131" s="7"/>
      <c r="AE131" s="7"/>
      <c r="AF131" s="7"/>
      <c r="AG131" s="7" t="str" cm="1">
        <f t="array" aca="1" ref="AG131" ca="1">IF(OR('Raw Data'!AG131="",LEN(TRIM('Raw Data'!AG131))=0,Validate_Empty!AG131&lt;&gt;"",Validate_Value!AG131&lt;&gt;""),"",IF('Raw Data'!AG131=SUM('Raw Data'!AA131:AF131),"",_xlfn.REGEXEXTRACT(CELL("address",AG131), "\$([A-Z]+)\$[0-9]+")))</f>
        <v/>
      </c>
      <c r="AH131" s="7" t="str" cm="1">
        <f t="array" aca="1" ref="AH131" ca="1">IF(OR('Raw Data'!AH131="",LEN(TRIM('Raw Data'!AH131))=0,Validate_Empty!AH131&lt;&gt;"",Validate_Value!AH131&lt;&gt;""),"",IF(Configuration!$G$2 = Configuration!$I$2,"",_xlfn.REGEXEXTRACT(CELL("address",AH131), "\$([A-Z]+)\$[0-9]+")))</f>
        <v/>
      </c>
      <c r="AI131" s="7" t="str" cm="1">
        <f t="array" aca="1" ref="AI131" ca="1">IF(OR('Raw Data'!AI131="",LEN(TRIM('Raw Data'!AI131))=0,Validate_Empty!AI131&lt;&gt;"",Validate_Value!AI131&lt;&gt;""),"",IF(Configuration!$H$2 = Configuration!$J$2,"",_xlfn.REGEXEXTRACT(CELL("address",AI131), "\$([A-Z]+)\$[0-9]+")))</f>
        <v/>
      </c>
      <c r="AJ131" s="7"/>
      <c r="AK131" s="7"/>
      <c r="AL131" s="7"/>
      <c r="AM131" s="7"/>
      <c r="AN131" s="7"/>
      <c r="AO131" s="7"/>
      <c r="AP131" s="7" t="str" cm="1">
        <f t="array" aca="1" ref="AP131" ca="1">IF(OR('Raw Data'!AP131="",LEN(TRIM('Raw Data'!AP131))=0,Validate_Empty!AP131&lt;&gt;"",Validate_Value!AP131&lt;&gt;""),"",IF('Raw Data'!AP131=SUM('Raw Data'!AK131:AO131),"",_xlfn.REGEXEXTRACT(CELL("address",AP131), "\$([A-Z]+)\$[0-9]+")))</f>
        <v/>
      </c>
    </row>
    <row r="132" spans="2:42" x14ac:dyDescent="0.25">
      <c r="B132" s="7"/>
      <c r="C132" s="7"/>
      <c r="D132" s="7"/>
      <c r="E132" s="7"/>
      <c r="F132" s="7"/>
      <c r="G132" s="7"/>
      <c r="H132" s="7"/>
      <c r="I132" s="7"/>
      <c r="J132" s="7" t="str" cm="1">
        <f t="array" aca="1" ref="J132" ca="1">IF(OR('Raw Data'!J132="",LEN(TRIM('Raw Data'!J132))=0,Validate_Empty!J132&lt;&gt;"",Validate_Value!J132&lt;&gt;""),"",IF('Raw Data'!J132=SUM('Raw Data'!K132:N132),"",_xlfn.REGEXEXTRACT(CELL("address",J132), "\$([A-Z]+)\$[0-9]+")))</f>
        <v/>
      </c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 t="str" cm="1">
        <f t="array" aca="1" ref="Z132" ca="1">IF(OR('Raw Data'!Z132="",LEN(TRIM('Raw Data'!Z132))=0,Validate_Empty!Z132&lt;&gt;"",Validate_Value!Z132&lt;&gt;""),"",IF('Raw Data'!Z132=SUM('Raw Data'!T132:Y132),"",_xlfn.REGEXEXTRACT(CELL("address",Z132), "\$([A-Z]+)\$[0-9]+")))</f>
        <v/>
      </c>
      <c r="AA132" s="7"/>
      <c r="AB132" s="7"/>
      <c r="AC132" s="7"/>
      <c r="AD132" s="7"/>
      <c r="AE132" s="7"/>
      <c r="AF132" s="7"/>
      <c r="AG132" s="7" t="str" cm="1">
        <f t="array" aca="1" ref="AG132" ca="1">IF(OR('Raw Data'!AG132="",LEN(TRIM('Raw Data'!AG132))=0,Validate_Empty!AG132&lt;&gt;"",Validate_Value!AG132&lt;&gt;""),"",IF('Raw Data'!AG132=SUM('Raw Data'!AA132:AF132),"",_xlfn.REGEXEXTRACT(CELL("address",AG132), "\$([A-Z]+)\$[0-9]+")))</f>
        <v/>
      </c>
      <c r="AH132" s="7" t="str" cm="1">
        <f t="array" aca="1" ref="AH132" ca="1">IF(OR('Raw Data'!AH132="",LEN(TRIM('Raw Data'!AH132))=0,Validate_Empty!AH132&lt;&gt;"",Validate_Value!AH132&lt;&gt;""),"",IF(Configuration!$G$2 = Configuration!$I$2,"",_xlfn.REGEXEXTRACT(CELL("address",AH132), "\$([A-Z]+)\$[0-9]+")))</f>
        <v/>
      </c>
      <c r="AI132" s="7" t="str" cm="1">
        <f t="array" aca="1" ref="AI132" ca="1">IF(OR('Raw Data'!AI132="",LEN(TRIM('Raw Data'!AI132))=0,Validate_Empty!AI132&lt;&gt;"",Validate_Value!AI132&lt;&gt;""),"",IF(Configuration!$H$2 = Configuration!$J$2,"",_xlfn.REGEXEXTRACT(CELL("address",AI132), "\$([A-Z]+)\$[0-9]+")))</f>
        <v/>
      </c>
      <c r="AJ132" s="7"/>
      <c r="AK132" s="7"/>
      <c r="AL132" s="7"/>
      <c r="AM132" s="7"/>
      <c r="AN132" s="7"/>
      <c r="AO132" s="7"/>
      <c r="AP132" s="7" t="str" cm="1">
        <f t="array" aca="1" ref="AP132" ca="1">IF(OR('Raw Data'!AP132="",LEN(TRIM('Raw Data'!AP132))=0,Validate_Empty!AP132&lt;&gt;"",Validate_Value!AP132&lt;&gt;""),"",IF('Raw Data'!AP132=SUM('Raw Data'!AK132:AO132),"",_xlfn.REGEXEXTRACT(CELL("address",AP132), "\$([A-Z]+)\$[0-9]+")))</f>
        <v/>
      </c>
    </row>
    <row r="133" spans="2:42" x14ac:dyDescent="0.25">
      <c r="B133" s="7"/>
      <c r="C133" s="7"/>
      <c r="D133" s="7"/>
      <c r="E133" s="7"/>
      <c r="F133" s="7"/>
      <c r="G133" s="7"/>
      <c r="H133" s="7"/>
      <c r="I133" s="7"/>
      <c r="J133" s="7" t="str" cm="1">
        <f t="array" aca="1" ref="J133" ca="1">IF(OR('Raw Data'!J133="",LEN(TRIM('Raw Data'!J133))=0,Validate_Empty!J133&lt;&gt;"",Validate_Value!J133&lt;&gt;""),"",IF('Raw Data'!J133=SUM('Raw Data'!K133:N133),"",_xlfn.REGEXEXTRACT(CELL("address",J133), "\$([A-Z]+)\$[0-9]+")))</f>
        <v/>
      </c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 t="str" cm="1">
        <f t="array" aca="1" ref="Z133" ca="1">IF(OR('Raw Data'!Z133="",LEN(TRIM('Raw Data'!Z133))=0,Validate_Empty!Z133&lt;&gt;"",Validate_Value!Z133&lt;&gt;""),"",IF('Raw Data'!Z133=SUM('Raw Data'!T133:Y133),"",_xlfn.REGEXEXTRACT(CELL("address",Z133), "\$([A-Z]+)\$[0-9]+")))</f>
        <v/>
      </c>
      <c r="AA133" s="7"/>
      <c r="AB133" s="7"/>
      <c r="AC133" s="7"/>
      <c r="AD133" s="7"/>
      <c r="AE133" s="7"/>
      <c r="AF133" s="7"/>
      <c r="AG133" s="7" t="str" cm="1">
        <f t="array" aca="1" ref="AG133" ca="1">IF(OR('Raw Data'!AG133="",LEN(TRIM('Raw Data'!AG133))=0,Validate_Empty!AG133&lt;&gt;"",Validate_Value!AG133&lt;&gt;""),"",IF('Raw Data'!AG133=SUM('Raw Data'!AA133:AF133),"",_xlfn.REGEXEXTRACT(CELL("address",AG133), "\$([A-Z]+)\$[0-9]+")))</f>
        <v/>
      </c>
      <c r="AH133" s="7" t="str" cm="1">
        <f t="array" aca="1" ref="AH133" ca="1">IF(OR('Raw Data'!AH133="",LEN(TRIM('Raw Data'!AH133))=0,Validate_Empty!AH133&lt;&gt;"",Validate_Value!AH133&lt;&gt;""),"",IF(Configuration!$G$2 = Configuration!$I$2,"",_xlfn.REGEXEXTRACT(CELL("address",AH133), "\$([A-Z]+)\$[0-9]+")))</f>
        <v/>
      </c>
      <c r="AI133" s="7" t="str" cm="1">
        <f t="array" aca="1" ref="AI133" ca="1">IF(OR('Raw Data'!AI133="",LEN(TRIM('Raw Data'!AI133))=0,Validate_Empty!AI133&lt;&gt;"",Validate_Value!AI133&lt;&gt;""),"",IF(Configuration!$H$2 = Configuration!$J$2,"",_xlfn.REGEXEXTRACT(CELL("address",AI133), "\$([A-Z]+)\$[0-9]+")))</f>
        <v/>
      </c>
      <c r="AJ133" s="7"/>
      <c r="AK133" s="7"/>
      <c r="AL133" s="7"/>
      <c r="AM133" s="7"/>
      <c r="AN133" s="7"/>
      <c r="AO133" s="7"/>
      <c r="AP133" s="7" t="str" cm="1">
        <f t="array" aca="1" ref="AP133" ca="1">IF(OR('Raw Data'!AP133="",LEN(TRIM('Raw Data'!AP133))=0,Validate_Empty!AP133&lt;&gt;"",Validate_Value!AP133&lt;&gt;""),"",IF('Raw Data'!AP133=SUM('Raw Data'!AK133:AO133),"",_xlfn.REGEXEXTRACT(CELL("address",AP133), "\$([A-Z]+)\$[0-9]+")))</f>
        <v/>
      </c>
    </row>
    <row r="134" spans="2:42" x14ac:dyDescent="0.25">
      <c r="B134" s="7"/>
      <c r="C134" s="7"/>
      <c r="D134" s="7"/>
      <c r="E134" s="7"/>
      <c r="F134" s="7"/>
      <c r="G134" s="7"/>
      <c r="H134" s="7"/>
      <c r="I134" s="7"/>
      <c r="J134" s="7" t="str" cm="1">
        <f t="array" aca="1" ref="J134" ca="1">IF(OR('Raw Data'!J134="",LEN(TRIM('Raw Data'!J134))=0,Validate_Empty!J134&lt;&gt;"",Validate_Value!J134&lt;&gt;""),"",IF('Raw Data'!J134=SUM('Raw Data'!K134:N134),"",_xlfn.REGEXEXTRACT(CELL("address",J134), "\$([A-Z]+)\$[0-9]+")))</f>
        <v/>
      </c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 t="str" cm="1">
        <f t="array" aca="1" ref="Z134" ca="1">IF(OR('Raw Data'!Z134="",LEN(TRIM('Raw Data'!Z134))=0,Validate_Empty!Z134&lt;&gt;"",Validate_Value!Z134&lt;&gt;""),"",IF('Raw Data'!Z134=SUM('Raw Data'!T134:Y134),"",_xlfn.REGEXEXTRACT(CELL("address",Z134), "\$([A-Z]+)\$[0-9]+")))</f>
        <v/>
      </c>
      <c r="AA134" s="7"/>
      <c r="AB134" s="7"/>
      <c r="AC134" s="7"/>
      <c r="AD134" s="7"/>
      <c r="AE134" s="7"/>
      <c r="AF134" s="7"/>
      <c r="AG134" s="7" t="str" cm="1">
        <f t="array" aca="1" ref="AG134" ca="1">IF(OR('Raw Data'!AG134="",LEN(TRIM('Raw Data'!AG134))=0,Validate_Empty!AG134&lt;&gt;"",Validate_Value!AG134&lt;&gt;""),"",IF('Raw Data'!AG134=SUM('Raw Data'!AA134:AF134),"",_xlfn.REGEXEXTRACT(CELL("address",AG134), "\$([A-Z]+)\$[0-9]+")))</f>
        <v/>
      </c>
      <c r="AH134" s="7" t="str" cm="1">
        <f t="array" aca="1" ref="AH134" ca="1">IF(OR('Raw Data'!AH134="",LEN(TRIM('Raw Data'!AH134))=0,Validate_Empty!AH134&lt;&gt;"",Validate_Value!AH134&lt;&gt;""),"",IF(Configuration!$G$2 = Configuration!$I$2,"",_xlfn.REGEXEXTRACT(CELL("address",AH134), "\$([A-Z]+)\$[0-9]+")))</f>
        <v/>
      </c>
      <c r="AI134" s="7" t="str" cm="1">
        <f t="array" aca="1" ref="AI134" ca="1">IF(OR('Raw Data'!AI134="",LEN(TRIM('Raw Data'!AI134))=0,Validate_Empty!AI134&lt;&gt;"",Validate_Value!AI134&lt;&gt;""),"",IF(Configuration!$H$2 = Configuration!$J$2,"",_xlfn.REGEXEXTRACT(CELL("address",AI134), "\$([A-Z]+)\$[0-9]+")))</f>
        <v/>
      </c>
      <c r="AJ134" s="7"/>
      <c r="AK134" s="7"/>
      <c r="AL134" s="7"/>
      <c r="AM134" s="7"/>
      <c r="AN134" s="7"/>
      <c r="AO134" s="7"/>
      <c r="AP134" s="7" t="str" cm="1">
        <f t="array" aca="1" ref="AP134" ca="1">IF(OR('Raw Data'!AP134="",LEN(TRIM('Raw Data'!AP134))=0,Validate_Empty!AP134&lt;&gt;"",Validate_Value!AP134&lt;&gt;""),"",IF('Raw Data'!AP134=SUM('Raw Data'!AK134:AO134),"",_xlfn.REGEXEXTRACT(CELL("address",AP134), "\$([A-Z]+)\$[0-9]+")))</f>
        <v/>
      </c>
    </row>
    <row r="135" spans="2:42" x14ac:dyDescent="0.25">
      <c r="B135" s="7"/>
      <c r="C135" s="7"/>
      <c r="D135" s="7"/>
      <c r="E135" s="7"/>
      <c r="F135" s="7"/>
      <c r="G135" s="7"/>
      <c r="H135" s="7"/>
      <c r="I135" s="7"/>
      <c r="J135" s="7" t="str" cm="1">
        <f t="array" aca="1" ref="J135" ca="1">IF(OR('Raw Data'!J135="",LEN(TRIM('Raw Data'!J135))=0,Validate_Empty!J135&lt;&gt;"",Validate_Value!J135&lt;&gt;""),"",IF('Raw Data'!J135=SUM('Raw Data'!K135:N135),"",_xlfn.REGEXEXTRACT(CELL("address",J135), "\$([A-Z]+)\$[0-9]+")))</f>
        <v/>
      </c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 t="str" cm="1">
        <f t="array" aca="1" ref="Z135" ca="1">IF(OR('Raw Data'!Z135="",LEN(TRIM('Raw Data'!Z135))=0,Validate_Empty!Z135&lt;&gt;"",Validate_Value!Z135&lt;&gt;""),"",IF('Raw Data'!Z135=SUM('Raw Data'!T135:Y135),"",_xlfn.REGEXEXTRACT(CELL("address",Z135), "\$([A-Z]+)\$[0-9]+")))</f>
        <v/>
      </c>
      <c r="AA135" s="7"/>
      <c r="AB135" s="7"/>
      <c r="AC135" s="7"/>
      <c r="AD135" s="7"/>
      <c r="AE135" s="7"/>
      <c r="AF135" s="7"/>
      <c r="AG135" s="7" t="str" cm="1">
        <f t="array" aca="1" ref="AG135" ca="1">IF(OR('Raw Data'!AG135="",LEN(TRIM('Raw Data'!AG135))=0,Validate_Empty!AG135&lt;&gt;"",Validate_Value!AG135&lt;&gt;""),"",IF('Raw Data'!AG135=SUM('Raw Data'!AA135:AF135),"",_xlfn.REGEXEXTRACT(CELL("address",AG135), "\$([A-Z]+)\$[0-9]+")))</f>
        <v/>
      </c>
      <c r="AH135" s="7" t="str" cm="1">
        <f t="array" aca="1" ref="AH135" ca="1">IF(OR('Raw Data'!AH135="",LEN(TRIM('Raw Data'!AH135))=0,Validate_Empty!AH135&lt;&gt;"",Validate_Value!AH135&lt;&gt;""),"",IF(Configuration!$G$2 = Configuration!$I$2,"",_xlfn.REGEXEXTRACT(CELL("address",AH135), "\$([A-Z]+)\$[0-9]+")))</f>
        <v/>
      </c>
      <c r="AI135" s="7" t="str" cm="1">
        <f t="array" aca="1" ref="AI135" ca="1">IF(OR('Raw Data'!AI135="",LEN(TRIM('Raw Data'!AI135))=0,Validate_Empty!AI135&lt;&gt;"",Validate_Value!AI135&lt;&gt;""),"",IF(Configuration!$H$2 = Configuration!$J$2,"",_xlfn.REGEXEXTRACT(CELL("address",AI135), "\$([A-Z]+)\$[0-9]+")))</f>
        <v/>
      </c>
      <c r="AJ135" s="7"/>
      <c r="AK135" s="7"/>
      <c r="AL135" s="7"/>
      <c r="AM135" s="7"/>
      <c r="AN135" s="7"/>
      <c r="AO135" s="7"/>
      <c r="AP135" s="7" t="str" cm="1">
        <f t="array" aca="1" ref="AP135" ca="1">IF(OR('Raw Data'!AP135="",LEN(TRIM('Raw Data'!AP135))=0,Validate_Empty!AP135&lt;&gt;"",Validate_Value!AP135&lt;&gt;""),"",IF('Raw Data'!AP135=SUM('Raw Data'!AK135:AO135),"",_xlfn.REGEXEXTRACT(CELL("address",AP135), "\$([A-Z]+)\$[0-9]+")))</f>
        <v/>
      </c>
    </row>
    <row r="136" spans="2:42" x14ac:dyDescent="0.25">
      <c r="B136" s="7"/>
      <c r="C136" s="7"/>
      <c r="D136" s="7"/>
      <c r="E136" s="7"/>
      <c r="F136" s="7"/>
      <c r="G136" s="7"/>
      <c r="H136" s="7"/>
      <c r="I136" s="7"/>
      <c r="J136" s="7" t="str" cm="1">
        <f t="array" aca="1" ref="J136" ca="1">IF(OR('Raw Data'!J136="",LEN(TRIM('Raw Data'!J136))=0,Validate_Empty!J136&lt;&gt;"",Validate_Value!J136&lt;&gt;""),"",IF('Raw Data'!J136=SUM('Raw Data'!K136:N136),"",_xlfn.REGEXEXTRACT(CELL("address",J136), "\$([A-Z]+)\$[0-9]+")))</f>
        <v/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 t="str" cm="1">
        <f t="array" aca="1" ref="Z136" ca="1">IF(OR('Raw Data'!Z136="",LEN(TRIM('Raw Data'!Z136))=0,Validate_Empty!Z136&lt;&gt;"",Validate_Value!Z136&lt;&gt;""),"",IF('Raw Data'!Z136=SUM('Raw Data'!T136:Y136),"",_xlfn.REGEXEXTRACT(CELL("address",Z136), "\$([A-Z]+)\$[0-9]+")))</f>
        <v/>
      </c>
      <c r="AA136" s="7"/>
      <c r="AB136" s="7"/>
      <c r="AC136" s="7"/>
      <c r="AD136" s="7"/>
      <c r="AE136" s="7"/>
      <c r="AF136" s="7"/>
      <c r="AG136" s="7" t="str" cm="1">
        <f t="array" aca="1" ref="AG136" ca="1">IF(OR('Raw Data'!AG136="",LEN(TRIM('Raw Data'!AG136))=0,Validate_Empty!AG136&lt;&gt;"",Validate_Value!AG136&lt;&gt;""),"",IF('Raw Data'!AG136=SUM('Raw Data'!AA136:AF136),"",_xlfn.REGEXEXTRACT(CELL("address",AG136), "\$([A-Z]+)\$[0-9]+")))</f>
        <v/>
      </c>
      <c r="AH136" s="7" t="str" cm="1">
        <f t="array" aca="1" ref="AH136" ca="1">IF(OR('Raw Data'!AH136="",LEN(TRIM('Raw Data'!AH136))=0,Validate_Empty!AH136&lt;&gt;"",Validate_Value!AH136&lt;&gt;""),"",IF(Configuration!$G$2 = Configuration!$I$2,"",_xlfn.REGEXEXTRACT(CELL("address",AH136), "\$([A-Z]+)\$[0-9]+")))</f>
        <v/>
      </c>
      <c r="AI136" s="7" t="str" cm="1">
        <f t="array" aca="1" ref="AI136" ca="1">IF(OR('Raw Data'!AI136="",LEN(TRIM('Raw Data'!AI136))=0,Validate_Empty!AI136&lt;&gt;"",Validate_Value!AI136&lt;&gt;""),"",IF(Configuration!$H$2 = Configuration!$J$2,"",_xlfn.REGEXEXTRACT(CELL("address",AI136), "\$([A-Z]+)\$[0-9]+")))</f>
        <v/>
      </c>
      <c r="AJ136" s="7"/>
      <c r="AK136" s="7"/>
      <c r="AL136" s="7"/>
      <c r="AM136" s="7"/>
      <c r="AN136" s="7"/>
      <c r="AO136" s="7"/>
      <c r="AP136" s="7" t="str" cm="1">
        <f t="array" aca="1" ref="AP136" ca="1">IF(OR('Raw Data'!AP136="",LEN(TRIM('Raw Data'!AP136))=0,Validate_Empty!AP136&lt;&gt;"",Validate_Value!AP136&lt;&gt;""),"",IF('Raw Data'!AP136=SUM('Raw Data'!AK136:AO136),"",_xlfn.REGEXEXTRACT(CELL("address",AP136), "\$([A-Z]+)\$[0-9]+")))</f>
        <v/>
      </c>
    </row>
    <row r="137" spans="2:42" x14ac:dyDescent="0.25">
      <c r="B137" s="7"/>
      <c r="C137" s="7"/>
      <c r="D137" s="7"/>
      <c r="E137" s="7"/>
      <c r="F137" s="7"/>
      <c r="G137" s="7"/>
      <c r="H137" s="7"/>
      <c r="I137" s="7"/>
      <c r="J137" s="7" t="str" cm="1">
        <f t="array" aca="1" ref="J137" ca="1">IF(OR('Raw Data'!J137="",LEN(TRIM('Raw Data'!J137))=0,Validate_Empty!J137&lt;&gt;"",Validate_Value!J137&lt;&gt;""),"",IF('Raw Data'!J137=SUM('Raw Data'!K137:N137),"",_xlfn.REGEXEXTRACT(CELL("address",J137), "\$([A-Z]+)\$[0-9]+")))</f>
        <v/>
      </c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 t="str" cm="1">
        <f t="array" aca="1" ref="Z137" ca="1">IF(OR('Raw Data'!Z137="",LEN(TRIM('Raw Data'!Z137))=0,Validate_Empty!Z137&lt;&gt;"",Validate_Value!Z137&lt;&gt;""),"",IF('Raw Data'!Z137=SUM('Raw Data'!T137:Y137),"",_xlfn.REGEXEXTRACT(CELL("address",Z137), "\$([A-Z]+)\$[0-9]+")))</f>
        <v/>
      </c>
      <c r="AA137" s="7"/>
      <c r="AB137" s="7"/>
      <c r="AC137" s="7"/>
      <c r="AD137" s="7"/>
      <c r="AE137" s="7"/>
      <c r="AF137" s="7"/>
      <c r="AG137" s="7" t="str" cm="1">
        <f t="array" aca="1" ref="AG137" ca="1">IF(OR('Raw Data'!AG137="",LEN(TRIM('Raw Data'!AG137))=0,Validate_Empty!AG137&lt;&gt;"",Validate_Value!AG137&lt;&gt;""),"",IF('Raw Data'!AG137=SUM('Raw Data'!AA137:AF137),"",_xlfn.REGEXEXTRACT(CELL("address",AG137), "\$([A-Z]+)\$[0-9]+")))</f>
        <v/>
      </c>
      <c r="AH137" s="7" t="str" cm="1">
        <f t="array" aca="1" ref="AH137" ca="1">IF(OR('Raw Data'!AH137="",LEN(TRIM('Raw Data'!AH137))=0,Validate_Empty!AH137&lt;&gt;"",Validate_Value!AH137&lt;&gt;""),"",IF(Configuration!$G$2 = Configuration!$I$2,"",_xlfn.REGEXEXTRACT(CELL("address",AH137), "\$([A-Z]+)\$[0-9]+")))</f>
        <v/>
      </c>
      <c r="AI137" s="7" t="str" cm="1">
        <f t="array" aca="1" ref="AI137" ca="1">IF(OR('Raw Data'!AI137="",LEN(TRIM('Raw Data'!AI137))=0,Validate_Empty!AI137&lt;&gt;"",Validate_Value!AI137&lt;&gt;""),"",IF(Configuration!$H$2 = Configuration!$J$2,"",_xlfn.REGEXEXTRACT(CELL("address",AI137), "\$([A-Z]+)\$[0-9]+")))</f>
        <v/>
      </c>
      <c r="AJ137" s="7"/>
      <c r="AK137" s="7"/>
      <c r="AL137" s="7"/>
      <c r="AM137" s="7"/>
      <c r="AN137" s="7"/>
      <c r="AO137" s="7"/>
      <c r="AP137" s="7" t="str" cm="1">
        <f t="array" aca="1" ref="AP137" ca="1">IF(OR('Raw Data'!AP137="",LEN(TRIM('Raw Data'!AP137))=0,Validate_Empty!AP137&lt;&gt;"",Validate_Value!AP137&lt;&gt;""),"",IF('Raw Data'!AP137=SUM('Raw Data'!AK137:AO137),"",_xlfn.REGEXEXTRACT(CELL("address",AP137), "\$([A-Z]+)\$[0-9]+")))</f>
        <v/>
      </c>
    </row>
    <row r="138" spans="2:42" x14ac:dyDescent="0.25">
      <c r="B138" s="7"/>
      <c r="C138" s="7"/>
      <c r="D138" s="7"/>
      <c r="E138" s="7"/>
      <c r="F138" s="7"/>
      <c r="G138" s="7"/>
      <c r="H138" s="7"/>
      <c r="I138" s="7"/>
      <c r="J138" s="7" t="str" cm="1">
        <f t="array" aca="1" ref="J138" ca="1">IF(OR('Raw Data'!J138="",LEN(TRIM('Raw Data'!J138))=0,Validate_Empty!J138&lt;&gt;"",Validate_Value!J138&lt;&gt;""),"",IF('Raw Data'!J138=SUM('Raw Data'!K138:N138),"",_xlfn.REGEXEXTRACT(CELL("address",J138), "\$([A-Z]+)\$[0-9]+")))</f>
        <v/>
      </c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 t="str" cm="1">
        <f t="array" aca="1" ref="Z138" ca="1">IF(OR('Raw Data'!Z138="",LEN(TRIM('Raw Data'!Z138))=0,Validate_Empty!Z138&lt;&gt;"",Validate_Value!Z138&lt;&gt;""),"",IF('Raw Data'!Z138=SUM('Raw Data'!T138:Y138),"",_xlfn.REGEXEXTRACT(CELL("address",Z138), "\$([A-Z]+)\$[0-9]+")))</f>
        <v/>
      </c>
      <c r="AA138" s="7"/>
      <c r="AB138" s="7"/>
      <c r="AC138" s="7"/>
      <c r="AD138" s="7"/>
      <c r="AE138" s="7"/>
      <c r="AF138" s="7"/>
      <c r="AG138" s="7" t="str" cm="1">
        <f t="array" aca="1" ref="AG138" ca="1">IF(OR('Raw Data'!AG138="",LEN(TRIM('Raw Data'!AG138))=0,Validate_Empty!AG138&lt;&gt;"",Validate_Value!AG138&lt;&gt;""),"",IF('Raw Data'!AG138=SUM('Raw Data'!AA138:AF138),"",_xlfn.REGEXEXTRACT(CELL("address",AG138), "\$([A-Z]+)\$[0-9]+")))</f>
        <v/>
      </c>
      <c r="AH138" s="7" t="str" cm="1">
        <f t="array" aca="1" ref="AH138" ca="1">IF(OR('Raw Data'!AH138="",LEN(TRIM('Raw Data'!AH138))=0,Validate_Empty!AH138&lt;&gt;"",Validate_Value!AH138&lt;&gt;""),"",IF(Configuration!$G$2 = Configuration!$I$2,"",_xlfn.REGEXEXTRACT(CELL("address",AH138), "\$([A-Z]+)\$[0-9]+")))</f>
        <v/>
      </c>
      <c r="AI138" s="7" t="str" cm="1">
        <f t="array" aca="1" ref="AI138" ca="1">IF(OR('Raw Data'!AI138="",LEN(TRIM('Raw Data'!AI138))=0,Validate_Empty!AI138&lt;&gt;"",Validate_Value!AI138&lt;&gt;""),"",IF(Configuration!$H$2 = Configuration!$J$2,"",_xlfn.REGEXEXTRACT(CELL("address",AI138), "\$([A-Z]+)\$[0-9]+")))</f>
        <v/>
      </c>
      <c r="AJ138" s="7"/>
      <c r="AK138" s="7"/>
      <c r="AL138" s="7"/>
      <c r="AM138" s="7"/>
      <c r="AN138" s="7"/>
      <c r="AO138" s="7"/>
      <c r="AP138" s="7" t="str" cm="1">
        <f t="array" aca="1" ref="AP138" ca="1">IF(OR('Raw Data'!AP138="",LEN(TRIM('Raw Data'!AP138))=0,Validate_Empty!AP138&lt;&gt;"",Validate_Value!AP138&lt;&gt;""),"",IF('Raw Data'!AP138=SUM('Raw Data'!AK138:AO138),"",_xlfn.REGEXEXTRACT(CELL("address",AP138), "\$([A-Z]+)\$[0-9]+")))</f>
        <v/>
      </c>
    </row>
    <row r="139" spans="2:42" x14ac:dyDescent="0.25">
      <c r="B139" s="7"/>
      <c r="C139" s="7"/>
      <c r="D139" s="7"/>
      <c r="E139" s="7"/>
      <c r="F139" s="7"/>
      <c r="G139" s="7"/>
      <c r="H139" s="7"/>
      <c r="I139" s="7"/>
      <c r="J139" s="7" t="str" cm="1">
        <f t="array" aca="1" ref="J139" ca="1">IF(OR('Raw Data'!J139="",LEN(TRIM('Raw Data'!J139))=0,Validate_Empty!J139&lt;&gt;"",Validate_Value!J139&lt;&gt;""),"",IF('Raw Data'!J139=SUM('Raw Data'!K139:N139),"",_xlfn.REGEXEXTRACT(CELL("address",J139), "\$([A-Z]+)\$[0-9]+")))</f>
        <v/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 t="str" cm="1">
        <f t="array" aca="1" ref="Z139" ca="1">IF(OR('Raw Data'!Z139="",LEN(TRIM('Raw Data'!Z139))=0,Validate_Empty!Z139&lt;&gt;"",Validate_Value!Z139&lt;&gt;""),"",IF('Raw Data'!Z139=SUM('Raw Data'!T139:Y139),"",_xlfn.REGEXEXTRACT(CELL("address",Z139), "\$([A-Z]+)\$[0-9]+")))</f>
        <v/>
      </c>
      <c r="AA139" s="7"/>
      <c r="AB139" s="7"/>
      <c r="AC139" s="7"/>
      <c r="AD139" s="7"/>
      <c r="AE139" s="7"/>
      <c r="AF139" s="7"/>
      <c r="AG139" s="7" t="str" cm="1">
        <f t="array" aca="1" ref="AG139" ca="1">IF(OR('Raw Data'!AG139="",LEN(TRIM('Raw Data'!AG139))=0,Validate_Empty!AG139&lt;&gt;"",Validate_Value!AG139&lt;&gt;""),"",IF('Raw Data'!AG139=SUM('Raw Data'!AA139:AF139),"",_xlfn.REGEXEXTRACT(CELL("address",AG139), "\$([A-Z]+)\$[0-9]+")))</f>
        <v/>
      </c>
      <c r="AH139" s="7" t="str" cm="1">
        <f t="array" aca="1" ref="AH139" ca="1">IF(OR('Raw Data'!AH139="",LEN(TRIM('Raw Data'!AH139))=0,Validate_Empty!AH139&lt;&gt;"",Validate_Value!AH139&lt;&gt;""),"",IF(Configuration!$G$2 = Configuration!$I$2,"",_xlfn.REGEXEXTRACT(CELL("address",AH139), "\$([A-Z]+)\$[0-9]+")))</f>
        <v/>
      </c>
      <c r="AI139" s="7" t="str" cm="1">
        <f t="array" aca="1" ref="AI139" ca="1">IF(OR('Raw Data'!AI139="",LEN(TRIM('Raw Data'!AI139))=0,Validate_Empty!AI139&lt;&gt;"",Validate_Value!AI139&lt;&gt;""),"",IF(Configuration!$H$2 = Configuration!$J$2,"",_xlfn.REGEXEXTRACT(CELL("address",AI139), "\$([A-Z]+)\$[0-9]+")))</f>
        <v/>
      </c>
      <c r="AJ139" s="7"/>
      <c r="AK139" s="7"/>
      <c r="AL139" s="7"/>
      <c r="AM139" s="7"/>
      <c r="AN139" s="7"/>
      <c r="AO139" s="7"/>
      <c r="AP139" s="7" t="str" cm="1">
        <f t="array" aca="1" ref="AP139" ca="1">IF(OR('Raw Data'!AP139="",LEN(TRIM('Raw Data'!AP139))=0,Validate_Empty!AP139&lt;&gt;"",Validate_Value!AP139&lt;&gt;""),"",IF('Raw Data'!AP139=SUM('Raw Data'!AK139:AO139),"",_xlfn.REGEXEXTRACT(CELL("address",AP139), "\$([A-Z]+)\$[0-9]+")))</f>
        <v/>
      </c>
    </row>
    <row r="140" spans="2:42" x14ac:dyDescent="0.25">
      <c r="B140" s="7"/>
      <c r="C140" s="7"/>
      <c r="D140" s="7"/>
      <c r="E140" s="7"/>
      <c r="F140" s="7"/>
      <c r="G140" s="7"/>
      <c r="H140" s="7"/>
      <c r="I140" s="7"/>
      <c r="J140" s="7" t="str" cm="1">
        <f t="array" aca="1" ref="J140" ca="1">IF(OR('Raw Data'!J140="",LEN(TRIM('Raw Data'!J140))=0,Validate_Empty!J140&lt;&gt;"",Validate_Value!J140&lt;&gt;""),"",IF('Raw Data'!J140=SUM('Raw Data'!K140:N140),"",_xlfn.REGEXEXTRACT(CELL("address",J140), "\$([A-Z]+)\$[0-9]+")))</f>
        <v/>
      </c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 t="str" cm="1">
        <f t="array" aca="1" ref="Z140" ca="1">IF(OR('Raw Data'!Z140="",LEN(TRIM('Raw Data'!Z140))=0,Validate_Empty!Z140&lt;&gt;"",Validate_Value!Z140&lt;&gt;""),"",IF('Raw Data'!Z140=SUM('Raw Data'!T140:Y140),"",_xlfn.REGEXEXTRACT(CELL("address",Z140), "\$([A-Z]+)\$[0-9]+")))</f>
        <v/>
      </c>
      <c r="AA140" s="7"/>
      <c r="AB140" s="7"/>
      <c r="AC140" s="7"/>
      <c r="AD140" s="7"/>
      <c r="AE140" s="7"/>
      <c r="AF140" s="7"/>
      <c r="AG140" s="7" t="str" cm="1">
        <f t="array" aca="1" ref="AG140" ca="1">IF(OR('Raw Data'!AG140="",LEN(TRIM('Raw Data'!AG140))=0,Validate_Empty!AG140&lt;&gt;"",Validate_Value!AG140&lt;&gt;""),"",IF('Raw Data'!AG140=SUM('Raw Data'!AA140:AF140),"",_xlfn.REGEXEXTRACT(CELL("address",AG140), "\$([A-Z]+)\$[0-9]+")))</f>
        <v/>
      </c>
      <c r="AH140" s="7" t="str" cm="1">
        <f t="array" aca="1" ref="AH140" ca="1">IF(OR('Raw Data'!AH140="",LEN(TRIM('Raw Data'!AH140))=0,Validate_Empty!AH140&lt;&gt;"",Validate_Value!AH140&lt;&gt;""),"",IF(Configuration!$G$2 = Configuration!$I$2,"",_xlfn.REGEXEXTRACT(CELL("address",AH140), "\$([A-Z]+)\$[0-9]+")))</f>
        <v/>
      </c>
      <c r="AI140" s="7" t="str" cm="1">
        <f t="array" aca="1" ref="AI140" ca="1">IF(OR('Raw Data'!AI140="",LEN(TRIM('Raw Data'!AI140))=0,Validate_Empty!AI140&lt;&gt;"",Validate_Value!AI140&lt;&gt;""),"",IF(Configuration!$H$2 = Configuration!$J$2,"",_xlfn.REGEXEXTRACT(CELL("address",AI140), "\$([A-Z]+)\$[0-9]+")))</f>
        <v/>
      </c>
      <c r="AJ140" s="7"/>
      <c r="AK140" s="7"/>
      <c r="AL140" s="7"/>
      <c r="AM140" s="7"/>
      <c r="AN140" s="7"/>
      <c r="AO140" s="7"/>
      <c r="AP140" s="7" t="str" cm="1">
        <f t="array" aca="1" ref="AP140" ca="1">IF(OR('Raw Data'!AP140="",LEN(TRIM('Raw Data'!AP140))=0,Validate_Empty!AP140&lt;&gt;"",Validate_Value!AP140&lt;&gt;""),"",IF('Raw Data'!AP140=SUM('Raw Data'!AK140:AO140),"",_xlfn.REGEXEXTRACT(CELL("address",AP140), "\$([A-Z]+)\$[0-9]+")))</f>
        <v/>
      </c>
    </row>
    <row r="141" spans="2:42" x14ac:dyDescent="0.25">
      <c r="B141" s="7"/>
      <c r="C141" s="7"/>
      <c r="D141" s="7"/>
      <c r="E141" s="7"/>
      <c r="F141" s="7"/>
      <c r="G141" s="7"/>
      <c r="H141" s="7"/>
      <c r="I141" s="7"/>
      <c r="J141" s="7" t="str" cm="1">
        <f t="array" aca="1" ref="J141" ca="1">IF(OR('Raw Data'!J141="",LEN(TRIM('Raw Data'!J141))=0,Validate_Empty!J141&lt;&gt;"",Validate_Value!J141&lt;&gt;""),"",IF('Raw Data'!J141=SUM('Raw Data'!K141:N141),"",_xlfn.REGEXEXTRACT(CELL("address",J141), "\$([A-Z]+)\$[0-9]+")))</f>
        <v/>
      </c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 t="str" cm="1">
        <f t="array" aca="1" ref="Z141" ca="1">IF(OR('Raw Data'!Z141="",LEN(TRIM('Raw Data'!Z141))=0,Validate_Empty!Z141&lt;&gt;"",Validate_Value!Z141&lt;&gt;""),"",IF('Raw Data'!Z141=SUM('Raw Data'!T141:Y141),"",_xlfn.REGEXEXTRACT(CELL("address",Z141), "\$([A-Z]+)\$[0-9]+")))</f>
        <v/>
      </c>
      <c r="AA141" s="7"/>
      <c r="AB141" s="7"/>
      <c r="AC141" s="7"/>
      <c r="AD141" s="7"/>
      <c r="AE141" s="7"/>
      <c r="AF141" s="7"/>
      <c r="AG141" s="7" t="str" cm="1">
        <f t="array" aca="1" ref="AG141" ca="1">IF(OR('Raw Data'!AG141="",LEN(TRIM('Raw Data'!AG141))=0,Validate_Empty!AG141&lt;&gt;"",Validate_Value!AG141&lt;&gt;""),"",IF('Raw Data'!AG141=SUM('Raw Data'!AA141:AF141),"",_xlfn.REGEXEXTRACT(CELL("address",AG141), "\$([A-Z]+)\$[0-9]+")))</f>
        <v/>
      </c>
      <c r="AH141" s="7" t="str" cm="1">
        <f t="array" aca="1" ref="AH141" ca="1">IF(OR('Raw Data'!AH141="",LEN(TRIM('Raw Data'!AH141))=0,Validate_Empty!AH141&lt;&gt;"",Validate_Value!AH141&lt;&gt;""),"",IF(Configuration!$G$2 = Configuration!$I$2,"",_xlfn.REGEXEXTRACT(CELL("address",AH141), "\$([A-Z]+)\$[0-9]+")))</f>
        <v/>
      </c>
      <c r="AI141" s="7" t="str" cm="1">
        <f t="array" aca="1" ref="AI141" ca="1">IF(OR('Raw Data'!AI141="",LEN(TRIM('Raw Data'!AI141))=0,Validate_Empty!AI141&lt;&gt;"",Validate_Value!AI141&lt;&gt;""),"",IF(Configuration!$H$2 = Configuration!$J$2,"",_xlfn.REGEXEXTRACT(CELL("address",AI141), "\$([A-Z]+)\$[0-9]+")))</f>
        <v/>
      </c>
      <c r="AJ141" s="7"/>
      <c r="AK141" s="7"/>
      <c r="AL141" s="7"/>
      <c r="AM141" s="7"/>
      <c r="AN141" s="7"/>
      <c r="AO141" s="7"/>
      <c r="AP141" s="7" t="str" cm="1">
        <f t="array" aca="1" ref="AP141" ca="1">IF(OR('Raw Data'!AP141="",LEN(TRIM('Raw Data'!AP141))=0,Validate_Empty!AP141&lt;&gt;"",Validate_Value!AP141&lt;&gt;""),"",IF('Raw Data'!AP141=SUM('Raw Data'!AK141:AO141),"",_xlfn.REGEXEXTRACT(CELL("address",AP141), "\$([A-Z]+)\$[0-9]+")))</f>
        <v/>
      </c>
    </row>
    <row r="142" spans="2:42" x14ac:dyDescent="0.25">
      <c r="B142" s="7"/>
      <c r="C142" s="7"/>
      <c r="D142" s="7"/>
      <c r="E142" s="7"/>
      <c r="F142" s="7"/>
      <c r="G142" s="7"/>
      <c r="H142" s="7"/>
      <c r="I142" s="7"/>
      <c r="J142" s="7" t="str" cm="1">
        <f t="array" aca="1" ref="J142" ca="1">IF(OR('Raw Data'!J142="",LEN(TRIM('Raw Data'!J142))=0,Validate_Empty!J142&lt;&gt;"",Validate_Value!J142&lt;&gt;""),"",IF('Raw Data'!J142=SUM('Raw Data'!K142:N142),"",_xlfn.REGEXEXTRACT(CELL("address",J142), "\$([A-Z]+)\$[0-9]+")))</f>
        <v/>
      </c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 t="str" cm="1">
        <f t="array" aca="1" ref="Z142" ca="1">IF(OR('Raw Data'!Z142="",LEN(TRIM('Raw Data'!Z142))=0,Validate_Empty!Z142&lt;&gt;"",Validate_Value!Z142&lt;&gt;""),"",IF('Raw Data'!Z142=SUM('Raw Data'!T142:Y142),"",_xlfn.REGEXEXTRACT(CELL("address",Z142), "\$([A-Z]+)\$[0-9]+")))</f>
        <v/>
      </c>
      <c r="AA142" s="7"/>
      <c r="AB142" s="7"/>
      <c r="AC142" s="7"/>
      <c r="AD142" s="7"/>
      <c r="AE142" s="7"/>
      <c r="AF142" s="7"/>
      <c r="AG142" s="7" t="str" cm="1">
        <f t="array" aca="1" ref="AG142" ca="1">IF(OR('Raw Data'!AG142="",LEN(TRIM('Raw Data'!AG142))=0,Validate_Empty!AG142&lt;&gt;"",Validate_Value!AG142&lt;&gt;""),"",IF('Raw Data'!AG142=SUM('Raw Data'!AA142:AF142),"",_xlfn.REGEXEXTRACT(CELL("address",AG142), "\$([A-Z]+)\$[0-9]+")))</f>
        <v/>
      </c>
      <c r="AH142" s="7" t="str" cm="1">
        <f t="array" aca="1" ref="AH142" ca="1">IF(OR('Raw Data'!AH142="",LEN(TRIM('Raw Data'!AH142))=0,Validate_Empty!AH142&lt;&gt;"",Validate_Value!AH142&lt;&gt;""),"",IF(Configuration!$G$2 = Configuration!$I$2,"",_xlfn.REGEXEXTRACT(CELL("address",AH142), "\$([A-Z]+)\$[0-9]+")))</f>
        <v/>
      </c>
      <c r="AI142" s="7" t="str" cm="1">
        <f t="array" aca="1" ref="AI142" ca="1">IF(OR('Raw Data'!AI142="",LEN(TRIM('Raw Data'!AI142))=0,Validate_Empty!AI142&lt;&gt;"",Validate_Value!AI142&lt;&gt;""),"",IF(Configuration!$H$2 = Configuration!$J$2,"",_xlfn.REGEXEXTRACT(CELL("address",AI142), "\$([A-Z]+)\$[0-9]+")))</f>
        <v/>
      </c>
      <c r="AJ142" s="7"/>
      <c r="AK142" s="7"/>
      <c r="AL142" s="7"/>
      <c r="AM142" s="7"/>
      <c r="AN142" s="7"/>
      <c r="AO142" s="7"/>
      <c r="AP142" s="7" t="str" cm="1">
        <f t="array" aca="1" ref="AP142" ca="1">IF(OR('Raw Data'!AP142="",LEN(TRIM('Raw Data'!AP142))=0,Validate_Empty!AP142&lt;&gt;"",Validate_Value!AP142&lt;&gt;""),"",IF('Raw Data'!AP142=SUM('Raw Data'!AK142:AO142),"",_xlfn.REGEXEXTRACT(CELL("address",AP142), "\$([A-Z]+)\$[0-9]+")))</f>
        <v/>
      </c>
    </row>
    <row r="143" spans="2:42" x14ac:dyDescent="0.25">
      <c r="B143" s="7"/>
      <c r="C143" s="7"/>
      <c r="D143" s="7"/>
      <c r="E143" s="7"/>
      <c r="F143" s="7"/>
      <c r="G143" s="7"/>
      <c r="H143" s="7"/>
      <c r="I143" s="7"/>
      <c r="J143" s="7" t="str" cm="1">
        <f t="array" aca="1" ref="J143" ca="1">IF(OR('Raw Data'!J143="",LEN(TRIM('Raw Data'!J143))=0,Validate_Empty!J143&lt;&gt;"",Validate_Value!J143&lt;&gt;""),"",IF('Raw Data'!J143=SUM('Raw Data'!K143:N143),"",_xlfn.REGEXEXTRACT(CELL("address",J143), "\$([A-Z]+)\$[0-9]+")))</f>
        <v/>
      </c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 t="str" cm="1">
        <f t="array" aca="1" ref="Z143" ca="1">IF(OR('Raw Data'!Z143="",LEN(TRIM('Raw Data'!Z143))=0,Validate_Empty!Z143&lt;&gt;"",Validate_Value!Z143&lt;&gt;""),"",IF('Raw Data'!Z143=SUM('Raw Data'!T143:Y143),"",_xlfn.REGEXEXTRACT(CELL("address",Z143), "\$([A-Z]+)\$[0-9]+")))</f>
        <v/>
      </c>
      <c r="AA143" s="7"/>
      <c r="AB143" s="7"/>
      <c r="AC143" s="7"/>
      <c r="AD143" s="7"/>
      <c r="AE143" s="7"/>
      <c r="AF143" s="7"/>
      <c r="AG143" s="7" t="str" cm="1">
        <f t="array" aca="1" ref="AG143" ca="1">IF(OR('Raw Data'!AG143="",LEN(TRIM('Raw Data'!AG143))=0,Validate_Empty!AG143&lt;&gt;"",Validate_Value!AG143&lt;&gt;""),"",IF('Raw Data'!AG143=SUM('Raw Data'!AA143:AF143),"",_xlfn.REGEXEXTRACT(CELL("address",AG143), "\$([A-Z]+)\$[0-9]+")))</f>
        <v/>
      </c>
      <c r="AH143" s="7" t="str" cm="1">
        <f t="array" aca="1" ref="AH143" ca="1">IF(OR('Raw Data'!AH143="",LEN(TRIM('Raw Data'!AH143))=0,Validate_Empty!AH143&lt;&gt;"",Validate_Value!AH143&lt;&gt;""),"",IF(Configuration!$G$2 = Configuration!$I$2,"",_xlfn.REGEXEXTRACT(CELL("address",AH143), "\$([A-Z]+)\$[0-9]+")))</f>
        <v/>
      </c>
      <c r="AI143" s="7" t="str" cm="1">
        <f t="array" aca="1" ref="AI143" ca="1">IF(OR('Raw Data'!AI143="",LEN(TRIM('Raw Data'!AI143))=0,Validate_Empty!AI143&lt;&gt;"",Validate_Value!AI143&lt;&gt;""),"",IF(Configuration!$H$2 = Configuration!$J$2,"",_xlfn.REGEXEXTRACT(CELL("address",AI143), "\$([A-Z]+)\$[0-9]+")))</f>
        <v/>
      </c>
      <c r="AJ143" s="7"/>
      <c r="AK143" s="7"/>
      <c r="AL143" s="7"/>
      <c r="AM143" s="7"/>
      <c r="AN143" s="7"/>
      <c r="AO143" s="7"/>
      <c r="AP143" s="7" t="str" cm="1">
        <f t="array" aca="1" ref="AP143" ca="1">IF(OR('Raw Data'!AP143="",LEN(TRIM('Raw Data'!AP143))=0,Validate_Empty!AP143&lt;&gt;"",Validate_Value!AP143&lt;&gt;""),"",IF('Raw Data'!AP143=SUM('Raw Data'!AK143:AO143),"",_xlfn.REGEXEXTRACT(CELL("address",AP143), "\$([A-Z]+)\$[0-9]+")))</f>
        <v/>
      </c>
    </row>
    <row r="144" spans="2:42" x14ac:dyDescent="0.25">
      <c r="B144" s="7"/>
      <c r="C144" s="7"/>
      <c r="D144" s="7"/>
      <c r="E144" s="7"/>
      <c r="F144" s="7"/>
      <c r="G144" s="7"/>
      <c r="H144" s="7"/>
      <c r="I144" s="7"/>
      <c r="J144" s="7" t="str" cm="1">
        <f t="array" aca="1" ref="J144" ca="1">IF(OR('Raw Data'!J144="",LEN(TRIM('Raw Data'!J144))=0,Validate_Empty!J144&lt;&gt;"",Validate_Value!J144&lt;&gt;""),"",IF('Raw Data'!J144=SUM('Raw Data'!K144:N144),"",_xlfn.REGEXEXTRACT(CELL("address",J144), "\$([A-Z]+)\$[0-9]+")))</f>
        <v/>
      </c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 t="str" cm="1">
        <f t="array" aca="1" ref="Z144" ca="1">IF(OR('Raw Data'!Z144="",LEN(TRIM('Raw Data'!Z144))=0,Validate_Empty!Z144&lt;&gt;"",Validate_Value!Z144&lt;&gt;""),"",IF('Raw Data'!Z144=SUM('Raw Data'!T144:Y144),"",_xlfn.REGEXEXTRACT(CELL("address",Z144), "\$([A-Z]+)\$[0-9]+")))</f>
        <v/>
      </c>
      <c r="AA144" s="7"/>
      <c r="AB144" s="7"/>
      <c r="AC144" s="7"/>
      <c r="AD144" s="7"/>
      <c r="AE144" s="7"/>
      <c r="AF144" s="7"/>
      <c r="AG144" s="7" t="str" cm="1">
        <f t="array" aca="1" ref="AG144" ca="1">IF(OR('Raw Data'!AG144="",LEN(TRIM('Raw Data'!AG144))=0,Validate_Empty!AG144&lt;&gt;"",Validate_Value!AG144&lt;&gt;""),"",IF('Raw Data'!AG144=SUM('Raw Data'!AA144:AF144),"",_xlfn.REGEXEXTRACT(CELL("address",AG144), "\$([A-Z]+)\$[0-9]+")))</f>
        <v/>
      </c>
      <c r="AH144" s="7" t="str" cm="1">
        <f t="array" aca="1" ref="AH144" ca="1">IF(OR('Raw Data'!AH144="",LEN(TRIM('Raw Data'!AH144))=0,Validate_Empty!AH144&lt;&gt;"",Validate_Value!AH144&lt;&gt;""),"",IF(Configuration!$G$2 = Configuration!$I$2,"",_xlfn.REGEXEXTRACT(CELL("address",AH144), "\$([A-Z]+)\$[0-9]+")))</f>
        <v/>
      </c>
      <c r="AI144" s="7" t="str" cm="1">
        <f t="array" aca="1" ref="AI144" ca="1">IF(OR('Raw Data'!AI144="",LEN(TRIM('Raw Data'!AI144))=0,Validate_Empty!AI144&lt;&gt;"",Validate_Value!AI144&lt;&gt;""),"",IF(Configuration!$H$2 = Configuration!$J$2,"",_xlfn.REGEXEXTRACT(CELL("address",AI144), "\$([A-Z]+)\$[0-9]+")))</f>
        <v/>
      </c>
      <c r="AJ144" s="7"/>
      <c r="AK144" s="7"/>
      <c r="AL144" s="7"/>
      <c r="AM144" s="7"/>
      <c r="AN144" s="7"/>
      <c r="AO144" s="7"/>
      <c r="AP144" s="7" t="str" cm="1">
        <f t="array" aca="1" ref="AP144" ca="1">IF(OR('Raw Data'!AP144="",LEN(TRIM('Raw Data'!AP144))=0,Validate_Empty!AP144&lt;&gt;"",Validate_Value!AP144&lt;&gt;""),"",IF('Raw Data'!AP144=SUM('Raw Data'!AK144:AO144),"",_xlfn.REGEXEXTRACT(CELL("address",AP144), "\$([A-Z]+)\$[0-9]+")))</f>
        <v/>
      </c>
    </row>
    <row r="145" spans="2:42" x14ac:dyDescent="0.25">
      <c r="B145" s="7"/>
      <c r="C145" s="7"/>
      <c r="D145" s="7"/>
      <c r="E145" s="7"/>
      <c r="F145" s="7"/>
      <c r="G145" s="7"/>
      <c r="H145" s="7"/>
      <c r="I145" s="7"/>
      <c r="J145" s="7" t="str" cm="1">
        <f t="array" aca="1" ref="J145" ca="1">IF(OR('Raw Data'!J145="",LEN(TRIM('Raw Data'!J145))=0,Validate_Empty!J145&lt;&gt;"",Validate_Value!J145&lt;&gt;""),"",IF('Raw Data'!J145=SUM('Raw Data'!K145:N145),"",_xlfn.REGEXEXTRACT(CELL("address",J145), "\$([A-Z]+)\$[0-9]+")))</f>
        <v/>
      </c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 t="str" cm="1">
        <f t="array" aca="1" ref="Z145" ca="1">IF(OR('Raw Data'!Z145="",LEN(TRIM('Raw Data'!Z145))=0,Validate_Empty!Z145&lt;&gt;"",Validate_Value!Z145&lt;&gt;""),"",IF('Raw Data'!Z145=SUM('Raw Data'!T145:Y145),"",_xlfn.REGEXEXTRACT(CELL("address",Z145), "\$([A-Z]+)\$[0-9]+")))</f>
        <v/>
      </c>
      <c r="AA145" s="7"/>
      <c r="AB145" s="7"/>
      <c r="AC145" s="7"/>
      <c r="AD145" s="7"/>
      <c r="AE145" s="7"/>
      <c r="AF145" s="7"/>
      <c r="AG145" s="7" t="str" cm="1">
        <f t="array" aca="1" ref="AG145" ca="1">IF(OR('Raw Data'!AG145="",LEN(TRIM('Raw Data'!AG145))=0,Validate_Empty!AG145&lt;&gt;"",Validate_Value!AG145&lt;&gt;""),"",IF('Raw Data'!AG145=SUM('Raw Data'!AA145:AF145),"",_xlfn.REGEXEXTRACT(CELL("address",AG145), "\$([A-Z]+)\$[0-9]+")))</f>
        <v/>
      </c>
      <c r="AH145" s="7" t="str" cm="1">
        <f t="array" aca="1" ref="AH145" ca="1">IF(OR('Raw Data'!AH145="",LEN(TRIM('Raw Data'!AH145))=0,Validate_Empty!AH145&lt;&gt;"",Validate_Value!AH145&lt;&gt;""),"",IF(Configuration!$G$2 = Configuration!$I$2,"",_xlfn.REGEXEXTRACT(CELL("address",AH145), "\$([A-Z]+)\$[0-9]+")))</f>
        <v/>
      </c>
      <c r="AI145" s="7" t="str" cm="1">
        <f t="array" aca="1" ref="AI145" ca="1">IF(OR('Raw Data'!AI145="",LEN(TRIM('Raw Data'!AI145))=0,Validate_Empty!AI145&lt;&gt;"",Validate_Value!AI145&lt;&gt;""),"",IF(Configuration!$H$2 = Configuration!$J$2,"",_xlfn.REGEXEXTRACT(CELL("address",AI145), "\$([A-Z]+)\$[0-9]+")))</f>
        <v/>
      </c>
      <c r="AJ145" s="7"/>
      <c r="AK145" s="7"/>
      <c r="AL145" s="7"/>
      <c r="AM145" s="7"/>
      <c r="AN145" s="7"/>
      <c r="AO145" s="7"/>
      <c r="AP145" s="7" t="str" cm="1">
        <f t="array" aca="1" ref="AP145" ca="1">IF(OR('Raw Data'!AP145="",LEN(TRIM('Raw Data'!AP145))=0,Validate_Empty!AP145&lt;&gt;"",Validate_Value!AP145&lt;&gt;""),"",IF('Raw Data'!AP145=SUM('Raw Data'!AK145:AO145),"",_xlfn.REGEXEXTRACT(CELL("address",AP145), "\$([A-Z]+)\$[0-9]+")))</f>
        <v/>
      </c>
    </row>
    <row r="146" spans="2:42" x14ac:dyDescent="0.25">
      <c r="B146" s="7"/>
      <c r="C146" s="7"/>
      <c r="D146" s="7"/>
      <c r="E146" s="7"/>
      <c r="F146" s="7"/>
      <c r="G146" s="7"/>
      <c r="H146" s="7"/>
      <c r="I146" s="7"/>
      <c r="J146" s="7" t="str" cm="1">
        <f t="array" aca="1" ref="J146" ca="1">IF(OR('Raw Data'!J146="",LEN(TRIM('Raw Data'!J146))=0,Validate_Empty!J146&lt;&gt;"",Validate_Value!J146&lt;&gt;""),"",IF('Raw Data'!J146=SUM('Raw Data'!K146:N146),"",_xlfn.REGEXEXTRACT(CELL("address",J146), "\$([A-Z]+)\$[0-9]+")))</f>
        <v/>
      </c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 t="str" cm="1">
        <f t="array" aca="1" ref="Z146" ca="1">IF(OR('Raw Data'!Z146="",LEN(TRIM('Raw Data'!Z146))=0,Validate_Empty!Z146&lt;&gt;"",Validate_Value!Z146&lt;&gt;""),"",IF('Raw Data'!Z146=SUM('Raw Data'!T146:Y146),"",_xlfn.REGEXEXTRACT(CELL("address",Z146), "\$([A-Z]+)\$[0-9]+")))</f>
        <v/>
      </c>
      <c r="AA146" s="7"/>
      <c r="AB146" s="7"/>
      <c r="AC146" s="7"/>
      <c r="AD146" s="7"/>
      <c r="AE146" s="7"/>
      <c r="AF146" s="7"/>
      <c r="AG146" s="7" t="str" cm="1">
        <f t="array" aca="1" ref="AG146" ca="1">IF(OR('Raw Data'!AG146="",LEN(TRIM('Raw Data'!AG146))=0,Validate_Empty!AG146&lt;&gt;"",Validate_Value!AG146&lt;&gt;""),"",IF('Raw Data'!AG146=SUM('Raw Data'!AA146:AF146),"",_xlfn.REGEXEXTRACT(CELL("address",AG146), "\$([A-Z]+)\$[0-9]+")))</f>
        <v/>
      </c>
      <c r="AH146" s="7" t="str" cm="1">
        <f t="array" aca="1" ref="AH146" ca="1">IF(OR('Raw Data'!AH146="",LEN(TRIM('Raw Data'!AH146))=0,Validate_Empty!AH146&lt;&gt;"",Validate_Value!AH146&lt;&gt;""),"",IF(Configuration!$G$2 = Configuration!$I$2,"",_xlfn.REGEXEXTRACT(CELL("address",AH146), "\$([A-Z]+)\$[0-9]+")))</f>
        <v/>
      </c>
      <c r="AI146" s="7" t="str" cm="1">
        <f t="array" aca="1" ref="AI146" ca="1">IF(OR('Raw Data'!AI146="",LEN(TRIM('Raw Data'!AI146))=0,Validate_Empty!AI146&lt;&gt;"",Validate_Value!AI146&lt;&gt;""),"",IF(Configuration!$H$2 = Configuration!$J$2,"",_xlfn.REGEXEXTRACT(CELL("address",AI146), "\$([A-Z]+)\$[0-9]+")))</f>
        <v/>
      </c>
      <c r="AJ146" s="7"/>
      <c r="AK146" s="7"/>
      <c r="AL146" s="7"/>
      <c r="AM146" s="7"/>
      <c r="AN146" s="7"/>
      <c r="AO146" s="7"/>
      <c r="AP146" s="7" t="str" cm="1">
        <f t="array" aca="1" ref="AP146" ca="1">IF(OR('Raw Data'!AP146="",LEN(TRIM('Raw Data'!AP146))=0,Validate_Empty!AP146&lt;&gt;"",Validate_Value!AP146&lt;&gt;""),"",IF('Raw Data'!AP146=SUM('Raw Data'!AK146:AO146),"",_xlfn.REGEXEXTRACT(CELL("address",AP146), "\$([A-Z]+)\$[0-9]+")))</f>
        <v/>
      </c>
    </row>
    <row r="147" spans="2:42" x14ac:dyDescent="0.25">
      <c r="B147" s="7"/>
      <c r="C147" s="7"/>
      <c r="D147" s="7"/>
      <c r="E147" s="7"/>
      <c r="F147" s="7"/>
      <c r="G147" s="7"/>
      <c r="H147" s="7"/>
      <c r="I147" s="7"/>
      <c r="J147" s="7" t="str" cm="1">
        <f t="array" aca="1" ref="J147" ca="1">IF(OR('Raw Data'!J147="",LEN(TRIM('Raw Data'!J147))=0,Validate_Empty!J147&lt;&gt;"",Validate_Value!J147&lt;&gt;""),"",IF('Raw Data'!J147=SUM('Raw Data'!K147:N147),"",_xlfn.REGEXEXTRACT(CELL("address",J147), "\$([A-Z]+)\$[0-9]+")))</f>
        <v/>
      </c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 t="str" cm="1">
        <f t="array" aca="1" ref="Z147" ca="1">IF(OR('Raw Data'!Z147="",LEN(TRIM('Raw Data'!Z147))=0,Validate_Empty!Z147&lt;&gt;"",Validate_Value!Z147&lt;&gt;""),"",IF('Raw Data'!Z147=SUM('Raw Data'!T147:Y147),"",_xlfn.REGEXEXTRACT(CELL("address",Z147), "\$([A-Z]+)\$[0-9]+")))</f>
        <v/>
      </c>
      <c r="AA147" s="7"/>
      <c r="AB147" s="7"/>
      <c r="AC147" s="7"/>
      <c r="AD147" s="7"/>
      <c r="AE147" s="7"/>
      <c r="AF147" s="7"/>
      <c r="AG147" s="7" t="str" cm="1">
        <f t="array" aca="1" ref="AG147" ca="1">IF(OR('Raw Data'!AG147="",LEN(TRIM('Raw Data'!AG147))=0,Validate_Empty!AG147&lt;&gt;"",Validate_Value!AG147&lt;&gt;""),"",IF('Raw Data'!AG147=SUM('Raw Data'!AA147:AF147),"",_xlfn.REGEXEXTRACT(CELL("address",AG147), "\$([A-Z]+)\$[0-9]+")))</f>
        <v/>
      </c>
      <c r="AH147" s="7" t="str" cm="1">
        <f t="array" aca="1" ref="AH147" ca="1">IF(OR('Raw Data'!AH147="",LEN(TRIM('Raw Data'!AH147))=0,Validate_Empty!AH147&lt;&gt;"",Validate_Value!AH147&lt;&gt;""),"",IF(Configuration!$G$2 = Configuration!$I$2,"",_xlfn.REGEXEXTRACT(CELL("address",AH147), "\$([A-Z]+)\$[0-9]+")))</f>
        <v/>
      </c>
      <c r="AI147" s="7" t="str" cm="1">
        <f t="array" aca="1" ref="AI147" ca="1">IF(OR('Raw Data'!AI147="",LEN(TRIM('Raw Data'!AI147))=0,Validate_Empty!AI147&lt;&gt;"",Validate_Value!AI147&lt;&gt;""),"",IF(Configuration!$H$2 = Configuration!$J$2,"",_xlfn.REGEXEXTRACT(CELL("address",AI147), "\$([A-Z]+)\$[0-9]+")))</f>
        <v/>
      </c>
      <c r="AJ147" s="7"/>
      <c r="AK147" s="7"/>
      <c r="AL147" s="7"/>
      <c r="AM147" s="7"/>
      <c r="AN147" s="7"/>
      <c r="AO147" s="7"/>
      <c r="AP147" s="7" t="str" cm="1">
        <f t="array" aca="1" ref="AP147" ca="1">IF(OR('Raw Data'!AP147="",LEN(TRIM('Raw Data'!AP147))=0,Validate_Empty!AP147&lt;&gt;"",Validate_Value!AP147&lt;&gt;""),"",IF('Raw Data'!AP147=SUM('Raw Data'!AK147:AO147),"",_xlfn.REGEXEXTRACT(CELL("address",AP147), "\$([A-Z]+)\$[0-9]+")))</f>
        <v/>
      </c>
    </row>
    <row r="148" spans="2:42" x14ac:dyDescent="0.25">
      <c r="B148" s="7"/>
      <c r="C148" s="7"/>
      <c r="D148" s="7"/>
      <c r="E148" s="7"/>
      <c r="F148" s="7"/>
      <c r="G148" s="7"/>
      <c r="H148" s="7"/>
      <c r="I148" s="7"/>
      <c r="J148" s="7" t="str" cm="1">
        <f t="array" aca="1" ref="J148" ca="1">IF(OR('Raw Data'!J148="",LEN(TRIM('Raw Data'!J148))=0,Validate_Empty!J148&lt;&gt;"",Validate_Value!J148&lt;&gt;""),"",IF('Raw Data'!J148=SUM('Raw Data'!K148:N148),"",_xlfn.REGEXEXTRACT(CELL("address",J148), "\$([A-Z]+)\$[0-9]+")))</f>
        <v/>
      </c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 t="str" cm="1">
        <f t="array" aca="1" ref="Z148" ca="1">IF(OR('Raw Data'!Z148="",LEN(TRIM('Raw Data'!Z148))=0,Validate_Empty!Z148&lt;&gt;"",Validate_Value!Z148&lt;&gt;""),"",IF('Raw Data'!Z148=SUM('Raw Data'!T148:Y148),"",_xlfn.REGEXEXTRACT(CELL("address",Z148), "\$([A-Z]+)\$[0-9]+")))</f>
        <v/>
      </c>
      <c r="AA148" s="7"/>
      <c r="AB148" s="7"/>
      <c r="AC148" s="7"/>
      <c r="AD148" s="7"/>
      <c r="AE148" s="7"/>
      <c r="AF148" s="7"/>
      <c r="AG148" s="7" t="str" cm="1">
        <f t="array" aca="1" ref="AG148" ca="1">IF(OR('Raw Data'!AG148="",LEN(TRIM('Raw Data'!AG148))=0,Validate_Empty!AG148&lt;&gt;"",Validate_Value!AG148&lt;&gt;""),"",IF('Raw Data'!AG148=SUM('Raw Data'!AA148:AF148),"",_xlfn.REGEXEXTRACT(CELL("address",AG148), "\$([A-Z]+)\$[0-9]+")))</f>
        <v/>
      </c>
      <c r="AH148" s="7" t="str" cm="1">
        <f t="array" aca="1" ref="AH148" ca="1">IF(OR('Raw Data'!AH148="",LEN(TRIM('Raw Data'!AH148))=0,Validate_Empty!AH148&lt;&gt;"",Validate_Value!AH148&lt;&gt;""),"",IF(Configuration!$G$2 = Configuration!$I$2,"",_xlfn.REGEXEXTRACT(CELL("address",AH148), "\$([A-Z]+)\$[0-9]+")))</f>
        <v/>
      </c>
      <c r="AI148" s="7" t="str" cm="1">
        <f t="array" aca="1" ref="AI148" ca="1">IF(OR('Raw Data'!AI148="",LEN(TRIM('Raw Data'!AI148))=0,Validate_Empty!AI148&lt;&gt;"",Validate_Value!AI148&lt;&gt;""),"",IF(Configuration!$H$2 = Configuration!$J$2,"",_xlfn.REGEXEXTRACT(CELL("address",AI148), "\$([A-Z]+)\$[0-9]+")))</f>
        <v/>
      </c>
      <c r="AJ148" s="7"/>
      <c r="AK148" s="7"/>
      <c r="AL148" s="7"/>
      <c r="AM148" s="7"/>
      <c r="AN148" s="7"/>
      <c r="AO148" s="7"/>
      <c r="AP148" s="7" t="str" cm="1">
        <f t="array" aca="1" ref="AP148" ca="1">IF(OR('Raw Data'!AP148="",LEN(TRIM('Raw Data'!AP148))=0,Validate_Empty!AP148&lt;&gt;"",Validate_Value!AP148&lt;&gt;""),"",IF('Raw Data'!AP148=SUM('Raw Data'!AK148:AO148),"",_xlfn.REGEXEXTRACT(CELL("address",AP148), "\$([A-Z]+)\$[0-9]+")))</f>
        <v/>
      </c>
    </row>
    <row r="149" spans="2:42" x14ac:dyDescent="0.25">
      <c r="B149" s="7"/>
      <c r="C149" s="7"/>
      <c r="D149" s="7"/>
      <c r="E149" s="7"/>
      <c r="F149" s="7"/>
      <c r="G149" s="7"/>
      <c r="H149" s="7"/>
      <c r="I149" s="7"/>
      <c r="J149" s="7" t="str" cm="1">
        <f t="array" aca="1" ref="J149" ca="1">IF(OR('Raw Data'!J149="",LEN(TRIM('Raw Data'!J149))=0,Validate_Empty!J149&lt;&gt;"",Validate_Value!J149&lt;&gt;""),"",IF('Raw Data'!J149=SUM('Raw Data'!K149:N149),"",_xlfn.REGEXEXTRACT(CELL("address",J149), "\$([A-Z]+)\$[0-9]+")))</f>
        <v/>
      </c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 t="str" cm="1">
        <f t="array" aca="1" ref="Z149" ca="1">IF(OR('Raw Data'!Z149="",LEN(TRIM('Raw Data'!Z149))=0,Validate_Empty!Z149&lt;&gt;"",Validate_Value!Z149&lt;&gt;""),"",IF('Raw Data'!Z149=SUM('Raw Data'!T149:Y149),"",_xlfn.REGEXEXTRACT(CELL("address",Z149), "\$([A-Z]+)\$[0-9]+")))</f>
        <v/>
      </c>
      <c r="AA149" s="7"/>
      <c r="AB149" s="7"/>
      <c r="AC149" s="7"/>
      <c r="AD149" s="7"/>
      <c r="AE149" s="7"/>
      <c r="AF149" s="7"/>
      <c r="AG149" s="7" t="str" cm="1">
        <f t="array" aca="1" ref="AG149" ca="1">IF(OR('Raw Data'!AG149="",LEN(TRIM('Raw Data'!AG149))=0,Validate_Empty!AG149&lt;&gt;"",Validate_Value!AG149&lt;&gt;""),"",IF('Raw Data'!AG149=SUM('Raw Data'!AA149:AF149),"",_xlfn.REGEXEXTRACT(CELL("address",AG149), "\$([A-Z]+)\$[0-9]+")))</f>
        <v/>
      </c>
      <c r="AH149" s="7" t="str" cm="1">
        <f t="array" aca="1" ref="AH149" ca="1">IF(OR('Raw Data'!AH149="",LEN(TRIM('Raw Data'!AH149))=0,Validate_Empty!AH149&lt;&gt;"",Validate_Value!AH149&lt;&gt;""),"",IF(Configuration!$G$2 = Configuration!$I$2,"",_xlfn.REGEXEXTRACT(CELL("address",AH149), "\$([A-Z]+)\$[0-9]+")))</f>
        <v/>
      </c>
      <c r="AI149" s="7" t="str" cm="1">
        <f t="array" aca="1" ref="AI149" ca="1">IF(OR('Raw Data'!AI149="",LEN(TRIM('Raw Data'!AI149))=0,Validate_Empty!AI149&lt;&gt;"",Validate_Value!AI149&lt;&gt;""),"",IF(Configuration!$H$2 = Configuration!$J$2,"",_xlfn.REGEXEXTRACT(CELL("address",AI149), "\$([A-Z]+)\$[0-9]+")))</f>
        <v/>
      </c>
      <c r="AJ149" s="7"/>
      <c r="AK149" s="7"/>
      <c r="AL149" s="7"/>
      <c r="AM149" s="7"/>
      <c r="AN149" s="7"/>
      <c r="AO149" s="7"/>
      <c r="AP149" s="7" t="str" cm="1">
        <f t="array" aca="1" ref="AP149" ca="1">IF(OR('Raw Data'!AP149="",LEN(TRIM('Raw Data'!AP149))=0,Validate_Empty!AP149&lt;&gt;"",Validate_Value!AP149&lt;&gt;""),"",IF('Raw Data'!AP149=SUM('Raw Data'!AK149:AO149),"",_xlfn.REGEXEXTRACT(CELL("address",AP149), "\$([A-Z]+)\$[0-9]+")))</f>
        <v/>
      </c>
    </row>
    <row r="150" spans="2:42" x14ac:dyDescent="0.25">
      <c r="B150" s="7"/>
      <c r="C150" s="7"/>
      <c r="D150" s="7"/>
      <c r="E150" s="7"/>
      <c r="F150" s="7"/>
      <c r="G150" s="7"/>
      <c r="H150" s="7"/>
      <c r="I150" s="7"/>
      <c r="J150" s="7" t="str" cm="1">
        <f t="array" aca="1" ref="J150" ca="1">IF(OR('Raw Data'!J150="",LEN(TRIM('Raw Data'!J150))=0,Validate_Empty!J150&lt;&gt;"",Validate_Value!J150&lt;&gt;""),"",IF('Raw Data'!J150=SUM('Raw Data'!K150:N150),"",_xlfn.REGEXEXTRACT(CELL("address",J150), "\$([A-Z]+)\$[0-9]+")))</f>
        <v/>
      </c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 t="str" cm="1">
        <f t="array" aca="1" ref="Z150" ca="1">IF(OR('Raw Data'!Z150="",LEN(TRIM('Raw Data'!Z150))=0,Validate_Empty!Z150&lt;&gt;"",Validate_Value!Z150&lt;&gt;""),"",IF('Raw Data'!Z150=SUM('Raw Data'!T150:Y150),"",_xlfn.REGEXEXTRACT(CELL("address",Z150), "\$([A-Z]+)\$[0-9]+")))</f>
        <v/>
      </c>
      <c r="AA150" s="7"/>
      <c r="AB150" s="7"/>
      <c r="AC150" s="7"/>
      <c r="AD150" s="7"/>
      <c r="AE150" s="7"/>
      <c r="AF150" s="7"/>
      <c r="AG150" s="7" t="str" cm="1">
        <f t="array" aca="1" ref="AG150" ca="1">IF(OR('Raw Data'!AG150="",LEN(TRIM('Raw Data'!AG150))=0,Validate_Empty!AG150&lt;&gt;"",Validate_Value!AG150&lt;&gt;""),"",IF('Raw Data'!AG150=SUM('Raw Data'!AA150:AF150),"",_xlfn.REGEXEXTRACT(CELL("address",AG150), "\$([A-Z]+)\$[0-9]+")))</f>
        <v/>
      </c>
      <c r="AH150" s="7" t="str" cm="1">
        <f t="array" aca="1" ref="AH150" ca="1">IF(OR('Raw Data'!AH150="",LEN(TRIM('Raw Data'!AH150))=0,Validate_Empty!AH150&lt;&gt;"",Validate_Value!AH150&lt;&gt;""),"",IF(Configuration!$G$2 = Configuration!$I$2,"",_xlfn.REGEXEXTRACT(CELL("address",AH150), "\$([A-Z]+)\$[0-9]+")))</f>
        <v/>
      </c>
      <c r="AI150" s="7" t="str" cm="1">
        <f t="array" aca="1" ref="AI150" ca="1">IF(OR('Raw Data'!AI150="",LEN(TRIM('Raw Data'!AI150))=0,Validate_Empty!AI150&lt;&gt;"",Validate_Value!AI150&lt;&gt;""),"",IF(Configuration!$H$2 = Configuration!$J$2,"",_xlfn.REGEXEXTRACT(CELL("address",AI150), "\$([A-Z]+)\$[0-9]+")))</f>
        <v/>
      </c>
      <c r="AJ150" s="7"/>
      <c r="AK150" s="7"/>
      <c r="AL150" s="7"/>
      <c r="AM150" s="7"/>
      <c r="AN150" s="7"/>
      <c r="AO150" s="7"/>
      <c r="AP150" s="7" t="str" cm="1">
        <f t="array" aca="1" ref="AP150" ca="1">IF(OR('Raw Data'!AP150="",LEN(TRIM('Raw Data'!AP150))=0,Validate_Empty!AP150&lt;&gt;"",Validate_Value!AP150&lt;&gt;""),"",IF('Raw Data'!AP150=SUM('Raw Data'!AK150:AO150),"",_xlfn.REGEXEXTRACT(CELL("address",AP150), "\$([A-Z]+)\$[0-9]+")))</f>
        <v/>
      </c>
    </row>
    <row r="151" spans="2:42" x14ac:dyDescent="0.25">
      <c r="B151" s="7"/>
      <c r="C151" s="7"/>
      <c r="D151" s="7"/>
      <c r="E151" s="7"/>
      <c r="F151" s="7"/>
      <c r="G151" s="7"/>
      <c r="H151" s="7"/>
      <c r="I151" s="7"/>
      <c r="J151" s="7" t="str" cm="1">
        <f t="array" aca="1" ref="J151" ca="1">IF(OR('Raw Data'!J151="",LEN(TRIM('Raw Data'!J151))=0,Validate_Empty!J151&lt;&gt;"",Validate_Value!J151&lt;&gt;""),"",IF('Raw Data'!J151=SUM('Raw Data'!K151:N151),"",_xlfn.REGEXEXTRACT(CELL("address",J151), "\$([A-Z]+)\$[0-9]+")))</f>
        <v/>
      </c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 t="str" cm="1">
        <f t="array" aca="1" ref="Z151" ca="1">IF(OR('Raw Data'!Z151="",LEN(TRIM('Raw Data'!Z151))=0,Validate_Empty!Z151&lt;&gt;"",Validate_Value!Z151&lt;&gt;""),"",IF('Raw Data'!Z151=SUM('Raw Data'!T151:Y151),"",_xlfn.REGEXEXTRACT(CELL("address",Z151), "\$([A-Z]+)\$[0-9]+")))</f>
        <v/>
      </c>
      <c r="AA151" s="7"/>
      <c r="AB151" s="7"/>
      <c r="AC151" s="7"/>
      <c r="AD151" s="7"/>
      <c r="AE151" s="7"/>
      <c r="AF151" s="7"/>
      <c r="AG151" s="7" t="str" cm="1">
        <f t="array" aca="1" ref="AG151" ca="1">IF(OR('Raw Data'!AG151="",LEN(TRIM('Raw Data'!AG151))=0,Validate_Empty!AG151&lt;&gt;"",Validate_Value!AG151&lt;&gt;""),"",IF('Raw Data'!AG151=SUM('Raw Data'!AA151:AF151),"",_xlfn.REGEXEXTRACT(CELL("address",AG151), "\$([A-Z]+)\$[0-9]+")))</f>
        <v/>
      </c>
      <c r="AH151" s="7" t="str" cm="1">
        <f t="array" aca="1" ref="AH151" ca="1">IF(OR('Raw Data'!AH151="",LEN(TRIM('Raw Data'!AH151))=0,Validate_Empty!AH151&lt;&gt;"",Validate_Value!AH151&lt;&gt;""),"",IF(Configuration!$G$2 = Configuration!$I$2,"",_xlfn.REGEXEXTRACT(CELL("address",AH151), "\$([A-Z]+)\$[0-9]+")))</f>
        <v/>
      </c>
      <c r="AI151" s="7" t="str" cm="1">
        <f t="array" aca="1" ref="AI151" ca="1">IF(OR('Raw Data'!AI151="",LEN(TRIM('Raw Data'!AI151))=0,Validate_Empty!AI151&lt;&gt;"",Validate_Value!AI151&lt;&gt;""),"",IF(Configuration!$H$2 = Configuration!$J$2,"",_xlfn.REGEXEXTRACT(CELL("address",AI151), "\$([A-Z]+)\$[0-9]+")))</f>
        <v/>
      </c>
      <c r="AJ151" s="7"/>
      <c r="AK151" s="7"/>
      <c r="AL151" s="7"/>
      <c r="AM151" s="7"/>
      <c r="AN151" s="7"/>
      <c r="AO151" s="7"/>
      <c r="AP151" s="7" t="str" cm="1">
        <f t="array" aca="1" ref="AP151" ca="1">IF(OR('Raw Data'!AP151="",LEN(TRIM('Raw Data'!AP151))=0,Validate_Empty!AP151&lt;&gt;"",Validate_Value!AP151&lt;&gt;""),"",IF('Raw Data'!AP151=SUM('Raw Data'!AK151:AO151),"",_xlfn.REGEXEXTRACT(CELL("address",AP151), "\$([A-Z]+)\$[0-9]+")))</f>
        <v/>
      </c>
    </row>
    <row r="152" spans="2:42" x14ac:dyDescent="0.25">
      <c r="B152" s="7"/>
      <c r="C152" s="7"/>
      <c r="D152" s="7"/>
      <c r="E152" s="7"/>
      <c r="F152" s="7"/>
      <c r="G152" s="7"/>
      <c r="H152" s="7"/>
      <c r="I152" s="7"/>
      <c r="J152" s="7" t="str" cm="1">
        <f t="array" aca="1" ref="J152" ca="1">IF(OR('Raw Data'!J152="",LEN(TRIM('Raw Data'!J152))=0,Validate_Empty!J152&lt;&gt;"",Validate_Value!J152&lt;&gt;""),"",IF('Raw Data'!J152=SUM('Raw Data'!K152:N152),"",_xlfn.REGEXEXTRACT(CELL("address",J152), "\$([A-Z]+)\$[0-9]+")))</f>
        <v/>
      </c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 t="str" cm="1">
        <f t="array" aca="1" ref="Z152" ca="1">IF(OR('Raw Data'!Z152="",LEN(TRIM('Raw Data'!Z152))=0,Validate_Empty!Z152&lt;&gt;"",Validate_Value!Z152&lt;&gt;""),"",IF('Raw Data'!Z152=SUM('Raw Data'!T152:Y152),"",_xlfn.REGEXEXTRACT(CELL("address",Z152), "\$([A-Z]+)\$[0-9]+")))</f>
        <v/>
      </c>
      <c r="AA152" s="7"/>
      <c r="AB152" s="7"/>
      <c r="AC152" s="7"/>
      <c r="AD152" s="7"/>
      <c r="AE152" s="7"/>
      <c r="AF152" s="7"/>
      <c r="AG152" s="7" t="str" cm="1">
        <f t="array" aca="1" ref="AG152" ca="1">IF(OR('Raw Data'!AG152="",LEN(TRIM('Raw Data'!AG152))=0,Validate_Empty!AG152&lt;&gt;"",Validate_Value!AG152&lt;&gt;""),"",IF('Raw Data'!AG152=SUM('Raw Data'!AA152:AF152),"",_xlfn.REGEXEXTRACT(CELL("address",AG152), "\$([A-Z]+)\$[0-9]+")))</f>
        <v/>
      </c>
      <c r="AH152" s="7" t="str" cm="1">
        <f t="array" aca="1" ref="AH152" ca="1">IF(OR('Raw Data'!AH152="",LEN(TRIM('Raw Data'!AH152))=0,Validate_Empty!AH152&lt;&gt;"",Validate_Value!AH152&lt;&gt;""),"",IF(Configuration!$G$2 = Configuration!$I$2,"",_xlfn.REGEXEXTRACT(CELL("address",AH152), "\$([A-Z]+)\$[0-9]+")))</f>
        <v/>
      </c>
      <c r="AI152" s="7" t="str" cm="1">
        <f t="array" aca="1" ref="AI152" ca="1">IF(OR('Raw Data'!AI152="",LEN(TRIM('Raw Data'!AI152))=0,Validate_Empty!AI152&lt;&gt;"",Validate_Value!AI152&lt;&gt;""),"",IF(Configuration!$H$2 = Configuration!$J$2,"",_xlfn.REGEXEXTRACT(CELL("address",AI152), "\$([A-Z]+)\$[0-9]+")))</f>
        <v/>
      </c>
      <c r="AJ152" s="7"/>
      <c r="AK152" s="7"/>
      <c r="AL152" s="7"/>
      <c r="AM152" s="7"/>
      <c r="AN152" s="7"/>
      <c r="AO152" s="7"/>
      <c r="AP152" s="7" t="str" cm="1">
        <f t="array" aca="1" ref="AP152" ca="1">IF(OR('Raw Data'!AP152="",LEN(TRIM('Raw Data'!AP152))=0,Validate_Empty!AP152&lt;&gt;"",Validate_Value!AP152&lt;&gt;""),"",IF('Raw Data'!AP152=SUM('Raw Data'!AK152:AO152),"",_xlfn.REGEXEXTRACT(CELL("address",AP152), "\$([A-Z]+)\$[0-9]+")))</f>
        <v/>
      </c>
    </row>
    <row r="153" spans="2:42" x14ac:dyDescent="0.25">
      <c r="B153" s="7"/>
      <c r="C153" s="7"/>
      <c r="D153" s="7"/>
      <c r="E153" s="7"/>
      <c r="F153" s="7"/>
      <c r="G153" s="7"/>
      <c r="H153" s="7"/>
      <c r="I153" s="7"/>
      <c r="J153" s="7" t="str" cm="1">
        <f t="array" aca="1" ref="J153" ca="1">IF(OR('Raw Data'!J153="",LEN(TRIM('Raw Data'!J153))=0,Validate_Empty!J153&lt;&gt;"",Validate_Value!J153&lt;&gt;""),"",IF('Raw Data'!J153=SUM('Raw Data'!K153:N153),"",_xlfn.REGEXEXTRACT(CELL("address",J153), "\$([A-Z]+)\$[0-9]+")))</f>
        <v/>
      </c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 t="str" cm="1">
        <f t="array" aca="1" ref="Z153" ca="1">IF(OR('Raw Data'!Z153="",LEN(TRIM('Raw Data'!Z153))=0,Validate_Empty!Z153&lt;&gt;"",Validate_Value!Z153&lt;&gt;""),"",IF('Raw Data'!Z153=SUM('Raw Data'!T153:Y153),"",_xlfn.REGEXEXTRACT(CELL("address",Z153), "\$([A-Z]+)\$[0-9]+")))</f>
        <v/>
      </c>
      <c r="AA153" s="7"/>
      <c r="AB153" s="7"/>
      <c r="AC153" s="7"/>
      <c r="AD153" s="7"/>
      <c r="AE153" s="7"/>
      <c r="AF153" s="7"/>
      <c r="AG153" s="7" t="str" cm="1">
        <f t="array" aca="1" ref="AG153" ca="1">IF(OR('Raw Data'!AG153="",LEN(TRIM('Raw Data'!AG153))=0,Validate_Empty!AG153&lt;&gt;"",Validate_Value!AG153&lt;&gt;""),"",IF('Raw Data'!AG153=SUM('Raw Data'!AA153:AF153),"",_xlfn.REGEXEXTRACT(CELL("address",AG153), "\$([A-Z]+)\$[0-9]+")))</f>
        <v/>
      </c>
      <c r="AH153" s="7" t="str" cm="1">
        <f t="array" aca="1" ref="AH153" ca="1">IF(OR('Raw Data'!AH153="",LEN(TRIM('Raw Data'!AH153))=0,Validate_Empty!AH153&lt;&gt;"",Validate_Value!AH153&lt;&gt;""),"",IF(Configuration!$G$2 = Configuration!$I$2,"",_xlfn.REGEXEXTRACT(CELL("address",AH153), "\$([A-Z]+)\$[0-9]+")))</f>
        <v/>
      </c>
      <c r="AI153" s="7" t="str" cm="1">
        <f t="array" aca="1" ref="AI153" ca="1">IF(OR('Raw Data'!AI153="",LEN(TRIM('Raw Data'!AI153))=0,Validate_Empty!AI153&lt;&gt;"",Validate_Value!AI153&lt;&gt;""),"",IF(Configuration!$H$2 = Configuration!$J$2,"",_xlfn.REGEXEXTRACT(CELL("address",AI153), "\$([A-Z]+)\$[0-9]+")))</f>
        <v/>
      </c>
      <c r="AJ153" s="7"/>
      <c r="AK153" s="7"/>
      <c r="AL153" s="7"/>
      <c r="AM153" s="7"/>
      <c r="AN153" s="7"/>
      <c r="AO153" s="7"/>
      <c r="AP153" s="7" t="str" cm="1">
        <f t="array" aca="1" ref="AP153" ca="1">IF(OR('Raw Data'!AP153="",LEN(TRIM('Raw Data'!AP153))=0,Validate_Empty!AP153&lt;&gt;"",Validate_Value!AP153&lt;&gt;""),"",IF('Raw Data'!AP153=SUM('Raw Data'!AK153:AO153),"",_xlfn.REGEXEXTRACT(CELL("address",AP153), "\$([A-Z]+)\$[0-9]+")))</f>
        <v/>
      </c>
    </row>
    <row r="154" spans="2:42" x14ac:dyDescent="0.25">
      <c r="B154" s="7"/>
      <c r="C154" s="7"/>
      <c r="D154" s="7"/>
      <c r="E154" s="7"/>
      <c r="F154" s="7"/>
      <c r="G154" s="7"/>
      <c r="H154" s="7"/>
      <c r="I154" s="7"/>
      <c r="J154" s="7" t="str" cm="1">
        <f t="array" aca="1" ref="J154" ca="1">IF(OR('Raw Data'!J154="",LEN(TRIM('Raw Data'!J154))=0,Validate_Empty!J154&lt;&gt;"",Validate_Value!J154&lt;&gt;""),"",IF('Raw Data'!J154=SUM('Raw Data'!K154:N154),"",_xlfn.REGEXEXTRACT(CELL("address",J154), "\$([A-Z]+)\$[0-9]+")))</f>
        <v/>
      </c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 t="str" cm="1">
        <f t="array" aca="1" ref="Z154" ca="1">IF(OR('Raw Data'!Z154="",LEN(TRIM('Raw Data'!Z154))=0,Validate_Empty!Z154&lt;&gt;"",Validate_Value!Z154&lt;&gt;""),"",IF('Raw Data'!Z154=SUM('Raw Data'!T154:Y154),"",_xlfn.REGEXEXTRACT(CELL("address",Z154), "\$([A-Z]+)\$[0-9]+")))</f>
        <v/>
      </c>
      <c r="AA154" s="7"/>
      <c r="AB154" s="7"/>
      <c r="AC154" s="7"/>
      <c r="AD154" s="7"/>
      <c r="AE154" s="7"/>
      <c r="AF154" s="7"/>
      <c r="AG154" s="7" t="str" cm="1">
        <f t="array" aca="1" ref="AG154" ca="1">IF(OR('Raw Data'!AG154="",LEN(TRIM('Raw Data'!AG154))=0,Validate_Empty!AG154&lt;&gt;"",Validate_Value!AG154&lt;&gt;""),"",IF('Raw Data'!AG154=SUM('Raw Data'!AA154:AF154),"",_xlfn.REGEXEXTRACT(CELL("address",AG154), "\$([A-Z]+)\$[0-9]+")))</f>
        <v/>
      </c>
      <c r="AH154" s="7" t="str" cm="1">
        <f t="array" aca="1" ref="AH154" ca="1">IF(OR('Raw Data'!AH154="",LEN(TRIM('Raw Data'!AH154))=0,Validate_Empty!AH154&lt;&gt;"",Validate_Value!AH154&lt;&gt;""),"",IF(Configuration!$G$2 = Configuration!$I$2,"",_xlfn.REGEXEXTRACT(CELL("address",AH154), "\$([A-Z]+)\$[0-9]+")))</f>
        <v/>
      </c>
      <c r="AI154" s="7" t="str" cm="1">
        <f t="array" aca="1" ref="AI154" ca="1">IF(OR('Raw Data'!AI154="",LEN(TRIM('Raw Data'!AI154))=0,Validate_Empty!AI154&lt;&gt;"",Validate_Value!AI154&lt;&gt;""),"",IF(Configuration!$H$2 = Configuration!$J$2,"",_xlfn.REGEXEXTRACT(CELL("address",AI154), "\$([A-Z]+)\$[0-9]+")))</f>
        <v/>
      </c>
      <c r="AJ154" s="7"/>
      <c r="AK154" s="7"/>
      <c r="AL154" s="7"/>
      <c r="AM154" s="7"/>
      <c r="AN154" s="7"/>
      <c r="AO154" s="7"/>
      <c r="AP154" s="7" t="str" cm="1">
        <f t="array" aca="1" ref="AP154" ca="1">IF(OR('Raw Data'!AP154="",LEN(TRIM('Raw Data'!AP154))=0,Validate_Empty!AP154&lt;&gt;"",Validate_Value!AP154&lt;&gt;""),"",IF('Raw Data'!AP154=SUM('Raw Data'!AK154:AO154),"",_xlfn.REGEXEXTRACT(CELL("address",AP154), "\$([A-Z]+)\$[0-9]+")))</f>
        <v/>
      </c>
    </row>
    <row r="155" spans="2:42" x14ac:dyDescent="0.25">
      <c r="B155" s="7"/>
      <c r="C155" s="7"/>
      <c r="D155" s="7"/>
      <c r="E155" s="7"/>
      <c r="F155" s="7"/>
      <c r="G155" s="7"/>
      <c r="H155" s="7"/>
      <c r="I155" s="7"/>
      <c r="J155" s="7" t="str" cm="1">
        <f t="array" aca="1" ref="J155" ca="1">IF(OR('Raw Data'!J155="",LEN(TRIM('Raw Data'!J155))=0,Validate_Empty!J155&lt;&gt;"",Validate_Value!J155&lt;&gt;""),"",IF('Raw Data'!J155=SUM('Raw Data'!K155:N155),"",_xlfn.REGEXEXTRACT(CELL("address",J155), "\$([A-Z]+)\$[0-9]+")))</f>
        <v/>
      </c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 t="str" cm="1">
        <f t="array" aca="1" ref="Z155" ca="1">IF(OR('Raw Data'!Z155="",LEN(TRIM('Raw Data'!Z155))=0,Validate_Empty!Z155&lt;&gt;"",Validate_Value!Z155&lt;&gt;""),"",IF('Raw Data'!Z155=SUM('Raw Data'!T155:Y155),"",_xlfn.REGEXEXTRACT(CELL("address",Z155), "\$([A-Z]+)\$[0-9]+")))</f>
        <v/>
      </c>
      <c r="AA155" s="7"/>
      <c r="AB155" s="7"/>
      <c r="AC155" s="7"/>
      <c r="AD155" s="7"/>
      <c r="AE155" s="7"/>
      <c r="AF155" s="7"/>
      <c r="AG155" s="7" t="str" cm="1">
        <f t="array" aca="1" ref="AG155" ca="1">IF(OR('Raw Data'!AG155="",LEN(TRIM('Raw Data'!AG155))=0,Validate_Empty!AG155&lt;&gt;"",Validate_Value!AG155&lt;&gt;""),"",IF('Raw Data'!AG155=SUM('Raw Data'!AA155:AF155),"",_xlfn.REGEXEXTRACT(CELL("address",AG155), "\$([A-Z]+)\$[0-9]+")))</f>
        <v/>
      </c>
      <c r="AH155" s="7" t="str" cm="1">
        <f t="array" aca="1" ref="AH155" ca="1">IF(OR('Raw Data'!AH155="",LEN(TRIM('Raw Data'!AH155))=0,Validate_Empty!AH155&lt;&gt;"",Validate_Value!AH155&lt;&gt;""),"",IF(Configuration!$G$2 = Configuration!$I$2,"",_xlfn.REGEXEXTRACT(CELL("address",AH155), "\$([A-Z]+)\$[0-9]+")))</f>
        <v/>
      </c>
      <c r="AI155" s="7" t="str" cm="1">
        <f t="array" aca="1" ref="AI155" ca="1">IF(OR('Raw Data'!AI155="",LEN(TRIM('Raw Data'!AI155))=0,Validate_Empty!AI155&lt;&gt;"",Validate_Value!AI155&lt;&gt;""),"",IF(Configuration!$H$2 = Configuration!$J$2,"",_xlfn.REGEXEXTRACT(CELL("address",AI155), "\$([A-Z]+)\$[0-9]+")))</f>
        <v/>
      </c>
      <c r="AJ155" s="7"/>
      <c r="AK155" s="7"/>
      <c r="AL155" s="7"/>
      <c r="AM155" s="7"/>
      <c r="AN155" s="7"/>
      <c r="AO155" s="7"/>
      <c r="AP155" s="7" t="str" cm="1">
        <f t="array" aca="1" ref="AP155" ca="1">IF(OR('Raw Data'!AP155="",LEN(TRIM('Raw Data'!AP155))=0,Validate_Empty!AP155&lt;&gt;"",Validate_Value!AP155&lt;&gt;""),"",IF('Raw Data'!AP155=SUM('Raw Data'!AK155:AO155),"",_xlfn.REGEXEXTRACT(CELL("address",AP155), "\$([A-Z]+)\$[0-9]+")))</f>
        <v/>
      </c>
    </row>
    <row r="156" spans="2:42" x14ac:dyDescent="0.25">
      <c r="B156" s="7"/>
      <c r="C156" s="7"/>
      <c r="D156" s="7"/>
      <c r="E156" s="7"/>
      <c r="F156" s="7"/>
      <c r="G156" s="7"/>
      <c r="H156" s="7"/>
      <c r="I156" s="7"/>
      <c r="J156" s="7" t="str" cm="1">
        <f t="array" aca="1" ref="J156" ca="1">IF(OR('Raw Data'!J156="",LEN(TRIM('Raw Data'!J156))=0,Validate_Empty!J156&lt;&gt;"",Validate_Value!J156&lt;&gt;""),"",IF('Raw Data'!J156=SUM('Raw Data'!K156:N156),"",_xlfn.REGEXEXTRACT(CELL("address",J156), "\$([A-Z]+)\$[0-9]+")))</f>
        <v/>
      </c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 t="str" cm="1">
        <f t="array" aca="1" ref="Z156" ca="1">IF(OR('Raw Data'!Z156="",LEN(TRIM('Raw Data'!Z156))=0,Validate_Empty!Z156&lt;&gt;"",Validate_Value!Z156&lt;&gt;""),"",IF('Raw Data'!Z156=SUM('Raw Data'!T156:Y156),"",_xlfn.REGEXEXTRACT(CELL("address",Z156), "\$([A-Z]+)\$[0-9]+")))</f>
        <v/>
      </c>
      <c r="AA156" s="7"/>
      <c r="AB156" s="7"/>
      <c r="AC156" s="7"/>
      <c r="AD156" s="7"/>
      <c r="AE156" s="7"/>
      <c r="AF156" s="7"/>
      <c r="AG156" s="7" t="str" cm="1">
        <f t="array" aca="1" ref="AG156" ca="1">IF(OR('Raw Data'!AG156="",LEN(TRIM('Raw Data'!AG156))=0,Validate_Empty!AG156&lt;&gt;"",Validate_Value!AG156&lt;&gt;""),"",IF('Raw Data'!AG156=SUM('Raw Data'!AA156:AF156),"",_xlfn.REGEXEXTRACT(CELL("address",AG156), "\$([A-Z]+)\$[0-9]+")))</f>
        <v/>
      </c>
      <c r="AH156" s="7" t="str" cm="1">
        <f t="array" aca="1" ref="AH156" ca="1">IF(OR('Raw Data'!AH156="",LEN(TRIM('Raw Data'!AH156))=0,Validate_Empty!AH156&lt;&gt;"",Validate_Value!AH156&lt;&gt;""),"",IF(Configuration!$G$2 = Configuration!$I$2,"",_xlfn.REGEXEXTRACT(CELL("address",AH156), "\$([A-Z]+)\$[0-9]+")))</f>
        <v/>
      </c>
      <c r="AI156" s="7" t="str" cm="1">
        <f t="array" aca="1" ref="AI156" ca="1">IF(OR('Raw Data'!AI156="",LEN(TRIM('Raw Data'!AI156))=0,Validate_Empty!AI156&lt;&gt;"",Validate_Value!AI156&lt;&gt;""),"",IF(Configuration!$H$2 = Configuration!$J$2,"",_xlfn.REGEXEXTRACT(CELL("address",AI156), "\$([A-Z]+)\$[0-9]+")))</f>
        <v/>
      </c>
      <c r="AJ156" s="7"/>
      <c r="AK156" s="7"/>
      <c r="AL156" s="7"/>
      <c r="AM156" s="7"/>
      <c r="AN156" s="7"/>
      <c r="AO156" s="7"/>
      <c r="AP156" s="7" t="str" cm="1">
        <f t="array" aca="1" ref="AP156" ca="1">IF(OR('Raw Data'!AP156="",LEN(TRIM('Raw Data'!AP156))=0,Validate_Empty!AP156&lt;&gt;"",Validate_Value!AP156&lt;&gt;""),"",IF('Raw Data'!AP156=SUM('Raw Data'!AK156:AO156),"",_xlfn.REGEXEXTRACT(CELL("address",AP156), "\$([A-Z]+)\$[0-9]+")))</f>
        <v/>
      </c>
    </row>
    <row r="157" spans="2:42" x14ac:dyDescent="0.25">
      <c r="B157" s="7"/>
      <c r="C157" s="7"/>
      <c r="D157" s="7"/>
      <c r="E157" s="7"/>
      <c r="F157" s="7"/>
      <c r="G157" s="7"/>
      <c r="H157" s="7"/>
      <c r="I157" s="7"/>
      <c r="J157" s="7" t="str" cm="1">
        <f t="array" aca="1" ref="J157" ca="1">IF(OR('Raw Data'!J157="",LEN(TRIM('Raw Data'!J157))=0,Validate_Empty!J157&lt;&gt;"",Validate_Value!J157&lt;&gt;""),"",IF('Raw Data'!J157=SUM('Raw Data'!K157:N157),"",_xlfn.REGEXEXTRACT(CELL("address",J157), "\$([A-Z]+)\$[0-9]+")))</f>
        <v/>
      </c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 t="str" cm="1">
        <f t="array" aca="1" ref="Z157" ca="1">IF(OR('Raw Data'!Z157="",LEN(TRIM('Raw Data'!Z157))=0,Validate_Empty!Z157&lt;&gt;"",Validate_Value!Z157&lt;&gt;""),"",IF('Raw Data'!Z157=SUM('Raw Data'!T157:Y157),"",_xlfn.REGEXEXTRACT(CELL("address",Z157), "\$([A-Z]+)\$[0-9]+")))</f>
        <v/>
      </c>
      <c r="AA157" s="7"/>
      <c r="AB157" s="7"/>
      <c r="AC157" s="7"/>
      <c r="AD157" s="7"/>
      <c r="AE157" s="7"/>
      <c r="AF157" s="7"/>
      <c r="AG157" s="7" t="str" cm="1">
        <f t="array" aca="1" ref="AG157" ca="1">IF(OR('Raw Data'!AG157="",LEN(TRIM('Raw Data'!AG157))=0,Validate_Empty!AG157&lt;&gt;"",Validate_Value!AG157&lt;&gt;""),"",IF('Raw Data'!AG157=SUM('Raw Data'!AA157:AF157),"",_xlfn.REGEXEXTRACT(CELL("address",AG157), "\$([A-Z]+)\$[0-9]+")))</f>
        <v/>
      </c>
      <c r="AH157" s="7" t="str" cm="1">
        <f t="array" aca="1" ref="AH157" ca="1">IF(OR('Raw Data'!AH157="",LEN(TRIM('Raw Data'!AH157))=0,Validate_Empty!AH157&lt;&gt;"",Validate_Value!AH157&lt;&gt;""),"",IF(Configuration!$G$2 = Configuration!$I$2,"",_xlfn.REGEXEXTRACT(CELL("address",AH157), "\$([A-Z]+)\$[0-9]+")))</f>
        <v/>
      </c>
      <c r="AI157" s="7" t="str" cm="1">
        <f t="array" aca="1" ref="AI157" ca="1">IF(OR('Raw Data'!AI157="",LEN(TRIM('Raw Data'!AI157))=0,Validate_Empty!AI157&lt;&gt;"",Validate_Value!AI157&lt;&gt;""),"",IF(Configuration!$H$2 = Configuration!$J$2,"",_xlfn.REGEXEXTRACT(CELL("address",AI157), "\$([A-Z]+)\$[0-9]+")))</f>
        <v/>
      </c>
      <c r="AJ157" s="7"/>
      <c r="AK157" s="7"/>
      <c r="AL157" s="7"/>
      <c r="AM157" s="7"/>
      <c r="AN157" s="7"/>
      <c r="AO157" s="7"/>
      <c r="AP157" s="7" t="str" cm="1">
        <f t="array" aca="1" ref="AP157" ca="1">IF(OR('Raw Data'!AP157="",LEN(TRIM('Raw Data'!AP157))=0,Validate_Empty!AP157&lt;&gt;"",Validate_Value!AP157&lt;&gt;""),"",IF('Raw Data'!AP157=SUM('Raw Data'!AK157:AO157),"",_xlfn.REGEXEXTRACT(CELL("address",AP157), "\$([A-Z]+)\$[0-9]+")))</f>
        <v/>
      </c>
    </row>
    <row r="158" spans="2:42" x14ac:dyDescent="0.25">
      <c r="B158" s="7"/>
      <c r="C158" s="7"/>
      <c r="D158" s="7"/>
      <c r="E158" s="7"/>
      <c r="F158" s="7"/>
      <c r="G158" s="7"/>
      <c r="H158" s="7"/>
      <c r="I158" s="7"/>
      <c r="J158" s="7" t="str" cm="1">
        <f t="array" aca="1" ref="J158" ca="1">IF(OR('Raw Data'!J158="",LEN(TRIM('Raw Data'!J158))=0,Validate_Empty!J158&lt;&gt;"",Validate_Value!J158&lt;&gt;""),"",IF('Raw Data'!J158=SUM('Raw Data'!K158:N158),"",_xlfn.REGEXEXTRACT(CELL("address",J158), "\$([A-Z]+)\$[0-9]+")))</f>
        <v/>
      </c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 t="str" cm="1">
        <f t="array" aca="1" ref="Z158" ca="1">IF(OR('Raw Data'!Z158="",LEN(TRIM('Raw Data'!Z158))=0,Validate_Empty!Z158&lt;&gt;"",Validate_Value!Z158&lt;&gt;""),"",IF('Raw Data'!Z158=SUM('Raw Data'!T158:Y158),"",_xlfn.REGEXEXTRACT(CELL("address",Z158), "\$([A-Z]+)\$[0-9]+")))</f>
        <v/>
      </c>
      <c r="AA158" s="7"/>
      <c r="AB158" s="7"/>
      <c r="AC158" s="7"/>
      <c r="AD158" s="7"/>
      <c r="AE158" s="7"/>
      <c r="AF158" s="7"/>
      <c r="AG158" s="7" t="str" cm="1">
        <f t="array" aca="1" ref="AG158" ca="1">IF(OR('Raw Data'!AG158="",LEN(TRIM('Raw Data'!AG158))=0,Validate_Empty!AG158&lt;&gt;"",Validate_Value!AG158&lt;&gt;""),"",IF('Raw Data'!AG158=SUM('Raw Data'!AA158:AF158),"",_xlfn.REGEXEXTRACT(CELL("address",AG158), "\$([A-Z]+)\$[0-9]+")))</f>
        <v/>
      </c>
      <c r="AH158" s="7" t="str" cm="1">
        <f t="array" aca="1" ref="AH158" ca="1">IF(OR('Raw Data'!AH158="",LEN(TRIM('Raw Data'!AH158))=0,Validate_Empty!AH158&lt;&gt;"",Validate_Value!AH158&lt;&gt;""),"",IF(Configuration!$G$2 = Configuration!$I$2,"",_xlfn.REGEXEXTRACT(CELL("address",AH158), "\$([A-Z]+)\$[0-9]+")))</f>
        <v/>
      </c>
      <c r="AI158" s="7" t="str" cm="1">
        <f t="array" aca="1" ref="AI158" ca="1">IF(OR('Raw Data'!AI158="",LEN(TRIM('Raw Data'!AI158))=0,Validate_Empty!AI158&lt;&gt;"",Validate_Value!AI158&lt;&gt;""),"",IF(Configuration!$H$2 = Configuration!$J$2,"",_xlfn.REGEXEXTRACT(CELL("address",AI158), "\$([A-Z]+)\$[0-9]+")))</f>
        <v/>
      </c>
      <c r="AJ158" s="7"/>
      <c r="AK158" s="7"/>
      <c r="AL158" s="7"/>
      <c r="AM158" s="7"/>
      <c r="AN158" s="7"/>
      <c r="AO158" s="7"/>
      <c r="AP158" s="7" t="str" cm="1">
        <f t="array" aca="1" ref="AP158" ca="1">IF(OR('Raw Data'!AP158="",LEN(TRIM('Raw Data'!AP158))=0,Validate_Empty!AP158&lt;&gt;"",Validate_Value!AP158&lt;&gt;""),"",IF('Raw Data'!AP158=SUM('Raw Data'!AK158:AO158),"",_xlfn.REGEXEXTRACT(CELL("address",AP158), "\$([A-Z]+)\$[0-9]+")))</f>
        <v/>
      </c>
    </row>
    <row r="159" spans="2:42" x14ac:dyDescent="0.25">
      <c r="B159" s="7"/>
      <c r="C159" s="7"/>
      <c r="D159" s="7"/>
      <c r="E159" s="7"/>
      <c r="F159" s="7"/>
      <c r="G159" s="7"/>
      <c r="H159" s="7"/>
      <c r="I159" s="7"/>
      <c r="J159" s="7" t="str" cm="1">
        <f t="array" aca="1" ref="J159" ca="1">IF(OR('Raw Data'!J159="",LEN(TRIM('Raw Data'!J159))=0,Validate_Empty!J159&lt;&gt;"",Validate_Value!J159&lt;&gt;""),"",IF('Raw Data'!J159=SUM('Raw Data'!K159:N159),"",_xlfn.REGEXEXTRACT(CELL("address",J159), "\$([A-Z]+)\$[0-9]+")))</f>
        <v/>
      </c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 t="str" cm="1">
        <f t="array" aca="1" ref="Z159" ca="1">IF(OR('Raw Data'!Z159="",LEN(TRIM('Raw Data'!Z159))=0,Validate_Empty!Z159&lt;&gt;"",Validate_Value!Z159&lt;&gt;""),"",IF('Raw Data'!Z159=SUM('Raw Data'!T159:Y159),"",_xlfn.REGEXEXTRACT(CELL("address",Z159), "\$([A-Z]+)\$[0-9]+")))</f>
        <v/>
      </c>
      <c r="AA159" s="7"/>
      <c r="AB159" s="7"/>
      <c r="AC159" s="7"/>
      <c r="AD159" s="7"/>
      <c r="AE159" s="7"/>
      <c r="AF159" s="7"/>
      <c r="AG159" s="7" t="str" cm="1">
        <f t="array" aca="1" ref="AG159" ca="1">IF(OR('Raw Data'!AG159="",LEN(TRIM('Raw Data'!AG159))=0,Validate_Empty!AG159&lt;&gt;"",Validate_Value!AG159&lt;&gt;""),"",IF('Raw Data'!AG159=SUM('Raw Data'!AA159:AF159),"",_xlfn.REGEXEXTRACT(CELL("address",AG159), "\$([A-Z]+)\$[0-9]+")))</f>
        <v/>
      </c>
      <c r="AH159" s="7" t="str" cm="1">
        <f t="array" aca="1" ref="AH159" ca="1">IF(OR('Raw Data'!AH159="",LEN(TRIM('Raw Data'!AH159))=0,Validate_Empty!AH159&lt;&gt;"",Validate_Value!AH159&lt;&gt;""),"",IF(Configuration!$G$2 = Configuration!$I$2,"",_xlfn.REGEXEXTRACT(CELL("address",AH159), "\$([A-Z]+)\$[0-9]+")))</f>
        <v/>
      </c>
      <c r="AI159" s="7" t="str" cm="1">
        <f t="array" aca="1" ref="AI159" ca="1">IF(OR('Raw Data'!AI159="",LEN(TRIM('Raw Data'!AI159))=0,Validate_Empty!AI159&lt;&gt;"",Validate_Value!AI159&lt;&gt;""),"",IF(Configuration!$H$2 = Configuration!$J$2,"",_xlfn.REGEXEXTRACT(CELL("address",AI159), "\$([A-Z]+)\$[0-9]+")))</f>
        <v/>
      </c>
      <c r="AJ159" s="7"/>
      <c r="AK159" s="7"/>
      <c r="AL159" s="7"/>
      <c r="AM159" s="7"/>
      <c r="AN159" s="7"/>
      <c r="AO159" s="7"/>
      <c r="AP159" s="7" t="str" cm="1">
        <f t="array" aca="1" ref="AP159" ca="1">IF(OR('Raw Data'!AP159="",LEN(TRIM('Raw Data'!AP159))=0,Validate_Empty!AP159&lt;&gt;"",Validate_Value!AP159&lt;&gt;""),"",IF('Raw Data'!AP159=SUM('Raw Data'!AK159:AO159),"",_xlfn.REGEXEXTRACT(CELL("address",AP159), "\$([A-Z]+)\$[0-9]+")))</f>
        <v/>
      </c>
    </row>
    <row r="160" spans="2:42" x14ac:dyDescent="0.25">
      <c r="B160" s="7"/>
      <c r="C160" s="7"/>
      <c r="D160" s="7"/>
      <c r="E160" s="7"/>
      <c r="F160" s="7"/>
      <c r="G160" s="7"/>
      <c r="H160" s="7"/>
      <c r="I160" s="7"/>
      <c r="J160" s="7" t="str" cm="1">
        <f t="array" aca="1" ref="J160" ca="1">IF(OR('Raw Data'!J160="",LEN(TRIM('Raw Data'!J160))=0,Validate_Empty!J160&lt;&gt;"",Validate_Value!J160&lt;&gt;""),"",IF('Raw Data'!J160=SUM('Raw Data'!K160:N160),"",_xlfn.REGEXEXTRACT(CELL("address",J160), "\$([A-Z]+)\$[0-9]+")))</f>
        <v/>
      </c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 t="str" cm="1">
        <f t="array" aca="1" ref="Z160" ca="1">IF(OR('Raw Data'!Z160="",LEN(TRIM('Raw Data'!Z160))=0,Validate_Empty!Z160&lt;&gt;"",Validate_Value!Z160&lt;&gt;""),"",IF('Raw Data'!Z160=SUM('Raw Data'!T160:Y160),"",_xlfn.REGEXEXTRACT(CELL("address",Z160), "\$([A-Z]+)\$[0-9]+")))</f>
        <v/>
      </c>
      <c r="AA160" s="7"/>
      <c r="AB160" s="7"/>
      <c r="AC160" s="7"/>
      <c r="AD160" s="7"/>
      <c r="AE160" s="7"/>
      <c r="AF160" s="7"/>
      <c r="AG160" s="7" t="str" cm="1">
        <f t="array" aca="1" ref="AG160" ca="1">IF(OR('Raw Data'!AG160="",LEN(TRIM('Raw Data'!AG160))=0,Validate_Empty!AG160&lt;&gt;"",Validate_Value!AG160&lt;&gt;""),"",IF('Raw Data'!AG160=SUM('Raw Data'!AA160:AF160),"",_xlfn.REGEXEXTRACT(CELL("address",AG160), "\$([A-Z]+)\$[0-9]+")))</f>
        <v/>
      </c>
      <c r="AH160" s="7" t="str" cm="1">
        <f t="array" aca="1" ref="AH160" ca="1">IF(OR('Raw Data'!AH160="",LEN(TRIM('Raw Data'!AH160))=0,Validate_Empty!AH160&lt;&gt;"",Validate_Value!AH160&lt;&gt;""),"",IF(Configuration!$G$2 = Configuration!$I$2,"",_xlfn.REGEXEXTRACT(CELL("address",AH160), "\$([A-Z]+)\$[0-9]+")))</f>
        <v/>
      </c>
      <c r="AI160" s="7" t="str" cm="1">
        <f t="array" aca="1" ref="AI160" ca="1">IF(OR('Raw Data'!AI160="",LEN(TRIM('Raw Data'!AI160))=0,Validate_Empty!AI160&lt;&gt;"",Validate_Value!AI160&lt;&gt;""),"",IF(Configuration!$H$2 = Configuration!$J$2,"",_xlfn.REGEXEXTRACT(CELL("address",AI160), "\$([A-Z]+)\$[0-9]+")))</f>
        <v/>
      </c>
      <c r="AJ160" s="7"/>
      <c r="AK160" s="7"/>
      <c r="AL160" s="7"/>
      <c r="AM160" s="7"/>
      <c r="AN160" s="7"/>
      <c r="AO160" s="7"/>
      <c r="AP160" s="7" t="str" cm="1">
        <f t="array" aca="1" ref="AP160" ca="1">IF(OR('Raw Data'!AP160="",LEN(TRIM('Raw Data'!AP160))=0,Validate_Empty!AP160&lt;&gt;"",Validate_Value!AP160&lt;&gt;""),"",IF('Raw Data'!AP160=SUM('Raw Data'!AK160:AO160),"",_xlfn.REGEXEXTRACT(CELL("address",AP160), "\$([A-Z]+)\$[0-9]+")))</f>
        <v/>
      </c>
    </row>
    <row r="161" spans="2:42" x14ac:dyDescent="0.25">
      <c r="B161" s="7"/>
      <c r="C161" s="7"/>
      <c r="D161" s="7"/>
      <c r="E161" s="7"/>
      <c r="F161" s="7"/>
      <c r="G161" s="7"/>
      <c r="H161" s="7"/>
      <c r="I161" s="7"/>
      <c r="J161" s="7" t="str" cm="1">
        <f t="array" aca="1" ref="J161" ca="1">IF(OR('Raw Data'!J161="",LEN(TRIM('Raw Data'!J161))=0,Validate_Empty!J161&lt;&gt;"",Validate_Value!J161&lt;&gt;""),"",IF('Raw Data'!J161=SUM('Raw Data'!K161:N161),"",_xlfn.REGEXEXTRACT(CELL("address",J161), "\$([A-Z]+)\$[0-9]+")))</f>
        <v/>
      </c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 t="str" cm="1">
        <f t="array" aca="1" ref="Z161" ca="1">IF(OR('Raw Data'!Z161="",LEN(TRIM('Raw Data'!Z161))=0,Validate_Empty!Z161&lt;&gt;"",Validate_Value!Z161&lt;&gt;""),"",IF('Raw Data'!Z161=SUM('Raw Data'!T161:Y161),"",_xlfn.REGEXEXTRACT(CELL("address",Z161), "\$([A-Z]+)\$[0-9]+")))</f>
        <v/>
      </c>
      <c r="AA161" s="7"/>
      <c r="AB161" s="7"/>
      <c r="AC161" s="7"/>
      <c r="AD161" s="7"/>
      <c r="AE161" s="7"/>
      <c r="AF161" s="7"/>
      <c r="AG161" s="7" t="str" cm="1">
        <f t="array" aca="1" ref="AG161" ca="1">IF(OR('Raw Data'!AG161="",LEN(TRIM('Raw Data'!AG161))=0,Validate_Empty!AG161&lt;&gt;"",Validate_Value!AG161&lt;&gt;""),"",IF('Raw Data'!AG161=SUM('Raw Data'!AA161:AF161),"",_xlfn.REGEXEXTRACT(CELL("address",AG161), "\$([A-Z]+)\$[0-9]+")))</f>
        <v/>
      </c>
      <c r="AH161" s="7" t="str" cm="1">
        <f t="array" aca="1" ref="AH161" ca="1">IF(OR('Raw Data'!AH161="",LEN(TRIM('Raw Data'!AH161))=0,Validate_Empty!AH161&lt;&gt;"",Validate_Value!AH161&lt;&gt;""),"",IF(Configuration!$G$2 = Configuration!$I$2,"",_xlfn.REGEXEXTRACT(CELL("address",AH161), "\$([A-Z]+)\$[0-9]+")))</f>
        <v/>
      </c>
      <c r="AI161" s="7" t="str" cm="1">
        <f t="array" aca="1" ref="AI161" ca="1">IF(OR('Raw Data'!AI161="",LEN(TRIM('Raw Data'!AI161))=0,Validate_Empty!AI161&lt;&gt;"",Validate_Value!AI161&lt;&gt;""),"",IF(Configuration!$H$2 = Configuration!$J$2,"",_xlfn.REGEXEXTRACT(CELL("address",AI161), "\$([A-Z]+)\$[0-9]+")))</f>
        <v/>
      </c>
      <c r="AJ161" s="7"/>
      <c r="AK161" s="7"/>
      <c r="AL161" s="7"/>
      <c r="AM161" s="7"/>
      <c r="AN161" s="7"/>
      <c r="AO161" s="7"/>
      <c r="AP161" s="7" t="str" cm="1">
        <f t="array" aca="1" ref="AP161" ca="1">IF(OR('Raw Data'!AP161="",LEN(TRIM('Raw Data'!AP161))=0,Validate_Empty!AP161&lt;&gt;"",Validate_Value!AP161&lt;&gt;""),"",IF('Raw Data'!AP161=SUM('Raw Data'!AK161:AO161),"",_xlfn.REGEXEXTRACT(CELL("address",AP161), "\$([A-Z]+)\$[0-9]+")))</f>
        <v/>
      </c>
    </row>
    <row r="162" spans="2:42" x14ac:dyDescent="0.25">
      <c r="B162" s="7"/>
      <c r="C162" s="7"/>
      <c r="D162" s="7"/>
      <c r="E162" s="7"/>
      <c r="F162" s="7"/>
      <c r="G162" s="7"/>
      <c r="H162" s="7"/>
      <c r="I162" s="7"/>
      <c r="J162" s="7" t="str" cm="1">
        <f t="array" aca="1" ref="J162" ca="1">IF(OR('Raw Data'!J162="",LEN(TRIM('Raw Data'!J162))=0,Validate_Empty!J162&lt;&gt;"",Validate_Value!J162&lt;&gt;""),"",IF('Raw Data'!J162=SUM('Raw Data'!K162:N162),"",_xlfn.REGEXEXTRACT(CELL("address",J162), "\$([A-Z]+)\$[0-9]+")))</f>
        <v/>
      </c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 t="str" cm="1">
        <f t="array" aca="1" ref="Z162" ca="1">IF(OR('Raw Data'!Z162="",LEN(TRIM('Raw Data'!Z162))=0,Validate_Empty!Z162&lt;&gt;"",Validate_Value!Z162&lt;&gt;""),"",IF('Raw Data'!Z162=SUM('Raw Data'!T162:Y162),"",_xlfn.REGEXEXTRACT(CELL("address",Z162), "\$([A-Z]+)\$[0-9]+")))</f>
        <v/>
      </c>
      <c r="AA162" s="7"/>
      <c r="AB162" s="7"/>
      <c r="AC162" s="7"/>
      <c r="AD162" s="7"/>
      <c r="AE162" s="7"/>
      <c r="AF162" s="7"/>
      <c r="AG162" s="7" t="str" cm="1">
        <f t="array" aca="1" ref="AG162" ca="1">IF(OR('Raw Data'!AG162="",LEN(TRIM('Raw Data'!AG162))=0,Validate_Empty!AG162&lt;&gt;"",Validate_Value!AG162&lt;&gt;""),"",IF('Raw Data'!AG162=SUM('Raw Data'!AA162:AF162),"",_xlfn.REGEXEXTRACT(CELL("address",AG162), "\$([A-Z]+)\$[0-9]+")))</f>
        <v/>
      </c>
      <c r="AH162" s="7" t="str" cm="1">
        <f t="array" aca="1" ref="AH162" ca="1">IF(OR('Raw Data'!AH162="",LEN(TRIM('Raw Data'!AH162))=0,Validate_Empty!AH162&lt;&gt;"",Validate_Value!AH162&lt;&gt;""),"",IF(Configuration!$G$2 = Configuration!$I$2,"",_xlfn.REGEXEXTRACT(CELL("address",AH162), "\$([A-Z]+)\$[0-9]+")))</f>
        <v/>
      </c>
      <c r="AI162" s="7" t="str" cm="1">
        <f t="array" aca="1" ref="AI162" ca="1">IF(OR('Raw Data'!AI162="",LEN(TRIM('Raw Data'!AI162))=0,Validate_Empty!AI162&lt;&gt;"",Validate_Value!AI162&lt;&gt;""),"",IF(Configuration!$H$2 = Configuration!$J$2,"",_xlfn.REGEXEXTRACT(CELL("address",AI162), "\$([A-Z]+)\$[0-9]+")))</f>
        <v/>
      </c>
      <c r="AJ162" s="7"/>
      <c r="AK162" s="7"/>
      <c r="AL162" s="7"/>
      <c r="AM162" s="7"/>
      <c r="AN162" s="7"/>
      <c r="AO162" s="7"/>
      <c r="AP162" s="7" t="str" cm="1">
        <f t="array" aca="1" ref="AP162" ca="1">IF(OR('Raw Data'!AP162="",LEN(TRIM('Raw Data'!AP162))=0,Validate_Empty!AP162&lt;&gt;"",Validate_Value!AP162&lt;&gt;""),"",IF('Raw Data'!AP162=SUM('Raw Data'!AK162:AO162),"",_xlfn.REGEXEXTRACT(CELL("address",AP162), "\$([A-Z]+)\$[0-9]+")))</f>
        <v/>
      </c>
    </row>
    <row r="163" spans="2:42" x14ac:dyDescent="0.25">
      <c r="B163" s="7"/>
      <c r="C163" s="7"/>
      <c r="D163" s="7"/>
      <c r="E163" s="7"/>
      <c r="F163" s="7"/>
      <c r="G163" s="7"/>
      <c r="H163" s="7"/>
      <c r="I163" s="7"/>
      <c r="J163" s="7" t="str" cm="1">
        <f t="array" aca="1" ref="J163" ca="1">IF(OR('Raw Data'!J163="",LEN(TRIM('Raw Data'!J163))=0,Validate_Empty!J163&lt;&gt;"",Validate_Value!J163&lt;&gt;""),"",IF('Raw Data'!J163=SUM('Raw Data'!K163:N163),"",_xlfn.REGEXEXTRACT(CELL("address",J163), "\$([A-Z]+)\$[0-9]+")))</f>
        <v/>
      </c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 t="str" cm="1">
        <f t="array" aca="1" ref="Z163" ca="1">IF(OR('Raw Data'!Z163="",LEN(TRIM('Raw Data'!Z163))=0,Validate_Empty!Z163&lt;&gt;"",Validate_Value!Z163&lt;&gt;""),"",IF('Raw Data'!Z163=SUM('Raw Data'!T163:Y163),"",_xlfn.REGEXEXTRACT(CELL("address",Z163), "\$([A-Z]+)\$[0-9]+")))</f>
        <v/>
      </c>
      <c r="AA163" s="7"/>
      <c r="AB163" s="7"/>
      <c r="AC163" s="7"/>
      <c r="AD163" s="7"/>
      <c r="AE163" s="7"/>
      <c r="AF163" s="7"/>
      <c r="AG163" s="7" t="str" cm="1">
        <f t="array" aca="1" ref="AG163" ca="1">IF(OR('Raw Data'!AG163="",LEN(TRIM('Raw Data'!AG163))=0,Validate_Empty!AG163&lt;&gt;"",Validate_Value!AG163&lt;&gt;""),"",IF('Raw Data'!AG163=SUM('Raw Data'!AA163:AF163),"",_xlfn.REGEXEXTRACT(CELL("address",AG163), "\$([A-Z]+)\$[0-9]+")))</f>
        <v/>
      </c>
      <c r="AH163" s="7" t="str" cm="1">
        <f t="array" aca="1" ref="AH163" ca="1">IF(OR('Raw Data'!AH163="",LEN(TRIM('Raw Data'!AH163))=0,Validate_Empty!AH163&lt;&gt;"",Validate_Value!AH163&lt;&gt;""),"",IF(Configuration!$G$2 = Configuration!$I$2,"",_xlfn.REGEXEXTRACT(CELL("address",AH163), "\$([A-Z]+)\$[0-9]+")))</f>
        <v/>
      </c>
      <c r="AI163" s="7" t="str" cm="1">
        <f t="array" aca="1" ref="AI163" ca="1">IF(OR('Raw Data'!AI163="",LEN(TRIM('Raw Data'!AI163))=0,Validate_Empty!AI163&lt;&gt;"",Validate_Value!AI163&lt;&gt;""),"",IF(Configuration!$H$2 = Configuration!$J$2,"",_xlfn.REGEXEXTRACT(CELL("address",AI163), "\$([A-Z]+)\$[0-9]+")))</f>
        <v/>
      </c>
      <c r="AJ163" s="7"/>
      <c r="AK163" s="7"/>
      <c r="AL163" s="7"/>
      <c r="AM163" s="7"/>
      <c r="AN163" s="7"/>
      <c r="AO163" s="7"/>
      <c r="AP163" s="7" t="str" cm="1">
        <f t="array" aca="1" ref="AP163" ca="1">IF(OR('Raw Data'!AP163="",LEN(TRIM('Raw Data'!AP163))=0,Validate_Empty!AP163&lt;&gt;"",Validate_Value!AP163&lt;&gt;""),"",IF('Raw Data'!AP163=SUM('Raw Data'!AK163:AO163),"",_xlfn.REGEXEXTRACT(CELL("address",AP163), "\$([A-Z]+)\$[0-9]+")))</f>
        <v/>
      </c>
    </row>
    <row r="164" spans="2:42" x14ac:dyDescent="0.25">
      <c r="B164" s="7"/>
      <c r="C164" s="7"/>
      <c r="D164" s="7"/>
      <c r="E164" s="7"/>
      <c r="F164" s="7"/>
      <c r="G164" s="7"/>
      <c r="H164" s="7"/>
      <c r="I164" s="7"/>
      <c r="J164" s="7" t="str" cm="1">
        <f t="array" aca="1" ref="J164" ca="1">IF(OR('Raw Data'!J164="",LEN(TRIM('Raw Data'!J164))=0,Validate_Empty!J164&lt;&gt;"",Validate_Value!J164&lt;&gt;""),"",IF('Raw Data'!J164=SUM('Raw Data'!K164:N164),"",_xlfn.REGEXEXTRACT(CELL("address",J164), "\$([A-Z]+)\$[0-9]+")))</f>
        <v/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 t="str" cm="1">
        <f t="array" aca="1" ref="Z164" ca="1">IF(OR('Raw Data'!Z164="",LEN(TRIM('Raw Data'!Z164))=0,Validate_Empty!Z164&lt;&gt;"",Validate_Value!Z164&lt;&gt;""),"",IF('Raw Data'!Z164=SUM('Raw Data'!T164:Y164),"",_xlfn.REGEXEXTRACT(CELL("address",Z164), "\$([A-Z]+)\$[0-9]+")))</f>
        <v/>
      </c>
      <c r="AA164" s="7"/>
      <c r="AB164" s="7"/>
      <c r="AC164" s="7"/>
      <c r="AD164" s="7"/>
      <c r="AE164" s="7"/>
      <c r="AF164" s="7"/>
      <c r="AG164" s="7" t="str" cm="1">
        <f t="array" aca="1" ref="AG164" ca="1">IF(OR('Raw Data'!AG164="",LEN(TRIM('Raw Data'!AG164))=0,Validate_Empty!AG164&lt;&gt;"",Validate_Value!AG164&lt;&gt;""),"",IF('Raw Data'!AG164=SUM('Raw Data'!AA164:AF164),"",_xlfn.REGEXEXTRACT(CELL("address",AG164), "\$([A-Z]+)\$[0-9]+")))</f>
        <v/>
      </c>
      <c r="AH164" s="7" t="str" cm="1">
        <f t="array" aca="1" ref="AH164" ca="1">IF(OR('Raw Data'!AH164="",LEN(TRIM('Raw Data'!AH164))=0,Validate_Empty!AH164&lt;&gt;"",Validate_Value!AH164&lt;&gt;""),"",IF(Configuration!$G$2 = Configuration!$I$2,"",_xlfn.REGEXEXTRACT(CELL("address",AH164), "\$([A-Z]+)\$[0-9]+")))</f>
        <v/>
      </c>
      <c r="AI164" s="7" t="str" cm="1">
        <f t="array" aca="1" ref="AI164" ca="1">IF(OR('Raw Data'!AI164="",LEN(TRIM('Raw Data'!AI164))=0,Validate_Empty!AI164&lt;&gt;"",Validate_Value!AI164&lt;&gt;""),"",IF(Configuration!$H$2 = Configuration!$J$2,"",_xlfn.REGEXEXTRACT(CELL("address",AI164), "\$([A-Z]+)\$[0-9]+")))</f>
        <v/>
      </c>
      <c r="AJ164" s="7"/>
      <c r="AK164" s="7"/>
      <c r="AL164" s="7"/>
      <c r="AM164" s="7"/>
      <c r="AN164" s="7"/>
      <c r="AO164" s="7"/>
      <c r="AP164" s="7" t="str" cm="1">
        <f t="array" aca="1" ref="AP164" ca="1">IF(OR('Raw Data'!AP164="",LEN(TRIM('Raw Data'!AP164))=0,Validate_Empty!AP164&lt;&gt;"",Validate_Value!AP164&lt;&gt;""),"",IF('Raw Data'!AP164=SUM('Raw Data'!AK164:AO164),"",_xlfn.REGEXEXTRACT(CELL("address",AP164), "\$([A-Z]+)\$[0-9]+")))</f>
        <v/>
      </c>
    </row>
    <row r="165" spans="2:42" x14ac:dyDescent="0.25">
      <c r="B165" s="7"/>
      <c r="C165" s="7"/>
      <c r="D165" s="7"/>
      <c r="E165" s="7"/>
      <c r="F165" s="7"/>
      <c r="G165" s="7"/>
      <c r="H165" s="7"/>
      <c r="I165" s="7"/>
      <c r="J165" s="7" t="str" cm="1">
        <f t="array" aca="1" ref="J165" ca="1">IF(OR('Raw Data'!J165="",LEN(TRIM('Raw Data'!J165))=0,Validate_Empty!J165&lt;&gt;"",Validate_Value!J165&lt;&gt;""),"",IF('Raw Data'!J165=SUM('Raw Data'!K165:N165),"",_xlfn.REGEXEXTRACT(CELL("address",J165), "\$([A-Z]+)\$[0-9]+")))</f>
        <v/>
      </c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 t="str" cm="1">
        <f t="array" aca="1" ref="Z165" ca="1">IF(OR('Raw Data'!Z165="",LEN(TRIM('Raw Data'!Z165))=0,Validate_Empty!Z165&lt;&gt;"",Validate_Value!Z165&lt;&gt;""),"",IF('Raw Data'!Z165=SUM('Raw Data'!T165:Y165),"",_xlfn.REGEXEXTRACT(CELL("address",Z165), "\$([A-Z]+)\$[0-9]+")))</f>
        <v/>
      </c>
      <c r="AA165" s="7"/>
      <c r="AB165" s="7"/>
      <c r="AC165" s="7"/>
      <c r="AD165" s="7"/>
      <c r="AE165" s="7"/>
      <c r="AF165" s="7"/>
      <c r="AG165" s="7" t="str" cm="1">
        <f t="array" aca="1" ref="AG165" ca="1">IF(OR('Raw Data'!AG165="",LEN(TRIM('Raw Data'!AG165))=0,Validate_Empty!AG165&lt;&gt;"",Validate_Value!AG165&lt;&gt;""),"",IF('Raw Data'!AG165=SUM('Raw Data'!AA165:AF165),"",_xlfn.REGEXEXTRACT(CELL("address",AG165), "\$([A-Z]+)\$[0-9]+")))</f>
        <v/>
      </c>
      <c r="AH165" s="7" t="str" cm="1">
        <f t="array" aca="1" ref="AH165" ca="1">IF(OR('Raw Data'!AH165="",LEN(TRIM('Raw Data'!AH165))=0,Validate_Empty!AH165&lt;&gt;"",Validate_Value!AH165&lt;&gt;""),"",IF(Configuration!$G$2 = Configuration!$I$2,"",_xlfn.REGEXEXTRACT(CELL("address",AH165), "\$([A-Z]+)\$[0-9]+")))</f>
        <v/>
      </c>
      <c r="AI165" s="7" t="str" cm="1">
        <f t="array" aca="1" ref="AI165" ca="1">IF(OR('Raw Data'!AI165="",LEN(TRIM('Raw Data'!AI165))=0,Validate_Empty!AI165&lt;&gt;"",Validate_Value!AI165&lt;&gt;""),"",IF(Configuration!$H$2 = Configuration!$J$2,"",_xlfn.REGEXEXTRACT(CELL("address",AI165), "\$([A-Z]+)\$[0-9]+")))</f>
        <v/>
      </c>
      <c r="AJ165" s="7"/>
      <c r="AK165" s="7"/>
      <c r="AL165" s="7"/>
      <c r="AM165" s="7"/>
      <c r="AN165" s="7"/>
      <c r="AO165" s="7"/>
      <c r="AP165" s="7" t="str" cm="1">
        <f t="array" aca="1" ref="AP165" ca="1">IF(OR('Raw Data'!AP165="",LEN(TRIM('Raw Data'!AP165))=0,Validate_Empty!AP165&lt;&gt;"",Validate_Value!AP165&lt;&gt;""),"",IF('Raw Data'!AP165=SUM('Raw Data'!AK165:AO165),"",_xlfn.REGEXEXTRACT(CELL("address",AP165), "\$([A-Z]+)\$[0-9]+")))</f>
        <v/>
      </c>
    </row>
    <row r="166" spans="2:42" x14ac:dyDescent="0.25">
      <c r="B166" s="7"/>
      <c r="C166" s="7"/>
      <c r="D166" s="7"/>
      <c r="E166" s="7"/>
      <c r="F166" s="7"/>
      <c r="G166" s="7"/>
      <c r="H166" s="7"/>
      <c r="I166" s="7"/>
      <c r="J166" s="7" t="str" cm="1">
        <f t="array" aca="1" ref="J166" ca="1">IF(OR('Raw Data'!J166="",LEN(TRIM('Raw Data'!J166))=0,Validate_Empty!J166&lt;&gt;"",Validate_Value!J166&lt;&gt;""),"",IF('Raw Data'!J166=SUM('Raw Data'!K166:N166),"",_xlfn.REGEXEXTRACT(CELL("address",J166), "\$([A-Z]+)\$[0-9]+")))</f>
        <v/>
      </c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 t="str" cm="1">
        <f t="array" aca="1" ref="Z166" ca="1">IF(OR('Raw Data'!Z166="",LEN(TRIM('Raw Data'!Z166))=0,Validate_Empty!Z166&lt;&gt;"",Validate_Value!Z166&lt;&gt;""),"",IF('Raw Data'!Z166=SUM('Raw Data'!T166:Y166),"",_xlfn.REGEXEXTRACT(CELL("address",Z166), "\$([A-Z]+)\$[0-9]+")))</f>
        <v/>
      </c>
      <c r="AA166" s="7"/>
      <c r="AB166" s="7"/>
      <c r="AC166" s="7"/>
      <c r="AD166" s="7"/>
      <c r="AE166" s="7"/>
      <c r="AF166" s="7"/>
      <c r="AG166" s="7" t="str" cm="1">
        <f t="array" aca="1" ref="AG166" ca="1">IF(OR('Raw Data'!AG166="",LEN(TRIM('Raw Data'!AG166))=0,Validate_Empty!AG166&lt;&gt;"",Validate_Value!AG166&lt;&gt;""),"",IF('Raw Data'!AG166=SUM('Raw Data'!AA166:AF166),"",_xlfn.REGEXEXTRACT(CELL("address",AG166), "\$([A-Z]+)\$[0-9]+")))</f>
        <v/>
      </c>
      <c r="AH166" s="7" t="str" cm="1">
        <f t="array" aca="1" ref="AH166" ca="1">IF(OR('Raw Data'!AH166="",LEN(TRIM('Raw Data'!AH166))=0,Validate_Empty!AH166&lt;&gt;"",Validate_Value!AH166&lt;&gt;""),"",IF(Configuration!$G$2 = Configuration!$I$2,"",_xlfn.REGEXEXTRACT(CELL("address",AH166), "\$([A-Z]+)\$[0-9]+")))</f>
        <v/>
      </c>
      <c r="AI166" s="7" t="str" cm="1">
        <f t="array" aca="1" ref="AI166" ca="1">IF(OR('Raw Data'!AI166="",LEN(TRIM('Raw Data'!AI166))=0,Validate_Empty!AI166&lt;&gt;"",Validate_Value!AI166&lt;&gt;""),"",IF(Configuration!$H$2 = Configuration!$J$2,"",_xlfn.REGEXEXTRACT(CELL("address",AI166), "\$([A-Z]+)\$[0-9]+")))</f>
        <v/>
      </c>
      <c r="AJ166" s="7"/>
      <c r="AK166" s="7"/>
      <c r="AL166" s="7"/>
      <c r="AM166" s="7"/>
      <c r="AN166" s="7"/>
      <c r="AO166" s="7"/>
      <c r="AP166" s="7" t="str" cm="1">
        <f t="array" aca="1" ref="AP166" ca="1">IF(OR('Raw Data'!AP166="",LEN(TRIM('Raw Data'!AP166))=0,Validate_Empty!AP166&lt;&gt;"",Validate_Value!AP166&lt;&gt;""),"",IF('Raw Data'!AP166=SUM('Raw Data'!AK166:AO166),"",_xlfn.REGEXEXTRACT(CELL("address",AP166), "\$([A-Z]+)\$[0-9]+")))</f>
        <v/>
      </c>
    </row>
    <row r="167" spans="2:42" x14ac:dyDescent="0.25">
      <c r="B167" s="7"/>
      <c r="C167" s="7"/>
      <c r="D167" s="7"/>
      <c r="E167" s="7"/>
      <c r="F167" s="7"/>
      <c r="G167" s="7"/>
      <c r="H167" s="7"/>
      <c r="I167" s="7"/>
      <c r="J167" s="7" t="str" cm="1">
        <f t="array" aca="1" ref="J167" ca="1">IF(OR('Raw Data'!J167="",LEN(TRIM('Raw Data'!J167))=0,Validate_Empty!J167&lt;&gt;"",Validate_Value!J167&lt;&gt;""),"",IF('Raw Data'!J167=SUM('Raw Data'!K167:N167),"",_xlfn.REGEXEXTRACT(CELL("address",J167), "\$([A-Z]+)\$[0-9]+")))</f>
        <v/>
      </c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 t="str" cm="1">
        <f t="array" aca="1" ref="Z167" ca="1">IF(OR('Raw Data'!Z167="",LEN(TRIM('Raw Data'!Z167))=0,Validate_Empty!Z167&lt;&gt;"",Validate_Value!Z167&lt;&gt;""),"",IF('Raw Data'!Z167=SUM('Raw Data'!T167:Y167),"",_xlfn.REGEXEXTRACT(CELL("address",Z167), "\$([A-Z]+)\$[0-9]+")))</f>
        <v/>
      </c>
      <c r="AA167" s="7"/>
      <c r="AB167" s="7"/>
      <c r="AC167" s="7"/>
      <c r="AD167" s="7"/>
      <c r="AE167" s="7"/>
      <c r="AF167" s="7"/>
      <c r="AG167" s="7" t="str" cm="1">
        <f t="array" aca="1" ref="AG167" ca="1">IF(OR('Raw Data'!AG167="",LEN(TRIM('Raw Data'!AG167))=0,Validate_Empty!AG167&lt;&gt;"",Validate_Value!AG167&lt;&gt;""),"",IF('Raw Data'!AG167=SUM('Raw Data'!AA167:AF167),"",_xlfn.REGEXEXTRACT(CELL("address",AG167), "\$([A-Z]+)\$[0-9]+")))</f>
        <v/>
      </c>
      <c r="AH167" s="7" t="str" cm="1">
        <f t="array" aca="1" ref="AH167" ca="1">IF(OR('Raw Data'!AH167="",LEN(TRIM('Raw Data'!AH167))=0,Validate_Empty!AH167&lt;&gt;"",Validate_Value!AH167&lt;&gt;""),"",IF(Configuration!$G$2 = Configuration!$I$2,"",_xlfn.REGEXEXTRACT(CELL("address",AH167), "\$([A-Z]+)\$[0-9]+")))</f>
        <v/>
      </c>
      <c r="AI167" s="7" t="str" cm="1">
        <f t="array" aca="1" ref="AI167" ca="1">IF(OR('Raw Data'!AI167="",LEN(TRIM('Raw Data'!AI167))=0,Validate_Empty!AI167&lt;&gt;"",Validate_Value!AI167&lt;&gt;""),"",IF(Configuration!$H$2 = Configuration!$J$2,"",_xlfn.REGEXEXTRACT(CELL("address",AI167), "\$([A-Z]+)\$[0-9]+")))</f>
        <v/>
      </c>
      <c r="AJ167" s="7"/>
      <c r="AK167" s="7"/>
      <c r="AL167" s="7"/>
      <c r="AM167" s="7"/>
      <c r="AN167" s="7"/>
      <c r="AO167" s="7"/>
      <c r="AP167" s="7" t="str" cm="1">
        <f t="array" aca="1" ref="AP167" ca="1">IF(OR('Raw Data'!AP167="",LEN(TRIM('Raw Data'!AP167))=0,Validate_Empty!AP167&lt;&gt;"",Validate_Value!AP167&lt;&gt;""),"",IF('Raw Data'!AP167=SUM('Raw Data'!AK167:AO167),"",_xlfn.REGEXEXTRACT(CELL("address",AP167), "\$([A-Z]+)\$[0-9]+")))</f>
        <v/>
      </c>
    </row>
    <row r="168" spans="2:42" x14ac:dyDescent="0.25">
      <c r="B168" s="7"/>
      <c r="C168" s="7"/>
      <c r="D168" s="7"/>
      <c r="E168" s="7"/>
      <c r="F168" s="7"/>
      <c r="G168" s="7"/>
      <c r="H168" s="7"/>
      <c r="I168" s="7"/>
      <c r="J168" s="7" t="str" cm="1">
        <f t="array" aca="1" ref="J168" ca="1">IF(OR('Raw Data'!J168="",LEN(TRIM('Raw Data'!J168))=0,Validate_Empty!J168&lt;&gt;"",Validate_Value!J168&lt;&gt;""),"",IF('Raw Data'!J168=SUM('Raw Data'!K168:N168),"",_xlfn.REGEXEXTRACT(CELL("address",J168), "\$([A-Z]+)\$[0-9]+")))</f>
        <v/>
      </c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 t="str" cm="1">
        <f t="array" aca="1" ref="Z168" ca="1">IF(OR('Raw Data'!Z168="",LEN(TRIM('Raw Data'!Z168))=0,Validate_Empty!Z168&lt;&gt;"",Validate_Value!Z168&lt;&gt;""),"",IF('Raw Data'!Z168=SUM('Raw Data'!T168:Y168),"",_xlfn.REGEXEXTRACT(CELL("address",Z168), "\$([A-Z]+)\$[0-9]+")))</f>
        <v/>
      </c>
      <c r="AA168" s="7"/>
      <c r="AB168" s="7"/>
      <c r="AC168" s="7"/>
      <c r="AD168" s="7"/>
      <c r="AE168" s="7"/>
      <c r="AF168" s="7"/>
      <c r="AG168" s="7" t="str" cm="1">
        <f t="array" aca="1" ref="AG168" ca="1">IF(OR('Raw Data'!AG168="",LEN(TRIM('Raw Data'!AG168))=0,Validate_Empty!AG168&lt;&gt;"",Validate_Value!AG168&lt;&gt;""),"",IF('Raw Data'!AG168=SUM('Raw Data'!AA168:AF168),"",_xlfn.REGEXEXTRACT(CELL("address",AG168), "\$([A-Z]+)\$[0-9]+")))</f>
        <v/>
      </c>
      <c r="AH168" s="7" t="str" cm="1">
        <f t="array" aca="1" ref="AH168" ca="1">IF(OR('Raw Data'!AH168="",LEN(TRIM('Raw Data'!AH168))=0,Validate_Empty!AH168&lt;&gt;"",Validate_Value!AH168&lt;&gt;""),"",IF(Configuration!$G$2 = Configuration!$I$2,"",_xlfn.REGEXEXTRACT(CELL("address",AH168), "\$([A-Z]+)\$[0-9]+")))</f>
        <v/>
      </c>
      <c r="AI168" s="7" t="str" cm="1">
        <f t="array" aca="1" ref="AI168" ca="1">IF(OR('Raw Data'!AI168="",LEN(TRIM('Raw Data'!AI168))=0,Validate_Empty!AI168&lt;&gt;"",Validate_Value!AI168&lt;&gt;""),"",IF(Configuration!$H$2 = Configuration!$J$2,"",_xlfn.REGEXEXTRACT(CELL("address",AI168), "\$([A-Z]+)\$[0-9]+")))</f>
        <v/>
      </c>
      <c r="AJ168" s="7"/>
      <c r="AK168" s="7"/>
      <c r="AL168" s="7"/>
      <c r="AM168" s="7"/>
      <c r="AN168" s="7"/>
      <c r="AO168" s="7"/>
      <c r="AP168" s="7" t="str" cm="1">
        <f t="array" aca="1" ref="AP168" ca="1">IF(OR('Raw Data'!AP168="",LEN(TRIM('Raw Data'!AP168))=0,Validate_Empty!AP168&lt;&gt;"",Validate_Value!AP168&lt;&gt;""),"",IF('Raw Data'!AP168=SUM('Raw Data'!AK168:AO168),"",_xlfn.REGEXEXTRACT(CELL("address",AP168), "\$([A-Z]+)\$[0-9]+")))</f>
        <v/>
      </c>
    </row>
    <row r="169" spans="2:42" x14ac:dyDescent="0.25">
      <c r="B169" s="7"/>
      <c r="C169" s="7"/>
      <c r="D169" s="7"/>
      <c r="E169" s="7"/>
      <c r="F169" s="7"/>
      <c r="G169" s="7"/>
      <c r="H169" s="7"/>
      <c r="I169" s="7"/>
      <c r="J169" s="7" t="str" cm="1">
        <f t="array" aca="1" ref="J169" ca="1">IF(OR('Raw Data'!J169="",LEN(TRIM('Raw Data'!J169))=0,Validate_Empty!J169&lt;&gt;"",Validate_Value!J169&lt;&gt;""),"",IF('Raw Data'!J169=SUM('Raw Data'!K169:N169),"",_xlfn.REGEXEXTRACT(CELL("address",J169), "\$([A-Z]+)\$[0-9]+")))</f>
        <v/>
      </c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 t="str" cm="1">
        <f t="array" aca="1" ref="Z169" ca="1">IF(OR('Raw Data'!Z169="",LEN(TRIM('Raw Data'!Z169))=0,Validate_Empty!Z169&lt;&gt;"",Validate_Value!Z169&lt;&gt;""),"",IF('Raw Data'!Z169=SUM('Raw Data'!T169:Y169),"",_xlfn.REGEXEXTRACT(CELL("address",Z169), "\$([A-Z]+)\$[0-9]+")))</f>
        <v/>
      </c>
      <c r="AA169" s="7"/>
      <c r="AB169" s="7"/>
      <c r="AC169" s="7"/>
      <c r="AD169" s="7"/>
      <c r="AE169" s="7"/>
      <c r="AF169" s="7"/>
      <c r="AG169" s="7" t="str" cm="1">
        <f t="array" aca="1" ref="AG169" ca="1">IF(OR('Raw Data'!AG169="",LEN(TRIM('Raw Data'!AG169))=0,Validate_Empty!AG169&lt;&gt;"",Validate_Value!AG169&lt;&gt;""),"",IF('Raw Data'!AG169=SUM('Raw Data'!AA169:AF169),"",_xlfn.REGEXEXTRACT(CELL("address",AG169), "\$([A-Z]+)\$[0-9]+")))</f>
        <v/>
      </c>
      <c r="AH169" s="7" t="str" cm="1">
        <f t="array" aca="1" ref="AH169" ca="1">IF(OR('Raw Data'!AH169="",LEN(TRIM('Raw Data'!AH169))=0,Validate_Empty!AH169&lt;&gt;"",Validate_Value!AH169&lt;&gt;""),"",IF(Configuration!$G$2 = Configuration!$I$2,"",_xlfn.REGEXEXTRACT(CELL("address",AH169), "\$([A-Z]+)\$[0-9]+")))</f>
        <v/>
      </c>
      <c r="AI169" s="7" t="str" cm="1">
        <f t="array" aca="1" ref="AI169" ca="1">IF(OR('Raw Data'!AI169="",LEN(TRIM('Raw Data'!AI169))=0,Validate_Empty!AI169&lt;&gt;"",Validate_Value!AI169&lt;&gt;""),"",IF(Configuration!$H$2 = Configuration!$J$2,"",_xlfn.REGEXEXTRACT(CELL("address",AI169), "\$([A-Z]+)\$[0-9]+")))</f>
        <v/>
      </c>
      <c r="AJ169" s="7"/>
      <c r="AK169" s="7"/>
      <c r="AL169" s="7"/>
      <c r="AM169" s="7"/>
      <c r="AN169" s="7"/>
      <c r="AO169" s="7"/>
      <c r="AP169" s="7" t="str" cm="1">
        <f t="array" aca="1" ref="AP169" ca="1">IF(OR('Raw Data'!AP169="",LEN(TRIM('Raw Data'!AP169))=0,Validate_Empty!AP169&lt;&gt;"",Validate_Value!AP169&lt;&gt;""),"",IF('Raw Data'!AP169=SUM('Raw Data'!AK169:AO169),"",_xlfn.REGEXEXTRACT(CELL("address",AP169), "\$([A-Z]+)\$[0-9]+")))</f>
        <v/>
      </c>
    </row>
    <row r="170" spans="2:42" x14ac:dyDescent="0.25">
      <c r="B170" s="7"/>
      <c r="C170" s="7"/>
      <c r="D170" s="7"/>
      <c r="E170" s="7"/>
      <c r="F170" s="7"/>
      <c r="G170" s="7"/>
      <c r="H170" s="7"/>
      <c r="I170" s="7"/>
      <c r="J170" s="7" t="str" cm="1">
        <f t="array" aca="1" ref="J170" ca="1">IF(OR('Raw Data'!J170="",LEN(TRIM('Raw Data'!J170))=0,Validate_Empty!J170&lt;&gt;"",Validate_Value!J170&lt;&gt;""),"",IF('Raw Data'!J170=SUM('Raw Data'!K170:N170),"",_xlfn.REGEXEXTRACT(CELL("address",J170), "\$([A-Z]+)\$[0-9]+")))</f>
        <v/>
      </c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 t="str" cm="1">
        <f t="array" aca="1" ref="Z170" ca="1">IF(OR('Raw Data'!Z170="",LEN(TRIM('Raw Data'!Z170))=0,Validate_Empty!Z170&lt;&gt;"",Validate_Value!Z170&lt;&gt;""),"",IF('Raw Data'!Z170=SUM('Raw Data'!T170:Y170),"",_xlfn.REGEXEXTRACT(CELL("address",Z170), "\$([A-Z]+)\$[0-9]+")))</f>
        <v/>
      </c>
      <c r="AA170" s="7"/>
      <c r="AB170" s="7"/>
      <c r="AC170" s="7"/>
      <c r="AD170" s="7"/>
      <c r="AE170" s="7"/>
      <c r="AF170" s="7"/>
      <c r="AG170" s="7" t="str" cm="1">
        <f t="array" aca="1" ref="AG170" ca="1">IF(OR('Raw Data'!AG170="",LEN(TRIM('Raw Data'!AG170))=0,Validate_Empty!AG170&lt;&gt;"",Validate_Value!AG170&lt;&gt;""),"",IF('Raw Data'!AG170=SUM('Raw Data'!AA170:AF170),"",_xlfn.REGEXEXTRACT(CELL("address",AG170), "\$([A-Z]+)\$[0-9]+")))</f>
        <v/>
      </c>
      <c r="AH170" s="7" t="str" cm="1">
        <f t="array" aca="1" ref="AH170" ca="1">IF(OR('Raw Data'!AH170="",LEN(TRIM('Raw Data'!AH170))=0,Validate_Empty!AH170&lt;&gt;"",Validate_Value!AH170&lt;&gt;""),"",IF(Configuration!$G$2 = Configuration!$I$2,"",_xlfn.REGEXEXTRACT(CELL("address",AH170), "\$([A-Z]+)\$[0-9]+")))</f>
        <v/>
      </c>
      <c r="AI170" s="7" t="str" cm="1">
        <f t="array" aca="1" ref="AI170" ca="1">IF(OR('Raw Data'!AI170="",LEN(TRIM('Raw Data'!AI170))=0,Validate_Empty!AI170&lt;&gt;"",Validate_Value!AI170&lt;&gt;""),"",IF(Configuration!$H$2 = Configuration!$J$2,"",_xlfn.REGEXEXTRACT(CELL("address",AI170), "\$([A-Z]+)\$[0-9]+")))</f>
        <v/>
      </c>
      <c r="AJ170" s="7"/>
      <c r="AK170" s="7"/>
      <c r="AL170" s="7"/>
      <c r="AM170" s="7"/>
      <c r="AN170" s="7"/>
      <c r="AO170" s="7"/>
      <c r="AP170" s="7" t="str" cm="1">
        <f t="array" aca="1" ref="AP170" ca="1">IF(OR('Raw Data'!AP170="",LEN(TRIM('Raw Data'!AP170))=0,Validate_Empty!AP170&lt;&gt;"",Validate_Value!AP170&lt;&gt;""),"",IF('Raw Data'!AP170=SUM('Raw Data'!AK170:AO170),"",_xlfn.REGEXEXTRACT(CELL("address",AP170), "\$([A-Z]+)\$[0-9]+")))</f>
        <v/>
      </c>
    </row>
    <row r="171" spans="2:42" x14ac:dyDescent="0.25">
      <c r="B171" s="7"/>
      <c r="C171" s="7"/>
      <c r="D171" s="7"/>
      <c r="E171" s="7"/>
      <c r="F171" s="7"/>
      <c r="G171" s="7"/>
      <c r="H171" s="7"/>
      <c r="I171" s="7"/>
      <c r="J171" s="7" t="str" cm="1">
        <f t="array" aca="1" ref="J171" ca="1">IF(OR('Raw Data'!J171="",LEN(TRIM('Raw Data'!J171))=0,Validate_Empty!J171&lt;&gt;"",Validate_Value!J171&lt;&gt;""),"",IF('Raw Data'!J171=SUM('Raw Data'!K171:N171),"",_xlfn.REGEXEXTRACT(CELL("address",J171), "\$([A-Z]+)\$[0-9]+")))</f>
        <v/>
      </c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 t="str" cm="1">
        <f t="array" aca="1" ref="Z171" ca="1">IF(OR('Raw Data'!Z171="",LEN(TRIM('Raw Data'!Z171))=0,Validate_Empty!Z171&lt;&gt;"",Validate_Value!Z171&lt;&gt;""),"",IF('Raw Data'!Z171=SUM('Raw Data'!T171:Y171),"",_xlfn.REGEXEXTRACT(CELL("address",Z171), "\$([A-Z]+)\$[0-9]+")))</f>
        <v/>
      </c>
      <c r="AA171" s="7"/>
      <c r="AB171" s="7"/>
      <c r="AC171" s="7"/>
      <c r="AD171" s="7"/>
      <c r="AE171" s="7"/>
      <c r="AF171" s="7"/>
      <c r="AG171" s="7" t="str" cm="1">
        <f t="array" aca="1" ref="AG171" ca="1">IF(OR('Raw Data'!AG171="",LEN(TRIM('Raw Data'!AG171))=0,Validate_Empty!AG171&lt;&gt;"",Validate_Value!AG171&lt;&gt;""),"",IF('Raw Data'!AG171=SUM('Raw Data'!AA171:AF171),"",_xlfn.REGEXEXTRACT(CELL("address",AG171), "\$([A-Z]+)\$[0-9]+")))</f>
        <v/>
      </c>
      <c r="AH171" s="7" t="str" cm="1">
        <f t="array" aca="1" ref="AH171" ca="1">IF(OR('Raw Data'!AH171="",LEN(TRIM('Raw Data'!AH171))=0,Validate_Empty!AH171&lt;&gt;"",Validate_Value!AH171&lt;&gt;""),"",IF(Configuration!$G$2 = Configuration!$I$2,"",_xlfn.REGEXEXTRACT(CELL("address",AH171), "\$([A-Z]+)\$[0-9]+")))</f>
        <v/>
      </c>
      <c r="AI171" s="7" t="str" cm="1">
        <f t="array" aca="1" ref="AI171" ca="1">IF(OR('Raw Data'!AI171="",LEN(TRIM('Raw Data'!AI171))=0,Validate_Empty!AI171&lt;&gt;"",Validate_Value!AI171&lt;&gt;""),"",IF(Configuration!$H$2 = Configuration!$J$2,"",_xlfn.REGEXEXTRACT(CELL("address",AI171), "\$([A-Z]+)\$[0-9]+")))</f>
        <v/>
      </c>
      <c r="AJ171" s="7"/>
      <c r="AK171" s="7"/>
      <c r="AL171" s="7"/>
      <c r="AM171" s="7"/>
      <c r="AN171" s="7"/>
      <c r="AO171" s="7"/>
      <c r="AP171" s="7" t="str" cm="1">
        <f t="array" aca="1" ref="AP171" ca="1">IF(OR('Raw Data'!AP171="",LEN(TRIM('Raw Data'!AP171))=0,Validate_Empty!AP171&lt;&gt;"",Validate_Value!AP171&lt;&gt;""),"",IF('Raw Data'!AP171=SUM('Raw Data'!AK171:AO171),"",_xlfn.REGEXEXTRACT(CELL("address",AP171), "\$([A-Z]+)\$[0-9]+")))</f>
        <v/>
      </c>
    </row>
    <row r="172" spans="2:42" x14ac:dyDescent="0.25">
      <c r="B172" s="7"/>
      <c r="C172" s="7"/>
      <c r="D172" s="7"/>
      <c r="E172" s="7"/>
      <c r="F172" s="7"/>
      <c r="G172" s="7"/>
      <c r="H172" s="7"/>
      <c r="I172" s="7"/>
      <c r="J172" s="7" t="str" cm="1">
        <f t="array" aca="1" ref="J172" ca="1">IF(OR('Raw Data'!J172="",LEN(TRIM('Raw Data'!J172))=0,Validate_Empty!J172&lt;&gt;"",Validate_Value!J172&lt;&gt;""),"",IF('Raw Data'!J172=SUM('Raw Data'!K172:N172),"",_xlfn.REGEXEXTRACT(CELL("address",J172), "\$([A-Z]+)\$[0-9]+")))</f>
        <v/>
      </c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 t="str" cm="1">
        <f t="array" aca="1" ref="Z172" ca="1">IF(OR('Raw Data'!Z172="",LEN(TRIM('Raw Data'!Z172))=0,Validate_Empty!Z172&lt;&gt;"",Validate_Value!Z172&lt;&gt;""),"",IF('Raw Data'!Z172=SUM('Raw Data'!T172:Y172),"",_xlfn.REGEXEXTRACT(CELL("address",Z172), "\$([A-Z]+)\$[0-9]+")))</f>
        <v/>
      </c>
      <c r="AA172" s="7"/>
      <c r="AB172" s="7"/>
      <c r="AC172" s="7"/>
      <c r="AD172" s="7"/>
      <c r="AE172" s="7"/>
      <c r="AF172" s="7"/>
      <c r="AG172" s="7" t="str" cm="1">
        <f t="array" aca="1" ref="AG172" ca="1">IF(OR('Raw Data'!AG172="",LEN(TRIM('Raw Data'!AG172))=0,Validate_Empty!AG172&lt;&gt;"",Validate_Value!AG172&lt;&gt;""),"",IF('Raw Data'!AG172=SUM('Raw Data'!AA172:AF172),"",_xlfn.REGEXEXTRACT(CELL("address",AG172), "\$([A-Z]+)\$[0-9]+")))</f>
        <v/>
      </c>
      <c r="AH172" s="7" t="str" cm="1">
        <f t="array" aca="1" ref="AH172" ca="1">IF(OR('Raw Data'!AH172="",LEN(TRIM('Raw Data'!AH172))=0,Validate_Empty!AH172&lt;&gt;"",Validate_Value!AH172&lt;&gt;""),"",IF(Configuration!$G$2 = Configuration!$I$2,"",_xlfn.REGEXEXTRACT(CELL("address",AH172), "\$([A-Z]+)\$[0-9]+")))</f>
        <v/>
      </c>
      <c r="AI172" s="7" t="str" cm="1">
        <f t="array" aca="1" ref="AI172" ca="1">IF(OR('Raw Data'!AI172="",LEN(TRIM('Raw Data'!AI172))=0,Validate_Empty!AI172&lt;&gt;"",Validate_Value!AI172&lt;&gt;""),"",IF(Configuration!$H$2 = Configuration!$J$2,"",_xlfn.REGEXEXTRACT(CELL("address",AI172), "\$([A-Z]+)\$[0-9]+")))</f>
        <v/>
      </c>
      <c r="AJ172" s="7"/>
      <c r="AK172" s="7"/>
      <c r="AL172" s="7"/>
      <c r="AM172" s="7"/>
      <c r="AN172" s="7"/>
      <c r="AO172" s="7"/>
      <c r="AP172" s="7" t="str" cm="1">
        <f t="array" aca="1" ref="AP172" ca="1">IF(OR('Raw Data'!AP172="",LEN(TRIM('Raw Data'!AP172))=0,Validate_Empty!AP172&lt;&gt;"",Validate_Value!AP172&lt;&gt;""),"",IF('Raw Data'!AP172=SUM('Raw Data'!AK172:AO172),"",_xlfn.REGEXEXTRACT(CELL("address",AP172), "\$([A-Z]+)\$[0-9]+")))</f>
        <v/>
      </c>
    </row>
    <row r="173" spans="2:42" x14ac:dyDescent="0.25">
      <c r="B173" s="7"/>
      <c r="C173" s="7"/>
      <c r="D173" s="7"/>
      <c r="E173" s="7"/>
      <c r="F173" s="7"/>
      <c r="G173" s="7"/>
      <c r="H173" s="7"/>
      <c r="I173" s="7"/>
      <c r="J173" s="7" t="str" cm="1">
        <f t="array" aca="1" ref="J173" ca="1">IF(OR('Raw Data'!J173="",LEN(TRIM('Raw Data'!J173))=0,Validate_Empty!J173&lt;&gt;"",Validate_Value!J173&lt;&gt;""),"",IF('Raw Data'!J173=SUM('Raw Data'!K173:N173),"",_xlfn.REGEXEXTRACT(CELL("address",J173), "\$([A-Z]+)\$[0-9]+")))</f>
        <v/>
      </c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 t="str" cm="1">
        <f t="array" aca="1" ref="Z173" ca="1">IF(OR('Raw Data'!Z173="",LEN(TRIM('Raw Data'!Z173))=0,Validate_Empty!Z173&lt;&gt;"",Validate_Value!Z173&lt;&gt;""),"",IF('Raw Data'!Z173=SUM('Raw Data'!T173:Y173),"",_xlfn.REGEXEXTRACT(CELL("address",Z173), "\$([A-Z]+)\$[0-9]+")))</f>
        <v/>
      </c>
      <c r="AA173" s="7"/>
      <c r="AB173" s="7"/>
      <c r="AC173" s="7"/>
      <c r="AD173" s="7"/>
      <c r="AE173" s="7"/>
      <c r="AF173" s="7"/>
      <c r="AG173" s="7" t="str" cm="1">
        <f t="array" aca="1" ref="AG173" ca="1">IF(OR('Raw Data'!AG173="",LEN(TRIM('Raw Data'!AG173))=0,Validate_Empty!AG173&lt;&gt;"",Validate_Value!AG173&lt;&gt;""),"",IF('Raw Data'!AG173=SUM('Raw Data'!AA173:AF173),"",_xlfn.REGEXEXTRACT(CELL("address",AG173), "\$([A-Z]+)\$[0-9]+")))</f>
        <v/>
      </c>
      <c r="AH173" s="7" t="str" cm="1">
        <f t="array" aca="1" ref="AH173" ca="1">IF(OR('Raw Data'!AH173="",LEN(TRIM('Raw Data'!AH173))=0,Validate_Empty!AH173&lt;&gt;"",Validate_Value!AH173&lt;&gt;""),"",IF(Configuration!$G$2 = Configuration!$I$2,"",_xlfn.REGEXEXTRACT(CELL("address",AH173), "\$([A-Z]+)\$[0-9]+")))</f>
        <v/>
      </c>
      <c r="AI173" s="7" t="str" cm="1">
        <f t="array" aca="1" ref="AI173" ca="1">IF(OR('Raw Data'!AI173="",LEN(TRIM('Raw Data'!AI173))=0,Validate_Empty!AI173&lt;&gt;"",Validate_Value!AI173&lt;&gt;""),"",IF(Configuration!$H$2 = Configuration!$J$2,"",_xlfn.REGEXEXTRACT(CELL("address",AI173), "\$([A-Z]+)\$[0-9]+")))</f>
        <v/>
      </c>
      <c r="AJ173" s="7"/>
      <c r="AK173" s="7"/>
      <c r="AL173" s="7"/>
      <c r="AM173" s="7"/>
      <c r="AN173" s="7"/>
      <c r="AO173" s="7"/>
      <c r="AP173" s="7" t="str" cm="1">
        <f t="array" aca="1" ref="AP173" ca="1">IF(OR('Raw Data'!AP173="",LEN(TRIM('Raw Data'!AP173))=0,Validate_Empty!AP173&lt;&gt;"",Validate_Value!AP173&lt;&gt;""),"",IF('Raw Data'!AP173=SUM('Raw Data'!AK173:AO173),"",_xlfn.REGEXEXTRACT(CELL("address",AP173), "\$([A-Z]+)\$[0-9]+")))</f>
        <v/>
      </c>
    </row>
    <row r="174" spans="2:42" x14ac:dyDescent="0.25">
      <c r="B174" s="7"/>
      <c r="C174" s="7"/>
      <c r="D174" s="7"/>
      <c r="E174" s="7"/>
      <c r="F174" s="7"/>
      <c r="G174" s="7"/>
      <c r="H174" s="7"/>
      <c r="I174" s="7"/>
      <c r="J174" s="7" t="str" cm="1">
        <f t="array" aca="1" ref="J174" ca="1">IF(OR('Raw Data'!J174="",LEN(TRIM('Raw Data'!J174))=0,Validate_Empty!J174&lt;&gt;"",Validate_Value!J174&lt;&gt;""),"",IF('Raw Data'!J174=SUM('Raw Data'!K174:N174),"",_xlfn.REGEXEXTRACT(CELL("address",J174), "\$([A-Z]+)\$[0-9]+")))</f>
        <v/>
      </c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 t="str" cm="1">
        <f t="array" aca="1" ref="Z174" ca="1">IF(OR('Raw Data'!Z174="",LEN(TRIM('Raw Data'!Z174))=0,Validate_Empty!Z174&lt;&gt;"",Validate_Value!Z174&lt;&gt;""),"",IF('Raw Data'!Z174=SUM('Raw Data'!T174:Y174),"",_xlfn.REGEXEXTRACT(CELL("address",Z174), "\$([A-Z]+)\$[0-9]+")))</f>
        <v/>
      </c>
      <c r="AA174" s="7"/>
      <c r="AB174" s="7"/>
      <c r="AC174" s="7"/>
      <c r="AD174" s="7"/>
      <c r="AE174" s="7"/>
      <c r="AF174" s="7"/>
      <c r="AG174" s="7" t="str" cm="1">
        <f t="array" aca="1" ref="AG174" ca="1">IF(OR('Raw Data'!AG174="",LEN(TRIM('Raw Data'!AG174))=0,Validate_Empty!AG174&lt;&gt;"",Validate_Value!AG174&lt;&gt;""),"",IF('Raw Data'!AG174=SUM('Raw Data'!AA174:AF174),"",_xlfn.REGEXEXTRACT(CELL("address",AG174), "\$([A-Z]+)\$[0-9]+")))</f>
        <v/>
      </c>
      <c r="AH174" s="7" t="str" cm="1">
        <f t="array" aca="1" ref="AH174" ca="1">IF(OR('Raw Data'!AH174="",LEN(TRIM('Raw Data'!AH174))=0,Validate_Empty!AH174&lt;&gt;"",Validate_Value!AH174&lt;&gt;""),"",IF(Configuration!$G$2 = Configuration!$I$2,"",_xlfn.REGEXEXTRACT(CELL("address",AH174), "\$([A-Z]+)\$[0-9]+")))</f>
        <v/>
      </c>
      <c r="AI174" s="7" t="str" cm="1">
        <f t="array" aca="1" ref="AI174" ca="1">IF(OR('Raw Data'!AI174="",LEN(TRIM('Raw Data'!AI174))=0,Validate_Empty!AI174&lt;&gt;"",Validate_Value!AI174&lt;&gt;""),"",IF(Configuration!$H$2 = Configuration!$J$2,"",_xlfn.REGEXEXTRACT(CELL("address",AI174), "\$([A-Z]+)\$[0-9]+")))</f>
        <v/>
      </c>
      <c r="AJ174" s="7"/>
      <c r="AK174" s="7"/>
      <c r="AL174" s="7"/>
      <c r="AM174" s="7"/>
      <c r="AN174" s="7"/>
      <c r="AO174" s="7"/>
      <c r="AP174" s="7" t="str" cm="1">
        <f t="array" aca="1" ref="AP174" ca="1">IF(OR('Raw Data'!AP174="",LEN(TRIM('Raw Data'!AP174))=0,Validate_Empty!AP174&lt;&gt;"",Validate_Value!AP174&lt;&gt;""),"",IF('Raw Data'!AP174=SUM('Raw Data'!AK174:AO174),"",_xlfn.REGEXEXTRACT(CELL("address",AP174), "\$([A-Z]+)\$[0-9]+")))</f>
        <v/>
      </c>
    </row>
    <row r="175" spans="2:42" x14ac:dyDescent="0.25">
      <c r="B175" s="7"/>
      <c r="C175" s="7"/>
      <c r="D175" s="7"/>
      <c r="E175" s="7"/>
      <c r="F175" s="7"/>
      <c r="G175" s="7"/>
      <c r="H175" s="7"/>
      <c r="I175" s="7"/>
      <c r="J175" s="7" t="str" cm="1">
        <f t="array" aca="1" ref="J175" ca="1">IF(OR('Raw Data'!J175="",LEN(TRIM('Raw Data'!J175))=0,Validate_Empty!J175&lt;&gt;"",Validate_Value!J175&lt;&gt;""),"",IF('Raw Data'!J175=SUM('Raw Data'!K175:N175),"",_xlfn.REGEXEXTRACT(CELL("address",J175), "\$([A-Z]+)\$[0-9]+")))</f>
        <v/>
      </c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 t="str" cm="1">
        <f t="array" aca="1" ref="Z175" ca="1">IF(OR('Raw Data'!Z175="",LEN(TRIM('Raw Data'!Z175))=0,Validate_Empty!Z175&lt;&gt;"",Validate_Value!Z175&lt;&gt;""),"",IF('Raw Data'!Z175=SUM('Raw Data'!T175:Y175),"",_xlfn.REGEXEXTRACT(CELL("address",Z175), "\$([A-Z]+)\$[0-9]+")))</f>
        <v/>
      </c>
      <c r="AA175" s="7"/>
      <c r="AB175" s="7"/>
      <c r="AC175" s="7"/>
      <c r="AD175" s="7"/>
      <c r="AE175" s="7"/>
      <c r="AF175" s="7"/>
      <c r="AG175" s="7" t="str" cm="1">
        <f t="array" aca="1" ref="AG175" ca="1">IF(OR('Raw Data'!AG175="",LEN(TRIM('Raw Data'!AG175))=0,Validate_Empty!AG175&lt;&gt;"",Validate_Value!AG175&lt;&gt;""),"",IF('Raw Data'!AG175=SUM('Raw Data'!AA175:AF175),"",_xlfn.REGEXEXTRACT(CELL("address",AG175), "\$([A-Z]+)\$[0-9]+")))</f>
        <v/>
      </c>
      <c r="AH175" s="7" t="str" cm="1">
        <f t="array" aca="1" ref="AH175" ca="1">IF(OR('Raw Data'!AH175="",LEN(TRIM('Raw Data'!AH175))=0,Validate_Empty!AH175&lt;&gt;"",Validate_Value!AH175&lt;&gt;""),"",IF(Configuration!$G$2 = Configuration!$I$2,"",_xlfn.REGEXEXTRACT(CELL("address",AH175), "\$([A-Z]+)\$[0-9]+")))</f>
        <v/>
      </c>
      <c r="AI175" s="7" t="str" cm="1">
        <f t="array" aca="1" ref="AI175" ca="1">IF(OR('Raw Data'!AI175="",LEN(TRIM('Raw Data'!AI175))=0,Validate_Empty!AI175&lt;&gt;"",Validate_Value!AI175&lt;&gt;""),"",IF(Configuration!$H$2 = Configuration!$J$2,"",_xlfn.REGEXEXTRACT(CELL("address",AI175), "\$([A-Z]+)\$[0-9]+")))</f>
        <v/>
      </c>
      <c r="AJ175" s="7"/>
      <c r="AK175" s="7"/>
      <c r="AL175" s="7"/>
      <c r="AM175" s="7"/>
      <c r="AN175" s="7"/>
      <c r="AO175" s="7"/>
      <c r="AP175" s="7" t="str" cm="1">
        <f t="array" aca="1" ref="AP175" ca="1">IF(OR('Raw Data'!AP175="",LEN(TRIM('Raw Data'!AP175))=0,Validate_Empty!AP175&lt;&gt;"",Validate_Value!AP175&lt;&gt;""),"",IF('Raw Data'!AP175=SUM('Raw Data'!AK175:AO175),"",_xlfn.REGEXEXTRACT(CELL("address",AP175), "\$([A-Z]+)\$[0-9]+")))</f>
        <v/>
      </c>
    </row>
    <row r="176" spans="2:42" x14ac:dyDescent="0.25">
      <c r="B176" s="7"/>
      <c r="C176" s="7"/>
      <c r="D176" s="7"/>
      <c r="E176" s="7"/>
      <c r="F176" s="7"/>
      <c r="G176" s="7"/>
      <c r="H176" s="7"/>
      <c r="I176" s="7"/>
      <c r="J176" s="7" t="str" cm="1">
        <f t="array" aca="1" ref="J176" ca="1">IF(OR('Raw Data'!J176="",LEN(TRIM('Raw Data'!J176))=0,Validate_Empty!J176&lt;&gt;"",Validate_Value!J176&lt;&gt;""),"",IF('Raw Data'!J176=SUM('Raw Data'!K176:N176),"",_xlfn.REGEXEXTRACT(CELL("address",J176), "\$([A-Z]+)\$[0-9]+")))</f>
        <v/>
      </c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 t="str" cm="1">
        <f t="array" aca="1" ref="Z176" ca="1">IF(OR('Raw Data'!Z176="",LEN(TRIM('Raw Data'!Z176))=0,Validate_Empty!Z176&lt;&gt;"",Validate_Value!Z176&lt;&gt;""),"",IF('Raw Data'!Z176=SUM('Raw Data'!T176:Y176),"",_xlfn.REGEXEXTRACT(CELL("address",Z176), "\$([A-Z]+)\$[0-9]+")))</f>
        <v/>
      </c>
      <c r="AA176" s="7"/>
      <c r="AB176" s="7"/>
      <c r="AC176" s="7"/>
      <c r="AD176" s="7"/>
      <c r="AE176" s="7"/>
      <c r="AF176" s="7"/>
      <c r="AG176" s="7" t="str" cm="1">
        <f t="array" aca="1" ref="AG176" ca="1">IF(OR('Raw Data'!AG176="",LEN(TRIM('Raw Data'!AG176))=0,Validate_Empty!AG176&lt;&gt;"",Validate_Value!AG176&lt;&gt;""),"",IF('Raw Data'!AG176=SUM('Raw Data'!AA176:AF176),"",_xlfn.REGEXEXTRACT(CELL("address",AG176), "\$([A-Z]+)\$[0-9]+")))</f>
        <v/>
      </c>
      <c r="AH176" s="7" t="str" cm="1">
        <f t="array" aca="1" ref="AH176" ca="1">IF(OR('Raw Data'!AH176="",LEN(TRIM('Raw Data'!AH176))=0,Validate_Empty!AH176&lt;&gt;"",Validate_Value!AH176&lt;&gt;""),"",IF(Configuration!$G$2 = Configuration!$I$2,"",_xlfn.REGEXEXTRACT(CELL("address",AH176), "\$([A-Z]+)\$[0-9]+")))</f>
        <v/>
      </c>
      <c r="AI176" s="7" t="str" cm="1">
        <f t="array" aca="1" ref="AI176" ca="1">IF(OR('Raw Data'!AI176="",LEN(TRIM('Raw Data'!AI176))=0,Validate_Empty!AI176&lt;&gt;"",Validate_Value!AI176&lt;&gt;""),"",IF(Configuration!$H$2 = Configuration!$J$2,"",_xlfn.REGEXEXTRACT(CELL("address",AI176), "\$([A-Z]+)\$[0-9]+")))</f>
        <v/>
      </c>
      <c r="AJ176" s="7"/>
      <c r="AK176" s="7"/>
      <c r="AL176" s="7"/>
      <c r="AM176" s="7"/>
      <c r="AN176" s="7"/>
      <c r="AO176" s="7"/>
      <c r="AP176" s="7" t="str" cm="1">
        <f t="array" aca="1" ref="AP176" ca="1">IF(OR('Raw Data'!AP176="",LEN(TRIM('Raw Data'!AP176))=0,Validate_Empty!AP176&lt;&gt;"",Validate_Value!AP176&lt;&gt;""),"",IF('Raw Data'!AP176=SUM('Raw Data'!AK176:AO176),"",_xlfn.REGEXEXTRACT(CELL("address",AP176), "\$([A-Z]+)\$[0-9]+")))</f>
        <v/>
      </c>
    </row>
    <row r="177" spans="2:42" x14ac:dyDescent="0.25">
      <c r="B177" s="7"/>
      <c r="C177" s="7"/>
      <c r="D177" s="7"/>
      <c r="E177" s="7"/>
      <c r="F177" s="7"/>
      <c r="G177" s="7"/>
      <c r="H177" s="7"/>
      <c r="I177" s="7"/>
      <c r="J177" s="7" t="str" cm="1">
        <f t="array" aca="1" ref="J177" ca="1">IF(OR('Raw Data'!J177="",LEN(TRIM('Raw Data'!J177))=0,Validate_Empty!J177&lt;&gt;"",Validate_Value!J177&lt;&gt;""),"",IF('Raw Data'!J177=SUM('Raw Data'!K177:N177),"",_xlfn.REGEXEXTRACT(CELL("address",J177), "\$([A-Z]+)\$[0-9]+")))</f>
        <v/>
      </c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 t="str" cm="1">
        <f t="array" aca="1" ref="Z177" ca="1">IF(OR('Raw Data'!Z177="",LEN(TRIM('Raw Data'!Z177))=0,Validate_Empty!Z177&lt;&gt;"",Validate_Value!Z177&lt;&gt;""),"",IF('Raw Data'!Z177=SUM('Raw Data'!T177:Y177),"",_xlfn.REGEXEXTRACT(CELL("address",Z177), "\$([A-Z]+)\$[0-9]+")))</f>
        <v/>
      </c>
      <c r="AA177" s="7"/>
      <c r="AB177" s="7"/>
      <c r="AC177" s="7"/>
      <c r="AD177" s="7"/>
      <c r="AE177" s="7"/>
      <c r="AF177" s="7"/>
      <c r="AG177" s="7" t="str" cm="1">
        <f t="array" aca="1" ref="AG177" ca="1">IF(OR('Raw Data'!AG177="",LEN(TRIM('Raw Data'!AG177))=0,Validate_Empty!AG177&lt;&gt;"",Validate_Value!AG177&lt;&gt;""),"",IF('Raw Data'!AG177=SUM('Raw Data'!AA177:AF177),"",_xlfn.REGEXEXTRACT(CELL("address",AG177), "\$([A-Z]+)\$[0-9]+")))</f>
        <v/>
      </c>
      <c r="AH177" s="7" t="str" cm="1">
        <f t="array" aca="1" ref="AH177" ca="1">IF(OR('Raw Data'!AH177="",LEN(TRIM('Raw Data'!AH177))=0,Validate_Empty!AH177&lt;&gt;"",Validate_Value!AH177&lt;&gt;""),"",IF(Configuration!$G$2 = Configuration!$I$2,"",_xlfn.REGEXEXTRACT(CELL("address",AH177), "\$([A-Z]+)\$[0-9]+")))</f>
        <v/>
      </c>
      <c r="AI177" s="7" t="str" cm="1">
        <f t="array" aca="1" ref="AI177" ca="1">IF(OR('Raw Data'!AI177="",LEN(TRIM('Raw Data'!AI177))=0,Validate_Empty!AI177&lt;&gt;"",Validate_Value!AI177&lt;&gt;""),"",IF(Configuration!$H$2 = Configuration!$J$2,"",_xlfn.REGEXEXTRACT(CELL("address",AI177), "\$([A-Z]+)\$[0-9]+")))</f>
        <v/>
      </c>
      <c r="AJ177" s="7"/>
      <c r="AK177" s="7"/>
      <c r="AL177" s="7"/>
      <c r="AM177" s="7"/>
      <c r="AN177" s="7"/>
      <c r="AO177" s="7"/>
      <c r="AP177" s="7" t="str" cm="1">
        <f t="array" aca="1" ref="AP177" ca="1">IF(OR('Raw Data'!AP177="",LEN(TRIM('Raw Data'!AP177))=0,Validate_Empty!AP177&lt;&gt;"",Validate_Value!AP177&lt;&gt;""),"",IF('Raw Data'!AP177=SUM('Raw Data'!AK177:AO177),"",_xlfn.REGEXEXTRACT(CELL("address",AP177), "\$([A-Z]+)\$[0-9]+")))</f>
        <v/>
      </c>
    </row>
    <row r="178" spans="2:42" x14ac:dyDescent="0.25">
      <c r="B178" s="7"/>
      <c r="C178" s="7"/>
      <c r="D178" s="7"/>
      <c r="E178" s="7"/>
      <c r="F178" s="7"/>
      <c r="G178" s="7"/>
      <c r="H178" s="7"/>
      <c r="I178" s="7"/>
      <c r="J178" s="7" t="str" cm="1">
        <f t="array" aca="1" ref="J178" ca="1">IF(OR('Raw Data'!J178="",LEN(TRIM('Raw Data'!J178))=0,Validate_Empty!J178&lt;&gt;"",Validate_Value!J178&lt;&gt;""),"",IF('Raw Data'!J178=SUM('Raw Data'!K178:N178),"",_xlfn.REGEXEXTRACT(CELL("address",J178), "\$([A-Z]+)\$[0-9]+")))</f>
        <v/>
      </c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 t="str" cm="1">
        <f t="array" aca="1" ref="Z178" ca="1">IF(OR('Raw Data'!Z178="",LEN(TRIM('Raw Data'!Z178))=0,Validate_Empty!Z178&lt;&gt;"",Validate_Value!Z178&lt;&gt;""),"",IF('Raw Data'!Z178=SUM('Raw Data'!T178:Y178),"",_xlfn.REGEXEXTRACT(CELL("address",Z178), "\$([A-Z]+)\$[0-9]+")))</f>
        <v/>
      </c>
      <c r="AA178" s="7"/>
      <c r="AB178" s="7"/>
      <c r="AC178" s="7"/>
      <c r="AD178" s="7"/>
      <c r="AE178" s="7"/>
      <c r="AF178" s="7"/>
      <c r="AG178" s="7" t="str" cm="1">
        <f t="array" aca="1" ref="AG178" ca="1">IF(OR('Raw Data'!AG178="",LEN(TRIM('Raw Data'!AG178))=0,Validate_Empty!AG178&lt;&gt;"",Validate_Value!AG178&lt;&gt;""),"",IF('Raw Data'!AG178=SUM('Raw Data'!AA178:AF178),"",_xlfn.REGEXEXTRACT(CELL("address",AG178), "\$([A-Z]+)\$[0-9]+")))</f>
        <v/>
      </c>
      <c r="AH178" s="7" t="str" cm="1">
        <f t="array" aca="1" ref="AH178" ca="1">IF(OR('Raw Data'!AH178="",LEN(TRIM('Raw Data'!AH178))=0,Validate_Empty!AH178&lt;&gt;"",Validate_Value!AH178&lt;&gt;""),"",IF(Configuration!$G$2 = Configuration!$I$2,"",_xlfn.REGEXEXTRACT(CELL("address",AH178), "\$([A-Z]+)\$[0-9]+")))</f>
        <v/>
      </c>
      <c r="AI178" s="7" t="str" cm="1">
        <f t="array" aca="1" ref="AI178" ca="1">IF(OR('Raw Data'!AI178="",LEN(TRIM('Raw Data'!AI178))=0,Validate_Empty!AI178&lt;&gt;"",Validate_Value!AI178&lt;&gt;""),"",IF(Configuration!$H$2 = Configuration!$J$2,"",_xlfn.REGEXEXTRACT(CELL("address",AI178), "\$([A-Z]+)\$[0-9]+")))</f>
        <v/>
      </c>
      <c r="AJ178" s="7"/>
      <c r="AK178" s="7"/>
      <c r="AL178" s="7"/>
      <c r="AM178" s="7"/>
      <c r="AN178" s="7"/>
      <c r="AO178" s="7"/>
      <c r="AP178" s="7" t="str" cm="1">
        <f t="array" aca="1" ref="AP178" ca="1">IF(OR('Raw Data'!AP178="",LEN(TRIM('Raw Data'!AP178))=0,Validate_Empty!AP178&lt;&gt;"",Validate_Value!AP178&lt;&gt;""),"",IF('Raw Data'!AP178=SUM('Raw Data'!AK178:AO178),"",_xlfn.REGEXEXTRACT(CELL("address",AP178), "\$([A-Z]+)\$[0-9]+")))</f>
        <v/>
      </c>
    </row>
    <row r="179" spans="2:42" x14ac:dyDescent="0.25">
      <c r="B179" s="7"/>
      <c r="C179" s="7"/>
      <c r="D179" s="7"/>
      <c r="E179" s="7"/>
      <c r="F179" s="7"/>
      <c r="G179" s="7"/>
      <c r="H179" s="7"/>
      <c r="I179" s="7"/>
      <c r="J179" s="7" t="str" cm="1">
        <f t="array" aca="1" ref="J179" ca="1">IF(OR('Raw Data'!J179="",LEN(TRIM('Raw Data'!J179))=0,Validate_Empty!J179&lt;&gt;"",Validate_Value!J179&lt;&gt;""),"",IF('Raw Data'!J179=SUM('Raw Data'!K179:N179),"",_xlfn.REGEXEXTRACT(CELL("address",J179), "\$([A-Z]+)\$[0-9]+")))</f>
        <v/>
      </c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 t="str" cm="1">
        <f t="array" aca="1" ref="Z179" ca="1">IF(OR('Raw Data'!Z179="",LEN(TRIM('Raw Data'!Z179))=0,Validate_Empty!Z179&lt;&gt;"",Validate_Value!Z179&lt;&gt;""),"",IF('Raw Data'!Z179=SUM('Raw Data'!T179:Y179),"",_xlfn.REGEXEXTRACT(CELL("address",Z179), "\$([A-Z]+)\$[0-9]+")))</f>
        <v/>
      </c>
      <c r="AA179" s="7"/>
      <c r="AB179" s="7"/>
      <c r="AC179" s="7"/>
      <c r="AD179" s="7"/>
      <c r="AE179" s="7"/>
      <c r="AF179" s="7"/>
      <c r="AG179" s="7" t="str" cm="1">
        <f t="array" aca="1" ref="AG179" ca="1">IF(OR('Raw Data'!AG179="",LEN(TRIM('Raw Data'!AG179))=0,Validate_Empty!AG179&lt;&gt;"",Validate_Value!AG179&lt;&gt;""),"",IF('Raw Data'!AG179=SUM('Raw Data'!AA179:AF179),"",_xlfn.REGEXEXTRACT(CELL("address",AG179), "\$([A-Z]+)\$[0-9]+")))</f>
        <v/>
      </c>
      <c r="AH179" s="7" t="str" cm="1">
        <f t="array" aca="1" ref="AH179" ca="1">IF(OR('Raw Data'!AH179="",LEN(TRIM('Raw Data'!AH179))=0,Validate_Empty!AH179&lt;&gt;"",Validate_Value!AH179&lt;&gt;""),"",IF(Configuration!$G$2 = Configuration!$I$2,"",_xlfn.REGEXEXTRACT(CELL("address",AH179), "\$([A-Z]+)\$[0-9]+")))</f>
        <v/>
      </c>
      <c r="AI179" s="7" t="str" cm="1">
        <f t="array" aca="1" ref="AI179" ca="1">IF(OR('Raw Data'!AI179="",LEN(TRIM('Raw Data'!AI179))=0,Validate_Empty!AI179&lt;&gt;"",Validate_Value!AI179&lt;&gt;""),"",IF(Configuration!$H$2 = Configuration!$J$2,"",_xlfn.REGEXEXTRACT(CELL("address",AI179), "\$([A-Z]+)\$[0-9]+")))</f>
        <v/>
      </c>
      <c r="AJ179" s="7"/>
      <c r="AK179" s="7"/>
      <c r="AL179" s="7"/>
      <c r="AM179" s="7"/>
      <c r="AN179" s="7"/>
      <c r="AO179" s="7"/>
      <c r="AP179" s="7" t="str" cm="1">
        <f t="array" aca="1" ref="AP179" ca="1">IF(OR('Raw Data'!AP179="",LEN(TRIM('Raw Data'!AP179))=0,Validate_Empty!AP179&lt;&gt;"",Validate_Value!AP179&lt;&gt;""),"",IF('Raw Data'!AP179=SUM('Raw Data'!AK179:AO179),"",_xlfn.REGEXEXTRACT(CELL("address",AP179), "\$([A-Z]+)\$[0-9]+")))</f>
        <v/>
      </c>
    </row>
    <row r="180" spans="2:42" x14ac:dyDescent="0.25">
      <c r="B180" s="7"/>
      <c r="C180" s="7"/>
      <c r="D180" s="7"/>
      <c r="E180" s="7"/>
      <c r="F180" s="7"/>
      <c r="G180" s="7"/>
      <c r="H180" s="7"/>
      <c r="I180" s="7"/>
      <c r="J180" s="7" t="str" cm="1">
        <f t="array" aca="1" ref="J180" ca="1">IF(OR('Raw Data'!J180="",LEN(TRIM('Raw Data'!J180))=0,Validate_Empty!J180&lt;&gt;"",Validate_Value!J180&lt;&gt;""),"",IF('Raw Data'!J180=SUM('Raw Data'!K180:N180),"",_xlfn.REGEXEXTRACT(CELL("address",J180), "\$([A-Z]+)\$[0-9]+")))</f>
        <v/>
      </c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 t="str" cm="1">
        <f t="array" aca="1" ref="Z180" ca="1">IF(OR('Raw Data'!Z180="",LEN(TRIM('Raw Data'!Z180))=0,Validate_Empty!Z180&lt;&gt;"",Validate_Value!Z180&lt;&gt;""),"",IF('Raw Data'!Z180=SUM('Raw Data'!T180:Y180),"",_xlfn.REGEXEXTRACT(CELL("address",Z180), "\$([A-Z]+)\$[0-9]+")))</f>
        <v/>
      </c>
      <c r="AA180" s="7"/>
      <c r="AB180" s="7"/>
      <c r="AC180" s="7"/>
      <c r="AD180" s="7"/>
      <c r="AE180" s="7"/>
      <c r="AF180" s="7"/>
      <c r="AG180" s="7" t="str" cm="1">
        <f t="array" aca="1" ref="AG180" ca="1">IF(OR('Raw Data'!AG180="",LEN(TRIM('Raw Data'!AG180))=0,Validate_Empty!AG180&lt;&gt;"",Validate_Value!AG180&lt;&gt;""),"",IF('Raw Data'!AG180=SUM('Raw Data'!AA180:AF180),"",_xlfn.REGEXEXTRACT(CELL("address",AG180), "\$([A-Z]+)\$[0-9]+")))</f>
        <v/>
      </c>
      <c r="AH180" s="7" t="str" cm="1">
        <f t="array" aca="1" ref="AH180" ca="1">IF(OR('Raw Data'!AH180="",LEN(TRIM('Raw Data'!AH180))=0,Validate_Empty!AH180&lt;&gt;"",Validate_Value!AH180&lt;&gt;""),"",IF(Configuration!$G$2 = Configuration!$I$2,"",_xlfn.REGEXEXTRACT(CELL("address",AH180), "\$([A-Z]+)\$[0-9]+")))</f>
        <v/>
      </c>
      <c r="AI180" s="7" t="str" cm="1">
        <f t="array" aca="1" ref="AI180" ca="1">IF(OR('Raw Data'!AI180="",LEN(TRIM('Raw Data'!AI180))=0,Validate_Empty!AI180&lt;&gt;"",Validate_Value!AI180&lt;&gt;""),"",IF(Configuration!$H$2 = Configuration!$J$2,"",_xlfn.REGEXEXTRACT(CELL("address",AI180), "\$([A-Z]+)\$[0-9]+")))</f>
        <v/>
      </c>
      <c r="AJ180" s="7"/>
      <c r="AK180" s="7"/>
      <c r="AL180" s="7"/>
      <c r="AM180" s="7"/>
      <c r="AN180" s="7"/>
      <c r="AO180" s="7"/>
      <c r="AP180" s="7" t="str" cm="1">
        <f t="array" aca="1" ref="AP180" ca="1">IF(OR('Raw Data'!AP180="",LEN(TRIM('Raw Data'!AP180))=0,Validate_Empty!AP180&lt;&gt;"",Validate_Value!AP180&lt;&gt;""),"",IF('Raw Data'!AP180=SUM('Raw Data'!AK180:AO180),"",_xlfn.REGEXEXTRACT(CELL("address",AP180), "\$([A-Z]+)\$[0-9]+")))</f>
        <v/>
      </c>
    </row>
    <row r="181" spans="2:42" x14ac:dyDescent="0.25">
      <c r="B181" s="7"/>
      <c r="C181" s="7"/>
      <c r="D181" s="7"/>
      <c r="E181" s="7"/>
      <c r="F181" s="7"/>
      <c r="G181" s="7"/>
      <c r="H181" s="7"/>
      <c r="I181" s="7"/>
      <c r="J181" s="7" t="str" cm="1">
        <f t="array" aca="1" ref="J181" ca="1">IF(OR('Raw Data'!J181="",LEN(TRIM('Raw Data'!J181))=0,Validate_Empty!J181&lt;&gt;"",Validate_Value!J181&lt;&gt;""),"",IF('Raw Data'!J181=SUM('Raw Data'!K181:N181),"",_xlfn.REGEXEXTRACT(CELL("address",J181), "\$([A-Z]+)\$[0-9]+")))</f>
        <v/>
      </c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 t="str" cm="1">
        <f t="array" aca="1" ref="Z181" ca="1">IF(OR('Raw Data'!Z181="",LEN(TRIM('Raw Data'!Z181))=0,Validate_Empty!Z181&lt;&gt;"",Validate_Value!Z181&lt;&gt;""),"",IF('Raw Data'!Z181=SUM('Raw Data'!T181:Y181),"",_xlfn.REGEXEXTRACT(CELL("address",Z181), "\$([A-Z]+)\$[0-9]+")))</f>
        <v/>
      </c>
      <c r="AA181" s="7"/>
      <c r="AB181" s="7"/>
      <c r="AC181" s="7"/>
      <c r="AD181" s="7"/>
      <c r="AE181" s="7"/>
      <c r="AF181" s="7"/>
      <c r="AG181" s="7" t="str" cm="1">
        <f t="array" aca="1" ref="AG181" ca="1">IF(OR('Raw Data'!AG181="",LEN(TRIM('Raw Data'!AG181))=0,Validate_Empty!AG181&lt;&gt;"",Validate_Value!AG181&lt;&gt;""),"",IF('Raw Data'!AG181=SUM('Raw Data'!AA181:AF181),"",_xlfn.REGEXEXTRACT(CELL("address",AG181), "\$([A-Z]+)\$[0-9]+")))</f>
        <v/>
      </c>
      <c r="AH181" s="7" t="str" cm="1">
        <f t="array" aca="1" ref="AH181" ca="1">IF(OR('Raw Data'!AH181="",LEN(TRIM('Raw Data'!AH181))=0,Validate_Empty!AH181&lt;&gt;"",Validate_Value!AH181&lt;&gt;""),"",IF(Configuration!$G$2 = Configuration!$I$2,"",_xlfn.REGEXEXTRACT(CELL("address",AH181), "\$([A-Z]+)\$[0-9]+")))</f>
        <v/>
      </c>
      <c r="AI181" s="7" t="str" cm="1">
        <f t="array" aca="1" ref="AI181" ca="1">IF(OR('Raw Data'!AI181="",LEN(TRIM('Raw Data'!AI181))=0,Validate_Empty!AI181&lt;&gt;"",Validate_Value!AI181&lt;&gt;""),"",IF(Configuration!$H$2 = Configuration!$J$2,"",_xlfn.REGEXEXTRACT(CELL("address",AI181), "\$([A-Z]+)\$[0-9]+")))</f>
        <v/>
      </c>
      <c r="AJ181" s="7"/>
      <c r="AK181" s="7"/>
      <c r="AL181" s="7"/>
      <c r="AM181" s="7"/>
      <c r="AN181" s="7"/>
      <c r="AO181" s="7"/>
      <c r="AP181" s="7" t="str" cm="1">
        <f t="array" aca="1" ref="AP181" ca="1">IF(OR('Raw Data'!AP181="",LEN(TRIM('Raw Data'!AP181))=0,Validate_Empty!AP181&lt;&gt;"",Validate_Value!AP181&lt;&gt;""),"",IF('Raw Data'!AP181=SUM('Raw Data'!AK181:AO181),"",_xlfn.REGEXEXTRACT(CELL("address",AP181), "\$([A-Z]+)\$[0-9]+")))</f>
        <v/>
      </c>
    </row>
    <row r="182" spans="2:42" x14ac:dyDescent="0.25">
      <c r="B182" s="7"/>
      <c r="C182" s="7"/>
      <c r="D182" s="7"/>
      <c r="E182" s="7"/>
      <c r="F182" s="7"/>
      <c r="G182" s="7"/>
      <c r="H182" s="7"/>
      <c r="I182" s="7"/>
      <c r="J182" s="7" t="str" cm="1">
        <f t="array" aca="1" ref="J182" ca="1">IF(OR('Raw Data'!J182="",LEN(TRIM('Raw Data'!J182))=0,Validate_Empty!J182&lt;&gt;"",Validate_Value!J182&lt;&gt;""),"",IF('Raw Data'!J182=SUM('Raw Data'!K182:N182),"",_xlfn.REGEXEXTRACT(CELL("address",J182), "\$([A-Z]+)\$[0-9]+")))</f>
        <v/>
      </c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 t="str" cm="1">
        <f t="array" aca="1" ref="Z182" ca="1">IF(OR('Raw Data'!Z182="",LEN(TRIM('Raw Data'!Z182))=0,Validate_Empty!Z182&lt;&gt;"",Validate_Value!Z182&lt;&gt;""),"",IF('Raw Data'!Z182=SUM('Raw Data'!T182:Y182),"",_xlfn.REGEXEXTRACT(CELL("address",Z182), "\$([A-Z]+)\$[0-9]+")))</f>
        <v/>
      </c>
      <c r="AA182" s="7"/>
      <c r="AB182" s="7"/>
      <c r="AC182" s="7"/>
      <c r="AD182" s="7"/>
      <c r="AE182" s="7"/>
      <c r="AF182" s="7"/>
      <c r="AG182" s="7" t="str" cm="1">
        <f t="array" aca="1" ref="AG182" ca="1">IF(OR('Raw Data'!AG182="",LEN(TRIM('Raw Data'!AG182))=0,Validate_Empty!AG182&lt;&gt;"",Validate_Value!AG182&lt;&gt;""),"",IF('Raw Data'!AG182=SUM('Raw Data'!AA182:AF182),"",_xlfn.REGEXEXTRACT(CELL("address",AG182), "\$([A-Z]+)\$[0-9]+")))</f>
        <v/>
      </c>
      <c r="AH182" s="7" t="str" cm="1">
        <f t="array" aca="1" ref="AH182" ca="1">IF(OR('Raw Data'!AH182="",LEN(TRIM('Raw Data'!AH182))=0,Validate_Empty!AH182&lt;&gt;"",Validate_Value!AH182&lt;&gt;""),"",IF(Configuration!$G$2 = Configuration!$I$2,"",_xlfn.REGEXEXTRACT(CELL("address",AH182), "\$([A-Z]+)\$[0-9]+")))</f>
        <v/>
      </c>
      <c r="AI182" s="7" t="str" cm="1">
        <f t="array" aca="1" ref="AI182" ca="1">IF(OR('Raw Data'!AI182="",LEN(TRIM('Raw Data'!AI182))=0,Validate_Empty!AI182&lt;&gt;"",Validate_Value!AI182&lt;&gt;""),"",IF(Configuration!$H$2 = Configuration!$J$2,"",_xlfn.REGEXEXTRACT(CELL("address",AI182), "\$([A-Z]+)\$[0-9]+")))</f>
        <v/>
      </c>
      <c r="AJ182" s="7"/>
      <c r="AK182" s="7"/>
      <c r="AL182" s="7"/>
      <c r="AM182" s="7"/>
      <c r="AN182" s="7"/>
      <c r="AO182" s="7"/>
      <c r="AP182" s="7" t="str" cm="1">
        <f t="array" aca="1" ref="AP182" ca="1">IF(OR('Raw Data'!AP182="",LEN(TRIM('Raw Data'!AP182))=0,Validate_Empty!AP182&lt;&gt;"",Validate_Value!AP182&lt;&gt;""),"",IF('Raw Data'!AP182=SUM('Raw Data'!AK182:AO182),"",_xlfn.REGEXEXTRACT(CELL("address",AP182), "\$([A-Z]+)\$[0-9]+")))</f>
        <v/>
      </c>
    </row>
    <row r="183" spans="2:42" x14ac:dyDescent="0.25">
      <c r="B183" s="7"/>
      <c r="C183" s="7"/>
      <c r="D183" s="7"/>
      <c r="E183" s="7"/>
      <c r="F183" s="7"/>
      <c r="G183" s="7"/>
      <c r="H183" s="7"/>
      <c r="I183" s="7"/>
      <c r="J183" s="7" t="str" cm="1">
        <f t="array" aca="1" ref="J183" ca="1">IF(OR('Raw Data'!J183="",LEN(TRIM('Raw Data'!J183))=0,Validate_Empty!J183&lt;&gt;"",Validate_Value!J183&lt;&gt;""),"",IF('Raw Data'!J183=SUM('Raw Data'!K183:N183),"",_xlfn.REGEXEXTRACT(CELL("address",J183), "\$([A-Z]+)\$[0-9]+")))</f>
        <v/>
      </c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 t="str" cm="1">
        <f t="array" aca="1" ref="Z183" ca="1">IF(OR('Raw Data'!Z183="",LEN(TRIM('Raw Data'!Z183))=0,Validate_Empty!Z183&lt;&gt;"",Validate_Value!Z183&lt;&gt;""),"",IF('Raw Data'!Z183=SUM('Raw Data'!T183:Y183),"",_xlfn.REGEXEXTRACT(CELL("address",Z183), "\$([A-Z]+)\$[0-9]+")))</f>
        <v/>
      </c>
      <c r="AA183" s="7"/>
      <c r="AB183" s="7"/>
      <c r="AC183" s="7"/>
      <c r="AD183" s="7"/>
      <c r="AE183" s="7"/>
      <c r="AF183" s="7"/>
      <c r="AG183" s="7" t="str" cm="1">
        <f t="array" aca="1" ref="AG183" ca="1">IF(OR('Raw Data'!AG183="",LEN(TRIM('Raw Data'!AG183))=0,Validate_Empty!AG183&lt;&gt;"",Validate_Value!AG183&lt;&gt;""),"",IF('Raw Data'!AG183=SUM('Raw Data'!AA183:AF183),"",_xlfn.REGEXEXTRACT(CELL("address",AG183), "\$([A-Z]+)\$[0-9]+")))</f>
        <v/>
      </c>
      <c r="AH183" s="7" t="str" cm="1">
        <f t="array" aca="1" ref="AH183" ca="1">IF(OR('Raw Data'!AH183="",LEN(TRIM('Raw Data'!AH183))=0,Validate_Empty!AH183&lt;&gt;"",Validate_Value!AH183&lt;&gt;""),"",IF(Configuration!$G$2 = Configuration!$I$2,"",_xlfn.REGEXEXTRACT(CELL("address",AH183), "\$([A-Z]+)\$[0-9]+")))</f>
        <v/>
      </c>
      <c r="AI183" s="7" t="str" cm="1">
        <f t="array" aca="1" ref="AI183" ca="1">IF(OR('Raw Data'!AI183="",LEN(TRIM('Raw Data'!AI183))=0,Validate_Empty!AI183&lt;&gt;"",Validate_Value!AI183&lt;&gt;""),"",IF(Configuration!$H$2 = Configuration!$J$2,"",_xlfn.REGEXEXTRACT(CELL("address",AI183), "\$([A-Z]+)\$[0-9]+")))</f>
        <v/>
      </c>
      <c r="AJ183" s="7"/>
      <c r="AK183" s="7"/>
      <c r="AL183" s="7"/>
      <c r="AM183" s="7"/>
      <c r="AN183" s="7"/>
      <c r="AO183" s="7"/>
      <c r="AP183" s="7" t="str" cm="1">
        <f t="array" aca="1" ref="AP183" ca="1">IF(OR('Raw Data'!AP183="",LEN(TRIM('Raw Data'!AP183))=0,Validate_Empty!AP183&lt;&gt;"",Validate_Value!AP183&lt;&gt;""),"",IF('Raw Data'!AP183=SUM('Raw Data'!AK183:AO183),"",_xlfn.REGEXEXTRACT(CELL("address",AP183), "\$([A-Z]+)\$[0-9]+")))</f>
        <v/>
      </c>
    </row>
    <row r="184" spans="2:42" x14ac:dyDescent="0.25">
      <c r="B184" s="7"/>
      <c r="C184" s="7"/>
      <c r="D184" s="7"/>
      <c r="E184" s="7"/>
      <c r="F184" s="7"/>
      <c r="G184" s="7"/>
      <c r="H184" s="7"/>
      <c r="I184" s="7"/>
      <c r="J184" s="7" t="str" cm="1">
        <f t="array" aca="1" ref="J184" ca="1">IF(OR('Raw Data'!J184="",LEN(TRIM('Raw Data'!J184))=0,Validate_Empty!J184&lt;&gt;"",Validate_Value!J184&lt;&gt;""),"",IF('Raw Data'!J184=SUM('Raw Data'!K184:N184),"",_xlfn.REGEXEXTRACT(CELL("address",J184), "\$([A-Z]+)\$[0-9]+")))</f>
        <v/>
      </c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 t="str" cm="1">
        <f t="array" aca="1" ref="Z184" ca="1">IF(OR('Raw Data'!Z184="",LEN(TRIM('Raw Data'!Z184))=0,Validate_Empty!Z184&lt;&gt;"",Validate_Value!Z184&lt;&gt;""),"",IF('Raw Data'!Z184=SUM('Raw Data'!T184:Y184),"",_xlfn.REGEXEXTRACT(CELL("address",Z184), "\$([A-Z]+)\$[0-9]+")))</f>
        <v/>
      </c>
      <c r="AA184" s="7"/>
      <c r="AB184" s="7"/>
      <c r="AC184" s="7"/>
      <c r="AD184" s="7"/>
      <c r="AE184" s="7"/>
      <c r="AF184" s="7"/>
      <c r="AG184" s="7" t="str" cm="1">
        <f t="array" aca="1" ref="AG184" ca="1">IF(OR('Raw Data'!AG184="",LEN(TRIM('Raw Data'!AG184))=0,Validate_Empty!AG184&lt;&gt;"",Validate_Value!AG184&lt;&gt;""),"",IF('Raw Data'!AG184=SUM('Raw Data'!AA184:AF184),"",_xlfn.REGEXEXTRACT(CELL("address",AG184), "\$([A-Z]+)\$[0-9]+")))</f>
        <v/>
      </c>
      <c r="AH184" s="7" t="str" cm="1">
        <f t="array" aca="1" ref="AH184" ca="1">IF(OR('Raw Data'!AH184="",LEN(TRIM('Raw Data'!AH184))=0,Validate_Empty!AH184&lt;&gt;"",Validate_Value!AH184&lt;&gt;""),"",IF(Configuration!$G$2 = Configuration!$I$2,"",_xlfn.REGEXEXTRACT(CELL("address",AH184), "\$([A-Z]+)\$[0-9]+")))</f>
        <v/>
      </c>
      <c r="AI184" s="7" t="str" cm="1">
        <f t="array" aca="1" ref="AI184" ca="1">IF(OR('Raw Data'!AI184="",LEN(TRIM('Raw Data'!AI184))=0,Validate_Empty!AI184&lt;&gt;"",Validate_Value!AI184&lt;&gt;""),"",IF(Configuration!$H$2 = Configuration!$J$2,"",_xlfn.REGEXEXTRACT(CELL("address",AI184), "\$([A-Z]+)\$[0-9]+")))</f>
        <v/>
      </c>
      <c r="AJ184" s="7"/>
      <c r="AK184" s="7"/>
      <c r="AL184" s="7"/>
      <c r="AM184" s="7"/>
      <c r="AN184" s="7"/>
      <c r="AO184" s="7"/>
      <c r="AP184" s="7" t="str" cm="1">
        <f t="array" aca="1" ref="AP184" ca="1">IF(OR('Raw Data'!AP184="",LEN(TRIM('Raw Data'!AP184))=0,Validate_Empty!AP184&lt;&gt;"",Validate_Value!AP184&lt;&gt;""),"",IF('Raw Data'!AP184=SUM('Raw Data'!AK184:AO184),"",_xlfn.REGEXEXTRACT(CELL("address",AP184), "\$([A-Z]+)\$[0-9]+")))</f>
        <v/>
      </c>
    </row>
    <row r="185" spans="2:42" x14ac:dyDescent="0.25">
      <c r="B185" s="7"/>
      <c r="C185" s="7"/>
      <c r="D185" s="7"/>
      <c r="E185" s="7"/>
      <c r="F185" s="7"/>
      <c r="G185" s="7"/>
      <c r="H185" s="7"/>
      <c r="I185" s="7"/>
      <c r="J185" s="7" t="str" cm="1">
        <f t="array" aca="1" ref="J185" ca="1">IF(OR('Raw Data'!J185="",LEN(TRIM('Raw Data'!J185))=0,Validate_Empty!J185&lt;&gt;"",Validate_Value!J185&lt;&gt;""),"",IF('Raw Data'!J185=SUM('Raw Data'!K185:N185),"",_xlfn.REGEXEXTRACT(CELL("address",J185), "\$([A-Z]+)\$[0-9]+")))</f>
        <v/>
      </c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 t="str" cm="1">
        <f t="array" aca="1" ref="Z185" ca="1">IF(OR('Raw Data'!Z185="",LEN(TRIM('Raw Data'!Z185))=0,Validate_Empty!Z185&lt;&gt;"",Validate_Value!Z185&lt;&gt;""),"",IF('Raw Data'!Z185=SUM('Raw Data'!T185:Y185),"",_xlfn.REGEXEXTRACT(CELL("address",Z185), "\$([A-Z]+)\$[0-9]+")))</f>
        <v/>
      </c>
      <c r="AA185" s="7"/>
      <c r="AB185" s="7"/>
      <c r="AC185" s="7"/>
      <c r="AD185" s="7"/>
      <c r="AE185" s="7"/>
      <c r="AF185" s="7"/>
      <c r="AG185" s="7" t="str" cm="1">
        <f t="array" aca="1" ref="AG185" ca="1">IF(OR('Raw Data'!AG185="",LEN(TRIM('Raw Data'!AG185))=0,Validate_Empty!AG185&lt;&gt;"",Validate_Value!AG185&lt;&gt;""),"",IF('Raw Data'!AG185=SUM('Raw Data'!AA185:AF185),"",_xlfn.REGEXEXTRACT(CELL("address",AG185), "\$([A-Z]+)\$[0-9]+")))</f>
        <v/>
      </c>
      <c r="AH185" s="7" t="str" cm="1">
        <f t="array" aca="1" ref="AH185" ca="1">IF(OR('Raw Data'!AH185="",LEN(TRIM('Raw Data'!AH185))=0,Validate_Empty!AH185&lt;&gt;"",Validate_Value!AH185&lt;&gt;""),"",IF(Configuration!$G$2 = Configuration!$I$2,"",_xlfn.REGEXEXTRACT(CELL("address",AH185), "\$([A-Z]+)\$[0-9]+")))</f>
        <v/>
      </c>
      <c r="AI185" s="7" t="str" cm="1">
        <f t="array" aca="1" ref="AI185" ca="1">IF(OR('Raw Data'!AI185="",LEN(TRIM('Raw Data'!AI185))=0,Validate_Empty!AI185&lt;&gt;"",Validate_Value!AI185&lt;&gt;""),"",IF(Configuration!$H$2 = Configuration!$J$2,"",_xlfn.REGEXEXTRACT(CELL("address",AI185), "\$([A-Z]+)\$[0-9]+")))</f>
        <v/>
      </c>
      <c r="AJ185" s="7"/>
      <c r="AK185" s="7"/>
      <c r="AL185" s="7"/>
      <c r="AM185" s="7"/>
      <c r="AN185" s="7"/>
      <c r="AO185" s="7"/>
      <c r="AP185" s="7" t="str" cm="1">
        <f t="array" aca="1" ref="AP185" ca="1">IF(OR('Raw Data'!AP185="",LEN(TRIM('Raw Data'!AP185))=0,Validate_Empty!AP185&lt;&gt;"",Validate_Value!AP185&lt;&gt;""),"",IF('Raw Data'!AP185=SUM('Raw Data'!AK185:AO185),"",_xlfn.REGEXEXTRACT(CELL("address",AP185), "\$([A-Z]+)\$[0-9]+")))</f>
        <v/>
      </c>
    </row>
    <row r="186" spans="2:42" x14ac:dyDescent="0.25">
      <c r="B186" s="7"/>
      <c r="C186" s="7"/>
      <c r="D186" s="7"/>
      <c r="E186" s="7"/>
      <c r="F186" s="7"/>
      <c r="G186" s="7"/>
      <c r="H186" s="7"/>
      <c r="I186" s="7"/>
      <c r="J186" s="7" t="str" cm="1">
        <f t="array" aca="1" ref="J186" ca="1">IF(OR('Raw Data'!J186="",LEN(TRIM('Raw Data'!J186))=0,Validate_Empty!J186&lt;&gt;"",Validate_Value!J186&lt;&gt;""),"",IF('Raw Data'!J186=SUM('Raw Data'!K186:N186),"",_xlfn.REGEXEXTRACT(CELL("address",J186), "\$([A-Z]+)\$[0-9]+")))</f>
        <v/>
      </c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 t="str" cm="1">
        <f t="array" aca="1" ref="Z186" ca="1">IF(OR('Raw Data'!Z186="",LEN(TRIM('Raw Data'!Z186))=0,Validate_Empty!Z186&lt;&gt;"",Validate_Value!Z186&lt;&gt;""),"",IF('Raw Data'!Z186=SUM('Raw Data'!T186:Y186),"",_xlfn.REGEXEXTRACT(CELL("address",Z186), "\$([A-Z]+)\$[0-9]+")))</f>
        <v/>
      </c>
      <c r="AA186" s="7"/>
      <c r="AB186" s="7"/>
      <c r="AC186" s="7"/>
      <c r="AD186" s="7"/>
      <c r="AE186" s="7"/>
      <c r="AF186" s="7"/>
      <c r="AG186" s="7" t="str" cm="1">
        <f t="array" aca="1" ref="AG186" ca="1">IF(OR('Raw Data'!AG186="",LEN(TRIM('Raw Data'!AG186))=0,Validate_Empty!AG186&lt;&gt;"",Validate_Value!AG186&lt;&gt;""),"",IF('Raw Data'!AG186=SUM('Raw Data'!AA186:AF186),"",_xlfn.REGEXEXTRACT(CELL("address",AG186), "\$([A-Z]+)\$[0-9]+")))</f>
        <v/>
      </c>
      <c r="AH186" s="7" t="str" cm="1">
        <f t="array" aca="1" ref="AH186" ca="1">IF(OR('Raw Data'!AH186="",LEN(TRIM('Raw Data'!AH186))=0,Validate_Empty!AH186&lt;&gt;"",Validate_Value!AH186&lt;&gt;""),"",IF(Configuration!$G$2 = Configuration!$I$2,"",_xlfn.REGEXEXTRACT(CELL("address",AH186), "\$([A-Z]+)\$[0-9]+")))</f>
        <v/>
      </c>
      <c r="AI186" s="7" t="str" cm="1">
        <f t="array" aca="1" ref="AI186" ca="1">IF(OR('Raw Data'!AI186="",LEN(TRIM('Raw Data'!AI186))=0,Validate_Empty!AI186&lt;&gt;"",Validate_Value!AI186&lt;&gt;""),"",IF(Configuration!$H$2 = Configuration!$J$2,"",_xlfn.REGEXEXTRACT(CELL("address",AI186), "\$([A-Z]+)\$[0-9]+")))</f>
        <v/>
      </c>
      <c r="AJ186" s="7"/>
      <c r="AK186" s="7"/>
      <c r="AL186" s="7"/>
      <c r="AM186" s="7"/>
      <c r="AN186" s="7"/>
      <c r="AO186" s="7"/>
      <c r="AP186" s="7" t="str" cm="1">
        <f t="array" aca="1" ref="AP186" ca="1">IF(OR('Raw Data'!AP186="",LEN(TRIM('Raw Data'!AP186))=0,Validate_Empty!AP186&lt;&gt;"",Validate_Value!AP186&lt;&gt;""),"",IF('Raw Data'!AP186=SUM('Raw Data'!AK186:AO186),"",_xlfn.REGEXEXTRACT(CELL("address",AP186), "\$([A-Z]+)\$[0-9]+")))</f>
        <v/>
      </c>
    </row>
    <row r="187" spans="2:42" x14ac:dyDescent="0.25">
      <c r="B187" s="7"/>
      <c r="C187" s="7"/>
      <c r="D187" s="7"/>
      <c r="E187" s="7"/>
      <c r="F187" s="7"/>
      <c r="G187" s="7"/>
      <c r="H187" s="7"/>
      <c r="I187" s="7"/>
      <c r="J187" s="7" t="str" cm="1">
        <f t="array" aca="1" ref="J187" ca="1">IF(OR('Raw Data'!J187="",LEN(TRIM('Raw Data'!J187))=0,Validate_Empty!J187&lt;&gt;"",Validate_Value!J187&lt;&gt;""),"",IF('Raw Data'!J187=SUM('Raw Data'!K187:N187),"",_xlfn.REGEXEXTRACT(CELL("address",J187), "\$([A-Z]+)\$[0-9]+")))</f>
        <v/>
      </c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 t="str" cm="1">
        <f t="array" aca="1" ref="Z187" ca="1">IF(OR('Raw Data'!Z187="",LEN(TRIM('Raw Data'!Z187))=0,Validate_Empty!Z187&lt;&gt;"",Validate_Value!Z187&lt;&gt;""),"",IF('Raw Data'!Z187=SUM('Raw Data'!T187:Y187),"",_xlfn.REGEXEXTRACT(CELL("address",Z187), "\$([A-Z]+)\$[0-9]+")))</f>
        <v/>
      </c>
      <c r="AA187" s="7"/>
      <c r="AB187" s="7"/>
      <c r="AC187" s="7"/>
      <c r="AD187" s="7"/>
      <c r="AE187" s="7"/>
      <c r="AF187" s="7"/>
      <c r="AG187" s="7" t="str" cm="1">
        <f t="array" aca="1" ref="AG187" ca="1">IF(OR('Raw Data'!AG187="",LEN(TRIM('Raw Data'!AG187))=0,Validate_Empty!AG187&lt;&gt;"",Validate_Value!AG187&lt;&gt;""),"",IF('Raw Data'!AG187=SUM('Raw Data'!AA187:AF187),"",_xlfn.REGEXEXTRACT(CELL("address",AG187), "\$([A-Z]+)\$[0-9]+")))</f>
        <v/>
      </c>
      <c r="AH187" s="7" t="str" cm="1">
        <f t="array" aca="1" ref="AH187" ca="1">IF(OR('Raw Data'!AH187="",LEN(TRIM('Raw Data'!AH187))=0,Validate_Empty!AH187&lt;&gt;"",Validate_Value!AH187&lt;&gt;""),"",IF(Configuration!$G$2 = Configuration!$I$2,"",_xlfn.REGEXEXTRACT(CELL("address",AH187), "\$([A-Z]+)\$[0-9]+")))</f>
        <v/>
      </c>
      <c r="AI187" s="7" t="str" cm="1">
        <f t="array" aca="1" ref="AI187" ca="1">IF(OR('Raw Data'!AI187="",LEN(TRIM('Raw Data'!AI187))=0,Validate_Empty!AI187&lt;&gt;"",Validate_Value!AI187&lt;&gt;""),"",IF(Configuration!$H$2 = Configuration!$J$2,"",_xlfn.REGEXEXTRACT(CELL("address",AI187), "\$([A-Z]+)\$[0-9]+")))</f>
        <v/>
      </c>
      <c r="AJ187" s="7"/>
      <c r="AK187" s="7"/>
      <c r="AL187" s="7"/>
      <c r="AM187" s="7"/>
      <c r="AN187" s="7"/>
      <c r="AO187" s="7"/>
      <c r="AP187" s="7" t="str" cm="1">
        <f t="array" aca="1" ref="AP187" ca="1">IF(OR('Raw Data'!AP187="",LEN(TRIM('Raw Data'!AP187))=0,Validate_Empty!AP187&lt;&gt;"",Validate_Value!AP187&lt;&gt;""),"",IF('Raw Data'!AP187=SUM('Raw Data'!AK187:AO187),"",_xlfn.REGEXEXTRACT(CELL("address",AP187), "\$([A-Z]+)\$[0-9]+")))</f>
        <v/>
      </c>
    </row>
    <row r="188" spans="2:42" x14ac:dyDescent="0.25">
      <c r="B188" s="7"/>
      <c r="C188" s="7"/>
      <c r="D188" s="7"/>
      <c r="E188" s="7"/>
      <c r="F188" s="7"/>
      <c r="G188" s="7"/>
      <c r="H188" s="7"/>
      <c r="I188" s="7"/>
      <c r="J188" s="7" t="str" cm="1">
        <f t="array" aca="1" ref="J188" ca="1">IF(OR('Raw Data'!J188="",LEN(TRIM('Raw Data'!J188))=0,Validate_Empty!J188&lt;&gt;"",Validate_Value!J188&lt;&gt;""),"",IF('Raw Data'!J188=SUM('Raw Data'!K188:N188),"",_xlfn.REGEXEXTRACT(CELL("address",J188), "\$([A-Z]+)\$[0-9]+")))</f>
        <v/>
      </c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 t="str" cm="1">
        <f t="array" aca="1" ref="Z188" ca="1">IF(OR('Raw Data'!Z188="",LEN(TRIM('Raw Data'!Z188))=0,Validate_Empty!Z188&lt;&gt;"",Validate_Value!Z188&lt;&gt;""),"",IF('Raw Data'!Z188=SUM('Raw Data'!T188:Y188),"",_xlfn.REGEXEXTRACT(CELL("address",Z188), "\$([A-Z]+)\$[0-9]+")))</f>
        <v/>
      </c>
      <c r="AA188" s="7"/>
      <c r="AB188" s="7"/>
      <c r="AC188" s="7"/>
      <c r="AD188" s="7"/>
      <c r="AE188" s="7"/>
      <c r="AF188" s="7"/>
      <c r="AG188" s="7" t="str" cm="1">
        <f t="array" aca="1" ref="AG188" ca="1">IF(OR('Raw Data'!AG188="",LEN(TRIM('Raw Data'!AG188))=0,Validate_Empty!AG188&lt;&gt;"",Validate_Value!AG188&lt;&gt;""),"",IF('Raw Data'!AG188=SUM('Raw Data'!AA188:AF188),"",_xlfn.REGEXEXTRACT(CELL("address",AG188), "\$([A-Z]+)\$[0-9]+")))</f>
        <v/>
      </c>
      <c r="AH188" s="7" t="str" cm="1">
        <f t="array" aca="1" ref="AH188" ca="1">IF(OR('Raw Data'!AH188="",LEN(TRIM('Raw Data'!AH188))=0,Validate_Empty!AH188&lt;&gt;"",Validate_Value!AH188&lt;&gt;""),"",IF(Configuration!$G$2 = Configuration!$I$2,"",_xlfn.REGEXEXTRACT(CELL("address",AH188), "\$([A-Z]+)\$[0-9]+")))</f>
        <v/>
      </c>
      <c r="AI188" s="7" t="str" cm="1">
        <f t="array" aca="1" ref="AI188" ca="1">IF(OR('Raw Data'!AI188="",LEN(TRIM('Raw Data'!AI188))=0,Validate_Empty!AI188&lt;&gt;"",Validate_Value!AI188&lt;&gt;""),"",IF(Configuration!$H$2 = Configuration!$J$2,"",_xlfn.REGEXEXTRACT(CELL("address",AI188), "\$([A-Z]+)\$[0-9]+")))</f>
        <v/>
      </c>
      <c r="AJ188" s="7"/>
      <c r="AK188" s="7"/>
      <c r="AL188" s="7"/>
      <c r="AM188" s="7"/>
      <c r="AN188" s="7"/>
      <c r="AO188" s="7"/>
      <c r="AP188" s="7" t="str" cm="1">
        <f t="array" aca="1" ref="AP188" ca="1">IF(OR('Raw Data'!AP188="",LEN(TRIM('Raw Data'!AP188))=0,Validate_Empty!AP188&lt;&gt;"",Validate_Value!AP188&lt;&gt;""),"",IF('Raw Data'!AP188=SUM('Raw Data'!AK188:AO188),"",_xlfn.REGEXEXTRACT(CELL("address",AP188), "\$([A-Z]+)\$[0-9]+")))</f>
        <v/>
      </c>
    </row>
    <row r="189" spans="2:42" x14ac:dyDescent="0.25">
      <c r="B189" s="7"/>
      <c r="C189" s="7"/>
      <c r="D189" s="7"/>
      <c r="E189" s="7"/>
      <c r="F189" s="7"/>
      <c r="G189" s="7"/>
      <c r="H189" s="7"/>
      <c r="I189" s="7"/>
      <c r="J189" s="7" t="str" cm="1">
        <f t="array" aca="1" ref="J189" ca="1">IF(OR('Raw Data'!J189="",LEN(TRIM('Raw Data'!J189))=0,Validate_Empty!J189&lt;&gt;"",Validate_Value!J189&lt;&gt;""),"",IF('Raw Data'!J189=SUM('Raw Data'!K189:N189),"",_xlfn.REGEXEXTRACT(CELL("address",J189), "\$([A-Z]+)\$[0-9]+")))</f>
        <v/>
      </c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 t="str" cm="1">
        <f t="array" aca="1" ref="Z189" ca="1">IF(OR('Raw Data'!Z189="",LEN(TRIM('Raw Data'!Z189))=0,Validate_Empty!Z189&lt;&gt;"",Validate_Value!Z189&lt;&gt;""),"",IF('Raw Data'!Z189=SUM('Raw Data'!T189:Y189),"",_xlfn.REGEXEXTRACT(CELL("address",Z189), "\$([A-Z]+)\$[0-9]+")))</f>
        <v/>
      </c>
      <c r="AA189" s="7"/>
      <c r="AB189" s="7"/>
      <c r="AC189" s="7"/>
      <c r="AD189" s="7"/>
      <c r="AE189" s="7"/>
      <c r="AF189" s="7"/>
      <c r="AG189" s="7" t="str" cm="1">
        <f t="array" aca="1" ref="AG189" ca="1">IF(OR('Raw Data'!AG189="",LEN(TRIM('Raw Data'!AG189))=0,Validate_Empty!AG189&lt;&gt;"",Validate_Value!AG189&lt;&gt;""),"",IF('Raw Data'!AG189=SUM('Raw Data'!AA189:AF189),"",_xlfn.REGEXEXTRACT(CELL("address",AG189), "\$([A-Z]+)\$[0-9]+")))</f>
        <v/>
      </c>
      <c r="AH189" s="7" t="str" cm="1">
        <f t="array" aca="1" ref="AH189" ca="1">IF(OR('Raw Data'!AH189="",LEN(TRIM('Raw Data'!AH189))=0,Validate_Empty!AH189&lt;&gt;"",Validate_Value!AH189&lt;&gt;""),"",IF(Configuration!$G$2 = Configuration!$I$2,"",_xlfn.REGEXEXTRACT(CELL("address",AH189), "\$([A-Z]+)\$[0-9]+")))</f>
        <v/>
      </c>
      <c r="AI189" s="7" t="str" cm="1">
        <f t="array" aca="1" ref="AI189" ca="1">IF(OR('Raw Data'!AI189="",LEN(TRIM('Raw Data'!AI189))=0,Validate_Empty!AI189&lt;&gt;"",Validate_Value!AI189&lt;&gt;""),"",IF(Configuration!$H$2 = Configuration!$J$2,"",_xlfn.REGEXEXTRACT(CELL("address",AI189), "\$([A-Z]+)\$[0-9]+")))</f>
        <v/>
      </c>
      <c r="AJ189" s="7"/>
      <c r="AK189" s="7"/>
      <c r="AL189" s="7"/>
      <c r="AM189" s="7"/>
      <c r="AN189" s="7"/>
      <c r="AO189" s="7"/>
      <c r="AP189" s="7" t="str" cm="1">
        <f t="array" aca="1" ref="AP189" ca="1">IF(OR('Raw Data'!AP189="",LEN(TRIM('Raw Data'!AP189))=0,Validate_Empty!AP189&lt;&gt;"",Validate_Value!AP189&lt;&gt;""),"",IF('Raw Data'!AP189=SUM('Raw Data'!AK189:AO189),"",_xlfn.REGEXEXTRACT(CELL("address",AP189), "\$([A-Z]+)\$[0-9]+")))</f>
        <v/>
      </c>
    </row>
    <row r="190" spans="2:42" x14ac:dyDescent="0.25">
      <c r="B190" s="7"/>
      <c r="C190" s="7"/>
      <c r="D190" s="7"/>
      <c r="E190" s="7"/>
      <c r="F190" s="7"/>
      <c r="G190" s="7"/>
      <c r="H190" s="7"/>
      <c r="I190" s="7"/>
      <c r="J190" s="7" t="str" cm="1">
        <f t="array" aca="1" ref="J190" ca="1">IF(OR('Raw Data'!J190="",LEN(TRIM('Raw Data'!J190))=0,Validate_Empty!J190&lt;&gt;"",Validate_Value!J190&lt;&gt;""),"",IF('Raw Data'!J190=SUM('Raw Data'!K190:N190),"",_xlfn.REGEXEXTRACT(CELL("address",J190), "\$([A-Z]+)\$[0-9]+")))</f>
        <v/>
      </c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 t="str" cm="1">
        <f t="array" aca="1" ref="Z190" ca="1">IF(OR('Raw Data'!Z190="",LEN(TRIM('Raw Data'!Z190))=0,Validate_Empty!Z190&lt;&gt;"",Validate_Value!Z190&lt;&gt;""),"",IF('Raw Data'!Z190=SUM('Raw Data'!T190:Y190),"",_xlfn.REGEXEXTRACT(CELL("address",Z190), "\$([A-Z]+)\$[0-9]+")))</f>
        <v/>
      </c>
      <c r="AA190" s="7"/>
      <c r="AB190" s="7"/>
      <c r="AC190" s="7"/>
      <c r="AD190" s="7"/>
      <c r="AE190" s="7"/>
      <c r="AF190" s="7"/>
      <c r="AG190" s="7" t="str" cm="1">
        <f t="array" aca="1" ref="AG190" ca="1">IF(OR('Raw Data'!AG190="",LEN(TRIM('Raw Data'!AG190))=0,Validate_Empty!AG190&lt;&gt;"",Validate_Value!AG190&lt;&gt;""),"",IF('Raw Data'!AG190=SUM('Raw Data'!AA190:AF190),"",_xlfn.REGEXEXTRACT(CELL("address",AG190), "\$([A-Z]+)\$[0-9]+")))</f>
        <v/>
      </c>
      <c r="AH190" s="7" t="str" cm="1">
        <f t="array" aca="1" ref="AH190" ca="1">IF(OR('Raw Data'!AH190="",LEN(TRIM('Raw Data'!AH190))=0,Validate_Empty!AH190&lt;&gt;"",Validate_Value!AH190&lt;&gt;""),"",IF(Configuration!$G$2 = Configuration!$I$2,"",_xlfn.REGEXEXTRACT(CELL("address",AH190), "\$([A-Z]+)\$[0-9]+")))</f>
        <v/>
      </c>
      <c r="AI190" s="7" t="str" cm="1">
        <f t="array" aca="1" ref="AI190" ca="1">IF(OR('Raw Data'!AI190="",LEN(TRIM('Raw Data'!AI190))=0,Validate_Empty!AI190&lt;&gt;"",Validate_Value!AI190&lt;&gt;""),"",IF(Configuration!$H$2 = Configuration!$J$2,"",_xlfn.REGEXEXTRACT(CELL("address",AI190), "\$([A-Z]+)\$[0-9]+")))</f>
        <v/>
      </c>
      <c r="AJ190" s="7"/>
      <c r="AK190" s="7"/>
      <c r="AL190" s="7"/>
      <c r="AM190" s="7"/>
      <c r="AN190" s="7"/>
      <c r="AO190" s="7"/>
      <c r="AP190" s="7" t="str" cm="1">
        <f t="array" aca="1" ref="AP190" ca="1">IF(OR('Raw Data'!AP190="",LEN(TRIM('Raw Data'!AP190))=0,Validate_Empty!AP190&lt;&gt;"",Validate_Value!AP190&lt;&gt;""),"",IF('Raw Data'!AP190=SUM('Raw Data'!AK190:AO190),"",_xlfn.REGEXEXTRACT(CELL("address",AP190), "\$([A-Z]+)\$[0-9]+")))</f>
        <v/>
      </c>
    </row>
    <row r="191" spans="2:42" x14ac:dyDescent="0.25">
      <c r="B191" s="7"/>
      <c r="C191" s="7"/>
      <c r="D191" s="7"/>
      <c r="E191" s="7"/>
      <c r="F191" s="7"/>
      <c r="G191" s="7"/>
      <c r="H191" s="7"/>
      <c r="I191" s="7"/>
      <c r="J191" s="7" t="str" cm="1">
        <f t="array" aca="1" ref="J191" ca="1">IF(OR('Raw Data'!J191="",LEN(TRIM('Raw Data'!J191))=0,Validate_Empty!J191&lt;&gt;"",Validate_Value!J191&lt;&gt;""),"",IF('Raw Data'!J191=SUM('Raw Data'!K191:N191),"",_xlfn.REGEXEXTRACT(CELL("address",J191), "\$([A-Z]+)\$[0-9]+")))</f>
        <v/>
      </c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 t="str" cm="1">
        <f t="array" aca="1" ref="Z191" ca="1">IF(OR('Raw Data'!Z191="",LEN(TRIM('Raw Data'!Z191))=0,Validate_Empty!Z191&lt;&gt;"",Validate_Value!Z191&lt;&gt;""),"",IF('Raw Data'!Z191=SUM('Raw Data'!T191:Y191),"",_xlfn.REGEXEXTRACT(CELL("address",Z191), "\$([A-Z]+)\$[0-9]+")))</f>
        <v/>
      </c>
      <c r="AA191" s="7"/>
      <c r="AB191" s="7"/>
      <c r="AC191" s="7"/>
      <c r="AD191" s="7"/>
      <c r="AE191" s="7"/>
      <c r="AF191" s="7"/>
      <c r="AG191" s="7" t="str" cm="1">
        <f t="array" aca="1" ref="AG191" ca="1">IF(OR('Raw Data'!AG191="",LEN(TRIM('Raw Data'!AG191))=0,Validate_Empty!AG191&lt;&gt;"",Validate_Value!AG191&lt;&gt;""),"",IF('Raw Data'!AG191=SUM('Raw Data'!AA191:AF191),"",_xlfn.REGEXEXTRACT(CELL("address",AG191), "\$([A-Z]+)\$[0-9]+")))</f>
        <v/>
      </c>
      <c r="AH191" s="7" t="str" cm="1">
        <f t="array" aca="1" ref="AH191" ca="1">IF(OR('Raw Data'!AH191="",LEN(TRIM('Raw Data'!AH191))=0,Validate_Empty!AH191&lt;&gt;"",Validate_Value!AH191&lt;&gt;""),"",IF(Configuration!$G$2 = Configuration!$I$2,"",_xlfn.REGEXEXTRACT(CELL("address",AH191), "\$([A-Z]+)\$[0-9]+")))</f>
        <v/>
      </c>
      <c r="AI191" s="7" t="str" cm="1">
        <f t="array" aca="1" ref="AI191" ca="1">IF(OR('Raw Data'!AI191="",LEN(TRIM('Raw Data'!AI191))=0,Validate_Empty!AI191&lt;&gt;"",Validate_Value!AI191&lt;&gt;""),"",IF(Configuration!$H$2 = Configuration!$J$2,"",_xlfn.REGEXEXTRACT(CELL("address",AI191), "\$([A-Z]+)\$[0-9]+")))</f>
        <v/>
      </c>
      <c r="AJ191" s="7"/>
      <c r="AK191" s="7"/>
      <c r="AL191" s="7"/>
      <c r="AM191" s="7"/>
      <c r="AN191" s="7"/>
      <c r="AO191" s="7"/>
      <c r="AP191" s="7" t="str" cm="1">
        <f t="array" aca="1" ref="AP191" ca="1">IF(OR('Raw Data'!AP191="",LEN(TRIM('Raw Data'!AP191))=0,Validate_Empty!AP191&lt;&gt;"",Validate_Value!AP191&lt;&gt;""),"",IF('Raw Data'!AP191=SUM('Raw Data'!AK191:AO191),"",_xlfn.REGEXEXTRACT(CELL("address",AP191), "\$([A-Z]+)\$[0-9]+")))</f>
        <v/>
      </c>
    </row>
    <row r="192" spans="2:42" x14ac:dyDescent="0.25">
      <c r="B192" s="7"/>
      <c r="C192" s="7"/>
      <c r="D192" s="7"/>
      <c r="E192" s="7"/>
      <c r="F192" s="7"/>
      <c r="G192" s="7"/>
      <c r="H192" s="7"/>
      <c r="I192" s="7"/>
      <c r="J192" s="7" t="str" cm="1">
        <f t="array" aca="1" ref="J192" ca="1">IF(OR('Raw Data'!J192="",LEN(TRIM('Raw Data'!J192))=0,Validate_Empty!J192&lt;&gt;"",Validate_Value!J192&lt;&gt;""),"",IF('Raw Data'!J192=SUM('Raw Data'!K192:N192),"",_xlfn.REGEXEXTRACT(CELL("address",J192), "\$([A-Z]+)\$[0-9]+")))</f>
        <v/>
      </c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 t="str" cm="1">
        <f t="array" aca="1" ref="Z192" ca="1">IF(OR('Raw Data'!Z192="",LEN(TRIM('Raw Data'!Z192))=0,Validate_Empty!Z192&lt;&gt;"",Validate_Value!Z192&lt;&gt;""),"",IF('Raw Data'!Z192=SUM('Raw Data'!T192:Y192),"",_xlfn.REGEXEXTRACT(CELL("address",Z192), "\$([A-Z]+)\$[0-9]+")))</f>
        <v/>
      </c>
      <c r="AA192" s="7"/>
      <c r="AB192" s="7"/>
      <c r="AC192" s="7"/>
      <c r="AD192" s="7"/>
      <c r="AE192" s="7"/>
      <c r="AF192" s="7"/>
      <c r="AG192" s="7" t="str" cm="1">
        <f t="array" aca="1" ref="AG192" ca="1">IF(OR('Raw Data'!AG192="",LEN(TRIM('Raw Data'!AG192))=0,Validate_Empty!AG192&lt;&gt;"",Validate_Value!AG192&lt;&gt;""),"",IF('Raw Data'!AG192=SUM('Raw Data'!AA192:AF192),"",_xlfn.REGEXEXTRACT(CELL("address",AG192), "\$([A-Z]+)\$[0-9]+")))</f>
        <v/>
      </c>
      <c r="AH192" s="7" t="str" cm="1">
        <f t="array" aca="1" ref="AH192" ca="1">IF(OR('Raw Data'!AH192="",LEN(TRIM('Raw Data'!AH192))=0,Validate_Empty!AH192&lt;&gt;"",Validate_Value!AH192&lt;&gt;""),"",IF(Configuration!$G$2 = Configuration!$I$2,"",_xlfn.REGEXEXTRACT(CELL("address",AH192), "\$([A-Z]+)\$[0-9]+")))</f>
        <v/>
      </c>
      <c r="AI192" s="7" t="str" cm="1">
        <f t="array" aca="1" ref="AI192" ca="1">IF(OR('Raw Data'!AI192="",LEN(TRIM('Raw Data'!AI192))=0,Validate_Empty!AI192&lt;&gt;"",Validate_Value!AI192&lt;&gt;""),"",IF(Configuration!$H$2 = Configuration!$J$2,"",_xlfn.REGEXEXTRACT(CELL("address",AI192), "\$([A-Z]+)\$[0-9]+")))</f>
        <v/>
      </c>
      <c r="AJ192" s="7"/>
      <c r="AK192" s="7"/>
      <c r="AL192" s="7"/>
      <c r="AM192" s="7"/>
      <c r="AN192" s="7"/>
      <c r="AO192" s="7"/>
      <c r="AP192" s="7" t="str" cm="1">
        <f t="array" aca="1" ref="AP192" ca="1">IF(OR('Raw Data'!AP192="",LEN(TRIM('Raw Data'!AP192))=0,Validate_Empty!AP192&lt;&gt;"",Validate_Value!AP192&lt;&gt;""),"",IF('Raw Data'!AP192=SUM('Raw Data'!AK192:AO192),"",_xlfn.REGEXEXTRACT(CELL("address",AP192), "\$([A-Z]+)\$[0-9]+")))</f>
        <v/>
      </c>
    </row>
    <row r="193" spans="2:42" x14ac:dyDescent="0.25">
      <c r="B193" s="7"/>
      <c r="C193" s="7"/>
      <c r="D193" s="7"/>
      <c r="E193" s="7"/>
      <c r="F193" s="7"/>
      <c r="G193" s="7"/>
      <c r="H193" s="7"/>
      <c r="I193" s="7"/>
      <c r="J193" s="7" t="str" cm="1">
        <f t="array" aca="1" ref="J193" ca="1">IF(OR('Raw Data'!J193="",LEN(TRIM('Raw Data'!J193))=0,Validate_Empty!J193&lt;&gt;"",Validate_Value!J193&lt;&gt;""),"",IF('Raw Data'!J193=SUM('Raw Data'!K193:N193),"",_xlfn.REGEXEXTRACT(CELL("address",J193), "\$([A-Z]+)\$[0-9]+")))</f>
        <v/>
      </c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 t="str" cm="1">
        <f t="array" aca="1" ref="Z193" ca="1">IF(OR('Raw Data'!Z193="",LEN(TRIM('Raw Data'!Z193))=0,Validate_Empty!Z193&lt;&gt;"",Validate_Value!Z193&lt;&gt;""),"",IF('Raw Data'!Z193=SUM('Raw Data'!T193:Y193),"",_xlfn.REGEXEXTRACT(CELL("address",Z193), "\$([A-Z]+)\$[0-9]+")))</f>
        <v/>
      </c>
      <c r="AA193" s="7"/>
      <c r="AB193" s="7"/>
      <c r="AC193" s="7"/>
      <c r="AD193" s="7"/>
      <c r="AE193" s="7"/>
      <c r="AF193" s="7"/>
      <c r="AG193" s="7" t="str" cm="1">
        <f t="array" aca="1" ref="AG193" ca="1">IF(OR('Raw Data'!AG193="",LEN(TRIM('Raw Data'!AG193))=0,Validate_Empty!AG193&lt;&gt;"",Validate_Value!AG193&lt;&gt;""),"",IF('Raw Data'!AG193=SUM('Raw Data'!AA193:AF193),"",_xlfn.REGEXEXTRACT(CELL("address",AG193), "\$([A-Z]+)\$[0-9]+")))</f>
        <v/>
      </c>
      <c r="AH193" s="7" t="str" cm="1">
        <f t="array" aca="1" ref="AH193" ca="1">IF(OR('Raw Data'!AH193="",LEN(TRIM('Raw Data'!AH193))=0,Validate_Empty!AH193&lt;&gt;"",Validate_Value!AH193&lt;&gt;""),"",IF(Configuration!$G$2 = Configuration!$I$2,"",_xlfn.REGEXEXTRACT(CELL("address",AH193), "\$([A-Z]+)\$[0-9]+")))</f>
        <v/>
      </c>
      <c r="AI193" s="7" t="str" cm="1">
        <f t="array" aca="1" ref="AI193" ca="1">IF(OR('Raw Data'!AI193="",LEN(TRIM('Raw Data'!AI193))=0,Validate_Empty!AI193&lt;&gt;"",Validate_Value!AI193&lt;&gt;""),"",IF(Configuration!$H$2 = Configuration!$J$2,"",_xlfn.REGEXEXTRACT(CELL("address",AI193), "\$([A-Z]+)\$[0-9]+")))</f>
        <v/>
      </c>
      <c r="AJ193" s="7"/>
      <c r="AK193" s="7"/>
      <c r="AL193" s="7"/>
      <c r="AM193" s="7"/>
      <c r="AN193" s="7"/>
      <c r="AO193" s="7"/>
      <c r="AP193" s="7" t="str" cm="1">
        <f t="array" aca="1" ref="AP193" ca="1">IF(OR('Raw Data'!AP193="",LEN(TRIM('Raw Data'!AP193))=0,Validate_Empty!AP193&lt;&gt;"",Validate_Value!AP193&lt;&gt;""),"",IF('Raw Data'!AP193=SUM('Raw Data'!AK193:AO193),"",_xlfn.REGEXEXTRACT(CELL("address",AP193), "\$([A-Z]+)\$[0-9]+")))</f>
        <v/>
      </c>
    </row>
    <row r="194" spans="2:42" x14ac:dyDescent="0.25">
      <c r="B194" s="7"/>
      <c r="C194" s="7"/>
      <c r="D194" s="7"/>
      <c r="E194" s="7"/>
      <c r="F194" s="7"/>
      <c r="G194" s="7"/>
      <c r="H194" s="7"/>
      <c r="I194" s="7"/>
      <c r="J194" s="7" t="str" cm="1">
        <f t="array" aca="1" ref="J194" ca="1">IF(OR('Raw Data'!J194="",LEN(TRIM('Raw Data'!J194))=0,Validate_Empty!J194&lt;&gt;"",Validate_Value!J194&lt;&gt;""),"",IF('Raw Data'!J194=SUM('Raw Data'!K194:N194),"",_xlfn.REGEXEXTRACT(CELL("address",J194), "\$([A-Z]+)\$[0-9]+")))</f>
        <v/>
      </c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 t="str" cm="1">
        <f t="array" aca="1" ref="Z194" ca="1">IF(OR('Raw Data'!Z194="",LEN(TRIM('Raw Data'!Z194))=0,Validate_Empty!Z194&lt;&gt;"",Validate_Value!Z194&lt;&gt;""),"",IF('Raw Data'!Z194=SUM('Raw Data'!T194:Y194),"",_xlfn.REGEXEXTRACT(CELL("address",Z194), "\$([A-Z]+)\$[0-9]+")))</f>
        <v/>
      </c>
      <c r="AA194" s="7"/>
      <c r="AB194" s="7"/>
      <c r="AC194" s="7"/>
      <c r="AD194" s="7"/>
      <c r="AE194" s="7"/>
      <c r="AF194" s="7"/>
      <c r="AG194" s="7" t="str" cm="1">
        <f t="array" aca="1" ref="AG194" ca="1">IF(OR('Raw Data'!AG194="",LEN(TRIM('Raw Data'!AG194))=0,Validate_Empty!AG194&lt;&gt;"",Validate_Value!AG194&lt;&gt;""),"",IF('Raw Data'!AG194=SUM('Raw Data'!AA194:AF194),"",_xlfn.REGEXEXTRACT(CELL("address",AG194), "\$([A-Z]+)\$[0-9]+")))</f>
        <v/>
      </c>
      <c r="AH194" s="7" t="str" cm="1">
        <f t="array" aca="1" ref="AH194" ca="1">IF(OR('Raw Data'!AH194="",LEN(TRIM('Raw Data'!AH194))=0,Validate_Empty!AH194&lt;&gt;"",Validate_Value!AH194&lt;&gt;""),"",IF(Configuration!$G$2 = Configuration!$I$2,"",_xlfn.REGEXEXTRACT(CELL("address",AH194), "\$([A-Z]+)\$[0-9]+")))</f>
        <v/>
      </c>
      <c r="AI194" s="7" t="str" cm="1">
        <f t="array" aca="1" ref="AI194" ca="1">IF(OR('Raw Data'!AI194="",LEN(TRIM('Raw Data'!AI194))=0,Validate_Empty!AI194&lt;&gt;"",Validate_Value!AI194&lt;&gt;""),"",IF(Configuration!$H$2 = Configuration!$J$2,"",_xlfn.REGEXEXTRACT(CELL("address",AI194), "\$([A-Z]+)\$[0-9]+")))</f>
        <v/>
      </c>
      <c r="AJ194" s="7"/>
      <c r="AK194" s="7"/>
      <c r="AL194" s="7"/>
      <c r="AM194" s="7"/>
      <c r="AN194" s="7"/>
      <c r="AO194" s="7"/>
      <c r="AP194" s="7" t="str" cm="1">
        <f t="array" aca="1" ref="AP194" ca="1">IF(OR('Raw Data'!AP194="",LEN(TRIM('Raw Data'!AP194))=0,Validate_Empty!AP194&lt;&gt;"",Validate_Value!AP194&lt;&gt;""),"",IF('Raw Data'!AP194=SUM('Raw Data'!AK194:AO194),"",_xlfn.REGEXEXTRACT(CELL("address",AP194), "\$([A-Z]+)\$[0-9]+")))</f>
        <v/>
      </c>
    </row>
    <row r="195" spans="2:42" x14ac:dyDescent="0.25">
      <c r="B195" s="7"/>
      <c r="C195" s="7"/>
      <c r="D195" s="7"/>
      <c r="E195" s="7"/>
      <c r="F195" s="7"/>
      <c r="G195" s="7"/>
      <c r="H195" s="7"/>
      <c r="I195" s="7"/>
      <c r="J195" s="7" t="str" cm="1">
        <f t="array" aca="1" ref="J195" ca="1">IF(OR('Raw Data'!J195="",LEN(TRIM('Raw Data'!J195))=0,Validate_Empty!J195&lt;&gt;"",Validate_Value!J195&lt;&gt;""),"",IF('Raw Data'!J195=SUM('Raw Data'!K195:N195),"",_xlfn.REGEXEXTRACT(CELL("address",J195), "\$([A-Z]+)\$[0-9]+")))</f>
        <v/>
      </c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 t="str" cm="1">
        <f t="array" aca="1" ref="Z195" ca="1">IF(OR('Raw Data'!Z195="",LEN(TRIM('Raw Data'!Z195))=0,Validate_Empty!Z195&lt;&gt;"",Validate_Value!Z195&lt;&gt;""),"",IF('Raw Data'!Z195=SUM('Raw Data'!T195:Y195),"",_xlfn.REGEXEXTRACT(CELL("address",Z195), "\$([A-Z]+)\$[0-9]+")))</f>
        <v/>
      </c>
      <c r="AA195" s="7"/>
      <c r="AB195" s="7"/>
      <c r="AC195" s="7"/>
      <c r="AD195" s="7"/>
      <c r="AE195" s="7"/>
      <c r="AF195" s="7"/>
      <c r="AG195" s="7" t="str" cm="1">
        <f t="array" aca="1" ref="AG195" ca="1">IF(OR('Raw Data'!AG195="",LEN(TRIM('Raw Data'!AG195))=0,Validate_Empty!AG195&lt;&gt;"",Validate_Value!AG195&lt;&gt;""),"",IF('Raw Data'!AG195=SUM('Raw Data'!AA195:AF195),"",_xlfn.REGEXEXTRACT(CELL("address",AG195), "\$([A-Z]+)\$[0-9]+")))</f>
        <v/>
      </c>
      <c r="AH195" s="7" t="str" cm="1">
        <f t="array" aca="1" ref="AH195" ca="1">IF(OR('Raw Data'!AH195="",LEN(TRIM('Raw Data'!AH195))=0,Validate_Empty!AH195&lt;&gt;"",Validate_Value!AH195&lt;&gt;""),"",IF(Configuration!$G$2 = Configuration!$I$2,"",_xlfn.REGEXEXTRACT(CELL("address",AH195), "\$([A-Z]+)\$[0-9]+")))</f>
        <v/>
      </c>
      <c r="AI195" s="7" t="str" cm="1">
        <f t="array" aca="1" ref="AI195" ca="1">IF(OR('Raw Data'!AI195="",LEN(TRIM('Raw Data'!AI195))=0,Validate_Empty!AI195&lt;&gt;"",Validate_Value!AI195&lt;&gt;""),"",IF(Configuration!$H$2 = Configuration!$J$2,"",_xlfn.REGEXEXTRACT(CELL("address",AI195), "\$([A-Z]+)\$[0-9]+")))</f>
        <v/>
      </c>
      <c r="AJ195" s="7"/>
      <c r="AK195" s="7"/>
      <c r="AL195" s="7"/>
      <c r="AM195" s="7"/>
      <c r="AN195" s="7"/>
      <c r="AO195" s="7"/>
      <c r="AP195" s="7" t="str" cm="1">
        <f t="array" aca="1" ref="AP195" ca="1">IF(OR('Raw Data'!AP195="",LEN(TRIM('Raw Data'!AP195))=0,Validate_Empty!AP195&lt;&gt;"",Validate_Value!AP195&lt;&gt;""),"",IF('Raw Data'!AP195=SUM('Raw Data'!AK195:AO195),"",_xlfn.REGEXEXTRACT(CELL("address",AP195), "\$([A-Z]+)\$[0-9]+")))</f>
        <v/>
      </c>
    </row>
    <row r="196" spans="2:42" x14ac:dyDescent="0.25">
      <c r="B196" s="7"/>
      <c r="C196" s="7"/>
      <c r="D196" s="7"/>
      <c r="E196" s="7"/>
      <c r="F196" s="7"/>
      <c r="G196" s="7"/>
      <c r="H196" s="7"/>
      <c r="I196" s="7"/>
      <c r="J196" s="7" t="str" cm="1">
        <f t="array" aca="1" ref="J196" ca="1">IF(OR('Raw Data'!J196="",LEN(TRIM('Raw Data'!J196))=0,Validate_Empty!J196&lt;&gt;"",Validate_Value!J196&lt;&gt;""),"",IF('Raw Data'!J196=SUM('Raw Data'!K196:N196),"",_xlfn.REGEXEXTRACT(CELL("address",J196), "\$([A-Z]+)\$[0-9]+")))</f>
        <v/>
      </c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 t="str" cm="1">
        <f t="array" aca="1" ref="Z196" ca="1">IF(OR('Raw Data'!Z196="",LEN(TRIM('Raw Data'!Z196))=0,Validate_Empty!Z196&lt;&gt;"",Validate_Value!Z196&lt;&gt;""),"",IF('Raw Data'!Z196=SUM('Raw Data'!T196:Y196),"",_xlfn.REGEXEXTRACT(CELL("address",Z196), "\$([A-Z]+)\$[0-9]+")))</f>
        <v/>
      </c>
      <c r="AA196" s="7"/>
      <c r="AB196" s="7"/>
      <c r="AC196" s="7"/>
      <c r="AD196" s="7"/>
      <c r="AE196" s="7"/>
      <c r="AF196" s="7"/>
      <c r="AG196" s="7" t="str" cm="1">
        <f t="array" aca="1" ref="AG196" ca="1">IF(OR('Raw Data'!AG196="",LEN(TRIM('Raw Data'!AG196))=0,Validate_Empty!AG196&lt;&gt;"",Validate_Value!AG196&lt;&gt;""),"",IF('Raw Data'!AG196=SUM('Raw Data'!AA196:AF196),"",_xlfn.REGEXEXTRACT(CELL("address",AG196), "\$([A-Z]+)\$[0-9]+")))</f>
        <v/>
      </c>
      <c r="AH196" s="7" t="str" cm="1">
        <f t="array" aca="1" ref="AH196" ca="1">IF(OR('Raw Data'!AH196="",LEN(TRIM('Raw Data'!AH196))=0,Validate_Empty!AH196&lt;&gt;"",Validate_Value!AH196&lt;&gt;""),"",IF(Configuration!$G$2 = Configuration!$I$2,"",_xlfn.REGEXEXTRACT(CELL("address",AH196), "\$([A-Z]+)\$[0-9]+")))</f>
        <v/>
      </c>
      <c r="AI196" s="7" t="str" cm="1">
        <f t="array" aca="1" ref="AI196" ca="1">IF(OR('Raw Data'!AI196="",LEN(TRIM('Raw Data'!AI196))=0,Validate_Empty!AI196&lt;&gt;"",Validate_Value!AI196&lt;&gt;""),"",IF(Configuration!$H$2 = Configuration!$J$2,"",_xlfn.REGEXEXTRACT(CELL("address",AI196), "\$([A-Z]+)\$[0-9]+")))</f>
        <v/>
      </c>
      <c r="AJ196" s="7"/>
      <c r="AK196" s="7"/>
      <c r="AL196" s="7"/>
      <c r="AM196" s="7"/>
      <c r="AN196" s="7"/>
      <c r="AO196" s="7"/>
      <c r="AP196" s="7" t="str" cm="1">
        <f t="array" aca="1" ref="AP196" ca="1">IF(OR('Raw Data'!AP196="",LEN(TRIM('Raw Data'!AP196))=0,Validate_Empty!AP196&lt;&gt;"",Validate_Value!AP196&lt;&gt;""),"",IF('Raw Data'!AP196=SUM('Raw Data'!AK196:AO196),"",_xlfn.REGEXEXTRACT(CELL("address",AP196), "\$([A-Z]+)\$[0-9]+")))</f>
        <v/>
      </c>
    </row>
    <row r="197" spans="2:42" x14ac:dyDescent="0.25">
      <c r="B197" s="7"/>
      <c r="C197" s="7"/>
      <c r="D197" s="7"/>
      <c r="E197" s="7"/>
      <c r="F197" s="7"/>
      <c r="G197" s="7"/>
      <c r="H197" s="7"/>
      <c r="I197" s="7"/>
      <c r="J197" s="7" t="str" cm="1">
        <f t="array" aca="1" ref="J197" ca="1">IF(OR('Raw Data'!J197="",LEN(TRIM('Raw Data'!J197))=0,Validate_Empty!J197&lt;&gt;"",Validate_Value!J197&lt;&gt;""),"",IF('Raw Data'!J197=SUM('Raw Data'!K197:N197),"",_xlfn.REGEXEXTRACT(CELL("address",J197), "\$([A-Z]+)\$[0-9]+")))</f>
        <v/>
      </c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 t="str" cm="1">
        <f t="array" aca="1" ref="Z197" ca="1">IF(OR('Raw Data'!Z197="",LEN(TRIM('Raw Data'!Z197))=0,Validate_Empty!Z197&lt;&gt;"",Validate_Value!Z197&lt;&gt;""),"",IF('Raw Data'!Z197=SUM('Raw Data'!T197:Y197),"",_xlfn.REGEXEXTRACT(CELL("address",Z197), "\$([A-Z]+)\$[0-9]+")))</f>
        <v/>
      </c>
      <c r="AA197" s="7"/>
      <c r="AB197" s="7"/>
      <c r="AC197" s="7"/>
      <c r="AD197" s="7"/>
      <c r="AE197" s="7"/>
      <c r="AF197" s="7"/>
      <c r="AG197" s="7" t="str" cm="1">
        <f t="array" aca="1" ref="AG197" ca="1">IF(OR('Raw Data'!AG197="",LEN(TRIM('Raw Data'!AG197))=0,Validate_Empty!AG197&lt;&gt;"",Validate_Value!AG197&lt;&gt;""),"",IF('Raw Data'!AG197=SUM('Raw Data'!AA197:AF197),"",_xlfn.REGEXEXTRACT(CELL("address",AG197), "\$([A-Z]+)\$[0-9]+")))</f>
        <v/>
      </c>
      <c r="AH197" s="7" t="str" cm="1">
        <f t="array" aca="1" ref="AH197" ca="1">IF(OR('Raw Data'!AH197="",LEN(TRIM('Raw Data'!AH197))=0,Validate_Empty!AH197&lt;&gt;"",Validate_Value!AH197&lt;&gt;""),"",IF(Configuration!$G$2 = Configuration!$I$2,"",_xlfn.REGEXEXTRACT(CELL("address",AH197), "\$([A-Z]+)\$[0-9]+")))</f>
        <v/>
      </c>
      <c r="AI197" s="7" t="str" cm="1">
        <f t="array" aca="1" ref="AI197" ca="1">IF(OR('Raw Data'!AI197="",LEN(TRIM('Raw Data'!AI197))=0,Validate_Empty!AI197&lt;&gt;"",Validate_Value!AI197&lt;&gt;""),"",IF(Configuration!$H$2 = Configuration!$J$2,"",_xlfn.REGEXEXTRACT(CELL("address",AI197), "\$([A-Z]+)\$[0-9]+")))</f>
        <v/>
      </c>
      <c r="AJ197" s="7"/>
      <c r="AK197" s="7"/>
      <c r="AL197" s="7"/>
      <c r="AM197" s="7"/>
      <c r="AN197" s="7"/>
      <c r="AO197" s="7"/>
      <c r="AP197" s="7" t="str" cm="1">
        <f t="array" aca="1" ref="AP197" ca="1">IF(OR('Raw Data'!AP197="",LEN(TRIM('Raw Data'!AP197))=0,Validate_Empty!AP197&lt;&gt;"",Validate_Value!AP197&lt;&gt;""),"",IF('Raw Data'!AP197=SUM('Raw Data'!AK197:AO197),"",_xlfn.REGEXEXTRACT(CELL("address",AP197), "\$([A-Z]+)\$[0-9]+")))</f>
        <v/>
      </c>
    </row>
    <row r="198" spans="2:42" x14ac:dyDescent="0.25">
      <c r="B198" s="7"/>
      <c r="C198" s="7"/>
      <c r="D198" s="7"/>
      <c r="E198" s="7"/>
      <c r="F198" s="7"/>
      <c r="G198" s="7"/>
      <c r="H198" s="7"/>
      <c r="I198" s="7"/>
      <c r="J198" s="7" t="str" cm="1">
        <f t="array" aca="1" ref="J198" ca="1">IF(OR('Raw Data'!J198="",LEN(TRIM('Raw Data'!J198))=0,Validate_Empty!J198&lt;&gt;"",Validate_Value!J198&lt;&gt;""),"",IF('Raw Data'!J198=SUM('Raw Data'!K198:N198),"",_xlfn.REGEXEXTRACT(CELL("address",J198), "\$([A-Z]+)\$[0-9]+")))</f>
        <v/>
      </c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 t="str" cm="1">
        <f t="array" aca="1" ref="Z198" ca="1">IF(OR('Raw Data'!Z198="",LEN(TRIM('Raw Data'!Z198))=0,Validate_Empty!Z198&lt;&gt;"",Validate_Value!Z198&lt;&gt;""),"",IF('Raw Data'!Z198=SUM('Raw Data'!T198:Y198),"",_xlfn.REGEXEXTRACT(CELL("address",Z198), "\$([A-Z]+)\$[0-9]+")))</f>
        <v/>
      </c>
      <c r="AA198" s="7"/>
      <c r="AB198" s="7"/>
      <c r="AC198" s="7"/>
      <c r="AD198" s="7"/>
      <c r="AE198" s="7"/>
      <c r="AF198" s="7"/>
      <c r="AG198" s="7" t="str" cm="1">
        <f t="array" aca="1" ref="AG198" ca="1">IF(OR('Raw Data'!AG198="",LEN(TRIM('Raw Data'!AG198))=0,Validate_Empty!AG198&lt;&gt;"",Validate_Value!AG198&lt;&gt;""),"",IF('Raw Data'!AG198=SUM('Raw Data'!AA198:AF198),"",_xlfn.REGEXEXTRACT(CELL("address",AG198), "\$([A-Z]+)\$[0-9]+")))</f>
        <v/>
      </c>
      <c r="AH198" s="7" t="str" cm="1">
        <f t="array" aca="1" ref="AH198" ca="1">IF(OR('Raw Data'!AH198="",LEN(TRIM('Raw Data'!AH198))=0,Validate_Empty!AH198&lt;&gt;"",Validate_Value!AH198&lt;&gt;""),"",IF(Configuration!$G$2 = Configuration!$I$2,"",_xlfn.REGEXEXTRACT(CELL("address",AH198), "\$([A-Z]+)\$[0-9]+")))</f>
        <v/>
      </c>
      <c r="AI198" s="7" t="str" cm="1">
        <f t="array" aca="1" ref="AI198" ca="1">IF(OR('Raw Data'!AI198="",LEN(TRIM('Raw Data'!AI198))=0,Validate_Empty!AI198&lt;&gt;"",Validate_Value!AI198&lt;&gt;""),"",IF(Configuration!$H$2 = Configuration!$J$2,"",_xlfn.REGEXEXTRACT(CELL("address",AI198), "\$([A-Z]+)\$[0-9]+")))</f>
        <v/>
      </c>
      <c r="AJ198" s="7"/>
      <c r="AK198" s="7"/>
      <c r="AL198" s="7"/>
      <c r="AM198" s="7"/>
      <c r="AN198" s="7"/>
      <c r="AO198" s="7"/>
      <c r="AP198" s="7" t="str" cm="1">
        <f t="array" aca="1" ref="AP198" ca="1">IF(OR('Raw Data'!AP198="",LEN(TRIM('Raw Data'!AP198))=0,Validate_Empty!AP198&lt;&gt;"",Validate_Value!AP198&lt;&gt;""),"",IF('Raw Data'!AP198=SUM('Raw Data'!AK198:AO198),"",_xlfn.REGEXEXTRACT(CELL("address",AP198), "\$([A-Z]+)\$[0-9]+")))</f>
        <v/>
      </c>
    </row>
    <row r="199" spans="2:42" x14ac:dyDescent="0.25">
      <c r="B199" s="7"/>
      <c r="C199" s="7"/>
      <c r="D199" s="7"/>
      <c r="E199" s="7"/>
      <c r="F199" s="7"/>
      <c r="G199" s="7"/>
      <c r="H199" s="7"/>
      <c r="I199" s="7"/>
      <c r="J199" s="7" t="str" cm="1">
        <f t="array" aca="1" ref="J199" ca="1">IF(OR('Raw Data'!J199="",LEN(TRIM('Raw Data'!J199))=0,Validate_Empty!J199&lt;&gt;"",Validate_Value!J199&lt;&gt;""),"",IF('Raw Data'!J199=SUM('Raw Data'!K199:N199),"",_xlfn.REGEXEXTRACT(CELL("address",J199), "\$([A-Z]+)\$[0-9]+")))</f>
        <v/>
      </c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 t="str" cm="1">
        <f t="array" aca="1" ref="Z199" ca="1">IF(OR('Raw Data'!Z199="",LEN(TRIM('Raw Data'!Z199))=0,Validate_Empty!Z199&lt;&gt;"",Validate_Value!Z199&lt;&gt;""),"",IF('Raw Data'!Z199=SUM('Raw Data'!T199:Y199),"",_xlfn.REGEXEXTRACT(CELL("address",Z199), "\$([A-Z]+)\$[0-9]+")))</f>
        <v/>
      </c>
      <c r="AA199" s="7"/>
      <c r="AB199" s="7"/>
      <c r="AC199" s="7"/>
      <c r="AD199" s="7"/>
      <c r="AE199" s="7"/>
      <c r="AF199" s="7"/>
      <c r="AG199" s="7" t="str" cm="1">
        <f t="array" aca="1" ref="AG199" ca="1">IF(OR('Raw Data'!AG199="",LEN(TRIM('Raw Data'!AG199))=0,Validate_Empty!AG199&lt;&gt;"",Validate_Value!AG199&lt;&gt;""),"",IF('Raw Data'!AG199=SUM('Raw Data'!AA199:AF199),"",_xlfn.REGEXEXTRACT(CELL("address",AG199), "\$([A-Z]+)\$[0-9]+")))</f>
        <v/>
      </c>
      <c r="AH199" s="7" t="str" cm="1">
        <f t="array" aca="1" ref="AH199" ca="1">IF(OR('Raw Data'!AH199="",LEN(TRIM('Raw Data'!AH199))=0,Validate_Empty!AH199&lt;&gt;"",Validate_Value!AH199&lt;&gt;""),"",IF(Configuration!$G$2 = Configuration!$I$2,"",_xlfn.REGEXEXTRACT(CELL("address",AH199), "\$([A-Z]+)\$[0-9]+")))</f>
        <v/>
      </c>
      <c r="AI199" s="7" t="str" cm="1">
        <f t="array" aca="1" ref="AI199" ca="1">IF(OR('Raw Data'!AI199="",LEN(TRIM('Raw Data'!AI199))=0,Validate_Empty!AI199&lt;&gt;"",Validate_Value!AI199&lt;&gt;""),"",IF(Configuration!$H$2 = Configuration!$J$2,"",_xlfn.REGEXEXTRACT(CELL("address",AI199), "\$([A-Z]+)\$[0-9]+")))</f>
        <v/>
      </c>
      <c r="AJ199" s="7"/>
      <c r="AK199" s="7"/>
      <c r="AL199" s="7"/>
      <c r="AM199" s="7"/>
      <c r="AN199" s="7"/>
      <c r="AO199" s="7"/>
      <c r="AP199" s="7" t="str" cm="1">
        <f t="array" aca="1" ref="AP199" ca="1">IF(OR('Raw Data'!AP199="",LEN(TRIM('Raw Data'!AP199))=0,Validate_Empty!AP199&lt;&gt;"",Validate_Value!AP199&lt;&gt;""),"",IF('Raw Data'!AP199=SUM('Raw Data'!AK199:AO199),"",_xlfn.REGEXEXTRACT(CELL("address",AP199), "\$([A-Z]+)\$[0-9]+")))</f>
        <v/>
      </c>
    </row>
    <row r="200" spans="2:42" x14ac:dyDescent="0.25">
      <c r="B200" s="7"/>
      <c r="C200" s="7"/>
      <c r="D200" s="7"/>
      <c r="E200" s="7"/>
      <c r="F200" s="7"/>
      <c r="G200" s="7"/>
      <c r="H200" s="7"/>
      <c r="I200" s="7"/>
      <c r="J200" s="7" t="str" cm="1">
        <f t="array" aca="1" ref="J200" ca="1">IF(OR('Raw Data'!J200="",LEN(TRIM('Raw Data'!J200))=0,Validate_Empty!J200&lt;&gt;"",Validate_Value!J200&lt;&gt;""),"",IF('Raw Data'!J200=SUM('Raw Data'!K200:N200),"",_xlfn.REGEXEXTRACT(CELL("address",J200), "\$([A-Z]+)\$[0-9]+")))</f>
        <v/>
      </c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 t="str" cm="1">
        <f t="array" aca="1" ref="Z200" ca="1">IF(OR('Raw Data'!Z200="",LEN(TRIM('Raw Data'!Z200))=0,Validate_Empty!Z200&lt;&gt;"",Validate_Value!Z200&lt;&gt;""),"",IF('Raw Data'!Z200=SUM('Raw Data'!T200:Y200),"",_xlfn.REGEXEXTRACT(CELL("address",Z200), "\$([A-Z]+)\$[0-9]+")))</f>
        <v/>
      </c>
      <c r="AA200" s="7"/>
      <c r="AB200" s="7"/>
      <c r="AC200" s="7"/>
      <c r="AD200" s="7"/>
      <c r="AE200" s="7"/>
      <c r="AF200" s="7"/>
      <c r="AG200" s="7" t="str" cm="1">
        <f t="array" aca="1" ref="AG200" ca="1">IF(OR('Raw Data'!AG200="",LEN(TRIM('Raw Data'!AG200))=0,Validate_Empty!AG200&lt;&gt;"",Validate_Value!AG200&lt;&gt;""),"",IF('Raw Data'!AG200=SUM('Raw Data'!AA200:AF200),"",_xlfn.REGEXEXTRACT(CELL("address",AG200), "\$([A-Z]+)\$[0-9]+")))</f>
        <v/>
      </c>
      <c r="AH200" s="7" t="str" cm="1">
        <f t="array" aca="1" ref="AH200" ca="1">IF(OR('Raw Data'!AH200="",LEN(TRIM('Raw Data'!AH200))=0,Validate_Empty!AH200&lt;&gt;"",Validate_Value!AH200&lt;&gt;""),"",IF(Configuration!$G$2 = Configuration!$I$2,"",_xlfn.REGEXEXTRACT(CELL("address",AH200), "\$([A-Z]+)\$[0-9]+")))</f>
        <v/>
      </c>
      <c r="AI200" s="7" t="str" cm="1">
        <f t="array" aca="1" ref="AI200" ca="1">IF(OR('Raw Data'!AI200="",LEN(TRIM('Raw Data'!AI200))=0,Validate_Empty!AI200&lt;&gt;"",Validate_Value!AI200&lt;&gt;""),"",IF(Configuration!$H$2 = Configuration!$J$2,"",_xlfn.REGEXEXTRACT(CELL("address",AI200), "\$([A-Z]+)\$[0-9]+")))</f>
        <v/>
      </c>
      <c r="AJ200" s="7"/>
      <c r="AK200" s="7"/>
      <c r="AL200" s="7"/>
      <c r="AM200" s="7"/>
      <c r="AN200" s="7"/>
      <c r="AO200" s="7"/>
      <c r="AP200" s="7" t="str" cm="1">
        <f t="array" aca="1" ref="AP200" ca="1">IF(OR('Raw Data'!AP200="",LEN(TRIM('Raw Data'!AP200))=0,Validate_Empty!AP200&lt;&gt;"",Validate_Value!AP200&lt;&gt;""),"",IF('Raw Data'!AP200=SUM('Raw Data'!AK200:AO200),"",_xlfn.REGEXEXTRACT(CELL("address",AP200), "\$([A-Z]+)\$[0-9]+")))</f>
        <v/>
      </c>
    </row>
    <row r="201" spans="2:42" x14ac:dyDescent="0.25">
      <c r="B201" s="7"/>
      <c r="C201" s="7"/>
      <c r="D201" s="7"/>
      <c r="E201" s="7"/>
      <c r="F201" s="7"/>
      <c r="G201" s="7"/>
      <c r="H201" s="7"/>
      <c r="I201" s="7"/>
      <c r="J201" s="7" t="str" cm="1">
        <f t="array" aca="1" ref="J201" ca="1">IF(OR('Raw Data'!J201="",LEN(TRIM('Raw Data'!J201))=0,Validate_Empty!J201&lt;&gt;"",Validate_Value!J201&lt;&gt;""),"",IF('Raw Data'!J201=SUM('Raw Data'!K201:N201),"",_xlfn.REGEXEXTRACT(CELL("address",J201), "\$([A-Z]+)\$[0-9]+")))</f>
        <v/>
      </c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 t="str" cm="1">
        <f t="array" aca="1" ref="Z201" ca="1">IF(OR('Raw Data'!Z201="",LEN(TRIM('Raw Data'!Z201))=0,Validate_Empty!Z201&lt;&gt;"",Validate_Value!Z201&lt;&gt;""),"",IF('Raw Data'!Z201=SUM('Raw Data'!T201:Y201),"",_xlfn.REGEXEXTRACT(CELL("address",Z201), "\$([A-Z]+)\$[0-9]+")))</f>
        <v/>
      </c>
      <c r="AA201" s="7"/>
      <c r="AB201" s="7"/>
      <c r="AC201" s="7"/>
      <c r="AD201" s="7"/>
      <c r="AE201" s="7"/>
      <c r="AF201" s="7"/>
      <c r="AG201" s="7" t="str" cm="1">
        <f t="array" aca="1" ref="AG201" ca="1">IF(OR('Raw Data'!AG201="",LEN(TRIM('Raw Data'!AG201))=0,Validate_Empty!AG201&lt;&gt;"",Validate_Value!AG201&lt;&gt;""),"",IF('Raw Data'!AG201=SUM('Raw Data'!AA201:AF201),"",_xlfn.REGEXEXTRACT(CELL("address",AG201), "\$([A-Z]+)\$[0-9]+")))</f>
        <v/>
      </c>
      <c r="AH201" s="7" t="str" cm="1">
        <f t="array" aca="1" ref="AH201" ca="1">IF(OR('Raw Data'!AH201="",LEN(TRIM('Raw Data'!AH201))=0,Validate_Empty!AH201&lt;&gt;"",Validate_Value!AH201&lt;&gt;""),"",IF(Configuration!$G$2 = Configuration!$I$2,"",_xlfn.REGEXEXTRACT(CELL("address",AH201), "\$([A-Z]+)\$[0-9]+")))</f>
        <v/>
      </c>
      <c r="AI201" s="7" t="str" cm="1">
        <f t="array" aca="1" ref="AI201" ca="1">IF(OR('Raw Data'!AI201="",LEN(TRIM('Raw Data'!AI201))=0,Validate_Empty!AI201&lt;&gt;"",Validate_Value!AI201&lt;&gt;""),"",IF(Configuration!$H$2 = Configuration!$J$2,"",_xlfn.REGEXEXTRACT(CELL("address",AI201), "\$([A-Z]+)\$[0-9]+")))</f>
        <v/>
      </c>
      <c r="AJ201" s="7"/>
      <c r="AK201" s="7"/>
      <c r="AL201" s="7"/>
      <c r="AM201" s="7"/>
      <c r="AN201" s="7"/>
      <c r="AO201" s="7"/>
      <c r="AP201" s="7" t="str" cm="1">
        <f t="array" aca="1" ref="AP201" ca="1">IF(OR('Raw Data'!AP201="",LEN(TRIM('Raw Data'!AP201))=0,Validate_Empty!AP201&lt;&gt;"",Validate_Value!AP201&lt;&gt;""),"",IF('Raw Data'!AP201=SUM('Raw Data'!AK201:AO201),"",_xlfn.REGEXEXTRACT(CELL("address",AP201), "\$([A-Z]+)\$[0-9]+")))</f>
        <v/>
      </c>
    </row>
    <row r="202" spans="2:42" x14ac:dyDescent="0.25">
      <c r="B202" s="7"/>
      <c r="C202" s="7"/>
      <c r="D202" s="7"/>
      <c r="E202" s="7"/>
      <c r="F202" s="7"/>
      <c r="G202" s="7"/>
      <c r="H202" s="7"/>
      <c r="I202" s="7"/>
      <c r="J202" s="7" t="str" cm="1">
        <f t="array" aca="1" ref="J202" ca="1">IF(OR('Raw Data'!J202="",LEN(TRIM('Raw Data'!J202))=0,Validate_Empty!J202&lt;&gt;"",Validate_Value!J202&lt;&gt;""),"",IF('Raw Data'!J202=SUM('Raw Data'!K202:N202),"",_xlfn.REGEXEXTRACT(CELL("address",J202), "\$([A-Z]+)\$[0-9]+")))</f>
        <v/>
      </c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 t="str" cm="1">
        <f t="array" aca="1" ref="Z202" ca="1">IF(OR('Raw Data'!Z202="",LEN(TRIM('Raw Data'!Z202))=0,Validate_Empty!Z202&lt;&gt;"",Validate_Value!Z202&lt;&gt;""),"",IF('Raw Data'!Z202=SUM('Raw Data'!T202:Y202),"",_xlfn.REGEXEXTRACT(CELL("address",Z202), "\$([A-Z]+)\$[0-9]+")))</f>
        <v/>
      </c>
      <c r="AA202" s="7"/>
      <c r="AB202" s="7"/>
      <c r="AC202" s="7"/>
      <c r="AD202" s="7"/>
      <c r="AE202" s="7"/>
      <c r="AF202" s="7"/>
      <c r="AG202" s="7" t="str" cm="1">
        <f t="array" aca="1" ref="AG202" ca="1">IF(OR('Raw Data'!AG202="",LEN(TRIM('Raw Data'!AG202))=0,Validate_Empty!AG202&lt;&gt;"",Validate_Value!AG202&lt;&gt;""),"",IF('Raw Data'!AG202=SUM('Raw Data'!AA202:AF202),"",_xlfn.REGEXEXTRACT(CELL("address",AG202), "\$([A-Z]+)\$[0-9]+")))</f>
        <v/>
      </c>
      <c r="AH202" s="7" t="str" cm="1">
        <f t="array" aca="1" ref="AH202" ca="1">IF(OR('Raw Data'!AH202="",LEN(TRIM('Raw Data'!AH202))=0,Validate_Empty!AH202&lt;&gt;"",Validate_Value!AH202&lt;&gt;""),"",IF(Configuration!$G$2 = Configuration!$I$2,"",_xlfn.REGEXEXTRACT(CELL("address",AH202), "\$([A-Z]+)\$[0-9]+")))</f>
        <v/>
      </c>
      <c r="AI202" s="7" t="str" cm="1">
        <f t="array" aca="1" ref="AI202" ca="1">IF(OR('Raw Data'!AI202="",LEN(TRIM('Raw Data'!AI202))=0,Validate_Empty!AI202&lt;&gt;"",Validate_Value!AI202&lt;&gt;""),"",IF(Configuration!$H$2 = Configuration!$J$2,"",_xlfn.REGEXEXTRACT(CELL("address",AI202), "\$([A-Z]+)\$[0-9]+")))</f>
        <v/>
      </c>
      <c r="AJ202" s="7"/>
      <c r="AK202" s="7"/>
      <c r="AL202" s="7"/>
      <c r="AM202" s="7"/>
      <c r="AN202" s="7"/>
      <c r="AO202" s="7"/>
      <c r="AP202" s="7" t="str" cm="1">
        <f t="array" aca="1" ref="AP202" ca="1">IF(OR('Raw Data'!AP202="",LEN(TRIM('Raw Data'!AP202))=0,Validate_Empty!AP202&lt;&gt;"",Validate_Value!AP202&lt;&gt;""),"",IF('Raw Data'!AP202=SUM('Raw Data'!AK202:AO202),"",_xlfn.REGEXEXTRACT(CELL("address",AP202), "\$([A-Z]+)\$[0-9]+")))</f>
        <v/>
      </c>
    </row>
    <row r="203" spans="2:42" x14ac:dyDescent="0.25">
      <c r="B203" s="7"/>
      <c r="C203" s="7"/>
      <c r="D203" s="7"/>
      <c r="E203" s="7"/>
      <c r="F203" s="7"/>
      <c r="G203" s="7"/>
      <c r="H203" s="7"/>
      <c r="I203" s="7"/>
      <c r="J203" s="7" t="str" cm="1">
        <f t="array" aca="1" ref="J203" ca="1">IF(OR('Raw Data'!J203="",LEN(TRIM('Raw Data'!J203))=0,Validate_Empty!J203&lt;&gt;"",Validate_Value!J203&lt;&gt;""),"",IF('Raw Data'!J203=SUM('Raw Data'!K203:N203),"",_xlfn.REGEXEXTRACT(CELL("address",J203), "\$([A-Z]+)\$[0-9]+")))</f>
        <v/>
      </c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 t="str" cm="1">
        <f t="array" aca="1" ref="Z203" ca="1">IF(OR('Raw Data'!Z203="",LEN(TRIM('Raw Data'!Z203))=0,Validate_Empty!Z203&lt;&gt;"",Validate_Value!Z203&lt;&gt;""),"",IF('Raw Data'!Z203=SUM('Raw Data'!T203:Y203),"",_xlfn.REGEXEXTRACT(CELL("address",Z203), "\$([A-Z]+)\$[0-9]+")))</f>
        <v/>
      </c>
      <c r="AA203" s="7"/>
      <c r="AB203" s="7"/>
      <c r="AC203" s="7"/>
      <c r="AD203" s="7"/>
      <c r="AE203" s="7"/>
      <c r="AF203" s="7"/>
      <c r="AG203" s="7" t="str" cm="1">
        <f t="array" aca="1" ref="AG203" ca="1">IF(OR('Raw Data'!AG203="",LEN(TRIM('Raw Data'!AG203))=0,Validate_Empty!AG203&lt;&gt;"",Validate_Value!AG203&lt;&gt;""),"",IF('Raw Data'!AG203=SUM('Raw Data'!AA203:AF203),"",_xlfn.REGEXEXTRACT(CELL("address",AG203), "\$([A-Z]+)\$[0-9]+")))</f>
        <v/>
      </c>
      <c r="AH203" s="7" t="str" cm="1">
        <f t="array" aca="1" ref="AH203" ca="1">IF(OR('Raw Data'!AH203="",LEN(TRIM('Raw Data'!AH203))=0,Validate_Empty!AH203&lt;&gt;"",Validate_Value!AH203&lt;&gt;""),"",IF(Configuration!$G$2 = Configuration!$I$2,"",_xlfn.REGEXEXTRACT(CELL("address",AH203), "\$([A-Z]+)\$[0-9]+")))</f>
        <v/>
      </c>
      <c r="AI203" s="7" t="str" cm="1">
        <f t="array" aca="1" ref="AI203" ca="1">IF(OR('Raw Data'!AI203="",LEN(TRIM('Raw Data'!AI203))=0,Validate_Empty!AI203&lt;&gt;"",Validate_Value!AI203&lt;&gt;""),"",IF(Configuration!$H$2 = Configuration!$J$2,"",_xlfn.REGEXEXTRACT(CELL("address",AI203), "\$([A-Z]+)\$[0-9]+")))</f>
        <v/>
      </c>
      <c r="AJ203" s="7"/>
      <c r="AK203" s="7"/>
      <c r="AL203" s="7"/>
      <c r="AM203" s="7"/>
      <c r="AN203" s="7"/>
      <c r="AO203" s="7"/>
      <c r="AP203" s="7" t="str" cm="1">
        <f t="array" aca="1" ref="AP203" ca="1">IF(OR('Raw Data'!AP203="",LEN(TRIM('Raw Data'!AP203))=0,Validate_Empty!AP203&lt;&gt;"",Validate_Value!AP203&lt;&gt;""),"",IF('Raw Data'!AP203=SUM('Raw Data'!AK203:AO203),"",_xlfn.REGEXEXTRACT(CELL("address",AP203), "\$([A-Z]+)\$[0-9]+")))</f>
        <v/>
      </c>
    </row>
    <row r="204" spans="2:42" x14ac:dyDescent="0.25">
      <c r="B204" s="7"/>
      <c r="C204" s="7"/>
      <c r="D204" s="7"/>
      <c r="E204" s="7"/>
      <c r="F204" s="7"/>
      <c r="G204" s="7"/>
      <c r="H204" s="7"/>
      <c r="I204" s="7"/>
      <c r="J204" s="7" t="str" cm="1">
        <f t="array" aca="1" ref="J204" ca="1">IF(OR('Raw Data'!J204="",LEN(TRIM('Raw Data'!J204))=0,Validate_Empty!J204&lt;&gt;"",Validate_Value!J204&lt;&gt;""),"",IF('Raw Data'!J204=SUM('Raw Data'!K204:N204),"",_xlfn.REGEXEXTRACT(CELL("address",J204), "\$([A-Z]+)\$[0-9]+")))</f>
        <v/>
      </c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 t="str" cm="1">
        <f t="array" aca="1" ref="Z204" ca="1">IF(OR('Raw Data'!Z204="",LEN(TRIM('Raw Data'!Z204))=0,Validate_Empty!Z204&lt;&gt;"",Validate_Value!Z204&lt;&gt;""),"",IF('Raw Data'!Z204=SUM('Raw Data'!T204:Y204),"",_xlfn.REGEXEXTRACT(CELL("address",Z204), "\$([A-Z]+)\$[0-9]+")))</f>
        <v/>
      </c>
      <c r="AA204" s="7"/>
      <c r="AB204" s="7"/>
      <c r="AC204" s="7"/>
      <c r="AD204" s="7"/>
      <c r="AE204" s="7"/>
      <c r="AF204" s="7"/>
      <c r="AG204" s="7" t="str" cm="1">
        <f t="array" aca="1" ref="AG204" ca="1">IF(OR('Raw Data'!AG204="",LEN(TRIM('Raw Data'!AG204))=0,Validate_Empty!AG204&lt;&gt;"",Validate_Value!AG204&lt;&gt;""),"",IF('Raw Data'!AG204=SUM('Raw Data'!AA204:AF204),"",_xlfn.REGEXEXTRACT(CELL("address",AG204), "\$([A-Z]+)\$[0-9]+")))</f>
        <v/>
      </c>
      <c r="AH204" s="7" t="str" cm="1">
        <f t="array" aca="1" ref="AH204" ca="1">IF(OR('Raw Data'!AH204="",LEN(TRIM('Raw Data'!AH204))=0,Validate_Empty!AH204&lt;&gt;"",Validate_Value!AH204&lt;&gt;""),"",IF(Configuration!$G$2 = Configuration!$I$2,"",_xlfn.REGEXEXTRACT(CELL("address",AH204), "\$([A-Z]+)\$[0-9]+")))</f>
        <v/>
      </c>
      <c r="AI204" s="7" t="str" cm="1">
        <f t="array" aca="1" ref="AI204" ca="1">IF(OR('Raw Data'!AI204="",LEN(TRIM('Raw Data'!AI204))=0,Validate_Empty!AI204&lt;&gt;"",Validate_Value!AI204&lt;&gt;""),"",IF(Configuration!$H$2 = Configuration!$J$2,"",_xlfn.REGEXEXTRACT(CELL("address",AI204), "\$([A-Z]+)\$[0-9]+")))</f>
        <v/>
      </c>
      <c r="AJ204" s="7"/>
      <c r="AK204" s="7"/>
      <c r="AL204" s="7"/>
      <c r="AM204" s="7"/>
      <c r="AN204" s="7"/>
      <c r="AO204" s="7"/>
      <c r="AP204" s="7" t="str" cm="1">
        <f t="array" aca="1" ref="AP204" ca="1">IF(OR('Raw Data'!AP204="",LEN(TRIM('Raw Data'!AP204))=0,Validate_Empty!AP204&lt;&gt;"",Validate_Value!AP204&lt;&gt;""),"",IF('Raw Data'!AP204=SUM('Raw Data'!AK204:AO204),"",_xlfn.REGEXEXTRACT(CELL("address",AP204), "\$([A-Z]+)\$[0-9]+")))</f>
        <v/>
      </c>
    </row>
    <row r="205" spans="2:42" x14ac:dyDescent="0.25">
      <c r="B205" s="7"/>
      <c r="C205" s="7"/>
      <c r="D205" s="7"/>
      <c r="E205" s="7"/>
      <c r="F205" s="7"/>
      <c r="G205" s="7"/>
      <c r="H205" s="7"/>
      <c r="I205" s="7"/>
      <c r="J205" s="7" t="str" cm="1">
        <f t="array" aca="1" ref="J205" ca="1">IF(OR('Raw Data'!J205="",LEN(TRIM('Raw Data'!J205))=0,Validate_Empty!J205&lt;&gt;"",Validate_Value!J205&lt;&gt;""),"",IF('Raw Data'!J205=SUM('Raw Data'!K205:N205),"",_xlfn.REGEXEXTRACT(CELL("address",J205), "\$([A-Z]+)\$[0-9]+")))</f>
        <v/>
      </c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 t="str" cm="1">
        <f t="array" aca="1" ref="Z205" ca="1">IF(OR('Raw Data'!Z205="",LEN(TRIM('Raw Data'!Z205))=0,Validate_Empty!Z205&lt;&gt;"",Validate_Value!Z205&lt;&gt;""),"",IF('Raw Data'!Z205=SUM('Raw Data'!T205:Y205),"",_xlfn.REGEXEXTRACT(CELL("address",Z205), "\$([A-Z]+)\$[0-9]+")))</f>
        <v/>
      </c>
      <c r="AA205" s="7"/>
      <c r="AB205" s="7"/>
      <c r="AC205" s="7"/>
      <c r="AD205" s="7"/>
      <c r="AE205" s="7"/>
      <c r="AF205" s="7"/>
      <c r="AG205" s="7" t="str" cm="1">
        <f t="array" aca="1" ref="AG205" ca="1">IF(OR('Raw Data'!AG205="",LEN(TRIM('Raw Data'!AG205))=0,Validate_Empty!AG205&lt;&gt;"",Validate_Value!AG205&lt;&gt;""),"",IF('Raw Data'!AG205=SUM('Raw Data'!AA205:AF205),"",_xlfn.REGEXEXTRACT(CELL("address",AG205), "\$([A-Z]+)\$[0-9]+")))</f>
        <v/>
      </c>
      <c r="AH205" s="7" t="str" cm="1">
        <f t="array" aca="1" ref="AH205" ca="1">IF(OR('Raw Data'!AH205="",LEN(TRIM('Raw Data'!AH205))=0,Validate_Empty!AH205&lt;&gt;"",Validate_Value!AH205&lt;&gt;""),"",IF(Configuration!$G$2 = Configuration!$I$2,"",_xlfn.REGEXEXTRACT(CELL("address",AH205), "\$([A-Z]+)\$[0-9]+")))</f>
        <v/>
      </c>
      <c r="AI205" s="7" t="str" cm="1">
        <f t="array" aca="1" ref="AI205" ca="1">IF(OR('Raw Data'!AI205="",LEN(TRIM('Raw Data'!AI205))=0,Validate_Empty!AI205&lt;&gt;"",Validate_Value!AI205&lt;&gt;""),"",IF(Configuration!$H$2 = Configuration!$J$2,"",_xlfn.REGEXEXTRACT(CELL("address",AI205), "\$([A-Z]+)\$[0-9]+")))</f>
        <v/>
      </c>
      <c r="AJ205" s="7"/>
      <c r="AK205" s="7"/>
      <c r="AL205" s="7"/>
      <c r="AM205" s="7"/>
      <c r="AN205" s="7"/>
      <c r="AO205" s="7"/>
      <c r="AP205" s="7" t="str" cm="1">
        <f t="array" aca="1" ref="AP205" ca="1">IF(OR('Raw Data'!AP205="",LEN(TRIM('Raw Data'!AP205))=0,Validate_Empty!AP205&lt;&gt;"",Validate_Value!AP205&lt;&gt;""),"",IF('Raw Data'!AP205=SUM('Raw Data'!AK205:AO205),"",_xlfn.REGEXEXTRACT(CELL("address",AP205), "\$([A-Z]+)\$[0-9]+")))</f>
        <v/>
      </c>
    </row>
    <row r="206" spans="2:42" x14ac:dyDescent="0.25">
      <c r="B206" s="7"/>
      <c r="C206" s="7"/>
      <c r="D206" s="7"/>
      <c r="E206" s="7"/>
      <c r="F206" s="7"/>
      <c r="G206" s="7"/>
      <c r="H206" s="7"/>
      <c r="I206" s="7"/>
      <c r="J206" s="7" t="str" cm="1">
        <f t="array" aca="1" ref="J206" ca="1">IF(OR('Raw Data'!J206="",LEN(TRIM('Raw Data'!J206))=0,Validate_Empty!J206&lt;&gt;"",Validate_Value!J206&lt;&gt;""),"",IF('Raw Data'!J206=SUM('Raw Data'!K206:N206),"",_xlfn.REGEXEXTRACT(CELL("address",J206), "\$([A-Z]+)\$[0-9]+")))</f>
        <v/>
      </c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 t="str" cm="1">
        <f t="array" aca="1" ref="Z206" ca="1">IF(OR('Raw Data'!Z206="",LEN(TRIM('Raw Data'!Z206))=0,Validate_Empty!Z206&lt;&gt;"",Validate_Value!Z206&lt;&gt;""),"",IF('Raw Data'!Z206=SUM('Raw Data'!T206:Y206),"",_xlfn.REGEXEXTRACT(CELL("address",Z206), "\$([A-Z]+)\$[0-9]+")))</f>
        <v/>
      </c>
      <c r="AA206" s="7"/>
      <c r="AB206" s="7"/>
      <c r="AC206" s="7"/>
      <c r="AD206" s="7"/>
      <c r="AE206" s="7"/>
      <c r="AF206" s="7"/>
      <c r="AG206" s="7" t="str" cm="1">
        <f t="array" aca="1" ref="AG206" ca="1">IF(OR('Raw Data'!AG206="",LEN(TRIM('Raw Data'!AG206))=0,Validate_Empty!AG206&lt;&gt;"",Validate_Value!AG206&lt;&gt;""),"",IF('Raw Data'!AG206=SUM('Raw Data'!AA206:AF206),"",_xlfn.REGEXEXTRACT(CELL("address",AG206), "\$([A-Z]+)\$[0-9]+")))</f>
        <v/>
      </c>
      <c r="AH206" s="7" t="str" cm="1">
        <f t="array" aca="1" ref="AH206" ca="1">IF(OR('Raw Data'!AH206="",LEN(TRIM('Raw Data'!AH206))=0,Validate_Empty!AH206&lt;&gt;"",Validate_Value!AH206&lt;&gt;""),"",IF(Configuration!$G$2 = Configuration!$I$2,"",_xlfn.REGEXEXTRACT(CELL("address",AH206), "\$([A-Z]+)\$[0-9]+")))</f>
        <v/>
      </c>
      <c r="AI206" s="7" t="str" cm="1">
        <f t="array" aca="1" ref="AI206" ca="1">IF(OR('Raw Data'!AI206="",LEN(TRIM('Raw Data'!AI206))=0,Validate_Empty!AI206&lt;&gt;"",Validate_Value!AI206&lt;&gt;""),"",IF(Configuration!$H$2 = Configuration!$J$2,"",_xlfn.REGEXEXTRACT(CELL("address",AI206), "\$([A-Z]+)\$[0-9]+")))</f>
        <v/>
      </c>
      <c r="AJ206" s="7"/>
      <c r="AK206" s="7"/>
      <c r="AL206" s="7"/>
      <c r="AM206" s="7"/>
      <c r="AN206" s="7"/>
      <c r="AO206" s="7"/>
      <c r="AP206" s="7" t="str" cm="1">
        <f t="array" aca="1" ref="AP206" ca="1">IF(OR('Raw Data'!AP206="",LEN(TRIM('Raw Data'!AP206))=0,Validate_Empty!AP206&lt;&gt;"",Validate_Value!AP206&lt;&gt;""),"",IF('Raw Data'!AP206=SUM('Raw Data'!AK206:AO206),"",_xlfn.REGEXEXTRACT(CELL("address",AP206), "\$([A-Z]+)\$[0-9]+")))</f>
        <v/>
      </c>
    </row>
    <row r="207" spans="2:42" x14ac:dyDescent="0.25">
      <c r="B207" s="7"/>
      <c r="C207" s="7"/>
      <c r="D207" s="7"/>
      <c r="E207" s="7"/>
      <c r="F207" s="7"/>
      <c r="G207" s="7"/>
      <c r="H207" s="7"/>
      <c r="I207" s="7"/>
      <c r="J207" s="7" t="str" cm="1">
        <f t="array" aca="1" ref="J207" ca="1">IF(OR('Raw Data'!J207="",LEN(TRIM('Raw Data'!J207))=0,Validate_Empty!J207&lt;&gt;"",Validate_Value!J207&lt;&gt;""),"",IF('Raw Data'!J207=SUM('Raw Data'!K207:N207),"",_xlfn.REGEXEXTRACT(CELL("address",J207), "\$([A-Z]+)\$[0-9]+")))</f>
        <v/>
      </c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 t="str" cm="1">
        <f t="array" aca="1" ref="Z207" ca="1">IF(OR('Raw Data'!Z207="",LEN(TRIM('Raw Data'!Z207))=0,Validate_Empty!Z207&lt;&gt;"",Validate_Value!Z207&lt;&gt;""),"",IF('Raw Data'!Z207=SUM('Raw Data'!T207:Y207),"",_xlfn.REGEXEXTRACT(CELL("address",Z207), "\$([A-Z]+)\$[0-9]+")))</f>
        <v/>
      </c>
      <c r="AA207" s="7"/>
      <c r="AB207" s="7"/>
      <c r="AC207" s="7"/>
      <c r="AD207" s="7"/>
      <c r="AE207" s="7"/>
      <c r="AF207" s="7"/>
      <c r="AG207" s="7" t="str" cm="1">
        <f t="array" aca="1" ref="AG207" ca="1">IF(OR('Raw Data'!AG207="",LEN(TRIM('Raw Data'!AG207))=0,Validate_Empty!AG207&lt;&gt;"",Validate_Value!AG207&lt;&gt;""),"",IF('Raw Data'!AG207=SUM('Raw Data'!AA207:AF207),"",_xlfn.REGEXEXTRACT(CELL("address",AG207), "\$([A-Z]+)\$[0-9]+")))</f>
        <v/>
      </c>
      <c r="AH207" s="7" t="str" cm="1">
        <f t="array" aca="1" ref="AH207" ca="1">IF(OR('Raw Data'!AH207="",LEN(TRIM('Raw Data'!AH207))=0,Validate_Empty!AH207&lt;&gt;"",Validate_Value!AH207&lt;&gt;""),"",IF(Configuration!$G$2 = Configuration!$I$2,"",_xlfn.REGEXEXTRACT(CELL("address",AH207), "\$([A-Z]+)\$[0-9]+")))</f>
        <v/>
      </c>
      <c r="AI207" s="7" t="str" cm="1">
        <f t="array" aca="1" ref="AI207" ca="1">IF(OR('Raw Data'!AI207="",LEN(TRIM('Raw Data'!AI207))=0,Validate_Empty!AI207&lt;&gt;"",Validate_Value!AI207&lt;&gt;""),"",IF(Configuration!$H$2 = Configuration!$J$2,"",_xlfn.REGEXEXTRACT(CELL("address",AI207), "\$([A-Z]+)\$[0-9]+")))</f>
        <v/>
      </c>
      <c r="AJ207" s="7"/>
      <c r="AK207" s="7"/>
      <c r="AL207" s="7"/>
      <c r="AM207" s="7"/>
      <c r="AN207" s="7"/>
      <c r="AO207" s="7"/>
      <c r="AP207" s="7" t="str" cm="1">
        <f t="array" aca="1" ref="AP207" ca="1">IF(OR('Raw Data'!AP207="",LEN(TRIM('Raw Data'!AP207))=0,Validate_Empty!AP207&lt;&gt;"",Validate_Value!AP207&lt;&gt;""),"",IF('Raw Data'!AP207=SUM('Raw Data'!AK207:AO207),"",_xlfn.REGEXEXTRACT(CELL("address",AP207), "\$([A-Z]+)\$[0-9]+")))</f>
        <v/>
      </c>
    </row>
    <row r="208" spans="2:42" x14ac:dyDescent="0.25">
      <c r="B208" s="7"/>
      <c r="C208" s="7"/>
      <c r="D208" s="7"/>
      <c r="E208" s="7"/>
      <c r="F208" s="7"/>
      <c r="G208" s="7"/>
      <c r="H208" s="7"/>
      <c r="I208" s="7"/>
      <c r="J208" s="7" t="str" cm="1">
        <f t="array" aca="1" ref="J208" ca="1">IF(OR('Raw Data'!J208="",LEN(TRIM('Raw Data'!J208))=0,Validate_Empty!J208&lt;&gt;"",Validate_Value!J208&lt;&gt;""),"",IF('Raw Data'!J208=SUM('Raw Data'!K208:N208),"",_xlfn.REGEXEXTRACT(CELL("address",J208), "\$([A-Z]+)\$[0-9]+")))</f>
        <v/>
      </c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 t="str" cm="1">
        <f t="array" aca="1" ref="Z208" ca="1">IF(OR('Raw Data'!Z208="",LEN(TRIM('Raw Data'!Z208))=0,Validate_Empty!Z208&lt;&gt;"",Validate_Value!Z208&lt;&gt;""),"",IF('Raw Data'!Z208=SUM('Raw Data'!T208:Y208),"",_xlfn.REGEXEXTRACT(CELL("address",Z208), "\$([A-Z]+)\$[0-9]+")))</f>
        <v/>
      </c>
      <c r="AA208" s="7"/>
      <c r="AB208" s="7"/>
      <c r="AC208" s="7"/>
      <c r="AD208" s="7"/>
      <c r="AE208" s="7"/>
      <c r="AF208" s="7"/>
      <c r="AG208" s="7" t="str" cm="1">
        <f t="array" aca="1" ref="AG208" ca="1">IF(OR('Raw Data'!AG208="",LEN(TRIM('Raw Data'!AG208))=0,Validate_Empty!AG208&lt;&gt;"",Validate_Value!AG208&lt;&gt;""),"",IF('Raw Data'!AG208=SUM('Raw Data'!AA208:AF208),"",_xlfn.REGEXEXTRACT(CELL("address",AG208), "\$([A-Z]+)\$[0-9]+")))</f>
        <v/>
      </c>
      <c r="AH208" s="7" t="str" cm="1">
        <f t="array" aca="1" ref="AH208" ca="1">IF(OR('Raw Data'!AH208="",LEN(TRIM('Raw Data'!AH208))=0,Validate_Empty!AH208&lt;&gt;"",Validate_Value!AH208&lt;&gt;""),"",IF(Configuration!$G$2 = Configuration!$I$2,"",_xlfn.REGEXEXTRACT(CELL("address",AH208), "\$([A-Z]+)\$[0-9]+")))</f>
        <v/>
      </c>
      <c r="AI208" s="7" t="str" cm="1">
        <f t="array" aca="1" ref="AI208" ca="1">IF(OR('Raw Data'!AI208="",LEN(TRIM('Raw Data'!AI208))=0,Validate_Empty!AI208&lt;&gt;"",Validate_Value!AI208&lt;&gt;""),"",IF(Configuration!$H$2 = Configuration!$J$2,"",_xlfn.REGEXEXTRACT(CELL("address",AI208), "\$([A-Z]+)\$[0-9]+")))</f>
        <v/>
      </c>
      <c r="AJ208" s="7"/>
      <c r="AK208" s="7"/>
      <c r="AL208" s="7"/>
      <c r="AM208" s="7"/>
      <c r="AN208" s="7"/>
      <c r="AO208" s="7"/>
      <c r="AP208" s="7" t="str" cm="1">
        <f t="array" aca="1" ref="AP208" ca="1">IF(OR('Raw Data'!AP208="",LEN(TRIM('Raw Data'!AP208))=0,Validate_Empty!AP208&lt;&gt;"",Validate_Value!AP208&lt;&gt;""),"",IF('Raw Data'!AP208=SUM('Raw Data'!AK208:AO208),"",_xlfn.REGEXEXTRACT(CELL("address",AP208), "\$([A-Z]+)\$[0-9]+")))</f>
        <v/>
      </c>
    </row>
    <row r="209" spans="2:42" x14ac:dyDescent="0.25">
      <c r="B209" s="7"/>
      <c r="C209" s="7"/>
      <c r="D209" s="7"/>
      <c r="E209" s="7"/>
      <c r="F209" s="7"/>
      <c r="G209" s="7"/>
      <c r="H209" s="7"/>
      <c r="I209" s="7"/>
      <c r="J209" s="7" t="str" cm="1">
        <f t="array" aca="1" ref="J209" ca="1">IF(OR('Raw Data'!J209="",LEN(TRIM('Raw Data'!J209))=0,Validate_Empty!J209&lt;&gt;"",Validate_Value!J209&lt;&gt;""),"",IF('Raw Data'!J209=SUM('Raw Data'!K209:N209),"",_xlfn.REGEXEXTRACT(CELL("address",J209), "\$([A-Z]+)\$[0-9]+")))</f>
        <v/>
      </c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 t="str" cm="1">
        <f t="array" aca="1" ref="Z209" ca="1">IF(OR('Raw Data'!Z209="",LEN(TRIM('Raw Data'!Z209))=0,Validate_Empty!Z209&lt;&gt;"",Validate_Value!Z209&lt;&gt;""),"",IF('Raw Data'!Z209=SUM('Raw Data'!T209:Y209),"",_xlfn.REGEXEXTRACT(CELL("address",Z209), "\$([A-Z]+)\$[0-9]+")))</f>
        <v/>
      </c>
      <c r="AA209" s="7"/>
      <c r="AB209" s="7"/>
      <c r="AC209" s="7"/>
      <c r="AD209" s="7"/>
      <c r="AE209" s="7"/>
      <c r="AF209" s="7"/>
      <c r="AG209" s="7" t="str" cm="1">
        <f t="array" aca="1" ref="AG209" ca="1">IF(OR('Raw Data'!AG209="",LEN(TRIM('Raw Data'!AG209))=0,Validate_Empty!AG209&lt;&gt;"",Validate_Value!AG209&lt;&gt;""),"",IF('Raw Data'!AG209=SUM('Raw Data'!AA209:AF209),"",_xlfn.REGEXEXTRACT(CELL("address",AG209), "\$([A-Z]+)\$[0-9]+")))</f>
        <v/>
      </c>
      <c r="AH209" s="7" t="str" cm="1">
        <f t="array" aca="1" ref="AH209" ca="1">IF(OR('Raw Data'!AH209="",LEN(TRIM('Raw Data'!AH209))=0,Validate_Empty!AH209&lt;&gt;"",Validate_Value!AH209&lt;&gt;""),"",IF(Configuration!$G$2 = Configuration!$I$2,"",_xlfn.REGEXEXTRACT(CELL("address",AH209), "\$([A-Z]+)\$[0-9]+")))</f>
        <v/>
      </c>
      <c r="AI209" s="7" t="str" cm="1">
        <f t="array" aca="1" ref="AI209" ca="1">IF(OR('Raw Data'!AI209="",LEN(TRIM('Raw Data'!AI209))=0,Validate_Empty!AI209&lt;&gt;"",Validate_Value!AI209&lt;&gt;""),"",IF(Configuration!$H$2 = Configuration!$J$2,"",_xlfn.REGEXEXTRACT(CELL("address",AI209), "\$([A-Z]+)\$[0-9]+")))</f>
        <v/>
      </c>
      <c r="AJ209" s="7"/>
      <c r="AK209" s="7"/>
      <c r="AL209" s="7"/>
      <c r="AM209" s="7"/>
      <c r="AN209" s="7"/>
      <c r="AO209" s="7"/>
      <c r="AP209" s="7" t="str" cm="1">
        <f t="array" aca="1" ref="AP209" ca="1">IF(OR('Raw Data'!AP209="",LEN(TRIM('Raw Data'!AP209))=0,Validate_Empty!AP209&lt;&gt;"",Validate_Value!AP209&lt;&gt;""),"",IF('Raw Data'!AP209=SUM('Raw Data'!AK209:AO209),"",_xlfn.REGEXEXTRACT(CELL("address",AP209), "\$([A-Z]+)\$[0-9]+")))</f>
        <v/>
      </c>
    </row>
    <row r="210" spans="2:42" x14ac:dyDescent="0.25">
      <c r="B210" s="7"/>
      <c r="C210" s="7"/>
      <c r="D210" s="7"/>
      <c r="E210" s="7"/>
      <c r="F210" s="7"/>
      <c r="G210" s="7"/>
      <c r="H210" s="7"/>
      <c r="I210" s="7"/>
      <c r="J210" s="7" t="str" cm="1">
        <f t="array" aca="1" ref="J210" ca="1">IF(OR('Raw Data'!J210="",LEN(TRIM('Raw Data'!J210))=0,Validate_Empty!J210&lt;&gt;"",Validate_Value!J210&lt;&gt;""),"",IF('Raw Data'!J210=SUM('Raw Data'!K210:N210),"",_xlfn.REGEXEXTRACT(CELL("address",J210), "\$([A-Z]+)\$[0-9]+")))</f>
        <v/>
      </c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 t="str" cm="1">
        <f t="array" aca="1" ref="Z210" ca="1">IF(OR('Raw Data'!Z210="",LEN(TRIM('Raw Data'!Z210))=0,Validate_Empty!Z210&lt;&gt;"",Validate_Value!Z210&lt;&gt;""),"",IF('Raw Data'!Z210=SUM('Raw Data'!T210:Y210),"",_xlfn.REGEXEXTRACT(CELL("address",Z210), "\$([A-Z]+)\$[0-9]+")))</f>
        <v/>
      </c>
      <c r="AA210" s="7"/>
      <c r="AB210" s="7"/>
      <c r="AC210" s="7"/>
      <c r="AD210" s="7"/>
      <c r="AE210" s="7"/>
      <c r="AF210" s="7"/>
      <c r="AG210" s="7" t="str" cm="1">
        <f t="array" aca="1" ref="AG210" ca="1">IF(OR('Raw Data'!AG210="",LEN(TRIM('Raw Data'!AG210))=0,Validate_Empty!AG210&lt;&gt;"",Validate_Value!AG210&lt;&gt;""),"",IF('Raw Data'!AG210=SUM('Raw Data'!AA210:AF210),"",_xlfn.REGEXEXTRACT(CELL("address",AG210), "\$([A-Z]+)\$[0-9]+")))</f>
        <v/>
      </c>
      <c r="AH210" s="7" t="str" cm="1">
        <f t="array" aca="1" ref="AH210" ca="1">IF(OR('Raw Data'!AH210="",LEN(TRIM('Raw Data'!AH210))=0,Validate_Empty!AH210&lt;&gt;"",Validate_Value!AH210&lt;&gt;""),"",IF(Configuration!$G$2 = Configuration!$I$2,"",_xlfn.REGEXEXTRACT(CELL("address",AH210), "\$([A-Z]+)\$[0-9]+")))</f>
        <v/>
      </c>
      <c r="AI210" s="7" t="str" cm="1">
        <f t="array" aca="1" ref="AI210" ca="1">IF(OR('Raw Data'!AI210="",LEN(TRIM('Raw Data'!AI210))=0,Validate_Empty!AI210&lt;&gt;"",Validate_Value!AI210&lt;&gt;""),"",IF(Configuration!$H$2 = Configuration!$J$2,"",_xlfn.REGEXEXTRACT(CELL("address",AI210), "\$([A-Z]+)\$[0-9]+")))</f>
        <v/>
      </c>
      <c r="AJ210" s="7"/>
      <c r="AK210" s="7"/>
      <c r="AL210" s="7"/>
      <c r="AM210" s="7"/>
      <c r="AN210" s="7"/>
      <c r="AO210" s="7"/>
      <c r="AP210" s="7" t="str" cm="1">
        <f t="array" aca="1" ref="AP210" ca="1">IF(OR('Raw Data'!AP210="",LEN(TRIM('Raw Data'!AP210))=0,Validate_Empty!AP210&lt;&gt;"",Validate_Value!AP210&lt;&gt;""),"",IF('Raw Data'!AP210=SUM('Raw Data'!AK210:AO210),"",_xlfn.REGEXEXTRACT(CELL("address",AP210), "\$([A-Z]+)\$[0-9]+")))</f>
        <v/>
      </c>
    </row>
    <row r="211" spans="2:42" x14ac:dyDescent="0.25">
      <c r="B211" s="7"/>
      <c r="C211" s="7"/>
      <c r="D211" s="7"/>
      <c r="E211" s="7"/>
      <c r="F211" s="7"/>
      <c r="G211" s="7"/>
      <c r="H211" s="7"/>
      <c r="I211" s="7"/>
      <c r="J211" s="7" t="str" cm="1">
        <f t="array" aca="1" ref="J211" ca="1">IF(OR('Raw Data'!J211="",LEN(TRIM('Raw Data'!J211))=0,Validate_Empty!J211&lt;&gt;"",Validate_Value!J211&lt;&gt;""),"",IF('Raw Data'!J211=SUM('Raw Data'!K211:N211),"",_xlfn.REGEXEXTRACT(CELL("address",J211), "\$([A-Z]+)\$[0-9]+")))</f>
        <v/>
      </c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 t="str" cm="1">
        <f t="array" aca="1" ref="Z211" ca="1">IF(OR('Raw Data'!Z211="",LEN(TRIM('Raw Data'!Z211))=0,Validate_Empty!Z211&lt;&gt;"",Validate_Value!Z211&lt;&gt;""),"",IF('Raw Data'!Z211=SUM('Raw Data'!T211:Y211),"",_xlfn.REGEXEXTRACT(CELL("address",Z211), "\$([A-Z]+)\$[0-9]+")))</f>
        <v/>
      </c>
      <c r="AA211" s="7"/>
      <c r="AB211" s="7"/>
      <c r="AC211" s="7"/>
      <c r="AD211" s="7"/>
      <c r="AE211" s="7"/>
      <c r="AF211" s="7"/>
      <c r="AG211" s="7" t="str" cm="1">
        <f t="array" aca="1" ref="AG211" ca="1">IF(OR('Raw Data'!AG211="",LEN(TRIM('Raw Data'!AG211))=0,Validate_Empty!AG211&lt;&gt;"",Validate_Value!AG211&lt;&gt;""),"",IF('Raw Data'!AG211=SUM('Raw Data'!AA211:AF211),"",_xlfn.REGEXEXTRACT(CELL("address",AG211), "\$([A-Z]+)\$[0-9]+")))</f>
        <v/>
      </c>
      <c r="AH211" s="7" t="str" cm="1">
        <f t="array" aca="1" ref="AH211" ca="1">IF(OR('Raw Data'!AH211="",LEN(TRIM('Raw Data'!AH211))=0,Validate_Empty!AH211&lt;&gt;"",Validate_Value!AH211&lt;&gt;""),"",IF(Configuration!$G$2 = Configuration!$I$2,"",_xlfn.REGEXEXTRACT(CELL("address",AH211), "\$([A-Z]+)\$[0-9]+")))</f>
        <v/>
      </c>
      <c r="AI211" s="7" t="str" cm="1">
        <f t="array" aca="1" ref="AI211" ca="1">IF(OR('Raw Data'!AI211="",LEN(TRIM('Raw Data'!AI211))=0,Validate_Empty!AI211&lt;&gt;"",Validate_Value!AI211&lt;&gt;""),"",IF(Configuration!$H$2 = Configuration!$J$2,"",_xlfn.REGEXEXTRACT(CELL("address",AI211), "\$([A-Z]+)\$[0-9]+")))</f>
        <v/>
      </c>
      <c r="AJ211" s="7"/>
      <c r="AK211" s="7"/>
      <c r="AL211" s="7"/>
      <c r="AM211" s="7"/>
      <c r="AN211" s="7"/>
      <c r="AO211" s="7"/>
      <c r="AP211" s="7" t="str" cm="1">
        <f t="array" aca="1" ref="AP211" ca="1">IF(OR('Raw Data'!AP211="",LEN(TRIM('Raw Data'!AP211))=0,Validate_Empty!AP211&lt;&gt;"",Validate_Value!AP211&lt;&gt;""),"",IF('Raw Data'!AP211=SUM('Raw Data'!AK211:AO211),"",_xlfn.REGEXEXTRACT(CELL("address",AP211), "\$([A-Z]+)\$[0-9]+")))</f>
        <v/>
      </c>
    </row>
    <row r="212" spans="2:42" x14ac:dyDescent="0.25">
      <c r="B212" s="7"/>
      <c r="C212" s="7"/>
      <c r="D212" s="7"/>
      <c r="E212" s="7"/>
      <c r="F212" s="7"/>
      <c r="G212" s="7"/>
      <c r="H212" s="7"/>
      <c r="I212" s="7"/>
      <c r="J212" s="7" t="str" cm="1">
        <f t="array" aca="1" ref="J212" ca="1">IF(OR('Raw Data'!J212="",LEN(TRIM('Raw Data'!J212))=0,Validate_Empty!J212&lt;&gt;"",Validate_Value!J212&lt;&gt;""),"",IF('Raw Data'!J212=SUM('Raw Data'!K212:N212),"",_xlfn.REGEXEXTRACT(CELL("address",J212), "\$([A-Z]+)\$[0-9]+")))</f>
        <v/>
      </c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 t="str" cm="1">
        <f t="array" aca="1" ref="Z212" ca="1">IF(OR('Raw Data'!Z212="",LEN(TRIM('Raw Data'!Z212))=0,Validate_Empty!Z212&lt;&gt;"",Validate_Value!Z212&lt;&gt;""),"",IF('Raw Data'!Z212=SUM('Raw Data'!T212:Y212),"",_xlfn.REGEXEXTRACT(CELL("address",Z212), "\$([A-Z]+)\$[0-9]+")))</f>
        <v/>
      </c>
      <c r="AA212" s="7"/>
      <c r="AB212" s="7"/>
      <c r="AC212" s="7"/>
      <c r="AD212" s="7"/>
      <c r="AE212" s="7"/>
      <c r="AF212" s="7"/>
      <c r="AG212" s="7" t="str" cm="1">
        <f t="array" aca="1" ref="AG212" ca="1">IF(OR('Raw Data'!AG212="",LEN(TRIM('Raw Data'!AG212))=0,Validate_Empty!AG212&lt;&gt;"",Validate_Value!AG212&lt;&gt;""),"",IF('Raw Data'!AG212=SUM('Raw Data'!AA212:AF212),"",_xlfn.REGEXEXTRACT(CELL("address",AG212), "\$([A-Z]+)\$[0-9]+")))</f>
        <v/>
      </c>
      <c r="AH212" s="7" t="str" cm="1">
        <f t="array" aca="1" ref="AH212" ca="1">IF(OR('Raw Data'!AH212="",LEN(TRIM('Raw Data'!AH212))=0,Validate_Empty!AH212&lt;&gt;"",Validate_Value!AH212&lt;&gt;""),"",IF(Configuration!$G$2 = Configuration!$I$2,"",_xlfn.REGEXEXTRACT(CELL("address",AH212), "\$([A-Z]+)\$[0-9]+")))</f>
        <v/>
      </c>
      <c r="AI212" s="7" t="str" cm="1">
        <f t="array" aca="1" ref="AI212" ca="1">IF(OR('Raw Data'!AI212="",LEN(TRIM('Raw Data'!AI212))=0,Validate_Empty!AI212&lt;&gt;"",Validate_Value!AI212&lt;&gt;""),"",IF(Configuration!$H$2 = Configuration!$J$2,"",_xlfn.REGEXEXTRACT(CELL("address",AI212), "\$([A-Z]+)\$[0-9]+")))</f>
        <v/>
      </c>
      <c r="AJ212" s="7"/>
      <c r="AK212" s="7"/>
      <c r="AL212" s="7"/>
      <c r="AM212" s="7"/>
      <c r="AN212" s="7"/>
      <c r="AO212" s="7"/>
      <c r="AP212" s="7" t="str" cm="1">
        <f t="array" aca="1" ref="AP212" ca="1">IF(OR('Raw Data'!AP212="",LEN(TRIM('Raw Data'!AP212))=0,Validate_Empty!AP212&lt;&gt;"",Validate_Value!AP212&lt;&gt;""),"",IF('Raw Data'!AP212=SUM('Raw Data'!AK212:AO212),"",_xlfn.REGEXEXTRACT(CELL("address",AP212), "\$([A-Z]+)\$[0-9]+")))</f>
        <v/>
      </c>
    </row>
    <row r="213" spans="2:42" x14ac:dyDescent="0.25">
      <c r="B213" s="7"/>
      <c r="C213" s="7"/>
      <c r="D213" s="7"/>
      <c r="E213" s="7"/>
      <c r="F213" s="7"/>
      <c r="G213" s="7"/>
      <c r="H213" s="7"/>
      <c r="I213" s="7"/>
      <c r="J213" s="7" t="str" cm="1">
        <f t="array" aca="1" ref="J213" ca="1">IF(OR('Raw Data'!J213="",LEN(TRIM('Raw Data'!J213))=0,Validate_Empty!J213&lt;&gt;"",Validate_Value!J213&lt;&gt;""),"",IF('Raw Data'!J213=SUM('Raw Data'!K213:N213),"",_xlfn.REGEXEXTRACT(CELL("address",J213), "\$([A-Z]+)\$[0-9]+")))</f>
        <v/>
      </c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 t="str" cm="1">
        <f t="array" aca="1" ref="Z213" ca="1">IF(OR('Raw Data'!Z213="",LEN(TRIM('Raw Data'!Z213))=0,Validate_Empty!Z213&lt;&gt;"",Validate_Value!Z213&lt;&gt;""),"",IF('Raw Data'!Z213=SUM('Raw Data'!T213:Y213),"",_xlfn.REGEXEXTRACT(CELL("address",Z213), "\$([A-Z]+)\$[0-9]+")))</f>
        <v/>
      </c>
      <c r="AA213" s="7"/>
      <c r="AB213" s="7"/>
      <c r="AC213" s="7"/>
      <c r="AD213" s="7"/>
      <c r="AE213" s="7"/>
      <c r="AF213" s="7"/>
      <c r="AG213" s="7" t="str" cm="1">
        <f t="array" aca="1" ref="AG213" ca="1">IF(OR('Raw Data'!AG213="",LEN(TRIM('Raw Data'!AG213))=0,Validate_Empty!AG213&lt;&gt;"",Validate_Value!AG213&lt;&gt;""),"",IF('Raw Data'!AG213=SUM('Raw Data'!AA213:AF213),"",_xlfn.REGEXEXTRACT(CELL("address",AG213), "\$([A-Z]+)\$[0-9]+")))</f>
        <v/>
      </c>
      <c r="AH213" s="7" t="str" cm="1">
        <f t="array" aca="1" ref="AH213" ca="1">IF(OR('Raw Data'!AH213="",LEN(TRIM('Raw Data'!AH213))=0,Validate_Empty!AH213&lt;&gt;"",Validate_Value!AH213&lt;&gt;""),"",IF(Configuration!$G$2 = Configuration!$I$2,"",_xlfn.REGEXEXTRACT(CELL("address",AH213), "\$([A-Z]+)\$[0-9]+")))</f>
        <v/>
      </c>
      <c r="AI213" s="7" t="str" cm="1">
        <f t="array" aca="1" ref="AI213" ca="1">IF(OR('Raw Data'!AI213="",LEN(TRIM('Raw Data'!AI213))=0,Validate_Empty!AI213&lt;&gt;"",Validate_Value!AI213&lt;&gt;""),"",IF(Configuration!$H$2 = Configuration!$J$2,"",_xlfn.REGEXEXTRACT(CELL("address",AI213), "\$([A-Z]+)\$[0-9]+")))</f>
        <v/>
      </c>
      <c r="AJ213" s="7"/>
      <c r="AK213" s="7"/>
      <c r="AL213" s="7"/>
      <c r="AM213" s="7"/>
      <c r="AN213" s="7"/>
      <c r="AO213" s="7"/>
      <c r="AP213" s="7" t="str" cm="1">
        <f t="array" aca="1" ref="AP213" ca="1">IF(OR('Raw Data'!AP213="",LEN(TRIM('Raw Data'!AP213))=0,Validate_Empty!AP213&lt;&gt;"",Validate_Value!AP213&lt;&gt;""),"",IF('Raw Data'!AP213=SUM('Raw Data'!AK213:AO213),"",_xlfn.REGEXEXTRACT(CELL("address",AP213), "\$([A-Z]+)\$[0-9]+")))</f>
        <v/>
      </c>
    </row>
    <row r="214" spans="2:42" x14ac:dyDescent="0.25">
      <c r="B214" s="7"/>
      <c r="C214" s="7"/>
      <c r="D214" s="7"/>
      <c r="E214" s="7"/>
      <c r="F214" s="7"/>
      <c r="G214" s="7"/>
      <c r="H214" s="7"/>
      <c r="I214" s="7"/>
      <c r="J214" s="7" t="str" cm="1">
        <f t="array" aca="1" ref="J214" ca="1">IF(OR('Raw Data'!J214="",LEN(TRIM('Raw Data'!J214))=0,Validate_Empty!J214&lt;&gt;"",Validate_Value!J214&lt;&gt;""),"",IF('Raw Data'!J214=SUM('Raw Data'!K214:N214),"",_xlfn.REGEXEXTRACT(CELL("address",J214), "\$([A-Z]+)\$[0-9]+")))</f>
        <v/>
      </c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 t="str" cm="1">
        <f t="array" aca="1" ref="Z214" ca="1">IF(OR('Raw Data'!Z214="",LEN(TRIM('Raw Data'!Z214))=0,Validate_Empty!Z214&lt;&gt;"",Validate_Value!Z214&lt;&gt;""),"",IF('Raw Data'!Z214=SUM('Raw Data'!T214:Y214),"",_xlfn.REGEXEXTRACT(CELL("address",Z214), "\$([A-Z]+)\$[0-9]+")))</f>
        <v/>
      </c>
      <c r="AA214" s="7"/>
      <c r="AB214" s="7"/>
      <c r="AC214" s="7"/>
      <c r="AD214" s="7"/>
      <c r="AE214" s="7"/>
      <c r="AF214" s="7"/>
      <c r="AG214" s="7" t="str" cm="1">
        <f t="array" aca="1" ref="AG214" ca="1">IF(OR('Raw Data'!AG214="",LEN(TRIM('Raw Data'!AG214))=0,Validate_Empty!AG214&lt;&gt;"",Validate_Value!AG214&lt;&gt;""),"",IF('Raw Data'!AG214=SUM('Raw Data'!AA214:AF214),"",_xlfn.REGEXEXTRACT(CELL("address",AG214), "\$([A-Z]+)\$[0-9]+")))</f>
        <v/>
      </c>
      <c r="AH214" s="7" t="str" cm="1">
        <f t="array" aca="1" ref="AH214" ca="1">IF(OR('Raw Data'!AH214="",LEN(TRIM('Raw Data'!AH214))=0,Validate_Empty!AH214&lt;&gt;"",Validate_Value!AH214&lt;&gt;""),"",IF(Configuration!$G$2 = Configuration!$I$2,"",_xlfn.REGEXEXTRACT(CELL("address",AH214), "\$([A-Z]+)\$[0-9]+")))</f>
        <v/>
      </c>
      <c r="AI214" s="7" t="str" cm="1">
        <f t="array" aca="1" ref="AI214" ca="1">IF(OR('Raw Data'!AI214="",LEN(TRIM('Raw Data'!AI214))=0,Validate_Empty!AI214&lt;&gt;"",Validate_Value!AI214&lt;&gt;""),"",IF(Configuration!$H$2 = Configuration!$J$2,"",_xlfn.REGEXEXTRACT(CELL("address",AI214), "\$([A-Z]+)\$[0-9]+")))</f>
        <v/>
      </c>
      <c r="AJ214" s="7"/>
      <c r="AK214" s="7"/>
      <c r="AL214" s="7"/>
      <c r="AM214" s="7"/>
      <c r="AN214" s="7"/>
      <c r="AO214" s="7"/>
      <c r="AP214" s="7" t="str" cm="1">
        <f t="array" aca="1" ref="AP214" ca="1">IF(OR('Raw Data'!AP214="",LEN(TRIM('Raw Data'!AP214))=0,Validate_Empty!AP214&lt;&gt;"",Validate_Value!AP214&lt;&gt;""),"",IF('Raw Data'!AP214=SUM('Raw Data'!AK214:AO214),"",_xlfn.REGEXEXTRACT(CELL("address",AP214), "\$([A-Z]+)\$[0-9]+")))</f>
        <v/>
      </c>
    </row>
    <row r="215" spans="2:42" x14ac:dyDescent="0.25">
      <c r="B215" s="7"/>
      <c r="C215" s="7"/>
      <c r="D215" s="7"/>
      <c r="E215" s="7"/>
      <c r="F215" s="7"/>
      <c r="G215" s="7"/>
      <c r="H215" s="7"/>
      <c r="I215" s="7"/>
      <c r="J215" s="7" t="str" cm="1">
        <f t="array" aca="1" ref="J215" ca="1">IF(OR('Raw Data'!J215="",LEN(TRIM('Raw Data'!J215))=0,Validate_Empty!J215&lt;&gt;"",Validate_Value!J215&lt;&gt;""),"",IF('Raw Data'!J215=SUM('Raw Data'!K215:N215),"",_xlfn.REGEXEXTRACT(CELL("address",J215), "\$([A-Z]+)\$[0-9]+")))</f>
        <v/>
      </c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 t="str" cm="1">
        <f t="array" aca="1" ref="Z215" ca="1">IF(OR('Raw Data'!Z215="",LEN(TRIM('Raw Data'!Z215))=0,Validate_Empty!Z215&lt;&gt;"",Validate_Value!Z215&lt;&gt;""),"",IF('Raw Data'!Z215=SUM('Raw Data'!T215:Y215),"",_xlfn.REGEXEXTRACT(CELL("address",Z215), "\$([A-Z]+)\$[0-9]+")))</f>
        <v/>
      </c>
      <c r="AA215" s="7"/>
      <c r="AB215" s="7"/>
      <c r="AC215" s="7"/>
      <c r="AD215" s="7"/>
      <c r="AE215" s="7"/>
      <c r="AF215" s="7"/>
      <c r="AG215" s="7" t="str" cm="1">
        <f t="array" aca="1" ref="AG215" ca="1">IF(OR('Raw Data'!AG215="",LEN(TRIM('Raw Data'!AG215))=0,Validate_Empty!AG215&lt;&gt;"",Validate_Value!AG215&lt;&gt;""),"",IF('Raw Data'!AG215=SUM('Raw Data'!AA215:AF215),"",_xlfn.REGEXEXTRACT(CELL("address",AG215), "\$([A-Z]+)\$[0-9]+")))</f>
        <v/>
      </c>
      <c r="AH215" s="7" t="str" cm="1">
        <f t="array" aca="1" ref="AH215" ca="1">IF(OR('Raw Data'!AH215="",LEN(TRIM('Raw Data'!AH215))=0,Validate_Empty!AH215&lt;&gt;"",Validate_Value!AH215&lt;&gt;""),"",IF(Configuration!$G$2 = Configuration!$I$2,"",_xlfn.REGEXEXTRACT(CELL("address",AH215), "\$([A-Z]+)\$[0-9]+")))</f>
        <v/>
      </c>
      <c r="AI215" s="7" t="str" cm="1">
        <f t="array" aca="1" ref="AI215" ca="1">IF(OR('Raw Data'!AI215="",LEN(TRIM('Raw Data'!AI215))=0,Validate_Empty!AI215&lt;&gt;"",Validate_Value!AI215&lt;&gt;""),"",IF(Configuration!$H$2 = Configuration!$J$2,"",_xlfn.REGEXEXTRACT(CELL("address",AI215), "\$([A-Z]+)\$[0-9]+")))</f>
        <v/>
      </c>
      <c r="AJ215" s="7"/>
      <c r="AK215" s="7"/>
      <c r="AL215" s="7"/>
      <c r="AM215" s="7"/>
      <c r="AN215" s="7"/>
      <c r="AO215" s="7"/>
      <c r="AP215" s="7" t="str" cm="1">
        <f t="array" aca="1" ref="AP215" ca="1">IF(OR('Raw Data'!AP215="",LEN(TRIM('Raw Data'!AP215))=0,Validate_Empty!AP215&lt;&gt;"",Validate_Value!AP215&lt;&gt;""),"",IF('Raw Data'!AP215=SUM('Raw Data'!AK215:AO215),"",_xlfn.REGEXEXTRACT(CELL("address",AP215), "\$([A-Z]+)\$[0-9]+")))</f>
        <v/>
      </c>
    </row>
    <row r="216" spans="2:42" x14ac:dyDescent="0.25">
      <c r="B216" s="7"/>
      <c r="C216" s="7"/>
      <c r="D216" s="7"/>
      <c r="E216" s="7"/>
      <c r="F216" s="7"/>
      <c r="G216" s="7"/>
      <c r="H216" s="7"/>
      <c r="I216" s="7"/>
      <c r="J216" s="7" t="str" cm="1">
        <f t="array" aca="1" ref="J216" ca="1">IF(OR('Raw Data'!J216="",LEN(TRIM('Raw Data'!J216))=0,Validate_Empty!J216&lt;&gt;"",Validate_Value!J216&lt;&gt;""),"",IF('Raw Data'!J216=SUM('Raw Data'!K216:N216),"",_xlfn.REGEXEXTRACT(CELL("address",J216), "\$([A-Z]+)\$[0-9]+")))</f>
        <v/>
      </c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 t="str" cm="1">
        <f t="array" aca="1" ref="Z216" ca="1">IF(OR('Raw Data'!Z216="",LEN(TRIM('Raw Data'!Z216))=0,Validate_Empty!Z216&lt;&gt;"",Validate_Value!Z216&lt;&gt;""),"",IF('Raw Data'!Z216=SUM('Raw Data'!T216:Y216),"",_xlfn.REGEXEXTRACT(CELL("address",Z216), "\$([A-Z]+)\$[0-9]+")))</f>
        <v/>
      </c>
      <c r="AA216" s="7"/>
      <c r="AB216" s="7"/>
      <c r="AC216" s="7"/>
      <c r="AD216" s="7"/>
      <c r="AE216" s="7"/>
      <c r="AF216" s="7"/>
      <c r="AG216" s="7" t="str" cm="1">
        <f t="array" aca="1" ref="AG216" ca="1">IF(OR('Raw Data'!AG216="",LEN(TRIM('Raw Data'!AG216))=0,Validate_Empty!AG216&lt;&gt;"",Validate_Value!AG216&lt;&gt;""),"",IF('Raw Data'!AG216=SUM('Raw Data'!AA216:AF216),"",_xlfn.REGEXEXTRACT(CELL("address",AG216), "\$([A-Z]+)\$[0-9]+")))</f>
        <v/>
      </c>
      <c r="AH216" s="7" t="str" cm="1">
        <f t="array" aca="1" ref="AH216" ca="1">IF(OR('Raw Data'!AH216="",LEN(TRIM('Raw Data'!AH216))=0,Validate_Empty!AH216&lt;&gt;"",Validate_Value!AH216&lt;&gt;""),"",IF(Configuration!$G$2 = Configuration!$I$2,"",_xlfn.REGEXEXTRACT(CELL("address",AH216), "\$([A-Z]+)\$[0-9]+")))</f>
        <v/>
      </c>
      <c r="AI216" s="7" t="str" cm="1">
        <f t="array" aca="1" ref="AI216" ca="1">IF(OR('Raw Data'!AI216="",LEN(TRIM('Raw Data'!AI216))=0,Validate_Empty!AI216&lt;&gt;"",Validate_Value!AI216&lt;&gt;""),"",IF(Configuration!$H$2 = Configuration!$J$2,"",_xlfn.REGEXEXTRACT(CELL("address",AI216), "\$([A-Z]+)\$[0-9]+")))</f>
        <v/>
      </c>
      <c r="AJ216" s="7"/>
      <c r="AK216" s="7"/>
      <c r="AL216" s="7"/>
      <c r="AM216" s="7"/>
      <c r="AN216" s="7"/>
      <c r="AO216" s="7"/>
      <c r="AP216" s="7" t="str" cm="1">
        <f t="array" aca="1" ref="AP216" ca="1">IF(OR('Raw Data'!AP216="",LEN(TRIM('Raw Data'!AP216))=0,Validate_Empty!AP216&lt;&gt;"",Validate_Value!AP216&lt;&gt;""),"",IF('Raw Data'!AP216=SUM('Raw Data'!AK216:AO216),"",_xlfn.REGEXEXTRACT(CELL("address",AP216), "\$([A-Z]+)\$[0-9]+")))</f>
        <v/>
      </c>
    </row>
    <row r="217" spans="2:42" x14ac:dyDescent="0.25">
      <c r="B217" s="7"/>
      <c r="C217" s="7"/>
      <c r="D217" s="7"/>
      <c r="E217" s="7"/>
      <c r="F217" s="7"/>
      <c r="G217" s="7"/>
      <c r="H217" s="7"/>
      <c r="I217" s="7"/>
      <c r="J217" s="7" t="str" cm="1">
        <f t="array" aca="1" ref="J217" ca="1">IF(OR('Raw Data'!J217="",LEN(TRIM('Raw Data'!J217))=0,Validate_Empty!J217&lt;&gt;"",Validate_Value!J217&lt;&gt;""),"",IF('Raw Data'!J217=SUM('Raw Data'!K217:N217),"",_xlfn.REGEXEXTRACT(CELL("address",J217), "\$([A-Z]+)\$[0-9]+")))</f>
        <v/>
      </c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 t="str" cm="1">
        <f t="array" aca="1" ref="Z217" ca="1">IF(OR('Raw Data'!Z217="",LEN(TRIM('Raw Data'!Z217))=0,Validate_Empty!Z217&lt;&gt;"",Validate_Value!Z217&lt;&gt;""),"",IF('Raw Data'!Z217=SUM('Raw Data'!T217:Y217),"",_xlfn.REGEXEXTRACT(CELL("address",Z217), "\$([A-Z]+)\$[0-9]+")))</f>
        <v/>
      </c>
      <c r="AA217" s="7"/>
      <c r="AB217" s="7"/>
      <c r="AC217" s="7"/>
      <c r="AD217" s="7"/>
      <c r="AE217" s="7"/>
      <c r="AF217" s="7"/>
      <c r="AG217" s="7" t="str" cm="1">
        <f t="array" aca="1" ref="AG217" ca="1">IF(OR('Raw Data'!AG217="",LEN(TRIM('Raw Data'!AG217))=0,Validate_Empty!AG217&lt;&gt;"",Validate_Value!AG217&lt;&gt;""),"",IF('Raw Data'!AG217=SUM('Raw Data'!AA217:AF217),"",_xlfn.REGEXEXTRACT(CELL("address",AG217), "\$([A-Z]+)\$[0-9]+")))</f>
        <v/>
      </c>
      <c r="AH217" s="7" t="str" cm="1">
        <f t="array" aca="1" ref="AH217" ca="1">IF(OR('Raw Data'!AH217="",LEN(TRIM('Raw Data'!AH217))=0,Validate_Empty!AH217&lt;&gt;"",Validate_Value!AH217&lt;&gt;""),"",IF(Configuration!$G$2 = Configuration!$I$2,"",_xlfn.REGEXEXTRACT(CELL("address",AH217), "\$([A-Z]+)\$[0-9]+")))</f>
        <v/>
      </c>
      <c r="AI217" s="7" t="str" cm="1">
        <f t="array" aca="1" ref="AI217" ca="1">IF(OR('Raw Data'!AI217="",LEN(TRIM('Raw Data'!AI217))=0,Validate_Empty!AI217&lt;&gt;"",Validate_Value!AI217&lt;&gt;""),"",IF(Configuration!$H$2 = Configuration!$J$2,"",_xlfn.REGEXEXTRACT(CELL("address",AI217), "\$([A-Z]+)\$[0-9]+")))</f>
        <v/>
      </c>
      <c r="AJ217" s="7"/>
      <c r="AK217" s="7"/>
      <c r="AL217" s="7"/>
      <c r="AM217" s="7"/>
      <c r="AN217" s="7"/>
      <c r="AO217" s="7"/>
      <c r="AP217" s="7" t="str" cm="1">
        <f t="array" aca="1" ref="AP217" ca="1">IF(OR('Raw Data'!AP217="",LEN(TRIM('Raw Data'!AP217))=0,Validate_Empty!AP217&lt;&gt;"",Validate_Value!AP217&lt;&gt;""),"",IF('Raw Data'!AP217=SUM('Raw Data'!AK217:AO217),"",_xlfn.REGEXEXTRACT(CELL("address",AP217), "\$([A-Z]+)\$[0-9]+")))</f>
        <v/>
      </c>
    </row>
    <row r="218" spans="2:42" x14ac:dyDescent="0.25">
      <c r="B218" s="7"/>
      <c r="C218" s="7"/>
      <c r="D218" s="7"/>
      <c r="E218" s="7"/>
      <c r="F218" s="7"/>
      <c r="G218" s="7"/>
      <c r="H218" s="7"/>
      <c r="I218" s="7"/>
      <c r="J218" s="7" t="str" cm="1">
        <f t="array" aca="1" ref="J218" ca="1">IF(OR('Raw Data'!J218="",LEN(TRIM('Raw Data'!J218))=0,Validate_Empty!J218&lt;&gt;"",Validate_Value!J218&lt;&gt;""),"",IF('Raw Data'!J218=SUM('Raw Data'!K218:N218),"",_xlfn.REGEXEXTRACT(CELL("address",J218), "\$([A-Z]+)\$[0-9]+")))</f>
        <v/>
      </c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 t="str" cm="1">
        <f t="array" aca="1" ref="Z218" ca="1">IF(OR('Raw Data'!Z218="",LEN(TRIM('Raw Data'!Z218))=0,Validate_Empty!Z218&lt;&gt;"",Validate_Value!Z218&lt;&gt;""),"",IF('Raw Data'!Z218=SUM('Raw Data'!T218:Y218),"",_xlfn.REGEXEXTRACT(CELL("address",Z218), "\$([A-Z]+)\$[0-9]+")))</f>
        <v/>
      </c>
      <c r="AA218" s="7"/>
      <c r="AB218" s="7"/>
      <c r="AC218" s="7"/>
      <c r="AD218" s="7"/>
      <c r="AE218" s="7"/>
      <c r="AF218" s="7"/>
      <c r="AG218" s="7" t="str" cm="1">
        <f t="array" aca="1" ref="AG218" ca="1">IF(OR('Raw Data'!AG218="",LEN(TRIM('Raw Data'!AG218))=0,Validate_Empty!AG218&lt;&gt;"",Validate_Value!AG218&lt;&gt;""),"",IF('Raw Data'!AG218=SUM('Raw Data'!AA218:AF218),"",_xlfn.REGEXEXTRACT(CELL("address",AG218), "\$([A-Z]+)\$[0-9]+")))</f>
        <v/>
      </c>
      <c r="AH218" s="7" t="str" cm="1">
        <f t="array" aca="1" ref="AH218" ca="1">IF(OR('Raw Data'!AH218="",LEN(TRIM('Raw Data'!AH218))=0,Validate_Empty!AH218&lt;&gt;"",Validate_Value!AH218&lt;&gt;""),"",IF(Configuration!$G$2 = Configuration!$I$2,"",_xlfn.REGEXEXTRACT(CELL("address",AH218), "\$([A-Z]+)\$[0-9]+")))</f>
        <v/>
      </c>
      <c r="AI218" s="7" t="str" cm="1">
        <f t="array" aca="1" ref="AI218" ca="1">IF(OR('Raw Data'!AI218="",LEN(TRIM('Raw Data'!AI218))=0,Validate_Empty!AI218&lt;&gt;"",Validate_Value!AI218&lt;&gt;""),"",IF(Configuration!$H$2 = Configuration!$J$2,"",_xlfn.REGEXEXTRACT(CELL("address",AI218), "\$([A-Z]+)\$[0-9]+")))</f>
        <v/>
      </c>
      <c r="AJ218" s="7"/>
      <c r="AK218" s="7"/>
      <c r="AL218" s="7"/>
      <c r="AM218" s="7"/>
      <c r="AN218" s="7"/>
      <c r="AO218" s="7"/>
      <c r="AP218" s="7" t="str" cm="1">
        <f t="array" aca="1" ref="AP218" ca="1">IF(OR('Raw Data'!AP218="",LEN(TRIM('Raw Data'!AP218))=0,Validate_Empty!AP218&lt;&gt;"",Validate_Value!AP218&lt;&gt;""),"",IF('Raw Data'!AP218=SUM('Raw Data'!AK218:AO218),"",_xlfn.REGEXEXTRACT(CELL("address",AP218), "\$([A-Z]+)\$[0-9]+")))</f>
        <v/>
      </c>
    </row>
    <row r="219" spans="2:42" x14ac:dyDescent="0.25">
      <c r="B219" s="7"/>
      <c r="C219" s="7"/>
      <c r="D219" s="7"/>
      <c r="E219" s="7"/>
      <c r="F219" s="7"/>
      <c r="G219" s="7"/>
      <c r="H219" s="7"/>
      <c r="I219" s="7"/>
      <c r="J219" s="7" t="str" cm="1">
        <f t="array" aca="1" ref="J219" ca="1">IF(OR('Raw Data'!J219="",LEN(TRIM('Raw Data'!J219))=0,Validate_Empty!J219&lt;&gt;"",Validate_Value!J219&lt;&gt;""),"",IF('Raw Data'!J219=SUM('Raw Data'!K219:N219),"",_xlfn.REGEXEXTRACT(CELL("address",J219), "\$([A-Z]+)\$[0-9]+")))</f>
        <v/>
      </c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 t="str" cm="1">
        <f t="array" aca="1" ref="Z219" ca="1">IF(OR('Raw Data'!Z219="",LEN(TRIM('Raw Data'!Z219))=0,Validate_Empty!Z219&lt;&gt;"",Validate_Value!Z219&lt;&gt;""),"",IF('Raw Data'!Z219=SUM('Raw Data'!T219:Y219),"",_xlfn.REGEXEXTRACT(CELL("address",Z219), "\$([A-Z]+)\$[0-9]+")))</f>
        <v/>
      </c>
      <c r="AA219" s="7"/>
      <c r="AB219" s="7"/>
      <c r="AC219" s="7"/>
      <c r="AD219" s="7"/>
      <c r="AE219" s="7"/>
      <c r="AF219" s="7"/>
      <c r="AG219" s="7" t="str" cm="1">
        <f t="array" aca="1" ref="AG219" ca="1">IF(OR('Raw Data'!AG219="",LEN(TRIM('Raw Data'!AG219))=0,Validate_Empty!AG219&lt;&gt;"",Validate_Value!AG219&lt;&gt;""),"",IF('Raw Data'!AG219=SUM('Raw Data'!AA219:AF219),"",_xlfn.REGEXEXTRACT(CELL("address",AG219), "\$([A-Z]+)\$[0-9]+")))</f>
        <v/>
      </c>
      <c r="AH219" s="7" t="str" cm="1">
        <f t="array" aca="1" ref="AH219" ca="1">IF(OR('Raw Data'!AH219="",LEN(TRIM('Raw Data'!AH219))=0,Validate_Empty!AH219&lt;&gt;"",Validate_Value!AH219&lt;&gt;""),"",IF(Configuration!$G$2 = Configuration!$I$2,"",_xlfn.REGEXEXTRACT(CELL("address",AH219), "\$([A-Z]+)\$[0-9]+")))</f>
        <v/>
      </c>
      <c r="AI219" s="7" t="str" cm="1">
        <f t="array" aca="1" ref="AI219" ca="1">IF(OR('Raw Data'!AI219="",LEN(TRIM('Raw Data'!AI219))=0,Validate_Empty!AI219&lt;&gt;"",Validate_Value!AI219&lt;&gt;""),"",IF(Configuration!$H$2 = Configuration!$J$2,"",_xlfn.REGEXEXTRACT(CELL("address",AI219), "\$([A-Z]+)\$[0-9]+")))</f>
        <v/>
      </c>
      <c r="AJ219" s="7"/>
      <c r="AK219" s="7"/>
      <c r="AL219" s="7"/>
      <c r="AM219" s="7"/>
      <c r="AN219" s="7"/>
      <c r="AO219" s="7"/>
      <c r="AP219" s="7" t="str" cm="1">
        <f t="array" aca="1" ref="AP219" ca="1">IF(OR('Raw Data'!AP219="",LEN(TRIM('Raw Data'!AP219))=0,Validate_Empty!AP219&lt;&gt;"",Validate_Value!AP219&lt;&gt;""),"",IF('Raw Data'!AP219=SUM('Raw Data'!AK219:AO219),"",_xlfn.REGEXEXTRACT(CELL("address",AP219), "\$([A-Z]+)\$[0-9]+")))</f>
        <v/>
      </c>
    </row>
    <row r="220" spans="2:42" x14ac:dyDescent="0.25">
      <c r="B220" s="7"/>
      <c r="C220" s="7"/>
      <c r="D220" s="7"/>
      <c r="E220" s="7"/>
      <c r="F220" s="7"/>
      <c r="G220" s="7"/>
      <c r="H220" s="7"/>
      <c r="I220" s="7"/>
      <c r="J220" s="7" t="str" cm="1">
        <f t="array" aca="1" ref="J220" ca="1">IF(OR('Raw Data'!J220="",LEN(TRIM('Raw Data'!J220))=0,Validate_Empty!J220&lt;&gt;"",Validate_Value!J220&lt;&gt;""),"",IF('Raw Data'!J220=SUM('Raw Data'!K220:N220),"",_xlfn.REGEXEXTRACT(CELL("address",J220), "\$([A-Z]+)\$[0-9]+")))</f>
        <v/>
      </c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 t="str" cm="1">
        <f t="array" aca="1" ref="Z220" ca="1">IF(OR('Raw Data'!Z220="",LEN(TRIM('Raw Data'!Z220))=0,Validate_Empty!Z220&lt;&gt;"",Validate_Value!Z220&lt;&gt;""),"",IF('Raw Data'!Z220=SUM('Raw Data'!T220:Y220),"",_xlfn.REGEXEXTRACT(CELL("address",Z220), "\$([A-Z]+)\$[0-9]+")))</f>
        <v/>
      </c>
      <c r="AA220" s="7"/>
      <c r="AB220" s="7"/>
      <c r="AC220" s="7"/>
      <c r="AD220" s="7"/>
      <c r="AE220" s="7"/>
      <c r="AF220" s="7"/>
      <c r="AG220" s="7" t="str" cm="1">
        <f t="array" aca="1" ref="AG220" ca="1">IF(OR('Raw Data'!AG220="",LEN(TRIM('Raw Data'!AG220))=0,Validate_Empty!AG220&lt;&gt;"",Validate_Value!AG220&lt;&gt;""),"",IF('Raw Data'!AG220=SUM('Raw Data'!AA220:AF220),"",_xlfn.REGEXEXTRACT(CELL("address",AG220), "\$([A-Z]+)\$[0-9]+")))</f>
        <v/>
      </c>
      <c r="AH220" s="7" t="str" cm="1">
        <f t="array" aca="1" ref="AH220" ca="1">IF(OR('Raw Data'!AH220="",LEN(TRIM('Raw Data'!AH220))=0,Validate_Empty!AH220&lt;&gt;"",Validate_Value!AH220&lt;&gt;""),"",IF(Configuration!$G$2 = Configuration!$I$2,"",_xlfn.REGEXEXTRACT(CELL("address",AH220), "\$([A-Z]+)\$[0-9]+")))</f>
        <v/>
      </c>
      <c r="AI220" s="7" t="str" cm="1">
        <f t="array" aca="1" ref="AI220" ca="1">IF(OR('Raw Data'!AI220="",LEN(TRIM('Raw Data'!AI220))=0,Validate_Empty!AI220&lt;&gt;"",Validate_Value!AI220&lt;&gt;""),"",IF(Configuration!$H$2 = Configuration!$J$2,"",_xlfn.REGEXEXTRACT(CELL("address",AI220), "\$([A-Z]+)\$[0-9]+")))</f>
        <v/>
      </c>
      <c r="AJ220" s="7"/>
      <c r="AK220" s="7"/>
      <c r="AL220" s="7"/>
      <c r="AM220" s="7"/>
      <c r="AN220" s="7"/>
      <c r="AO220" s="7"/>
      <c r="AP220" s="7" t="str" cm="1">
        <f t="array" aca="1" ref="AP220" ca="1">IF(OR('Raw Data'!AP220="",LEN(TRIM('Raw Data'!AP220))=0,Validate_Empty!AP220&lt;&gt;"",Validate_Value!AP220&lt;&gt;""),"",IF('Raw Data'!AP220=SUM('Raw Data'!AK220:AO220),"",_xlfn.REGEXEXTRACT(CELL("address",AP220), "\$([A-Z]+)\$[0-9]+")))</f>
        <v/>
      </c>
    </row>
    <row r="221" spans="2:42" x14ac:dyDescent="0.25">
      <c r="B221" s="7"/>
      <c r="C221" s="7"/>
      <c r="D221" s="7"/>
      <c r="E221" s="7"/>
      <c r="F221" s="7"/>
      <c r="G221" s="7"/>
      <c r="H221" s="7"/>
      <c r="I221" s="7"/>
      <c r="J221" s="7" t="str" cm="1">
        <f t="array" aca="1" ref="J221" ca="1">IF(OR('Raw Data'!J221="",LEN(TRIM('Raw Data'!J221))=0,Validate_Empty!J221&lt;&gt;"",Validate_Value!J221&lt;&gt;""),"",IF('Raw Data'!J221=SUM('Raw Data'!K221:N221),"",_xlfn.REGEXEXTRACT(CELL("address",J221), "\$([A-Z]+)\$[0-9]+")))</f>
        <v/>
      </c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 t="str" cm="1">
        <f t="array" aca="1" ref="Z221" ca="1">IF(OR('Raw Data'!Z221="",LEN(TRIM('Raw Data'!Z221))=0,Validate_Empty!Z221&lt;&gt;"",Validate_Value!Z221&lt;&gt;""),"",IF('Raw Data'!Z221=SUM('Raw Data'!T221:Y221),"",_xlfn.REGEXEXTRACT(CELL("address",Z221), "\$([A-Z]+)\$[0-9]+")))</f>
        <v/>
      </c>
      <c r="AA221" s="7"/>
      <c r="AB221" s="7"/>
      <c r="AC221" s="7"/>
      <c r="AD221" s="7"/>
      <c r="AE221" s="7"/>
      <c r="AF221" s="7"/>
      <c r="AG221" s="7" t="str" cm="1">
        <f t="array" aca="1" ref="AG221" ca="1">IF(OR('Raw Data'!AG221="",LEN(TRIM('Raw Data'!AG221))=0,Validate_Empty!AG221&lt;&gt;"",Validate_Value!AG221&lt;&gt;""),"",IF('Raw Data'!AG221=SUM('Raw Data'!AA221:AF221),"",_xlfn.REGEXEXTRACT(CELL("address",AG221), "\$([A-Z]+)\$[0-9]+")))</f>
        <v/>
      </c>
      <c r="AH221" s="7" t="str" cm="1">
        <f t="array" aca="1" ref="AH221" ca="1">IF(OR('Raw Data'!AH221="",LEN(TRIM('Raw Data'!AH221))=0,Validate_Empty!AH221&lt;&gt;"",Validate_Value!AH221&lt;&gt;""),"",IF(Configuration!$G$2 = Configuration!$I$2,"",_xlfn.REGEXEXTRACT(CELL("address",AH221), "\$([A-Z]+)\$[0-9]+")))</f>
        <v/>
      </c>
      <c r="AI221" s="7" t="str" cm="1">
        <f t="array" aca="1" ref="AI221" ca="1">IF(OR('Raw Data'!AI221="",LEN(TRIM('Raw Data'!AI221))=0,Validate_Empty!AI221&lt;&gt;"",Validate_Value!AI221&lt;&gt;""),"",IF(Configuration!$H$2 = Configuration!$J$2,"",_xlfn.REGEXEXTRACT(CELL("address",AI221), "\$([A-Z]+)\$[0-9]+")))</f>
        <v/>
      </c>
      <c r="AJ221" s="7"/>
      <c r="AK221" s="7"/>
      <c r="AL221" s="7"/>
      <c r="AM221" s="7"/>
      <c r="AN221" s="7"/>
      <c r="AO221" s="7"/>
      <c r="AP221" s="7" t="str" cm="1">
        <f t="array" aca="1" ref="AP221" ca="1">IF(OR('Raw Data'!AP221="",LEN(TRIM('Raw Data'!AP221))=0,Validate_Empty!AP221&lt;&gt;"",Validate_Value!AP221&lt;&gt;""),"",IF('Raw Data'!AP221=SUM('Raw Data'!AK221:AO221),"",_xlfn.REGEXEXTRACT(CELL("address",AP221), "\$([A-Z]+)\$[0-9]+")))</f>
        <v/>
      </c>
    </row>
    <row r="222" spans="2:42" x14ac:dyDescent="0.25">
      <c r="B222" s="7"/>
      <c r="C222" s="7"/>
      <c r="D222" s="7"/>
      <c r="E222" s="7"/>
      <c r="F222" s="7"/>
      <c r="G222" s="7"/>
      <c r="H222" s="7"/>
      <c r="I222" s="7"/>
      <c r="J222" s="7" t="str" cm="1">
        <f t="array" aca="1" ref="J222" ca="1">IF(OR('Raw Data'!J222="",LEN(TRIM('Raw Data'!J222))=0,Validate_Empty!J222&lt;&gt;"",Validate_Value!J222&lt;&gt;""),"",IF('Raw Data'!J222=SUM('Raw Data'!K222:N222),"",_xlfn.REGEXEXTRACT(CELL("address",J222), "\$([A-Z]+)\$[0-9]+")))</f>
        <v/>
      </c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 t="str" cm="1">
        <f t="array" aca="1" ref="Z222" ca="1">IF(OR('Raw Data'!Z222="",LEN(TRIM('Raw Data'!Z222))=0,Validate_Empty!Z222&lt;&gt;"",Validate_Value!Z222&lt;&gt;""),"",IF('Raw Data'!Z222=SUM('Raw Data'!T222:Y222),"",_xlfn.REGEXEXTRACT(CELL("address",Z222), "\$([A-Z]+)\$[0-9]+")))</f>
        <v/>
      </c>
      <c r="AA222" s="7"/>
      <c r="AB222" s="7"/>
      <c r="AC222" s="7"/>
      <c r="AD222" s="7"/>
      <c r="AE222" s="7"/>
      <c r="AF222" s="7"/>
      <c r="AG222" s="7" t="str" cm="1">
        <f t="array" aca="1" ref="AG222" ca="1">IF(OR('Raw Data'!AG222="",LEN(TRIM('Raw Data'!AG222))=0,Validate_Empty!AG222&lt;&gt;"",Validate_Value!AG222&lt;&gt;""),"",IF('Raw Data'!AG222=SUM('Raw Data'!AA222:AF222),"",_xlfn.REGEXEXTRACT(CELL("address",AG222), "\$([A-Z]+)\$[0-9]+")))</f>
        <v/>
      </c>
      <c r="AH222" s="7" t="str" cm="1">
        <f t="array" aca="1" ref="AH222" ca="1">IF(OR('Raw Data'!AH222="",LEN(TRIM('Raw Data'!AH222))=0,Validate_Empty!AH222&lt;&gt;"",Validate_Value!AH222&lt;&gt;""),"",IF(Configuration!$G$2 = Configuration!$I$2,"",_xlfn.REGEXEXTRACT(CELL("address",AH222), "\$([A-Z]+)\$[0-9]+")))</f>
        <v/>
      </c>
      <c r="AI222" s="7" t="str" cm="1">
        <f t="array" aca="1" ref="AI222" ca="1">IF(OR('Raw Data'!AI222="",LEN(TRIM('Raw Data'!AI222))=0,Validate_Empty!AI222&lt;&gt;"",Validate_Value!AI222&lt;&gt;""),"",IF(Configuration!$H$2 = Configuration!$J$2,"",_xlfn.REGEXEXTRACT(CELL("address",AI222), "\$([A-Z]+)\$[0-9]+")))</f>
        <v/>
      </c>
      <c r="AJ222" s="7"/>
      <c r="AK222" s="7"/>
      <c r="AL222" s="7"/>
      <c r="AM222" s="7"/>
      <c r="AN222" s="7"/>
      <c r="AO222" s="7"/>
      <c r="AP222" s="7" t="str" cm="1">
        <f t="array" aca="1" ref="AP222" ca="1">IF(OR('Raw Data'!AP222="",LEN(TRIM('Raw Data'!AP222))=0,Validate_Empty!AP222&lt;&gt;"",Validate_Value!AP222&lt;&gt;""),"",IF('Raw Data'!AP222=SUM('Raw Data'!AK222:AO222),"",_xlfn.REGEXEXTRACT(CELL("address",AP222), "\$([A-Z]+)\$[0-9]+")))</f>
        <v/>
      </c>
    </row>
    <row r="223" spans="2:42" x14ac:dyDescent="0.25">
      <c r="B223" s="7"/>
      <c r="C223" s="7"/>
      <c r="D223" s="7"/>
      <c r="E223" s="7"/>
      <c r="F223" s="7"/>
      <c r="G223" s="7"/>
      <c r="H223" s="7"/>
      <c r="I223" s="7"/>
      <c r="J223" s="7" t="str" cm="1">
        <f t="array" aca="1" ref="J223" ca="1">IF(OR('Raw Data'!J223="",LEN(TRIM('Raw Data'!J223))=0,Validate_Empty!J223&lt;&gt;"",Validate_Value!J223&lt;&gt;""),"",IF('Raw Data'!J223=SUM('Raw Data'!K223:N223),"",_xlfn.REGEXEXTRACT(CELL("address",J223), "\$([A-Z]+)\$[0-9]+")))</f>
        <v/>
      </c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 t="str" cm="1">
        <f t="array" aca="1" ref="Z223" ca="1">IF(OR('Raw Data'!Z223="",LEN(TRIM('Raw Data'!Z223))=0,Validate_Empty!Z223&lt;&gt;"",Validate_Value!Z223&lt;&gt;""),"",IF('Raw Data'!Z223=SUM('Raw Data'!T223:Y223),"",_xlfn.REGEXEXTRACT(CELL("address",Z223), "\$([A-Z]+)\$[0-9]+")))</f>
        <v/>
      </c>
      <c r="AA223" s="7"/>
      <c r="AB223" s="7"/>
      <c r="AC223" s="7"/>
      <c r="AD223" s="7"/>
      <c r="AE223" s="7"/>
      <c r="AF223" s="7"/>
      <c r="AG223" s="7" t="str" cm="1">
        <f t="array" aca="1" ref="AG223" ca="1">IF(OR('Raw Data'!AG223="",LEN(TRIM('Raw Data'!AG223))=0,Validate_Empty!AG223&lt;&gt;"",Validate_Value!AG223&lt;&gt;""),"",IF('Raw Data'!AG223=SUM('Raw Data'!AA223:AF223),"",_xlfn.REGEXEXTRACT(CELL("address",AG223), "\$([A-Z]+)\$[0-9]+")))</f>
        <v/>
      </c>
      <c r="AH223" s="7" t="str" cm="1">
        <f t="array" aca="1" ref="AH223" ca="1">IF(OR('Raw Data'!AH223="",LEN(TRIM('Raw Data'!AH223))=0,Validate_Empty!AH223&lt;&gt;"",Validate_Value!AH223&lt;&gt;""),"",IF(Configuration!$G$2 = Configuration!$I$2,"",_xlfn.REGEXEXTRACT(CELL("address",AH223), "\$([A-Z]+)\$[0-9]+")))</f>
        <v/>
      </c>
      <c r="AI223" s="7" t="str" cm="1">
        <f t="array" aca="1" ref="AI223" ca="1">IF(OR('Raw Data'!AI223="",LEN(TRIM('Raw Data'!AI223))=0,Validate_Empty!AI223&lt;&gt;"",Validate_Value!AI223&lt;&gt;""),"",IF(Configuration!$H$2 = Configuration!$J$2,"",_xlfn.REGEXEXTRACT(CELL("address",AI223), "\$([A-Z]+)\$[0-9]+")))</f>
        <v/>
      </c>
      <c r="AJ223" s="7"/>
      <c r="AK223" s="7"/>
      <c r="AL223" s="7"/>
      <c r="AM223" s="7"/>
      <c r="AN223" s="7"/>
      <c r="AO223" s="7"/>
      <c r="AP223" s="7" t="str" cm="1">
        <f t="array" aca="1" ref="AP223" ca="1">IF(OR('Raw Data'!AP223="",LEN(TRIM('Raw Data'!AP223))=0,Validate_Empty!AP223&lt;&gt;"",Validate_Value!AP223&lt;&gt;""),"",IF('Raw Data'!AP223=SUM('Raw Data'!AK223:AO223),"",_xlfn.REGEXEXTRACT(CELL("address",AP223), "\$([A-Z]+)\$[0-9]+")))</f>
        <v/>
      </c>
    </row>
    <row r="224" spans="2:42" x14ac:dyDescent="0.25">
      <c r="B224" s="7"/>
      <c r="C224" s="7"/>
      <c r="D224" s="7"/>
      <c r="E224" s="7"/>
      <c r="F224" s="7"/>
      <c r="G224" s="7"/>
      <c r="H224" s="7"/>
      <c r="I224" s="7"/>
      <c r="J224" s="7" t="str" cm="1">
        <f t="array" aca="1" ref="J224" ca="1">IF(OR('Raw Data'!J224="",LEN(TRIM('Raw Data'!J224))=0,Validate_Empty!J224&lt;&gt;"",Validate_Value!J224&lt;&gt;""),"",IF('Raw Data'!J224=SUM('Raw Data'!K224:N224),"",_xlfn.REGEXEXTRACT(CELL("address",J224), "\$([A-Z]+)\$[0-9]+")))</f>
        <v/>
      </c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 t="str" cm="1">
        <f t="array" aca="1" ref="Z224" ca="1">IF(OR('Raw Data'!Z224="",LEN(TRIM('Raw Data'!Z224))=0,Validate_Empty!Z224&lt;&gt;"",Validate_Value!Z224&lt;&gt;""),"",IF('Raw Data'!Z224=SUM('Raw Data'!T224:Y224),"",_xlfn.REGEXEXTRACT(CELL("address",Z224), "\$([A-Z]+)\$[0-9]+")))</f>
        <v/>
      </c>
      <c r="AA224" s="7"/>
      <c r="AB224" s="7"/>
      <c r="AC224" s="7"/>
      <c r="AD224" s="7"/>
      <c r="AE224" s="7"/>
      <c r="AF224" s="7"/>
      <c r="AG224" s="7" t="str" cm="1">
        <f t="array" aca="1" ref="AG224" ca="1">IF(OR('Raw Data'!AG224="",LEN(TRIM('Raw Data'!AG224))=0,Validate_Empty!AG224&lt;&gt;"",Validate_Value!AG224&lt;&gt;""),"",IF('Raw Data'!AG224=SUM('Raw Data'!AA224:AF224),"",_xlfn.REGEXEXTRACT(CELL("address",AG224), "\$([A-Z]+)\$[0-9]+")))</f>
        <v/>
      </c>
      <c r="AH224" s="7" t="str" cm="1">
        <f t="array" aca="1" ref="AH224" ca="1">IF(OR('Raw Data'!AH224="",LEN(TRIM('Raw Data'!AH224))=0,Validate_Empty!AH224&lt;&gt;"",Validate_Value!AH224&lt;&gt;""),"",IF(Configuration!$G$2 = Configuration!$I$2,"",_xlfn.REGEXEXTRACT(CELL("address",AH224), "\$([A-Z]+)\$[0-9]+")))</f>
        <v/>
      </c>
      <c r="AI224" s="7" t="str" cm="1">
        <f t="array" aca="1" ref="AI224" ca="1">IF(OR('Raw Data'!AI224="",LEN(TRIM('Raw Data'!AI224))=0,Validate_Empty!AI224&lt;&gt;"",Validate_Value!AI224&lt;&gt;""),"",IF(Configuration!$H$2 = Configuration!$J$2,"",_xlfn.REGEXEXTRACT(CELL("address",AI224), "\$([A-Z]+)\$[0-9]+")))</f>
        <v/>
      </c>
      <c r="AJ224" s="7"/>
      <c r="AK224" s="7"/>
      <c r="AL224" s="7"/>
      <c r="AM224" s="7"/>
      <c r="AN224" s="7"/>
      <c r="AO224" s="7"/>
      <c r="AP224" s="7" t="str" cm="1">
        <f t="array" aca="1" ref="AP224" ca="1">IF(OR('Raw Data'!AP224="",LEN(TRIM('Raw Data'!AP224))=0,Validate_Empty!AP224&lt;&gt;"",Validate_Value!AP224&lt;&gt;""),"",IF('Raw Data'!AP224=SUM('Raw Data'!AK224:AO224),"",_xlfn.REGEXEXTRACT(CELL("address",AP224), "\$([A-Z]+)\$[0-9]+")))</f>
        <v/>
      </c>
    </row>
    <row r="225" spans="2:42" x14ac:dyDescent="0.25">
      <c r="B225" s="7"/>
      <c r="C225" s="7"/>
      <c r="D225" s="7"/>
      <c r="E225" s="7"/>
      <c r="F225" s="7"/>
      <c r="G225" s="7"/>
      <c r="H225" s="7"/>
      <c r="I225" s="7"/>
      <c r="J225" s="7" t="str" cm="1">
        <f t="array" aca="1" ref="J225" ca="1">IF(OR('Raw Data'!J225="",LEN(TRIM('Raw Data'!J225))=0,Validate_Empty!J225&lt;&gt;"",Validate_Value!J225&lt;&gt;""),"",IF('Raw Data'!J225=SUM('Raw Data'!K225:N225),"",_xlfn.REGEXEXTRACT(CELL("address",J225), "\$([A-Z]+)\$[0-9]+")))</f>
        <v/>
      </c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 t="str" cm="1">
        <f t="array" aca="1" ref="Z225" ca="1">IF(OR('Raw Data'!Z225="",LEN(TRIM('Raw Data'!Z225))=0,Validate_Empty!Z225&lt;&gt;"",Validate_Value!Z225&lt;&gt;""),"",IF('Raw Data'!Z225=SUM('Raw Data'!T225:Y225),"",_xlfn.REGEXEXTRACT(CELL("address",Z225), "\$([A-Z]+)\$[0-9]+")))</f>
        <v/>
      </c>
      <c r="AA225" s="7"/>
      <c r="AB225" s="7"/>
      <c r="AC225" s="7"/>
      <c r="AD225" s="7"/>
      <c r="AE225" s="7"/>
      <c r="AF225" s="7"/>
      <c r="AG225" s="7" t="str" cm="1">
        <f t="array" aca="1" ref="AG225" ca="1">IF(OR('Raw Data'!AG225="",LEN(TRIM('Raw Data'!AG225))=0,Validate_Empty!AG225&lt;&gt;"",Validate_Value!AG225&lt;&gt;""),"",IF('Raw Data'!AG225=SUM('Raw Data'!AA225:AF225),"",_xlfn.REGEXEXTRACT(CELL("address",AG225), "\$([A-Z]+)\$[0-9]+")))</f>
        <v/>
      </c>
      <c r="AH225" s="7" t="str" cm="1">
        <f t="array" aca="1" ref="AH225" ca="1">IF(OR('Raw Data'!AH225="",LEN(TRIM('Raw Data'!AH225))=0,Validate_Empty!AH225&lt;&gt;"",Validate_Value!AH225&lt;&gt;""),"",IF(Configuration!$G$2 = Configuration!$I$2,"",_xlfn.REGEXEXTRACT(CELL("address",AH225), "\$([A-Z]+)\$[0-9]+")))</f>
        <v/>
      </c>
      <c r="AI225" s="7" t="str" cm="1">
        <f t="array" aca="1" ref="AI225" ca="1">IF(OR('Raw Data'!AI225="",LEN(TRIM('Raw Data'!AI225))=0,Validate_Empty!AI225&lt;&gt;"",Validate_Value!AI225&lt;&gt;""),"",IF(Configuration!$H$2 = Configuration!$J$2,"",_xlfn.REGEXEXTRACT(CELL("address",AI225), "\$([A-Z]+)\$[0-9]+")))</f>
        <v/>
      </c>
      <c r="AJ225" s="7"/>
      <c r="AK225" s="7"/>
      <c r="AL225" s="7"/>
      <c r="AM225" s="7"/>
      <c r="AN225" s="7"/>
      <c r="AO225" s="7"/>
      <c r="AP225" s="7" t="str" cm="1">
        <f t="array" aca="1" ref="AP225" ca="1">IF(OR('Raw Data'!AP225="",LEN(TRIM('Raw Data'!AP225))=0,Validate_Empty!AP225&lt;&gt;"",Validate_Value!AP225&lt;&gt;""),"",IF('Raw Data'!AP225=SUM('Raw Data'!AK225:AO225),"",_xlfn.REGEXEXTRACT(CELL("address",AP225), "\$([A-Z]+)\$[0-9]+")))</f>
        <v/>
      </c>
    </row>
    <row r="226" spans="2:42" x14ac:dyDescent="0.25">
      <c r="B226" s="7"/>
      <c r="C226" s="7"/>
      <c r="D226" s="7"/>
      <c r="E226" s="7"/>
      <c r="F226" s="7"/>
      <c r="G226" s="7"/>
      <c r="H226" s="7"/>
      <c r="I226" s="7"/>
      <c r="J226" s="7" t="str" cm="1">
        <f t="array" aca="1" ref="J226" ca="1">IF(OR('Raw Data'!J226="",LEN(TRIM('Raw Data'!J226))=0,Validate_Empty!J226&lt;&gt;"",Validate_Value!J226&lt;&gt;""),"",IF('Raw Data'!J226=SUM('Raw Data'!K226:N226),"",_xlfn.REGEXEXTRACT(CELL("address",J226), "\$([A-Z]+)\$[0-9]+")))</f>
        <v/>
      </c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 t="str" cm="1">
        <f t="array" aca="1" ref="Z226" ca="1">IF(OR('Raw Data'!Z226="",LEN(TRIM('Raw Data'!Z226))=0,Validate_Empty!Z226&lt;&gt;"",Validate_Value!Z226&lt;&gt;""),"",IF('Raw Data'!Z226=SUM('Raw Data'!T226:Y226),"",_xlfn.REGEXEXTRACT(CELL("address",Z226), "\$([A-Z]+)\$[0-9]+")))</f>
        <v/>
      </c>
      <c r="AA226" s="7"/>
      <c r="AB226" s="7"/>
      <c r="AC226" s="7"/>
      <c r="AD226" s="7"/>
      <c r="AE226" s="7"/>
      <c r="AF226" s="7"/>
      <c r="AG226" s="7" t="str" cm="1">
        <f t="array" aca="1" ref="AG226" ca="1">IF(OR('Raw Data'!AG226="",LEN(TRIM('Raw Data'!AG226))=0,Validate_Empty!AG226&lt;&gt;"",Validate_Value!AG226&lt;&gt;""),"",IF('Raw Data'!AG226=SUM('Raw Data'!AA226:AF226),"",_xlfn.REGEXEXTRACT(CELL("address",AG226), "\$([A-Z]+)\$[0-9]+")))</f>
        <v/>
      </c>
      <c r="AH226" s="7" t="str" cm="1">
        <f t="array" aca="1" ref="AH226" ca="1">IF(OR('Raw Data'!AH226="",LEN(TRIM('Raw Data'!AH226))=0,Validate_Empty!AH226&lt;&gt;"",Validate_Value!AH226&lt;&gt;""),"",IF(Configuration!$G$2 = Configuration!$I$2,"",_xlfn.REGEXEXTRACT(CELL("address",AH226), "\$([A-Z]+)\$[0-9]+")))</f>
        <v/>
      </c>
      <c r="AI226" s="7" t="str" cm="1">
        <f t="array" aca="1" ref="AI226" ca="1">IF(OR('Raw Data'!AI226="",LEN(TRIM('Raw Data'!AI226))=0,Validate_Empty!AI226&lt;&gt;"",Validate_Value!AI226&lt;&gt;""),"",IF(Configuration!$H$2 = Configuration!$J$2,"",_xlfn.REGEXEXTRACT(CELL("address",AI226), "\$([A-Z]+)\$[0-9]+")))</f>
        <v/>
      </c>
      <c r="AJ226" s="7"/>
      <c r="AK226" s="7"/>
      <c r="AL226" s="7"/>
      <c r="AM226" s="7"/>
      <c r="AN226" s="7"/>
      <c r="AO226" s="7"/>
      <c r="AP226" s="7" t="str" cm="1">
        <f t="array" aca="1" ref="AP226" ca="1">IF(OR('Raw Data'!AP226="",LEN(TRIM('Raw Data'!AP226))=0,Validate_Empty!AP226&lt;&gt;"",Validate_Value!AP226&lt;&gt;""),"",IF('Raw Data'!AP226=SUM('Raw Data'!AK226:AO226),"",_xlfn.REGEXEXTRACT(CELL("address",AP226), "\$([A-Z]+)\$[0-9]+")))</f>
        <v/>
      </c>
    </row>
    <row r="227" spans="2:42" x14ac:dyDescent="0.25">
      <c r="B227" s="7"/>
      <c r="C227" s="7"/>
      <c r="D227" s="7"/>
      <c r="E227" s="7"/>
      <c r="F227" s="7"/>
      <c r="G227" s="7"/>
      <c r="H227" s="7"/>
      <c r="I227" s="7"/>
      <c r="J227" s="7" t="str" cm="1">
        <f t="array" aca="1" ref="J227" ca="1">IF(OR('Raw Data'!J227="",LEN(TRIM('Raw Data'!J227))=0,Validate_Empty!J227&lt;&gt;"",Validate_Value!J227&lt;&gt;""),"",IF('Raw Data'!J227=SUM('Raw Data'!K227:N227),"",_xlfn.REGEXEXTRACT(CELL("address",J227), "\$([A-Z]+)\$[0-9]+")))</f>
        <v/>
      </c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 t="str" cm="1">
        <f t="array" aca="1" ref="Z227" ca="1">IF(OR('Raw Data'!Z227="",LEN(TRIM('Raw Data'!Z227))=0,Validate_Empty!Z227&lt;&gt;"",Validate_Value!Z227&lt;&gt;""),"",IF('Raw Data'!Z227=SUM('Raw Data'!T227:Y227),"",_xlfn.REGEXEXTRACT(CELL("address",Z227), "\$([A-Z]+)\$[0-9]+")))</f>
        <v/>
      </c>
      <c r="AA227" s="7"/>
      <c r="AB227" s="7"/>
      <c r="AC227" s="7"/>
      <c r="AD227" s="7"/>
      <c r="AE227" s="7"/>
      <c r="AF227" s="7"/>
      <c r="AG227" s="7" t="str" cm="1">
        <f t="array" aca="1" ref="AG227" ca="1">IF(OR('Raw Data'!AG227="",LEN(TRIM('Raw Data'!AG227))=0,Validate_Empty!AG227&lt;&gt;"",Validate_Value!AG227&lt;&gt;""),"",IF('Raw Data'!AG227=SUM('Raw Data'!AA227:AF227),"",_xlfn.REGEXEXTRACT(CELL("address",AG227), "\$([A-Z]+)\$[0-9]+")))</f>
        <v/>
      </c>
      <c r="AH227" s="7" t="str" cm="1">
        <f t="array" aca="1" ref="AH227" ca="1">IF(OR('Raw Data'!AH227="",LEN(TRIM('Raw Data'!AH227))=0,Validate_Empty!AH227&lt;&gt;"",Validate_Value!AH227&lt;&gt;""),"",IF(Configuration!$G$2 = Configuration!$I$2,"",_xlfn.REGEXEXTRACT(CELL("address",AH227), "\$([A-Z]+)\$[0-9]+")))</f>
        <v/>
      </c>
      <c r="AI227" s="7" t="str" cm="1">
        <f t="array" aca="1" ref="AI227" ca="1">IF(OR('Raw Data'!AI227="",LEN(TRIM('Raw Data'!AI227))=0,Validate_Empty!AI227&lt;&gt;"",Validate_Value!AI227&lt;&gt;""),"",IF(Configuration!$H$2 = Configuration!$J$2,"",_xlfn.REGEXEXTRACT(CELL("address",AI227), "\$([A-Z]+)\$[0-9]+")))</f>
        <v/>
      </c>
      <c r="AJ227" s="7"/>
      <c r="AK227" s="7"/>
      <c r="AL227" s="7"/>
      <c r="AM227" s="7"/>
      <c r="AN227" s="7"/>
      <c r="AO227" s="7"/>
      <c r="AP227" s="7" t="str" cm="1">
        <f t="array" aca="1" ref="AP227" ca="1">IF(OR('Raw Data'!AP227="",LEN(TRIM('Raw Data'!AP227))=0,Validate_Empty!AP227&lt;&gt;"",Validate_Value!AP227&lt;&gt;""),"",IF('Raw Data'!AP227=SUM('Raw Data'!AK227:AO227),"",_xlfn.REGEXEXTRACT(CELL("address",AP227), "\$([A-Z]+)\$[0-9]+")))</f>
        <v/>
      </c>
    </row>
    <row r="228" spans="2:42" x14ac:dyDescent="0.25">
      <c r="B228" s="7"/>
      <c r="C228" s="7"/>
      <c r="D228" s="7"/>
      <c r="E228" s="7"/>
      <c r="F228" s="7"/>
      <c r="G228" s="7"/>
      <c r="H228" s="7"/>
      <c r="I228" s="7"/>
      <c r="J228" s="7" t="str" cm="1">
        <f t="array" aca="1" ref="J228" ca="1">IF(OR('Raw Data'!J228="",LEN(TRIM('Raw Data'!J228))=0,Validate_Empty!J228&lt;&gt;"",Validate_Value!J228&lt;&gt;""),"",IF('Raw Data'!J228=SUM('Raw Data'!K228:N228),"",_xlfn.REGEXEXTRACT(CELL("address",J228), "\$([A-Z]+)\$[0-9]+")))</f>
        <v/>
      </c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 t="str" cm="1">
        <f t="array" aca="1" ref="Z228" ca="1">IF(OR('Raw Data'!Z228="",LEN(TRIM('Raw Data'!Z228))=0,Validate_Empty!Z228&lt;&gt;"",Validate_Value!Z228&lt;&gt;""),"",IF('Raw Data'!Z228=SUM('Raw Data'!T228:Y228),"",_xlfn.REGEXEXTRACT(CELL("address",Z228), "\$([A-Z]+)\$[0-9]+")))</f>
        <v/>
      </c>
      <c r="AA228" s="7"/>
      <c r="AB228" s="7"/>
      <c r="AC228" s="7"/>
      <c r="AD228" s="7"/>
      <c r="AE228" s="7"/>
      <c r="AF228" s="7"/>
      <c r="AG228" s="7" t="str" cm="1">
        <f t="array" aca="1" ref="AG228" ca="1">IF(OR('Raw Data'!AG228="",LEN(TRIM('Raw Data'!AG228))=0,Validate_Empty!AG228&lt;&gt;"",Validate_Value!AG228&lt;&gt;""),"",IF('Raw Data'!AG228=SUM('Raw Data'!AA228:AF228),"",_xlfn.REGEXEXTRACT(CELL("address",AG228), "\$([A-Z]+)\$[0-9]+")))</f>
        <v/>
      </c>
      <c r="AH228" s="7" t="str" cm="1">
        <f t="array" aca="1" ref="AH228" ca="1">IF(OR('Raw Data'!AH228="",LEN(TRIM('Raw Data'!AH228))=0,Validate_Empty!AH228&lt;&gt;"",Validate_Value!AH228&lt;&gt;""),"",IF(Configuration!$G$2 = Configuration!$I$2,"",_xlfn.REGEXEXTRACT(CELL("address",AH228), "\$([A-Z]+)\$[0-9]+")))</f>
        <v/>
      </c>
      <c r="AI228" s="7" t="str" cm="1">
        <f t="array" aca="1" ref="AI228" ca="1">IF(OR('Raw Data'!AI228="",LEN(TRIM('Raw Data'!AI228))=0,Validate_Empty!AI228&lt;&gt;"",Validate_Value!AI228&lt;&gt;""),"",IF(Configuration!$H$2 = Configuration!$J$2,"",_xlfn.REGEXEXTRACT(CELL("address",AI228), "\$([A-Z]+)\$[0-9]+")))</f>
        <v/>
      </c>
      <c r="AJ228" s="7"/>
      <c r="AK228" s="7"/>
      <c r="AL228" s="7"/>
      <c r="AM228" s="7"/>
      <c r="AN228" s="7"/>
      <c r="AO228" s="7"/>
      <c r="AP228" s="7" t="str" cm="1">
        <f t="array" aca="1" ref="AP228" ca="1">IF(OR('Raw Data'!AP228="",LEN(TRIM('Raw Data'!AP228))=0,Validate_Empty!AP228&lt;&gt;"",Validate_Value!AP228&lt;&gt;""),"",IF('Raw Data'!AP228=SUM('Raw Data'!AK228:AO228),"",_xlfn.REGEXEXTRACT(CELL("address",AP228), "\$([A-Z]+)\$[0-9]+")))</f>
        <v/>
      </c>
    </row>
    <row r="229" spans="2:42" x14ac:dyDescent="0.25">
      <c r="B229" s="7"/>
      <c r="C229" s="7"/>
      <c r="D229" s="7"/>
      <c r="E229" s="7"/>
      <c r="F229" s="7"/>
      <c r="G229" s="7"/>
      <c r="H229" s="7"/>
      <c r="I229" s="7"/>
      <c r="J229" s="7" t="str" cm="1">
        <f t="array" aca="1" ref="J229" ca="1">IF(OR('Raw Data'!J229="",LEN(TRIM('Raw Data'!J229))=0,Validate_Empty!J229&lt;&gt;"",Validate_Value!J229&lt;&gt;""),"",IF('Raw Data'!J229=SUM('Raw Data'!K229:N229),"",_xlfn.REGEXEXTRACT(CELL("address",J229), "\$([A-Z]+)\$[0-9]+")))</f>
        <v/>
      </c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 t="str" cm="1">
        <f t="array" aca="1" ref="Z229" ca="1">IF(OR('Raw Data'!Z229="",LEN(TRIM('Raw Data'!Z229))=0,Validate_Empty!Z229&lt;&gt;"",Validate_Value!Z229&lt;&gt;""),"",IF('Raw Data'!Z229=SUM('Raw Data'!T229:Y229),"",_xlfn.REGEXEXTRACT(CELL("address",Z229), "\$([A-Z]+)\$[0-9]+")))</f>
        <v/>
      </c>
      <c r="AA229" s="7"/>
      <c r="AB229" s="7"/>
      <c r="AC229" s="7"/>
      <c r="AD229" s="7"/>
      <c r="AE229" s="7"/>
      <c r="AF229" s="7"/>
      <c r="AG229" s="7" t="str" cm="1">
        <f t="array" aca="1" ref="AG229" ca="1">IF(OR('Raw Data'!AG229="",LEN(TRIM('Raw Data'!AG229))=0,Validate_Empty!AG229&lt;&gt;"",Validate_Value!AG229&lt;&gt;""),"",IF('Raw Data'!AG229=SUM('Raw Data'!AA229:AF229),"",_xlfn.REGEXEXTRACT(CELL("address",AG229), "\$([A-Z]+)\$[0-9]+")))</f>
        <v/>
      </c>
      <c r="AH229" s="7" t="str" cm="1">
        <f t="array" aca="1" ref="AH229" ca="1">IF(OR('Raw Data'!AH229="",LEN(TRIM('Raw Data'!AH229))=0,Validate_Empty!AH229&lt;&gt;"",Validate_Value!AH229&lt;&gt;""),"",IF(Configuration!$G$2 = Configuration!$I$2,"",_xlfn.REGEXEXTRACT(CELL("address",AH229), "\$([A-Z]+)\$[0-9]+")))</f>
        <v/>
      </c>
      <c r="AI229" s="7" t="str" cm="1">
        <f t="array" aca="1" ref="AI229" ca="1">IF(OR('Raw Data'!AI229="",LEN(TRIM('Raw Data'!AI229))=0,Validate_Empty!AI229&lt;&gt;"",Validate_Value!AI229&lt;&gt;""),"",IF(Configuration!$H$2 = Configuration!$J$2,"",_xlfn.REGEXEXTRACT(CELL("address",AI229), "\$([A-Z]+)\$[0-9]+")))</f>
        <v/>
      </c>
      <c r="AJ229" s="7"/>
      <c r="AK229" s="7"/>
      <c r="AL229" s="7"/>
      <c r="AM229" s="7"/>
      <c r="AN229" s="7"/>
      <c r="AO229" s="7"/>
      <c r="AP229" s="7" t="str" cm="1">
        <f t="array" aca="1" ref="AP229" ca="1">IF(OR('Raw Data'!AP229="",LEN(TRIM('Raw Data'!AP229))=0,Validate_Empty!AP229&lt;&gt;"",Validate_Value!AP229&lt;&gt;""),"",IF('Raw Data'!AP229=SUM('Raw Data'!AK229:AO229),"",_xlfn.REGEXEXTRACT(CELL("address",AP229), "\$([A-Z]+)\$[0-9]+")))</f>
        <v/>
      </c>
    </row>
    <row r="230" spans="2:42" x14ac:dyDescent="0.25">
      <c r="B230" s="7"/>
      <c r="C230" s="7"/>
      <c r="D230" s="7"/>
      <c r="E230" s="7"/>
      <c r="F230" s="7"/>
      <c r="G230" s="7"/>
      <c r="H230" s="7"/>
      <c r="I230" s="7"/>
      <c r="J230" s="7" t="str" cm="1">
        <f t="array" aca="1" ref="J230" ca="1">IF(OR('Raw Data'!J230="",LEN(TRIM('Raw Data'!J230))=0,Validate_Empty!J230&lt;&gt;"",Validate_Value!J230&lt;&gt;""),"",IF('Raw Data'!J230=SUM('Raw Data'!K230:N230),"",_xlfn.REGEXEXTRACT(CELL("address",J230), "\$([A-Z]+)\$[0-9]+")))</f>
        <v/>
      </c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 t="str" cm="1">
        <f t="array" aca="1" ref="Z230" ca="1">IF(OR('Raw Data'!Z230="",LEN(TRIM('Raw Data'!Z230))=0,Validate_Empty!Z230&lt;&gt;"",Validate_Value!Z230&lt;&gt;""),"",IF('Raw Data'!Z230=SUM('Raw Data'!T230:Y230),"",_xlfn.REGEXEXTRACT(CELL("address",Z230), "\$([A-Z]+)\$[0-9]+")))</f>
        <v/>
      </c>
      <c r="AA230" s="7"/>
      <c r="AB230" s="7"/>
      <c r="AC230" s="7"/>
      <c r="AD230" s="7"/>
      <c r="AE230" s="7"/>
      <c r="AF230" s="7"/>
      <c r="AG230" s="7" t="str" cm="1">
        <f t="array" aca="1" ref="AG230" ca="1">IF(OR('Raw Data'!AG230="",LEN(TRIM('Raw Data'!AG230))=0,Validate_Empty!AG230&lt;&gt;"",Validate_Value!AG230&lt;&gt;""),"",IF('Raw Data'!AG230=SUM('Raw Data'!AA230:AF230),"",_xlfn.REGEXEXTRACT(CELL("address",AG230), "\$([A-Z]+)\$[0-9]+")))</f>
        <v/>
      </c>
      <c r="AH230" s="7" t="str" cm="1">
        <f t="array" aca="1" ref="AH230" ca="1">IF(OR('Raw Data'!AH230="",LEN(TRIM('Raw Data'!AH230))=0,Validate_Empty!AH230&lt;&gt;"",Validate_Value!AH230&lt;&gt;""),"",IF(Configuration!$G$2 = Configuration!$I$2,"",_xlfn.REGEXEXTRACT(CELL("address",AH230), "\$([A-Z]+)\$[0-9]+")))</f>
        <v/>
      </c>
      <c r="AI230" s="7" t="str" cm="1">
        <f t="array" aca="1" ref="AI230" ca="1">IF(OR('Raw Data'!AI230="",LEN(TRIM('Raw Data'!AI230))=0,Validate_Empty!AI230&lt;&gt;"",Validate_Value!AI230&lt;&gt;""),"",IF(Configuration!$H$2 = Configuration!$J$2,"",_xlfn.REGEXEXTRACT(CELL("address",AI230), "\$([A-Z]+)\$[0-9]+")))</f>
        <v/>
      </c>
      <c r="AJ230" s="7"/>
      <c r="AK230" s="7"/>
      <c r="AL230" s="7"/>
      <c r="AM230" s="7"/>
      <c r="AN230" s="7"/>
      <c r="AO230" s="7"/>
      <c r="AP230" s="7" t="str" cm="1">
        <f t="array" aca="1" ref="AP230" ca="1">IF(OR('Raw Data'!AP230="",LEN(TRIM('Raw Data'!AP230))=0,Validate_Empty!AP230&lt;&gt;"",Validate_Value!AP230&lt;&gt;""),"",IF('Raw Data'!AP230=SUM('Raw Data'!AK230:AO230),"",_xlfn.REGEXEXTRACT(CELL("address",AP230), "\$([A-Z]+)\$[0-9]+")))</f>
        <v/>
      </c>
    </row>
    <row r="231" spans="2:42" x14ac:dyDescent="0.25">
      <c r="B231" s="7"/>
      <c r="C231" s="7"/>
      <c r="D231" s="7"/>
      <c r="E231" s="7"/>
      <c r="F231" s="7"/>
      <c r="G231" s="7"/>
      <c r="H231" s="7"/>
      <c r="I231" s="7"/>
      <c r="J231" s="7" t="str" cm="1">
        <f t="array" aca="1" ref="J231" ca="1">IF(OR('Raw Data'!J231="",LEN(TRIM('Raw Data'!J231))=0,Validate_Empty!J231&lt;&gt;"",Validate_Value!J231&lt;&gt;""),"",IF('Raw Data'!J231=SUM('Raw Data'!K231:N231),"",_xlfn.REGEXEXTRACT(CELL("address",J231), "\$([A-Z]+)\$[0-9]+")))</f>
        <v/>
      </c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 t="str" cm="1">
        <f t="array" aca="1" ref="Z231" ca="1">IF(OR('Raw Data'!Z231="",LEN(TRIM('Raw Data'!Z231))=0,Validate_Empty!Z231&lt;&gt;"",Validate_Value!Z231&lt;&gt;""),"",IF('Raw Data'!Z231=SUM('Raw Data'!T231:Y231),"",_xlfn.REGEXEXTRACT(CELL("address",Z231), "\$([A-Z]+)\$[0-9]+")))</f>
        <v/>
      </c>
      <c r="AA231" s="7"/>
      <c r="AB231" s="7"/>
      <c r="AC231" s="7"/>
      <c r="AD231" s="7"/>
      <c r="AE231" s="7"/>
      <c r="AF231" s="7"/>
      <c r="AG231" s="7" t="str" cm="1">
        <f t="array" aca="1" ref="AG231" ca="1">IF(OR('Raw Data'!AG231="",LEN(TRIM('Raw Data'!AG231))=0,Validate_Empty!AG231&lt;&gt;"",Validate_Value!AG231&lt;&gt;""),"",IF('Raw Data'!AG231=SUM('Raw Data'!AA231:AF231),"",_xlfn.REGEXEXTRACT(CELL("address",AG231), "\$([A-Z]+)\$[0-9]+")))</f>
        <v/>
      </c>
      <c r="AH231" s="7" t="str" cm="1">
        <f t="array" aca="1" ref="AH231" ca="1">IF(OR('Raw Data'!AH231="",LEN(TRIM('Raw Data'!AH231))=0,Validate_Empty!AH231&lt;&gt;"",Validate_Value!AH231&lt;&gt;""),"",IF(Configuration!$G$2 = Configuration!$I$2,"",_xlfn.REGEXEXTRACT(CELL("address",AH231), "\$([A-Z]+)\$[0-9]+")))</f>
        <v/>
      </c>
      <c r="AI231" s="7" t="str" cm="1">
        <f t="array" aca="1" ref="AI231" ca="1">IF(OR('Raw Data'!AI231="",LEN(TRIM('Raw Data'!AI231))=0,Validate_Empty!AI231&lt;&gt;"",Validate_Value!AI231&lt;&gt;""),"",IF(Configuration!$H$2 = Configuration!$J$2,"",_xlfn.REGEXEXTRACT(CELL("address",AI231), "\$([A-Z]+)\$[0-9]+")))</f>
        <v/>
      </c>
      <c r="AJ231" s="7"/>
      <c r="AK231" s="7"/>
      <c r="AL231" s="7"/>
      <c r="AM231" s="7"/>
      <c r="AN231" s="7"/>
      <c r="AO231" s="7"/>
      <c r="AP231" s="7" t="str" cm="1">
        <f t="array" aca="1" ref="AP231" ca="1">IF(OR('Raw Data'!AP231="",LEN(TRIM('Raw Data'!AP231))=0,Validate_Empty!AP231&lt;&gt;"",Validate_Value!AP231&lt;&gt;""),"",IF('Raw Data'!AP231=SUM('Raw Data'!AK231:AO231),"",_xlfn.REGEXEXTRACT(CELL("address",AP231), "\$([A-Z]+)\$[0-9]+")))</f>
        <v/>
      </c>
    </row>
    <row r="232" spans="2:42" x14ac:dyDescent="0.25">
      <c r="B232" s="7"/>
      <c r="C232" s="7"/>
      <c r="D232" s="7"/>
      <c r="E232" s="7"/>
      <c r="F232" s="7"/>
      <c r="G232" s="7"/>
      <c r="H232" s="7"/>
      <c r="I232" s="7"/>
      <c r="J232" s="7" t="str" cm="1">
        <f t="array" aca="1" ref="J232" ca="1">IF(OR('Raw Data'!J232="",LEN(TRIM('Raw Data'!J232))=0,Validate_Empty!J232&lt;&gt;"",Validate_Value!J232&lt;&gt;""),"",IF('Raw Data'!J232=SUM('Raw Data'!K232:N232),"",_xlfn.REGEXEXTRACT(CELL("address",J232), "\$([A-Z]+)\$[0-9]+")))</f>
        <v/>
      </c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 t="str" cm="1">
        <f t="array" aca="1" ref="Z232" ca="1">IF(OR('Raw Data'!Z232="",LEN(TRIM('Raw Data'!Z232))=0,Validate_Empty!Z232&lt;&gt;"",Validate_Value!Z232&lt;&gt;""),"",IF('Raw Data'!Z232=SUM('Raw Data'!T232:Y232),"",_xlfn.REGEXEXTRACT(CELL("address",Z232), "\$([A-Z]+)\$[0-9]+")))</f>
        <v/>
      </c>
      <c r="AA232" s="7"/>
      <c r="AB232" s="7"/>
      <c r="AC232" s="7"/>
      <c r="AD232" s="7"/>
      <c r="AE232" s="7"/>
      <c r="AF232" s="7"/>
      <c r="AG232" s="7" t="str" cm="1">
        <f t="array" aca="1" ref="AG232" ca="1">IF(OR('Raw Data'!AG232="",LEN(TRIM('Raw Data'!AG232))=0,Validate_Empty!AG232&lt;&gt;"",Validate_Value!AG232&lt;&gt;""),"",IF('Raw Data'!AG232=SUM('Raw Data'!AA232:AF232),"",_xlfn.REGEXEXTRACT(CELL("address",AG232), "\$([A-Z]+)\$[0-9]+")))</f>
        <v/>
      </c>
      <c r="AH232" s="7" t="str" cm="1">
        <f t="array" aca="1" ref="AH232" ca="1">IF(OR('Raw Data'!AH232="",LEN(TRIM('Raw Data'!AH232))=0,Validate_Empty!AH232&lt;&gt;"",Validate_Value!AH232&lt;&gt;""),"",IF(Configuration!$G$2 = Configuration!$I$2,"",_xlfn.REGEXEXTRACT(CELL("address",AH232), "\$([A-Z]+)\$[0-9]+")))</f>
        <v/>
      </c>
      <c r="AI232" s="7" t="str" cm="1">
        <f t="array" aca="1" ref="AI232" ca="1">IF(OR('Raw Data'!AI232="",LEN(TRIM('Raw Data'!AI232))=0,Validate_Empty!AI232&lt;&gt;"",Validate_Value!AI232&lt;&gt;""),"",IF(Configuration!$H$2 = Configuration!$J$2,"",_xlfn.REGEXEXTRACT(CELL("address",AI232), "\$([A-Z]+)\$[0-9]+")))</f>
        <v/>
      </c>
      <c r="AJ232" s="7"/>
      <c r="AK232" s="7"/>
      <c r="AL232" s="7"/>
      <c r="AM232" s="7"/>
      <c r="AN232" s="7"/>
      <c r="AO232" s="7"/>
      <c r="AP232" s="7" t="str" cm="1">
        <f t="array" aca="1" ref="AP232" ca="1">IF(OR('Raw Data'!AP232="",LEN(TRIM('Raw Data'!AP232))=0,Validate_Empty!AP232&lt;&gt;"",Validate_Value!AP232&lt;&gt;""),"",IF('Raw Data'!AP232=SUM('Raw Data'!AK232:AO232),"",_xlfn.REGEXEXTRACT(CELL("address",AP232), "\$([A-Z]+)\$[0-9]+")))</f>
        <v/>
      </c>
    </row>
    <row r="233" spans="2:42" x14ac:dyDescent="0.25">
      <c r="B233" s="7"/>
      <c r="C233" s="7"/>
      <c r="D233" s="7"/>
      <c r="E233" s="7"/>
      <c r="F233" s="7"/>
      <c r="G233" s="7"/>
      <c r="H233" s="7"/>
      <c r="I233" s="7"/>
      <c r="J233" s="7" t="str" cm="1">
        <f t="array" aca="1" ref="J233" ca="1">IF(OR('Raw Data'!J233="",LEN(TRIM('Raw Data'!J233))=0,Validate_Empty!J233&lt;&gt;"",Validate_Value!J233&lt;&gt;""),"",IF('Raw Data'!J233=SUM('Raw Data'!K233:N233),"",_xlfn.REGEXEXTRACT(CELL("address",J233), "\$([A-Z]+)\$[0-9]+")))</f>
        <v/>
      </c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 t="str" cm="1">
        <f t="array" aca="1" ref="Z233" ca="1">IF(OR('Raw Data'!Z233="",LEN(TRIM('Raw Data'!Z233))=0,Validate_Empty!Z233&lt;&gt;"",Validate_Value!Z233&lt;&gt;""),"",IF('Raw Data'!Z233=SUM('Raw Data'!T233:Y233),"",_xlfn.REGEXEXTRACT(CELL("address",Z233), "\$([A-Z]+)\$[0-9]+")))</f>
        <v/>
      </c>
      <c r="AA233" s="7"/>
      <c r="AB233" s="7"/>
      <c r="AC233" s="7"/>
      <c r="AD233" s="7"/>
      <c r="AE233" s="7"/>
      <c r="AF233" s="7"/>
      <c r="AG233" s="7" t="str" cm="1">
        <f t="array" aca="1" ref="AG233" ca="1">IF(OR('Raw Data'!AG233="",LEN(TRIM('Raw Data'!AG233))=0,Validate_Empty!AG233&lt;&gt;"",Validate_Value!AG233&lt;&gt;""),"",IF('Raw Data'!AG233=SUM('Raw Data'!AA233:AF233),"",_xlfn.REGEXEXTRACT(CELL("address",AG233), "\$([A-Z]+)\$[0-9]+")))</f>
        <v/>
      </c>
      <c r="AH233" s="7" t="str" cm="1">
        <f t="array" aca="1" ref="AH233" ca="1">IF(OR('Raw Data'!AH233="",LEN(TRIM('Raw Data'!AH233))=0,Validate_Empty!AH233&lt;&gt;"",Validate_Value!AH233&lt;&gt;""),"",IF(Configuration!$G$2 = Configuration!$I$2,"",_xlfn.REGEXEXTRACT(CELL("address",AH233), "\$([A-Z]+)\$[0-9]+")))</f>
        <v/>
      </c>
      <c r="AI233" s="7" t="str" cm="1">
        <f t="array" aca="1" ref="AI233" ca="1">IF(OR('Raw Data'!AI233="",LEN(TRIM('Raw Data'!AI233))=0,Validate_Empty!AI233&lt;&gt;"",Validate_Value!AI233&lt;&gt;""),"",IF(Configuration!$H$2 = Configuration!$J$2,"",_xlfn.REGEXEXTRACT(CELL("address",AI233), "\$([A-Z]+)\$[0-9]+")))</f>
        <v/>
      </c>
      <c r="AJ233" s="7"/>
      <c r="AK233" s="7"/>
      <c r="AL233" s="7"/>
      <c r="AM233" s="7"/>
      <c r="AN233" s="7"/>
      <c r="AO233" s="7"/>
      <c r="AP233" s="7" t="str" cm="1">
        <f t="array" aca="1" ref="AP233" ca="1">IF(OR('Raw Data'!AP233="",LEN(TRIM('Raw Data'!AP233))=0,Validate_Empty!AP233&lt;&gt;"",Validate_Value!AP233&lt;&gt;""),"",IF('Raw Data'!AP233=SUM('Raw Data'!AK233:AO233),"",_xlfn.REGEXEXTRACT(CELL("address",AP233), "\$([A-Z]+)\$[0-9]+")))</f>
        <v/>
      </c>
    </row>
    <row r="234" spans="2:42" x14ac:dyDescent="0.25">
      <c r="B234" s="7"/>
      <c r="C234" s="7"/>
      <c r="D234" s="7"/>
      <c r="E234" s="7"/>
      <c r="F234" s="7"/>
      <c r="G234" s="7"/>
      <c r="H234" s="7"/>
      <c r="I234" s="7"/>
      <c r="J234" s="7" t="str" cm="1">
        <f t="array" aca="1" ref="J234" ca="1">IF(OR('Raw Data'!J234="",LEN(TRIM('Raw Data'!J234))=0,Validate_Empty!J234&lt;&gt;"",Validate_Value!J234&lt;&gt;""),"",IF('Raw Data'!J234=SUM('Raw Data'!K234:N234),"",_xlfn.REGEXEXTRACT(CELL("address",J234), "\$([A-Z]+)\$[0-9]+")))</f>
        <v/>
      </c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 t="str" cm="1">
        <f t="array" aca="1" ref="Z234" ca="1">IF(OR('Raw Data'!Z234="",LEN(TRIM('Raw Data'!Z234))=0,Validate_Empty!Z234&lt;&gt;"",Validate_Value!Z234&lt;&gt;""),"",IF('Raw Data'!Z234=SUM('Raw Data'!T234:Y234),"",_xlfn.REGEXEXTRACT(CELL("address",Z234), "\$([A-Z]+)\$[0-9]+")))</f>
        <v/>
      </c>
      <c r="AA234" s="7"/>
      <c r="AB234" s="7"/>
      <c r="AC234" s="7"/>
      <c r="AD234" s="7"/>
      <c r="AE234" s="7"/>
      <c r="AF234" s="7"/>
      <c r="AG234" s="7" t="str" cm="1">
        <f t="array" aca="1" ref="AG234" ca="1">IF(OR('Raw Data'!AG234="",LEN(TRIM('Raw Data'!AG234))=0,Validate_Empty!AG234&lt;&gt;"",Validate_Value!AG234&lt;&gt;""),"",IF('Raw Data'!AG234=SUM('Raw Data'!AA234:AF234),"",_xlfn.REGEXEXTRACT(CELL("address",AG234), "\$([A-Z]+)\$[0-9]+")))</f>
        <v/>
      </c>
      <c r="AH234" s="7" t="str" cm="1">
        <f t="array" aca="1" ref="AH234" ca="1">IF(OR('Raw Data'!AH234="",LEN(TRIM('Raw Data'!AH234))=0,Validate_Empty!AH234&lt;&gt;"",Validate_Value!AH234&lt;&gt;""),"",IF(Configuration!$G$2 = Configuration!$I$2,"",_xlfn.REGEXEXTRACT(CELL("address",AH234), "\$([A-Z]+)\$[0-9]+")))</f>
        <v/>
      </c>
      <c r="AI234" s="7" t="str" cm="1">
        <f t="array" aca="1" ref="AI234" ca="1">IF(OR('Raw Data'!AI234="",LEN(TRIM('Raw Data'!AI234))=0,Validate_Empty!AI234&lt;&gt;"",Validate_Value!AI234&lt;&gt;""),"",IF(Configuration!$H$2 = Configuration!$J$2,"",_xlfn.REGEXEXTRACT(CELL("address",AI234), "\$([A-Z]+)\$[0-9]+")))</f>
        <v/>
      </c>
      <c r="AJ234" s="7"/>
      <c r="AK234" s="7"/>
      <c r="AL234" s="7"/>
      <c r="AM234" s="7"/>
      <c r="AN234" s="7"/>
      <c r="AO234" s="7"/>
      <c r="AP234" s="7" t="str" cm="1">
        <f t="array" aca="1" ref="AP234" ca="1">IF(OR('Raw Data'!AP234="",LEN(TRIM('Raw Data'!AP234))=0,Validate_Empty!AP234&lt;&gt;"",Validate_Value!AP234&lt;&gt;""),"",IF('Raw Data'!AP234=SUM('Raw Data'!AK234:AO234),"",_xlfn.REGEXEXTRACT(CELL("address",AP234), "\$([A-Z]+)\$[0-9]+")))</f>
        <v/>
      </c>
    </row>
    <row r="235" spans="2:42" x14ac:dyDescent="0.25">
      <c r="B235" s="7"/>
      <c r="C235" s="7"/>
      <c r="D235" s="7"/>
      <c r="E235" s="7"/>
      <c r="F235" s="7"/>
      <c r="G235" s="7"/>
      <c r="H235" s="7"/>
      <c r="I235" s="7"/>
      <c r="J235" s="7" t="str" cm="1">
        <f t="array" aca="1" ref="J235" ca="1">IF(OR('Raw Data'!J235="",LEN(TRIM('Raw Data'!J235))=0,Validate_Empty!J235&lt;&gt;"",Validate_Value!J235&lt;&gt;""),"",IF('Raw Data'!J235=SUM('Raw Data'!K235:N235),"",_xlfn.REGEXEXTRACT(CELL("address",J235), "\$([A-Z]+)\$[0-9]+")))</f>
        <v/>
      </c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 t="str" cm="1">
        <f t="array" aca="1" ref="Z235" ca="1">IF(OR('Raw Data'!Z235="",LEN(TRIM('Raw Data'!Z235))=0,Validate_Empty!Z235&lt;&gt;"",Validate_Value!Z235&lt;&gt;""),"",IF('Raw Data'!Z235=SUM('Raw Data'!T235:Y235),"",_xlfn.REGEXEXTRACT(CELL("address",Z235), "\$([A-Z]+)\$[0-9]+")))</f>
        <v/>
      </c>
      <c r="AA235" s="7"/>
      <c r="AB235" s="7"/>
      <c r="AC235" s="7"/>
      <c r="AD235" s="7"/>
      <c r="AE235" s="7"/>
      <c r="AF235" s="7"/>
      <c r="AG235" s="7" t="str" cm="1">
        <f t="array" aca="1" ref="AG235" ca="1">IF(OR('Raw Data'!AG235="",LEN(TRIM('Raw Data'!AG235))=0,Validate_Empty!AG235&lt;&gt;"",Validate_Value!AG235&lt;&gt;""),"",IF('Raw Data'!AG235=SUM('Raw Data'!AA235:AF235),"",_xlfn.REGEXEXTRACT(CELL("address",AG235), "\$([A-Z]+)\$[0-9]+")))</f>
        <v/>
      </c>
      <c r="AH235" s="7" t="str" cm="1">
        <f t="array" aca="1" ref="AH235" ca="1">IF(OR('Raw Data'!AH235="",LEN(TRIM('Raw Data'!AH235))=0,Validate_Empty!AH235&lt;&gt;"",Validate_Value!AH235&lt;&gt;""),"",IF(Configuration!$G$2 = Configuration!$I$2,"",_xlfn.REGEXEXTRACT(CELL("address",AH235), "\$([A-Z]+)\$[0-9]+")))</f>
        <v/>
      </c>
      <c r="AI235" s="7" t="str" cm="1">
        <f t="array" aca="1" ref="AI235" ca="1">IF(OR('Raw Data'!AI235="",LEN(TRIM('Raw Data'!AI235))=0,Validate_Empty!AI235&lt;&gt;"",Validate_Value!AI235&lt;&gt;""),"",IF(Configuration!$H$2 = Configuration!$J$2,"",_xlfn.REGEXEXTRACT(CELL("address",AI235), "\$([A-Z]+)\$[0-9]+")))</f>
        <v/>
      </c>
      <c r="AJ235" s="7"/>
      <c r="AK235" s="7"/>
      <c r="AL235" s="7"/>
      <c r="AM235" s="7"/>
      <c r="AN235" s="7"/>
      <c r="AO235" s="7"/>
      <c r="AP235" s="7" t="str" cm="1">
        <f t="array" aca="1" ref="AP235" ca="1">IF(OR('Raw Data'!AP235="",LEN(TRIM('Raw Data'!AP235))=0,Validate_Empty!AP235&lt;&gt;"",Validate_Value!AP235&lt;&gt;""),"",IF('Raw Data'!AP235=SUM('Raw Data'!AK235:AO235),"",_xlfn.REGEXEXTRACT(CELL("address",AP235), "\$([A-Z]+)\$[0-9]+")))</f>
        <v/>
      </c>
    </row>
    <row r="236" spans="2:42" x14ac:dyDescent="0.25">
      <c r="B236" s="7"/>
      <c r="C236" s="7"/>
      <c r="D236" s="7"/>
      <c r="E236" s="7"/>
      <c r="F236" s="7"/>
      <c r="G236" s="7"/>
      <c r="H236" s="7"/>
      <c r="I236" s="7"/>
      <c r="J236" s="7" t="str" cm="1">
        <f t="array" aca="1" ref="J236" ca="1">IF(OR('Raw Data'!J236="",LEN(TRIM('Raw Data'!J236))=0,Validate_Empty!J236&lt;&gt;"",Validate_Value!J236&lt;&gt;""),"",IF('Raw Data'!J236=SUM('Raw Data'!K236:N236),"",_xlfn.REGEXEXTRACT(CELL("address",J236), "\$([A-Z]+)\$[0-9]+")))</f>
        <v/>
      </c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 t="str" cm="1">
        <f t="array" aca="1" ref="Z236" ca="1">IF(OR('Raw Data'!Z236="",LEN(TRIM('Raw Data'!Z236))=0,Validate_Empty!Z236&lt;&gt;"",Validate_Value!Z236&lt;&gt;""),"",IF('Raw Data'!Z236=SUM('Raw Data'!T236:Y236),"",_xlfn.REGEXEXTRACT(CELL("address",Z236), "\$([A-Z]+)\$[0-9]+")))</f>
        <v/>
      </c>
      <c r="AA236" s="7"/>
      <c r="AB236" s="7"/>
      <c r="AC236" s="7"/>
      <c r="AD236" s="7"/>
      <c r="AE236" s="7"/>
      <c r="AF236" s="7"/>
      <c r="AG236" s="7" t="str" cm="1">
        <f t="array" aca="1" ref="AG236" ca="1">IF(OR('Raw Data'!AG236="",LEN(TRIM('Raw Data'!AG236))=0,Validate_Empty!AG236&lt;&gt;"",Validate_Value!AG236&lt;&gt;""),"",IF('Raw Data'!AG236=SUM('Raw Data'!AA236:AF236),"",_xlfn.REGEXEXTRACT(CELL("address",AG236), "\$([A-Z]+)\$[0-9]+")))</f>
        <v/>
      </c>
      <c r="AH236" s="7" t="str" cm="1">
        <f t="array" aca="1" ref="AH236" ca="1">IF(OR('Raw Data'!AH236="",LEN(TRIM('Raw Data'!AH236))=0,Validate_Empty!AH236&lt;&gt;"",Validate_Value!AH236&lt;&gt;""),"",IF(Configuration!$G$2 = Configuration!$I$2,"",_xlfn.REGEXEXTRACT(CELL("address",AH236), "\$([A-Z]+)\$[0-9]+")))</f>
        <v/>
      </c>
      <c r="AI236" s="7" t="str" cm="1">
        <f t="array" aca="1" ref="AI236" ca="1">IF(OR('Raw Data'!AI236="",LEN(TRIM('Raw Data'!AI236))=0,Validate_Empty!AI236&lt;&gt;"",Validate_Value!AI236&lt;&gt;""),"",IF(Configuration!$H$2 = Configuration!$J$2,"",_xlfn.REGEXEXTRACT(CELL("address",AI236), "\$([A-Z]+)\$[0-9]+")))</f>
        <v/>
      </c>
      <c r="AJ236" s="7"/>
      <c r="AK236" s="7"/>
      <c r="AL236" s="7"/>
      <c r="AM236" s="7"/>
      <c r="AN236" s="7"/>
      <c r="AO236" s="7"/>
      <c r="AP236" s="7" t="str" cm="1">
        <f t="array" aca="1" ref="AP236" ca="1">IF(OR('Raw Data'!AP236="",LEN(TRIM('Raw Data'!AP236))=0,Validate_Empty!AP236&lt;&gt;"",Validate_Value!AP236&lt;&gt;""),"",IF('Raw Data'!AP236=SUM('Raw Data'!AK236:AO236),"",_xlfn.REGEXEXTRACT(CELL("address",AP236), "\$([A-Z]+)\$[0-9]+")))</f>
        <v/>
      </c>
    </row>
    <row r="237" spans="2:42" x14ac:dyDescent="0.25">
      <c r="B237" s="7"/>
      <c r="C237" s="7"/>
      <c r="D237" s="7"/>
      <c r="E237" s="7"/>
      <c r="F237" s="7"/>
      <c r="G237" s="7"/>
      <c r="H237" s="7"/>
      <c r="I237" s="7"/>
      <c r="J237" s="7" t="str" cm="1">
        <f t="array" aca="1" ref="J237" ca="1">IF(OR('Raw Data'!J237="",LEN(TRIM('Raw Data'!J237))=0,Validate_Empty!J237&lt;&gt;"",Validate_Value!J237&lt;&gt;""),"",IF('Raw Data'!J237=SUM('Raw Data'!K237:N237),"",_xlfn.REGEXEXTRACT(CELL("address",J237), "\$([A-Z]+)\$[0-9]+")))</f>
        <v/>
      </c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 t="str" cm="1">
        <f t="array" aca="1" ref="Z237" ca="1">IF(OR('Raw Data'!Z237="",LEN(TRIM('Raw Data'!Z237))=0,Validate_Empty!Z237&lt;&gt;"",Validate_Value!Z237&lt;&gt;""),"",IF('Raw Data'!Z237=SUM('Raw Data'!T237:Y237),"",_xlfn.REGEXEXTRACT(CELL("address",Z237), "\$([A-Z]+)\$[0-9]+")))</f>
        <v/>
      </c>
      <c r="AA237" s="7"/>
      <c r="AB237" s="7"/>
      <c r="AC237" s="7"/>
      <c r="AD237" s="7"/>
      <c r="AE237" s="7"/>
      <c r="AF237" s="7"/>
      <c r="AG237" s="7" t="str" cm="1">
        <f t="array" aca="1" ref="AG237" ca="1">IF(OR('Raw Data'!AG237="",LEN(TRIM('Raw Data'!AG237))=0,Validate_Empty!AG237&lt;&gt;"",Validate_Value!AG237&lt;&gt;""),"",IF('Raw Data'!AG237=SUM('Raw Data'!AA237:AF237),"",_xlfn.REGEXEXTRACT(CELL("address",AG237), "\$([A-Z]+)\$[0-9]+")))</f>
        <v/>
      </c>
      <c r="AH237" s="7" t="str" cm="1">
        <f t="array" aca="1" ref="AH237" ca="1">IF(OR('Raw Data'!AH237="",LEN(TRIM('Raw Data'!AH237))=0,Validate_Empty!AH237&lt;&gt;"",Validate_Value!AH237&lt;&gt;""),"",IF(Configuration!$G$2 = Configuration!$I$2,"",_xlfn.REGEXEXTRACT(CELL("address",AH237), "\$([A-Z]+)\$[0-9]+")))</f>
        <v/>
      </c>
      <c r="AI237" s="7" t="str" cm="1">
        <f t="array" aca="1" ref="AI237" ca="1">IF(OR('Raw Data'!AI237="",LEN(TRIM('Raw Data'!AI237))=0,Validate_Empty!AI237&lt;&gt;"",Validate_Value!AI237&lt;&gt;""),"",IF(Configuration!$H$2 = Configuration!$J$2,"",_xlfn.REGEXEXTRACT(CELL("address",AI237), "\$([A-Z]+)\$[0-9]+")))</f>
        <v/>
      </c>
      <c r="AJ237" s="7"/>
      <c r="AK237" s="7"/>
      <c r="AL237" s="7"/>
      <c r="AM237" s="7"/>
      <c r="AN237" s="7"/>
      <c r="AO237" s="7"/>
      <c r="AP237" s="7" t="str" cm="1">
        <f t="array" aca="1" ref="AP237" ca="1">IF(OR('Raw Data'!AP237="",LEN(TRIM('Raw Data'!AP237))=0,Validate_Empty!AP237&lt;&gt;"",Validate_Value!AP237&lt;&gt;""),"",IF('Raw Data'!AP237=SUM('Raw Data'!AK237:AO237),"",_xlfn.REGEXEXTRACT(CELL("address",AP237), "\$([A-Z]+)\$[0-9]+")))</f>
        <v/>
      </c>
    </row>
    <row r="238" spans="2:42" x14ac:dyDescent="0.25">
      <c r="B238" s="7"/>
      <c r="C238" s="7"/>
      <c r="D238" s="7"/>
      <c r="E238" s="7"/>
      <c r="F238" s="7"/>
      <c r="G238" s="7"/>
      <c r="H238" s="7"/>
      <c r="I238" s="7"/>
      <c r="J238" s="7" t="str" cm="1">
        <f t="array" aca="1" ref="J238" ca="1">IF(OR('Raw Data'!J238="",LEN(TRIM('Raw Data'!J238))=0,Validate_Empty!J238&lt;&gt;"",Validate_Value!J238&lt;&gt;""),"",IF('Raw Data'!J238=SUM('Raw Data'!K238:N238),"",_xlfn.REGEXEXTRACT(CELL("address",J238), "\$([A-Z]+)\$[0-9]+")))</f>
        <v/>
      </c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 t="str" cm="1">
        <f t="array" aca="1" ref="Z238" ca="1">IF(OR('Raw Data'!Z238="",LEN(TRIM('Raw Data'!Z238))=0,Validate_Empty!Z238&lt;&gt;"",Validate_Value!Z238&lt;&gt;""),"",IF('Raw Data'!Z238=SUM('Raw Data'!T238:Y238),"",_xlfn.REGEXEXTRACT(CELL("address",Z238), "\$([A-Z]+)\$[0-9]+")))</f>
        <v/>
      </c>
      <c r="AA238" s="7"/>
      <c r="AB238" s="7"/>
      <c r="AC238" s="7"/>
      <c r="AD238" s="7"/>
      <c r="AE238" s="7"/>
      <c r="AF238" s="7"/>
      <c r="AG238" s="7" t="str" cm="1">
        <f t="array" aca="1" ref="AG238" ca="1">IF(OR('Raw Data'!AG238="",LEN(TRIM('Raw Data'!AG238))=0,Validate_Empty!AG238&lt;&gt;"",Validate_Value!AG238&lt;&gt;""),"",IF('Raw Data'!AG238=SUM('Raw Data'!AA238:AF238),"",_xlfn.REGEXEXTRACT(CELL("address",AG238), "\$([A-Z]+)\$[0-9]+")))</f>
        <v/>
      </c>
      <c r="AH238" s="7" t="str" cm="1">
        <f t="array" aca="1" ref="AH238" ca="1">IF(OR('Raw Data'!AH238="",LEN(TRIM('Raw Data'!AH238))=0,Validate_Empty!AH238&lt;&gt;"",Validate_Value!AH238&lt;&gt;""),"",IF(Configuration!$G$2 = Configuration!$I$2,"",_xlfn.REGEXEXTRACT(CELL("address",AH238), "\$([A-Z]+)\$[0-9]+")))</f>
        <v/>
      </c>
      <c r="AI238" s="7" t="str" cm="1">
        <f t="array" aca="1" ref="AI238" ca="1">IF(OR('Raw Data'!AI238="",LEN(TRIM('Raw Data'!AI238))=0,Validate_Empty!AI238&lt;&gt;"",Validate_Value!AI238&lt;&gt;""),"",IF(Configuration!$H$2 = Configuration!$J$2,"",_xlfn.REGEXEXTRACT(CELL("address",AI238), "\$([A-Z]+)\$[0-9]+")))</f>
        <v/>
      </c>
      <c r="AJ238" s="7"/>
      <c r="AK238" s="7"/>
      <c r="AL238" s="7"/>
      <c r="AM238" s="7"/>
      <c r="AN238" s="7"/>
      <c r="AO238" s="7"/>
      <c r="AP238" s="7" t="str" cm="1">
        <f t="array" aca="1" ref="AP238" ca="1">IF(OR('Raw Data'!AP238="",LEN(TRIM('Raw Data'!AP238))=0,Validate_Empty!AP238&lt;&gt;"",Validate_Value!AP238&lt;&gt;""),"",IF('Raw Data'!AP238=SUM('Raw Data'!AK238:AO238),"",_xlfn.REGEXEXTRACT(CELL("address",AP238), "\$([A-Z]+)\$[0-9]+")))</f>
        <v/>
      </c>
    </row>
    <row r="239" spans="2:42" x14ac:dyDescent="0.25">
      <c r="B239" s="7"/>
      <c r="C239" s="7"/>
      <c r="D239" s="7"/>
      <c r="E239" s="7"/>
      <c r="F239" s="7"/>
      <c r="G239" s="7"/>
      <c r="H239" s="7"/>
      <c r="I239" s="7"/>
      <c r="J239" s="7" t="str" cm="1">
        <f t="array" aca="1" ref="J239" ca="1">IF(OR('Raw Data'!J239="",LEN(TRIM('Raw Data'!J239))=0,Validate_Empty!J239&lt;&gt;"",Validate_Value!J239&lt;&gt;""),"",IF('Raw Data'!J239=SUM('Raw Data'!K239:N239),"",_xlfn.REGEXEXTRACT(CELL("address",J239), "\$([A-Z]+)\$[0-9]+")))</f>
        <v/>
      </c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 t="str" cm="1">
        <f t="array" aca="1" ref="Z239" ca="1">IF(OR('Raw Data'!Z239="",LEN(TRIM('Raw Data'!Z239))=0,Validate_Empty!Z239&lt;&gt;"",Validate_Value!Z239&lt;&gt;""),"",IF('Raw Data'!Z239=SUM('Raw Data'!T239:Y239),"",_xlfn.REGEXEXTRACT(CELL("address",Z239), "\$([A-Z]+)\$[0-9]+")))</f>
        <v/>
      </c>
      <c r="AA239" s="7"/>
      <c r="AB239" s="7"/>
      <c r="AC239" s="7"/>
      <c r="AD239" s="7"/>
      <c r="AE239" s="7"/>
      <c r="AF239" s="7"/>
      <c r="AG239" s="7" t="str" cm="1">
        <f t="array" aca="1" ref="AG239" ca="1">IF(OR('Raw Data'!AG239="",LEN(TRIM('Raw Data'!AG239))=0,Validate_Empty!AG239&lt;&gt;"",Validate_Value!AG239&lt;&gt;""),"",IF('Raw Data'!AG239=SUM('Raw Data'!AA239:AF239),"",_xlfn.REGEXEXTRACT(CELL("address",AG239), "\$([A-Z]+)\$[0-9]+")))</f>
        <v/>
      </c>
      <c r="AH239" s="7" t="str" cm="1">
        <f t="array" aca="1" ref="AH239" ca="1">IF(OR('Raw Data'!AH239="",LEN(TRIM('Raw Data'!AH239))=0,Validate_Empty!AH239&lt;&gt;"",Validate_Value!AH239&lt;&gt;""),"",IF(Configuration!$G$2 = Configuration!$I$2,"",_xlfn.REGEXEXTRACT(CELL("address",AH239), "\$([A-Z]+)\$[0-9]+")))</f>
        <v/>
      </c>
      <c r="AI239" s="7" t="str" cm="1">
        <f t="array" aca="1" ref="AI239" ca="1">IF(OR('Raw Data'!AI239="",LEN(TRIM('Raw Data'!AI239))=0,Validate_Empty!AI239&lt;&gt;"",Validate_Value!AI239&lt;&gt;""),"",IF(Configuration!$H$2 = Configuration!$J$2,"",_xlfn.REGEXEXTRACT(CELL("address",AI239), "\$([A-Z]+)\$[0-9]+")))</f>
        <v/>
      </c>
      <c r="AJ239" s="7"/>
      <c r="AK239" s="7"/>
      <c r="AL239" s="7"/>
      <c r="AM239" s="7"/>
      <c r="AN239" s="7"/>
      <c r="AO239" s="7"/>
      <c r="AP239" s="7" t="str" cm="1">
        <f t="array" aca="1" ref="AP239" ca="1">IF(OR('Raw Data'!AP239="",LEN(TRIM('Raw Data'!AP239))=0,Validate_Empty!AP239&lt;&gt;"",Validate_Value!AP239&lt;&gt;""),"",IF('Raw Data'!AP239=SUM('Raw Data'!AK239:AO239),"",_xlfn.REGEXEXTRACT(CELL("address",AP239), "\$([A-Z]+)\$[0-9]+")))</f>
        <v/>
      </c>
    </row>
    <row r="240" spans="2:42" x14ac:dyDescent="0.25">
      <c r="B240" s="7"/>
      <c r="C240" s="7"/>
      <c r="D240" s="7"/>
      <c r="E240" s="7"/>
      <c r="F240" s="7"/>
      <c r="G240" s="7"/>
      <c r="H240" s="7"/>
      <c r="I240" s="7"/>
      <c r="J240" s="7" t="str" cm="1">
        <f t="array" aca="1" ref="J240" ca="1">IF(OR('Raw Data'!J240="",LEN(TRIM('Raw Data'!J240))=0,Validate_Empty!J240&lt;&gt;"",Validate_Value!J240&lt;&gt;""),"",IF('Raw Data'!J240=SUM('Raw Data'!K240:N240),"",_xlfn.REGEXEXTRACT(CELL("address",J240), "\$([A-Z]+)\$[0-9]+")))</f>
        <v/>
      </c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 t="str" cm="1">
        <f t="array" aca="1" ref="Z240" ca="1">IF(OR('Raw Data'!Z240="",LEN(TRIM('Raw Data'!Z240))=0,Validate_Empty!Z240&lt;&gt;"",Validate_Value!Z240&lt;&gt;""),"",IF('Raw Data'!Z240=SUM('Raw Data'!T240:Y240),"",_xlfn.REGEXEXTRACT(CELL("address",Z240), "\$([A-Z]+)\$[0-9]+")))</f>
        <v/>
      </c>
      <c r="AA240" s="7"/>
      <c r="AB240" s="7"/>
      <c r="AC240" s="7"/>
      <c r="AD240" s="7"/>
      <c r="AE240" s="7"/>
      <c r="AF240" s="7"/>
      <c r="AG240" s="7" t="str" cm="1">
        <f t="array" aca="1" ref="AG240" ca="1">IF(OR('Raw Data'!AG240="",LEN(TRIM('Raw Data'!AG240))=0,Validate_Empty!AG240&lt;&gt;"",Validate_Value!AG240&lt;&gt;""),"",IF('Raw Data'!AG240=SUM('Raw Data'!AA240:AF240),"",_xlfn.REGEXEXTRACT(CELL("address",AG240), "\$([A-Z]+)\$[0-9]+")))</f>
        <v/>
      </c>
      <c r="AH240" s="7" t="str" cm="1">
        <f t="array" aca="1" ref="AH240" ca="1">IF(OR('Raw Data'!AH240="",LEN(TRIM('Raw Data'!AH240))=0,Validate_Empty!AH240&lt;&gt;"",Validate_Value!AH240&lt;&gt;""),"",IF(Configuration!$G$2 = Configuration!$I$2,"",_xlfn.REGEXEXTRACT(CELL("address",AH240), "\$([A-Z]+)\$[0-9]+")))</f>
        <v/>
      </c>
      <c r="AI240" s="7" t="str" cm="1">
        <f t="array" aca="1" ref="AI240" ca="1">IF(OR('Raw Data'!AI240="",LEN(TRIM('Raw Data'!AI240))=0,Validate_Empty!AI240&lt;&gt;"",Validate_Value!AI240&lt;&gt;""),"",IF(Configuration!$H$2 = Configuration!$J$2,"",_xlfn.REGEXEXTRACT(CELL("address",AI240), "\$([A-Z]+)\$[0-9]+")))</f>
        <v/>
      </c>
      <c r="AJ240" s="7"/>
      <c r="AK240" s="7"/>
      <c r="AL240" s="7"/>
      <c r="AM240" s="7"/>
      <c r="AN240" s="7"/>
      <c r="AO240" s="7"/>
      <c r="AP240" s="7" t="str" cm="1">
        <f t="array" aca="1" ref="AP240" ca="1">IF(OR('Raw Data'!AP240="",LEN(TRIM('Raw Data'!AP240))=0,Validate_Empty!AP240&lt;&gt;"",Validate_Value!AP240&lt;&gt;""),"",IF('Raw Data'!AP240=SUM('Raw Data'!AK240:AO240),"",_xlfn.REGEXEXTRACT(CELL("address",AP240), "\$([A-Z]+)\$[0-9]+")))</f>
        <v/>
      </c>
    </row>
    <row r="241" spans="2:42" x14ac:dyDescent="0.25">
      <c r="B241" s="7"/>
      <c r="C241" s="7"/>
      <c r="D241" s="7"/>
      <c r="E241" s="7"/>
      <c r="F241" s="7"/>
      <c r="G241" s="7"/>
      <c r="H241" s="7"/>
      <c r="I241" s="7"/>
      <c r="J241" s="7" t="str" cm="1">
        <f t="array" aca="1" ref="J241" ca="1">IF(OR('Raw Data'!J241="",LEN(TRIM('Raw Data'!J241))=0,Validate_Empty!J241&lt;&gt;"",Validate_Value!J241&lt;&gt;""),"",IF('Raw Data'!J241=SUM('Raw Data'!K241:N241),"",_xlfn.REGEXEXTRACT(CELL("address",J241), "\$([A-Z]+)\$[0-9]+")))</f>
        <v/>
      </c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 t="str" cm="1">
        <f t="array" aca="1" ref="Z241" ca="1">IF(OR('Raw Data'!Z241="",LEN(TRIM('Raw Data'!Z241))=0,Validate_Empty!Z241&lt;&gt;"",Validate_Value!Z241&lt;&gt;""),"",IF('Raw Data'!Z241=SUM('Raw Data'!T241:Y241),"",_xlfn.REGEXEXTRACT(CELL("address",Z241), "\$([A-Z]+)\$[0-9]+")))</f>
        <v/>
      </c>
      <c r="AA241" s="7"/>
      <c r="AB241" s="7"/>
      <c r="AC241" s="7"/>
      <c r="AD241" s="7"/>
      <c r="AE241" s="7"/>
      <c r="AF241" s="7"/>
      <c r="AG241" s="7" t="str" cm="1">
        <f t="array" aca="1" ref="AG241" ca="1">IF(OR('Raw Data'!AG241="",LEN(TRIM('Raw Data'!AG241))=0,Validate_Empty!AG241&lt;&gt;"",Validate_Value!AG241&lt;&gt;""),"",IF('Raw Data'!AG241=SUM('Raw Data'!AA241:AF241),"",_xlfn.REGEXEXTRACT(CELL("address",AG241), "\$([A-Z]+)\$[0-9]+")))</f>
        <v/>
      </c>
      <c r="AH241" s="7" t="str" cm="1">
        <f t="array" aca="1" ref="AH241" ca="1">IF(OR('Raw Data'!AH241="",LEN(TRIM('Raw Data'!AH241))=0,Validate_Empty!AH241&lt;&gt;"",Validate_Value!AH241&lt;&gt;""),"",IF(Configuration!$G$2 = Configuration!$I$2,"",_xlfn.REGEXEXTRACT(CELL("address",AH241), "\$([A-Z]+)\$[0-9]+")))</f>
        <v/>
      </c>
      <c r="AI241" s="7" t="str" cm="1">
        <f t="array" aca="1" ref="AI241" ca="1">IF(OR('Raw Data'!AI241="",LEN(TRIM('Raw Data'!AI241))=0,Validate_Empty!AI241&lt;&gt;"",Validate_Value!AI241&lt;&gt;""),"",IF(Configuration!$H$2 = Configuration!$J$2,"",_xlfn.REGEXEXTRACT(CELL("address",AI241), "\$([A-Z]+)\$[0-9]+")))</f>
        <v/>
      </c>
      <c r="AJ241" s="7"/>
      <c r="AK241" s="7"/>
      <c r="AL241" s="7"/>
      <c r="AM241" s="7"/>
      <c r="AN241" s="7"/>
      <c r="AO241" s="7"/>
      <c r="AP241" s="7" t="str" cm="1">
        <f t="array" aca="1" ref="AP241" ca="1">IF(OR('Raw Data'!AP241="",LEN(TRIM('Raw Data'!AP241))=0,Validate_Empty!AP241&lt;&gt;"",Validate_Value!AP241&lt;&gt;""),"",IF('Raw Data'!AP241=SUM('Raw Data'!AK241:AO241),"",_xlfn.REGEXEXTRACT(CELL("address",AP241), "\$([A-Z]+)\$[0-9]+")))</f>
        <v/>
      </c>
    </row>
    <row r="242" spans="2:42" x14ac:dyDescent="0.25">
      <c r="B242" s="7"/>
      <c r="C242" s="7"/>
      <c r="D242" s="7"/>
      <c r="E242" s="7"/>
      <c r="F242" s="7"/>
      <c r="G242" s="7"/>
      <c r="H242" s="7"/>
      <c r="I242" s="7"/>
      <c r="J242" s="7" t="str" cm="1">
        <f t="array" aca="1" ref="J242" ca="1">IF(OR('Raw Data'!J242="",LEN(TRIM('Raw Data'!J242))=0,Validate_Empty!J242&lt;&gt;"",Validate_Value!J242&lt;&gt;""),"",IF('Raw Data'!J242=SUM('Raw Data'!K242:N242),"",_xlfn.REGEXEXTRACT(CELL("address",J242), "\$([A-Z]+)\$[0-9]+")))</f>
        <v/>
      </c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 t="str" cm="1">
        <f t="array" aca="1" ref="Z242" ca="1">IF(OR('Raw Data'!Z242="",LEN(TRIM('Raw Data'!Z242))=0,Validate_Empty!Z242&lt;&gt;"",Validate_Value!Z242&lt;&gt;""),"",IF('Raw Data'!Z242=SUM('Raw Data'!T242:Y242),"",_xlfn.REGEXEXTRACT(CELL("address",Z242), "\$([A-Z]+)\$[0-9]+")))</f>
        <v/>
      </c>
      <c r="AA242" s="7"/>
      <c r="AB242" s="7"/>
      <c r="AC242" s="7"/>
      <c r="AD242" s="7"/>
      <c r="AE242" s="7"/>
      <c r="AF242" s="7"/>
      <c r="AG242" s="7" t="str" cm="1">
        <f t="array" aca="1" ref="AG242" ca="1">IF(OR('Raw Data'!AG242="",LEN(TRIM('Raw Data'!AG242))=0,Validate_Empty!AG242&lt;&gt;"",Validate_Value!AG242&lt;&gt;""),"",IF('Raw Data'!AG242=SUM('Raw Data'!AA242:AF242),"",_xlfn.REGEXEXTRACT(CELL("address",AG242), "\$([A-Z]+)\$[0-9]+")))</f>
        <v/>
      </c>
      <c r="AH242" s="7" t="str" cm="1">
        <f t="array" aca="1" ref="AH242" ca="1">IF(OR('Raw Data'!AH242="",LEN(TRIM('Raw Data'!AH242))=0,Validate_Empty!AH242&lt;&gt;"",Validate_Value!AH242&lt;&gt;""),"",IF(Configuration!$G$2 = Configuration!$I$2,"",_xlfn.REGEXEXTRACT(CELL("address",AH242), "\$([A-Z]+)\$[0-9]+")))</f>
        <v/>
      </c>
      <c r="AI242" s="7" t="str" cm="1">
        <f t="array" aca="1" ref="AI242" ca="1">IF(OR('Raw Data'!AI242="",LEN(TRIM('Raw Data'!AI242))=0,Validate_Empty!AI242&lt;&gt;"",Validate_Value!AI242&lt;&gt;""),"",IF(Configuration!$H$2 = Configuration!$J$2,"",_xlfn.REGEXEXTRACT(CELL("address",AI242), "\$([A-Z]+)\$[0-9]+")))</f>
        <v/>
      </c>
      <c r="AJ242" s="7"/>
      <c r="AK242" s="7"/>
      <c r="AL242" s="7"/>
      <c r="AM242" s="7"/>
      <c r="AN242" s="7"/>
      <c r="AO242" s="7"/>
      <c r="AP242" s="7" t="str" cm="1">
        <f t="array" aca="1" ref="AP242" ca="1">IF(OR('Raw Data'!AP242="",LEN(TRIM('Raw Data'!AP242))=0,Validate_Empty!AP242&lt;&gt;"",Validate_Value!AP242&lt;&gt;""),"",IF('Raw Data'!AP242=SUM('Raw Data'!AK242:AO242),"",_xlfn.REGEXEXTRACT(CELL("address",AP242), "\$([A-Z]+)\$[0-9]+")))</f>
        <v/>
      </c>
    </row>
    <row r="243" spans="2:42" x14ac:dyDescent="0.25">
      <c r="B243" s="7"/>
      <c r="C243" s="7"/>
      <c r="D243" s="7"/>
      <c r="E243" s="7"/>
      <c r="F243" s="7"/>
      <c r="G243" s="7"/>
      <c r="H243" s="7"/>
      <c r="I243" s="7"/>
      <c r="J243" s="7" t="str" cm="1">
        <f t="array" aca="1" ref="J243" ca="1">IF(OR('Raw Data'!J243="",LEN(TRIM('Raw Data'!J243))=0,Validate_Empty!J243&lt;&gt;"",Validate_Value!J243&lt;&gt;""),"",IF('Raw Data'!J243=SUM('Raw Data'!K243:N243),"",_xlfn.REGEXEXTRACT(CELL("address",J243), "\$([A-Z]+)\$[0-9]+")))</f>
        <v/>
      </c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 t="str" cm="1">
        <f t="array" aca="1" ref="Z243" ca="1">IF(OR('Raw Data'!Z243="",LEN(TRIM('Raw Data'!Z243))=0,Validate_Empty!Z243&lt;&gt;"",Validate_Value!Z243&lt;&gt;""),"",IF('Raw Data'!Z243=SUM('Raw Data'!T243:Y243),"",_xlfn.REGEXEXTRACT(CELL("address",Z243), "\$([A-Z]+)\$[0-9]+")))</f>
        <v/>
      </c>
      <c r="AA243" s="7"/>
      <c r="AB243" s="7"/>
      <c r="AC243" s="7"/>
      <c r="AD243" s="7"/>
      <c r="AE243" s="7"/>
      <c r="AF243" s="7"/>
      <c r="AG243" s="7" t="str" cm="1">
        <f t="array" aca="1" ref="AG243" ca="1">IF(OR('Raw Data'!AG243="",LEN(TRIM('Raw Data'!AG243))=0,Validate_Empty!AG243&lt;&gt;"",Validate_Value!AG243&lt;&gt;""),"",IF('Raw Data'!AG243=SUM('Raw Data'!AA243:AF243),"",_xlfn.REGEXEXTRACT(CELL("address",AG243), "\$([A-Z]+)\$[0-9]+")))</f>
        <v/>
      </c>
      <c r="AH243" s="7" t="str" cm="1">
        <f t="array" aca="1" ref="AH243" ca="1">IF(OR('Raw Data'!AH243="",LEN(TRIM('Raw Data'!AH243))=0,Validate_Empty!AH243&lt;&gt;"",Validate_Value!AH243&lt;&gt;""),"",IF(Configuration!$G$2 = Configuration!$I$2,"",_xlfn.REGEXEXTRACT(CELL("address",AH243), "\$([A-Z]+)\$[0-9]+")))</f>
        <v/>
      </c>
      <c r="AI243" s="7" t="str" cm="1">
        <f t="array" aca="1" ref="AI243" ca="1">IF(OR('Raw Data'!AI243="",LEN(TRIM('Raw Data'!AI243))=0,Validate_Empty!AI243&lt;&gt;"",Validate_Value!AI243&lt;&gt;""),"",IF(Configuration!$H$2 = Configuration!$J$2,"",_xlfn.REGEXEXTRACT(CELL("address",AI243), "\$([A-Z]+)\$[0-9]+")))</f>
        <v/>
      </c>
      <c r="AJ243" s="7"/>
      <c r="AK243" s="7"/>
      <c r="AL243" s="7"/>
      <c r="AM243" s="7"/>
      <c r="AN243" s="7"/>
      <c r="AO243" s="7"/>
      <c r="AP243" s="7" t="str" cm="1">
        <f t="array" aca="1" ref="AP243" ca="1">IF(OR('Raw Data'!AP243="",LEN(TRIM('Raw Data'!AP243))=0,Validate_Empty!AP243&lt;&gt;"",Validate_Value!AP243&lt;&gt;""),"",IF('Raw Data'!AP243=SUM('Raw Data'!AK243:AO243),"",_xlfn.REGEXEXTRACT(CELL("address",AP243), "\$([A-Z]+)\$[0-9]+")))</f>
        <v/>
      </c>
    </row>
    <row r="244" spans="2:42" x14ac:dyDescent="0.25">
      <c r="B244" s="7"/>
      <c r="C244" s="7"/>
      <c r="D244" s="7"/>
      <c r="E244" s="7"/>
      <c r="F244" s="7"/>
      <c r="G244" s="7"/>
      <c r="H244" s="7"/>
      <c r="I244" s="7"/>
      <c r="J244" s="7" t="str" cm="1">
        <f t="array" aca="1" ref="J244" ca="1">IF(OR('Raw Data'!J244="",LEN(TRIM('Raw Data'!J244))=0,Validate_Empty!J244&lt;&gt;"",Validate_Value!J244&lt;&gt;""),"",IF('Raw Data'!J244=SUM('Raw Data'!K244:N244),"",_xlfn.REGEXEXTRACT(CELL("address",J244), "\$([A-Z]+)\$[0-9]+")))</f>
        <v/>
      </c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 t="str" cm="1">
        <f t="array" aca="1" ref="Z244" ca="1">IF(OR('Raw Data'!Z244="",LEN(TRIM('Raw Data'!Z244))=0,Validate_Empty!Z244&lt;&gt;"",Validate_Value!Z244&lt;&gt;""),"",IF('Raw Data'!Z244=SUM('Raw Data'!T244:Y244),"",_xlfn.REGEXEXTRACT(CELL("address",Z244), "\$([A-Z]+)\$[0-9]+")))</f>
        <v/>
      </c>
      <c r="AA244" s="7"/>
      <c r="AB244" s="7"/>
      <c r="AC244" s="7"/>
      <c r="AD244" s="7"/>
      <c r="AE244" s="7"/>
      <c r="AF244" s="7"/>
      <c r="AG244" s="7" t="str" cm="1">
        <f t="array" aca="1" ref="AG244" ca="1">IF(OR('Raw Data'!AG244="",LEN(TRIM('Raw Data'!AG244))=0,Validate_Empty!AG244&lt;&gt;"",Validate_Value!AG244&lt;&gt;""),"",IF('Raw Data'!AG244=SUM('Raw Data'!AA244:AF244),"",_xlfn.REGEXEXTRACT(CELL("address",AG244), "\$([A-Z]+)\$[0-9]+")))</f>
        <v/>
      </c>
      <c r="AH244" s="7" t="str" cm="1">
        <f t="array" aca="1" ref="AH244" ca="1">IF(OR('Raw Data'!AH244="",LEN(TRIM('Raw Data'!AH244))=0,Validate_Empty!AH244&lt;&gt;"",Validate_Value!AH244&lt;&gt;""),"",IF(Configuration!$G$2 = Configuration!$I$2,"",_xlfn.REGEXEXTRACT(CELL("address",AH244), "\$([A-Z]+)\$[0-9]+")))</f>
        <v/>
      </c>
      <c r="AI244" s="7" t="str" cm="1">
        <f t="array" aca="1" ref="AI244" ca="1">IF(OR('Raw Data'!AI244="",LEN(TRIM('Raw Data'!AI244))=0,Validate_Empty!AI244&lt;&gt;"",Validate_Value!AI244&lt;&gt;""),"",IF(Configuration!$H$2 = Configuration!$J$2,"",_xlfn.REGEXEXTRACT(CELL("address",AI244), "\$([A-Z]+)\$[0-9]+")))</f>
        <v/>
      </c>
      <c r="AJ244" s="7"/>
      <c r="AK244" s="7"/>
      <c r="AL244" s="7"/>
      <c r="AM244" s="7"/>
      <c r="AN244" s="7"/>
      <c r="AO244" s="7"/>
      <c r="AP244" s="7" t="str" cm="1">
        <f t="array" aca="1" ref="AP244" ca="1">IF(OR('Raw Data'!AP244="",LEN(TRIM('Raw Data'!AP244))=0,Validate_Empty!AP244&lt;&gt;"",Validate_Value!AP244&lt;&gt;""),"",IF('Raw Data'!AP244=SUM('Raw Data'!AK244:AO244),"",_xlfn.REGEXEXTRACT(CELL("address",AP244), "\$([A-Z]+)\$[0-9]+")))</f>
        <v/>
      </c>
    </row>
    <row r="245" spans="2:42" x14ac:dyDescent="0.25">
      <c r="B245" s="7"/>
      <c r="C245" s="7"/>
      <c r="D245" s="7"/>
      <c r="E245" s="7"/>
      <c r="F245" s="7"/>
      <c r="G245" s="7"/>
      <c r="H245" s="7"/>
      <c r="I245" s="7"/>
      <c r="J245" s="7" t="str" cm="1">
        <f t="array" aca="1" ref="J245" ca="1">IF(OR('Raw Data'!J245="",LEN(TRIM('Raw Data'!J245))=0,Validate_Empty!J245&lt;&gt;"",Validate_Value!J245&lt;&gt;""),"",IF('Raw Data'!J245=SUM('Raw Data'!K245:N245),"",_xlfn.REGEXEXTRACT(CELL("address",J245), "\$([A-Z]+)\$[0-9]+")))</f>
        <v/>
      </c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 t="str" cm="1">
        <f t="array" aca="1" ref="Z245" ca="1">IF(OR('Raw Data'!Z245="",LEN(TRIM('Raw Data'!Z245))=0,Validate_Empty!Z245&lt;&gt;"",Validate_Value!Z245&lt;&gt;""),"",IF('Raw Data'!Z245=SUM('Raw Data'!T245:Y245),"",_xlfn.REGEXEXTRACT(CELL("address",Z245), "\$([A-Z]+)\$[0-9]+")))</f>
        <v/>
      </c>
      <c r="AA245" s="7"/>
      <c r="AB245" s="7"/>
      <c r="AC245" s="7"/>
      <c r="AD245" s="7"/>
      <c r="AE245" s="7"/>
      <c r="AF245" s="7"/>
      <c r="AG245" s="7" t="str" cm="1">
        <f t="array" aca="1" ref="AG245" ca="1">IF(OR('Raw Data'!AG245="",LEN(TRIM('Raw Data'!AG245))=0,Validate_Empty!AG245&lt;&gt;"",Validate_Value!AG245&lt;&gt;""),"",IF('Raw Data'!AG245=SUM('Raw Data'!AA245:AF245),"",_xlfn.REGEXEXTRACT(CELL("address",AG245), "\$([A-Z]+)\$[0-9]+")))</f>
        <v/>
      </c>
      <c r="AH245" s="7" t="str" cm="1">
        <f t="array" aca="1" ref="AH245" ca="1">IF(OR('Raw Data'!AH245="",LEN(TRIM('Raw Data'!AH245))=0,Validate_Empty!AH245&lt;&gt;"",Validate_Value!AH245&lt;&gt;""),"",IF(Configuration!$G$2 = Configuration!$I$2,"",_xlfn.REGEXEXTRACT(CELL("address",AH245), "\$([A-Z]+)\$[0-9]+")))</f>
        <v/>
      </c>
      <c r="AI245" s="7" t="str" cm="1">
        <f t="array" aca="1" ref="AI245" ca="1">IF(OR('Raw Data'!AI245="",LEN(TRIM('Raw Data'!AI245))=0,Validate_Empty!AI245&lt;&gt;"",Validate_Value!AI245&lt;&gt;""),"",IF(Configuration!$H$2 = Configuration!$J$2,"",_xlfn.REGEXEXTRACT(CELL("address",AI245), "\$([A-Z]+)\$[0-9]+")))</f>
        <v/>
      </c>
      <c r="AJ245" s="7"/>
      <c r="AK245" s="7"/>
      <c r="AL245" s="7"/>
      <c r="AM245" s="7"/>
      <c r="AN245" s="7"/>
      <c r="AO245" s="7"/>
      <c r="AP245" s="7" t="str" cm="1">
        <f t="array" aca="1" ref="AP245" ca="1">IF(OR('Raw Data'!AP245="",LEN(TRIM('Raw Data'!AP245))=0,Validate_Empty!AP245&lt;&gt;"",Validate_Value!AP245&lt;&gt;""),"",IF('Raw Data'!AP245=SUM('Raw Data'!AK245:AO245),"",_xlfn.REGEXEXTRACT(CELL("address",AP245), "\$([A-Z]+)\$[0-9]+")))</f>
        <v/>
      </c>
    </row>
    <row r="246" spans="2:42" x14ac:dyDescent="0.25">
      <c r="B246" s="7"/>
      <c r="C246" s="7"/>
      <c r="D246" s="7"/>
      <c r="E246" s="7"/>
      <c r="F246" s="7"/>
      <c r="G246" s="7"/>
      <c r="H246" s="7"/>
      <c r="I246" s="7"/>
      <c r="J246" s="7" t="str" cm="1">
        <f t="array" aca="1" ref="J246" ca="1">IF(OR('Raw Data'!J246="",LEN(TRIM('Raw Data'!J246))=0,Validate_Empty!J246&lt;&gt;"",Validate_Value!J246&lt;&gt;""),"",IF('Raw Data'!J246=SUM('Raw Data'!K246:N246),"",_xlfn.REGEXEXTRACT(CELL("address",J246), "\$([A-Z]+)\$[0-9]+")))</f>
        <v/>
      </c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 t="str" cm="1">
        <f t="array" aca="1" ref="Z246" ca="1">IF(OR('Raw Data'!Z246="",LEN(TRIM('Raw Data'!Z246))=0,Validate_Empty!Z246&lt;&gt;"",Validate_Value!Z246&lt;&gt;""),"",IF('Raw Data'!Z246=SUM('Raw Data'!T246:Y246),"",_xlfn.REGEXEXTRACT(CELL("address",Z246), "\$([A-Z]+)\$[0-9]+")))</f>
        <v/>
      </c>
      <c r="AA246" s="7"/>
      <c r="AB246" s="7"/>
      <c r="AC246" s="7"/>
      <c r="AD246" s="7"/>
      <c r="AE246" s="7"/>
      <c r="AF246" s="7"/>
      <c r="AG246" s="7" t="str" cm="1">
        <f t="array" aca="1" ref="AG246" ca="1">IF(OR('Raw Data'!AG246="",LEN(TRIM('Raw Data'!AG246))=0,Validate_Empty!AG246&lt;&gt;"",Validate_Value!AG246&lt;&gt;""),"",IF('Raw Data'!AG246=SUM('Raw Data'!AA246:AF246),"",_xlfn.REGEXEXTRACT(CELL("address",AG246), "\$([A-Z]+)\$[0-9]+")))</f>
        <v/>
      </c>
      <c r="AH246" s="7" t="str" cm="1">
        <f t="array" aca="1" ref="AH246" ca="1">IF(OR('Raw Data'!AH246="",LEN(TRIM('Raw Data'!AH246))=0,Validate_Empty!AH246&lt;&gt;"",Validate_Value!AH246&lt;&gt;""),"",IF(Configuration!$G$2 = Configuration!$I$2,"",_xlfn.REGEXEXTRACT(CELL("address",AH246), "\$([A-Z]+)\$[0-9]+")))</f>
        <v/>
      </c>
      <c r="AI246" s="7" t="str" cm="1">
        <f t="array" aca="1" ref="AI246" ca="1">IF(OR('Raw Data'!AI246="",LEN(TRIM('Raw Data'!AI246))=0,Validate_Empty!AI246&lt;&gt;"",Validate_Value!AI246&lt;&gt;""),"",IF(Configuration!$H$2 = Configuration!$J$2,"",_xlfn.REGEXEXTRACT(CELL("address",AI246), "\$([A-Z]+)\$[0-9]+")))</f>
        <v/>
      </c>
      <c r="AJ246" s="7"/>
      <c r="AK246" s="7"/>
      <c r="AL246" s="7"/>
      <c r="AM246" s="7"/>
      <c r="AN246" s="7"/>
      <c r="AO246" s="7"/>
      <c r="AP246" s="7" t="str" cm="1">
        <f t="array" aca="1" ref="AP246" ca="1">IF(OR('Raw Data'!AP246="",LEN(TRIM('Raw Data'!AP246))=0,Validate_Empty!AP246&lt;&gt;"",Validate_Value!AP246&lt;&gt;""),"",IF('Raw Data'!AP246=SUM('Raw Data'!AK246:AO246),"",_xlfn.REGEXEXTRACT(CELL("address",AP246), "\$([A-Z]+)\$[0-9]+")))</f>
        <v/>
      </c>
    </row>
    <row r="247" spans="2:42" x14ac:dyDescent="0.25">
      <c r="B247" s="7"/>
      <c r="C247" s="7"/>
      <c r="D247" s="7"/>
      <c r="E247" s="7"/>
      <c r="F247" s="7"/>
      <c r="G247" s="7"/>
      <c r="H247" s="7"/>
      <c r="I247" s="7"/>
      <c r="J247" s="7" t="str" cm="1">
        <f t="array" aca="1" ref="J247" ca="1">IF(OR('Raw Data'!J247="",LEN(TRIM('Raw Data'!J247))=0,Validate_Empty!J247&lt;&gt;"",Validate_Value!J247&lt;&gt;""),"",IF('Raw Data'!J247=SUM('Raw Data'!K247:N247),"",_xlfn.REGEXEXTRACT(CELL("address",J247), "\$([A-Z]+)\$[0-9]+")))</f>
        <v/>
      </c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 t="str" cm="1">
        <f t="array" aca="1" ref="Z247" ca="1">IF(OR('Raw Data'!Z247="",LEN(TRIM('Raw Data'!Z247))=0,Validate_Empty!Z247&lt;&gt;"",Validate_Value!Z247&lt;&gt;""),"",IF('Raw Data'!Z247=SUM('Raw Data'!T247:Y247),"",_xlfn.REGEXEXTRACT(CELL("address",Z247), "\$([A-Z]+)\$[0-9]+")))</f>
        <v/>
      </c>
      <c r="AA247" s="7"/>
      <c r="AB247" s="7"/>
      <c r="AC247" s="7"/>
      <c r="AD247" s="7"/>
      <c r="AE247" s="7"/>
      <c r="AF247" s="7"/>
      <c r="AG247" s="7" t="str" cm="1">
        <f t="array" aca="1" ref="AG247" ca="1">IF(OR('Raw Data'!AG247="",LEN(TRIM('Raw Data'!AG247))=0,Validate_Empty!AG247&lt;&gt;"",Validate_Value!AG247&lt;&gt;""),"",IF('Raw Data'!AG247=SUM('Raw Data'!AA247:AF247),"",_xlfn.REGEXEXTRACT(CELL("address",AG247), "\$([A-Z]+)\$[0-9]+")))</f>
        <v/>
      </c>
      <c r="AH247" s="7" t="str" cm="1">
        <f t="array" aca="1" ref="AH247" ca="1">IF(OR('Raw Data'!AH247="",LEN(TRIM('Raw Data'!AH247))=0,Validate_Empty!AH247&lt;&gt;"",Validate_Value!AH247&lt;&gt;""),"",IF(Configuration!$G$2 = Configuration!$I$2,"",_xlfn.REGEXEXTRACT(CELL("address",AH247), "\$([A-Z]+)\$[0-9]+")))</f>
        <v/>
      </c>
      <c r="AI247" s="7" t="str" cm="1">
        <f t="array" aca="1" ref="AI247" ca="1">IF(OR('Raw Data'!AI247="",LEN(TRIM('Raw Data'!AI247))=0,Validate_Empty!AI247&lt;&gt;"",Validate_Value!AI247&lt;&gt;""),"",IF(Configuration!$H$2 = Configuration!$J$2,"",_xlfn.REGEXEXTRACT(CELL("address",AI247), "\$([A-Z]+)\$[0-9]+")))</f>
        <v/>
      </c>
      <c r="AJ247" s="7"/>
      <c r="AK247" s="7"/>
      <c r="AL247" s="7"/>
      <c r="AM247" s="7"/>
      <c r="AN247" s="7"/>
      <c r="AO247" s="7"/>
      <c r="AP247" s="7" t="str" cm="1">
        <f t="array" aca="1" ref="AP247" ca="1">IF(OR('Raw Data'!AP247="",LEN(TRIM('Raw Data'!AP247))=0,Validate_Empty!AP247&lt;&gt;"",Validate_Value!AP247&lt;&gt;""),"",IF('Raw Data'!AP247=SUM('Raw Data'!AK247:AO247),"",_xlfn.REGEXEXTRACT(CELL("address",AP247), "\$([A-Z]+)\$[0-9]+")))</f>
        <v/>
      </c>
    </row>
    <row r="248" spans="2:42" x14ac:dyDescent="0.25">
      <c r="B248" s="7"/>
      <c r="C248" s="7"/>
      <c r="D248" s="7"/>
      <c r="E248" s="7"/>
      <c r="F248" s="7"/>
      <c r="G248" s="7"/>
      <c r="H248" s="7"/>
      <c r="I248" s="7"/>
      <c r="J248" s="7" t="str" cm="1">
        <f t="array" aca="1" ref="J248" ca="1">IF(OR('Raw Data'!J248="",LEN(TRIM('Raw Data'!J248))=0,Validate_Empty!J248&lt;&gt;"",Validate_Value!J248&lt;&gt;""),"",IF('Raw Data'!J248=SUM('Raw Data'!K248:N248),"",_xlfn.REGEXEXTRACT(CELL("address",J248), "\$([A-Z]+)\$[0-9]+")))</f>
        <v/>
      </c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 t="str" cm="1">
        <f t="array" aca="1" ref="Z248" ca="1">IF(OR('Raw Data'!Z248="",LEN(TRIM('Raw Data'!Z248))=0,Validate_Empty!Z248&lt;&gt;"",Validate_Value!Z248&lt;&gt;""),"",IF('Raw Data'!Z248=SUM('Raw Data'!T248:Y248),"",_xlfn.REGEXEXTRACT(CELL("address",Z248), "\$([A-Z]+)\$[0-9]+")))</f>
        <v/>
      </c>
      <c r="AA248" s="7"/>
      <c r="AB248" s="7"/>
      <c r="AC248" s="7"/>
      <c r="AD248" s="7"/>
      <c r="AE248" s="7"/>
      <c r="AF248" s="7"/>
      <c r="AG248" s="7" t="str" cm="1">
        <f t="array" aca="1" ref="AG248" ca="1">IF(OR('Raw Data'!AG248="",LEN(TRIM('Raw Data'!AG248))=0,Validate_Empty!AG248&lt;&gt;"",Validate_Value!AG248&lt;&gt;""),"",IF('Raw Data'!AG248=SUM('Raw Data'!AA248:AF248),"",_xlfn.REGEXEXTRACT(CELL("address",AG248), "\$([A-Z]+)\$[0-9]+")))</f>
        <v/>
      </c>
      <c r="AH248" s="7" t="str" cm="1">
        <f t="array" aca="1" ref="AH248" ca="1">IF(OR('Raw Data'!AH248="",LEN(TRIM('Raw Data'!AH248))=0,Validate_Empty!AH248&lt;&gt;"",Validate_Value!AH248&lt;&gt;""),"",IF(Configuration!$G$2 = Configuration!$I$2,"",_xlfn.REGEXEXTRACT(CELL("address",AH248), "\$([A-Z]+)\$[0-9]+")))</f>
        <v/>
      </c>
      <c r="AI248" s="7" t="str" cm="1">
        <f t="array" aca="1" ref="AI248" ca="1">IF(OR('Raw Data'!AI248="",LEN(TRIM('Raw Data'!AI248))=0,Validate_Empty!AI248&lt;&gt;"",Validate_Value!AI248&lt;&gt;""),"",IF(Configuration!$H$2 = Configuration!$J$2,"",_xlfn.REGEXEXTRACT(CELL("address",AI248), "\$([A-Z]+)\$[0-9]+")))</f>
        <v/>
      </c>
      <c r="AJ248" s="7"/>
      <c r="AK248" s="7"/>
      <c r="AL248" s="7"/>
      <c r="AM248" s="7"/>
      <c r="AN248" s="7"/>
      <c r="AO248" s="7"/>
      <c r="AP248" s="7" t="str" cm="1">
        <f t="array" aca="1" ref="AP248" ca="1">IF(OR('Raw Data'!AP248="",LEN(TRIM('Raw Data'!AP248))=0,Validate_Empty!AP248&lt;&gt;"",Validate_Value!AP248&lt;&gt;""),"",IF('Raw Data'!AP248=SUM('Raw Data'!AK248:AO248),"",_xlfn.REGEXEXTRACT(CELL("address",AP248), "\$([A-Z]+)\$[0-9]+")))</f>
        <v/>
      </c>
    </row>
    <row r="249" spans="2:42" x14ac:dyDescent="0.25">
      <c r="B249" s="7"/>
      <c r="C249" s="7"/>
      <c r="D249" s="7"/>
      <c r="E249" s="7"/>
      <c r="F249" s="7"/>
      <c r="G249" s="7"/>
      <c r="H249" s="7"/>
      <c r="I249" s="7"/>
      <c r="J249" s="7" t="str" cm="1">
        <f t="array" aca="1" ref="J249" ca="1">IF(OR('Raw Data'!J249="",LEN(TRIM('Raw Data'!J249))=0,Validate_Empty!J249&lt;&gt;"",Validate_Value!J249&lt;&gt;""),"",IF('Raw Data'!J249=SUM('Raw Data'!K249:N249),"",_xlfn.REGEXEXTRACT(CELL("address",J249), "\$([A-Z]+)\$[0-9]+")))</f>
        <v/>
      </c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 t="str" cm="1">
        <f t="array" aca="1" ref="Z249" ca="1">IF(OR('Raw Data'!Z249="",LEN(TRIM('Raw Data'!Z249))=0,Validate_Empty!Z249&lt;&gt;"",Validate_Value!Z249&lt;&gt;""),"",IF('Raw Data'!Z249=SUM('Raw Data'!T249:Y249),"",_xlfn.REGEXEXTRACT(CELL("address",Z249), "\$([A-Z]+)\$[0-9]+")))</f>
        <v/>
      </c>
      <c r="AA249" s="7"/>
      <c r="AB249" s="7"/>
      <c r="AC249" s="7"/>
      <c r="AD249" s="7"/>
      <c r="AE249" s="7"/>
      <c r="AF249" s="7"/>
      <c r="AG249" s="7" t="str" cm="1">
        <f t="array" aca="1" ref="AG249" ca="1">IF(OR('Raw Data'!AG249="",LEN(TRIM('Raw Data'!AG249))=0,Validate_Empty!AG249&lt;&gt;"",Validate_Value!AG249&lt;&gt;""),"",IF('Raw Data'!AG249=SUM('Raw Data'!AA249:AF249),"",_xlfn.REGEXEXTRACT(CELL("address",AG249), "\$([A-Z]+)\$[0-9]+")))</f>
        <v/>
      </c>
      <c r="AH249" s="7" t="str" cm="1">
        <f t="array" aca="1" ref="AH249" ca="1">IF(OR('Raw Data'!AH249="",LEN(TRIM('Raw Data'!AH249))=0,Validate_Empty!AH249&lt;&gt;"",Validate_Value!AH249&lt;&gt;""),"",IF(Configuration!$G$2 = Configuration!$I$2,"",_xlfn.REGEXEXTRACT(CELL("address",AH249), "\$([A-Z]+)\$[0-9]+")))</f>
        <v/>
      </c>
      <c r="AI249" s="7" t="str" cm="1">
        <f t="array" aca="1" ref="AI249" ca="1">IF(OR('Raw Data'!AI249="",LEN(TRIM('Raw Data'!AI249))=0,Validate_Empty!AI249&lt;&gt;"",Validate_Value!AI249&lt;&gt;""),"",IF(Configuration!$H$2 = Configuration!$J$2,"",_xlfn.REGEXEXTRACT(CELL("address",AI249), "\$([A-Z]+)\$[0-9]+")))</f>
        <v/>
      </c>
      <c r="AJ249" s="7"/>
      <c r="AK249" s="7"/>
      <c r="AL249" s="7"/>
      <c r="AM249" s="7"/>
      <c r="AN249" s="7"/>
      <c r="AO249" s="7"/>
      <c r="AP249" s="7" t="str" cm="1">
        <f t="array" aca="1" ref="AP249" ca="1">IF(OR('Raw Data'!AP249="",LEN(TRIM('Raw Data'!AP249))=0,Validate_Empty!AP249&lt;&gt;"",Validate_Value!AP249&lt;&gt;""),"",IF('Raw Data'!AP249=SUM('Raw Data'!AK249:AO249),"",_xlfn.REGEXEXTRACT(CELL("address",AP249), "\$([A-Z]+)\$[0-9]+")))</f>
        <v/>
      </c>
    </row>
    <row r="250" spans="2:42" x14ac:dyDescent="0.25">
      <c r="B250" s="7"/>
      <c r="C250" s="7"/>
      <c r="D250" s="7"/>
      <c r="E250" s="7"/>
      <c r="F250" s="7"/>
      <c r="G250" s="7"/>
      <c r="H250" s="7"/>
      <c r="I250" s="7"/>
      <c r="J250" s="7" t="str" cm="1">
        <f t="array" aca="1" ref="J250" ca="1">IF(OR('Raw Data'!J250="",LEN(TRIM('Raw Data'!J250))=0,Validate_Empty!J250&lt;&gt;"",Validate_Value!J250&lt;&gt;""),"",IF('Raw Data'!J250=SUM('Raw Data'!K250:N250),"",_xlfn.REGEXEXTRACT(CELL("address",J250), "\$([A-Z]+)\$[0-9]+")))</f>
        <v/>
      </c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 t="str" cm="1">
        <f t="array" aca="1" ref="Z250" ca="1">IF(OR('Raw Data'!Z250="",LEN(TRIM('Raw Data'!Z250))=0,Validate_Empty!Z250&lt;&gt;"",Validate_Value!Z250&lt;&gt;""),"",IF('Raw Data'!Z250=SUM('Raw Data'!T250:Y250),"",_xlfn.REGEXEXTRACT(CELL("address",Z250), "\$([A-Z]+)\$[0-9]+")))</f>
        <v/>
      </c>
      <c r="AA250" s="7"/>
      <c r="AB250" s="7"/>
      <c r="AC250" s="7"/>
      <c r="AD250" s="7"/>
      <c r="AE250" s="7"/>
      <c r="AF250" s="7"/>
      <c r="AG250" s="7" t="str" cm="1">
        <f t="array" aca="1" ref="AG250" ca="1">IF(OR('Raw Data'!AG250="",LEN(TRIM('Raw Data'!AG250))=0,Validate_Empty!AG250&lt;&gt;"",Validate_Value!AG250&lt;&gt;""),"",IF('Raw Data'!AG250=SUM('Raw Data'!AA250:AF250),"",_xlfn.REGEXEXTRACT(CELL("address",AG250), "\$([A-Z]+)\$[0-9]+")))</f>
        <v/>
      </c>
      <c r="AH250" s="7" t="str" cm="1">
        <f t="array" aca="1" ref="AH250" ca="1">IF(OR('Raw Data'!AH250="",LEN(TRIM('Raw Data'!AH250))=0,Validate_Empty!AH250&lt;&gt;"",Validate_Value!AH250&lt;&gt;""),"",IF(Configuration!$G$2 = Configuration!$I$2,"",_xlfn.REGEXEXTRACT(CELL("address",AH250), "\$([A-Z]+)\$[0-9]+")))</f>
        <v/>
      </c>
      <c r="AI250" s="7" t="str" cm="1">
        <f t="array" aca="1" ref="AI250" ca="1">IF(OR('Raw Data'!AI250="",LEN(TRIM('Raw Data'!AI250))=0,Validate_Empty!AI250&lt;&gt;"",Validate_Value!AI250&lt;&gt;""),"",IF(Configuration!$H$2 = Configuration!$J$2,"",_xlfn.REGEXEXTRACT(CELL("address",AI250), "\$([A-Z]+)\$[0-9]+")))</f>
        <v/>
      </c>
      <c r="AJ250" s="7"/>
      <c r="AK250" s="7"/>
      <c r="AL250" s="7"/>
      <c r="AM250" s="7"/>
      <c r="AN250" s="7"/>
      <c r="AO250" s="7"/>
      <c r="AP250" s="7" t="str" cm="1">
        <f t="array" aca="1" ref="AP250" ca="1">IF(OR('Raw Data'!AP250="",LEN(TRIM('Raw Data'!AP250))=0,Validate_Empty!AP250&lt;&gt;"",Validate_Value!AP250&lt;&gt;""),"",IF('Raw Data'!AP250=SUM('Raw Data'!AK250:AO250),"",_xlfn.REGEXEXTRACT(CELL("address",AP250), "\$([A-Z]+)\$[0-9]+")))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50B6-33A3-4B46-B910-3E6E7049A723}">
  <dimension ref="B8:AP250"/>
  <sheetViews>
    <sheetView zoomScale="55" zoomScaleNormal="55" workbookViewId="0">
      <selection activeCell="K6" sqref="K6"/>
    </sheetView>
  </sheetViews>
  <sheetFormatPr defaultRowHeight="15" x14ac:dyDescent="0.25"/>
  <cols>
    <col min="2" max="42" width="17.5703125" style="8" customWidth="1"/>
  </cols>
  <sheetData>
    <row r="8" spans="2:42" ht="66.599999999999994" customHeight="1" x14ac:dyDescent="0.25"/>
    <row r="9" spans="2:42" s="17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/>
      <c r="AK9" s="15"/>
      <c r="AL9" s="15"/>
      <c r="AM9" s="15"/>
      <c r="AN9" s="15"/>
      <c r="AO9" s="15"/>
      <c r="AP9" s="15"/>
    </row>
    <row r="10" spans="2:42" x14ac:dyDescent="0.25">
      <c r="B10" s="1" t="s">
        <v>0</v>
      </c>
      <c r="C10" s="1" t="s">
        <v>1</v>
      </c>
      <c r="D10" s="11" t="s">
        <v>2</v>
      </c>
      <c r="E10" s="1" t="s">
        <v>3</v>
      </c>
      <c r="F10" s="1" t="s">
        <v>4</v>
      </c>
      <c r="G10" s="1" t="s">
        <v>5</v>
      </c>
      <c r="H10" s="1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1" t="s">
        <v>11</v>
      </c>
      <c r="N10" s="1" t="s">
        <v>12</v>
      </c>
      <c r="O10" s="1" t="s">
        <v>13</v>
      </c>
      <c r="P10" s="11" t="s">
        <v>14</v>
      </c>
      <c r="Q10" s="1" t="s">
        <v>15</v>
      </c>
      <c r="R10" s="1" t="s">
        <v>16</v>
      </c>
      <c r="S10" s="11" t="s">
        <v>17</v>
      </c>
      <c r="T10" s="1" t="s">
        <v>18</v>
      </c>
      <c r="U10" s="1" t="s">
        <v>19</v>
      </c>
      <c r="V10" s="11" t="s">
        <v>20</v>
      </c>
      <c r="W10" s="1" t="s">
        <v>21</v>
      </c>
      <c r="X10" s="11" t="s">
        <v>22</v>
      </c>
      <c r="Y10" s="1" t="s">
        <v>23</v>
      </c>
      <c r="Z10" s="1" t="s">
        <v>24</v>
      </c>
      <c r="AA10" s="11" t="s">
        <v>25</v>
      </c>
      <c r="AB10" s="1" t="s">
        <v>26</v>
      </c>
      <c r="AC10" s="11" t="s">
        <v>27</v>
      </c>
      <c r="AD10" s="1" t="s">
        <v>28</v>
      </c>
      <c r="AE10" s="1" t="s">
        <v>29</v>
      </c>
      <c r="AF10" s="11" t="s">
        <v>30</v>
      </c>
      <c r="AG10" s="1" t="s">
        <v>31</v>
      </c>
      <c r="AH10" s="11" t="s">
        <v>32</v>
      </c>
      <c r="AI10" s="1" t="s">
        <v>33</v>
      </c>
      <c r="AJ10" s="1" t="s">
        <v>34</v>
      </c>
      <c r="AK10" s="11" t="s">
        <v>35</v>
      </c>
      <c r="AL10" s="1" t="s">
        <v>36</v>
      </c>
      <c r="AM10" s="11" t="s">
        <v>37</v>
      </c>
      <c r="AN10" s="1" t="s">
        <v>38</v>
      </c>
      <c r="AO10" s="1" t="s">
        <v>39</v>
      </c>
      <c r="AP10" s="11" t="s">
        <v>40</v>
      </c>
    </row>
    <row r="11" spans="2:42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18"/>
      <c r="AI11" s="18"/>
      <c r="AJ11" s="7"/>
      <c r="AK11" s="7"/>
      <c r="AL11" s="7"/>
      <c r="AM11" s="7"/>
      <c r="AN11" s="7"/>
      <c r="AO11" s="7"/>
      <c r="AP11" s="7"/>
    </row>
    <row r="12" spans="2:42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18"/>
      <c r="AI12" s="18"/>
      <c r="AJ12" s="7"/>
      <c r="AK12" s="7"/>
      <c r="AL12" s="7"/>
      <c r="AM12" s="7"/>
      <c r="AN12" s="7"/>
      <c r="AO12" s="7"/>
      <c r="AP12" s="7"/>
    </row>
    <row r="13" spans="2:42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18"/>
      <c r="AI13" s="18"/>
      <c r="AJ13" s="7"/>
      <c r="AK13" s="7"/>
      <c r="AL13" s="7"/>
      <c r="AM13" s="7"/>
      <c r="AN13" s="7"/>
      <c r="AO13" s="7"/>
      <c r="AP13" s="7"/>
    </row>
    <row r="14" spans="2:42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18"/>
      <c r="AI14" s="18"/>
      <c r="AJ14" s="7"/>
      <c r="AK14" s="7"/>
      <c r="AL14" s="7"/>
      <c r="AM14" s="7"/>
      <c r="AN14" s="7"/>
      <c r="AO14" s="7"/>
      <c r="AP14" s="7"/>
    </row>
    <row r="15" spans="2:42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18"/>
      <c r="AI15" s="18"/>
      <c r="AJ15" s="7"/>
      <c r="AK15" s="7"/>
      <c r="AL15" s="7"/>
      <c r="AM15" s="7"/>
      <c r="AN15" s="7"/>
      <c r="AO15" s="7"/>
      <c r="AP15" s="7"/>
    </row>
    <row r="16" spans="2:42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18"/>
      <c r="AI16" s="18"/>
      <c r="AJ16" s="7"/>
      <c r="AK16" s="7"/>
      <c r="AL16" s="7"/>
      <c r="AM16" s="7"/>
      <c r="AN16" s="7"/>
      <c r="AO16" s="7"/>
      <c r="AP16" s="7"/>
    </row>
    <row r="17" spans="2:42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18"/>
      <c r="AI17" s="18"/>
      <c r="AJ17" s="7"/>
      <c r="AK17" s="7"/>
      <c r="AL17" s="7"/>
      <c r="AM17" s="7"/>
      <c r="AN17" s="7"/>
      <c r="AO17" s="7"/>
      <c r="AP17" s="7"/>
    </row>
    <row r="18" spans="2:42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18"/>
      <c r="AI18" s="18"/>
      <c r="AJ18" s="7"/>
      <c r="AK18" s="7"/>
      <c r="AL18" s="7"/>
      <c r="AM18" s="7"/>
      <c r="AN18" s="7"/>
      <c r="AO18" s="7"/>
      <c r="AP18" s="7"/>
    </row>
    <row r="19" spans="2:42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18"/>
      <c r="AI19" s="18"/>
      <c r="AJ19" s="7"/>
      <c r="AK19" s="7"/>
      <c r="AL19" s="7"/>
      <c r="AM19" s="7"/>
      <c r="AN19" s="7"/>
      <c r="AO19" s="7"/>
      <c r="AP19" s="7"/>
    </row>
    <row r="20" spans="2:42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18"/>
      <c r="AI20" s="18"/>
      <c r="AJ20" s="7"/>
      <c r="AK20" s="7"/>
      <c r="AL20" s="7"/>
      <c r="AM20" s="7"/>
      <c r="AN20" s="7"/>
      <c r="AO20" s="7"/>
      <c r="AP20" s="7"/>
    </row>
    <row r="21" spans="2:42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8"/>
      <c r="AI21" s="18"/>
      <c r="AJ21" s="7"/>
      <c r="AK21" s="7"/>
      <c r="AL21" s="7"/>
      <c r="AM21" s="7"/>
      <c r="AN21" s="7"/>
      <c r="AO21" s="7"/>
      <c r="AP21" s="7"/>
    </row>
    <row r="22" spans="2:42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18"/>
      <c r="AI22" s="18"/>
      <c r="AJ22" s="7"/>
      <c r="AK22" s="7"/>
      <c r="AL22" s="7"/>
      <c r="AM22" s="7"/>
      <c r="AN22" s="7"/>
      <c r="AO22" s="7"/>
      <c r="AP22" s="7"/>
    </row>
    <row r="23" spans="2:42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18"/>
      <c r="AI23" s="18"/>
      <c r="AJ23" s="7"/>
      <c r="AK23" s="7"/>
      <c r="AL23" s="7"/>
      <c r="AM23" s="7"/>
      <c r="AN23" s="7"/>
      <c r="AO23" s="7"/>
      <c r="AP23" s="7"/>
    </row>
    <row r="24" spans="2:42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18"/>
      <c r="AI24" s="18"/>
      <c r="AJ24" s="7"/>
      <c r="AK24" s="7"/>
      <c r="AL24" s="7"/>
      <c r="AM24" s="7"/>
      <c r="AN24" s="7"/>
      <c r="AO24" s="7"/>
      <c r="AP24" s="7"/>
    </row>
    <row r="25" spans="2:42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18"/>
      <c r="AI25" s="18"/>
      <c r="AJ25" s="7"/>
      <c r="AK25" s="7"/>
      <c r="AL25" s="7"/>
      <c r="AM25" s="7"/>
      <c r="AN25" s="7"/>
      <c r="AO25" s="7"/>
      <c r="AP25" s="7"/>
    </row>
    <row r="26" spans="2:42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18"/>
      <c r="AI26" s="18"/>
      <c r="AJ26" s="7"/>
      <c r="AK26" s="7"/>
      <c r="AL26" s="7"/>
      <c r="AM26" s="7"/>
      <c r="AN26" s="7"/>
      <c r="AO26" s="7"/>
      <c r="AP26" s="7"/>
    </row>
    <row r="27" spans="2:42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18"/>
      <c r="AI27" s="18"/>
      <c r="AJ27" s="7"/>
      <c r="AK27" s="7"/>
      <c r="AL27" s="7"/>
      <c r="AM27" s="7"/>
      <c r="AN27" s="7"/>
      <c r="AO27" s="7"/>
      <c r="AP27" s="7"/>
    </row>
    <row r="28" spans="2:42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2:42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2:42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2:42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2:42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2:42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2:42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2:42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2:42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2:42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2:42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2:42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2:42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2:42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2:42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2:42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2:42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2:42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2:42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2:42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2:42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2:42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2:42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2:42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2:42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2:42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2:42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2:42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2:42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2:42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2:42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2:42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2:42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2:42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2:42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2:42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2:42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2:42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2:42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2:42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2:42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2:42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2:42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2:42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2:42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2:42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2:42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2:42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2:42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spans="2:42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spans="2:42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spans="2:42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spans="2:42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spans="2:42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spans="2:42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spans="2:42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spans="2:42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spans="2:42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spans="2:42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spans="2:42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spans="2:42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spans="2:42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spans="2:42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spans="2:42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spans="2:42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spans="2:42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spans="2:42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spans="2:42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spans="2:42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spans="2:42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spans="2:42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spans="2:42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spans="2:42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spans="2:42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spans="2:42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spans="2:42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spans="2:42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spans="2:42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spans="2:42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spans="2:42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spans="2:42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spans="2:42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spans="2:42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spans="2:42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spans="2:42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spans="2:42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spans="2:42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spans="2:42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spans="2:42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spans="2:42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spans="2:42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spans="2:42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spans="2:42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spans="2:42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spans="2:42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spans="2:42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spans="2:42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spans="2:42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spans="2:42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spans="2:42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spans="2:42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spans="2:42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spans="2:42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spans="2:42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spans="2:42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spans="2:42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spans="2:42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spans="2:42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spans="2:42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spans="2:42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spans="2:42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spans="2:42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spans="2:42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spans="2:42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spans="2:42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spans="2:42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spans="2:42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spans="2:42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spans="2:42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spans="2:42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spans="2:42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spans="2:42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spans="2:42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spans="2:42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spans="2:42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spans="2:42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spans="2:42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spans="2:42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spans="2:42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spans="2:42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spans="2:42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spans="2:42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spans="2:42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spans="2:42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spans="2:42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spans="2:42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spans="2:42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spans="2:42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spans="2:42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spans="2:42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spans="2:42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spans="2:42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spans="2:42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r="171" spans="2:42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</row>
    <row r="172" spans="2:42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</row>
    <row r="173" spans="2:42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r="174" spans="2:42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spans="2:42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</row>
    <row r="176" spans="2:42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</row>
    <row r="177" spans="2:42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</row>
    <row r="178" spans="2:42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</row>
    <row r="179" spans="2:42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r="180" spans="2:42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r="181" spans="2:42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</row>
    <row r="182" spans="2:42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</row>
    <row r="183" spans="2:42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r="184" spans="2:42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r="185" spans="2:42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r="186" spans="2:42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spans="2:42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</row>
    <row r="188" spans="2:42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</row>
    <row r="189" spans="2:42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</row>
    <row r="190" spans="2:42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r="191" spans="2:42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spans="2:42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</row>
    <row r="193" spans="2:42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</row>
    <row r="194" spans="2:42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r="195" spans="2:42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r="196" spans="2:42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</row>
    <row r="197" spans="2:42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spans="2:42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</row>
    <row r="199" spans="2:42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</row>
    <row r="200" spans="2:42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</row>
    <row r="201" spans="2:42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</row>
    <row r="202" spans="2:42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</row>
    <row r="203" spans="2:42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</row>
    <row r="204" spans="2:42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</row>
    <row r="205" spans="2:42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</row>
    <row r="206" spans="2:42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r="207" spans="2:42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spans="2:42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</row>
    <row r="209" spans="2:42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</row>
    <row r="210" spans="2:42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</row>
    <row r="211" spans="2:42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spans="2:42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spans="2:42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spans="2:42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spans="2:42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spans="2:42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spans="2:42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spans="2:42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spans="2:42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r="220" spans="2:42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spans="2:42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</row>
    <row r="222" spans="2:42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</row>
    <row r="223" spans="2:42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</row>
    <row r="224" spans="2:42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</row>
    <row r="225" spans="2:42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</row>
    <row r="226" spans="2:42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spans="2:42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r="228" spans="2:42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r="229" spans="2:42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</row>
    <row r="230" spans="2:42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</row>
    <row r="231" spans="2:42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</row>
    <row r="232" spans="2:42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 spans="2:42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 spans="2:42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 spans="2:42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 spans="2:42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 spans="2:42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spans="2:42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spans="2:42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</row>
    <row r="240" spans="2:42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 spans="2:42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 spans="2:42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 spans="2:42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</row>
    <row r="244" spans="2:42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r="245" spans="2:42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r="246" spans="2:42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 spans="2:42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 spans="2:42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 spans="2:42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 spans="2:42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J4"/>
  <sheetViews>
    <sheetView tabSelected="1" topLeftCell="B1" zoomScaleNormal="100" workbookViewId="0">
      <selection activeCell="F3" sqref="F3"/>
    </sheetView>
  </sheetViews>
  <sheetFormatPr defaultRowHeight="15" x14ac:dyDescent="0.25"/>
  <cols>
    <col min="1" max="1" width="17.28515625" customWidth="1"/>
    <col min="2" max="2" width="14.85546875" customWidth="1"/>
    <col min="3" max="3" width="13.5703125" customWidth="1"/>
    <col min="4" max="4" width="27.85546875" customWidth="1"/>
    <col min="5" max="5" width="25.85546875" customWidth="1"/>
    <col min="6" max="6" width="37.42578125" customWidth="1"/>
    <col min="7" max="7" width="26.7109375" style="8" customWidth="1"/>
    <col min="8" max="8" width="26.7109375" style="8" bestFit="1" customWidth="1"/>
    <col min="9" max="9" width="21.140625" bestFit="1" customWidth="1"/>
    <col min="10" max="10" width="22.42578125" bestFit="1" customWidth="1"/>
  </cols>
  <sheetData>
    <row r="1" spans="1:10" x14ac:dyDescent="0.25">
      <c r="A1" t="s">
        <v>62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s="20" t="s">
        <v>53</v>
      </c>
      <c r="H1" s="20" t="s">
        <v>54</v>
      </c>
      <c r="I1" s="23" t="s">
        <v>55</v>
      </c>
      <c r="J1" s="23" t="s">
        <v>56</v>
      </c>
    </row>
    <row r="2" spans="1:10" x14ac:dyDescent="0.25">
      <c r="A2">
        <v>2</v>
      </c>
      <c r="B2" t="s">
        <v>65</v>
      </c>
      <c r="C2" t="s">
        <v>57</v>
      </c>
      <c r="D2" s="4">
        <v>45292</v>
      </c>
      <c r="E2" s="4">
        <v>46388</v>
      </c>
      <c r="F2" t="s">
        <v>64</v>
      </c>
      <c r="G2" s="21">
        <v>0.03</v>
      </c>
      <c r="H2" s="22">
        <v>0.02</v>
      </c>
      <c r="I2" s="21">
        <v>0.03</v>
      </c>
      <c r="J2" s="22">
        <v>0.02</v>
      </c>
    </row>
    <row r="3" spans="1:10" x14ac:dyDescent="0.25">
      <c r="F3" t="s">
        <v>66</v>
      </c>
      <c r="G3" s="8" t="s">
        <v>58</v>
      </c>
      <c r="H3" s="8" t="s">
        <v>59</v>
      </c>
      <c r="I3" s="8" t="s">
        <v>60</v>
      </c>
      <c r="J3" s="8" t="s">
        <v>61</v>
      </c>
    </row>
    <row r="4" spans="1:10" x14ac:dyDescent="0.25">
      <c r="F4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>
        <f t="array" aca="1" ref="B2" ca="1">IF('Raw Data'!B2="",_xlfn.REGEXEXTRACT(CELL("address",'Raw Data'!B2),"\$([A-Z]+)\$[0-9]+"),"")</f>
        <v>$B$2</v>
      </c>
      <c r="C2" t="str">
        <f t="array" aca="1" ref="C2" ca="1">IF('Raw Data'!C2="",_xlfn.REGEXEXTRACT(CELL("address",'Raw Data'!C2),"\$([A-Z]+)\$[0-9]+"),"")</f>
        <v>$C$2</v>
      </c>
      <c r="D2" t="str">
        <f t="array" aca="1" ref="D2" ca="1">IF('Raw Data'!D2="",_xlfn.REGEXEXTRACT(CELL("address",'Raw Data'!D2),"\$([A-Z]+)\$[0-9]+"),"")</f>
        <v>$D$2</v>
      </c>
      <c r="E2" t="str">
        <f t="array" aca="1" ref="E2" ca="1">IF('Raw Data'!E2="",_xlfn.REGEXEXTRACT(CELL("address",'Raw Data'!E2),"\$([A-Z]+)\$[0-9]+"),"")</f>
        <v>$E$2</v>
      </c>
      <c r="F2" t="str">
        <f t="array" aca="1" ref="F2" ca="1">IF('Raw Data'!F2="",_xlfn.REGEXEXTRACT(CELL("address",'Raw Data'!F2),"\$([A-Z]+)\$[0-9]+"),"")</f>
        <v>$F$2</v>
      </c>
      <c r="G2" t="e">
        <f t="array" aca="1" ref="G2" ca="1">IF('Raw Data'!#REF!="",_xlfn.REGEXEXTRACT(CELL("address",'Raw Data'!#REF!),"\$([A-Z]+)\$[0-9]+"),"")</f>
        <v>#REF!</v>
      </c>
      <c r="H2" t="str">
        <f t="array" aca="1" ref="H2" ca="1">IF('Raw Data'!G2="",_xlfn.REGEXEXTRACT(CELL("address",'Raw Data'!G2),"\$([A-Z]+)\$[0-9]+"),"")</f>
        <v>$G$2</v>
      </c>
      <c r="I2" t="str">
        <f t="array" aca="1" ref="I2" ca="1">IF('Raw Data'!H2="",_xlfn.REGEXEXTRACT(CELL("address",'Raw Data'!H2),"\$([A-Z]+)\$[0-9]+"),"")</f>
        <v>$H$2</v>
      </c>
    </row>
    <row r="3" spans="2:9" x14ac:dyDescent="0.25">
      <c r="B3" t="str">
        <f t="array" aca="1" ref="B3" ca="1">IF('Raw Data'!B3="",_xlfn.REGEXEXTRACT(CELL("address",'Raw Data'!B3),"\$([A-Z]+)\$[0-9]+"),"")</f>
        <v>$B$3</v>
      </c>
      <c r="C3" t="str">
        <f t="array" aca="1" ref="C3" ca="1">IF('Raw Data'!C3="",_xlfn.REGEXEXTRACT(CELL("address",'Raw Data'!C3),"\$([A-Z]+)\$[0-9]+"),"")</f>
        <v>$C$3</v>
      </c>
      <c r="D3" t="str">
        <f t="array" aca="1" ref="D3" ca="1">IF('Raw Data'!D3="",_xlfn.REGEXEXTRACT(CELL("address",'Raw Data'!D3),"\$([A-Z]+)\$[0-9]+"),"")</f>
        <v>$D$3</v>
      </c>
      <c r="E3" t="str">
        <f t="array" aca="1" ref="E3" ca="1">IF('Raw Data'!E3="",_xlfn.REGEXEXTRACT(CELL("address",'Raw Data'!E3),"\$([A-Z]+)\$[0-9]+"),"")</f>
        <v>$E$3</v>
      </c>
      <c r="F3" t="str">
        <f t="array" aca="1" ref="F3" ca="1">IF('Raw Data'!F3="",_xlfn.REGEXEXTRACT(CELL("address",'Raw Data'!F3),"\$([A-Z]+)\$[0-9]+"),"")</f>
        <v>$F$3</v>
      </c>
      <c r="G3" t="e">
        <f t="array" aca="1" ref="G3" ca="1">IF('Raw Data'!#REF!="",_xlfn.REGEXEXTRACT(CELL("address",'Raw Data'!#REF!),"\$([A-Z]+)\$[0-9]+"),"")</f>
        <v>#REF!</v>
      </c>
      <c r="H3" t="str">
        <f t="array" aca="1" ref="H3" ca="1">IF('Raw Data'!G3="",_xlfn.REGEXEXTRACT(CELL("address",'Raw Data'!G3),"\$([A-Z]+)\$[0-9]+"),"")</f>
        <v>$G$3</v>
      </c>
      <c r="I3" t="str">
        <f t="array" aca="1" ref="I3" ca="1">IF('Raw Data'!H3="",_xlfn.REGEXEXTRACT(CELL("address",'Raw Data'!H3),"\$([A-Z]+)\$[0-9]+"),"")</f>
        <v>$H$3</v>
      </c>
    </row>
    <row r="4" spans="2:9" x14ac:dyDescent="0.25">
      <c r="B4" t="str">
        <f t="array" aca="1" ref="B4" ca="1">IF('Raw Data'!B4="",_xlfn.REGEXEXTRACT(CELL("address",'Raw Data'!B4),"\$([A-Z]+)\$[0-9]+"),"")</f>
        <v>$B$4</v>
      </c>
      <c r="C4" t="str">
        <f t="array" aca="1" ref="C4" ca="1">IF('Raw Data'!C4="",_xlfn.REGEXEXTRACT(CELL("address",'Raw Data'!C4),"\$([A-Z]+)\$[0-9]+"),"")</f>
        <v>$C$4</v>
      </c>
      <c r="D4" t="str">
        <f t="array" aca="1" ref="D4" ca="1">IF('Raw Data'!D4="",_xlfn.REGEXEXTRACT(CELL("address",'Raw Data'!D4),"\$([A-Z]+)\$[0-9]+"),"")</f>
        <v>$D$4</v>
      </c>
      <c r="E4" t="str">
        <f t="array" aca="1" ref="E4" ca="1">IF('Raw Data'!E4="",_xlfn.REGEXEXTRACT(CELL("address",'Raw Data'!E4),"\$([A-Z]+)\$[0-9]+"),"")</f>
        <v>$E$4</v>
      </c>
      <c r="F4" t="str">
        <f t="array" aca="1" ref="F4" ca="1">IF('Raw Data'!F4="",_xlfn.REGEXEXTRACT(CELL("address",'Raw Data'!F4),"\$([A-Z]+)\$[0-9]+"),"")</f>
        <v>$F$4</v>
      </c>
      <c r="G4" t="e">
        <f t="array" aca="1" ref="G4" ca="1">IF('Raw Data'!#REF!="",_xlfn.REGEXEXTRACT(CELL("address",'Raw Data'!#REF!),"\$([A-Z]+)\$[0-9]+"),"")</f>
        <v>#REF!</v>
      </c>
      <c r="H4" t="str">
        <f t="array" aca="1" ref="H4" ca="1">IF('Raw Data'!G4="",_xlfn.REGEXEXTRACT(CELL("address",'Raw Data'!G4),"\$([A-Z]+)\$[0-9]+"),"")</f>
        <v>$G$4</v>
      </c>
      <c r="I4" t="str">
        <f t="array" aca="1" ref="I4" ca="1">IF('Raw Data'!H4="",_xlfn.REGEXEXTRACT(CELL("address",'Raw Data'!H4),"\$([A-Z]+)\$[0-9]+"),"")</f>
        <v>$H$4</v>
      </c>
    </row>
    <row r="5" spans="2:9" x14ac:dyDescent="0.25">
      <c r="B5" t="str">
        <f t="array" aca="1" ref="B5" ca="1">IF('Raw Data'!B5="",_xlfn.REGEXEXTRACT(CELL("address",'Raw Data'!B5),"\$([A-Z]+)\$[0-9]+"),"")</f>
        <v>$B$5</v>
      </c>
      <c r="C5" t="str">
        <f t="array" aca="1" ref="C5" ca="1">IF('Raw Data'!C5="",_xlfn.REGEXEXTRACT(CELL("address",'Raw Data'!C5),"\$([A-Z]+)\$[0-9]+"),"")</f>
        <v>$C$5</v>
      </c>
      <c r="D5" t="str">
        <f t="array" aca="1" ref="D5" ca="1">IF('Raw Data'!D5="",_xlfn.REGEXEXTRACT(CELL("address",'Raw Data'!D5),"\$([A-Z]+)\$[0-9]+"),"")</f>
        <v>$D$5</v>
      </c>
      <c r="E5" t="str">
        <f t="array" aca="1" ref="E5" ca="1">IF('Raw Data'!E5="",_xlfn.REGEXEXTRACT(CELL("address",'Raw Data'!E5),"\$([A-Z]+)\$[0-9]+"),"")</f>
        <v>$E$5</v>
      </c>
      <c r="F5" t="str">
        <f t="array" aca="1" ref="F5" ca="1">IF('Raw Data'!F5="",_xlfn.REGEXEXTRACT(CELL("address",'Raw Data'!F5),"\$([A-Z]+)\$[0-9]+"),"")</f>
        <v>$F$5</v>
      </c>
      <c r="G5" t="e">
        <f t="array" aca="1" ref="G5" ca="1">IF('Raw Data'!#REF!="",_xlfn.REGEXEXTRACT(CELL("address",'Raw Data'!#REF!),"\$([A-Z]+)\$[0-9]+"),"")</f>
        <v>#REF!</v>
      </c>
      <c r="H5" t="str">
        <f t="array" aca="1" ref="H5" ca="1">IF('Raw Data'!G5="",_xlfn.REGEXEXTRACT(CELL("address",'Raw Data'!G5),"\$([A-Z]+)\$[0-9]+"),"")</f>
        <v>$G$5</v>
      </c>
      <c r="I5" t="str">
        <f t="array" aca="1" ref="I5" ca="1">IF('Raw Data'!H5="",_xlfn.REGEXEXTRACT(CELL("address",'Raw Data'!H5),"\$([A-Z]+)\$[0-9]+"),"")</f>
        <v>$H$5</v>
      </c>
    </row>
    <row r="6" spans="2:9" x14ac:dyDescent="0.25">
      <c r="B6" t="str">
        <f t="array" aca="1" ref="B6" ca="1">IF('Raw Data'!B6="",_xlfn.REGEXEXTRACT(CELL("address",'Raw Data'!B6),"\$([A-Z]+)\$[0-9]+"),"")</f>
        <v>$B$6</v>
      </c>
      <c r="C6" t="str">
        <f t="array" aca="1" ref="C6" ca="1">IF('Raw Data'!C6="",_xlfn.REGEXEXTRACT(CELL("address",'Raw Data'!C6),"\$([A-Z]+)\$[0-9]+"),"")</f>
        <v>$C$6</v>
      </c>
      <c r="D6" t="str">
        <f t="array" aca="1" ref="D6" ca="1">IF('Raw Data'!D6="",_xlfn.REGEXEXTRACT(CELL("address",'Raw Data'!D6),"\$([A-Z]+)\$[0-9]+"),"")</f>
        <v>$D$6</v>
      </c>
      <c r="E6" t="str">
        <f t="array" aca="1" ref="E6" ca="1">IF('Raw Data'!E6="",_xlfn.REGEXEXTRACT(CELL("address",'Raw Data'!E6),"\$([A-Z]+)\$[0-9]+"),"")</f>
        <v>$E$6</v>
      </c>
      <c r="F6" t="str">
        <f t="array" aca="1" ref="F6" ca="1">IF('Raw Data'!F6="",_xlfn.REGEXEXTRACT(CELL("address",'Raw Data'!F6),"\$([A-Z]+)\$[0-9]+"),"")</f>
        <v>$F$6</v>
      </c>
      <c r="G6" t="e">
        <f t="array" aca="1" ref="G6" ca="1">IF('Raw Data'!#REF!="",_xlfn.REGEXEXTRACT(CELL("address",'Raw Data'!#REF!),"\$([A-Z]+)\$[0-9]+"),"")</f>
        <v>#REF!</v>
      </c>
      <c r="H6" t="str">
        <f t="array" aca="1" ref="H6" ca="1">IF('Raw Data'!G6="",_xlfn.REGEXEXTRACT(CELL("address",'Raw Data'!G6),"\$([A-Z]+)\$[0-9]+"),"")</f>
        <v>$G$6</v>
      </c>
      <c r="I6" t="str">
        <f t="array" aca="1" ref="I6" ca="1">IF('Raw Data'!H6="",_xlfn.REGEXEXTRACT(CELL("address",'Raw Data'!H6),"\$([A-Z]+)\$[0-9]+"),"")</f>
        <v>$H$6</v>
      </c>
    </row>
    <row r="7" spans="2:9" x14ac:dyDescent="0.25">
      <c r="B7" t="str">
        <f t="array" aca="1" ref="B7" ca="1">IF('Raw Data'!B8="",_xlfn.REGEXEXTRACT(CELL("address",'Raw Data'!B8),"\$([A-Z]+)\$[0-9]+"),"")</f>
        <v>$B$8</v>
      </c>
      <c r="C7" t="str">
        <f t="array" aca="1" ref="C7" ca="1">IF('Raw Data'!C8="",_xlfn.REGEXEXTRACT(CELL("address",'Raw Data'!C8),"\$([A-Z]+)\$[0-9]+"),"")</f>
        <v>$C$8</v>
      </c>
      <c r="D7" t="str">
        <f t="array" aca="1" ref="D7" ca="1">IF('Raw Data'!D8="",_xlfn.REGEXEXTRACT(CELL("address",'Raw Data'!D8),"\$([A-Z]+)\$[0-9]+"),"")</f>
        <v>$D$8</v>
      </c>
      <c r="E7" t="str">
        <f t="array" aca="1" ref="E7" ca="1">IF('Raw Data'!E8="",_xlfn.REGEXEXTRACT(CELL("address",'Raw Data'!E8),"\$([A-Z]+)\$[0-9]+"),"")</f>
        <v>$E$8</v>
      </c>
      <c r="F7" t="str">
        <f t="array" aca="1" ref="F7" ca="1">IF('Raw Data'!F8="",_xlfn.REGEXEXTRACT(CELL("address",'Raw Data'!F8),"\$([A-Z]+)\$[0-9]+"),"")</f>
        <v>$F$8</v>
      </c>
      <c r="G7" t="e">
        <f t="array" aca="1" ref="G7" ca="1">IF('Raw Data'!#REF!="",_xlfn.REGEXEXTRACT(CELL("address",'Raw Data'!#REF!),"\$([A-Z]+)\$[0-9]+"),"")</f>
        <v>#REF!</v>
      </c>
      <c r="H7" t="str">
        <f t="array" aca="1" ref="H7" ca="1">IF('Raw Data'!G8="",_xlfn.REGEXEXTRACT(CELL("address",'Raw Data'!G8),"\$([A-Z]+)\$[0-9]+"),"")</f>
        <v>$G$8</v>
      </c>
      <c r="I7" t="str">
        <f t="array" aca="1" ref="I7" ca="1">IF('Raw Data'!H8="",_xlfn.REGEXEXTRACT(CELL("address",'Raw Data'!H8),"\$([A-Z]+)\$[0-9]+"),"")</f>
        <v>$H$8</v>
      </c>
    </row>
    <row r="8" spans="2:9" x14ac:dyDescent="0.25">
      <c r="B8" t="str">
        <f t="array" aca="1" ref="B8" ca="1">IF('Raw Data'!B9="",_xlfn.REGEXEXTRACT(CELL("address",'Raw Data'!B9),"\$([A-Z]+)\$[0-9]+"),"")</f>
        <v>$B$9</v>
      </c>
      <c r="C8" t="str">
        <f t="array" aca="1" ref="C8" ca="1">IF('Raw Data'!C9="",_xlfn.REGEXEXTRACT(CELL("address",'Raw Data'!C9),"\$([A-Z]+)\$[0-9]+"),"")</f>
        <v>$C$9</v>
      </c>
      <c r="D8" t="str">
        <f t="array" aca="1" ref="D8" ca="1">IF('Raw Data'!D9="",_xlfn.REGEXEXTRACT(CELL("address",'Raw Data'!D9),"\$([A-Z]+)\$[0-9]+"),"")</f>
        <v>$D$9</v>
      </c>
      <c r="E8" t="str">
        <f t="array" aca="1" ref="E8" ca="1">IF('Raw Data'!E9="",_xlfn.REGEXEXTRACT(CELL("address",'Raw Data'!E9),"\$([A-Z]+)\$[0-9]+"),"")</f>
        <v>$E$9</v>
      </c>
      <c r="F8" t="str">
        <f t="array" aca="1" ref="F8" ca="1">IF('Raw Data'!F9="",_xlfn.REGEXEXTRACT(CELL("address",'Raw Data'!F9),"\$([A-Z]+)\$[0-9]+"),"")</f>
        <v>$F$9</v>
      </c>
      <c r="G8" t="e">
        <f t="array" aca="1" ref="G8" ca="1">IF('Raw Data'!#REF!="",_xlfn.REGEXEXTRACT(CELL("address",'Raw Data'!#REF!),"\$([A-Z]+)\$[0-9]+"),"")</f>
        <v>#REF!</v>
      </c>
      <c r="H8" t="str">
        <f t="array" aca="1" ref="H8" ca="1">IF('Raw Data'!G9="",_xlfn.REGEXEXTRACT(CELL("address",'Raw Data'!G9),"\$([A-Z]+)\$[0-9]+"),"")</f>
        <v>$G$9</v>
      </c>
      <c r="I8" t="str">
        <f t="array" aca="1" ref="I8" ca="1">IF('Raw Data'!H9="",_xlfn.REGEXEXTRACT(CELL("address",'Raw Data'!H9),"\$([A-Z]+)\$[0-9]+"),"")</f>
        <v>$H$9</v>
      </c>
    </row>
    <row r="9" spans="2:9" x14ac:dyDescent="0.25">
      <c r="B9" t="e">
        <f t="array" aca="1" ref="B9" ca="1">IF('Raw Data'!#REF!="",_xlfn.REGEXEXTRACT(CELL("address",'Raw Data'!#REF!),"\$([A-Z]+)\$[0-9]+"),"")</f>
        <v>#REF!</v>
      </c>
      <c r="C9" t="e">
        <f t="array" aca="1" ref="C9" ca="1">IF('Raw Data'!#REF!="",_xlfn.REGEXEXTRACT(CELL("address",'Raw Data'!#REF!),"\$([A-Z]+)\$[0-9]+"),"")</f>
        <v>#REF!</v>
      </c>
      <c r="D9" t="e">
        <f t="array" aca="1" ref="D9" ca="1">IF('Raw Data'!#REF!="",_xlfn.REGEXEXTRACT(CELL("address",'Raw Data'!#REF!),"\$([A-Z]+)\$[0-9]+"),"")</f>
        <v>#REF!</v>
      </c>
      <c r="E9" t="e">
        <f t="array" aca="1" ref="E9" ca="1">IF('Raw Data'!#REF!="",_xlfn.REGEXEXTRACT(CELL("address",'Raw Data'!#REF!),"\$([A-Z]+)\$[0-9]+"),"")</f>
        <v>#REF!</v>
      </c>
      <c r="F9" t="e">
        <f t="array" aca="1" ref="F9" ca="1">IF('Raw Data'!#REF!="",_xlfn.REGEXEXTRACT(CELL("address",'Raw Data'!#REF!),"\$([A-Z]+)\$[0-9]+"),"")</f>
        <v>#REF!</v>
      </c>
      <c r="G9" t="e">
        <f t="array" aca="1" ref="G9" ca="1">IF('Raw Data'!#REF!="",_xlfn.REGEXEXTRACT(CELL("address",'Raw Data'!#REF!),"\$([A-Z]+)\$[0-9]+"),"")</f>
        <v>#REF!</v>
      </c>
      <c r="H9" t="str">
        <f t="array" aca="1" ref="H9" ca="1">IF('Raw Data'!G10="",_xlfn.REGEXEXTRACT(CELL("address",'Raw Data'!G10),"\$([A-Z]+)\$[0-9]+"),"")</f>
        <v/>
      </c>
      <c r="I9" t="str">
        <f t="array" aca="1" ref="I9" ca="1">IF('Raw Data'!H10="",_xlfn.REGEXEXTRACT(CELL("address",'Raw Data'!H10),"\$([A-Z]+)\$[0-9]+"),"")</f>
        <v/>
      </c>
    </row>
    <row r="10" spans="2:9" x14ac:dyDescent="0.25">
      <c r="B10" t="str">
        <f t="array" aca="1" ref="B10" ca="1">IF('Raw Data'!B11="",_xlfn.REGEXEXTRACT(CELL("address",'Raw Data'!B11),"\$([A-Z]+)\$[0-9]+"),"")</f>
        <v>$B$11</v>
      </c>
      <c r="C10" t="str">
        <f t="array" aca="1" ref="C10" ca="1">IF('Raw Data'!C11="",_xlfn.REGEXEXTRACT(CELL("address",'Raw Data'!C11),"\$([A-Z]+)\$[0-9]+"),"")</f>
        <v>$C$11</v>
      </c>
      <c r="D10" t="str">
        <f t="array" aca="1" ref="D10" ca="1">IF('Raw Data'!D11="",_xlfn.REGEXEXTRACT(CELL("address",'Raw Data'!D11),"\$([A-Z]+)\$[0-9]+"),"")</f>
        <v>$D$11</v>
      </c>
      <c r="E10" t="str">
        <f t="array" aca="1" ref="E10" ca="1">IF('Raw Data'!E11="",_xlfn.REGEXEXTRACT(CELL("address",'Raw Data'!E11),"\$([A-Z]+)\$[0-9]+"),"")</f>
        <v>$E$11</v>
      </c>
      <c r="F10" t="str">
        <f t="array" aca="1" ref="F10" ca="1">IF('Raw Data'!F11="",_xlfn.REGEXEXTRACT(CELL("address",'Raw Data'!F11),"\$([A-Z]+)\$[0-9]+"),"")</f>
        <v>$F$11</v>
      </c>
      <c r="G10" t="e">
        <f t="array" aca="1" ref="G10" ca="1">IF('Raw Data'!#REF!="",_xlfn.REGEXEXTRACT(CELL("address",'Raw Data'!#REF!),"\$([A-Z]+)\$[0-9]+"),"")</f>
        <v>#REF!</v>
      </c>
      <c r="H10" t="str">
        <f t="array" aca="1" ref="H10" ca="1">IF('Raw Data'!G11="",_xlfn.REGEXEXTRACT(CELL("address",'Raw Data'!G11),"\$([A-Z]+)\$[0-9]+"),"")</f>
        <v>$G$11</v>
      </c>
      <c r="I10" t="str">
        <f t="array" aca="1" ref="I10" ca="1">IF('Raw Data'!H11="",_xlfn.REGEXEXTRACT(CELL("address",'Raw Data'!H11),"\$([A-Z]+)\$[0-9]+"),"")</f>
        <v>$H$11</v>
      </c>
    </row>
    <row r="11" spans="2:9" x14ac:dyDescent="0.25">
      <c r="B11" t="str">
        <f t="array" aca="1" ref="B11" ca="1">IF('Raw Data'!B12="",_xlfn.REGEXEXTRACT(CELL("address",'Raw Data'!B12),"\$([A-Z]+)\$[0-9]+"),"")</f>
        <v>$B$12</v>
      </c>
      <c r="C11" t="str">
        <f t="array" aca="1" ref="C11" ca="1">IF('Raw Data'!C12="",_xlfn.REGEXEXTRACT(CELL("address",'Raw Data'!C12),"\$([A-Z]+)\$[0-9]+"),"")</f>
        <v>$C$12</v>
      </c>
      <c r="D11" t="str">
        <f t="array" aca="1" ref="D11" ca="1">IF('Raw Data'!D12="",_xlfn.REGEXEXTRACT(CELL("address",'Raw Data'!D12),"\$([A-Z]+)\$[0-9]+"),"")</f>
        <v>$D$12</v>
      </c>
      <c r="E11" t="str">
        <f t="array" aca="1" ref="E11" ca="1">IF('Raw Data'!E12="",_xlfn.REGEXEXTRACT(CELL("address",'Raw Data'!E12),"\$([A-Z]+)\$[0-9]+"),"")</f>
        <v>$E$12</v>
      </c>
      <c r="F11" t="str">
        <f t="array" aca="1" ref="F11" ca="1">IF('Raw Data'!F12="",_xlfn.REGEXEXTRACT(CELL("address",'Raw Data'!F12),"\$([A-Z]+)\$[0-9]+"),"")</f>
        <v>$F$12</v>
      </c>
      <c r="G11" t="e">
        <f t="array" aca="1" ref="G11" ca="1">IF('Raw Data'!#REF!="",_xlfn.REGEXEXTRACT(CELL("address",'Raw Data'!#REF!),"\$([A-Z]+)\$[0-9]+"),"")</f>
        <v>#REF!</v>
      </c>
      <c r="H11" t="str">
        <f t="array" aca="1" ref="H11" ca="1">IF('Raw Data'!G12="",_xlfn.REGEXEXTRACT(CELL("address",'Raw Data'!G12),"\$([A-Z]+)\$[0-9]+"),"")</f>
        <v>$G$12</v>
      </c>
      <c r="I11" t="str">
        <f t="array" aca="1" ref="I11" ca="1">IF('Raw Data'!H12="",_xlfn.REGEXEXTRACT(CELL("address",'Raw Data'!H12),"\$([A-Z]+)\$[0-9]+"),"")</f>
        <v>$H$12</v>
      </c>
    </row>
    <row r="12" spans="2:9" x14ac:dyDescent="0.25">
      <c r="B12" t="str">
        <f t="array" aca="1" ref="B12" ca="1">IF('Raw Data'!B13="",_xlfn.REGEXEXTRACT(CELL("address",'Raw Data'!B13),"\$([A-Z]+)\$[0-9]+"),"")</f>
        <v>$B$13</v>
      </c>
      <c r="C12" t="str">
        <f t="array" aca="1" ref="C12" ca="1">IF('Raw Data'!C13="",_xlfn.REGEXEXTRACT(CELL("address",'Raw Data'!C13),"\$([A-Z]+)\$[0-9]+"),"")</f>
        <v>$C$13</v>
      </c>
      <c r="D12" t="str">
        <f t="array" aca="1" ref="D12" ca="1">IF('Raw Data'!D13="",_xlfn.REGEXEXTRACT(CELL("address",'Raw Data'!D13),"\$([A-Z]+)\$[0-9]+"),"")</f>
        <v>$D$13</v>
      </c>
      <c r="E12" t="str">
        <f t="array" aca="1" ref="E12" ca="1">IF('Raw Data'!E13="",_xlfn.REGEXEXTRACT(CELL("address",'Raw Data'!E13),"\$([A-Z]+)\$[0-9]+"),"")</f>
        <v>$E$13</v>
      </c>
      <c r="F12" t="str">
        <f t="array" aca="1" ref="F12" ca="1">IF('Raw Data'!F13="",_xlfn.REGEXEXTRACT(CELL("address",'Raw Data'!F13),"\$([A-Z]+)\$[0-9]+"),"")</f>
        <v>$F$13</v>
      </c>
      <c r="G12" t="e">
        <f t="array" aca="1" ref="G12" ca="1">IF('Raw Data'!#REF!="",_xlfn.REGEXEXTRACT(CELL("address",'Raw Data'!#REF!),"\$([A-Z]+)\$[0-9]+"),"")</f>
        <v>#REF!</v>
      </c>
      <c r="H12" t="str">
        <f t="array" aca="1" ref="H12" ca="1">IF('Raw Data'!G13="",_xlfn.REGEXEXTRACT(CELL("address",'Raw Data'!G13),"\$([A-Z]+)\$[0-9]+"),"")</f>
        <v>$G$13</v>
      </c>
      <c r="I12" t="str">
        <f t="array" aca="1" ref="I12" ca="1">IF('Raw Data'!H13="",_xlfn.REGEXEXTRACT(CELL("address",'Raw Data'!H13),"\$([A-Z]+)\$[0-9]+"),"")</f>
        <v>$H$13</v>
      </c>
    </row>
    <row r="13" spans="2:9" x14ac:dyDescent="0.25">
      <c r="B13" t="str">
        <f t="array" aca="1" ref="B13" ca="1">IF('Raw Data'!B14="",_xlfn.REGEXEXTRACT(CELL("address",'Raw Data'!B14),"\$([A-Z]+)\$[0-9]+"),"")</f>
        <v>$B$14</v>
      </c>
      <c r="C13" t="str">
        <f t="array" aca="1" ref="C13" ca="1">IF('Raw Data'!C14="",_xlfn.REGEXEXTRACT(CELL("address",'Raw Data'!C14),"\$([A-Z]+)\$[0-9]+"),"")</f>
        <v>$C$14</v>
      </c>
      <c r="D13" t="str">
        <f t="array" aca="1" ref="D13" ca="1">IF('Raw Data'!D14="",_xlfn.REGEXEXTRACT(CELL("address",'Raw Data'!D14),"\$([A-Z]+)\$[0-9]+"),"")</f>
        <v>$D$14</v>
      </c>
      <c r="E13" t="str">
        <f t="array" aca="1" ref="E13" ca="1">IF('Raw Data'!E14="",_xlfn.REGEXEXTRACT(CELL("address",'Raw Data'!E14),"\$([A-Z]+)\$[0-9]+"),"")</f>
        <v>$E$14</v>
      </c>
      <c r="F13" t="str">
        <f t="array" aca="1" ref="F13" ca="1">IF('Raw Data'!F14="",_xlfn.REGEXEXTRACT(CELL("address",'Raw Data'!F14),"\$([A-Z]+)\$[0-9]+"),"")</f>
        <v>$F$14</v>
      </c>
      <c r="G13" t="e">
        <f t="array" aca="1" ref="G13" ca="1">IF('Raw Data'!#REF!="",_xlfn.REGEXEXTRACT(CELL("address",'Raw Data'!#REF!),"\$([A-Z]+)\$[0-9]+"),"")</f>
        <v>#REF!</v>
      </c>
      <c r="H13" t="str">
        <f t="array" aca="1" ref="H13" ca="1">IF('Raw Data'!G14="",_xlfn.REGEXEXTRACT(CELL("address",'Raw Data'!G14),"\$([A-Z]+)\$[0-9]+"),"")</f>
        <v>$G$14</v>
      </c>
      <c r="I13" t="str">
        <f t="array" aca="1" ref="I13" ca="1">IF('Raw Data'!H14="",_xlfn.REGEXEXTRACT(CELL("address",'Raw Data'!H14),"\$([A-Z]+)\$[0-9]+"),"")</f>
        <v>$H$14</v>
      </c>
    </row>
    <row r="14" spans="2:9" x14ac:dyDescent="0.25">
      <c r="B14" t="str">
        <f t="array" aca="1" ref="B14" ca="1">IF('Raw Data'!B15="",_xlfn.REGEXEXTRACT(CELL("address",'Raw Data'!B15),"\$([A-Z]+)\$[0-9]+"),"")</f>
        <v>$B$15</v>
      </c>
      <c r="C14" t="str">
        <f t="array" aca="1" ref="C14" ca="1">IF('Raw Data'!C15="",_xlfn.REGEXEXTRACT(CELL("address",'Raw Data'!C15),"\$([A-Z]+)\$[0-9]+"),"")</f>
        <v>$C$15</v>
      </c>
      <c r="D14" t="str">
        <f t="array" aca="1" ref="D14" ca="1">IF('Raw Data'!D15="",_xlfn.REGEXEXTRACT(CELL("address",'Raw Data'!D15),"\$([A-Z]+)\$[0-9]+"),"")</f>
        <v>$D$15</v>
      </c>
      <c r="E14" t="str">
        <f t="array" aca="1" ref="E14" ca="1">IF('Raw Data'!E15="",_xlfn.REGEXEXTRACT(CELL("address",'Raw Data'!E15),"\$([A-Z]+)\$[0-9]+"),"")</f>
        <v>$E$15</v>
      </c>
      <c r="F14" t="str">
        <f t="array" aca="1" ref="F14" ca="1">IF('Raw Data'!F15="",_xlfn.REGEXEXTRACT(CELL("address",'Raw Data'!F15),"\$([A-Z]+)\$[0-9]+"),"")</f>
        <v>$F$15</v>
      </c>
      <c r="G14" t="e">
        <f t="array" aca="1" ref="G14" ca="1">IF('Raw Data'!#REF!="",_xlfn.REGEXEXTRACT(CELL("address",'Raw Data'!#REF!),"\$([A-Z]+)\$[0-9]+"),"")</f>
        <v>#REF!</v>
      </c>
      <c r="H14" t="str">
        <f t="array" aca="1" ref="H14" ca="1">IF('Raw Data'!G15="",_xlfn.REGEXEXTRACT(CELL("address",'Raw Data'!G15),"\$([A-Z]+)\$[0-9]+"),"")</f>
        <v>$G$15</v>
      </c>
      <c r="I14" t="str">
        <f t="array" aca="1" ref="I14" ca="1">IF('Raw Data'!H15="",_xlfn.REGEXEXTRACT(CELL("address",'Raw Data'!H15),"\$([A-Z]+)\$[0-9]+"),"")</f>
        <v>$H$15</v>
      </c>
    </row>
    <row r="15" spans="2:9" x14ac:dyDescent="0.25">
      <c r="B15" t="str">
        <f t="array" aca="1" ref="B15" ca="1">IF('Raw Data'!B16="",_xlfn.REGEXEXTRACT(CELL("address",'Raw Data'!B16),"\$([A-Z]+)\$[0-9]+"),"")</f>
        <v>$B$16</v>
      </c>
      <c r="C15" t="str">
        <f t="array" aca="1" ref="C15" ca="1">IF('Raw Data'!C16="",_xlfn.REGEXEXTRACT(CELL("address",'Raw Data'!C16),"\$([A-Z]+)\$[0-9]+"),"")</f>
        <v>$C$16</v>
      </c>
      <c r="D15" t="str">
        <f t="array" aca="1" ref="D15" ca="1">IF('Raw Data'!D16="",_xlfn.REGEXEXTRACT(CELL("address",'Raw Data'!D16),"\$([A-Z]+)\$[0-9]+"),"")</f>
        <v>$D$16</v>
      </c>
      <c r="E15" t="str">
        <f t="array" aca="1" ref="E15" ca="1">IF('Raw Data'!E16="",_xlfn.REGEXEXTRACT(CELL("address",'Raw Data'!E16),"\$([A-Z]+)\$[0-9]+"),"")</f>
        <v>$E$16</v>
      </c>
      <c r="F15" t="str">
        <f t="array" aca="1" ref="F15" ca="1">IF('Raw Data'!F16="",_xlfn.REGEXEXTRACT(CELL("address",'Raw Data'!F16),"\$([A-Z]+)\$[0-9]+"),"")</f>
        <v>$F$16</v>
      </c>
      <c r="G15" t="e">
        <f t="array" aca="1" ref="G15" ca="1">IF('Raw Data'!#REF!="",_xlfn.REGEXEXTRACT(CELL("address",'Raw Data'!#REF!),"\$([A-Z]+)\$[0-9]+"),"")</f>
        <v>#REF!</v>
      </c>
      <c r="H15" t="str">
        <f t="array" aca="1" ref="H15" ca="1">IF('Raw Data'!G16="",_xlfn.REGEXEXTRACT(CELL("address",'Raw Data'!G16),"\$([A-Z]+)\$[0-9]+"),"")</f>
        <v>$G$16</v>
      </c>
      <c r="I15" t="str">
        <f t="array" aca="1" ref="I15" ca="1">IF('Raw Data'!H16="",_xlfn.REGEXEXTRACT(CELL("address",'Raw Data'!H16),"\$([A-Z]+)\$[0-9]+"),"")</f>
        <v>$H$16</v>
      </c>
    </row>
    <row r="16" spans="2:9" x14ac:dyDescent="0.25">
      <c r="B16" t="str">
        <f t="array" aca="1" ref="B16" ca="1">IF('Raw Data'!B17="",_xlfn.REGEXEXTRACT(CELL("address",'Raw Data'!B17),"\$([A-Z]+)\$[0-9]+"),"")</f>
        <v>$B$17</v>
      </c>
      <c r="C16" t="str">
        <f t="array" aca="1" ref="C16" ca="1">IF('Raw Data'!C17="",_xlfn.REGEXEXTRACT(CELL("address",'Raw Data'!C17),"\$([A-Z]+)\$[0-9]+"),"")</f>
        <v>$C$17</v>
      </c>
      <c r="D16" t="str">
        <f t="array" aca="1" ref="D16" ca="1">IF('Raw Data'!D17="",_xlfn.REGEXEXTRACT(CELL("address",'Raw Data'!D17),"\$([A-Z]+)\$[0-9]+"),"")</f>
        <v>$D$17</v>
      </c>
      <c r="E16" t="str">
        <f t="array" aca="1" ref="E16" ca="1">IF('Raw Data'!E17="",_xlfn.REGEXEXTRACT(CELL("address",'Raw Data'!E17),"\$([A-Z]+)\$[0-9]+"),"")</f>
        <v>$E$17</v>
      </c>
      <c r="F16" t="str">
        <f t="array" aca="1" ref="F16" ca="1">IF('Raw Data'!F17="",_xlfn.REGEXEXTRACT(CELL("address",'Raw Data'!F17),"\$([A-Z]+)\$[0-9]+"),"")</f>
        <v>$F$17</v>
      </c>
      <c r="G16" t="e">
        <f t="array" aca="1" ref="G16" ca="1">IF('Raw Data'!#REF!="",_xlfn.REGEXEXTRACT(CELL("address",'Raw Data'!#REF!),"\$([A-Z]+)\$[0-9]+"),"")</f>
        <v>#REF!</v>
      </c>
      <c r="H16" t="str">
        <f t="array" aca="1" ref="H16" ca="1">IF('Raw Data'!G17="",_xlfn.REGEXEXTRACT(CELL("address",'Raw Data'!G17),"\$([A-Z]+)\$[0-9]+"),"")</f>
        <v>$G$17</v>
      </c>
      <c r="I16" t="str">
        <f t="array" aca="1" ref="I16" ca="1">IF('Raw Data'!H17="",_xlfn.REGEXEXTRACT(CELL("address",'Raw Data'!H17),"\$([A-Z]+)\$[0-9]+"),"")</f>
        <v>$H$17</v>
      </c>
    </row>
    <row r="17" spans="2:9" x14ac:dyDescent="0.25">
      <c r="B17" t="str">
        <f t="array" aca="1" ref="B17" ca="1">IF('Raw Data'!B18="",_xlfn.REGEXEXTRACT(CELL("address",'Raw Data'!B18),"\$([A-Z]+)\$[0-9]+"),"")</f>
        <v>$B$18</v>
      </c>
      <c r="C17" t="str">
        <f t="array" aca="1" ref="C17" ca="1">IF('Raw Data'!C18="",_xlfn.REGEXEXTRACT(CELL("address",'Raw Data'!C18),"\$([A-Z]+)\$[0-9]+"),"")</f>
        <v>$C$18</v>
      </c>
      <c r="D17" t="str">
        <f t="array" aca="1" ref="D17" ca="1">IF('Raw Data'!D18="",_xlfn.REGEXEXTRACT(CELL("address",'Raw Data'!D18),"\$([A-Z]+)\$[0-9]+"),"")</f>
        <v>$D$18</v>
      </c>
      <c r="E17" t="str">
        <f t="array" aca="1" ref="E17" ca="1">IF('Raw Data'!E18="",_xlfn.REGEXEXTRACT(CELL("address",'Raw Data'!E18),"\$([A-Z]+)\$[0-9]+"),"")</f>
        <v>$E$18</v>
      </c>
      <c r="F17" t="str">
        <f t="array" aca="1" ref="F17" ca="1">IF('Raw Data'!F18="",_xlfn.REGEXEXTRACT(CELL("address",'Raw Data'!F18),"\$([A-Z]+)\$[0-9]+"),"")</f>
        <v>$F$18</v>
      </c>
      <c r="G17" t="e">
        <f t="array" aca="1" ref="G17" ca="1">IF('Raw Data'!#REF!="",_xlfn.REGEXEXTRACT(CELL("address",'Raw Data'!#REF!),"\$([A-Z]+)\$[0-9]+"),"")</f>
        <v>#REF!</v>
      </c>
      <c r="H17" t="str">
        <f t="array" aca="1" ref="H17" ca="1">IF('Raw Data'!G18="",_xlfn.REGEXEXTRACT(CELL("address",'Raw Data'!G18),"\$([A-Z]+)\$[0-9]+"),"")</f>
        <v>$G$18</v>
      </c>
      <c r="I17" t="str">
        <f t="array" aca="1" ref="I17" ca="1">IF('Raw Data'!H18="",_xlfn.REGEXEXTRACT(CELL("address",'Raw Data'!H18),"\$([A-Z]+)\$[0-9]+"),"")</f>
        <v>$H$18</v>
      </c>
    </row>
    <row r="18" spans="2:9" x14ac:dyDescent="0.25">
      <c r="B18" t="str">
        <f t="array" aca="1" ref="B18" ca="1">IF('Raw Data'!B19="",_xlfn.REGEXEXTRACT(CELL("address",'Raw Data'!B19),"\$([A-Z]+)\$[0-9]+"),"")</f>
        <v>$B$19</v>
      </c>
      <c r="C18" t="str">
        <f t="array" aca="1" ref="C18" ca="1">IF('Raw Data'!C19="",_xlfn.REGEXEXTRACT(CELL("address",'Raw Data'!C19),"\$([A-Z]+)\$[0-9]+"),"")</f>
        <v>$C$19</v>
      </c>
      <c r="D18" t="str">
        <f t="array" aca="1" ref="D18" ca="1">IF('Raw Data'!D19="",_xlfn.REGEXEXTRACT(CELL("address",'Raw Data'!D19),"\$([A-Z]+)\$[0-9]+"),"")</f>
        <v>$D$19</v>
      </c>
      <c r="E18" t="str">
        <f t="array" aca="1" ref="E18" ca="1">IF('Raw Data'!E19="",_xlfn.REGEXEXTRACT(CELL("address",'Raw Data'!E19),"\$([A-Z]+)\$[0-9]+"),"")</f>
        <v>$E$19</v>
      </c>
      <c r="F18" t="str">
        <f t="array" aca="1" ref="F18" ca="1">IF('Raw Data'!F19="",_xlfn.REGEXEXTRACT(CELL("address",'Raw Data'!F19),"\$([A-Z]+)\$[0-9]+"),"")</f>
        <v>$F$19</v>
      </c>
      <c r="G18" t="e">
        <f t="array" aca="1" ref="G18" ca="1">IF('Raw Data'!#REF!="",_xlfn.REGEXEXTRACT(CELL("address",'Raw Data'!#REF!),"\$([A-Z]+)\$[0-9]+"),"")</f>
        <v>#REF!</v>
      </c>
      <c r="H18" t="str">
        <f t="array" aca="1" ref="H18" ca="1">IF('Raw Data'!G19="",_xlfn.REGEXEXTRACT(CELL("address",'Raw Data'!G19),"\$([A-Z]+)\$[0-9]+"),"")</f>
        <v>$G$19</v>
      </c>
      <c r="I18" t="str">
        <f t="array" aca="1" ref="I18" ca="1">IF('Raw Data'!H19="",_xlfn.REGEXEXTRACT(CELL("address",'Raw Data'!H19),"\$([A-Z]+)\$[0-9]+"),"")</f>
        <v>$H$19</v>
      </c>
    </row>
    <row r="19" spans="2:9" x14ac:dyDescent="0.25">
      <c r="B19" t="str">
        <f t="array" aca="1" ref="B19" ca="1">IF('Raw Data'!B20="",_xlfn.REGEXEXTRACT(CELL("address",'Raw Data'!B20),"\$([A-Z]+)\$[0-9]+"),"")</f>
        <v>$B$20</v>
      </c>
      <c r="C19" t="str">
        <f t="array" aca="1" ref="C19" ca="1">IF('Raw Data'!C20="",_xlfn.REGEXEXTRACT(CELL("address",'Raw Data'!C20),"\$([A-Z]+)\$[0-9]+"),"")</f>
        <v>$C$20</v>
      </c>
      <c r="D19" t="str">
        <f t="array" aca="1" ref="D19" ca="1">IF('Raw Data'!D20="",_xlfn.REGEXEXTRACT(CELL("address",'Raw Data'!D20),"\$([A-Z]+)\$[0-9]+"),"")</f>
        <v>$D$20</v>
      </c>
      <c r="E19" t="str">
        <f t="array" aca="1" ref="E19" ca="1">IF('Raw Data'!E20="",_xlfn.REGEXEXTRACT(CELL("address",'Raw Data'!E20),"\$([A-Z]+)\$[0-9]+"),"")</f>
        <v>$E$20</v>
      </c>
      <c r="F19" t="str">
        <f t="array" aca="1" ref="F19" ca="1">IF('Raw Data'!F20="",_xlfn.REGEXEXTRACT(CELL("address",'Raw Data'!F20),"\$([A-Z]+)\$[0-9]+"),"")</f>
        <v>$F$20</v>
      </c>
      <c r="G19" t="e">
        <f t="array" aca="1" ref="G19" ca="1">IF('Raw Data'!#REF!="",_xlfn.REGEXEXTRACT(CELL("address",'Raw Data'!#REF!),"\$([A-Z]+)\$[0-9]+"),"")</f>
        <v>#REF!</v>
      </c>
      <c r="H19" t="str">
        <f t="array" aca="1" ref="H19" ca="1">IF('Raw Data'!G20="",_xlfn.REGEXEXTRACT(CELL("address",'Raw Data'!G20),"\$([A-Z]+)\$[0-9]+"),"")</f>
        <v>$G$20</v>
      </c>
      <c r="I19" t="str">
        <f t="array" aca="1" ref="I19" ca="1">IF('Raw Data'!H20="",_xlfn.REGEXEXTRACT(CELL("address",'Raw Data'!H20),"\$([A-Z]+)\$[0-9]+"),"")</f>
        <v>$H$20</v>
      </c>
    </row>
    <row r="20" spans="2:9" x14ac:dyDescent="0.25">
      <c r="B20" t="str">
        <f t="array" aca="1" ref="B20" ca="1">IF('Raw Data'!B21="",_xlfn.REGEXEXTRACT(CELL("address",'Raw Data'!B21),"\$([A-Z]+)\$[0-9]+"),"")</f>
        <v>$B$21</v>
      </c>
      <c r="C20" t="str">
        <f t="array" aca="1" ref="C20" ca="1">IF('Raw Data'!C21="",_xlfn.REGEXEXTRACT(CELL("address",'Raw Data'!C21),"\$([A-Z]+)\$[0-9]+"),"")</f>
        <v>$C$21</v>
      </c>
      <c r="D20" t="str">
        <f t="array" aca="1" ref="D20" ca="1">IF('Raw Data'!D21="",_xlfn.REGEXEXTRACT(CELL("address",'Raw Data'!D21),"\$([A-Z]+)\$[0-9]+"),"")</f>
        <v>$D$21</v>
      </c>
      <c r="E20" t="str">
        <f t="array" aca="1" ref="E20" ca="1">IF('Raw Data'!E21="",_xlfn.REGEXEXTRACT(CELL("address",'Raw Data'!E21),"\$([A-Z]+)\$[0-9]+"),"")</f>
        <v>$E$21</v>
      </c>
      <c r="F20" t="str">
        <f t="array" aca="1" ref="F20" ca="1">IF('Raw Data'!F21="",_xlfn.REGEXEXTRACT(CELL("address",'Raw Data'!F21),"\$([A-Z]+)\$[0-9]+"),"")</f>
        <v>$F$21</v>
      </c>
      <c r="G20" t="e">
        <f t="array" aca="1" ref="G20" ca="1">IF('Raw Data'!#REF!="",_xlfn.REGEXEXTRACT(CELL("address",'Raw Data'!#REF!),"\$([A-Z]+)\$[0-9]+"),"")</f>
        <v>#REF!</v>
      </c>
      <c r="H20" t="str">
        <f t="array" aca="1" ref="H20" ca="1">IF('Raw Data'!G21="",_xlfn.REGEXEXTRACT(CELL("address",'Raw Data'!G21),"\$([A-Z]+)\$[0-9]+"),"")</f>
        <v>$G$21</v>
      </c>
      <c r="I20" t="str">
        <f t="array" aca="1" ref="I20" ca="1">IF('Raw Data'!H21="",_xlfn.REGEXEXTRACT(CELL("address",'Raw Data'!H21),"\$([A-Z]+)\$[0-9]+"),"")</f>
        <v>$H$21</v>
      </c>
    </row>
    <row r="21" spans="2:9" x14ac:dyDescent="0.25">
      <c r="B21" t="str">
        <f t="array" aca="1" ref="B21" ca="1">IF('Raw Data'!B22="",_xlfn.REGEXEXTRACT(CELL("address",'Raw Data'!B22),"\$([A-Z]+)\$[0-9]+"),"")</f>
        <v>$B$22</v>
      </c>
      <c r="C21" t="str">
        <f t="array" aca="1" ref="C21" ca="1">IF('Raw Data'!C22="",_xlfn.REGEXEXTRACT(CELL("address",'Raw Data'!C22),"\$([A-Z]+)\$[0-9]+"),"")</f>
        <v>$C$22</v>
      </c>
      <c r="D21" t="str">
        <f t="array" aca="1" ref="D21" ca="1">IF('Raw Data'!D22="",_xlfn.REGEXEXTRACT(CELL("address",'Raw Data'!D22),"\$([A-Z]+)\$[0-9]+"),"")</f>
        <v>$D$22</v>
      </c>
      <c r="E21" t="str">
        <f t="array" aca="1" ref="E21" ca="1">IF('Raw Data'!E22="",_xlfn.REGEXEXTRACT(CELL("address",'Raw Data'!E22),"\$([A-Z]+)\$[0-9]+"),"")</f>
        <v>$E$22</v>
      </c>
      <c r="F21" t="str">
        <f t="array" aca="1" ref="F21" ca="1">IF('Raw Data'!F22="",_xlfn.REGEXEXTRACT(CELL("address",'Raw Data'!F22),"\$([A-Z]+)\$[0-9]+"),"")</f>
        <v>$F$22</v>
      </c>
      <c r="G21" t="e">
        <f t="array" aca="1" ref="G21" ca="1">IF('Raw Data'!#REF!="",_xlfn.REGEXEXTRACT(CELL("address",'Raw Data'!#REF!),"\$([A-Z]+)\$[0-9]+"),"")</f>
        <v>#REF!</v>
      </c>
      <c r="H21" t="str">
        <f t="array" aca="1" ref="H21" ca="1">IF('Raw Data'!G22="",_xlfn.REGEXEXTRACT(CELL("address",'Raw Data'!G22),"\$([A-Z]+)\$[0-9]+"),"")</f>
        <v>$G$22</v>
      </c>
      <c r="I21" t="str">
        <f t="array" aca="1" ref="I21" ca="1">IF('Raw Data'!H22="",_xlfn.REGEXEXTRACT(CELL("address",'Raw Data'!H22),"\$([A-Z]+)\$[0-9]+"),"")</f>
        <v>$H$22</v>
      </c>
    </row>
    <row r="22" spans="2:9" x14ac:dyDescent="0.25">
      <c r="B22" t="str">
        <f t="array" aca="1" ref="B22" ca="1">IF('Raw Data'!B23="",_xlfn.REGEXEXTRACT(CELL("address",'Raw Data'!B23),"\$([A-Z]+)\$[0-9]+"),"")</f>
        <v>$B$23</v>
      </c>
      <c r="C22" t="str">
        <f t="array" aca="1" ref="C22" ca="1">IF('Raw Data'!C23="",_xlfn.REGEXEXTRACT(CELL("address",'Raw Data'!C23),"\$([A-Z]+)\$[0-9]+"),"")</f>
        <v>$C$23</v>
      </c>
      <c r="D22" t="str">
        <f t="array" aca="1" ref="D22" ca="1">IF('Raw Data'!D23="",_xlfn.REGEXEXTRACT(CELL("address",'Raw Data'!D23),"\$([A-Z]+)\$[0-9]+"),"")</f>
        <v>$D$23</v>
      </c>
      <c r="E22" t="str">
        <f t="array" aca="1" ref="E22" ca="1">IF('Raw Data'!E23="",_xlfn.REGEXEXTRACT(CELL("address",'Raw Data'!E23),"\$([A-Z]+)\$[0-9]+"),"")</f>
        <v>$E$23</v>
      </c>
      <c r="F22" t="str">
        <f t="array" aca="1" ref="F22" ca="1">IF('Raw Data'!F23="",_xlfn.REGEXEXTRACT(CELL("address",'Raw Data'!F23),"\$([A-Z]+)\$[0-9]+"),"")</f>
        <v>$F$23</v>
      </c>
      <c r="G22" t="e">
        <f t="array" aca="1" ref="G22" ca="1">IF('Raw Data'!#REF!="",_xlfn.REGEXEXTRACT(CELL("address",'Raw Data'!#REF!),"\$([A-Z]+)\$[0-9]+"),"")</f>
        <v>#REF!</v>
      </c>
      <c r="H22" t="str">
        <f t="array" aca="1" ref="H22" ca="1">IF('Raw Data'!G23="",_xlfn.REGEXEXTRACT(CELL("address",'Raw Data'!G23),"\$([A-Z]+)\$[0-9]+"),"")</f>
        <v>$G$23</v>
      </c>
      <c r="I22" t="str">
        <f t="array" aca="1" ref="I22" ca="1">IF('Raw Data'!H23="",_xlfn.REGEXEXTRACT(CELL("address",'Raw Data'!H23),"\$([A-Z]+)\$[0-9]+"),"")</f>
        <v>$H$23</v>
      </c>
    </row>
    <row r="23" spans="2:9" x14ac:dyDescent="0.25">
      <c r="B23" t="str">
        <f t="array" aca="1" ref="B23" ca="1">IF('Raw Data'!B24="",_xlfn.REGEXEXTRACT(CELL("address",'Raw Data'!B24),"\$([A-Z]+)\$[0-9]+"),"")</f>
        <v>$B$24</v>
      </c>
      <c r="C23" t="str">
        <f t="array" aca="1" ref="C23" ca="1">IF('Raw Data'!C24="",_xlfn.REGEXEXTRACT(CELL("address",'Raw Data'!C24),"\$([A-Z]+)\$[0-9]+"),"")</f>
        <v>$C$24</v>
      </c>
      <c r="D23" t="str">
        <f t="array" aca="1" ref="D23" ca="1">IF('Raw Data'!D24="",_xlfn.REGEXEXTRACT(CELL("address",'Raw Data'!D24),"\$([A-Z]+)\$[0-9]+"),"")</f>
        <v>$D$24</v>
      </c>
      <c r="E23" t="str">
        <f t="array" aca="1" ref="E23" ca="1">IF('Raw Data'!E24="",_xlfn.REGEXEXTRACT(CELL("address",'Raw Data'!E24),"\$([A-Z]+)\$[0-9]+"),"")</f>
        <v>$E$24</v>
      </c>
      <c r="F23" t="str">
        <f t="array" aca="1" ref="F23" ca="1">IF('Raw Data'!F24="",_xlfn.REGEXEXTRACT(CELL("address",'Raw Data'!F24),"\$([A-Z]+)\$[0-9]+"),"")</f>
        <v>$F$24</v>
      </c>
      <c r="G23" t="e">
        <f t="array" aca="1" ref="G23" ca="1">IF('Raw Data'!#REF!="",_xlfn.REGEXEXTRACT(CELL("address",'Raw Data'!#REF!),"\$([A-Z]+)\$[0-9]+"),"")</f>
        <v>#REF!</v>
      </c>
      <c r="H23" t="str">
        <f t="array" aca="1" ref="H23" ca="1">IF('Raw Data'!G24="",_xlfn.REGEXEXTRACT(CELL("address",'Raw Data'!G24),"\$([A-Z]+)\$[0-9]+"),"")</f>
        <v>$G$24</v>
      </c>
      <c r="I23" t="str">
        <f t="array" aca="1" ref="I23" ca="1">IF('Raw Data'!H24="",_xlfn.REGEXEXTRACT(CELL("address",'Raw Data'!H24),"\$([A-Z]+)\$[0-9]+"),"")</f>
        <v>$H$24</v>
      </c>
    </row>
    <row r="24" spans="2:9" x14ac:dyDescent="0.25">
      <c r="B24" t="str">
        <f t="array" aca="1" ref="B24" ca="1">IF('Raw Data'!B25="",_xlfn.REGEXEXTRACT(CELL("address",'Raw Data'!B25),"\$([A-Z]+)\$[0-9]+"),"")</f>
        <v>$B$25</v>
      </c>
      <c r="C24" t="str">
        <f t="array" aca="1" ref="C24" ca="1">IF('Raw Data'!C25="",_xlfn.REGEXEXTRACT(CELL("address",'Raw Data'!C25),"\$([A-Z]+)\$[0-9]+"),"")</f>
        <v>$C$25</v>
      </c>
      <c r="D24" t="str">
        <f t="array" aca="1" ref="D24" ca="1">IF('Raw Data'!D25="",_xlfn.REGEXEXTRACT(CELL("address",'Raw Data'!D25),"\$([A-Z]+)\$[0-9]+"),"")</f>
        <v>$D$25</v>
      </c>
      <c r="E24" t="str">
        <f t="array" aca="1" ref="E24" ca="1">IF('Raw Data'!E25="",_xlfn.REGEXEXTRACT(CELL("address",'Raw Data'!E25),"\$([A-Z]+)\$[0-9]+"),"")</f>
        <v>$E$25</v>
      </c>
      <c r="F24" t="str">
        <f t="array" aca="1" ref="F24" ca="1">IF('Raw Data'!F25="",_xlfn.REGEXEXTRACT(CELL("address",'Raw Data'!F25),"\$([A-Z]+)\$[0-9]+"),"")</f>
        <v>$F$25</v>
      </c>
      <c r="G24" t="e">
        <f t="array" aca="1" ref="G24" ca="1">IF('Raw Data'!#REF!="",_xlfn.REGEXEXTRACT(CELL("address",'Raw Data'!#REF!),"\$([A-Z]+)\$[0-9]+"),"")</f>
        <v>#REF!</v>
      </c>
      <c r="H24" t="str">
        <f t="array" aca="1" ref="H24" ca="1">IF('Raw Data'!G25="",_xlfn.REGEXEXTRACT(CELL("address",'Raw Data'!G25),"\$([A-Z]+)\$[0-9]+"),"")</f>
        <v>$G$25</v>
      </c>
      <c r="I24" t="str">
        <f t="array" aca="1" ref="I24" ca="1">IF('Raw Data'!H25="",_xlfn.REGEXEXTRACT(CELL("address",'Raw Data'!H25),"\$([A-Z]+)\$[0-9]+"),"")</f>
        <v>$H$25</v>
      </c>
    </row>
    <row r="25" spans="2:9" x14ac:dyDescent="0.25">
      <c r="B25" t="str">
        <f t="array" aca="1" ref="B25" ca="1">IF('Raw Data'!B26="",_xlfn.REGEXEXTRACT(CELL("address",'Raw Data'!B26),"\$([A-Z]+)\$[0-9]+"),"")</f>
        <v>$B$26</v>
      </c>
      <c r="C25" t="str">
        <f t="array" aca="1" ref="C25" ca="1">IF('Raw Data'!C26="",_xlfn.REGEXEXTRACT(CELL("address",'Raw Data'!C26),"\$([A-Z]+)\$[0-9]+"),"")</f>
        <v>$C$26</v>
      </c>
      <c r="D25" t="str">
        <f t="array" aca="1" ref="D25" ca="1">IF('Raw Data'!D26="",_xlfn.REGEXEXTRACT(CELL("address",'Raw Data'!D26),"\$([A-Z]+)\$[0-9]+"),"")</f>
        <v>$D$26</v>
      </c>
      <c r="E25" t="str">
        <f t="array" aca="1" ref="E25" ca="1">IF('Raw Data'!E26="",_xlfn.REGEXEXTRACT(CELL("address",'Raw Data'!E26),"\$([A-Z]+)\$[0-9]+"),"")</f>
        <v>$E$26</v>
      </c>
      <c r="F25" t="str">
        <f t="array" aca="1" ref="F25" ca="1">IF('Raw Data'!F26="",_xlfn.REGEXEXTRACT(CELL("address",'Raw Data'!F26),"\$([A-Z]+)\$[0-9]+"),"")</f>
        <v>$F$26</v>
      </c>
      <c r="G25" t="e">
        <f t="array" aca="1" ref="G25" ca="1">IF('Raw Data'!#REF!="",_xlfn.REGEXEXTRACT(CELL("address",'Raw Data'!#REF!),"\$([A-Z]+)\$[0-9]+"),"")</f>
        <v>#REF!</v>
      </c>
      <c r="H25" t="str">
        <f t="array" aca="1" ref="H25" ca="1">IF('Raw Data'!G26="",_xlfn.REGEXEXTRACT(CELL("address",'Raw Data'!G26),"\$([A-Z]+)\$[0-9]+"),"")</f>
        <v>$G$26</v>
      </c>
      <c r="I25" t="str">
        <f t="array" aca="1" ref="I25" ca="1">IF('Raw Data'!H26="",_xlfn.REGEXEXTRACT(CELL("address",'Raw Data'!H26),"\$([A-Z]+)\$[0-9]+"),"")</f>
        <v>$H$26</v>
      </c>
    </row>
    <row r="26" spans="2:9" x14ac:dyDescent="0.25">
      <c r="B26" t="str">
        <f t="array" aca="1" ref="B26" ca="1">IF('Raw Data'!B27="",_xlfn.REGEXEXTRACT(CELL("address",'Raw Data'!B27),"\$([A-Z]+)\$[0-9]+"),"")</f>
        <v>$B$27</v>
      </c>
      <c r="C26" t="str">
        <f t="array" aca="1" ref="C26" ca="1">IF('Raw Data'!C27="",_xlfn.REGEXEXTRACT(CELL("address",'Raw Data'!C27),"\$([A-Z]+)\$[0-9]+"),"")</f>
        <v>$C$27</v>
      </c>
      <c r="D26" t="str">
        <f t="array" aca="1" ref="D26" ca="1">IF('Raw Data'!D27="",_xlfn.REGEXEXTRACT(CELL("address",'Raw Data'!D27),"\$([A-Z]+)\$[0-9]+"),"")</f>
        <v>$D$27</v>
      </c>
      <c r="E26" t="str">
        <f t="array" aca="1" ref="E26" ca="1">IF('Raw Data'!E27="",_xlfn.REGEXEXTRACT(CELL("address",'Raw Data'!E27),"\$([A-Z]+)\$[0-9]+"),"")</f>
        <v>$E$27</v>
      </c>
      <c r="F26" t="str">
        <f t="array" aca="1" ref="F26" ca="1">IF('Raw Data'!F27="",_xlfn.REGEXEXTRACT(CELL("address",'Raw Data'!F27),"\$([A-Z]+)\$[0-9]+"),"")</f>
        <v>$F$27</v>
      </c>
      <c r="G26" t="e">
        <f t="array" aca="1" ref="G26" ca="1">IF('Raw Data'!#REF!="",_xlfn.REGEXEXTRACT(CELL("address",'Raw Data'!#REF!),"\$([A-Z]+)\$[0-9]+"),"")</f>
        <v>#REF!</v>
      </c>
      <c r="H26" t="str">
        <f t="array" aca="1" ref="H26" ca="1">IF('Raw Data'!G27="",_xlfn.REGEXEXTRACT(CELL("address",'Raw Data'!G27),"\$([A-Z]+)\$[0-9]+"),"")</f>
        <v>$G$27</v>
      </c>
      <c r="I26" t="str">
        <f t="array" aca="1" ref="I26" ca="1">IF('Raw Data'!H27="",_xlfn.REGEXEXTRACT(CELL("address",'Raw Data'!H27),"\$([A-Z]+)\$[0-9]+"),"")</f>
        <v>$H$27</v>
      </c>
    </row>
    <row r="27" spans="2:9" x14ac:dyDescent="0.25">
      <c r="B27" t="str">
        <f t="array" aca="1" ref="B27" ca="1">IF('Raw Data'!B28="",_xlfn.REGEXEXTRACT(CELL("address",'Raw Data'!B28),"\$([A-Z]+)\$[0-9]+"),"")</f>
        <v>$B$28</v>
      </c>
      <c r="C27" t="str">
        <f t="array" aca="1" ref="C27" ca="1">IF('Raw Data'!C28="",_xlfn.REGEXEXTRACT(CELL("address",'Raw Data'!C28),"\$([A-Z]+)\$[0-9]+"),"")</f>
        <v>$C$28</v>
      </c>
      <c r="D27" t="str">
        <f t="array" aca="1" ref="D27" ca="1">IF('Raw Data'!D28="",_xlfn.REGEXEXTRACT(CELL("address",'Raw Data'!D28),"\$([A-Z]+)\$[0-9]+"),"")</f>
        <v>$D$28</v>
      </c>
      <c r="E27" t="str">
        <f t="array" aca="1" ref="E27" ca="1">IF('Raw Data'!E28="",_xlfn.REGEXEXTRACT(CELL("address",'Raw Data'!E28),"\$([A-Z]+)\$[0-9]+"),"")</f>
        <v>$E$28</v>
      </c>
      <c r="F27" t="str">
        <f t="array" aca="1" ref="F27" ca="1">IF('Raw Data'!F28="",_xlfn.REGEXEXTRACT(CELL("address",'Raw Data'!F28),"\$([A-Z]+)\$[0-9]+"),"")</f>
        <v>$F$28</v>
      </c>
      <c r="G27" t="e">
        <f t="array" aca="1" ref="G27" ca="1">IF('Raw Data'!#REF!="",_xlfn.REGEXEXTRACT(CELL("address",'Raw Data'!#REF!),"\$([A-Z]+)\$[0-9]+"),"")</f>
        <v>#REF!</v>
      </c>
      <c r="H27" t="str">
        <f t="array" aca="1" ref="H27" ca="1">IF('Raw Data'!G28="",_xlfn.REGEXEXTRACT(CELL("address",'Raw Data'!G28),"\$([A-Z]+)\$[0-9]+"),"")</f>
        <v>$G$28</v>
      </c>
      <c r="I27" t="str">
        <f t="array" aca="1" ref="I27" ca="1">IF('Raw Data'!H28="",_xlfn.REGEXEXTRACT(CELL("address",'Raw Data'!H28),"\$([A-Z]+)\$[0-9]+"),"")</f>
        <v>$H$28</v>
      </c>
    </row>
    <row r="28" spans="2:9" x14ac:dyDescent="0.25">
      <c r="B28" t="str">
        <f t="array" aca="1" ref="B28" ca="1">IF('Raw Data'!B29="",_xlfn.REGEXEXTRACT(CELL("address",'Raw Data'!B29),"\$([A-Z]+)\$[0-9]+"),"")</f>
        <v>$B$29</v>
      </c>
      <c r="C28" t="str">
        <f t="array" aca="1" ref="C28" ca="1">IF('Raw Data'!C29="",_xlfn.REGEXEXTRACT(CELL("address",'Raw Data'!C29),"\$([A-Z]+)\$[0-9]+"),"")</f>
        <v>$C$29</v>
      </c>
      <c r="D28" t="str">
        <f t="array" aca="1" ref="D28" ca="1">IF('Raw Data'!D29="",_xlfn.REGEXEXTRACT(CELL("address",'Raw Data'!D29),"\$([A-Z]+)\$[0-9]+"),"")</f>
        <v>$D$29</v>
      </c>
      <c r="E28" t="str">
        <f t="array" aca="1" ref="E28" ca="1">IF('Raw Data'!E29="",_xlfn.REGEXEXTRACT(CELL("address",'Raw Data'!E29),"\$([A-Z]+)\$[0-9]+"),"")</f>
        <v>$E$29</v>
      </c>
      <c r="F28" t="str">
        <f t="array" aca="1" ref="F28" ca="1">IF('Raw Data'!F29="",_xlfn.REGEXEXTRACT(CELL("address",'Raw Data'!F29),"\$([A-Z]+)\$[0-9]+"),"")</f>
        <v>$F$29</v>
      </c>
      <c r="G28" t="e">
        <f t="array" aca="1" ref="G28" ca="1">IF('Raw Data'!#REF!="",_xlfn.REGEXEXTRACT(CELL("address",'Raw Data'!#REF!),"\$([A-Z]+)\$[0-9]+"),"")</f>
        <v>#REF!</v>
      </c>
      <c r="H28" t="str">
        <f t="array" aca="1" ref="H28" ca="1">IF('Raw Data'!G29="",_xlfn.REGEXEXTRACT(CELL("address",'Raw Data'!G29),"\$([A-Z]+)\$[0-9]+"),"")</f>
        <v>$G$29</v>
      </c>
      <c r="I28" t="str">
        <f t="array" aca="1" ref="I28" ca="1">IF('Raw Data'!H29="",_xlfn.REGEXEXTRACT(CELL("address",'Raw Data'!H29),"\$([A-Z]+)\$[0-9]+"),"")</f>
        <v>$H$29</v>
      </c>
    </row>
    <row r="29" spans="2:9" x14ac:dyDescent="0.25">
      <c r="B29" t="str">
        <f t="array" aca="1" ref="B29" ca="1">IF('Raw Data'!B30="",_xlfn.REGEXEXTRACT(CELL("address",'Raw Data'!B30),"\$([A-Z]+)\$[0-9]+"),"")</f>
        <v>$B$30</v>
      </c>
      <c r="C29" t="str">
        <f t="array" aca="1" ref="C29" ca="1">IF('Raw Data'!C30="",_xlfn.REGEXEXTRACT(CELL("address",'Raw Data'!C30),"\$([A-Z]+)\$[0-9]+"),"")</f>
        <v>$C$30</v>
      </c>
      <c r="D29" t="str">
        <f t="array" aca="1" ref="D29" ca="1">IF('Raw Data'!D30="",_xlfn.REGEXEXTRACT(CELL("address",'Raw Data'!D30),"\$([A-Z]+)\$[0-9]+"),"")</f>
        <v>$D$30</v>
      </c>
      <c r="E29" t="str">
        <f t="array" aca="1" ref="E29" ca="1">IF('Raw Data'!E30="",_xlfn.REGEXEXTRACT(CELL("address",'Raw Data'!E30),"\$([A-Z]+)\$[0-9]+"),"")</f>
        <v>$E$30</v>
      </c>
      <c r="F29" t="str">
        <f t="array" aca="1" ref="F29" ca="1">IF('Raw Data'!F30="",_xlfn.REGEXEXTRACT(CELL("address",'Raw Data'!F30),"\$([A-Z]+)\$[0-9]+"),"")</f>
        <v>$F$30</v>
      </c>
      <c r="G29" t="e">
        <f t="array" aca="1" ref="G29" ca="1">IF('Raw Data'!#REF!="",_xlfn.REGEXEXTRACT(CELL("address",'Raw Data'!#REF!),"\$([A-Z]+)\$[0-9]+"),"")</f>
        <v>#REF!</v>
      </c>
      <c r="H29" t="str">
        <f t="array" aca="1" ref="H29" ca="1">IF('Raw Data'!G30="",_xlfn.REGEXEXTRACT(CELL("address",'Raw Data'!G30),"\$([A-Z]+)\$[0-9]+"),"")</f>
        <v>$G$30</v>
      </c>
      <c r="I29" t="str">
        <f t="array" aca="1" ref="I29" ca="1">IF('Raw Data'!H30="",_xlfn.REGEXEXTRACT(CELL("address",'Raw Data'!H30),"\$([A-Z]+)\$[0-9]+"),"")</f>
        <v>$H$30</v>
      </c>
    </row>
    <row r="30" spans="2:9" x14ac:dyDescent="0.25">
      <c r="B30" t="str">
        <f t="array" aca="1" ref="B30" ca="1">IF('Raw Data'!B31="",_xlfn.REGEXEXTRACT(CELL("address",'Raw Data'!B31),"\$([A-Z]+)\$[0-9]+"),"")</f>
        <v>$B$31</v>
      </c>
      <c r="C30" t="str">
        <f t="array" aca="1" ref="C30" ca="1">IF('Raw Data'!C31="",_xlfn.REGEXEXTRACT(CELL("address",'Raw Data'!C31),"\$([A-Z]+)\$[0-9]+"),"")</f>
        <v>$C$31</v>
      </c>
      <c r="D30" t="str">
        <f t="array" aca="1" ref="D30" ca="1">IF('Raw Data'!D31="",_xlfn.REGEXEXTRACT(CELL("address",'Raw Data'!D31),"\$([A-Z]+)\$[0-9]+"),"")</f>
        <v>$D$31</v>
      </c>
      <c r="E30" t="str">
        <f t="array" aca="1" ref="E30" ca="1">IF('Raw Data'!E31="",_xlfn.REGEXEXTRACT(CELL("address",'Raw Data'!E31),"\$([A-Z]+)\$[0-9]+"),"")</f>
        <v>$E$31</v>
      </c>
      <c r="F30" t="str">
        <f t="array" aca="1" ref="F30" ca="1">IF('Raw Data'!F31="",_xlfn.REGEXEXTRACT(CELL("address",'Raw Data'!F31),"\$([A-Z]+)\$[0-9]+"),"")</f>
        <v>$F$31</v>
      </c>
      <c r="G30" t="e">
        <f t="array" aca="1" ref="G30" ca="1">IF('Raw Data'!#REF!="",_xlfn.REGEXEXTRACT(CELL("address",'Raw Data'!#REF!),"\$([A-Z]+)\$[0-9]+"),"")</f>
        <v>#REF!</v>
      </c>
      <c r="H30" t="str">
        <f t="array" aca="1" ref="H30" ca="1">IF('Raw Data'!G31="",_xlfn.REGEXEXTRACT(CELL("address",'Raw Data'!G31),"\$([A-Z]+)\$[0-9]+"),"")</f>
        <v>$G$31</v>
      </c>
      <c r="I30" t="str">
        <f t="array" aca="1" ref="I30" ca="1">IF('Raw Data'!H31="",_xlfn.REGEXEXTRACT(CELL("address",'Raw Data'!H31),"\$([A-Z]+)\$[0-9]+"),"")</f>
        <v>$H$31</v>
      </c>
    </row>
    <row r="31" spans="2:9" x14ac:dyDescent="0.25">
      <c r="B31" t="str">
        <f t="array" aca="1" ref="B31" ca="1">IF('Raw Data'!B32="",_xlfn.REGEXEXTRACT(CELL("address",'Raw Data'!B32),"\$([A-Z]+)\$[0-9]+"),"")</f>
        <v>$B$32</v>
      </c>
      <c r="C31" t="str">
        <f t="array" aca="1" ref="C31" ca="1">IF('Raw Data'!C32="",_xlfn.REGEXEXTRACT(CELL("address",'Raw Data'!C32),"\$([A-Z]+)\$[0-9]+"),"")</f>
        <v>$C$32</v>
      </c>
      <c r="D31" t="str">
        <f t="array" aca="1" ref="D31" ca="1">IF('Raw Data'!D32="",_xlfn.REGEXEXTRACT(CELL("address",'Raw Data'!D32),"\$([A-Z]+)\$[0-9]+"),"")</f>
        <v>$D$32</v>
      </c>
      <c r="E31" t="str">
        <f t="array" aca="1" ref="E31" ca="1">IF('Raw Data'!E32="",_xlfn.REGEXEXTRACT(CELL("address",'Raw Data'!E32),"\$([A-Z]+)\$[0-9]+"),"")</f>
        <v>$E$32</v>
      </c>
      <c r="F31" t="str">
        <f t="array" aca="1" ref="F31" ca="1">IF('Raw Data'!F32="",_xlfn.REGEXEXTRACT(CELL("address",'Raw Data'!F32),"\$([A-Z]+)\$[0-9]+"),"")</f>
        <v>$F$32</v>
      </c>
      <c r="G31" t="e">
        <f t="array" aca="1" ref="G31" ca="1">IF('Raw Data'!#REF!="",_xlfn.REGEXEXTRACT(CELL("address",'Raw Data'!#REF!),"\$([A-Z]+)\$[0-9]+"),"")</f>
        <v>#REF!</v>
      </c>
      <c r="H31" t="str">
        <f t="array" aca="1" ref="H31" ca="1">IF('Raw Data'!G32="",_xlfn.REGEXEXTRACT(CELL("address",'Raw Data'!G32),"\$([A-Z]+)\$[0-9]+"),"")</f>
        <v>$G$32</v>
      </c>
      <c r="I31" t="str">
        <f t="array" aca="1" ref="I31" ca="1">IF('Raw Data'!H32="",_xlfn.REGEXEXTRACT(CELL("address",'Raw Data'!H32),"\$([A-Z]+)\$[0-9]+"),"")</f>
        <v>$H$32</v>
      </c>
    </row>
    <row r="32" spans="2:9" x14ac:dyDescent="0.25">
      <c r="B32" t="str">
        <f t="array" aca="1" ref="B32" ca="1">IF('Raw Data'!B33="",_xlfn.REGEXEXTRACT(CELL("address",'Raw Data'!B33),"\$([A-Z]+)\$[0-9]+"),"")</f>
        <v>$B$33</v>
      </c>
      <c r="C32" t="str">
        <f t="array" aca="1" ref="C32" ca="1">IF('Raw Data'!C33="",_xlfn.REGEXEXTRACT(CELL("address",'Raw Data'!C33),"\$([A-Z]+)\$[0-9]+"),"")</f>
        <v>$C$33</v>
      </c>
      <c r="D32" t="str">
        <f t="array" aca="1" ref="D32" ca="1">IF('Raw Data'!D33="",_xlfn.REGEXEXTRACT(CELL("address",'Raw Data'!D33),"\$([A-Z]+)\$[0-9]+"),"")</f>
        <v>$D$33</v>
      </c>
      <c r="E32" t="str">
        <f t="array" aca="1" ref="E32" ca="1">IF('Raw Data'!E33="",_xlfn.REGEXEXTRACT(CELL("address",'Raw Data'!E33),"\$([A-Z]+)\$[0-9]+"),"")</f>
        <v>$E$33</v>
      </c>
      <c r="F32" t="str">
        <f t="array" aca="1" ref="F32" ca="1">IF('Raw Data'!F33="",_xlfn.REGEXEXTRACT(CELL("address",'Raw Data'!F33),"\$([A-Z]+)\$[0-9]+"),"")</f>
        <v>$F$33</v>
      </c>
      <c r="G32" t="e">
        <f t="array" aca="1" ref="G32" ca="1">IF('Raw Data'!#REF!="",_xlfn.REGEXEXTRACT(CELL("address",'Raw Data'!#REF!),"\$([A-Z]+)\$[0-9]+"),"")</f>
        <v>#REF!</v>
      </c>
      <c r="H32" t="str">
        <f t="array" aca="1" ref="H32" ca="1">IF('Raw Data'!G33="",_xlfn.REGEXEXTRACT(CELL("address",'Raw Data'!G33),"\$([A-Z]+)\$[0-9]+"),"")</f>
        <v>$G$33</v>
      </c>
      <c r="I32" t="str">
        <f t="array" aca="1" ref="I32" ca="1">IF('Raw Data'!H33="",_xlfn.REGEXEXTRACT(CELL("address",'Raw Data'!H33),"\$([A-Z]+)\$[0-9]+"),"")</f>
        <v>$H$33</v>
      </c>
    </row>
    <row r="33" spans="2:9" x14ac:dyDescent="0.25">
      <c r="B33" t="str">
        <f t="array" aca="1" ref="B33" ca="1">IF('Raw Data'!B34="",_xlfn.REGEXEXTRACT(CELL("address",'Raw Data'!B34),"\$([A-Z]+)\$[0-9]+"),"")</f>
        <v>$B$34</v>
      </c>
      <c r="C33" t="str">
        <f t="array" aca="1" ref="C33" ca="1">IF('Raw Data'!C34="",_xlfn.REGEXEXTRACT(CELL("address",'Raw Data'!C34),"\$([A-Z]+)\$[0-9]+"),"")</f>
        <v>$C$34</v>
      </c>
      <c r="D33" t="str">
        <f t="array" aca="1" ref="D33" ca="1">IF('Raw Data'!D34="",_xlfn.REGEXEXTRACT(CELL("address",'Raw Data'!D34),"\$([A-Z]+)\$[0-9]+"),"")</f>
        <v>$D$34</v>
      </c>
      <c r="E33" t="str">
        <f t="array" aca="1" ref="E33" ca="1">IF('Raw Data'!E34="",_xlfn.REGEXEXTRACT(CELL("address",'Raw Data'!E34),"\$([A-Z]+)\$[0-9]+"),"")</f>
        <v>$E$34</v>
      </c>
      <c r="F33" t="str">
        <f t="array" aca="1" ref="F33" ca="1">IF('Raw Data'!F34="",_xlfn.REGEXEXTRACT(CELL("address",'Raw Data'!F34),"\$([A-Z]+)\$[0-9]+"),"")</f>
        <v>$F$34</v>
      </c>
      <c r="G33" t="e">
        <f t="array" aca="1" ref="G33" ca="1">IF('Raw Data'!#REF!="",_xlfn.REGEXEXTRACT(CELL("address",'Raw Data'!#REF!),"\$([A-Z]+)\$[0-9]+"),"")</f>
        <v>#REF!</v>
      </c>
      <c r="H33" t="str">
        <f t="array" aca="1" ref="H33" ca="1">IF('Raw Data'!G34="",_xlfn.REGEXEXTRACT(CELL("address",'Raw Data'!G34),"\$([A-Z]+)\$[0-9]+"),"")</f>
        <v>$G$34</v>
      </c>
      <c r="I33" t="str">
        <f t="array" aca="1" ref="I33" ca="1">IF('Raw Data'!H34="",_xlfn.REGEXEXTRACT(CELL("address",'Raw Data'!H34),"\$([A-Z]+)\$[0-9]+"),"")</f>
        <v>$H$34</v>
      </c>
    </row>
    <row r="34" spans="2:9" x14ac:dyDescent="0.25">
      <c r="B34" t="str">
        <f t="array" aca="1" ref="B34" ca="1">IF('Raw Data'!B35="",_xlfn.REGEXEXTRACT(CELL("address",'Raw Data'!B35),"\$([A-Z]+)\$[0-9]+"),"")</f>
        <v>$B$35</v>
      </c>
      <c r="C34" t="str">
        <f t="array" aca="1" ref="C34" ca="1">IF('Raw Data'!C35="",_xlfn.REGEXEXTRACT(CELL("address",'Raw Data'!C35),"\$([A-Z]+)\$[0-9]+"),"")</f>
        <v>$C$35</v>
      </c>
      <c r="D34" t="str">
        <f t="array" aca="1" ref="D34" ca="1">IF('Raw Data'!D35="",_xlfn.REGEXEXTRACT(CELL("address",'Raw Data'!D35),"\$([A-Z]+)\$[0-9]+"),"")</f>
        <v>$D$35</v>
      </c>
      <c r="E34" t="str">
        <f t="array" aca="1" ref="E34" ca="1">IF('Raw Data'!E35="",_xlfn.REGEXEXTRACT(CELL("address",'Raw Data'!E35),"\$([A-Z]+)\$[0-9]+"),"")</f>
        <v>$E$35</v>
      </c>
      <c r="F34" t="str">
        <f t="array" aca="1" ref="F34" ca="1">IF('Raw Data'!F35="",_xlfn.REGEXEXTRACT(CELL("address",'Raw Data'!F35),"\$([A-Z]+)\$[0-9]+"),"")</f>
        <v>$F$35</v>
      </c>
      <c r="G34" t="e">
        <f t="array" aca="1" ref="G34" ca="1">IF('Raw Data'!#REF!="",_xlfn.REGEXEXTRACT(CELL("address",'Raw Data'!#REF!),"\$([A-Z]+)\$[0-9]+"),"")</f>
        <v>#REF!</v>
      </c>
      <c r="H34" t="str">
        <f t="array" aca="1" ref="H34" ca="1">IF('Raw Data'!G35="",_xlfn.REGEXEXTRACT(CELL("address",'Raw Data'!G35),"\$([A-Z]+)\$[0-9]+"),"")</f>
        <v>$G$35</v>
      </c>
      <c r="I34" t="str">
        <f t="array" aca="1" ref="I34" ca="1">IF('Raw Data'!H35="",_xlfn.REGEXEXTRACT(CELL("address",'Raw Data'!H35),"\$([A-Z]+)\$[0-9]+"),"")</f>
        <v>$H$35</v>
      </c>
    </row>
    <row r="35" spans="2:9" x14ac:dyDescent="0.25">
      <c r="B35" t="str">
        <f t="array" aca="1" ref="B35" ca="1">IF('Raw Data'!B36="",_xlfn.REGEXEXTRACT(CELL("address",'Raw Data'!B36),"\$([A-Z]+)\$[0-9]+"),"")</f>
        <v>$B$36</v>
      </c>
      <c r="C35" t="str">
        <f t="array" aca="1" ref="C35" ca="1">IF('Raw Data'!C36="",_xlfn.REGEXEXTRACT(CELL("address",'Raw Data'!C36),"\$([A-Z]+)\$[0-9]+"),"")</f>
        <v>$C$36</v>
      </c>
      <c r="D35" t="str">
        <f t="array" aca="1" ref="D35" ca="1">IF('Raw Data'!D36="",_xlfn.REGEXEXTRACT(CELL("address",'Raw Data'!D36),"\$([A-Z]+)\$[0-9]+"),"")</f>
        <v>$D$36</v>
      </c>
      <c r="E35" t="str">
        <f t="array" aca="1" ref="E35" ca="1">IF('Raw Data'!E36="",_xlfn.REGEXEXTRACT(CELL("address",'Raw Data'!E36),"\$([A-Z]+)\$[0-9]+"),"")</f>
        <v>$E$36</v>
      </c>
      <c r="F35" t="str">
        <f t="array" aca="1" ref="F35" ca="1">IF('Raw Data'!F36="",_xlfn.REGEXEXTRACT(CELL("address",'Raw Data'!F36),"\$([A-Z]+)\$[0-9]+"),"")</f>
        <v>$F$36</v>
      </c>
      <c r="G35" t="e">
        <f t="array" aca="1" ref="G35" ca="1">IF('Raw Data'!#REF!="",_xlfn.REGEXEXTRACT(CELL("address",'Raw Data'!#REF!),"\$([A-Z]+)\$[0-9]+"),"")</f>
        <v>#REF!</v>
      </c>
      <c r="H35" t="str">
        <f t="array" aca="1" ref="H35" ca="1">IF('Raw Data'!G36="",_xlfn.REGEXEXTRACT(CELL("address",'Raw Data'!G36),"\$([A-Z]+)\$[0-9]+"),"")</f>
        <v>$G$36</v>
      </c>
      <c r="I35" t="str">
        <f t="array" aca="1" ref="I35" ca="1">IF('Raw Data'!H36="",_xlfn.REGEXEXTRACT(CELL("address",'Raw Data'!H36),"\$([A-Z]+)\$[0-9]+"),"")</f>
        <v>$H$36</v>
      </c>
    </row>
    <row r="36" spans="2:9" x14ac:dyDescent="0.25">
      <c r="B36" t="str">
        <f t="array" aca="1" ref="B36" ca="1">IF('Raw Data'!B37="",_xlfn.REGEXEXTRACT(CELL("address",'Raw Data'!B37),"\$([A-Z]+)\$[0-9]+"),"")</f>
        <v>$B$37</v>
      </c>
      <c r="C36" t="str">
        <f t="array" aca="1" ref="C36" ca="1">IF('Raw Data'!C37="",_xlfn.REGEXEXTRACT(CELL("address",'Raw Data'!C37),"\$([A-Z]+)\$[0-9]+"),"")</f>
        <v>$C$37</v>
      </c>
      <c r="D36" t="str">
        <f t="array" aca="1" ref="D36" ca="1">IF('Raw Data'!D37="",_xlfn.REGEXEXTRACT(CELL("address",'Raw Data'!D37),"\$([A-Z]+)\$[0-9]+"),"")</f>
        <v>$D$37</v>
      </c>
      <c r="E36" t="str">
        <f t="array" aca="1" ref="E36" ca="1">IF('Raw Data'!E37="",_xlfn.REGEXEXTRACT(CELL("address",'Raw Data'!E37),"\$([A-Z]+)\$[0-9]+"),"")</f>
        <v>$E$37</v>
      </c>
      <c r="F36" t="str">
        <f t="array" aca="1" ref="F36" ca="1">IF('Raw Data'!F37="",_xlfn.REGEXEXTRACT(CELL("address",'Raw Data'!F37),"\$([A-Z]+)\$[0-9]+"),"")</f>
        <v>$F$37</v>
      </c>
      <c r="G36" t="e">
        <f t="array" aca="1" ref="G36" ca="1">IF('Raw Data'!#REF!="",_xlfn.REGEXEXTRACT(CELL("address",'Raw Data'!#REF!),"\$([A-Z]+)\$[0-9]+"),"")</f>
        <v>#REF!</v>
      </c>
      <c r="H36" t="str">
        <f t="array" aca="1" ref="H36" ca="1">IF('Raw Data'!G37="",_xlfn.REGEXEXTRACT(CELL("address",'Raw Data'!G37),"\$([A-Z]+)\$[0-9]+"),"")</f>
        <v>$G$37</v>
      </c>
      <c r="I36" t="str">
        <f t="array" aca="1" ref="I36" ca="1">IF('Raw Data'!H37="",_xlfn.REGEXEXTRACT(CELL("address",'Raw Data'!H37),"\$([A-Z]+)\$[0-9]+"),"")</f>
        <v>$H$37</v>
      </c>
    </row>
    <row r="37" spans="2:9" x14ac:dyDescent="0.25">
      <c r="B37" t="str">
        <f t="array" aca="1" ref="B37" ca="1">IF('Raw Data'!B38="",_xlfn.REGEXEXTRACT(CELL("address",'Raw Data'!B38),"\$([A-Z]+)\$[0-9]+"),"")</f>
        <v>$B$38</v>
      </c>
      <c r="C37" t="str">
        <f t="array" aca="1" ref="C37" ca="1">IF('Raw Data'!C38="",_xlfn.REGEXEXTRACT(CELL("address",'Raw Data'!C38),"\$([A-Z]+)\$[0-9]+"),"")</f>
        <v>$C$38</v>
      </c>
      <c r="D37" t="str">
        <f t="array" aca="1" ref="D37" ca="1">IF('Raw Data'!D38="",_xlfn.REGEXEXTRACT(CELL("address",'Raw Data'!D38),"\$([A-Z]+)\$[0-9]+"),"")</f>
        <v>$D$38</v>
      </c>
      <c r="E37" t="str">
        <f t="array" aca="1" ref="E37" ca="1">IF('Raw Data'!E38="",_xlfn.REGEXEXTRACT(CELL("address",'Raw Data'!E38),"\$([A-Z]+)\$[0-9]+"),"")</f>
        <v>$E$38</v>
      </c>
      <c r="F37" t="str">
        <f t="array" aca="1" ref="F37" ca="1">IF('Raw Data'!F38="",_xlfn.REGEXEXTRACT(CELL("address",'Raw Data'!F38),"\$([A-Z]+)\$[0-9]+"),"")</f>
        <v>$F$38</v>
      </c>
      <c r="G37" t="e">
        <f t="array" aca="1" ref="G37" ca="1">IF('Raw Data'!#REF!="",_xlfn.REGEXEXTRACT(CELL("address",'Raw Data'!#REF!),"\$([A-Z]+)\$[0-9]+"),"")</f>
        <v>#REF!</v>
      </c>
      <c r="H37" t="str">
        <f t="array" aca="1" ref="H37" ca="1">IF('Raw Data'!G38="",_xlfn.REGEXEXTRACT(CELL("address",'Raw Data'!G38),"\$([A-Z]+)\$[0-9]+"),"")</f>
        <v>$G$38</v>
      </c>
      <c r="I37" t="str">
        <f t="array" aca="1" ref="I37" ca="1">IF('Raw Data'!H38="",_xlfn.REGEXEXTRACT(CELL("address",'Raw Data'!H38),"\$([A-Z]+)\$[0-9]+"),"")</f>
        <v>$H$38</v>
      </c>
    </row>
    <row r="38" spans="2:9" x14ac:dyDescent="0.25">
      <c r="B38" t="str">
        <f t="array" aca="1" ref="B38" ca="1">IF('Raw Data'!B39="",_xlfn.REGEXEXTRACT(CELL("address",'Raw Data'!B39),"\$([A-Z]+)\$[0-9]+"),"")</f>
        <v>$B$39</v>
      </c>
      <c r="C38" t="str">
        <f t="array" aca="1" ref="C38" ca="1">IF('Raw Data'!C39="",_xlfn.REGEXEXTRACT(CELL("address",'Raw Data'!C39),"\$([A-Z]+)\$[0-9]+"),"")</f>
        <v>$C$39</v>
      </c>
      <c r="D38" t="str">
        <f t="array" aca="1" ref="D38" ca="1">IF('Raw Data'!D39="",_xlfn.REGEXEXTRACT(CELL("address",'Raw Data'!D39),"\$([A-Z]+)\$[0-9]+"),"")</f>
        <v>$D$39</v>
      </c>
      <c r="E38" t="str">
        <f t="array" aca="1" ref="E38" ca="1">IF('Raw Data'!E39="",_xlfn.REGEXEXTRACT(CELL("address",'Raw Data'!E39),"\$([A-Z]+)\$[0-9]+"),"")</f>
        <v>$E$39</v>
      </c>
      <c r="F38" t="str">
        <f t="array" aca="1" ref="F38" ca="1">IF('Raw Data'!F39="",_xlfn.REGEXEXTRACT(CELL("address",'Raw Data'!F39),"\$([A-Z]+)\$[0-9]+"),"")</f>
        <v>$F$39</v>
      </c>
      <c r="G38" t="e">
        <f t="array" aca="1" ref="G38" ca="1">IF('Raw Data'!#REF!="",_xlfn.REGEXEXTRACT(CELL("address",'Raw Data'!#REF!),"\$([A-Z]+)\$[0-9]+"),"")</f>
        <v>#REF!</v>
      </c>
      <c r="H38" t="str">
        <f t="array" aca="1" ref="H38" ca="1">IF('Raw Data'!G39="",_xlfn.REGEXEXTRACT(CELL("address",'Raw Data'!G39),"\$([A-Z]+)\$[0-9]+"),"")</f>
        <v>$G$39</v>
      </c>
      <c r="I38" t="str">
        <f t="array" aca="1" ref="I38" ca="1">IF('Raw Data'!H39="",_xlfn.REGEXEXTRACT(CELL("address",'Raw Data'!H39),"\$([A-Z]+)\$[0-9]+"),"")</f>
        <v>$H$39</v>
      </c>
    </row>
    <row r="39" spans="2:9" x14ac:dyDescent="0.25">
      <c r="B39" t="str">
        <f t="array" aca="1" ref="B39" ca="1">IF('Raw Data'!B40="",_xlfn.REGEXEXTRACT(CELL("address",'Raw Data'!B40),"\$([A-Z]+)\$[0-9]+"),"")</f>
        <v>$B$40</v>
      </c>
      <c r="C39" t="str">
        <f t="array" aca="1" ref="C39" ca="1">IF('Raw Data'!C40="",_xlfn.REGEXEXTRACT(CELL("address",'Raw Data'!C40),"\$([A-Z]+)\$[0-9]+"),"")</f>
        <v>$C$40</v>
      </c>
      <c r="D39" t="str">
        <f t="array" aca="1" ref="D39" ca="1">IF('Raw Data'!D40="",_xlfn.REGEXEXTRACT(CELL("address",'Raw Data'!D40),"\$([A-Z]+)\$[0-9]+"),"")</f>
        <v>$D$40</v>
      </c>
      <c r="E39" t="str">
        <f t="array" aca="1" ref="E39" ca="1">IF('Raw Data'!E40="",_xlfn.REGEXEXTRACT(CELL("address",'Raw Data'!E40),"\$([A-Z]+)\$[0-9]+"),"")</f>
        <v>$E$40</v>
      </c>
      <c r="F39" t="str">
        <f t="array" aca="1" ref="F39" ca="1">IF('Raw Data'!F40="",_xlfn.REGEXEXTRACT(CELL("address",'Raw Data'!F40),"\$([A-Z]+)\$[0-9]+"),"")</f>
        <v>$F$40</v>
      </c>
      <c r="G39" t="e">
        <f t="array" aca="1" ref="G39" ca="1">IF('Raw Data'!#REF!="",_xlfn.REGEXEXTRACT(CELL("address",'Raw Data'!#REF!),"\$([A-Z]+)\$[0-9]+"),"")</f>
        <v>#REF!</v>
      </c>
      <c r="H39" t="str">
        <f t="array" aca="1" ref="H39" ca="1">IF('Raw Data'!G40="",_xlfn.REGEXEXTRACT(CELL("address",'Raw Data'!G40),"\$([A-Z]+)\$[0-9]+"),"")</f>
        <v>$G$40</v>
      </c>
      <c r="I39" t="str">
        <f t="array" aca="1" ref="I39" ca="1">IF('Raw Data'!H40="",_xlfn.REGEXEXTRACT(CELL("address",'Raw Data'!H40),"\$([A-Z]+)\$[0-9]+"),"")</f>
        <v>$H$40</v>
      </c>
    </row>
    <row r="40" spans="2:9" x14ac:dyDescent="0.25">
      <c r="B40" t="str">
        <f t="array" aca="1" ref="B40" ca="1">IF('Raw Data'!B41="",_xlfn.REGEXEXTRACT(CELL("address",'Raw Data'!B41),"\$([A-Z]+)\$[0-9]+"),"")</f>
        <v>$B$41</v>
      </c>
      <c r="C40" t="str">
        <f t="array" aca="1" ref="C40" ca="1">IF('Raw Data'!C41="",_xlfn.REGEXEXTRACT(CELL("address",'Raw Data'!C41),"\$([A-Z]+)\$[0-9]+"),"")</f>
        <v>$C$41</v>
      </c>
      <c r="D40" t="str">
        <f t="array" aca="1" ref="D40" ca="1">IF('Raw Data'!D41="",_xlfn.REGEXEXTRACT(CELL("address",'Raw Data'!D41),"\$([A-Z]+)\$[0-9]+"),"")</f>
        <v>$D$41</v>
      </c>
      <c r="E40" t="str">
        <f t="array" aca="1" ref="E40" ca="1">IF('Raw Data'!E41="",_xlfn.REGEXEXTRACT(CELL("address",'Raw Data'!E41),"\$([A-Z]+)\$[0-9]+"),"")</f>
        <v>$E$41</v>
      </c>
      <c r="F40" t="str">
        <f t="array" aca="1" ref="F40" ca="1">IF('Raw Data'!F41="",_xlfn.REGEXEXTRACT(CELL("address",'Raw Data'!F41),"\$([A-Z]+)\$[0-9]+"),"")</f>
        <v>$F$41</v>
      </c>
      <c r="G40" t="e">
        <f t="array" aca="1" ref="G40" ca="1">IF('Raw Data'!#REF!="",_xlfn.REGEXEXTRACT(CELL("address",'Raw Data'!#REF!),"\$([A-Z]+)\$[0-9]+"),"")</f>
        <v>#REF!</v>
      </c>
      <c r="H40" t="str">
        <f t="array" aca="1" ref="H40" ca="1">IF('Raw Data'!G41="",_xlfn.REGEXEXTRACT(CELL("address",'Raw Data'!G41),"\$([A-Z]+)\$[0-9]+"),"")</f>
        <v>$G$41</v>
      </c>
      <c r="I40" t="str">
        <f t="array" aca="1" ref="I40" ca="1">IF('Raw Data'!H41="",_xlfn.REGEXEXTRACT(CELL("address",'Raw Data'!H41),"\$([A-Z]+)\$[0-9]+"),"")</f>
        <v>$H$41</v>
      </c>
    </row>
    <row r="41" spans="2:9" x14ac:dyDescent="0.25">
      <c r="B41" t="str">
        <f t="array" aca="1" ref="B41" ca="1">IF('Raw Data'!B42="",_xlfn.REGEXEXTRACT(CELL("address",'Raw Data'!B42),"\$([A-Z]+)\$[0-9]+"),"")</f>
        <v>$B$42</v>
      </c>
      <c r="C41" t="str">
        <f t="array" aca="1" ref="C41" ca="1">IF('Raw Data'!C42="",_xlfn.REGEXEXTRACT(CELL("address",'Raw Data'!C42),"\$([A-Z]+)\$[0-9]+"),"")</f>
        <v>$C$42</v>
      </c>
      <c r="D41" t="str">
        <f t="array" aca="1" ref="D41" ca="1">IF('Raw Data'!D42="",_xlfn.REGEXEXTRACT(CELL("address",'Raw Data'!D42),"\$([A-Z]+)\$[0-9]+"),"")</f>
        <v>$D$42</v>
      </c>
      <c r="E41" t="str">
        <f t="array" aca="1" ref="E41" ca="1">IF('Raw Data'!E42="",_xlfn.REGEXEXTRACT(CELL("address",'Raw Data'!E42),"\$([A-Z]+)\$[0-9]+"),"")</f>
        <v>$E$42</v>
      </c>
      <c r="F41" t="str">
        <f t="array" aca="1" ref="F41" ca="1">IF('Raw Data'!F42="",_xlfn.REGEXEXTRACT(CELL("address",'Raw Data'!F42),"\$([A-Z]+)\$[0-9]+"),"")</f>
        <v>$F$42</v>
      </c>
      <c r="G41" t="e">
        <f t="array" aca="1" ref="G41" ca="1">IF('Raw Data'!#REF!="",_xlfn.REGEXEXTRACT(CELL("address",'Raw Data'!#REF!),"\$([A-Z]+)\$[0-9]+"),"")</f>
        <v>#REF!</v>
      </c>
      <c r="H41" t="str">
        <f t="array" aca="1" ref="H41" ca="1">IF('Raw Data'!G42="",_xlfn.REGEXEXTRACT(CELL("address",'Raw Data'!G42),"\$([A-Z]+)\$[0-9]+"),"")</f>
        <v>$G$42</v>
      </c>
      <c r="I41" t="str">
        <f t="array" aca="1" ref="I41" ca="1">IF('Raw Data'!H42="",_xlfn.REGEXEXTRACT(CELL("address",'Raw Data'!H42),"\$([A-Z]+)\$[0-9]+"),"")</f>
        <v>$H$42</v>
      </c>
    </row>
    <row r="42" spans="2:9" x14ac:dyDescent="0.25">
      <c r="B42" t="str">
        <f t="array" aca="1" ref="B42" ca="1">IF('Raw Data'!B43="",_xlfn.REGEXEXTRACT(CELL("address",'Raw Data'!B43),"\$([A-Z]+)\$[0-9]+"),"")</f>
        <v>$B$43</v>
      </c>
      <c r="C42" t="str">
        <f t="array" aca="1" ref="C42" ca="1">IF('Raw Data'!C43="",_xlfn.REGEXEXTRACT(CELL("address",'Raw Data'!C43),"\$([A-Z]+)\$[0-9]+"),"")</f>
        <v>$C$43</v>
      </c>
      <c r="D42" t="str">
        <f t="array" aca="1" ref="D42" ca="1">IF('Raw Data'!D43="",_xlfn.REGEXEXTRACT(CELL("address",'Raw Data'!D43),"\$([A-Z]+)\$[0-9]+"),"")</f>
        <v>$D$43</v>
      </c>
      <c r="E42" t="str">
        <f t="array" aca="1" ref="E42" ca="1">IF('Raw Data'!E43="",_xlfn.REGEXEXTRACT(CELL("address",'Raw Data'!E43),"\$([A-Z]+)\$[0-9]+"),"")</f>
        <v>$E$43</v>
      </c>
      <c r="F42" t="str">
        <f t="array" aca="1" ref="F42" ca="1">IF('Raw Data'!F43="",_xlfn.REGEXEXTRACT(CELL("address",'Raw Data'!F43),"\$([A-Z]+)\$[0-9]+"),"")</f>
        <v>$F$43</v>
      </c>
      <c r="G42" t="e">
        <f t="array" aca="1" ref="G42" ca="1">IF('Raw Data'!#REF!="",_xlfn.REGEXEXTRACT(CELL("address",'Raw Data'!#REF!),"\$([A-Z]+)\$[0-9]+"),"")</f>
        <v>#REF!</v>
      </c>
      <c r="H42" t="str">
        <f t="array" aca="1" ref="H42" ca="1">IF('Raw Data'!G43="",_xlfn.REGEXEXTRACT(CELL("address",'Raw Data'!G43),"\$([A-Z]+)\$[0-9]+"),"")</f>
        <v>$G$43</v>
      </c>
      <c r="I42" t="str">
        <f t="array" aca="1" ref="I42" ca="1">IF('Raw Data'!H43="",_xlfn.REGEXEXTRACT(CELL("address",'Raw Data'!H43),"\$([A-Z]+)\$[0-9]+"),"")</f>
        <v>$H$43</v>
      </c>
    </row>
    <row r="43" spans="2:9" x14ac:dyDescent="0.25">
      <c r="B43" t="str">
        <f t="array" aca="1" ref="B43" ca="1">IF('Raw Data'!B44="",_xlfn.REGEXEXTRACT(CELL("address",'Raw Data'!B44),"\$([A-Z]+)\$[0-9]+"),"")</f>
        <v>$B$44</v>
      </c>
      <c r="C43" t="str">
        <f t="array" aca="1" ref="C43" ca="1">IF('Raw Data'!C44="",_xlfn.REGEXEXTRACT(CELL("address",'Raw Data'!C44),"\$([A-Z]+)\$[0-9]+"),"")</f>
        <v>$C$44</v>
      </c>
      <c r="D43" t="str">
        <f t="array" aca="1" ref="D43" ca="1">IF('Raw Data'!D44="",_xlfn.REGEXEXTRACT(CELL("address",'Raw Data'!D44),"\$([A-Z]+)\$[0-9]+"),"")</f>
        <v>$D$44</v>
      </c>
      <c r="E43" t="str">
        <f t="array" aca="1" ref="E43" ca="1">IF('Raw Data'!E44="",_xlfn.REGEXEXTRACT(CELL("address",'Raw Data'!E44),"\$([A-Z]+)\$[0-9]+"),"")</f>
        <v>$E$44</v>
      </c>
      <c r="F43" t="str">
        <f t="array" aca="1" ref="F43" ca="1">IF('Raw Data'!F44="",_xlfn.REGEXEXTRACT(CELL("address",'Raw Data'!F44),"\$([A-Z]+)\$[0-9]+"),"")</f>
        <v>$F$44</v>
      </c>
      <c r="G43" t="e">
        <f t="array" aca="1" ref="G43" ca="1">IF('Raw Data'!#REF!="",_xlfn.REGEXEXTRACT(CELL("address",'Raw Data'!#REF!),"\$([A-Z]+)\$[0-9]+"),"")</f>
        <v>#REF!</v>
      </c>
      <c r="H43" t="str">
        <f t="array" aca="1" ref="H43" ca="1">IF('Raw Data'!G44="",_xlfn.REGEXEXTRACT(CELL("address",'Raw Data'!G44),"\$([A-Z]+)\$[0-9]+"),"")</f>
        <v>$G$44</v>
      </c>
      <c r="I43" t="str">
        <f t="array" aca="1" ref="I43" ca="1">IF('Raw Data'!H44="",_xlfn.REGEXEXTRACT(CELL("address",'Raw Data'!H44),"\$([A-Z]+)\$[0-9]+"),"")</f>
        <v>$H$44</v>
      </c>
    </row>
    <row r="44" spans="2:9" x14ac:dyDescent="0.25">
      <c r="B44" t="str">
        <f t="array" aca="1" ref="B44" ca="1">IF('Raw Data'!B45="",_xlfn.REGEXEXTRACT(CELL("address",'Raw Data'!B45),"\$([A-Z]+)\$[0-9]+"),"")</f>
        <v>$B$45</v>
      </c>
      <c r="C44" t="str">
        <f t="array" aca="1" ref="C44" ca="1">IF('Raw Data'!C45="",_xlfn.REGEXEXTRACT(CELL("address",'Raw Data'!C45),"\$([A-Z]+)\$[0-9]+"),"")</f>
        <v>$C$45</v>
      </c>
      <c r="D44" t="str">
        <f t="array" aca="1" ref="D44" ca="1">IF('Raw Data'!D45="",_xlfn.REGEXEXTRACT(CELL("address",'Raw Data'!D45),"\$([A-Z]+)\$[0-9]+"),"")</f>
        <v>$D$45</v>
      </c>
      <c r="E44" t="str">
        <f t="array" aca="1" ref="E44" ca="1">IF('Raw Data'!E45="",_xlfn.REGEXEXTRACT(CELL("address",'Raw Data'!E45),"\$([A-Z]+)\$[0-9]+"),"")</f>
        <v>$E$45</v>
      </c>
      <c r="F44" t="str">
        <f t="array" aca="1" ref="F44" ca="1">IF('Raw Data'!F45="",_xlfn.REGEXEXTRACT(CELL("address",'Raw Data'!F45),"\$([A-Z]+)\$[0-9]+"),"")</f>
        <v>$F$45</v>
      </c>
      <c r="G44" t="e">
        <f t="array" aca="1" ref="G44" ca="1">IF('Raw Data'!#REF!="",_xlfn.REGEXEXTRACT(CELL("address",'Raw Data'!#REF!),"\$([A-Z]+)\$[0-9]+"),"")</f>
        <v>#REF!</v>
      </c>
      <c r="H44" t="str">
        <f t="array" aca="1" ref="H44" ca="1">IF('Raw Data'!G45="",_xlfn.REGEXEXTRACT(CELL("address",'Raw Data'!G45),"\$([A-Z]+)\$[0-9]+"),"")</f>
        <v>$G$45</v>
      </c>
      <c r="I44" t="str">
        <f t="array" aca="1" ref="I44" ca="1">IF('Raw Data'!H45="",_xlfn.REGEXEXTRACT(CELL("address",'Raw Data'!H45),"\$([A-Z]+)\$[0-9]+"),"")</f>
        <v>$H$45</v>
      </c>
    </row>
    <row r="45" spans="2:9" x14ac:dyDescent="0.25">
      <c r="B45" t="str">
        <f t="array" aca="1" ref="B45" ca="1">IF('Raw Data'!B46="",_xlfn.REGEXEXTRACT(CELL("address",'Raw Data'!B46),"\$([A-Z]+)\$[0-9]+"),"")</f>
        <v>$B$46</v>
      </c>
      <c r="C45" t="str">
        <f t="array" aca="1" ref="C45" ca="1">IF('Raw Data'!C46="",_xlfn.REGEXEXTRACT(CELL("address",'Raw Data'!C46),"\$([A-Z]+)\$[0-9]+"),"")</f>
        <v>$C$46</v>
      </c>
      <c r="D45" t="str">
        <f t="array" aca="1" ref="D45" ca="1">IF('Raw Data'!D46="",_xlfn.REGEXEXTRACT(CELL("address",'Raw Data'!D46),"\$([A-Z]+)\$[0-9]+"),"")</f>
        <v>$D$46</v>
      </c>
      <c r="E45" t="str">
        <f t="array" aca="1" ref="E45" ca="1">IF('Raw Data'!E46="",_xlfn.REGEXEXTRACT(CELL("address",'Raw Data'!E46),"\$([A-Z]+)\$[0-9]+"),"")</f>
        <v>$E$46</v>
      </c>
      <c r="F45" t="str">
        <f t="array" aca="1" ref="F45" ca="1">IF('Raw Data'!F46="",_xlfn.REGEXEXTRACT(CELL("address",'Raw Data'!F46),"\$([A-Z]+)\$[0-9]+"),"")</f>
        <v>$F$46</v>
      </c>
      <c r="G45" t="e">
        <f t="array" aca="1" ref="G45" ca="1">IF('Raw Data'!#REF!="",_xlfn.REGEXEXTRACT(CELL("address",'Raw Data'!#REF!),"\$([A-Z]+)\$[0-9]+"),"")</f>
        <v>#REF!</v>
      </c>
      <c r="H45" t="str">
        <f t="array" aca="1" ref="H45" ca="1">IF('Raw Data'!G46="",_xlfn.REGEXEXTRACT(CELL("address",'Raw Data'!G46),"\$([A-Z]+)\$[0-9]+"),"")</f>
        <v>$G$46</v>
      </c>
      <c r="I45" t="str">
        <f t="array" aca="1" ref="I45" ca="1">IF('Raw Data'!H46="",_xlfn.REGEXEXTRACT(CELL("address",'Raw Data'!H46),"\$([A-Z]+)\$[0-9]+"),"")</f>
        <v>$H$46</v>
      </c>
    </row>
    <row r="46" spans="2:9" x14ac:dyDescent="0.25">
      <c r="B46" t="str">
        <f t="array" aca="1" ref="B46" ca="1">IF('Raw Data'!B47="",_xlfn.REGEXEXTRACT(CELL("address",'Raw Data'!B47),"\$([A-Z]+)\$[0-9]+"),"")</f>
        <v>$B$47</v>
      </c>
      <c r="C46" t="str">
        <f t="array" aca="1" ref="C46" ca="1">IF('Raw Data'!C47="",_xlfn.REGEXEXTRACT(CELL("address",'Raw Data'!C47),"\$([A-Z]+)\$[0-9]+"),"")</f>
        <v>$C$47</v>
      </c>
      <c r="D46" t="str">
        <f t="array" aca="1" ref="D46" ca="1">IF('Raw Data'!D47="",_xlfn.REGEXEXTRACT(CELL("address",'Raw Data'!D47),"\$([A-Z]+)\$[0-9]+"),"")</f>
        <v>$D$47</v>
      </c>
      <c r="E46" t="str">
        <f t="array" aca="1" ref="E46" ca="1">IF('Raw Data'!E47="",_xlfn.REGEXEXTRACT(CELL("address",'Raw Data'!E47),"\$([A-Z]+)\$[0-9]+"),"")</f>
        <v>$E$47</v>
      </c>
      <c r="F46" t="str">
        <f t="array" aca="1" ref="F46" ca="1">IF('Raw Data'!F47="",_xlfn.REGEXEXTRACT(CELL("address",'Raw Data'!F47),"\$([A-Z]+)\$[0-9]+"),"")</f>
        <v>$F$47</v>
      </c>
      <c r="G46" t="e">
        <f t="array" aca="1" ref="G46" ca="1">IF('Raw Data'!#REF!="",_xlfn.REGEXEXTRACT(CELL("address",'Raw Data'!#REF!),"\$([A-Z]+)\$[0-9]+"),"")</f>
        <v>#REF!</v>
      </c>
      <c r="H46" t="str">
        <f t="array" aca="1" ref="H46" ca="1">IF('Raw Data'!G47="",_xlfn.REGEXEXTRACT(CELL("address",'Raw Data'!G47),"\$([A-Z]+)\$[0-9]+"),"")</f>
        <v>$G$47</v>
      </c>
      <c r="I46" t="str">
        <f t="array" aca="1" ref="I46" ca="1">IF('Raw Data'!H47="",_xlfn.REGEXEXTRACT(CELL("address",'Raw Data'!H47),"\$([A-Z]+)\$[0-9]+"),"")</f>
        <v>$H$47</v>
      </c>
    </row>
    <row r="47" spans="2:9" x14ac:dyDescent="0.25">
      <c r="B47" t="str">
        <f t="array" aca="1" ref="B47" ca="1">IF('Raw Data'!B48="",_xlfn.REGEXEXTRACT(CELL("address",'Raw Data'!B48),"\$([A-Z]+)\$[0-9]+"),"")</f>
        <v>$B$48</v>
      </c>
      <c r="C47" t="str">
        <f t="array" aca="1" ref="C47" ca="1">IF('Raw Data'!C48="",_xlfn.REGEXEXTRACT(CELL("address",'Raw Data'!C48),"\$([A-Z]+)\$[0-9]+"),"")</f>
        <v>$C$48</v>
      </c>
      <c r="D47" t="str">
        <f t="array" aca="1" ref="D47" ca="1">IF('Raw Data'!D48="",_xlfn.REGEXEXTRACT(CELL("address",'Raw Data'!D48),"\$([A-Z]+)\$[0-9]+"),"")</f>
        <v>$D$48</v>
      </c>
      <c r="E47" t="str">
        <f t="array" aca="1" ref="E47" ca="1">IF('Raw Data'!E48="",_xlfn.REGEXEXTRACT(CELL("address",'Raw Data'!E48),"\$([A-Z]+)\$[0-9]+"),"")</f>
        <v>$E$48</v>
      </c>
      <c r="F47" t="str">
        <f t="array" aca="1" ref="F47" ca="1">IF('Raw Data'!F48="",_xlfn.REGEXEXTRACT(CELL("address",'Raw Data'!F48),"\$([A-Z]+)\$[0-9]+"),"")</f>
        <v>$F$48</v>
      </c>
      <c r="G47" t="e">
        <f t="array" aca="1" ref="G47" ca="1">IF('Raw Data'!#REF!="",_xlfn.REGEXEXTRACT(CELL("address",'Raw Data'!#REF!),"\$([A-Z]+)\$[0-9]+"),"")</f>
        <v>#REF!</v>
      </c>
      <c r="H47" t="str">
        <f t="array" aca="1" ref="H47" ca="1">IF('Raw Data'!G48="",_xlfn.REGEXEXTRACT(CELL("address",'Raw Data'!G48),"\$([A-Z]+)\$[0-9]+"),"")</f>
        <v>$G$48</v>
      </c>
      <c r="I47" t="str">
        <f t="array" aca="1" ref="I47" ca="1">IF('Raw Data'!H48="",_xlfn.REGEXEXTRACT(CELL("address",'Raw Data'!H48),"\$([A-Z]+)\$[0-9]+"),"")</f>
        <v>$H$48</v>
      </c>
    </row>
    <row r="48" spans="2:9" x14ac:dyDescent="0.25">
      <c r="B48" t="str">
        <f t="array" aca="1" ref="B48" ca="1">IF('Raw Data'!B49="",_xlfn.REGEXEXTRACT(CELL("address",'Raw Data'!B49),"\$([A-Z]+)\$[0-9]+"),"")</f>
        <v>$B$49</v>
      </c>
      <c r="C48" t="str">
        <f t="array" aca="1" ref="C48" ca="1">IF('Raw Data'!C49="",_xlfn.REGEXEXTRACT(CELL("address",'Raw Data'!C49),"\$([A-Z]+)\$[0-9]+"),"")</f>
        <v>$C$49</v>
      </c>
      <c r="D48" t="str">
        <f t="array" aca="1" ref="D48" ca="1">IF('Raw Data'!D49="",_xlfn.REGEXEXTRACT(CELL("address",'Raw Data'!D49),"\$([A-Z]+)\$[0-9]+"),"")</f>
        <v>$D$49</v>
      </c>
      <c r="E48" t="str">
        <f t="array" aca="1" ref="E48" ca="1">IF('Raw Data'!E49="",_xlfn.REGEXEXTRACT(CELL("address",'Raw Data'!E49),"\$([A-Z]+)\$[0-9]+"),"")</f>
        <v>$E$49</v>
      </c>
      <c r="F48" t="str">
        <f t="array" aca="1" ref="F48" ca="1">IF('Raw Data'!F49="",_xlfn.REGEXEXTRACT(CELL("address",'Raw Data'!F49),"\$([A-Z]+)\$[0-9]+"),"")</f>
        <v>$F$49</v>
      </c>
      <c r="G48" t="e">
        <f t="array" aca="1" ref="G48" ca="1">IF('Raw Data'!#REF!="",_xlfn.REGEXEXTRACT(CELL("address",'Raw Data'!#REF!),"\$([A-Z]+)\$[0-9]+"),"")</f>
        <v>#REF!</v>
      </c>
      <c r="H48" t="str">
        <f t="array" aca="1" ref="H48" ca="1">IF('Raw Data'!G49="",_xlfn.REGEXEXTRACT(CELL("address",'Raw Data'!G49),"\$([A-Z]+)\$[0-9]+"),"")</f>
        <v>$G$49</v>
      </c>
      <c r="I48" t="str">
        <f t="array" aca="1" ref="I48" ca="1">IF('Raw Data'!H49="",_xlfn.REGEXEXTRACT(CELL("address",'Raw Data'!H49),"\$([A-Z]+)\$[0-9]+"),"")</f>
        <v>$H$49</v>
      </c>
    </row>
    <row r="49" spans="2:9" x14ac:dyDescent="0.25">
      <c r="B49" t="str">
        <f t="array" aca="1" ref="B49" ca="1">IF('Raw Data'!B50="",_xlfn.REGEXEXTRACT(CELL("address",'Raw Data'!B50),"\$([A-Z]+)\$[0-9]+"),"")</f>
        <v>$B$50</v>
      </c>
      <c r="C49" t="str">
        <f t="array" aca="1" ref="C49" ca="1">IF('Raw Data'!C50="",_xlfn.REGEXEXTRACT(CELL("address",'Raw Data'!C50),"\$([A-Z]+)\$[0-9]+"),"")</f>
        <v>$C$50</v>
      </c>
      <c r="D49" t="str">
        <f t="array" aca="1" ref="D49" ca="1">IF('Raw Data'!D50="",_xlfn.REGEXEXTRACT(CELL("address",'Raw Data'!D50),"\$([A-Z]+)\$[0-9]+"),"")</f>
        <v>$D$50</v>
      </c>
      <c r="E49" t="str">
        <f t="array" aca="1" ref="E49" ca="1">IF('Raw Data'!E50="",_xlfn.REGEXEXTRACT(CELL("address",'Raw Data'!E50),"\$([A-Z]+)\$[0-9]+"),"")</f>
        <v>$E$50</v>
      </c>
      <c r="F49" t="str">
        <f t="array" aca="1" ref="F49" ca="1">IF('Raw Data'!F50="",_xlfn.REGEXEXTRACT(CELL("address",'Raw Data'!F50),"\$([A-Z]+)\$[0-9]+"),"")</f>
        <v>$F$50</v>
      </c>
      <c r="G49" t="e">
        <f t="array" aca="1" ref="G49" ca="1">IF('Raw Data'!#REF!="",_xlfn.REGEXEXTRACT(CELL("address",'Raw Data'!#REF!),"\$([A-Z]+)\$[0-9]+"),"")</f>
        <v>#REF!</v>
      </c>
      <c r="H49" t="str">
        <f t="array" aca="1" ref="H49" ca="1">IF('Raw Data'!G50="",_xlfn.REGEXEXTRACT(CELL("address",'Raw Data'!G50),"\$([A-Z]+)\$[0-9]+"),"")</f>
        <v>$G$50</v>
      </c>
      <c r="I49" t="str">
        <f t="array" aca="1" ref="I49" ca="1">IF('Raw Data'!H50="",_xlfn.REGEXEXTRACT(CELL("address",'Raw Data'!H50),"\$([A-Z]+)\$[0-9]+"),"")</f>
        <v>$H$50</v>
      </c>
    </row>
    <row r="50" spans="2:9" x14ac:dyDescent="0.25">
      <c r="B50" t="str">
        <f t="array" aca="1" ref="B50" ca="1">IF('Raw Data'!B51="",_xlfn.REGEXEXTRACT(CELL("address",'Raw Data'!B51),"\$([A-Z]+)\$[0-9]+"),"")</f>
        <v>$B$51</v>
      </c>
      <c r="C50" t="str">
        <f t="array" aca="1" ref="C50" ca="1">IF('Raw Data'!C51="",_xlfn.REGEXEXTRACT(CELL("address",'Raw Data'!C51),"\$([A-Z]+)\$[0-9]+"),"")</f>
        <v>$C$51</v>
      </c>
      <c r="D50" t="str">
        <f t="array" aca="1" ref="D50" ca="1">IF('Raw Data'!D51="",_xlfn.REGEXEXTRACT(CELL("address",'Raw Data'!D51),"\$([A-Z]+)\$[0-9]+"),"")</f>
        <v>$D$51</v>
      </c>
      <c r="E50" t="str">
        <f t="array" aca="1" ref="E50" ca="1">IF('Raw Data'!E51="",_xlfn.REGEXEXTRACT(CELL("address",'Raw Data'!E51),"\$([A-Z]+)\$[0-9]+"),"")</f>
        <v>$E$51</v>
      </c>
      <c r="F50" t="str">
        <f t="array" aca="1" ref="F50" ca="1">IF('Raw Data'!F51="",_xlfn.REGEXEXTRACT(CELL("address",'Raw Data'!F51),"\$([A-Z]+)\$[0-9]+"),"")</f>
        <v>$F$51</v>
      </c>
      <c r="G50" t="e">
        <f t="array" aca="1" ref="G50" ca="1">IF('Raw Data'!#REF!="",_xlfn.REGEXEXTRACT(CELL("address",'Raw Data'!#REF!),"\$([A-Z]+)\$[0-9]+"),"")</f>
        <v>#REF!</v>
      </c>
      <c r="H50" t="str">
        <f t="array" aca="1" ref="H50" ca="1">IF('Raw Data'!G51="",_xlfn.REGEXEXTRACT(CELL("address",'Raw Data'!G51),"\$([A-Z]+)\$[0-9]+"),"")</f>
        <v>$G$51</v>
      </c>
      <c r="I50" t="str">
        <f t="array" aca="1" ref="I50" ca="1">IF('Raw Data'!H51="",_xlfn.REGEXEXTRACT(CELL("address",'Raw Data'!H51),"\$([A-Z]+)\$[0-9]+"),"")</f>
        <v>$H$51</v>
      </c>
    </row>
    <row r="51" spans="2:9" x14ac:dyDescent="0.25">
      <c r="B51" t="str">
        <f t="array" aca="1" ref="B51" ca="1">IF('Raw Data'!B52="",_xlfn.REGEXEXTRACT(CELL("address",'Raw Data'!B52),"\$([A-Z]+)\$[0-9]+"),"")</f>
        <v>$B$52</v>
      </c>
      <c r="C51" t="str">
        <f t="array" aca="1" ref="C51" ca="1">IF('Raw Data'!C52="",_xlfn.REGEXEXTRACT(CELL("address",'Raw Data'!C52),"\$([A-Z]+)\$[0-9]+"),"")</f>
        <v>$C$52</v>
      </c>
      <c r="D51" t="str">
        <f t="array" aca="1" ref="D51" ca="1">IF('Raw Data'!D52="",_xlfn.REGEXEXTRACT(CELL("address",'Raw Data'!D52),"\$([A-Z]+)\$[0-9]+"),"")</f>
        <v>$D$52</v>
      </c>
      <c r="E51" t="str">
        <f t="array" aca="1" ref="E51" ca="1">IF('Raw Data'!E52="",_xlfn.REGEXEXTRACT(CELL("address",'Raw Data'!E52),"\$([A-Z]+)\$[0-9]+"),"")</f>
        <v>$E$52</v>
      </c>
      <c r="F51" t="str">
        <f t="array" aca="1" ref="F51" ca="1">IF('Raw Data'!F52="",_xlfn.REGEXEXTRACT(CELL("address",'Raw Data'!F52),"\$([A-Z]+)\$[0-9]+"),"")</f>
        <v>$F$52</v>
      </c>
      <c r="G51" t="e">
        <f t="array" aca="1" ref="G51" ca="1">IF('Raw Data'!#REF!="",_xlfn.REGEXEXTRACT(CELL("address",'Raw Data'!#REF!),"\$([A-Z]+)\$[0-9]+"),"")</f>
        <v>#REF!</v>
      </c>
      <c r="H51" t="str">
        <f t="array" aca="1" ref="H51" ca="1">IF('Raw Data'!G52="",_xlfn.REGEXEXTRACT(CELL("address",'Raw Data'!G52),"\$([A-Z]+)\$[0-9]+"),"")</f>
        <v>$G$52</v>
      </c>
      <c r="I51" t="str">
        <f t="array" aca="1" ref="I51" ca="1">IF('Raw Data'!H52="",_xlfn.REGEXEXTRACT(CELL("address",'Raw Data'!H52),"\$([A-Z]+)\$[0-9]+"),"")</f>
        <v>$H$52</v>
      </c>
    </row>
    <row r="52" spans="2:9" x14ac:dyDescent="0.25">
      <c r="B52" t="str">
        <f t="array" aca="1" ref="B52" ca="1">IF('Raw Data'!B53="",_xlfn.REGEXEXTRACT(CELL("address",'Raw Data'!B53),"\$([A-Z]+)\$[0-9]+"),"")</f>
        <v>$B$53</v>
      </c>
      <c r="C52" t="str">
        <f t="array" aca="1" ref="C52" ca="1">IF('Raw Data'!C53="",_xlfn.REGEXEXTRACT(CELL("address",'Raw Data'!C53),"\$([A-Z]+)\$[0-9]+"),"")</f>
        <v>$C$53</v>
      </c>
      <c r="D52" t="str">
        <f t="array" aca="1" ref="D52" ca="1">IF('Raw Data'!D53="",_xlfn.REGEXEXTRACT(CELL("address",'Raw Data'!D53),"\$([A-Z]+)\$[0-9]+"),"")</f>
        <v>$D$53</v>
      </c>
      <c r="E52" t="str">
        <f t="array" aca="1" ref="E52" ca="1">IF('Raw Data'!E53="",_xlfn.REGEXEXTRACT(CELL("address",'Raw Data'!E53),"\$([A-Z]+)\$[0-9]+"),"")</f>
        <v>$E$53</v>
      </c>
      <c r="F52" t="str">
        <f t="array" aca="1" ref="F52" ca="1">IF('Raw Data'!F53="",_xlfn.REGEXEXTRACT(CELL("address",'Raw Data'!F53),"\$([A-Z]+)\$[0-9]+"),"")</f>
        <v>$F$53</v>
      </c>
      <c r="G52" t="e">
        <f t="array" aca="1" ref="G52" ca="1">IF('Raw Data'!#REF!="",_xlfn.REGEXEXTRACT(CELL("address",'Raw Data'!#REF!),"\$([A-Z]+)\$[0-9]+"),"")</f>
        <v>#REF!</v>
      </c>
      <c r="H52" t="str">
        <f t="array" aca="1" ref="H52" ca="1">IF('Raw Data'!G53="",_xlfn.REGEXEXTRACT(CELL("address",'Raw Data'!G53),"\$([A-Z]+)\$[0-9]+"),"")</f>
        <v>$G$53</v>
      </c>
      <c r="I52" t="str">
        <f t="array" aca="1" ref="I52" ca="1">IF('Raw Data'!H53="",_xlfn.REGEXEXTRACT(CELL("address",'Raw Data'!H53),"\$([A-Z]+)\$[0-9]+"),"")</f>
        <v>$H$53</v>
      </c>
    </row>
    <row r="53" spans="2:9" x14ac:dyDescent="0.25">
      <c r="B53" t="str">
        <f t="array" aca="1" ref="B53" ca="1">IF('Raw Data'!B54="",_xlfn.REGEXEXTRACT(CELL("address",'Raw Data'!B54),"\$([A-Z]+)\$[0-9]+"),"")</f>
        <v>$B$54</v>
      </c>
      <c r="C53" t="str">
        <f t="array" aca="1" ref="C53" ca="1">IF('Raw Data'!C54="",_xlfn.REGEXEXTRACT(CELL("address",'Raw Data'!C54),"\$([A-Z]+)\$[0-9]+"),"")</f>
        <v>$C$54</v>
      </c>
      <c r="D53" t="str">
        <f t="array" aca="1" ref="D53" ca="1">IF('Raw Data'!D54="",_xlfn.REGEXEXTRACT(CELL("address",'Raw Data'!D54),"\$([A-Z]+)\$[0-9]+"),"")</f>
        <v>$D$54</v>
      </c>
      <c r="E53" t="str">
        <f t="array" aca="1" ref="E53" ca="1">IF('Raw Data'!E54="",_xlfn.REGEXEXTRACT(CELL("address",'Raw Data'!E54),"\$([A-Z]+)\$[0-9]+"),"")</f>
        <v>$E$54</v>
      </c>
      <c r="F53" t="str">
        <f t="array" aca="1" ref="F53" ca="1">IF('Raw Data'!F54="",_xlfn.REGEXEXTRACT(CELL("address",'Raw Data'!F54),"\$([A-Z]+)\$[0-9]+"),"")</f>
        <v>$F$54</v>
      </c>
      <c r="G53" t="e">
        <f t="array" aca="1" ref="G53" ca="1">IF('Raw Data'!#REF!="",_xlfn.REGEXEXTRACT(CELL("address",'Raw Data'!#REF!),"\$([A-Z]+)\$[0-9]+"),"")</f>
        <v>#REF!</v>
      </c>
      <c r="H53" t="str">
        <f t="array" aca="1" ref="H53" ca="1">IF('Raw Data'!G54="",_xlfn.REGEXEXTRACT(CELL("address",'Raw Data'!G54),"\$([A-Z]+)\$[0-9]+"),"")</f>
        <v>$G$54</v>
      </c>
      <c r="I53" t="str">
        <f t="array" aca="1" ref="I53" ca="1">IF('Raw Data'!H54="",_xlfn.REGEXEXTRACT(CELL("address",'Raw Data'!H54),"\$([A-Z]+)\$[0-9]+"),"")</f>
        <v>$H$54</v>
      </c>
    </row>
    <row r="54" spans="2:9" x14ac:dyDescent="0.25">
      <c r="B54" t="str">
        <f t="array" aca="1" ref="B54" ca="1">IF('Raw Data'!B55="",_xlfn.REGEXEXTRACT(CELL("address",'Raw Data'!B55),"\$([A-Z]+)\$[0-9]+"),"")</f>
        <v>$B$55</v>
      </c>
      <c r="C54" t="str">
        <f t="array" aca="1" ref="C54" ca="1">IF('Raw Data'!C55="",_xlfn.REGEXEXTRACT(CELL("address",'Raw Data'!C55),"\$([A-Z]+)\$[0-9]+"),"")</f>
        <v>$C$55</v>
      </c>
      <c r="D54" t="str">
        <f t="array" aca="1" ref="D54" ca="1">IF('Raw Data'!D55="",_xlfn.REGEXEXTRACT(CELL("address",'Raw Data'!D55),"\$([A-Z]+)\$[0-9]+"),"")</f>
        <v>$D$55</v>
      </c>
      <c r="E54" t="str">
        <f t="array" aca="1" ref="E54" ca="1">IF('Raw Data'!E55="",_xlfn.REGEXEXTRACT(CELL("address",'Raw Data'!E55),"\$([A-Z]+)\$[0-9]+"),"")</f>
        <v>$E$55</v>
      </c>
      <c r="F54" t="str">
        <f t="array" aca="1" ref="F54" ca="1">IF('Raw Data'!F55="",_xlfn.REGEXEXTRACT(CELL("address",'Raw Data'!F55),"\$([A-Z]+)\$[0-9]+"),"")</f>
        <v>$F$55</v>
      </c>
      <c r="G54" t="e">
        <f t="array" aca="1" ref="G54" ca="1">IF('Raw Data'!#REF!="",_xlfn.REGEXEXTRACT(CELL("address",'Raw Data'!#REF!),"\$([A-Z]+)\$[0-9]+"),"")</f>
        <v>#REF!</v>
      </c>
      <c r="H54" t="str">
        <f t="array" aca="1" ref="H54" ca="1">IF('Raw Data'!G55="",_xlfn.REGEXEXTRACT(CELL("address",'Raw Data'!G55),"\$([A-Z]+)\$[0-9]+"),"")</f>
        <v>$G$55</v>
      </c>
      <c r="I54" t="str">
        <f t="array" aca="1" ref="I54" ca="1">IF('Raw Data'!H55="",_xlfn.REGEXEXTRACT(CELL("address",'Raw Data'!H55),"\$([A-Z]+)\$[0-9]+"),"")</f>
        <v>$H$55</v>
      </c>
    </row>
    <row r="55" spans="2:9" x14ac:dyDescent="0.25">
      <c r="B55" t="str">
        <f t="array" aca="1" ref="B55" ca="1">IF('Raw Data'!B56="",_xlfn.REGEXEXTRACT(CELL("address",'Raw Data'!B56),"\$([A-Z]+)\$[0-9]+"),"")</f>
        <v>$B$56</v>
      </c>
      <c r="C55" t="str">
        <f t="array" aca="1" ref="C55" ca="1">IF('Raw Data'!C56="",_xlfn.REGEXEXTRACT(CELL("address",'Raw Data'!C56),"\$([A-Z]+)\$[0-9]+"),"")</f>
        <v>$C$56</v>
      </c>
      <c r="D55" t="str">
        <f t="array" aca="1" ref="D55" ca="1">IF('Raw Data'!D56="",_xlfn.REGEXEXTRACT(CELL("address",'Raw Data'!D56),"\$([A-Z]+)\$[0-9]+"),"")</f>
        <v>$D$56</v>
      </c>
      <c r="E55" t="str">
        <f t="array" aca="1" ref="E55" ca="1">IF('Raw Data'!E56="",_xlfn.REGEXEXTRACT(CELL("address",'Raw Data'!E56),"\$([A-Z]+)\$[0-9]+"),"")</f>
        <v>$E$56</v>
      </c>
      <c r="F55" t="str">
        <f t="array" aca="1" ref="F55" ca="1">IF('Raw Data'!F56="",_xlfn.REGEXEXTRACT(CELL("address",'Raw Data'!F56),"\$([A-Z]+)\$[0-9]+"),"")</f>
        <v>$F$56</v>
      </c>
      <c r="G55" t="e">
        <f t="array" aca="1" ref="G55" ca="1">IF('Raw Data'!#REF!="",_xlfn.REGEXEXTRACT(CELL("address",'Raw Data'!#REF!),"\$([A-Z]+)\$[0-9]+"),"")</f>
        <v>#REF!</v>
      </c>
      <c r="H55" t="str">
        <f t="array" aca="1" ref="H55" ca="1">IF('Raw Data'!G56="",_xlfn.REGEXEXTRACT(CELL("address",'Raw Data'!G56),"\$([A-Z]+)\$[0-9]+"),"")</f>
        <v>$G$56</v>
      </c>
      <c r="I55" t="str">
        <f t="array" aca="1" ref="I55" ca="1">IF('Raw Data'!H56="",_xlfn.REGEXEXTRACT(CELL("address",'Raw Data'!H56),"\$([A-Z]+)\$[0-9]+"),"")</f>
        <v>$H$56</v>
      </c>
    </row>
    <row r="56" spans="2:9" x14ac:dyDescent="0.25">
      <c r="B56" t="str">
        <f t="array" aca="1" ref="B56" ca="1">IF('Raw Data'!B57="",_xlfn.REGEXEXTRACT(CELL("address",'Raw Data'!B57),"\$([A-Z]+)\$[0-9]+"),"")</f>
        <v>$B$57</v>
      </c>
      <c r="C56" t="str">
        <f t="array" aca="1" ref="C56" ca="1">IF('Raw Data'!C57="",_xlfn.REGEXEXTRACT(CELL("address",'Raw Data'!C57),"\$([A-Z]+)\$[0-9]+"),"")</f>
        <v>$C$57</v>
      </c>
      <c r="D56" t="str">
        <f t="array" aca="1" ref="D56" ca="1">IF('Raw Data'!D57="",_xlfn.REGEXEXTRACT(CELL("address",'Raw Data'!D57),"\$([A-Z]+)\$[0-9]+"),"")</f>
        <v>$D$57</v>
      </c>
      <c r="E56" t="str">
        <f t="array" aca="1" ref="E56" ca="1">IF('Raw Data'!E57="",_xlfn.REGEXEXTRACT(CELL("address",'Raw Data'!E57),"\$([A-Z]+)\$[0-9]+"),"")</f>
        <v>$E$57</v>
      </c>
      <c r="F56" t="str">
        <f t="array" aca="1" ref="F56" ca="1">IF('Raw Data'!F57="",_xlfn.REGEXEXTRACT(CELL("address",'Raw Data'!F57),"\$([A-Z]+)\$[0-9]+"),"")</f>
        <v>$F$57</v>
      </c>
      <c r="G56" t="e">
        <f t="array" aca="1" ref="G56" ca="1">IF('Raw Data'!#REF!="",_xlfn.REGEXEXTRACT(CELL("address",'Raw Data'!#REF!),"\$([A-Z]+)\$[0-9]+"),"")</f>
        <v>#REF!</v>
      </c>
      <c r="H56" t="str">
        <f t="array" aca="1" ref="H56" ca="1">IF('Raw Data'!G57="",_xlfn.REGEXEXTRACT(CELL("address",'Raw Data'!G57),"\$([A-Z]+)\$[0-9]+"),"")</f>
        <v>$G$57</v>
      </c>
      <c r="I56" t="str">
        <f t="array" aca="1" ref="I56" ca="1">IF('Raw Data'!H57="",_xlfn.REGEXEXTRACT(CELL("address",'Raw Data'!H57),"\$([A-Z]+)\$[0-9]+"),"")</f>
        <v>$H$57</v>
      </c>
    </row>
    <row r="57" spans="2:9" x14ac:dyDescent="0.25">
      <c r="B57" t="str">
        <f t="array" aca="1" ref="B57" ca="1">IF('Raw Data'!B58="",_xlfn.REGEXEXTRACT(CELL("address",'Raw Data'!B58),"\$([A-Z]+)\$[0-9]+"),"")</f>
        <v>$B$58</v>
      </c>
      <c r="C57" t="str">
        <f t="array" aca="1" ref="C57" ca="1">IF('Raw Data'!C58="",_xlfn.REGEXEXTRACT(CELL("address",'Raw Data'!C58),"\$([A-Z]+)\$[0-9]+"),"")</f>
        <v>$C$58</v>
      </c>
      <c r="D57" t="str">
        <f t="array" aca="1" ref="D57" ca="1">IF('Raw Data'!D58="",_xlfn.REGEXEXTRACT(CELL("address",'Raw Data'!D58),"\$([A-Z]+)\$[0-9]+"),"")</f>
        <v>$D$58</v>
      </c>
      <c r="E57" t="str">
        <f t="array" aca="1" ref="E57" ca="1">IF('Raw Data'!E58="",_xlfn.REGEXEXTRACT(CELL("address",'Raw Data'!E58),"\$([A-Z]+)\$[0-9]+"),"")</f>
        <v>$E$58</v>
      </c>
      <c r="F57" t="str">
        <f t="array" aca="1" ref="F57" ca="1">IF('Raw Data'!F58="",_xlfn.REGEXEXTRACT(CELL("address",'Raw Data'!F58),"\$([A-Z]+)\$[0-9]+"),"")</f>
        <v>$F$58</v>
      </c>
      <c r="G57" t="e">
        <f t="array" aca="1" ref="G57" ca="1">IF('Raw Data'!#REF!="",_xlfn.REGEXEXTRACT(CELL("address",'Raw Data'!#REF!),"\$([A-Z]+)\$[0-9]+"),"")</f>
        <v>#REF!</v>
      </c>
      <c r="H57" t="str">
        <f t="array" aca="1" ref="H57" ca="1">IF('Raw Data'!G58="",_xlfn.REGEXEXTRACT(CELL("address",'Raw Data'!G58),"\$([A-Z]+)\$[0-9]+"),"")</f>
        <v>$G$58</v>
      </c>
      <c r="I57" t="str">
        <f t="array" aca="1" ref="I57" ca="1">IF('Raw Data'!H58="",_xlfn.REGEXEXTRACT(CELL("address",'Raw Data'!H58),"\$([A-Z]+)\$[0-9]+"),"")</f>
        <v>$H$58</v>
      </c>
    </row>
    <row r="58" spans="2:9" x14ac:dyDescent="0.25">
      <c r="B58" t="str">
        <f t="array" aca="1" ref="B58" ca="1">IF('Raw Data'!B59="",_xlfn.REGEXEXTRACT(CELL("address",'Raw Data'!B59),"\$([A-Z]+)\$[0-9]+"),"")</f>
        <v>$B$59</v>
      </c>
      <c r="C58" t="str">
        <f t="array" aca="1" ref="C58" ca="1">IF('Raw Data'!C59="",_xlfn.REGEXEXTRACT(CELL("address",'Raw Data'!C59),"\$([A-Z]+)\$[0-9]+"),"")</f>
        <v>$C$59</v>
      </c>
      <c r="D58" t="str">
        <f t="array" aca="1" ref="D58" ca="1">IF('Raw Data'!D59="",_xlfn.REGEXEXTRACT(CELL("address",'Raw Data'!D59),"\$([A-Z]+)\$[0-9]+"),"")</f>
        <v>$D$59</v>
      </c>
      <c r="E58" t="str">
        <f t="array" aca="1" ref="E58" ca="1">IF('Raw Data'!E59="",_xlfn.REGEXEXTRACT(CELL("address",'Raw Data'!E59),"\$([A-Z]+)\$[0-9]+"),"")</f>
        <v>$E$59</v>
      </c>
      <c r="F58" t="str">
        <f t="array" aca="1" ref="F58" ca="1">IF('Raw Data'!F59="",_xlfn.REGEXEXTRACT(CELL("address",'Raw Data'!F59),"\$([A-Z]+)\$[0-9]+"),"")</f>
        <v>$F$59</v>
      </c>
      <c r="G58" t="e">
        <f t="array" aca="1" ref="G58" ca="1">IF('Raw Data'!#REF!="",_xlfn.REGEXEXTRACT(CELL("address",'Raw Data'!#REF!),"\$([A-Z]+)\$[0-9]+"),"")</f>
        <v>#REF!</v>
      </c>
      <c r="H58" t="str">
        <f t="array" aca="1" ref="H58" ca="1">IF('Raw Data'!G59="",_xlfn.REGEXEXTRACT(CELL("address",'Raw Data'!G59),"\$([A-Z]+)\$[0-9]+"),"")</f>
        <v>$G$59</v>
      </c>
      <c r="I58" t="str">
        <f t="array" aca="1" ref="I58" ca="1">IF('Raw Data'!H59="",_xlfn.REGEXEXTRACT(CELL("address",'Raw Data'!H59),"\$([A-Z]+)\$[0-9]+"),"")</f>
        <v>$H$59</v>
      </c>
    </row>
    <row r="59" spans="2:9" x14ac:dyDescent="0.25">
      <c r="B59" t="str">
        <f t="array" aca="1" ref="B59" ca="1">IF('Raw Data'!B60="",_xlfn.REGEXEXTRACT(CELL("address",'Raw Data'!B60),"\$([A-Z]+)\$[0-9]+"),"")</f>
        <v>$B$60</v>
      </c>
      <c r="C59" t="str">
        <f t="array" aca="1" ref="C59" ca="1">IF('Raw Data'!C60="",_xlfn.REGEXEXTRACT(CELL("address",'Raw Data'!C60),"\$([A-Z]+)\$[0-9]+"),"")</f>
        <v>$C$60</v>
      </c>
      <c r="D59" t="str">
        <f t="array" aca="1" ref="D59" ca="1">IF('Raw Data'!D60="",_xlfn.REGEXEXTRACT(CELL("address",'Raw Data'!D60),"\$([A-Z]+)\$[0-9]+"),"")</f>
        <v>$D$60</v>
      </c>
      <c r="E59" t="str">
        <f t="array" aca="1" ref="E59" ca="1">IF('Raw Data'!E60="",_xlfn.REGEXEXTRACT(CELL("address",'Raw Data'!E60),"\$([A-Z]+)\$[0-9]+"),"")</f>
        <v>$E$60</v>
      </c>
      <c r="F59" t="str">
        <f t="array" aca="1" ref="F59" ca="1">IF('Raw Data'!F60="",_xlfn.REGEXEXTRACT(CELL("address",'Raw Data'!F60),"\$([A-Z]+)\$[0-9]+"),"")</f>
        <v>$F$60</v>
      </c>
      <c r="G59" t="e">
        <f t="array" aca="1" ref="G59" ca="1">IF('Raw Data'!#REF!="",_xlfn.REGEXEXTRACT(CELL("address",'Raw Data'!#REF!),"\$([A-Z]+)\$[0-9]+"),"")</f>
        <v>#REF!</v>
      </c>
      <c r="H59" t="str">
        <f t="array" aca="1" ref="H59" ca="1">IF('Raw Data'!G60="",_xlfn.REGEXEXTRACT(CELL("address",'Raw Data'!G60),"\$([A-Z]+)\$[0-9]+"),"")</f>
        <v>$G$60</v>
      </c>
      <c r="I59" t="str">
        <f t="array" aca="1" ref="I59" ca="1">IF('Raw Data'!H60="",_xlfn.REGEXEXTRACT(CELL("address",'Raw Data'!H60),"\$([A-Z]+)\$[0-9]+"),"")</f>
        <v>$H$60</v>
      </c>
    </row>
    <row r="60" spans="2:9" x14ac:dyDescent="0.25">
      <c r="B60" t="str">
        <f t="array" aca="1" ref="B60" ca="1">IF('Raw Data'!B61="",_xlfn.REGEXEXTRACT(CELL("address",'Raw Data'!B61),"\$([A-Z]+)\$[0-9]+"),"")</f>
        <v>$B$61</v>
      </c>
      <c r="C60" t="str">
        <f t="array" aca="1" ref="C60" ca="1">IF('Raw Data'!C61="",_xlfn.REGEXEXTRACT(CELL("address",'Raw Data'!C61),"\$([A-Z]+)\$[0-9]+"),"")</f>
        <v>$C$61</v>
      </c>
      <c r="D60" t="str">
        <f t="array" aca="1" ref="D60" ca="1">IF('Raw Data'!D61="",_xlfn.REGEXEXTRACT(CELL("address",'Raw Data'!D61),"\$([A-Z]+)\$[0-9]+"),"")</f>
        <v>$D$61</v>
      </c>
      <c r="E60" t="str">
        <f t="array" aca="1" ref="E60" ca="1">IF('Raw Data'!E61="",_xlfn.REGEXEXTRACT(CELL("address",'Raw Data'!E61),"\$([A-Z]+)\$[0-9]+"),"")</f>
        <v>$E$61</v>
      </c>
      <c r="F60" t="str">
        <f t="array" aca="1" ref="F60" ca="1">IF('Raw Data'!F61="",_xlfn.REGEXEXTRACT(CELL("address",'Raw Data'!F61),"\$([A-Z]+)\$[0-9]+"),"")</f>
        <v>$F$61</v>
      </c>
      <c r="G60" t="e">
        <f t="array" aca="1" ref="G60" ca="1">IF('Raw Data'!#REF!="",_xlfn.REGEXEXTRACT(CELL("address",'Raw Data'!#REF!),"\$([A-Z]+)\$[0-9]+"),"")</f>
        <v>#REF!</v>
      </c>
      <c r="H60" t="str">
        <f t="array" aca="1" ref="H60" ca="1">IF('Raw Data'!G61="",_xlfn.REGEXEXTRACT(CELL("address",'Raw Data'!G61),"\$([A-Z]+)\$[0-9]+"),"")</f>
        <v>$G$61</v>
      </c>
      <c r="I60" t="str">
        <f t="array" aca="1" ref="I60" ca="1">IF('Raw Data'!H61="",_xlfn.REGEXEXTRACT(CELL("address",'Raw Data'!H61),"\$([A-Z]+)\$[0-9]+"),"")</f>
        <v>$H$61</v>
      </c>
    </row>
    <row r="61" spans="2:9" x14ac:dyDescent="0.25">
      <c r="B61" t="str">
        <f t="array" aca="1" ref="B61" ca="1">IF('Raw Data'!B62="",_xlfn.REGEXEXTRACT(CELL("address",'Raw Data'!B62),"\$([A-Z]+)\$[0-9]+"),"")</f>
        <v>$B$62</v>
      </c>
      <c r="C61" t="str">
        <f t="array" aca="1" ref="C61" ca="1">IF('Raw Data'!C62="",_xlfn.REGEXEXTRACT(CELL("address",'Raw Data'!C62),"\$([A-Z]+)\$[0-9]+"),"")</f>
        <v>$C$62</v>
      </c>
      <c r="D61" t="str">
        <f t="array" aca="1" ref="D61" ca="1">IF('Raw Data'!D62="",_xlfn.REGEXEXTRACT(CELL("address",'Raw Data'!D62),"\$([A-Z]+)\$[0-9]+"),"")</f>
        <v>$D$62</v>
      </c>
      <c r="E61" t="str">
        <f t="array" aca="1" ref="E61" ca="1">IF('Raw Data'!E62="",_xlfn.REGEXEXTRACT(CELL("address",'Raw Data'!E62),"\$([A-Z]+)\$[0-9]+"),"")</f>
        <v>$E$62</v>
      </c>
      <c r="F61" t="str">
        <f t="array" aca="1" ref="F61" ca="1">IF('Raw Data'!F62="",_xlfn.REGEXEXTRACT(CELL("address",'Raw Data'!F62),"\$([A-Z]+)\$[0-9]+"),"")</f>
        <v>$F$62</v>
      </c>
      <c r="G61" t="e">
        <f t="array" aca="1" ref="G61" ca="1">IF('Raw Data'!#REF!="",_xlfn.REGEXEXTRACT(CELL("address",'Raw Data'!#REF!),"\$([A-Z]+)\$[0-9]+"),"")</f>
        <v>#REF!</v>
      </c>
      <c r="H61" t="str">
        <f t="array" aca="1" ref="H61" ca="1">IF('Raw Data'!G62="",_xlfn.REGEXEXTRACT(CELL("address",'Raw Data'!G62),"\$([A-Z]+)\$[0-9]+"),"")</f>
        <v>$G$62</v>
      </c>
      <c r="I61" t="str">
        <f t="array" aca="1" ref="I61" ca="1">IF('Raw Data'!H62="",_xlfn.REGEXEXTRACT(CELL("address",'Raw Data'!H62),"\$([A-Z]+)\$[0-9]+"),"")</f>
        <v>$H$62</v>
      </c>
    </row>
    <row r="62" spans="2:9" x14ac:dyDescent="0.25">
      <c r="B62" t="str">
        <f t="array" aca="1" ref="B62" ca="1">IF('Raw Data'!B63="",_xlfn.REGEXEXTRACT(CELL("address",'Raw Data'!B63),"\$([A-Z]+)\$[0-9]+"),"")</f>
        <v>$B$63</v>
      </c>
      <c r="C62" t="str">
        <f t="array" aca="1" ref="C62" ca="1">IF('Raw Data'!C63="",_xlfn.REGEXEXTRACT(CELL("address",'Raw Data'!C63),"\$([A-Z]+)\$[0-9]+"),"")</f>
        <v>$C$63</v>
      </c>
      <c r="D62" t="str">
        <f t="array" aca="1" ref="D62" ca="1">IF('Raw Data'!D63="",_xlfn.REGEXEXTRACT(CELL("address",'Raw Data'!D63),"\$([A-Z]+)\$[0-9]+"),"")</f>
        <v>$D$63</v>
      </c>
      <c r="E62" t="str">
        <f t="array" aca="1" ref="E62" ca="1">IF('Raw Data'!E63="",_xlfn.REGEXEXTRACT(CELL("address",'Raw Data'!E63),"\$([A-Z]+)\$[0-9]+"),"")</f>
        <v>$E$63</v>
      </c>
      <c r="F62" t="str">
        <f t="array" aca="1" ref="F62" ca="1">IF('Raw Data'!F63="",_xlfn.REGEXEXTRACT(CELL("address",'Raw Data'!F63),"\$([A-Z]+)\$[0-9]+"),"")</f>
        <v>$F$63</v>
      </c>
      <c r="G62" t="e">
        <f t="array" aca="1" ref="G62" ca="1">IF('Raw Data'!#REF!="",_xlfn.REGEXEXTRACT(CELL("address",'Raw Data'!#REF!),"\$([A-Z]+)\$[0-9]+"),"")</f>
        <v>#REF!</v>
      </c>
      <c r="H62" t="str">
        <f t="array" aca="1" ref="H62" ca="1">IF('Raw Data'!G63="",_xlfn.REGEXEXTRACT(CELL("address",'Raw Data'!G63),"\$([A-Z]+)\$[0-9]+"),"")</f>
        <v>$G$63</v>
      </c>
      <c r="I62" t="str">
        <f t="array" aca="1" ref="I62" ca="1">IF('Raw Data'!H63="",_xlfn.REGEXEXTRACT(CELL("address",'Raw Data'!H63),"\$([A-Z]+)\$[0-9]+"),"")</f>
        <v>$H$63</v>
      </c>
    </row>
    <row r="63" spans="2:9" x14ac:dyDescent="0.25">
      <c r="B63" t="str">
        <f t="array" aca="1" ref="B63" ca="1">IF('Raw Data'!B64="",_xlfn.REGEXEXTRACT(CELL("address",'Raw Data'!B64),"\$([A-Z]+)\$[0-9]+"),"")</f>
        <v>$B$64</v>
      </c>
      <c r="C63" t="str">
        <f t="array" aca="1" ref="C63" ca="1">IF('Raw Data'!C64="",_xlfn.REGEXEXTRACT(CELL("address",'Raw Data'!C64),"\$([A-Z]+)\$[0-9]+"),"")</f>
        <v>$C$64</v>
      </c>
      <c r="D63" t="str">
        <f t="array" aca="1" ref="D63" ca="1">IF('Raw Data'!D64="",_xlfn.REGEXEXTRACT(CELL("address",'Raw Data'!D64),"\$([A-Z]+)\$[0-9]+"),"")</f>
        <v>$D$64</v>
      </c>
      <c r="E63" t="str">
        <f t="array" aca="1" ref="E63" ca="1">IF('Raw Data'!E64="",_xlfn.REGEXEXTRACT(CELL("address",'Raw Data'!E64),"\$([A-Z]+)\$[0-9]+"),"")</f>
        <v>$E$64</v>
      </c>
      <c r="F63" t="str">
        <f t="array" aca="1" ref="F63" ca="1">IF('Raw Data'!F64="",_xlfn.REGEXEXTRACT(CELL("address",'Raw Data'!F64),"\$([A-Z]+)\$[0-9]+"),"")</f>
        <v>$F$64</v>
      </c>
      <c r="G63" t="e">
        <f t="array" aca="1" ref="G63" ca="1">IF('Raw Data'!#REF!="",_xlfn.REGEXEXTRACT(CELL("address",'Raw Data'!#REF!),"\$([A-Z]+)\$[0-9]+"),"")</f>
        <v>#REF!</v>
      </c>
      <c r="H63" t="str">
        <f t="array" aca="1" ref="H63" ca="1">IF('Raw Data'!G64="",_xlfn.REGEXEXTRACT(CELL("address",'Raw Data'!G64),"\$([A-Z]+)\$[0-9]+"),"")</f>
        <v>$G$64</v>
      </c>
      <c r="I63" t="str">
        <f t="array" aca="1" ref="I63" ca="1">IF('Raw Data'!H64="",_xlfn.REGEXEXTRACT(CELL("address",'Raw Data'!H64),"\$([A-Z]+)\$[0-9]+"),"")</f>
        <v>$H$64</v>
      </c>
    </row>
    <row r="64" spans="2:9" x14ac:dyDescent="0.25">
      <c r="B64" t="str">
        <f t="array" aca="1" ref="B64" ca="1">IF('Raw Data'!B65="",_xlfn.REGEXEXTRACT(CELL("address",'Raw Data'!B65),"\$([A-Z]+)\$[0-9]+"),"")</f>
        <v>$B$65</v>
      </c>
      <c r="C64" t="str">
        <f t="array" aca="1" ref="C64" ca="1">IF('Raw Data'!C65="",_xlfn.REGEXEXTRACT(CELL("address",'Raw Data'!C65),"\$([A-Z]+)\$[0-9]+"),"")</f>
        <v>$C$65</v>
      </c>
      <c r="D64" t="str">
        <f t="array" aca="1" ref="D64" ca="1">IF('Raw Data'!D65="",_xlfn.REGEXEXTRACT(CELL("address",'Raw Data'!D65),"\$([A-Z]+)\$[0-9]+"),"")</f>
        <v>$D$65</v>
      </c>
      <c r="E64" t="str">
        <f t="array" aca="1" ref="E64" ca="1">IF('Raw Data'!E65="",_xlfn.REGEXEXTRACT(CELL("address",'Raw Data'!E65),"\$([A-Z]+)\$[0-9]+"),"")</f>
        <v>$E$65</v>
      </c>
      <c r="F64" t="str">
        <f t="array" aca="1" ref="F64" ca="1">IF('Raw Data'!F65="",_xlfn.REGEXEXTRACT(CELL("address",'Raw Data'!F65),"\$([A-Z]+)\$[0-9]+"),"")</f>
        <v>$F$65</v>
      </c>
      <c r="G64" t="e">
        <f t="array" aca="1" ref="G64" ca="1">IF('Raw Data'!#REF!="",_xlfn.REGEXEXTRACT(CELL("address",'Raw Data'!#REF!),"\$([A-Z]+)\$[0-9]+"),"")</f>
        <v>#REF!</v>
      </c>
      <c r="H64" t="str">
        <f t="array" aca="1" ref="H64" ca="1">IF('Raw Data'!G65="",_xlfn.REGEXEXTRACT(CELL("address",'Raw Data'!G65),"\$([A-Z]+)\$[0-9]+"),"")</f>
        <v>$G$65</v>
      </c>
      <c r="I64" t="str">
        <f t="array" aca="1" ref="I64" ca="1">IF('Raw Data'!H65="",_xlfn.REGEXEXTRACT(CELL("address",'Raw Data'!H65),"\$([A-Z]+)\$[0-9]+"),"")</f>
        <v>$H$65</v>
      </c>
    </row>
    <row r="65" spans="2:9" x14ac:dyDescent="0.25">
      <c r="B65" t="str">
        <f t="array" aca="1" ref="B65" ca="1">IF('Raw Data'!B66="",_xlfn.REGEXEXTRACT(CELL("address",'Raw Data'!B66),"\$([A-Z]+)\$[0-9]+"),"")</f>
        <v/>
      </c>
      <c r="C65" t="str">
        <f t="array" aca="1" ref="C65" ca="1">IF('Raw Data'!C66="",_xlfn.REGEXEXTRACT(CELL("address",'Raw Data'!C66),"\$([A-Z]+)\$[0-9]+"),"")</f>
        <v>$C$66</v>
      </c>
      <c r="D65" t="str">
        <f t="array" aca="1" ref="D65" ca="1">IF('Raw Data'!D66="",_xlfn.REGEXEXTRACT(CELL("address",'Raw Data'!D66),"\$([A-Z]+)\$[0-9]+"),"")</f>
        <v>$D$66</v>
      </c>
      <c r="E65" t="str">
        <f t="array" aca="1" ref="E65" ca="1">IF('Raw Data'!E66="",_xlfn.REGEXEXTRACT(CELL("address",'Raw Data'!E66),"\$([A-Z]+)\$[0-9]+"),"")</f>
        <v>$E$66</v>
      </c>
      <c r="F65" t="str">
        <f t="array" aca="1" ref="F65" ca="1">IF('Raw Data'!F66="",_xlfn.REGEXEXTRACT(CELL("address",'Raw Data'!F66),"\$([A-Z]+)\$[0-9]+"),"")</f>
        <v>$F$66</v>
      </c>
      <c r="G65" t="e">
        <f t="array" aca="1" ref="G65" ca="1">IF('Raw Data'!#REF!="",_xlfn.REGEXEXTRACT(CELL("address",'Raw Data'!#REF!),"\$([A-Z]+)\$[0-9]+"),"")</f>
        <v>#REF!</v>
      </c>
      <c r="H65" t="str">
        <f t="array" aca="1" ref="H65" ca="1">IF('Raw Data'!G66="",_xlfn.REGEXEXTRACT(CELL("address",'Raw Data'!G66),"\$([A-Z]+)\$[0-9]+"),"")</f>
        <v>$G$66</v>
      </c>
      <c r="I65" t="str">
        <f t="array" aca="1" ref="I65" ca="1">IF('Raw Data'!H66="",_xlfn.REGEXEXTRACT(CELL("address",'Raw Data'!H66),"\$([A-Z]+)\$[0-9]+"),"")</f>
        <v>$H$66</v>
      </c>
    </row>
    <row r="66" spans="2:9" x14ac:dyDescent="0.25">
      <c r="B66" t="str">
        <f t="array" aca="1" ref="B66" ca="1">IF('Raw Data'!B67="",_xlfn.REGEXEXTRACT(CELL("address",'Raw Data'!B67),"\$([A-Z]+)\$[0-9]+"),"")</f>
        <v>$B$67</v>
      </c>
      <c r="C66" t="str">
        <f t="array" aca="1" ref="C66" ca="1">IF('Raw Data'!C67="",_xlfn.REGEXEXTRACT(CELL("address",'Raw Data'!C67),"\$([A-Z]+)\$[0-9]+"),"")</f>
        <v>$C$67</v>
      </c>
      <c r="D66" t="str">
        <f t="array" aca="1" ref="D66" ca="1">IF('Raw Data'!D67="",_xlfn.REGEXEXTRACT(CELL("address",'Raw Data'!D67),"\$([A-Z]+)\$[0-9]+"),"")</f>
        <v>$D$67</v>
      </c>
      <c r="E66" t="str">
        <f t="array" aca="1" ref="E66" ca="1">IF('Raw Data'!E67="",_xlfn.REGEXEXTRACT(CELL("address",'Raw Data'!E67),"\$([A-Z]+)\$[0-9]+"),"")</f>
        <v>$E$67</v>
      </c>
      <c r="F66" t="str">
        <f t="array" aca="1" ref="F66" ca="1">IF('Raw Data'!F67="",_xlfn.REGEXEXTRACT(CELL("address",'Raw Data'!F67),"\$([A-Z]+)\$[0-9]+"),"")</f>
        <v>$F$67</v>
      </c>
      <c r="G66" t="e">
        <f t="array" aca="1" ref="G66" ca="1">IF('Raw Data'!#REF!="",_xlfn.REGEXEXTRACT(CELL("address",'Raw Data'!#REF!),"\$([A-Z]+)\$[0-9]+"),"")</f>
        <v>#REF!</v>
      </c>
      <c r="H66" t="str">
        <f t="array" aca="1" ref="H66" ca="1">IF('Raw Data'!G67="",_xlfn.REGEXEXTRACT(CELL("address",'Raw Data'!G67),"\$([A-Z]+)\$[0-9]+"),"")</f>
        <v>$G$67</v>
      </c>
      <c r="I66" t="str">
        <f t="array" aca="1" ref="I66" ca="1">IF('Raw Data'!H67="",_xlfn.REGEXEXTRACT(CELL("address",'Raw Data'!H67),"\$([A-Z]+)\$[0-9]+"),"")</f>
        <v>$H$67</v>
      </c>
    </row>
    <row r="67" spans="2:9" x14ac:dyDescent="0.25">
      <c r="B67" t="str">
        <f t="array" aca="1" ref="B67" ca="1">IF('Raw Data'!B68="",_xlfn.REGEXEXTRACT(CELL("address",'Raw Data'!B68),"\$([A-Z]+)\$[0-9]+"),"")</f>
        <v>$B$68</v>
      </c>
      <c r="C67" t="str">
        <f t="array" aca="1" ref="C67" ca="1">IF('Raw Data'!C68="",_xlfn.REGEXEXTRACT(CELL("address",'Raw Data'!C68),"\$([A-Z]+)\$[0-9]+"),"")</f>
        <v>$C$68</v>
      </c>
      <c r="D67" t="str">
        <f t="array" aca="1" ref="D67" ca="1">IF('Raw Data'!D68="",_xlfn.REGEXEXTRACT(CELL("address",'Raw Data'!D68),"\$([A-Z]+)\$[0-9]+"),"")</f>
        <v>$D$68</v>
      </c>
      <c r="E67" t="str">
        <f t="array" aca="1" ref="E67" ca="1">IF('Raw Data'!E68="",_xlfn.REGEXEXTRACT(CELL("address",'Raw Data'!E68),"\$([A-Z]+)\$[0-9]+"),"")</f>
        <v>$E$68</v>
      </c>
      <c r="F67" t="str">
        <f t="array" aca="1" ref="F67" ca="1">IF('Raw Data'!F68="",_xlfn.REGEXEXTRACT(CELL("address",'Raw Data'!F68),"\$([A-Z]+)\$[0-9]+"),"")</f>
        <v>$F$68</v>
      </c>
      <c r="G67" t="e">
        <f t="array" aca="1" ref="G67" ca="1">IF('Raw Data'!#REF!="",_xlfn.REGEXEXTRACT(CELL("address",'Raw Data'!#REF!),"\$([A-Z]+)\$[0-9]+"),"")</f>
        <v>#REF!</v>
      </c>
      <c r="H67" t="str">
        <f t="array" aca="1" ref="H67" ca="1">IF('Raw Data'!G68="",_xlfn.REGEXEXTRACT(CELL("address",'Raw Data'!G68),"\$([A-Z]+)\$[0-9]+"),"")</f>
        <v>$G$68</v>
      </c>
      <c r="I67" t="str">
        <f t="array" aca="1" ref="I67" ca="1">IF('Raw Data'!H68="",_xlfn.REGEXEXTRACT(CELL("address",'Raw Data'!H68),"\$([A-Z]+)\$[0-9]+"),"")</f>
        <v>$H$68</v>
      </c>
    </row>
    <row r="68" spans="2:9" x14ac:dyDescent="0.25">
      <c r="B68" t="str">
        <f t="array" aca="1" ref="B68" ca="1">IF('Raw Data'!B69="",_xlfn.REGEXEXTRACT(CELL("address",'Raw Data'!B69),"\$([A-Z]+)\$[0-9]+"),"")</f>
        <v>$B$69</v>
      </c>
      <c r="C68" t="str">
        <f t="array" aca="1" ref="C68" ca="1">IF('Raw Data'!C69="",_xlfn.REGEXEXTRACT(CELL("address",'Raw Data'!C69),"\$([A-Z]+)\$[0-9]+"),"")</f>
        <v>$C$69</v>
      </c>
      <c r="D68" t="str">
        <f t="array" aca="1" ref="D68" ca="1">IF('Raw Data'!D69="",_xlfn.REGEXEXTRACT(CELL("address",'Raw Data'!D69),"\$([A-Z]+)\$[0-9]+"),"")</f>
        <v>$D$69</v>
      </c>
      <c r="E68" t="str">
        <f t="array" aca="1" ref="E68" ca="1">IF('Raw Data'!E69="",_xlfn.REGEXEXTRACT(CELL("address",'Raw Data'!E69),"\$([A-Z]+)\$[0-9]+"),"")</f>
        <v>$E$69</v>
      </c>
      <c r="F68" t="str">
        <f t="array" aca="1" ref="F68" ca="1">IF('Raw Data'!F69="",_xlfn.REGEXEXTRACT(CELL("address",'Raw Data'!F69),"\$([A-Z]+)\$[0-9]+"),"")</f>
        <v>$F$69</v>
      </c>
      <c r="G68" t="e">
        <f t="array" aca="1" ref="G68" ca="1">IF('Raw Data'!#REF!="",_xlfn.REGEXEXTRACT(CELL("address",'Raw Data'!#REF!),"\$([A-Z]+)\$[0-9]+"),"")</f>
        <v>#REF!</v>
      </c>
      <c r="H68" t="str">
        <f t="array" aca="1" ref="H68" ca="1">IF('Raw Data'!G69="",_xlfn.REGEXEXTRACT(CELL("address",'Raw Data'!G69),"\$([A-Z]+)\$[0-9]+"),"")</f>
        <v>$G$69</v>
      </c>
      <c r="I68" t="str">
        <f t="array" aca="1" ref="I68" ca="1">IF('Raw Data'!H69="",_xlfn.REGEXEXTRACT(CELL("address",'Raw Data'!H69),"\$([A-Z]+)\$[0-9]+"),"")</f>
        <v>$H$69</v>
      </c>
    </row>
    <row r="69" spans="2:9" x14ac:dyDescent="0.25">
      <c r="B69" t="str">
        <f t="array" aca="1" ref="B69" ca="1">IF('Raw Data'!B70="",_xlfn.REGEXEXTRACT(CELL("address",'Raw Data'!B70),"\$([A-Z]+)\$[0-9]+"),"")</f>
        <v>$B$70</v>
      </c>
      <c r="C69" t="str">
        <f t="array" aca="1" ref="C69" ca="1">IF('Raw Data'!C70="",_xlfn.REGEXEXTRACT(CELL("address",'Raw Data'!C70),"\$([A-Z]+)\$[0-9]+"),"")</f>
        <v>$C$70</v>
      </c>
      <c r="D69" t="str">
        <f t="array" aca="1" ref="D69" ca="1">IF('Raw Data'!D70="",_xlfn.REGEXEXTRACT(CELL("address",'Raw Data'!D70),"\$([A-Z]+)\$[0-9]+"),"")</f>
        <v>$D$70</v>
      </c>
      <c r="E69" t="str">
        <f t="array" aca="1" ref="E69" ca="1">IF('Raw Data'!E70="",_xlfn.REGEXEXTRACT(CELL("address",'Raw Data'!E70),"\$([A-Z]+)\$[0-9]+"),"")</f>
        <v>$E$70</v>
      </c>
      <c r="F69" t="str">
        <f t="array" aca="1" ref="F69" ca="1">IF('Raw Data'!F70="",_xlfn.REGEXEXTRACT(CELL("address",'Raw Data'!F70),"\$([A-Z]+)\$[0-9]+"),"")</f>
        <v>$F$70</v>
      </c>
      <c r="G69" t="e">
        <f t="array" aca="1" ref="G69" ca="1">IF('Raw Data'!#REF!="",_xlfn.REGEXEXTRACT(CELL("address",'Raw Data'!#REF!),"\$([A-Z]+)\$[0-9]+"),"")</f>
        <v>#REF!</v>
      </c>
      <c r="H69" t="str">
        <f t="array" aca="1" ref="H69" ca="1">IF('Raw Data'!G70="",_xlfn.REGEXEXTRACT(CELL("address",'Raw Data'!G70),"\$([A-Z]+)\$[0-9]+"),"")</f>
        <v>$G$70</v>
      </c>
      <c r="I69" t="str">
        <f t="array" aca="1" ref="I69" ca="1">IF('Raw Data'!H70="",_xlfn.REGEXEXTRACT(CELL("address",'Raw Data'!H70),"\$([A-Z]+)\$[0-9]+"),"")</f>
        <v>$H$70</v>
      </c>
    </row>
    <row r="70" spans="2:9" x14ac:dyDescent="0.25">
      <c r="B70" t="str">
        <f t="array" aca="1" ref="B70" ca="1">IF('Raw Data'!B71="",_xlfn.REGEXEXTRACT(CELL("address",'Raw Data'!B71),"\$([A-Z]+)\$[0-9]+"),"")</f>
        <v>$B$71</v>
      </c>
      <c r="C70" t="str">
        <f t="array" aca="1" ref="C70" ca="1">IF('Raw Data'!C71="",_xlfn.REGEXEXTRACT(CELL("address",'Raw Data'!C71),"\$([A-Z]+)\$[0-9]+"),"")</f>
        <v>$C$71</v>
      </c>
      <c r="D70" t="str">
        <f t="array" aca="1" ref="D70" ca="1">IF('Raw Data'!D71="",_xlfn.REGEXEXTRACT(CELL("address",'Raw Data'!D71),"\$([A-Z]+)\$[0-9]+"),"")</f>
        <v>$D$71</v>
      </c>
      <c r="E70" t="str">
        <f t="array" aca="1" ref="E70" ca="1">IF('Raw Data'!E71="",_xlfn.REGEXEXTRACT(CELL("address",'Raw Data'!E71),"\$([A-Z]+)\$[0-9]+"),"")</f>
        <v>$E$71</v>
      </c>
      <c r="F70" t="str">
        <f t="array" aca="1" ref="F70" ca="1">IF('Raw Data'!F71="",_xlfn.REGEXEXTRACT(CELL("address",'Raw Data'!F71),"\$([A-Z]+)\$[0-9]+"),"")</f>
        <v>$F$71</v>
      </c>
      <c r="G70" t="e">
        <f t="array" aca="1" ref="G70" ca="1">IF('Raw Data'!#REF!="",_xlfn.REGEXEXTRACT(CELL("address",'Raw Data'!#REF!),"\$([A-Z]+)\$[0-9]+"),"")</f>
        <v>#REF!</v>
      </c>
      <c r="H70" t="str">
        <f t="array" aca="1" ref="H70" ca="1">IF('Raw Data'!G71="",_xlfn.REGEXEXTRACT(CELL("address",'Raw Data'!G71),"\$([A-Z]+)\$[0-9]+"),"")</f>
        <v>$G$71</v>
      </c>
      <c r="I70" t="str">
        <f t="array" aca="1" ref="I70" ca="1">IF('Raw Data'!H71="",_xlfn.REGEXEXTRACT(CELL("address",'Raw Data'!H71),"\$([A-Z]+)\$[0-9]+"),"")</f>
        <v>$H$71</v>
      </c>
    </row>
    <row r="71" spans="2:9" x14ac:dyDescent="0.25">
      <c r="B71" t="str">
        <f t="array" aca="1" ref="B71" ca="1">IF('Raw Data'!B72="",_xlfn.REGEXEXTRACT(CELL("address",'Raw Data'!B72),"\$([A-Z]+)\$[0-9]+"),"")</f>
        <v>$B$72</v>
      </c>
      <c r="C71" t="str">
        <f t="array" aca="1" ref="C71" ca="1">IF('Raw Data'!C72="",_xlfn.REGEXEXTRACT(CELL("address",'Raw Data'!C72),"\$([A-Z]+)\$[0-9]+"),"")</f>
        <v>$C$72</v>
      </c>
      <c r="D71" t="str">
        <f t="array" aca="1" ref="D71" ca="1">IF('Raw Data'!D72="",_xlfn.REGEXEXTRACT(CELL("address",'Raw Data'!D72),"\$([A-Z]+)\$[0-9]+"),"")</f>
        <v>$D$72</v>
      </c>
      <c r="E71" t="str">
        <f t="array" aca="1" ref="E71" ca="1">IF('Raw Data'!E72="",_xlfn.REGEXEXTRACT(CELL("address",'Raw Data'!E72),"\$([A-Z]+)\$[0-9]+"),"")</f>
        <v>$E$72</v>
      </c>
      <c r="F71" t="str">
        <f t="array" aca="1" ref="F71" ca="1">IF('Raw Data'!F72="",_xlfn.REGEXEXTRACT(CELL("address",'Raw Data'!F72),"\$([A-Z]+)\$[0-9]+"),"")</f>
        <v>$F$72</v>
      </c>
      <c r="G71" t="e">
        <f t="array" aca="1" ref="G71" ca="1">IF('Raw Data'!#REF!="",_xlfn.REGEXEXTRACT(CELL("address",'Raw Data'!#REF!),"\$([A-Z]+)\$[0-9]+"),"")</f>
        <v>#REF!</v>
      </c>
      <c r="H71" t="str">
        <f t="array" aca="1" ref="H71" ca="1">IF('Raw Data'!G72="",_xlfn.REGEXEXTRACT(CELL("address",'Raw Data'!G72),"\$([A-Z]+)\$[0-9]+"),"")</f>
        <v>$G$72</v>
      </c>
      <c r="I71" t="str">
        <f t="array" aca="1" ref="I71" ca="1">IF('Raw Data'!H72="",_xlfn.REGEXEXTRACT(CELL("address",'Raw Data'!H72),"\$([A-Z]+)\$[0-9]+"),"")</f>
        <v>$H$72</v>
      </c>
    </row>
    <row r="72" spans="2:9" x14ac:dyDescent="0.25">
      <c r="B72" t="str">
        <f t="array" aca="1" ref="B72" ca="1">IF('Raw Data'!B73="",_xlfn.REGEXEXTRACT(CELL("address",'Raw Data'!B73),"\$([A-Z]+)\$[0-9]+"),"")</f>
        <v>$B$73</v>
      </c>
      <c r="C72" t="str">
        <f t="array" aca="1" ref="C72" ca="1">IF('Raw Data'!C73="",_xlfn.REGEXEXTRACT(CELL("address",'Raw Data'!C73),"\$([A-Z]+)\$[0-9]+"),"")</f>
        <v>$C$73</v>
      </c>
      <c r="D72" t="str">
        <f t="array" aca="1" ref="D72" ca="1">IF('Raw Data'!D73="",_xlfn.REGEXEXTRACT(CELL("address",'Raw Data'!D73),"\$([A-Z]+)\$[0-9]+"),"")</f>
        <v>$D$73</v>
      </c>
      <c r="E72" t="str">
        <f t="array" aca="1" ref="E72" ca="1">IF('Raw Data'!E73="",_xlfn.REGEXEXTRACT(CELL("address",'Raw Data'!E73),"\$([A-Z]+)\$[0-9]+"),"")</f>
        <v>$E$73</v>
      </c>
      <c r="F72" t="str">
        <f t="array" aca="1" ref="F72" ca="1">IF('Raw Data'!F73="",_xlfn.REGEXEXTRACT(CELL("address",'Raw Data'!F73),"\$([A-Z]+)\$[0-9]+"),"")</f>
        <v>$F$73</v>
      </c>
      <c r="G72" t="e">
        <f t="array" aca="1" ref="G72" ca="1">IF('Raw Data'!#REF!="",_xlfn.REGEXEXTRACT(CELL("address",'Raw Data'!#REF!),"\$([A-Z]+)\$[0-9]+"),"")</f>
        <v>#REF!</v>
      </c>
      <c r="H72" t="str">
        <f t="array" aca="1" ref="H72" ca="1">IF('Raw Data'!G73="",_xlfn.REGEXEXTRACT(CELL("address",'Raw Data'!G73),"\$([A-Z]+)\$[0-9]+"),"")</f>
        <v>$G$73</v>
      </c>
      <c r="I72" t="str">
        <f t="array" aca="1" ref="I72" ca="1">IF('Raw Data'!H73="",_xlfn.REGEXEXTRACT(CELL("address",'Raw Data'!H73),"\$([A-Z]+)\$[0-9]+"),"")</f>
        <v>$H$73</v>
      </c>
    </row>
    <row r="73" spans="2:9" x14ac:dyDescent="0.25">
      <c r="B73" t="str">
        <f t="array" aca="1" ref="B73" ca="1">IF('Raw Data'!B74="",_xlfn.REGEXEXTRACT(CELL("address",'Raw Data'!B74),"\$([A-Z]+)\$[0-9]+"),"")</f>
        <v>$B$74</v>
      </c>
      <c r="C73" t="str">
        <f t="array" aca="1" ref="C73" ca="1">IF('Raw Data'!C74="",_xlfn.REGEXEXTRACT(CELL("address",'Raw Data'!C74),"\$([A-Z]+)\$[0-9]+"),"")</f>
        <v>$C$74</v>
      </c>
      <c r="D73" t="str">
        <f t="array" aca="1" ref="D73" ca="1">IF('Raw Data'!D74="",_xlfn.REGEXEXTRACT(CELL("address",'Raw Data'!D74),"\$([A-Z]+)\$[0-9]+"),"")</f>
        <v>$D$74</v>
      </c>
      <c r="E73" t="str">
        <f t="array" aca="1" ref="E73" ca="1">IF('Raw Data'!E74="",_xlfn.REGEXEXTRACT(CELL("address",'Raw Data'!E74),"\$([A-Z]+)\$[0-9]+"),"")</f>
        <v>$E$74</v>
      </c>
      <c r="F73" t="str">
        <f t="array" aca="1" ref="F73" ca="1">IF('Raw Data'!F74="",_xlfn.REGEXEXTRACT(CELL("address",'Raw Data'!F74),"\$([A-Z]+)\$[0-9]+"),"")</f>
        <v>$F$74</v>
      </c>
      <c r="G73" t="e">
        <f t="array" aca="1" ref="G73" ca="1">IF('Raw Data'!#REF!="",_xlfn.REGEXEXTRACT(CELL("address",'Raw Data'!#REF!),"\$([A-Z]+)\$[0-9]+"),"")</f>
        <v>#REF!</v>
      </c>
      <c r="H73" t="str">
        <f t="array" aca="1" ref="H73" ca="1">IF('Raw Data'!G74="",_xlfn.REGEXEXTRACT(CELL("address",'Raw Data'!G74),"\$([A-Z]+)\$[0-9]+"),"")</f>
        <v>$G$74</v>
      </c>
      <c r="I73" t="str">
        <f t="array" aca="1" ref="I73" ca="1">IF('Raw Data'!H74="",_xlfn.REGEXEXTRACT(CELL("address",'Raw Data'!H74),"\$([A-Z]+)\$[0-9]+"),"")</f>
        <v>$H$74</v>
      </c>
    </row>
    <row r="74" spans="2:9" x14ac:dyDescent="0.25">
      <c r="B74" t="str">
        <f t="array" aca="1" ref="B74" ca="1">IF('Raw Data'!B75="",_xlfn.REGEXEXTRACT(CELL("address",'Raw Data'!B75),"\$([A-Z]+)\$[0-9]+"),"")</f>
        <v>$B$75</v>
      </c>
      <c r="C74" t="str">
        <f t="array" aca="1" ref="C74" ca="1">IF('Raw Data'!C75="",_xlfn.REGEXEXTRACT(CELL("address",'Raw Data'!C75),"\$([A-Z]+)\$[0-9]+"),"")</f>
        <v>$C$75</v>
      </c>
      <c r="D74" t="str">
        <f t="array" aca="1" ref="D74" ca="1">IF('Raw Data'!D75="",_xlfn.REGEXEXTRACT(CELL("address",'Raw Data'!D75),"\$([A-Z]+)\$[0-9]+"),"")</f>
        <v>$D$75</v>
      </c>
      <c r="E74" t="str">
        <f t="array" aca="1" ref="E74" ca="1">IF('Raw Data'!E75="",_xlfn.REGEXEXTRACT(CELL("address",'Raw Data'!E75),"\$([A-Z]+)\$[0-9]+"),"")</f>
        <v>$E$75</v>
      </c>
      <c r="F74" t="str">
        <f t="array" aca="1" ref="F74" ca="1">IF('Raw Data'!F75="",_xlfn.REGEXEXTRACT(CELL("address",'Raw Data'!F75),"\$([A-Z]+)\$[0-9]+"),"")</f>
        <v>$F$75</v>
      </c>
      <c r="G74" t="e">
        <f t="array" aca="1" ref="G74" ca="1">IF('Raw Data'!#REF!="",_xlfn.REGEXEXTRACT(CELL("address",'Raw Data'!#REF!),"\$([A-Z]+)\$[0-9]+"),"")</f>
        <v>#REF!</v>
      </c>
      <c r="H74" t="str">
        <f t="array" aca="1" ref="H74" ca="1">IF('Raw Data'!G75="",_xlfn.REGEXEXTRACT(CELL("address",'Raw Data'!G75),"\$([A-Z]+)\$[0-9]+"),"")</f>
        <v>$G$75</v>
      </c>
      <c r="I74" t="str">
        <f t="array" aca="1" ref="I74" ca="1">IF('Raw Data'!H75="",_xlfn.REGEXEXTRACT(CELL("address",'Raw Data'!H75),"\$([A-Z]+)\$[0-9]+"),"")</f>
        <v>$H$75</v>
      </c>
    </row>
    <row r="75" spans="2:9" x14ac:dyDescent="0.25">
      <c r="B75" t="str">
        <f t="array" aca="1" ref="B75" ca="1">IF('Raw Data'!B76="",_xlfn.REGEXEXTRACT(CELL("address",'Raw Data'!B76),"\$([A-Z]+)\$[0-9]+"),"")</f>
        <v>$B$76</v>
      </c>
      <c r="C75" t="str">
        <f t="array" aca="1" ref="C75" ca="1">IF('Raw Data'!C76="",_xlfn.REGEXEXTRACT(CELL("address",'Raw Data'!C76),"\$([A-Z]+)\$[0-9]+"),"")</f>
        <v>$C$76</v>
      </c>
      <c r="D75" t="str">
        <f t="array" aca="1" ref="D75" ca="1">IF('Raw Data'!D76="",_xlfn.REGEXEXTRACT(CELL("address",'Raw Data'!D76),"\$([A-Z]+)\$[0-9]+"),"")</f>
        <v>$D$76</v>
      </c>
      <c r="E75" t="str">
        <f t="array" aca="1" ref="E75" ca="1">IF('Raw Data'!E76="",_xlfn.REGEXEXTRACT(CELL("address",'Raw Data'!E76),"\$([A-Z]+)\$[0-9]+"),"")</f>
        <v>$E$76</v>
      </c>
      <c r="F75" t="str">
        <f t="array" aca="1" ref="F75" ca="1">IF('Raw Data'!F76="",_xlfn.REGEXEXTRACT(CELL("address",'Raw Data'!F76),"\$([A-Z]+)\$[0-9]+"),"")</f>
        <v>$F$76</v>
      </c>
      <c r="G75" t="e">
        <f t="array" aca="1" ref="G75" ca="1">IF('Raw Data'!#REF!="",_xlfn.REGEXEXTRACT(CELL("address",'Raw Data'!#REF!),"\$([A-Z]+)\$[0-9]+"),"")</f>
        <v>#REF!</v>
      </c>
      <c r="H75" t="str">
        <f t="array" aca="1" ref="H75" ca="1">IF('Raw Data'!G76="",_xlfn.REGEXEXTRACT(CELL("address",'Raw Data'!G76),"\$([A-Z]+)\$[0-9]+"),"")</f>
        <v>$G$76</v>
      </c>
      <c r="I75" t="str">
        <f t="array" aca="1" ref="I75" ca="1">IF('Raw Data'!H76="",_xlfn.REGEXEXTRACT(CELL("address",'Raw Data'!H76),"\$([A-Z]+)\$[0-9]+"),"")</f>
        <v>$H$76</v>
      </c>
    </row>
    <row r="76" spans="2:9" x14ac:dyDescent="0.25">
      <c r="B76" t="str">
        <f t="array" aca="1" ref="B76" ca="1">IF('Raw Data'!B77="",_xlfn.REGEXEXTRACT(CELL("address",'Raw Data'!B77),"\$([A-Z]+)\$[0-9]+"),"")</f>
        <v>$B$77</v>
      </c>
      <c r="C76" t="str">
        <f t="array" aca="1" ref="C76" ca="1">IF('Raw Data'!C77="",_xlfn.REGEXEXTRACT(CELL("address",'Raw Data'!C77),"\$([A-Z]+)\$[0-9]+"),"")</f>
        <v>$C$77</v>
      </c>
      <c r="D76" t="str">
        <f t="array" aca="1" ref="D76" ca="1">IF('Raw Data'!D77="",_xlfn.REGEXEXTRACT(CELL("address",'Raw Data'!D77),"\$([A-Z]+)\$[0-9]+"),"")</f>
        <v>$D$77</v>
      </c>
      <c r="E76" t="str">
        <f t="array" aca="1" ref="E76" ca="1">IF('Raw Data'!E77="",_xlfn.REGEXEXTRACT(CELL("address",'Raw Data'!E77),"\$([A-Z]+)\$[0-9]+"),"")</f>
        <v>$E$77</v>
      </c>
      <c r="F76" t="str">
        <f t="array" aca="1" ref="F76" ca="1">IF('Raw Data'!F77="",_xlfn.REGEXEXTRACT(CELL("address",'Raw Data'!F77),"\$([A-Z]+)\$[0-9]+"),"")</f>
        <v>$F$77</v>
      </c>
      <c r="G76" t="e">
        <f t="array" aca="1" ref="G76" ca="1">IF('Raw Data'!#REF!="",_xlfn.REGEXEXTRACT(CELL("address",'Raw Data'!#REF!),"\$([A-Z]+)\$[0-9]+"),"")</f>
        <v>#REF!</v>
      </c>
      <c r="H76" t="str">
        <f t="array" aca="1" ref="H76" ca="1">IF('Raw Data'!G77="",_xlfn.REGEXEXTRACT(CELL("address",'Raw Data'!G77),"\$([A-Z]+)\$[0-9]+"),"")</f>
        <v>$G$77</v>
      </c>
      <c r="I76" t="str">
        <f t="array" aca="1" ref="I76" ca="1">IF('Raw Data'!H77="",_xlfn.REGEXEXTRACT(CELL("address",'Raw Data'!H77),"\$([A-Z]+)\$[0-9]+"),"")</f>
        <v>$H$77</v>
      </c>
    </row>
    <row r="77" spans="2:9" x14ac:dyDescent="0.25">
      <c r="B77" t="str">
        <f t="array" aca="1" ref="B77" ca="1">IF('Raw Data'!B78="",_xlfn.REGEXEXTRACT(CELL("address",'Raw Data'!B78),"\$([A-Z]+)\$[0-9]+"),"")</f>
        <v>$B$78</v>
      </c>
      <c r="C77" t="str">
        <f t="array" aca="1" ref="C77" ca="1">IF('Raw Data'!C78="",_xlfn.REGEXEXTRACT(CELL("address",'Raw Data'!C78),"\$([A-Z]+)\$[0-9]+"),"")</f>
        <v>$C$78</v>
      </c>
      <c r="D77" t="str">
        <f t="array" aca="1" ref="D77" ca="1">IF('Raw Data'!D78="",_xlfn.REGEXEXTRACT(CELL("address",'Raw Data'!D78),"\$([A-Z]+)\$[0-9]+"),"")</f>
        <v>$D$78</v>
      </c>
      <c r="E77" t="str">
        <f t="array" aca="1" ref="E77" ca="1">IF('Raw Data'!E78="",_xlfn.REGEXEXTRACT(CELL("address",'Raw Data'!E78),"\$([A-Z]+)\$[0-9]+"),"")</f>
        <v>$E$78</v>
      </c>
      <c r="F77" t="str">
        <f t="array" aca="1" ref="F77" ca="1">IF('Raw Data'!F78="",_xlfn.REGEXEXTRACT(CELL("address",'Raw Data'!F78),"\$([A-Z]+)\$[0-9]+"),"")</f>
        <v>$F$78</v>
      </c>
      <c r="G77" t="e">
        <f t="array" aca="1" ref="G77" ca="1">IF('Raw Data'!#REF!="",_xlfn.REGEXEXTRACT(CELL("address",'Raw Data'!#REF!),"\$([A-Z]+)\$[0-9]+"),"")</f>
        <v>#REF!</v>
      </c>
      <c r="H77" t="str">
        <f t="array" aca="1" ref="H77" ca="1">IF('Raw Data'!G78="",_xlfn.REGEXEXTRACT(CELL("address",'Raw Data'!G78),"\$([A-Z]+)\$[0-9]+"),"")</f>
        <v>$G$78</v>
      </c>
      <c r="I77" t="str">
        <f t="array" aca="1" ref="I77" ca="1">IF('Raw Data'!H78="",_xlfn.REGEXEXTRACT(CELL("address",'Raw Data'!H78),"\$([A-Z]+)\$[0-9]+"),"")</f>
        <v>$H$78</v>
      </c>
    </row>
    <row r="78" spans="2:9" x14ac:dyDescent="0.25">
      <c r="B78" t="str">
        <f t="array" aca="1" ref="B78" ca="1">IF('Raw Data'!B79="",_xlfn.REGEXEXTRACT(CELL("address",'Raw Data'!B79),"\$([A-Z]+)\$[0-9]+"),"")</f>
        <v>$B$79</v>
      </c>
      <c r="C78" t="str">
        <f t="array" aca="1" ref="C78" ca="1">IF('Raw Data'!C79="",_xlfn.REGEXEXTRACT(CELL("address",'Raw Data'!C79),"\$([A-Z]+)\$[0-9]+"),"")</f>
        <v>$C$79</v>
      </c>
      <c r="D78" t="str">
        <f t="array" aca="1" ref="D78" ca="1">IF('Raw Data'!D79="",_xlfn.REGEXEXTRACT(CELL("address",'Raw Data'!D79),"\$([A-Z]+)\$[0-9]+"),"")</f>
        <v>$D$79</v>
      </c>
      <c r="E78" t="str">
        <f t="array" aca="1" ref="E78" ca="1">IF('Raw Data'!E79="",_xlfn.REGEXEXTRACT(CELL("address",'Raw Data'!E79),"\$([A-Z]+)\$[0-9]+"),"")</f>
        <v>$E$79</v>
      </c>
      <c r="F78" t="str">
        <f t="array" aca="1" ref="F78" ca="1">IF('Raw Data'!F79="",_xlfn.REGEXEXTRACT(CELL("address",'Raw Data'!F79),"\$([A-Z]+)\$[0-9]+"),"")</f>
        <v>$F$79</v>
      </c>
      <c r="G78" t="e">
        <f t="array" aca="1" ref="G78" ca="1">IF('Raw Data'!#REF!="",_xlfn.REGEXEXTRACT(CELL("address",'Raw Data'!#REF!),"\$([A-Z]+)\$[0-9]+"),"")</f>
        <v>#REF!</v>
      </c>
      <c r="H78" t="str">
        <f t="array" aca="1" ref="H78" ca="1">IF('Raw Data'!G79="",_xlfn.REGEXEXTRACT(CELL("address",'Raw Data'!G79),"\$([A-Z]+)\$[0-9]+"),"")</f>
        <v>$G$79</v>
      </c>
      <c r="I78" t="str">
        <f t="array" aca="1" ref="I78" ca="1">IF('Raw Data'!H79="",_xlfn.REGEXEXTRACT(CELL("address",'Raw Data'!H79),"\$([A-Z]+)\$[0-9]+"),"")</f>
        <v>$H$79</v>
      </c>
    </row>
    <row r="79" spans="2:9" x14ac:dyDescent="0.25">
      <c r="B79" t="str">
        <f t="array" aca="1" ref="B79" ca="1">IF('Raw Data'!B80="",_xlfn.REGEXEXTRACT(CELL("address",'Raw Data'!B80),"\$([A-Z]+)\$[0-9]+"),"")</f>
        <v>$B$80</v>
      </c>
      <c r="C79" t="str">
        <f t="array" aca="1" ref="C79" ca="1">IF('Raw Data'!C80="",_xlfn.REGEXEXTRACT(CELL("address",'Raw Data'!C80),"\$([A-Z]+)\$[0-9]+"),"")</f>
        <v>$C$80</v>
      </c>
      <c r="D79" t="str">
        <f t="array" aca="1" ref="D79" ca="1">IF('Raw Data'!D80="",_xlfn.REGEXEXTRACT(CELL("address",'Raw Data'!D80),"\$([A-Z]+)\$[0-9]+"),"")</f>
        <v>$D$80</v>
      </c>
      <c r="E79" t="str">
        <f t="array" aca="1" ref="E79" ca="1">IF('Raw Data'!E80="",_xlfn.REGEXEXTRACT(CELL("address",'Raw Data'!E80),"\$([A-Z]+)\$[0-9]+"),"")</f>
        <v>$E$80</v>
      </c>
      <c r="F79" t="str">
        <f t="array" aca="1" ref="F79" ca="1">IF('Raw Data'!F80="",_xlfn.REGEXEXTRACT(CELL("address",'Raw Data'!F80),"\$([A-Z]+)\$[0-9]+"),"")</f>
        <v>$F$80</v>
      </c>
      <c r="G79" t="e">
        <f t="array" aca="1" ref="G79" ca="1">IF('Raw Data'!#REF!="",_xlfn.REGEXEXTRACT(CELL("address",'Raw Data'!#REF!),"\$([A-Z]+)\$[0-9]+"),"")</f>
        <v>#REF!</v>
      </c>
      <c r="H79" t="str">
        <f t="array" aca="1" ref="H79" ca="1">IF('Raw Data'!G80="",_xlfn.REGEXEXTRACT(CELL("address",'Raw Data'!G80),"\$([A-Z]+)\$[0-9]+"),"")</f>
        <v>$G$80</v>
      </c>
      <c r="I79" t="str">
        <f t="array" aca="1" ref="I79" ca="1">IF('Raw Data'!H80="",_xlfn.REGEXEXTRACT(CELL("address",'Raw Data'!H80),"\$([A-Z]+)\$[0-9]+"),"")</f>
        <v>$H$80</v>
      </c>
    </row>
    <row r="80" spans="2:9" x14ac:dyDescent="0.25">
      <c r="B80" t="str">
        <f t="array" aca="1" ref="B80" ca="1">IF('Raw Data'!B81="",_xlfn.REGEXEXTRACT(CELL("address",'Raw Data'!B81),"\$([A-Z]+)\$[0-9]+"),"")</f>
        <v>$B$81</v>
      </c>
      <c r="C80" t="str">
        <f t="array" aca="1" ref="C80" ca="1">IF('Raw Data'!C81="",_xlfn.REGEXEXTRACT(CELL("address",'Raw Data'!C81),"\$([A-Z]+)\$[0-9]+"),"")</f>
        <v>$C$81</v>
      </c>
      <c r="D80" t="str">
        <f t="array" aca="1" ref="D80" ca="1">IF('Raw Data'!D81="",_xlfn.REGEXEXTRACT(CELL("address",'Raw Data'!D81),"\$([A-Z]+)\$[0-9]+"),"")</f>
        <v>$D$81</v>
      </c>
      <c r="E80" t="str">
        <f t="array" aca="1" ref="E80" ca="1">IF('Raw Data'!E81="",_xlfn.REGEXEXTRACT(CELL("address",'Raw Data'!E81),"\$([A-Z]+)\$[0-9]+"),"")</f>
        <v>$E$81</v>
      </c>
      <c r="F80" t="str">
        <f t="array" aca="1" ref="F80" ca="1">IF('Raw Data'!F81="",_xlfn.REGEXEXTRACT(CELL("address",'Raw Data'!F81),"\$([A-Z]+)\$[0-9]+"),"")</f>
        <v>$F$81</v>
      </c>
      <c r="G80" t="e">
        <f t="array" aca="1" ref="G80" ca="1">IF('Raw Data'!#REF!="",_xlfn.REGEXEXTRACT(CELL("address",'Raw Data'!#REF!),"\$([A-Z]+)\$[0-9]+"),"")</f>
        <v>#REF!</v>
      </c>
      <c r="H80" t="str">
        <f t="array" aca="1" ref="H80" ca="1">IF('Raw Data'!G81="",_xlfn.REGEXEXTRACT(CELL("address",'Raw Data'!G81),"\$([A-Z]+)\$[0-9]+"),"")</f>
        <v>$G$81</v>
      </c>
      <c r="I80" t="str">
        <f t="array" aca="1" ref="I80" ca="1">IF('Raw Data'!H81="",_xlfn.REGEXEXTRACT(CELL("address",'Raw Data'!H81),"\$([A-Z]+)\$[0-9]+"),"")</f>
        <v>$H$81</v>
      </c>
    </row>
    <row r="81" spans="2:9" x14ac:dyDescent="0.25">
      <c r="B81" t="str">
        <f t="array" aca="1" ref="B81" ca="1">IF('Raw Data'!B82="",_xlfn.REGEXEXTRACT(CELL("address",'Raw Data'!B82),"\$([A-Z]+)\$[0-9]+"),"")</f>
        <v>$B$82</v>
      </c>
      <c r="C81" t="str">
        <f t="array" aca="1" ref="C81" ca="1">IF('Raw Data'!C82="",_xlfn.REGEXEXTRACT(CELL("address",'Raw Data'!C82),"\$([A-Z]+)\$[0-9]+"),"")</f>
        <v>$C$82</v>
      </c>
      <c r="D81" t="str">
        <f t="array" aca="1" ref="D81" ca="1">IF('Raw Data'!D82="",_xlfn.REGEXEXTRACT(CELL("address",'Raw Data'!D82),"\$([A-Z]+)\$[0-9]+"),"")</f>
        <v>$D$82</v>
      </c>
      <c r="E81" t="str">
        <f t="array" aca="1" ref="E81" ca="1">IF('Raw Data'!E82="",_xlfn.REGEXEXTRACT(CELL("address",'Raw Data'!E82),"\$([A-Z]+)\$[0-9]+"),"")</f>
        <v>$E$82</v>
      </c>
      <c r="F81" t="str">
        <f t="array" aca="1" ref="F81" ca="1">IF('Raw Data'!F82="",_xlfn.REGEXEXTRACT(CELL("address",'Raw Data'!F82),"\$([A-Z]+)\$[0-9]+"),"")</f>
        <v>$F$82</v>
      </c>
      <c r="G81" t="e">
        <f t="array" aca="1" ref="G81" ca="1">IF('Raw Data'!#REF!="",_xlfn.REGEXEXTRACT(CELL("address",'Raw Data'!#REF!),"\$([A-Z]+)\$[0-9]+"),"")</f>
        <v>#REF!</v>
      </c>
      <c r="H81" t="str">
        <f t="array" aca="1" ref="H81" ca="1">IF('Raw Data'!G82="",_xlfn.REGEXEXTRACT(CELL("address",'Raw Data'!G82),"\$([A-Z]+)\$[0-9]+"),"")</f>
        <v>$G$82</v>
      </c>
      <c r="I81" t="str">
        <f t="array" aca="1" ref="I81" ca="1">IF('Raw Data'!H82="",_xlfn.REGEXEXTRACT(CELL("address",'Raw Data'!H82),"\$([A-Z]+)\$[0-9]+"),"")</f>
        <v>$H$82</v>
      </c>
    </row>
    <row r="82" spans="2:9" x14ac:dyDescent="0.25">
      <c r="B82" t="str">
        <f t="array" aca="1" ref="B82" ca="1">IF('Raw Data'!B83="",_xlfn.REGEXEXTRACT(CELL("address",'Raw Data'!B83),"\$([A-Z]+)\$[0-9]+"),"")</f>
        <v>$B$83</v>
      </c>
      <c r="C82" t="str">
        <f t="array" aca="1" ref="C82" ca="1">IF('Raw Data'!C83="",_xlfn.REGEXEXTRACT(CELL("address",'Raw Data'!C83),"\$([A-Z]+)\$[0-9]+"),"")</f>
        <v>$C$83</v>
      </c>
      <c r="D82" t="str">
        <f t="array" aca="1" ref="D82" ca="1">IF('Raw Data'!D83="",_xlfn.REGEXEXTRACT(CELL("address",'Raw Data'!D83),"\$([A-Z]+)\$[0-9]+"),"")</f>
        <v>$D$83</v>
      </c>
      <c r="E82" t="str">
        <f t="array" aca="1" ref="E82" ca="1">IF('Raw Data'!E83="",_xlfn.REGEXEXTRACT(CELL("address",'Raw Data'!E83),"\$([A-Z]+)\$[0-9]+"),"")</f>
        <v>$E$83</v>
      </c>
      <c r="F82" t="str">
        <f t="array" aca="1" ref="F82" ca="1">IF('Raw Data'!F83="",_xlfn.REGEXEXTRACT(CELL("address",'Raw Data'!F83),"\$([A-Z]+)\$[0-9]+"),"")</f>
        <v>$F$83</v>
      </c>
      <c r="G82" t="e">
        <f t="array" aca="1" ref="G82" ca="1">IF('Raw Data'!#REF!="",_xlfn.REGEXEXTRACT(CELL("address",'Raw Data'!#REF!),"\$([A-Z]+)\$[0-9]+"),"")</f>
        <v>#REF!</v>
      </c>
      <c r="H82" t="str">
        <f t="array" aca="1" ref="H82" ca="1">IF('Raw Data'!G83="",_xlfn.REGEXEXTRACT(CELL("address",'Raw Data'!G83),"\$([A-Z]+)\$[0-9]+"),"")</f>
        <v>$G$83</v>
      </c>
      <c r="I82" t="str">
        <f t="array" aca="1" ref="I82" ca="1">IF('Raw Data'!H83="",_xlfn.REGEXEXTRACT(CELL("address",'Raw Data'!H83),"\$([A-Z]+)\$[0-9]+"),"")</f>
        <v>$H$83</v>
      </c>
    </row>
    <row r="83" spans="2:9" x14ac:dyDescent="0.25">
      <c r="B83" t="str">
        <f t="array" aca="1" ref="B83" ca="1">IF('Raw Data'!B84="",_xlfn.REGEXEXTRACT(CELL("address",'Raw Data'!B84),"\$([A-Z]+)\$[0-9]+"),"")</f>
        <v>$B$84</v>
      </c>
      <c r="C83" t="str">
        <f t="array" aca="1" ref="C83" ca="1">IF('Raw Data'!C84="",_xlfn.REGEXEXTRACT(CELL("address",'Raw Data'!C84),"\$([A-Z]+)\$[0-9]+"),"")</f>
        <v>$C$84</v>
      </c>
      <c r="D83" t="str">
        <f t="array" aca="1" ref="D83" ca="1">IF('Raw Data'!D84="",_xlfn.REGEXEXTRACT(CELL("address",'Raw Data'!D84),"\$([A-Z]+)\$[0-9]+"),"")</f>
        <v>$D$84</v>
      </c>
      <c r="E83" t="str">
        <f t="array" aca="1" ref="E83" ca="1">IF('Raw Data'!E84="",_xlfn.REGEXEXTRACT(CELL("address",'Raw Data'!E84),"\$([A-Z]+)\$[0-9]+"),"")</f>
        <v>$E$84</v>
      </c>
      <c r="F83" t="str">
        <f t="array" aca="1" ref="F83" ca="1">IF('Raw Data'!F84="",_xlfn.REGEXEXTRACT(CELL("address",'Raw Data'!F84),"\$([A-Z]+)\$[0-9]+"),"")</f>
        <v>$F$84</v>
      </c>
      <c r="G83" t="e">
        <f t="array" aca="1" ref="G83" ca="1">IF('Raw Data'!#REF!="",_xlfn.REGEXEXTRACT(CELL("address",'Raw Data'!#REF!),"\$([A-Z]+)\$[0-9]+"),"")</f>
        <v>#REF!</v>
      </c>
      <c r="H83" t="str">
        <f t="array" aca="1" ref="H83" ca="1">IF('Raw Data'!G84="",_xlfn.REGEXEXTRACT(CELL("address",'Raw Data'!G84),"\$([A-Z]+)\$[0-9]+"),"")</f>
        <v>$G$84</v>
      </c>
      <c r="I83" t="str">
        <f t="array" aca="1" ref="I83" ca="1">IF('Raw Data'!H84="",_xlfn.REGEXEXTRACT(CELL("address",'Raw Data'!H84),"\$([A-Z]+)\$[0-9]+"),"")</f>
        <v>$H$84</v>
      </c>
    </row>
    <row r="84" spans="2:9" x14ac:dyDescent="0.25">
      <c r="B84" t="str">
        <f t="array" aca="1" ref="B84" ca="1">IF('Raw Data'!B85="",_xlfn.REGEXEXTRACT(CELL("address",'Raw Data'!B85),"\$([A-Z]+)\$[0-9]+"),"")</f>
        <v>$B$85</v>
      </c>
      <c r="C84" t="str">
        <f t="array" aca="1" ref="C84" ca="1">IF('Raw Data'!C85="",_xlfn.REGEXEXTRACT(CELL("address",'Raw Data'!C85),"\$([A-Z]+)\$[0-9]+"),"")</f>
        <v>$C$85</v>
      </c>
      <c r="D84" t="str">
        <f t="array" aca="1" ref="D84" ca="1">IF('Raw Data'!D85="",_xlfn.REGEXEXTRACT(CELL("address",'Raw Data'!D85),"\$([A-Z]+)\$[0-9]+"),"")</f>
        <v>$D$85</v>
      </c>
      <c r="E84" t="str">
        <f t="array" aca="1" ref="E84" ca="1">IF('Raw Data'!E85="",_xlfn.REGEXEXTRACT(CELL("address",'Raw Data'!E85),"\$([A-Z]+)\$[0-9]+"),"")</f>
        <v>$E$85</v>
      </c>
      <c r="F84" t="str">
        <f t="array" aca="1" ref="F84" ca="1">IF('Raw Data'!F85="",_xlfn.REGEXEXTRACT(CELL("address",'Raw Data'!F85),"\$([A-Z]+)\$[0-9]+"),"")</f>
        <v>$F$85</v>
      </c>
      <c r="G84" t="e">
        <f t="array" aca="1" ref="G84" ca="1">IF('Raw Data'!#REF!="",_xlfn.REGEXEXTRACT(CELL("address",'Raw Data'!#REF!),"\$([A-Z]+)\$[0-9]+"),"")</f>
        <v>#REF!</v>
      </c>
      <c r="H84" t="str">
        <f t="array" aca="1" ref="H84" ca="1">IF('Raw Data'!G85="",_xlfn.REGEXEXTRACT(CELL("address",'Raw Data'!G85),"\$([A-Z]+)\$[0-9]+"),"")</f>
        <v>$G$85</v>
      </c>
      <c r="I84" t="str">
        <f t="array" aca="1" ref="I84" ca="1">IF('Raw Data'!H85="",_xlfn.REGEXEXTRACT(CELL("address",'Raw Data'!H85),"\$([A-Z]+)\$[0-9]+"),"")</f>
        <v>$H$85</v>
      </c>
    </row>
    <row r="85" spans="2:9" x14ac:dyDescent="0.25">
      <c r="B85" t="str">
        <f t="array" aca="1" ref="B85" ca="1">IF('Raw Data'!B86="",_xlfn.REGEXEXTRACT(CELL("address",'Raw Data'!B86),"\$([A-Z]+)\$[0-9]+"),"")</f>
        <v>$B$86</v>
      </c>
      <c r="C85" t="str">
        <f t="array" aca="1" ref="C85" ca="1">IF('Raw Data'!C86="",_xlfn.REGEXEXTRACT(CELL("address",'Raw Data'!C86),"\$([A-Z]+)\$[0-9]+"),"")</f>
        <v>$C$86</v>
      </c>
      <c r="D85" t="str">
        <f t="array" aca="1" ref="D85" ca="1">IF('Raw Data'!D86="",_xlfn.REGEXEXTRACT(CELL("address",'Raw Data'!D86),"\$([A-Z]+)\$[0-9]+"),"")</f>
        <v>$D$86</v>
      </c>
      <c r="E85" t="str">
        <f t="array" aca="1" ref="E85" ca="1">IF('Raw Data'!E86="",_xlfn.REGEXEXTRACT(CELL("address",'Raw Data'!E86),"\$([A-Z]+)\$[0-9]+"),"")</f>
        <v>$E$86</v>
      </c>
      <c r="F85" t="str">
        <f t="array" aca="1" ref="F85" ca="1">IF('Raw Data'!F86="",_xlfn.REGEXEXTRACT(CELL("address",'Raw Data'!F86),"\$([A-Z]+)\$[0-9]+"),"")</f>
        <v>$F$86</v>
      </c>
      <c r="G85" t="e">
        <f t="array" aca="1" ref="G85" ca="1">IF('Raw Data'!#REF!="",_xlfn.REGEXEXTRACT(CELL("address",'Raw Data'!#REF!),"\$([A-Z]+)\$[0-9]+"),"")</f>
        <v>#REF!</v>
      </c>
      <c r="H85" t="str">
        <f t="array" aca="1" ref="H85" ca="1">IF('Raw Data'!G86="",_xlfn.REGEXEXTRACT(CELL("address",'Raw Data'!G86),"\$([A-Z]+)\$[0-9]+"),"")</f>
        <v>$G$86</v>
      </c>
      <c r="I85" t="str">
        <f t="array" aca="1" ref="I85" ca="1">IF('Raw Data'!H86="",_xlfn.REGEXEXTRACT(CELL("address",'Raw Data'!H86),"\$([A-Z]+)\$[0-9]+"),"")</f>
        <v>$H$86</v>
      </c>
    </row>
    <row r="86" spans="2:9" x14ac:dyDescent="0.25">
      <c r="B86" t="str">
        <f t="array" aca="1" ref="B86" ca="1">IF('Raw Data'!B87="",_xlfn.REGEXEXTRACT(CELL("address",'Raw Data'!B87),"\$([A-Z]+)\$[0-9]+"),"")</f>
        <v>$B$87</v>
      </c>
      <c r="C86" t="str">
        <f t="array" aca="1" ref="C86" ca="1">IF('Raw Data'!C87="",_xlfn.REGEXEXTRACT(CELL("address",'Raw Data'!C87),"\$([A-Z]+)\$[0-9]+"),"")</f>
        <v>$C$87</v>
      </c>
      <c r="D86" t="str">
        <f t="array" aca="1" ref="D86" ca="1">IF('Raw Data'!D87="",_xlfn.REGEXEXTRACT(CELL("address",'Raw Data'!D87),"\$([A-Z]+)\$[0-9]+"),"")</f>
        <v>$D$87</v>
      </c>
      <c r="E86" t="str">
        <f t="array" aca="1" ref="E86" ca="1">IF('Raw Data'!E87="",_xlfn.REGEXEXTRACT(CELL("address",'Raw Data'!E87),"\$([A-Z]+)\$[0-9]+"),"")</f>
        <v>$E$87</v>
      </c>
      <c r="F86" t="str">
        <f t="array" aca="1" ref="F86" ca="1">IF('Raw Data'!F87="",_xlfn.REGEXEXTRACT(CELL("address",'Raw Data'!F87),"\$([A-Z]+)\$[0-9]+"),"")</f>
        <v>$F$87</v>
      </c>
      <c r="G86" t="e">
        <f t="array" aca="1" ref="G86" ca="1">IF('Raw Data'!#REF!="",_xlfn.REGEXEXTRACT(CELL("address",'Raw Data'!#REF!),"\$([A-Z]+)\$[0-9]+"),"")</f>
        <v>#REF!</v>
      </c>
      <c r="H86" t="str">
        <f t="array" aca="1" ref="H86" ca="1">IF('Raw Data'!G87="",_xlfn.REGEXEXTRACT(CELL("address",'Raw Data'!G87),"\$([A-Z]+)\$[0-9]+"),"")</f>
        <v>$G$87</v>
      </c>
      <c r="I86" t="str">
        <f t="array" aca="1" ref="I86" ca="1">IF('Raw Data'!H87="",_xlfn.REGEXEXTRACT(CELL("address",'Raw Data'!H87),"\$([A-Z]+)\$[0-9]+"),"")</f>
        <v>$H$87</v>
      </c>
    </row>
    <row r="87" spans="2:9" x14ac:dyDescent="0.25">
      <c r="B87" t="str">
        <f t="array" aca="1" ref="B87" ca="1">IF('Raw Data'!B88="",_xlfn.REGEXEXTRACT(CELL("address",'Raw Data'!B88),"\$([A-Z]+)\$[0-9]+"),"")</f>
        <v>$B$88</v>
      </c>
      <c r="C87" t="str">
        <f t="array" aca="1" ref="C87" ca="1">IF('Raw Data'!C88="",_xlfn.REGEXEXTRACT(CELL("address",'Raw Data'!C88),"\$([A-Z]+)\$[0-9]+"),"")</f>
        <v>$C$88</v>
      </c>
      <c r="D87" t="str">
        <f t="array" aca="1" ref="D87" ca="1">IF('Raw Data'!D88="",_xlfn.REGEXEXTRACT(CELL("address",'Raw Data'!D88),"\$([A-Z]+)\$[0-9]+"),"")</f>
        <v>$D$88</v>
      </c>
      <c r="E87" t="str">
        <f t="array" aca="1" ref="E87" ca="1">IF('Raw Data'!E88="",_xlfn.REGEXEXTRACT(CELL("address",'Raw Data'!E88),"\$([A-Z]+)\$[0-9]+"),"")</f>
        <v>$E$88</v>
      </c>
      <c r="F87" t="str">
        <f t="array" aca="1" ref="F87" ca="1">IF('Raw Data'!F88="",_xlfn.REGEXEXTRACT(CELL("address",'Raw Data'!F88),"\$([A-Z]+)\$[0-9]+"),"")</f>
        <v>$F$88</v>
      </c>
      <c r="G87" t="e">
        <f t="array" aca="1" ref="G87" ca="1">IF('Raw Data'!#REF!="",_xlfn.REGEXEXTRACT(CELL("address",'Raw Data'!#REF!),"\$([A-Z]+)\$[0-9]+"),"")</f>
        <v>#REF!</v>
      </c>
      <c r="H87" t="str">
        <f t="array" aca="1" ref="H87" ca="1">IF('Raw Data'!G88="",_xlfn.REGEXEXTRACT(CELL("address",'Raw Data'!G88),"\$([A-Z]+)\$[0-9]+"),"")</f>
        <v>$G$88</v>
      </c>
      <c r="I87" t="str">
        <f t="array" aca="1" ref="I87" ca="1">IF('Raw Data'!H88="",_xlfn.REGEXEXTRACT(CELL("address",'Raw Data'!H88),"\$([A-Z]+)\$[0-9]+"),"")</f>
        <v>$H$88</v>
      </c>
    </row>
    <row r="88" spans="2:9" x14ac:dyDescent="0.25">
      <c r="B88" t="str">
        <f t="array" aca="1" ref="B88" ca="1">IF('Raw Data'!B89="",_xlfn.REGEXEXTRACT(CELL("address",'Raw Data'!B89),"\$([A-Z]+)\$[0-9]+"),"")</f>
        <v>$B$89</v>
      </c>
      <c r="C88" t="str">
        <f t="array" aca="1" ref="C88" ca="1">IF('Raw Data'!C89="",_xlfn.REGEXEXTRACT(CELL("address",'Raw Data'!C89),"\$([A-Z]+)\$[0-9]+"),"")</f>
        <v>$C$89</v>
      </c>
      <c r="D88" t="str">
        <f t="array" aca="1" ref="D88" ca="1">IF('Raw Data'!D89="",_xlfn.REGEXEXTRACT(CELL("address",'Raw Data'!D89),"\$([A-Z]+)\$[0-9]+"),"")</f>
        <v>$D$89</v>
      </c>
      <c r="E88" t="str">
        <f t="array" aca="1" ref="E88" ca="1">IF('Raw Data'!E89="",_xlfn.REGEXEXTRACT(CELL("address",'Raw Data'!E89),"\$([A-Z]+)\$[0-9]+"),"")</f>
        <v>$E$89</v>
      </c>
      <c r="F88" t="str">
        <f t="array" aca="1" ref="F88" ca="1">IF('Raw Data'!F89="",_xlfn.REGEXEXTRACT(CELL("address",'Raw Data'!F89),"\$([A-Z]+)\$[0-9]+"),"")</f>
        <v>$F$89</v>
      </c>
      <c r="G88" t="e">
        <f t="array" aca="1" ref="G88" ca="1">IF('Raw Data'!#REF!="",_xlfn.REGEXEXTRACT(CELL("address",'Raw Data'!#REF!),"\$([A-Z]+)\$[0-9]+"),"")</f>
        <v>#REF!</v>
      </c>
      <c r="H88" t="str">
        <f t="array" aca="1" ref="H88" ca="1">IF('Raw Data'!G89="",_xlfn.REGEXEXTRACT(CELL("address",'Raw Data'!G89),"\$([A-Z]+)\$[0-9]+"),"")</f>
        <v>$G$89</v>
      </c>
      <c r="I88" t="str">
        <f t="array" aca="1" ref="I88" ca="1">IF('Raw Data'!H89="",_xlfn.REGEXEXTRACT(CELL("address",'Raw Data'!H89),"\$([A-Z]+)\$[0-9]+"),"")</f>
        <v>$H$89</v>
      </c>
    </row>
    <row r="89" spans="2:9" x14ac:dyDescent="0.25">
      <c r="B89" t="str">
        <f t="array" aca="1" ref="B89" ca="1">IF('Raw Data'!B90="",_xlfn.REGEXEXTRACT(CELL("address",'Raw Data'!B90),"\$([A-Z]+)\$[0-9]+"),"")</f>
        <v>$B$90</v>
      </c>
      <c r="C89" t="str">
        <f t="array" aca="1" ref="C89" ca="1">IF('Raw Data'!C90="",_xlfn.REGEXEXTRACT(CELL("address",'Raw Data'!C90),"\$([A-Z]+)\$[0-9]+"),"")</f>
        <v>$C$90</v>
      </c>
      <c r="D89" t="str">
        <f t="array" aca="1" ref="D89" ca="1">IF('Raw Data'!D90="",_xlfn.REGEXEXTRACT(CELL("address",'Raw Data'!D90),"\$([A-Z]+)\$[0-9]+"),"")</f>
        <v>$D$90</v>
      </c>
      <c r="E89" t="str">
        <f t="array" aca="1" ref="E89" ca="1">IF('Raw Data'!E90="",_xlfn.REGEXEXTRACT(CELL("address",'Raw Data'!E90),"\$([A-Z]+)\$[0-9]+"),"")</f>
        <v>$E$90</v>
      </c>
      <c r="F89" t="str">
        <f t="array" aca="1" ref="F89" ca="1">IF('Raw Data'!F90="",_xlfn.REGEXEXTRACT(CELL("address",'Raw Data'!F90),"\$([A-Z]+)\$[0-9]+"),"")</f>
        <v>$F$90</v>
      </c>
      <c r="G89" t="e">
        <f t="array" aca="1" ref="G89" ca="1">IF('Raw Data'!#REF!="",_xlfn.REGEXEXTRACT(CELL("address",'Raw Data'!#REF!),"\$([A-Z]+)\$[0-9]+"),"")</f>
        <v>#REF!</v>
      </c>
      <c r="H89" t="str">
        <f t="array" aca="1" ref="H89" ca="1">IF('Raw Data'!G90="",_xlfn.REGEXEXTRACT(CELL("address",'Raw Data'!G90),"\$([A-Z]+)\$[0-9]+"),"")</f>
        <v>$G$90</v>
      </c>
      <c r="I89" t="str">
        <f t="array" aca="1" ref="I89" ca="1">IF('Raw Data'!H90="",_xlfn.REGEXEXTRACT(CELL("address",'Raw Data'!H90),"\$([A-Z]+)\$[0-9]+"),"")</f>
        <v>$H$90</v>
      </c>
    </row>
    <row r="90" spans="2:9" x14ac:dyDescent="0.25">
      <c r="B90" t="str">
        <f t="array" aca="1" ref="B90" ca="1">IF('Raw Data'!B91="",_xlfn.REGEXEXTRACT(CELL("address",'Raw Data'!B91),"\$([A-Z]+)\$[0-9]+"),"")</f>
        <v>$B$91</v>
      </c>
      <c r="C90" t="str">
        <f t="array" aca="1" ref="C90" ca="1">IF('Raw Data'!C91="",_xlfn.REGEXEXTRACT(CELL("address",'Raw Data'!C91),"\$([A-Z]+)\$[0-9]+"),"")</f>
        <v>$C$91</v>
      </c>
      <c r="D90" t="str">
        <f t="array" aca="1" ref="D90" ca="1">IF('Raw Data'!D91="",_xlfn.REGEXEXTRACT(CELL("address",'Raw Data'!D91),"\$([A-Z]+)\$[0-9]+"),"")</f>
        <v>$D$91</v>
      </c>
      <c r="E90" t="str">
        <f t="array" aca="1" ref="E90" ca="1">IF('Raw Data'!E91="",_xlfn.REGEXEXTRACT(CELL("address",'Raw Data'!E91),"\$([A-Z]+)\$[0-9]+"),"")</f>
        <v>$E$91</v>
      </c>
      <c r="F90" t="str">
        <f t="array" aca="1" ref="F90" ca="1">IF('Raw Data'!F91="",_xlfn.REGEXEXTRACT(CELL("address",'Raw Data'!F91),"\$([A-Z]+)\$[0-9]+"),"")</f>
        <v>$F$91</v>
      </c>
      <c r="G90" t="e">
        <f t="array" aca="1" ref="G90" ca="1">IF('Raw Data'!#REF!="",_xlfn.REGEXEXTRACT(CELL("address",'Raw Data'!#REF!),"\$([A-Z]+)\$[0-9]+"),"")</f>
        <v>#REF!</v>
      </c>
      <c r="H90" t="str">
        <f t="array" aca="1" ref="H90" ca="1">IF('Raw Data'!G91="",_xlfn.REGEXEXTRACT(CELL("address",'Raw Data'!G91),"\$([A-Z]+)\$[0-9]+"),"")</f>
        <v>$G$91</v>
      </c>
      <c r="I90" t="str">
        <f t="array" aca="1" ref="I90" ca="1">IF('Raw Data'!H91="",_xlfn.REGEXEXTRACT(CELL("address",'Raw Data'!H91),"\$([A-Z]+)\$[0-9]+"),"")</f>
        <v>$H$91</v>
      </c>
    </row>
    <row r="91" spans="2:9" x14ac:dyDescent="0.25">
      <c r="B91" t="str">
        <f t="array" aca="1" ref="B91" ca="1">IF('Raw Data'!B92="",_xlfn.REGEXEXTRACT(CELL("address",'Raw Data'!B92),"\$([A-Z]+)\$[0-9]+"),"")</f>
        <v>$B$92</v>
      </c>
      <c r="C91" t="str">
        <f t="array" aca="1" ref="C91" ca="1">IF('Raw Data'!C92="",_xlfn.REGEXEXTRACT(CELL("address",'Raw Data'!C92),"\$([A-Z]+)\$[0-9]+"),"")</f>
        <v>$C$92</v>
      </c>
      <c r="D91" t="str">
        <f t="array" aca="1" ref="D91" ca="1">IF('Raw Data'!D92="",_xlfn.REGEXEXTRACT(CELL("address",'Raw Data'!D92),"\$([A-Z]+)\$[0-9]+"),"")</f>
        <v>$D$92</v>
      </c>
      <c r="E91" t="str">
        <f t="array" aca="1" ref="E91" ca="1">IF('Raw Data'!E92="",_xlfn.REGEXEXTRACT(CELL("address",'Raw Data'!E92),"\$([A-Z]+)\$[0-9]+"),"")</f>
        <v>$E$92</v>
      </c>
      <c r="F91" t="str">
        <f t="array" aca="1" ref="F91" ca="1">IF('Raw Data'!F92="",_xlfn.REGEXEXTRACT(CELL("address",'Raw Data'!F92),"\$([A-Z]+)\$[0-9]+"),"")</f>
        <v>$F$92</v>
      </c>
      <c r="G91" t="e">
        <f t="array" aca="1" ref="G91" ca="1">IF('Raw Data'!#REF!="",_xlfn.REGEXEXTRACT(CELL("address",'Raw Data'!#REF!),"\$([A-Z]+)\$[0-9]+"),"")</f>
        <v>#REF!</v>
      </c>
      <c r="H91" t="str">
        <f t="array" aca="1" ref="H91" ca="1">IF('Raw Data'!G92="",_xlfn.REGEXEXTRACT(CELL("address",'Raw Data'!G92),"\$([A-Z]+)\$[0-9]+"),"")</f>
        <v>$G$92</v>
      </c>
      <c r="I91" t="str">
        <f t="array" aca="1" ref="I91" ca="1">IF('Raw Data'!H92="",_xlfn.REGEXEXTRACT(CELL("address",'Raw Data'!H92),"\$([A-Z]+)\$[0-9]+"),"")</f>
        <v>$H$92</v>
      </c>
    </row>
    <row r="92" spans="2:9" x14ac:dyDescent="0.25">
      <c r="B92" t="str">
        <f t="array" aca="1" ref="B92" ca="1">IF('Raw Data'!B93="",_xlfn.REGEXEXTRACT(CELL("address",'Raw Data'!B93),"\$([A-Z]+)\$[0-9]+"),"")</f>
        <v>$B$93</v>
      </c>
      <c r="C92" t="str">
        <f t="array" aca="1" ref="C92" ca="1">IF('Raw Data'!C93="",_xlfn.REGEXEXTRACT(CELL("address",'Raw Data'!C93),"\$([A-Z]+)\$[0-9]+"),"")</f>
        <v>$C$93</v>
      </c>
      <c r="D92" t="str">
        <f t="array" aca="1" ref="D92" ca="1">IF('Raw Data'!D93="",_xlfn.REGEXEXTRACT(CELL("address",'Raw Data'!D93),"\$([A-Z]+)\$[0-9]+"),"")</f>
        <v>$D$93</v>
      </c>
      <c r="E92" t="str">
        <f t="array" aca="1" ref="E92" ca="1">IF('Raw Data'!E93="",_xlfn.REGEXEXTRACT(CELL("address",'Raw Data'!E93),"\$([A-Z]+)\$[0-9]+"),"")</f>
        <v>$E$93</v>
      </c>
      <c r="F92" t="str">
        <f t="array" aca="1" ref="F92" ca="1">IF('Raw Data'!F93="",_xlfn.REGEXEXTRACT(CELL("address",'Raw Data'!F93),"\$([A-Z]+)\$[0-9]+"),"")</f>
        <v>$F$93</v>
      </c>
      <c r="G92" t="e">
        <f t="array" aca="1" ref="G92" ca="1">IF('Raw Data'!#REF!="",_xlfn.REGEXEXTRACT(CELL("address",'Raw Data'!#REF!),"\$([A-Z]+)\$[0-9]+"),"")</f>
        <v>#REF!</v>
      </c>
      <c r="H92" t="str">
        <f t="array" aca="1" ref="H92" ca="1">IF('Raw Data'!G93="",_xlfn.REGEXEXTRACT(CELL("address",'Raw Data'!G93),"\$([A-Z]+)\$[0-9]+"),"")</f>
        <v>$G$93</v>
      </c>
      <c r="I92" t="str">
        <f t="array" aca="1" ref="I92" ca="1">IF('Raw Data'!H93="",_xlfn.REGEXEXTRACT(CELL("address",'Raw Data'!H93),"\$([A-Z]+)\$[0-9]+"),"")</f>
        <v>$H$93</v>
      </c>
    </row>
    <row r="93" spans="2:9" x14ac:dyDescent="0.25">
      <c r="B93" t="str">
        <f t="array" aca="1" ref="B93" ca="1">IF('Raw Data'!B94="",_xlfn.REGEXEXTRACT(CELL("address",'Raw Data'!B94),"\$([A-Z]+)\$[0-9]+"),"")</f>
        <v>$B$94</v>
      </c>
      <c r="C93" t="str">
        <f t="array" aca="1" ref="C93" ca="1">IF('Raw Data'!C94="",_xlfn.REGEXEXTRACT(CELL("address",'Raw Data'!C94),"\$([A-Z]+)\$[0-9]+"),"")</f>
        <v>$C$94</v>
      </c>
      <c r="D93" t="str">
        <f t="array" aca="1" ref="D93" ca="1">IF('Raw Data'!D94="",_xlfn.REGEXEXTRACT(CELL("address",'Raw Data'!D94),"\$([A-Z]+)\$[0-9]+"),"")</f>
        <v>$D$94</v>
      </c>
      <c r="E93" t="str">
        <f t="array" aca="1" ref="E93" ca="1">IF('Raw Data'!E94="",_xlfn.REGEXEXTRACT(CELL("address",'Raw Data'!E94),"\$([A-Z]+)\$[0-9]+"),"")</f>
        <v>$E$94</v>
      </c>
      <c r="F93" t="str">
        <f t="array" aca="1" ref="F93" ca="1">IF('Raw Data'!F94="",_xlfn.REGEXEXTRACT(CELL("address",'Raw Data'!F94),"\$([A-Z]+)\$[0-9]+"),"")</f>
        <v>$F$94</v>
      </c>
      <c r="G93" t="e">
        <f t="array" aca="1" ref="G93" ca="1">IF('Raw Data'!#REF!="",_xlfn.REGEXEXTRACT(CELL("address",'Raw Data'!#REF!),"\$([A-Z]+)\$[0-9]+"),"")</f>
        <v>#REF!</v>
      </c>
      <c r="H93" t="str">
        <f t="array" aca="1" ref="H93" ca="1">IF('Raw Data'!G94="",_xlfn.REGEXEXTRACT(CELL("address",'Raw Data'!G94),"\$([A-Z]+)\$[0-9]+"),"")</f>
        <v>$G$94</v>
      </c>
      <c r="I93" t="str">
        <f t="array" aca="1" ref="I93" ca="1">IF('Raw Data'!H94="",_xlfn.REGEXEXTRACT(CELL("address",'Raw Data'!H94),"\$([A-Z]+)\$[0-9]+"),"")</f>
        <v>$H$94</v>
      </c>
    </row>
    <row r="94" spans="2:9" x14ac:dyDescent="0.25">
      <c r="B94" t="str">
        <f t="array" aca="1" ref="B94" ca="1">IF('Raw Data'!B95="",_xlfn.REGEXEXTRACT(CELL("address",'Raw Data'!B95),"\$([A-Z]+)\$[0-9]+"),"")</f>
        <v>$B$95</v>
      </c>
      <c r="C94" t="str">
        <f t="array" aca="1" ref="C94" ca="1">IF('Raw Data'!C95="",_xlfn.REGEXEXTRACT(CELL("address",'Raw Data'!C95),"\$([A-Z]+)\$[0-9]+"),"")</f>
        <v>$C$95</v>
      </c>
      <c r="D94" t="str">
        <f t="array" aca="1" ref="D94" ca="1">IF('Raw Data'!D95="",_xlfn.REGEXEXTRACT(CELL("address",'Raw Data'!D95),"\$([A-Z]+)\$[0-9]+"),"")</f>
        <v>$D$95</v>
      </c>
      <c r="E94" t="str">
        <f t="array" aca="1" ref="E94" ca="1">IF('Raw Data'!E95="",_xlfn.REGEXEXTRACT(CELL("address",'Raw Data'!E95),"\$([A-Z]+)\$[0-9]+"),"")</f>
        <v>$E$95</v>
      </c>
      <c r="F94" t="str">
        <f t="array" aca="1" ref="F94" ca="1">IF('Raw Data'!F95="",_xlfn.REGEXEXTRACT(CELL("address",'Raw Data'!F95),"\$([A-Z]+)\$[0-9]+"),"")</f>
        <v>$F$95</v>
      </c>
      <c r="G94" t="e">
        <f t="array" aca="1" ref="G94" ca="1">IF('Raw Data'!#REF!="",_xlfn.REGEXEXTRACT(CELL("address",'Raw Data'!#REF!),"\$([A-Z]+)\$[0-9]+"),"")</f>
        <v>#REF!</v>
      </c>
      <c r="H94" t="str">
        <f t="array" aca="1" ref="H94" ca="1">IF('Raw Data'!G95="",_xlfn.REGEXEXTRACT(CELL("address",'Raw Data'!G95),"\$([A-Z]+)\$[0-9]+"),"")</f>
        <v>$G$95</v>
      </c>
      <c r="I94" t="str">
        <f t="array" aca="1" ref="I94" ca="1">IF('Raw Data'!H95="",_xlfn.REGEXEXTRACT(CELL("address",'Raw Data'!H95),"\$([A-Z]+)\$[0-9]+"),"")</f>
        <v>$H$95</v>
      </c>
    </row>
    <row r="95" spans="2:9" x14ac:dyDescent="0.25">
      <c r="B95" t="str">
        <f t="array" aca="1" ref="B95" ca="1">IF('Raw Data'!B96="",_xlfn.REGEXEXTRACT(CELL("address",'Raw Data'!B96),"\$([A-Z]+)\$[0-9]+"),"")</f>
        <v>$B$96</v>
      </c>
      <c r="C95" t="str">
        <f t="array" aca="1" ref="C95" ca="1">IF('Raw Data'!C96="",_xlfn.REGEXEXTRACT(CELL("address",'Raw Data'!C96),"\$([A-Z]+)\$[0-9]+"),"")</f>
        <v>$C$96</v>
      </c>
      <c r="D95" t="str">
        <f t="array" aca="1" ref="D95" ca="1">IF('Raw Data'!D96="",_xlfn.REGEXEXTRACT(CELL("address",'Raw Data'!D96),"\$([A-Z]+)\$[0-9]+"),"")</f>
        <v>$D$96</v>
      </c>
      <c r="E95" t="str">
        <f t="array" aca="1" ref="E95" ca="1">IF('Raw Data'!E96="",_xlfn.REGEXEXTRACT(CELL("address",'Raw Data'!E96),"\$([A-Z]+)\$[0-9]+"),"")</f>
        <v>$E$96</v>
      </c>
      <c r="F95" t="str">
        <f t="array" aca="1" ref="F95" ca="1">IF('Raw Data'!F96="",_xlfn.REGEXEXTRACT(CELL("address",'Raw Data'!F96),"\$([A-Z]+)\$[0-9]+"),"")</f>
        <v>$F$96</v>
      </c>
      <c r="G95" t="e">
        <f t="array" aca="1" ref="G95" ca="1">IF('Raw Data'!#REF!="",_xlfn.REGEXEXTRACT(CELL("address",'Raw Data'!#REF!),"\$([A-Z]+)\$[0-9]+"),"")</f>
        <v>#REF!</v>
      </c>
      <c r="H95" t="str">
        <f t="array" aca="1" ref="H95" ca="1">IF('Raw Data'!G96="",_xlfn.REGEXEXTRACT(CELL("address",'Raw Data'!G96),"\$([A-Z]+)\$[0-9]+"),"")</f>
        <v>$G$96</v>
      </c>
      <c r="I95" t="str">
        <f t="array" aca="1" ref="I95" ca="1">IF('Raw Data'!H96="",_xlfn.REGEXEXTRACT(CELL("address",'Raw Data'!H96),"\$([A-Z]+)\$[0-9]+"),"")</f>
        <v>$H$96</v>
      </c>
    </row>
    <row r="96" spans="2:9" x14ac:dyDescent="0.25">
      <c r="B96" t="str">
        <f t="array" aca="1" ref="B96" ca="1">IF('Raw Data'!B97="",_xlfn.REGEXEXTRACT(CELL("address",'Raw Data'!B97),"\$([A-Z]+)\$[0-9]+"),"")</f>
        <v>$B$97</v>
      </c>
      <c r="C96" t="str">
        <f t="array" aca="1" ref="C96" ca="1">IF('Raw Data'!C97="",_xlfn.REGEXEXTRACT(CELL("address",'Raw Data'!C97),"\$([A-Z]+)\$[0-9]+"),"")</f>
        <v>$C$97</v>
      </c>
      <c r="D96" t="str">
        <f t="array" aca="1" ref="D96" ca="1">IF('Raw Data'!D97="",_xlfn.REGEXEXTRACT(CELL("address",'Raw Data'!D97),"\$([A-Z]+)\$[0-9]+"),"")</f>
        <v>$D$97</v>
      </c>
      <c r="E96" t="str">
        <f t="array" aca="1" ref="E96" ca="1">IF('Raw Data'!E97="",_xlfn.REGEXEXTRACT(CELL("address",'Raw Data'!E97),"\$([A-Z]+)\$[0-9]+"),"")</f>
        <v>$E$97</v>
      </c>
      <c r="F96" t="str">
        <f t="array" aca="1" ref="F96" ca="1">IF('Raw Data'!F97="",_xlfn.REGEXEXTRACT(CELL("address",'Raw Data'!F97),"\$([A-Z]+)\$[0-9]+"),"")</f>
        <v>$F$97</v>
      </c>
      <c r="G96" t="e">
        <f t="array" aca="1" ref="G96" ca="1">IF('Raw Data'!#REF!="",_xlfn.REGEXEXTRACT(CELL("address",'Raw Data'!#REF!),"\$([A-Z]+)\$[0-9]+"),"")</f>
        <v>#REF!</v>
      </c>
      <c r="H96" t="str">
        <f t="array" aca="1" ref="H96" ca="1">IF('Raw Data'!G97="",_xlfn.REGEXEXTRACT(CELL("address",'Raw Data'!G97),"\$([A-Z]+)\$[0-9]+"),"")</f>
        <v>$G$97</v>
      </c>
      <c r="I96" t="str">
        <f t="array" aca="1" ref="I96" ca="1">IF('Raw Data'!H97="",_xlfn.REGEXEXTRACT(CELL("address",'Raw Data'!H97),"\$([A-Z]+)\$[0-9]+"),"")</f>
        <v>$H$97</v>
      </c>
    </row>
    <row r="97" spans="2:9" x14ac:dyDescent="0.25">
      <c r="B97" t="str">
        <f t="array" aca="1" ref="B97" ca="1">IF('Raw Data'!B98="",_xlfn.REGEXEXTRACT(CELL("address",'Raw Data'!B98),"\$([A-Z]+)\$[0-9]+"),"")</f>
        <v>$B$98</v>
      </c>
      <c r="C97" t="str">
        <f t="array" aca="1" ref="C97" ca="1">IF('Raw Data'!C98="",_xlfn.REGEXEXTRACT(CELL("address",'Raw Data'!C98),"\$([A-Z]+)\$[0-9]+"),"")</f>
        <v>$C$98</v>
      </c>
      <c r="D97" t="str">
        <f t="array" aca="1" ref="D97" ca="1">IF('Raw Data'!D98="",_xlfn.REGEXEXTRACT(CELL("address",'Raw Data'!D98),"\$([A-Z]+)\$[0-9]+"),"")</f>
        <v>$D$98</v>
      </c>
      <c r="E97" t="str">
        <f t="array" aca="1" ref="E97" ca="1">IF('Raw Data'!E98="",_xlfn.REGEXEXTRACT(CELL("address",'Raw Data'!E98),"\$([A-Z]+)\$[0-9]+"),"")</f>
        <v>$E$98</v>
      </c>
      <c r="F97" t="str">
        <f t="array" aca="1" ref="F97" ca="1">IF('Raw Data'!F98="",_xlfn.REGEXEXTRACT(CELL("address",'Raw Data'!F98),"\$([A-Z]+)\$[0-9]+"),"")</f>
        <v>$F$98</v>
      </c>
      <c r="G97" t="e">
        <f t="array" aca="1" ref="G97" ca="1">IF('Raw Data'!#REF!="",_xlfn.REGEXEXTRACT(CELL("address",'Raw Data'!#REF!),"\$([A-Z]+)\$[0-9]+"),"")</f>
        <v>#REF!</v>
      </c>
      <c r="H97" t="str">
        <f t="array" aca="1" ref="H97" ca="1">IF('Raw Data'!G98="",_xlfn.REGEXEXTRACT(CELL("address",'Raw Data'!G98),"\$([A-Z]+)\$[0-9]+"),"")</f>
        <v>$G$98</v>
      </c>
      <c r="I97" t="str">
        <f t="array" aca="1" ref="I97" ca="1">IF('Raw Data'!H98="",_xlfn.REGEXEXTRACT(CELL("address",'Raw Data'!H98),"\$([A-Z]+)\$[0-9]+"),"")</f>
        <v>$H$98</v>
      </c>
    </row>
    <row r="98" spans="2:9" x14ac:dyDescent="0.25">
      <c r="B98" t="str">
        <f t="array" aca="1" ref="B98" ca="1">IF('Raw Data'!B99="",_xlfn.REGEXEXTRACT(CELL("address",'Raw Data'!B99),"\$([A-Z]+)\$[0-9]+"),"")</f>
        <v>$B$99</v>
      </c>
      <c r="C98" t="str">
        <f t="array" aca="1" ref="C98" ca="1">IF('Raw Data'!C99="",_xlfn.REGEXEXTRACT(CELL("address",'Raw Data'!C99),"\$([A-Z]+)\$[0-9]+"),"")</f>
        <v>$C$99</v>
      </c>
      <c r="D98" t="str">
        <f t="array" aca="1" ref="D98" ca="1">IF('Raw Data'!D99="",_xlfn.REGEXEXTRACT(CELL("address",'Raw Data'!D99),"\$([A-Z]+)\$[0-9]+"),"")</f>
        <v>$D$99</v>
      </c>
      <c r="E98" t="str">
        <f t="array" aca="1" ref="E98" ca="1">IF('Raw Data'!E99="",_xlfn.REGEXEXTRACT(CELL("address",'Raw Data'!E99),"\$([A-Z]+)\$[0-9]+"),"")</f>
        <v>$E$99</v>
      </c>
      <c r="F98" t="str">
        <f t="array" aca="1" ref="F98" ca="1">IF('Raw Data'!F99="",_xlfn.REGEXEXTRACT(CELL("address",'Raw Data'!F99),"\$([A-Z]+)\$[0-9]+"),"")</f>
        <v>$F$99</v>
      </c>
      <c r="G98" t="e">
        <f t="array" aca="1" ref="G98" ca="1">IF('Raw Data'!#REF!="",_xlfn.REGEXEXTRACT(CELL("address",'Raw Data'!#REF!),"\$([A-Z]+)\$[0-9]+"),"")</f>
        <v>#REF!</v>
      </c>
      <c r="H98" t="str">
        <f t="array" aca="1" ref="H98" ca="1">IF('Raw Data'!G99="",_xlfn.REGEXEXTRACT(CELL("address",'Raw Data'!G99),"\$([A-Z]+)\$[0-9]+"),"")</f>
        <v>$G$99</v>
      </c>
      <c r="I98" t="str">
        <f t="array" aca="1" ref="I98" ca="1">IF('Raw Data'!H99="",_xlfn.REGEXEXTRACT(CELL("address",'Raw Data'!H99),"\$([A-Z]+)\$[0-9]+"),"")</f>
        <v>$H$99</v>
      </c>
    </row>
    <row r="99" spans="2:9" x14ac:dyDescent="0.25">
      <c r="B99" t="str">
        <f t="array" aca="1" ref="B99" ca="1">IF('Raw Data'!B100="",_xlfn.REGEXEXTRACT(CELL("address",'Raw Data'!B100),"\$([A-Z]+)\$[0-9]+"),"")</f>
        <v>$B$100</v>
      </c>
      <c r="C99" t="str">
        <f t="array" aca="1" ref="C99" ca="1">IF('Raw Data'!C100="",_xlfn.REGEXEXTRACT(CELL("address",'Raw Data'!C100),"\$([A-Z]+)\$[0-9]+"),"")</f>
        <v>$C$100</v>
      </c>
      <c r="D99" t="str">
        <f t="array" aca="1" ref="D99" ca="1">IF('Raw Data'!D100="",_xlfn.REGEXEXTRACT(CELL("address",'Raw Data'!D100),"\$([A-Z]+)\$[0-9]+"),"")</f>
        <v>$D$100</v>
      </c>
      <c r="E99" t="str">
        <f t="array" aca="1" ref="E99" ca="1">IF('Raw Data'!E100="",_xlfn.REGEXEXTRACT(CELL("address",'Raw Data'!E100),"\$([A-Z]+)\$[0-9]+"),"")</f>
        <v>$E$100</v>
      </c>
      <c r="F99" t="str">
        <f t="array" aca="1" ref="F99" ca="1">IF('Raw Data'!F100="",_xlfn.REGEXEXTRACT(CELL("address",'Raw Data'!F100),"\$([A-Z]+)\$[0-9]+"),"")</f>
        <v>$F$100</v>
      </c>
      <c r="G99" t="e">
        <f t="array" aca="1" ref="G99" ca="1">IF('Raw Data'!#REF!="",_xlfn.REGEXEXTRACT(CELL("address",'Raw Data'!#REF!),"\$([A-Z]+)\$[0-9]+"),"")</f>
        <v>#REF!</v>
      </c>
      <c r="H99" t="str">
        <f t="array" aca="1" ref="H99" ca="1">IF('Raw Data'!G100="",_xlfn.REGEXEXTRACT(CELL("address",'Raw Data'!G100),"\$([A-Z]+)\$[0-9]+"),"")</f>
        <v>$G$100</v>
      </c>
      <c r="I99" t="str">
        <f t="array" aca="1" ref="I99" ca="1">IF('Raw Data'!H100="",_xlfn.REGEXEXTRACT(CELL("address",'Raw Data'!H100),"\$([A-Z]+)\$[0-9]+"),"")</f>
        <v>$H$100</v>
      </c>
    </row>
    <row r="100" spans="2:9" x14ac:dyDescent="0.25">
      <c r="B100" t="str">
        <f t="array" aca="1" ref="B100" ca="1">IF('Raw Data'!B101="",_xlfn.REGEXEXTRACT(CELL("address",'Raw Data'!B101),"\$([A-Z]+)\$[0-9]+"),"")</f>
        <v>$B$101</v>
      </c>
      <c r="C100" t="str">
        <f t="array" aca="1" ref="C100" ca="1">IF('Raw Data'!C101="",_xlfn.REGEXEXTRACT(CELL("address",'Raw Data'!C101),"\$([A-Z]+)\$[0-9]+"),"")</f>
        <v>$C$101</v>
      </c>
      <c r="D100" t="str">
        <f t="array" aca="1" ref="D100" ca="1">IF('Raw Data'!D101="",_xlfn.REGEXEXTRACT(CELL("address",'Raw Data'!D101),"\$([A-Z]+)\$[0-9]+"),"")</f>
        <v>$D$101</v>
      </c>
      <c r="E100" t="str">
        <f t="array" aca="1" ref="E100" ca="1">IF('Raw Data'!E101="",_xlfn.REGEXEXTRACT(CELL("address",'Raw Data'!E101),"\$([A-Z]+)\$[0-9]+"),"")</f>
        <v>$E$101</v>
      </c>
      <c r="F100" t="str">
        <f t="array" aca="1" ref="F100" ca="1">IF('Raw Data'!F101="",_xlfn.REGEXEXTRACT(CELL("address",'Raw Data'!F101),"\$([A-Z]+)\$[0-9]+"),"")</f>
        <v>$F$101</v>
      </c>
      <c r="G100" t="e">
        <f t="array" aca="1" ref="G100" ca="1">IF('Raw Data'!#REF!="",_xlfn.REGEXEXTRACT(CELL("address",'Raw Data'!#REF!),"\$([A-Z]+)\$[0-9]+"),"")</f>
        <v>#REF!</v>
      </c>
      <c r="H100" t="str">
        <f t="array" aca="1" ref="H100" ca="1">IF('Raw Data'!G101="",_xlfn.REGEXEXTRACT(CELL("address",'Raw Data'!G101),"\$([A-Z]+)\$[0-9]+"),"")</f>
        <v>$G$101</v>
      </c>
      <c r="I100" t="str">
        <f t="array" aca="1" ref="I100" ca="1">IF('Raw Data'!H101="",_xlfn.REGEXEXTRACT(CELL("address",'Raw Data'!H101),"\$([A-Z]+)\$[0-9]+"),"")</f>
        <v>$H$101</v>
      </c>
    </row>
    <row r="101" spans="2:9" x14ac:dyDescent="0.25">
      <c r="B101" t="str">
        <f t="array" aca="1" ref="B101" ca="1">IF('Raw Data'!B102="",_xlfn.REGEXEXTRACT(CELL("address",'Raw Data'!B102),"\$([A-Z]+)\$[0-9]+"),"")</f>
        <v>$B$102</v>
      </c>
      <c r="C101" t="str">
        <f t="array" aca="1" ref="C101" ca="1">IF('Raw Data'!C102="",_xlfn.REGEXEXTRACT(CELL("address",'Raw Data'!C102),"\$([A-Z]+)\$[0-9]+"),"")</f>
        <v>$C$102</v>
      </c>
      <c r="D101" t="str">
        <f t="array" aca="1" ref="D101" ca="1">IF('Raw Data'!D102="",_xlfn.REGEXEXTRACT(CELL("address",'Raw Data'!D102),"\$([A-Z]+)\$[0-9]+"),"")</f>
        <v>$D$102</v>
      </c>
      <c r="E101" t="str">
        <f t="array" aca="1" ref="E101" ca="1">IF('Raw Data'!E102="",_xlfn.REGEXEXTRACT(CELL("address",'Raw Data'!E102),"\$([A-Z]+)\$[0-9]+"),"")</f>
        <v>$E$102</v>
      </c>
      <c r="F101" t="str">
        <f t="array" aca="1" ref="F101" ca="1">IF('Raw Data'!F102="",_xlfn.REGEXEXTRACT(CELL("address",'Raw Data'!F102),"\$([A-Z]+)\$[0-9]+"),"")</f>
        <v>$F$102</v>
      </c>
      <c r="G101" t="e">
        <f t="array" aca="1" ref="G101" ca="1">IF('Raw Data'!#REF!="",_xlfn.REGEXEXTRACT(CELL("address",'Raw Data'!#REF!),"\$([A-Z]+)\$[0-9]+"),"")</f>
        <v>#REF!</v>
      </c>
      <c r="H101" t="str">
        <f t="array" aca="1" ref="H101" ca="1">IF('Raw Data'!G102="",_xlfn.REGEXEXTRACT(CELL("address",'Raw Data'!G102),"\$([A-Z]+)\$[0-9]+"),"")</f>
        <v>$G$102</v>
      </c>
      <c r="I101" t="str">
        <f t="array" aca="1" ref="I101" ca="1">IF('Raw Data'!H102="",_xlfn.REGEXEXTRACT(CELL("address",'Raw Data'!H102),"\$([A-Z]+)\$[0-9]+"),"")</f>
        <v>$H$102</v>
      </c>
    </row>
    <row r="102" spans="2:9" x14ac:dyDescent="0.25">
      <c r="B102" t="str">
        <f t="array" aca="1" ref="B102" ca="1">IF('Raw Data'!B103="",_xlfn.REGEXEXTRACT(CELL("address",'Raw Data'!B103),"\$([A-Z]+)\$[0-9]+"),"")</f>
        <v>$B$103</v>
      </c>
      <c r="C102" t="str">
        <f t="array" aca="1" ref="C102" ca="1">IF('Raw Data'!C103="",_xlfn.REGEXEXTRACT(CELL("address",'Raw Data'!C103),"\$([A-Z]+)\$[0-9]+"),"")</f>
        <v>$C$103</v>
      </c>
      <c r="D102" t="str">
        <f t="array" aca="1" ref="D102" ca="1">IF('Raw Data'!D103="",_xlfn.REGEXEXTRACT(CELL("address",'Raw Data'!D103),"\$([A-Z]+)\$[0-9]+"),"")</f>
        <v>$D$103</v>
      </c>
      <c r="E102" t="str">
        <f t="array" aca="1" ref="E102" ca="1">IF('Raw Data'!E103="",_xlfn.REGEXEXTRACT(CELL("address",'Raw Data'!E103),"\$([A-Z]+)\$[0-9]+"),"")</f>
        <v>$E$103</v>
      </c>
      <c r="F102" t="str">
        <f t="array" aca="1" ref="F102" ca="1">IF('Raw Data'!F103="",_xlfn.REGEXEXTRACT(CELL("address",'Raw Data'!F103),"\$([A-Z]+)\$[0-9]+"),"")</f>
        <v>$F$103</v>
      </c>
      <c r="G102" t="e">
        <f t="array" aca="1" ref="G102" ca="1">IF('Raw Data'!#REF!="",_xlfn.REGEXEXTRACT(CELL("address",'Raw Data'!#REF!),"\$([A-Z]+)\$[0-9]+"),"")</f>
        <v>#REF!</v>
      </c>
      <c r="H102" t="str">
        <f t="array" aca="1" ref="H102" ca="1">IF('Raw Data'!G103="",_xlfn.REGEXEXTRACT(CELL("address",'Raw Data'!G103),"\$([A-Z]+)\$[0-9]+"),"")</f>
        <v>$G$103</v>
      </c>
      <c r="I102" t="str">
        <f t="array" aca="1" ref="I102" ca="1">IF('Raw Data'!H103="",_xlfn.REGEXEXTRACT(CELL("address",'Raw Data'!H103),"\$([A-Z]+)\$[0-9]+"),"")</f>
        <v>$H$103</v>
      </c>
    </row>
    <row r="103" spans="2:9" x14ac:dyDescent="0.25">
      <c r="B103" t="str">
        <f t="array" aca="1" ref="B103" ca="1">IF('Raw Data'!B104="",_xlfn.REGEXEXTRACT(CELL("address",'Raw Data'!B104),"\$([A-Z]+)\$[0-9]+"),"")</f>
        <v>$B$104</v>
      </c>
      <c r="C103" t="str">
        <f t="array" aca="1" ref="C103" ca="1">IF('Raw Data'!C104="",_xlfn.REGEXEXTRACT(CELL("address",'Raw Data'!C104),"\$([A-Z]+)\$[0-9]+"),"")</f>
        <v>$C$104</v>
      </c>
      <c r="D103" t="str">
        <f t="array" aca="1" ref="D103" ca="1">IF('Raw Data'!D104="",_xlfn.REGEXEXTRACT(CELL("address",'Raw Data'!D104),"\$([A-Z]+)\$[0-9]+"),"")</f>
        <v>$D$104</v>
      </c>
      <c r="E103" t="str">
        <f t="array" aca="1" ref="E103" ca="1">IF('Raw Data'!E104="",_xlfn.REGEXEXTRACT(CELL("address",'Raw Data'!E104),"\$([A-Z]+)\$[0-9]+"),"")</f>
        <v>$E$104</v>
      </c>
      <c r="F103" t="str">
        <f t="array" aca="1" ref="F103" ca="1">IF('Raw Data'!F104="",_xlfn.REGEXEXTRACT(CELL("address",'Raw Data'!F104),"\$([A-Z]+)\$[0-9]+"),"")</f>
        <v>$F$104</v>
      </c>
      <c r="G103" t="e">
        <f t="array" aca="1" ref="G103" ca="1">IF('Raw Data'!#REF!="",_xlfn.REGEXEXTRACT(CELL("address",'Raw Data'!#REF!),"\$([A-Z]+)\$[0-9]+"),"")</f>
        <v>#REF!</v>
      </c>
      <c r="H103" t="str">
        <f t="array" aca="1" ref="H103" ca="1">IF('Raw Data'!G104="",_xlfn.REGEXEXTRACT(CELL("address",'Raw Data'!G104),"\$([A-Z]+)\$[0-9]+"),"")</f>
        <v>$G$104</v>
      </c>
      <c r="I103" t="str">
        <f t="array" aca="1" ref="I103" ca="1">IF('Raw Data'!H104="",_xlfn.REGEXEXTRACT(CELL("address",'Raw Data'!H104),"\$([A-Z]+)\$[0-9]+"),"")</f>
        <v>$H$104</v>
      </c>
    </row>
    <row r="104" spans="2:9" x14ac:dyDescent="0.25">
      <c r="B104" t="str">
        <f t="array" aca="1" ref="B104" ca="1">IF('Raw Data'!B105="",_xlfn.REGEXEXTRACT(CELL("address",'Raw Data'!B105),"\$([A-Z]+)\$[0-9]+"),"")</f>
        <v>$B$105</v>
      </c>
      <c r="C104" t="str">
        <f t="array" aca="1" ref="C104" ca="1">IF('Raw Data'!C105="",_xlfn.REGEXEXTRACT(CELL("address",'Raw Data'!C105),"\$([A-Z]+)\$[0-9]+"),"")</f>
        <v>$C$105</v>
      </c>
      <c r="D104" t="str">
        <f t="array" aca="1" ref="D104" ca="1">IF('Raw Data'!D105="",_xlfn.REGEXEXTRACT(CELL("address",'Raw Data'!D105),"\$([A-Z]+)\$[0-9]+"),"")</f>
        <v>$D$105</v>
      </c>
      <c r="E104" t="str">
        <f t="array" aca="1" ref="E104" ca="1">IF('Raw Data'!E105="",_xlfn.REGEXEXTRACT(CELL("address",'Raw Data'!E105),"\$([A-Z]+)\$[0-9]+"),"")</f>
        <v>$E$105</v>
      </c>
      <c r="F104" t="str">
        <f t="array" aca="1" ref="F104" ca="1">IF('Raw Data'!F105="",_xlfn.REGEXEXTRACT(CELL("address",'Raw Data'!F105),"\$([A-Z]+)\$[0-9]+"),"")</f>
        <v>$F$105</v>
      </c>
      <c r="G104" t="e">
        <f t="array" aca="1" ref="G104" ca="1">IF('Raw Data'!#REF!="",_xlfn.REGEXEXTRACT(CELL("address",'Raw Data'!#REF!),"\$([A-Z]+)\$[0-9]+"),"")</f>
        <v>#REF!</v>
      </c>
      <c r="H104" t="str">
        <f t="array" aca="1" ref="H104" ca="1">IF('Raw Data'!G105="",_xlfn.REGEXEXTRACT(CELL("address",'Raw Data'!G105),"\$([A-Z]+)\$[0-9]+"),"")</f>
        <v>$G$105</v>
      </c>
      <c r="I104" t="str">
        <f t="array" aca="1" ref="I104" ca="1">IF('Raw Data'!H105="",_xlfn.REGEXEXTRACT(CELL("address",'Raw Data'!H105),"\$([A-Z]+)\$[0-9]+"),"")</f>
        <v>$H$105</v>
      </c>
    </row>
    <row r="105" spans="2:9" x14ac:dyDescent="0.25">
      <c r="B105" t="str">
        <f t="array" aca="1" ref="B105" ca="1">IF('Raw Data'!B106="",_xlfn.REGEXEXTRACT(CELL("address",'Raw Data'!B106),"\$([A-Z]+)\$[0-9]+"),"")</f>
        <v>$B$106</v>
      </c>
      <c r="C105" t="str">
        <f t="array" aca="1" ref="C105" ca="1">IF('Raw Data'!C106="",_xlfn.REGEXEXTRACT(CELL("address",'Raw Data'!C106),"\$([A-Z]+)\$[0-9]+"),"")</f>
        <v>$C$106</v>
      </c>
      <c r="D105" t="str">
        <f t="array" aca="1" ref="D105" ca="1">IF('Raw Data'!D106="",_xlfn.REGEXEXTRACT(CELL("address",'Raw Data'!D106),"\$([A-Z]+)\$[0-9]+"),"")</f>
        <v>$D$106</v>
      </c>
      <c r="E105" t="str">
        <f t="array" aca="1" ref="E105" ca="1">IF('Raw Data'!E106="",_xlfn.REGEXEXTRACT(CELL("address",'Raw Data'!E106),"\$([A-Z]+)\$[0-9]+"),"")</f>
        <v>$E$106</v>
      </c>
      <c r="F105" t="str">
        <f t="array" aca="1" ref="F105" ca="1">IF('Raw Data'!F106="",_xlfn.REGEXEXTRACT(CELL("address",'Raw Data'!F106),"\$([A-Z]+)\$[0-9]+"),"")</f>
        <v>$F$106</v>
      </c>
      <c r="G105" t="e">
        <f t="array" aca="1" ref="G105" ca="1">IF('Raw Data'!#REF!="",_xlfn.REGEXEXTRACT(CELL("address",'Raw Data'!#REF!),"\$([A-Z]+)\$[0-9]+"),"")</f>
        <v>#REF!</v>
      </c>
      <c r="H105" t="str">
        <f t="array" aca="1" ref="H105" ca="1">IF('Raw Data'!G106="",_xlfn.REGEXEXTRACT(CELL("address",'Raw Data'!G106),"\$([A-Z]+)\$[0-9]+"),"")</f>
        <v>$G$106</v>
      </c>
      <c r="I105" t="str">
        <f t="array" aca="1" ref="I105" ca="1">IF('Raw Data'!H106="",_xlfn.REGEXEXTRACT(CELL("address",'Raw Data'!H106),"\$([A-Z]+)\$[0-9]+"),"")</f>
        <v>$H$106</v>
      </c>
    </row>
    <row r="106" spans="2:9" x14ac:dyDescent="0.25">
      <c r="B106" t="str">
        <f t="array" aca="1" ref="B106" ca="1">IF('Raw Data'!B107="",_xlfn.REGEXEXTRACT(CELL("address",'Raw Data'!B107),"\$([A-Z]+)\$[0-9]+"),"")</f>
        <v>$B$107</v>
      </c>
      <c r="C106" t="str">
        <f t="array" aca="1" ref="C106" ca="1">IF('Raw Data'!C107="",_xlfn.REGEXEXTRACT(CELL("address",'Raw Data'!C107),"\$([A-Z]+)\$[0-9]+"),"")</f>
        <v>$C$107</v>
      </c>
      <c r="D106" t="str">
        <f t="array" aca="1" ref="D106" ca="1">IF('Raw Data'!D107="",_xlfn.REGEXEXTRACT(CELL("address",'Raw Data'!D107),"\$([A-Z]+)\$[0-9]+"),"")</f>
        <v>$D$107</v>
      </c>
      <c r="E106" t="str">
        <f t="array" aca="1" ref="E106" ca="1">IF('Raw Data'!E107="",_xlfn.REGEXEXTRACT(CELL("address",'Raw Data'!E107),"\$([A-Z]+)\$[0-9]+"),"")</f>
        <v>$E$107</v>
      </c>
      <c r="F106" t="str">
        <f t="array" aca="1" ref="F106" ca="1">IF('Raw Data'!F107="",_xlfn.REGEXEXTRACT(CELL("address",'Raw Data'!F107),"\$([A-Z]+)\$[0-9]+"),"")</f>
        <v>$F$107</v>
      </c>
      <c r="G106" t="e">
        <f t="array" aca="1" ref="G106" ca="1">IF('Raw Data'!#REF!="",_xlfn.REGEXEXTRACT(CELL("address",'Raw Data'!#REF!),"\$([A-Z]+)\$[0-9]+"),"")</f>
        <v>#REF!</v>
      </c>
      <c r="H106" t="str">
        <f t="array" aca="1" ref="H106" ca="1">IF('Raw Data'!G107="",_xlfn.REGEXEXTRACT(CELL("address",'Raw Data'!G107),"\$([A-Z]+)\$[0-9]+"),"")</f>
        <v>$G$107</v>
      </c>
      <c r="I106" t="str">
        <f t="array" aca="1" ref="I106" ca="1">IF('Raw Data'!H107="",_xlfn.REGEXEXTRACT(CELL("address",'Raw Data'!H107),"\$([A-Z]+)\$[0-9]+"),"")</f>
        <v>$H$107</v>
      </c>
    </row>
    <row r="107" spans="2:9" x14ac:dyDescent="0.25">
      <c r="B107" t="str">
        <f t="array" aca="1" ref="B107" ca="1">IF('Raw Data'!B108="",_xlfn.REGEXEXTRACT(CELL("address",'Raw Data'!B108),"\$([A-Z]+)\$[0-9]+"),"")</f>
        <v>$B$108</v>
      </c>
      <c r="C107" t="str">
        <f t="array" aca="1" ref="C107" ca="1">IF('Raw Data'!C108="",_xlfn.REGEXEXTRACT(CELL("address",'Raw Data'!C108),"\$([A-Z]+)\$[0-9]+"),"")</f>
        <v>$C$108</v>
      </c>
      <c r="D107" t="str">
        <f t="array" aca="1" ref="D107" ca="1">IF('Raw Data'!D108="",_xlfn.REGEXEXTRACT(CELL("address",'Raw Data'!D108),"\$([A-Z]+)\$[0-9]+"),"")</f>
        <v>$D$108</v>
      </c>
      <c r="E107" t="str">
        <f t="array" aca="1" ref="E107" ca="1">IF('Raw Data'!E108="",_xlfn.REGEXEXTRACT(CELL("address",'Raw Data'!E108),"\$([A-Z]+)\$[0-9]+"),"")</f>
        <v>$E$108</v>
      </c>
      <c r="F107" t="str">
        <f t="array" aca="1" ref="F107" ca="1">IF('Raw Data'!F108="",_xlfn.REGEXEXTRACT(CELL("address",'Raw Data'!F108),"\$([A-Z]+)\$[0-9]+"),"")</f>
        <v>$F$108</v>
      </c>
      <c r="G107" t="e">
        <f t="array" aca="1" ref="G107" ca="1">IF('Raw Data'!#REF!="",_xlfn.REGEXEXTRACT(CELL("address",'Raw Data'!#REF!),"\$([A-Z]+)\$[0-9]+"),"")</f>
        <v>#REF!</v>
      </c>
      <c r="H107" t="str">
        <f t="array" aca="1" ref="H107" ca="1">IF('Raw Data'!G108="",_xlfn.REGEXEXTRACT(CELL("address",'Raw Data'!G108),"\$([A-Z]+)\$[0-9]+"),"")</f>
        <v>$G$108</v>
      </c>
      <c r="I107" t="str">
        <f t="array" aca="1" ref="I107" ca="1">IF('Raw Data'!H108="",_xlfn.REGEXEXTRACT(CELL("address",'Raw Data'!H108),"\$([A-Z]+)\$[0-9]+"),"")</f>
        <v>$H$108</v>
      </c>
    </row>
    <row r="108" spans="2:9" x14ac:dyDescent="0.25">
      <c r="B108" t="str">
        <f t="array" aca="1" ref="B108" ca="1">IF('Raw Data'!B109="",_xlfn.REGEXEXTRACT(CELL("address",'Raw Data'!B109),"\$([A-Z]+)\$[0-9]+"),"")</f>
        <v>$B$109</v>
      </c>
      <c r="C108" t="str">
        <f t="array" aca="1" ref="C108" ca="1">IF('Raw Data'!C109="",_xlfn.REGEXEXTRACT(CELL("address",'Raw Data'!C109),"\$([A-Z]+)\$[0-9]+"),"")</f>
        <v>$C$109</v>
      </c>
      <c r="D108" t="str">
        <f t="array" aca="1" ref="D108" ca="1">IF('Raw Data'!D109="",_xlfn.REGEXEXTRACT(CELL("address",'Raw Data'!D109),"\$([A-Z]+)\$[0-9]+"),"")</f>
        <v>$D$109</v>
      </c>
      <c r="E108" t="str">
        <f t="array" aca="1" ref="E108" ca="1">IF('Raw Data'!E109="",_xlfn.REGEXEXTRACT(CELL("address",'Raw Data'!E109),"\$([A-Z]+)\$[0-9]+"),"")</f>
        <v>$E$109</v>
      </c>
      <c r="F108" t="str">
        <f t="array" aca="1" ref="F108" ca="1">IF('Raw Data'!F109="",_xlfn.REGEXEXTRACT(CELL("address",'Raw Data'!F109),"\$([A-Z]+)\$[0-9]+"),"")</f>
        <v>$F$109</v>
      </c>
      <c r="G108" t="e">
        <f t="array" aca="1" ref="G108" ca="1">IF('Raw Data'!#REF!="",_xlfn.REGEXEXTRACT(CELL("address",'Raw Data'!#REF!),"\$([A-Z]+)\$[0-9]+"),"")</f>
        <v>#REF!</v>
      </c>
      <c r="H108" t="str">
        <f t="array" aca="1" ref="H108" ca="1">IF('Raw Data'!G109="",_xlfn.REGEXEXTRACT(CELL("address",'Raw Data'!G109),"\$([A-Z]+)\$[0-9]+"),"")</f>
        <v>$G$109</v>
      </c>
      <c r="I108" t="str">
        <f t="array" aca="1" ref="I108" ca="1">IF('Raw Data'!H109="",_xlfn.REGEXEXTRACT(CELL("address",'Raw Data'!H109),"\$([A-Z]+)\$[0-9]+"),"")</f>
        <v>$H$109</v>
      </c>
    </row>
    <row r="109" spans="2:9" x14ac:dyDescent="0.25">
      <c r="B109" t="str">
        <f t="array" aca="1" ref="B109" ca="1">IF('Raw Data'!B110="",_xlfn.REGEXEXTRACT(CELL("address",'Raw Data'!B110),"\$([A-Z]+)\$[0-9]+"),"")</f>
        <v>$B$110</v>
      </c>
      <c r="C109" t="str">
        <f t="array" aca="1" ref="C109" ca="1">IF('Raw Data'!C110="",_xlfn.REGEXEXTRACT(CELL("address",'Raw Data'!C110),"\$([A-Z]+)\$[0-9]+"),"")</f>
        <v>$C$110</v>
      </c>
      <c r="D109" t="str">
        <f t="array" aca="1" ref="D109" ca="1">IF('Raw Data'!D110="",_xlfn.REGEXEXTRACT(CELL("address",'Raw Data'!D110),"\$([A-Z]+)\$[0-9]+"),"")</f>
        <v>$D$110</v>
      </c>
      <c r="E109" t="str">
        <f t="array" aca="1" ref="E109" ca="1">IF('Raw Data'!E110="",_xlfn.REGEXEXTRACT(CELL("address",'Raw Data'!E110),"\$([A-Z]+)\$[0-9]+"),"")</f>
        <v>$E$110</v>
      </c>
      <c r="F109" t="str">
        <f t="array" aca="1" ref="F109" ca="1">IF('Raw Data'!F110="",_xlfn.REGEXEXTRACT(CELL("address",'Raw Data'!F110),"\$([A-Z]+)\$[0-9]+"),"")</f>
        <v>$F$110</v>
      </c>
      <c r="G109" t="e">
        <f t="array" aca="1" ref="G109" ca="1">IF('Raw Data'!#REF!="",_xlfn.REGEXEXTRACT(CELL("address",'Raw Data'!#REF!),"\$([A-Z]+)\$[0-9]+"),"")</f>
        <v>#REF!</v>
      </c>
      <c r="H109" t="str">
        <f t="array" aca="1" ref="H109" ca="1">IF('Raw Data'!G110="",_xlfn.REGEXEXTRACT(CELL("address",'Raw Data'!G110),"\$([A-Z]+)\$[0-9]+"),"")</f>
        <v>$G$110</v>
      </c>
      <c r="I109" t="str">
        <f t="array" aca="1" ref="I109" ca="1">IF('Raw Data'!H110="",_xlfn.REGEXEXTRACT(CELL("address",'Raw Data'!H110),"\$([A-Z]+)\$[0-9]+"),"")</f>
        <v>$H$110</v>
      </c>
    </row>
    <row r="110" spans="2:9" x14ac:dyDescent="0.25">
      <c r="B110" t="str">
        <f t="array" aca="1" ref="B110" ca="1">IF('Raw Data'!B111="",_xlfn.REGEXEXTRACT(CELL("address",'Raw Data'!B111),"\$([A-Z]+)\$[0-9]+"),"")</f>
        <v>$B$111</v>
      </c>
      <c r="C110" t="str">
        <f t="array" aca="1" ref="C110" ca="1">IF('Raw Data'!C111="",_xlfn.REGEXEXTRACT(CELL("address",'Raw Data'!C111),"\$([A-Z]+)\$[0-9]+"),"")</f>
        <v>$C$111</v>
      </c>
      <c r="D110" t="str">
        <f t="array" aca="1" ref="D110" ca="1">IF('Raw Data'!D111="",_xlfn.REGEXEXTRACT(CELL("address",'Raw Data'!D111),"\$([A-Z]+)\$[0-9]+"),"")</f>
        <v>$D$111</v>
      </c>
      <c r="E110" t="str">
        <f t="array" aca="1" ref="E110" ca="1">IF('Raw Data'!E111="",_xlfn.REGEXEXTRACT(CELL("address",'Raw Data'!E111),"\$([A-Z]+)\$[0-9]+"),"")</f>
        <v>$E$111</v>
      </c>
      <c r="F110" t="str">
        <f t="array" aca="1" ref="F110" ca="1">IF('Raw Data'!F111="",_xlfn.REGEXEXTRACT(CELL("address",'Raw Data'!F111),"\$([A-Z]+)\$[0-9]+"),"")</f>
        <v>$F$111</v>
      </c>
      <c r="G110" t="e">
        <f t="array" aca="1" ref="G110" ca="1">IF('Raw Data'!#REF!="",_xlfn.REGEXEXTRACT(CELL("address",'Raw Data'!#REF!),"\$([A-Z]+)\$[0-9]+"),"")</f>
        <v>#REF!</v>
      </c>
      <c r="H110" t="str">
        <f t="array" aca="1" ref="H110" ca="1">IF('Raw Data'!G111="",_xlfn.REGEXEXTRACT(CELL("address",'Raw Data'!G111),"\$([A-Z]+)\$[0-9]+"),"")</f>
        <v>$G$111</v>
      </c>
      <c r="I110" t="str">
        <f t="array" aca="1" ref="I110" ca="1">IF('Raw Data'!H111="",_xlfn.REGEXEXTRACT(CELL("address",'Raw Data'!H111),"\$([A-Z]+)\$[0-9]+"),"")</f>
        <v>$H$111</v>
      </c>
    </row>
    <row r="111" spans="2:9" x14ac:dyDescent="0.25">
      <c r="B111" t="str">
        <f t="array" aca="1" ref="B111" ca="1">IF('Raw Data'!B112="",_xlfn.REGEXEXTRACT(CELL("address",'Raw Data'!B112),"\$([A-Z]+)\$[0-9]+"),"")</f>
        <v>$B$112</v>
      </c>
      <c r="C111" t="str">
        <f t="array" aca="1" ref="C111" ca="1">IF('Raw Data'!C112="",_xlfn.REGEXEXTRACT(CELL("address",'Raw Data'!C112),"\$([A-Z]+)\$[0-9]+"),"")</f>
        <v>$C$112</v>
      </c>
      <c r="D111" t="str">
        <f t="array" aca="1" ref="D111" ca="1">IF('Raw Data'!D112="",_xlfn.REGEXEXTRACT(CELL("address",'Raw Data'!D112),"\$([A-Z]+)\$[0-9]+"),"")</f>
        <v>$D$112</v>
      </c>
      <c r="E111" t="str">
        <f t="array" aca="1" ref="E111" ca="1">IF('Raw Data'!E112="",_xlfn.REGEXEXTRACT(CELL("address",'Raw Data'!E112),"\$([A-Z]+)\$[0-9]+"),"")</f>
        <v>$E$112</v>
      </c>
      <c r="F111" t="str">
        <f t="array" aca="1" ref="F111" ca="1">IF('Raw Data'!F112="",_xlfn.REGEXEXTRACT(CELL("address",'Raw Data'!F112),"\$([A-Z]+)\$[0-9]+"),"")</f>
        <v>$F$112</v>
      </c>
      <c r="G111" t="e">
        <f t="array" aca="1" ref="G111" ca="1">IF('Raw Data'!#REF!="",_xlfn.REGEXEXTRACT(CELL("address",'Raw Data'!#REF!),"\$([A-Z]+)\$[0-9]+"),"")</f>
        <v>#REF!</v>
      </c>
      <c r="H111" t="str">
        <f t="array" aca="1" ref="H111" ca="1">IF('Raw Data'!G112="",_xlfn.REGEXEXTRACT(CELL("address",'Raw Data'!G112),"\$([A-Z]+)\$[0-9]+"),"")</f>
        <v>$G$112</v>
      </c>
      <c r="I111" t="str">
        <f t="array" aca="1" ref="I111" ca="1">IF('Raw Data'!H112="",_xlfn.REGEXEXTRACT(CELL("address",'Raw Data'!H112),"\$([A-Z]+)\$[0-9]+"),"")</f>
        <v>$H$112</v>
      </c>
    </row>
    <row r="112" spans="2:9" x14ac:dyDescent="0.25">
      <c r="B112" t="str">
        <f t="array" aca="1" ref="B112" ca="1">IF('Raw Data'!B113="",_xlfn.REGEXEXTRACT(CELL("address",'Raw Data'!B113),"\$([A-Z]+)\$[0-9]+"),"")</f>
        <v>$B$113</v>
      </c>
      <c r="C112" t="str">
        <f t="array" aca="1" ref="C112" ca="1">IF('Raw Data'!C113="",_xlfn.REGEXEXTRACT(CELL("address",'Raw Data'!C113),"\$([A-Z]+)\$[0-9]+"),"")</f>
        <v>$C$113</v>
      </c>
      <c r="D112" t="str">
        <f t="array" aca="1" ref="D112" ca="1">IF('Raw Data'!D113="",_xlfn.REGEXEXTRACT(CELL("address",'Raw Data'!D113),"\$([A-Z]+)\$[0-9]+"),"")</f>
        <v>$D$113</v>
      </c>
      <c r="E112" t="str">
        <f t="array" aca="1" ref="E112" ca="1">IF('Raw Data'!E113="",_xlfn.REGEXEXTRACT(CELL("address",'Raw Data'!E113),"\$([A-Z]+)\$[0-9]+"),"")</f>
        <v>$E$113</v>
      </c>
      <c r="F112" t="str">
        <f t="array" aca="1" ref="F112" ca="1">IF('Raw Data'!F113="",_xlfn.REGEXEXTRACT(CELL("address",'Raw Data'!F113),"\$([A-Z]+)\$[0-9]+"),"")</f>
        <v>$F$113</v>
      </c>
      <c r="G112" t="e">
        <f t="array" aca="1" ref="G112" ca="1">IF('Raw Data'!#REF!="",_xlfn.REGEXEXTRACT(CELL("address",'Raw Data'!#REF!),"\$([A-Z]+)\$[0-9]+"),"")</f>
        <v>#REF!</v>
      </c>
      <c r="H112" t="str">
        <f t="array" aca="1" ref="H112" ca="1">IF('Raw Data'!G113="",_xlfn.REGEXEXTRACT(CELL("address",'Raw Data'!G113),"\$([A-Z]+)\$[0-9]+"),"")</f>
        <v>$G$113</v>
      </c>
      <c r="I112" t="str">
        <f t="array" aca="1" ref="I112" ca="1">IF('Raw Data'!H113="",_xlfn.REGEXEXTRACT(CELL("address",'Raw Data'!H113),"\$([A-Z]+)\$[0-9]+"),"")</f>
        <v>$H$113</v>
      </c>
    </row>
    <row r="113" spans="2:9" x14ac:dyDescent="0.25">
      <c r="B113" t="str">
        <f t="array" aca="1" ref="B113" ca="1">IF('Raw Data'!B114="",_xlfn.REGEXEXTRACT(CELL("address",'Raw Data'!B114),"\$([A-Z]+)\$[0-9]+"),"")</f>
        <v>$B$114</v>
      </c>
      <c r="C113" t="str">
        <f t="array" aca="1" ref="C113" ca="1">IF('Raw Data'!C114="",_xlfn.REGEXEXTRACT(CELL("address",'Raw Data'!C114),"\$([A-Z]+)\$[0-9]+"),"")</f>
        <v>$C$114</v>
      </c>
      <c r="D113" t="str">
        <f t="array" aca="1" ref="D113" ca="1">IF('Raw Data'!D114="",_xlfn.REGEXEXTRACT(CELL("address",'Raw Data'!D114),"\$([A-Z]+)\$[0-9]+"),"")</f>
        <v>$D$114</v>
      </c>
      <c r="E113" t="str">
        <f t="array" aca="1" ref="E113" ca="1">IF('Raw Data'!E114="",_xlfn.REGEXEXTRACT(CELL("address",'Raw Data'!E114),"\$([A-Z]+)\$[0-9]+"),"")</f>
        <v>$E$114</v>
      </c>
      <c r="F113" t="str">
        <f t="array" aca="1" ref="F113" ca="1">IF('Raw Data'!F114="",_xlfn.REGEXEXTRACT(CELL("address",'Raw Data'!F114),"\$([A-Z]+)\$[0-9]+"),"")</f>
        <v>$F$114</v>
      </c>
      <c r="G113" t="e">
        <f t="array" aca="1" ref="G113" ca="1">IF('Raw Data'!#REF!="",_xlfn.REGEXEXTRACT(CELL("address",'Raw Data'!#REF!),"\$([A-Z]+)\$[0-9]+"),"")</f>
        <v>#REF!</v>
      </c>
      <c r="H113" t="str">
        <f t="array" aca="1" ref="H113" ca="1">IF('Raw Data'!G114="",_xlfn.REGEXEXTRACT(CELL("address",'Raw Data'!G114),"\$([A-Z]+)\$[0-9]+"),"")</f>
        <v>$G$114</v>
      </c>
      <c r="I113" t="str">
        <f t="array" aca="1" ref="I113" ca="1">IF('Raw Data'!H114="",_xlfn.REGEXEXTRACT(CELL("address",'Raw Data'!H114),"\$([A-Z]+)\$[0-9]+"),"")</f>
        <v>$H$114</v>
      </c>
    </row>
    <row r="114" spans="2:9" x14ac:dyDescent="0.25">
      <c r="B114" t="str">
        <f t="array" aca="1" ref="B114" ca="1">IF('Raw Data'!B115="",_xlfn.REGEXEXTRACT(CELL("address",'Raw Data'!B115),"\$([A-Z]+)\$[0-9]+"),"")</f>
        <v>$B$115</v>
      </c>
      <c r="C114" t="str">
        <f t="array" aca="1" ref="C114" ca="1">IF('Raw Data'!C115="",_xlfn.REGEXEXTRACT(CELL("address",'Raw Data'!C115),"\$([A-Z]+)\$[0-9]+"),"")</f>
        <v>$C$115</v>
      </c>
      <c r="D114" t="str">
        <f t="array" aca="1" ref="D114" ca="1">IF('Raw Data'!D115="",_xlfn.REGEXEXTRACT(CELL("address",'Raw Data'!D115),"\$([A-Z]+)\$[0-9]+"),"")</f>
        <v>$D$115</v>
      </c>
      <c r="E114" t="str">
        <f t="array" aca="1" ref="E114" ca="1">IF('Raw Data'!E115="",_xlfn.REGEXEXTRACT(CELL("address",'Raw Data'!E115),"\$([A-Z]+)\$[0-9]+"),"")</f>
        <v>$E$115</v>
      </c>
      <c r="F114" t="str">
        <f t="array" aca="1" ref="F114" ca="1">IF('Raw Data'!F115="",_xlfn.REGEXEXTRACT(CELL("address",'Raw Data'!F115),"\$([A-Z]+)\$[0-9]+"),"")</f>
        <v>$F$115</v>
      </c>
      <c r="G114" t="e">
        <f t="array" aca="1" ref="G114" ca="1">IF('Raw Data'!#REF!="",_xlfn.REGEXEXTRACT(CELL("address",'Raw Data'!#REF!),"\$([A-Z]+)\$[0-9]+"),"")</f>
        <v>#REF!</v>
      </c>
      <c r="H114" t="str">
        <f t="array" aca="1" ref="H114" ca="1">IF('Raw Data'!G115="",_xlfn.REGEXEXTRACT(CELL("address",'Raw Data'!G115),"\$([A-Z]+)\$[0-9]+"),"")</f>
        <v>$G$115</v>
      </c>
      <c r="I114" t="str">
        <f t="array" aca="1" ref="I114" ca="1">IF('Raw Data'!H115="",_xlfn.REGEXEXTRACT(CELL("address",'Raw Data'!H115),"\$([A-Z]+)\$[0-9]+"),"")</f>
        <v>$H$115</v>
      </c>
    </row>
    <row r="115" spans="2:9" x14ac:dyDescent="0.25">
      <c r="B115" t="str">
        <f t="array" aca="1" ref="B115" ca="1">IF('Raw Data'!B116="",_xlfn.REGEXEXTRACT(CELL("address",'Raw Data'!B116),"\$([A-Z]+)\$[0-9]+"),"")</f>
        <v>$B$116</v>
      </c>
      <c r="C115" t="str">
        <f t="array" aca="1" ref="C115" ca="1">IF('Raw Data'!C116="",_xlfn.REGEXEXTRACT(CELL("address",'Raw Data'!C116),"\$([A-Z]+)\$[0-9]+"),"")</f>
        <v>$C$116</v>
      </c>
      <c r="D115" t="str">
        <f t="array" aca="1" ref="D115" ca="1">IF('Raw Data'!D116="",_xlfn.REGEXEXTRACT(CELL("address",'Raw Data'!D116),"\$([A-Z]+)\$[0-9]+"),"")</f>
        <v>$D$116</v>
      </c>
      <c r="E115" t="str">
        <f t="array" aca="1" ref="E115" ca="1">IF('Raw Data'!E116="",_xlfn.REGEXEXTRACT(CELL("address",'Raw Data'!E116),"\$([A-Z]+)\$[0-9]+"),"")</f>
        <v>$E$116</v>
      </c>
      <c r="F115" t="str">
        <f t="array" aca="1" ref="F115" ca="1">IF('Raw Data'!F116="",_xlfn.REGEXEXTRACT(CELL("address",'Raw Data'!F116),"\$([A-Z]+)\$[0-9]+"),"")</f>
        <v>$F$116</v>
      </c>
      <c r="G115" t="e">
        <f t="array" aca="1" ref="G115" ca="1">IF('Raw Data'!#REF!="",_xlfn.REGEXEXTRACT(CELL("address",'Raw Data'!#REF!),"\$([A-Z]+)\$[0-9]+"),"")</f>
        <v>#REF!</v>
      </c>
      <c r="H115" t="str">
        <f t="array" aca="1" ref="H115" ca="1">IF('Raw Data'!G116="",_xlfn.REGEXEXTRACT(CELL("address",'Raw Data'!G116),"\$([A-Z]+)\$[0-9]+"),"")</f>
        <v>$G$116</v>
      </c>
      <c r="I115" t="str">
        <f t="array" aca="1" ref="I115" ca="1">IF('Raw Data'!H116="",_xlfn.REGEXEXTRACT(CELL("address",'Raw Data'!H116),"\$([A-Z]+)\$[0-9]+"),"")</f>
        <v>$H$116</v>
      </c>
    </row>
    <row r="116" spans="2:9" x14ac:dyDescent="0.25">
      <c r="B116" t="str">
        <f t="array" aca="1" ref="B116" ca="1">IF('Raw Data'!B117="",_xlfn.REGEXEXTRACT(CELL("address",'Raw Data'!B117),"\$([A-Z]+)\$[0-9]+"),"")</f>
        <v>$B$117</v>
      </c>
      <c r="C116" t="str">
        <f t="array" aca="1" ref="C116" ca="1">IF('Raw Data'!C117="",_xlfn.REGEXEXTRACT(CELL("address",'Raw Data'!C117),"\$([A-Z]+)\$[0-9]+"),"")</f>
        <v>$C$117</v>
      </c>
      <c r="D116" t="str">
        <f t="array" aca="1" ref="D116" ca="1">IF('Raw Data'!D117="",_xlfn.REGEXEXTRACT(CELL("address",'Raw Data'!D117),"\$([A-Z]+)\$[0-9]+"),"")</f>
        <v>$D$117</v>
      </c>
      <c r="E116" t="str">
        <f t="array" aca="1" ref="E116" ca="1">IF('Raw Data'!E117="",_xlfn.REGEXEXTRACT(CELL("address",'Raw Data'!E117),"\$([A-Z]+)\$[0-9]+"),"")</f>
        <v>$E$117</v>
      </c>
      <c r="F116" t="str">
        <f t="array" aca="1" ref="F116" ca="1">IF('Raw Data'!F117="",_xlfn.REGEXEXTRACT(CELL("address",'Raw Data'!F117),"\$([A-Z]+)\$[0-9]+"),"")</f>
        <v>$F$117</v>
      </c>
      <c r="G116" t="e">
        <f t="array" aca="1" ref="G116" ca="1">IF('Raw Data'!#REF!="",_xlfn.REGEXEXTRACT(CELL("address",'Raw Data'!#REF!),"\$([A-Z]+)\$[0-9]+"),"")</f>
        <v>#REF!</v>
      </c>
      <c r="H116" t="str">
        <f t="array" aca="1" ref="H116" ca="1">IF('Raw Data'!G117="",_xlfn.REGEXEXTRACT(CELL("address",'Raw Data'!G117),"\$([A-Z]+)\$[0-9]+"),"")</f>
        <v>$G$117</v>
      </c>
      <c r="I116" t="str">
        <f t="array" aca="1" ref="I116" ca="1">IF('Raw Data'!H117="",_xlfn.REGEXEXTRACT(CELL("address",'Raw Data'!H117),"\$([A-Z]+)\$[0-9]+"),"")</f>
        <v>$H$117</v>
      </c>
    </row>
    <row r="117" spans="2:9" x14ac:dyDescent="0.25">
      <c r="B117" t="str">
        <f t="array" aca="1" ref="B117" ca="1">IF('Raw Data'!B118="",_xlfn.REGEXEXTRACT(CELL("address",'Raw Data'!B118),"\$([A-Z]+)\$[0-9]+"),"")</f>
        <v>$B$118</v>
      </c>
      <c r="C117" t="str">
        <f t="array" aca="1" ref="C117" ca="1">IF('Raw Data'!C118="",_xlfn.REGEXEXTRACT(CELL("address",'Raw Data'!C118),"\$([A-Z]+)\$[0-9]+"),"")</f>
        <v>$C$118</v>
      </c>
      <c r="D117" t="str">
        <f t="array" aca="1" ref="D117" ca="1">IF('Raw Data'!D118="",_xlfn.REGEXEXTRACT(CELL("address",'Raw Data'!D118),"\$([A-Z]+)\$[0-9]+"),"")</f>
        <v>$D$118</v>
      </c>
      <c r="E117" t="str">
        <f t="array" aca="1" ref="E117" ca="1">IF('Raw Data'!E118="",_xlfn.REGEXEXTRACT(CELL("address",'Raw Data'!E118),"\$([A-Z]+)\$[0-9]+"),"")</f>
        <v>$E$118</v>
      </c>
      <c r="F117" t="str">
        <f t="array" aca="1" ref="F117" ca="1">IF('Raw Data'!F118="",_xlfn.REGEXEXTRACT(CELL("address",'Raw Data'!F118),"\$([A-Z]+)\$[0-9]+"),"")</f>
        <v>$F$118</v>
      </c>
      <c r="G117" t="e">
        <f t="array" aca="1" ref="G117" ca="1">IF('Raw Data'!#REF!="",_xlfn.REGEXEXTRACT(CELL("address",'Raw Data'!#REF!),"\$([A-Z]+)\$[0-9]+"),"")</f>
        <v>#REF!</v>
      </c>
      <c r="H117" t="str">
        <f t="array" aca="1" ref="H117" ca="1">IF('Raw Data'!G118="",_xlfn.REGEXEXTRACT(CELL("address",'Raw Data'!G118),"\$([A-Z]+)\$[0-9]+"),"")</f>
        <v>$G$118</v>
      </c>
      <c r="I117" t="str">
        <f t="array" aca="1" ref="I117" ca="1">IF('Raw Data'!H118="",_xlfn.REGEXEXTRACT(CELL("address",'Raw Data'!H118),"\$([A-Z]+)\$[0-9]+"),"")</f>
        <v>$H$118</v>
      </c>
    </row>
    <row r="118" spans="2:9" x14ac:dyDescent="0.25">
      <c r="B118" t="str">
        <f t="array" aca="1" ref="B118" ca="1">IF('Raw Data'!B119="",_xlfn.REGEXEXTRACT(CELL("address",'Raw Data'!B119),"\$([A-Z]+)\$[0-9]+"),"")</f>
        <v>$B$119</v>
      </c>
      <c r="C118" t="str">
        <f t="array" aca="1" ref="C118" ca="1">IF('Raw Data'!C119="",_xlfn.REGEXEXTRACT(CELL("address",'Raw Data'!C119),"\$([A-Z]+)\$[0-9]+"),"")</f>
        <v>$C$119</v>
      </c>
      <c r="D118" t="str">
        <f t="array" aca="1" ref="D118" ca="1">IF('Raw Data'!D119="",_xlfn.REGEXEXTRACT(CELL("address",'Raw Data'!D119),"\$([A-Z]+)\$[0-9]+"),"")</f>
        <v>$D$119</v>
      </c>
      <c r="E118" t="str">
        <f t="array" aca="1" ref="E118" ca="1">IF('Raw Data'!E119="",_xlfn.REGEXEXTRACT(CELL("address",'Raw Data'!E119),"\$([A-Z]+)\$[0-9]+"),"")</f>
        <v>$E$119</v>
      </c>
      <c r="F118" t="str">
        <f t="array" aca="1" ref="F118" ca="1">IF('Raw Data'!F119="",_xlfn.REGEXEXTRACT(CELL("address",'Raw Data'!F119),"\$([A-Z]+)\$[0-9]+"),"")</f>
        <v>$F$119</v>
      </c>
      <c r="G118" t="e">
        <f t="array" aca="1" ref="G118" ca="1">IF('Raw Data'!#REF!="",_xlfn.REGEXEXTRACT(CELL("address",'Raw Data'!#REF!),"\$([A-Z]+)\$[0-9]+"),"")</f>
        <v>#REF!</v>
      </c>
      <c r="H118" t="str">
        <f t="array" aca="1" ref="H118" ca="1">IF('Raw Data'!G119="",_xlfn.REGEXEXTRACT(CELL("address",'Raw Data'!G119),"\$([A-Z]+)\$[0-9]+"),"")</f>
        <v>$G$119</v>
      </c>
      <c r="I118" t="str">
        <f t="array" aca="1" ref="I118" ca="1">IF('Raw Data'!H119="",_xlfn.REGEXEXTRACT(CELL("address",'Raw Data'!H119),"\$([A-Z]+)\$[0-9]+"),"")</f>
        <v>$H$119</v>
      </c>
    </row>
    <row r="119" spans="2:9" x14ac:dyDescent="0.25">
      <c r="B119" t="str">
        <f t="array" aca="1" ref="B119" ca="1">IF('Raw Data'!B120="",_xlfn.REGEXEXTRACT(CELL("address",'Raw Data'!B120),"\$([A-Z]+)\$[0-9]+"),"")</f>
        <v>$B$120</v>
      </c>
      <c r="C119" t="str">
        <f t="array" aca="1" ref="C119" ca="1">IF('Raw Data'!C120="",_xlfn.REGEXEXTRACT(CELL("address",'Raw Data'!C120),"\$([A-Z]+)\$[0-9]+"),"")</f>
        <v>$C$120</v>
      </c>
      <c r="D119" t="str">
        <f t="array" aca="1" ref="D119" ca="1">IF('Raw Data'!D120="",_xlfn.REGEXEXTRACT(CELL("address",'Raw Data'!D120),"\$([A-Z]+)\$[0-9]+"),"")</f>
        <v>$D$120</v>
      </c>
      <c r="E119" t="str">
        <f t="array" aca="1" ref="E119" ca="1">IF('Raw Data'!E120="",_xlfn.REGEXEXTRACT(CELL("address",'Raw Data'!E120),"\$([A-Z]+)\$[0-9]+"),"")</f>
        <v>$E$120</v>
      </c>
      <c r="F119" t="str">
        <f t="array" aca="1" ref="F119" ca="1">IF('Raw Data'!F120="",_xlfn.REGEXEXTRACT(CELL("address",'Raw Data'!F120),"\$([A-Z]+)\$[0-9]+"),"")</f>
        <v>$F$120</v>
      </c>
      <c r="G119" t="e">
        <f t="array" aca="1" ref="G119" ca="1">IF('Raw Data'!#REF!="",_xlfn.REGEXEXTRACT(CELL("address",'Raw Data'!#REF!),"\$([A-Z]+)\$[0-9]+"),"")</f>
        <v>#REF!</v>
      </c>
      <c r="H119" t="str">
        <f t="array" aca="1" ref="H119" ca="1">IF('Raw Data'!G120="",_xlfn.REGEXEXTRACT(CELL("address",'Raw Data'!G120),"\$([A-Z]+)\$[0-9]+"),"")</f>
        <v>$G$120</v>
      </c>
      <c r="I119" t="str">
        <f t="array" aca="1" ref="I119" ca="1">IF('Raw Data'!H120="",_xlfn.REGEXEXTRACT(CELL("address",'Raw Data'!H120),"\$([A-Z]+)\$[0-9]+"),"")</f>
        <v>$H$120</v>
      </c>
    </row>
    <row r="120" spans="2:9" x14ac:dyDescent="0.25">
      <c r="B120" t="str">
        <f t="array" aca="1" ref="B120" ca="1">IF('Raw Data'!B121="",_xlfn.REGEXEXTRACT(CELL("address",'Raw Data'!B121),"\$([A-Z]+)\$[0-9]+"),"")</f>
        <v>$B$121</v>
      </c>
      <c r="C120" t="str">
        <f t="array" aca="1" ref="C120" ca="1">IF('Raw Data'!C121="",_xlfn.REGEXEXTRACT(CELL("address",'Raw Data'!C121),"\$([A-Z]+)\$[0-9]+"),"")</f>
        <v>$C$121</v>
      </c>
      <c r="D120" t="str">
        <f t="array" aca="1" ref="D120" ca="1">IF('Raw Data'!D121="",_xlfn.REGEXEXTRACT(CELL("address",'Raw Data'!D121),"\$([A-Z]+)\$[0-9]+"),"")</f>
        <v>$D$121</v>
      </c>
      <c r="E120" t="str">
        <f t="array" aca="1" ref="E120" ca="1">IF('Raw Data'!E121="",_xlfn.REGEXEXTRACT(CELL("address",'Raw Data'!E121),"\$([A-Z]+)\$[0-9]+"),"")</f>
        <v>$E$121</v>
      </c>
      <c r="F120" t="str">
        <f t="array" aca="1" ref="F120" ca="1">IF('Raw Data'!F121="",_xlfn.REGEXEXTRACT(CELL("address",'Raw Data'!F121),"\$([A-Z]+)\$[0-9]+"),"")</f>
        <v>$F$121</v>
      </c>
      <c r="G120" t="e">
        <f t="array" aca="1" ref="G120" ca="1">IF('Raw Data'!#REF!="",_xlfn.REGEXEXTRACT(CELL("address",'Raw Data'!#REF!),"\$([A-Z]+)\$[0-9]+"),"")</f>
        <v>#REF!</v>
      </c>
      <c r="H120" t="str">
        <f t="array" aca="1" ref="H120" ca="1">IF('Raw Data'!G121="",_xlfn.REGEXEXTRACT(CELL("address",'Raw Data'!G121),"\$([A-Z]+)\$[0-9]+"),"")</f>
        <v>$G$121</v>
      </c>
      <c r="I120" t="str">
        <f t="array" aca="1" ref="I120" ca="1">IF('Raw Data'!H121="",_xlfn.REGEXEXTRACT(CELL("address",'Raw Data'!H121),"\$([A-Z]+)\$[0-9]+"),"")</f>
        <v>$H$121</v>
      </c>
    </row>
    <row r="121" spans="2:9" x14ac:dyDescent="0.25">
      <c r="B121" t="str">
        <f t="array" aca="1" ref="B121" ca="1">IF('Raw Data'!B122="",_xlfn.REGEXEXTRACT(CELL("address",'Raw Data'!B122),"\$([A-Z]+)\$[0-9]+"),"")</f>
        <v>$B$122</v>
      </c>
      <c r="C121" t="str">
        <f t="array" aca="1" ref="C121" ca="1">IF('Raw Data'!C122="",_xlfn.REGEXEXTRACT(CELL("address",'Raw Data'!C122),"\$([A-Z]+)\$[0-9]+"),"")</f>
        <v>$C$122</v>
      </c>
      <c r="D121" t="str">
        <f t="array" aca="1" ref="D121" ca="1">IF('Raw Data'!D122="",_xlfn.REGEXEXTRACT(CELL("address",'Raw Data'!D122),"\$([A-Z]+)\$[0-9]+"),"")</f>
        <v>$D$122</v>
      </c>
      <c r="E121" t="str">
        <f t="array" aca="1" ref="E121" ca="1">IF('Raw Data'!E122="",_xlfn.REGEXEXTRACT(CELL("address",'Raw Data'!E122),"\$([A-Z]+)\$[0-9]+"),"")</f>
        <v>$E$122</v>
      </c>
      <c r="F121" t="str">
        <f t="array" aca="1" ref="F121" ca="1">IF('Raw Data'!F122="",_xlfn.REGEXEXTRACT(CELL("address",'Raw Data'!F122),"\$([A-Z]+)\$[0-9]+"),"")</f>
        <v>$F$122</v>
      </c>
      <c r="G121" t="e">
        <f t="array" aca="1" ref="G121" ca="1">IF('Raw Data'!#REF!="",_xlfn.REGEXEXTRACT(CELL("address",'Raw Data'!#REF!),"\$([A-Z]+)\$[0-9]+"),"")</f>
        <v>#REF!</v>
      </c>
      <c r="H121" t="str">
        <f t="array" aca="1" ref="H121" ca="1">IF('Raw Data'!G122="",_xlfn.REGEXEXTRACT(CELL("address",'Raw Data'!G122),"\$([A-Z]+)\$[0-9]+"),"")</f>
        <v>$G$122</v>
      </c>
      <c r="I121" t="str">
        <f t="array" aca="1" ref="I121" ca="1">IF('Raw Data'!H122="",_xlfn.REGEXEXTRACT(CELL("address",'Raw Data'!H122),"\$([A-Z]+)\$[0-9]+"),"")</f>
        <v>$H$122</v>
      </c>
    </row>
    <row r="122" spans="2:9" x14ac:dyDescent="0.25">
      <c r="B122" t="str">
        <f t="array" aca="1" ref="B122" ca="1">IF('Raw Data'!B123="",_xlfn.REGEXEXTRACT(CELL("address",'Raw Data'!B123),"\$([A-Z]+)\$[0-9]+"),"")</f>
        <v>$B$123</v>
      </c>
      <c r="C122" t="str">
        <f t="array" aca="1" ref="C122" ca="1">IF('Raw Data'!C123="",_xlfn.REGEXEXTRACT(CELL("address",'Raw Data'!C123),"\$([A-Z]+)\$[0-9]+"),"")</f>
        <v>$C$123</v>
      </c>
      <c r="D122" t="str">
        <f t="array" aca="1" ref="D122" ca="1">IF('Raw Data'!D123="",_xlfn.REGEXEXTRACT(CELL("address",'Raw Data'!D123),"\$([A-Z]+)\$[0-9]+"),"")</f>
        <v>$D$123</v>
      </c>
      <c r="E122" t="str">
        <f t="array" aca="1" ref="E122" ca="1">IF('Raw Data'!E123="",_xlfn.REGEXEXTRACT(CELL("address",'Raw Data'!E123),"\$([A-Z]+)\$[0-9]+"),"")</f>
        <v>$E$123</v>
      </c>
      <c r="F122" t="str">
        <f t="array" aca="1" ref="F122" ca="1">IF('Raw Data'!F123="",_xlfn.REGEXEXTRACT(CELL("address",'Raw Data'!F123),"\$([A-Z]+)\$[0-9]+"),"")</f>
        <v>$F$123</v>
      </c>
      <c r="G122" t="e">
        <f t="array" aca="1" ref="G122" ca="1">IF('Raw Data'!#REF!="",_xlfn.REGEXEXTRACT(CELL("address",'Raw Data'!#REF!),"\$([A-Z]+)\$[0-9]+"),"")</f>
        <v>#REF!</v>
      </c>
      <c r="H122" t="str">
        <f t="array" aca="1" ref="H122" ca="1">IF('Raw Data'!G123="",_xlfn.REGEXEXTRACT(CELL("address",'Raw Data'!G123),"\$([A-Z]+)\$[0-9]+"),"")</f>
        <v>$G$123</v>
      </c>
      <c r="I122" t="str">
        <f t="array" aca="1" ref="I122" ca="1">IF('Raw Data'!H123="",_xlfn.REGEXEXTRACT(CELL("address",'Raw Data'!H123),"\$([A-Z]+)\$[0-9]+"),"")</f>
        <v>$H$123</v>
      </c>
    </row>
    <row r="123" spans="2:9" x14ac:dyDescent="0.25">
      <c r="B123" t="str">
        <f t="array" aca="1" ref="B123" ca="1">IF('Raw Data'!B124="",_xlfn.REGEXEXTRACT(CELL("address",'Raw Data'!B124),"\$([A-Z]+)\$[0-9]+"),"")</f>
        <v>$B$124</v>
      </c>
      <c r="C123" t="str">
        <f t="array" aca="1" ref="C123" ca="1">IF('Raw Data'!C124="",_xlfn.REGEXEXTRACT(CELL("address",'Raw Data'!C124),"\$([A-Z]+)\$[0-9]+"),"")</f>
        <v>$C$124</v>
      </c>
      <c r="D123" t="str">
        <f t="array" aca="1" ref="D123" ca="1">IF('Raw Data'!D124="",_xlfn.REGEXEXTRACT(CELL("address",'Raw Data'!D124),"\$([A-Z]+)\$[0-9]+"),"")</f>
        <v>$D$124</v>
      </c>
      <c r="E123" t="str">
        <f t="array" aca="1" ref="E123" ca="1">IF('Raw Data'!E124="",_xlfn.REGEXEXTRACT(CELL("address",'Raw Data'!E124),"\$([A-Z]+)\$[0-9]+"),"")</f>
        <v>$E$124</v>
      </c>
      <c r="F123" t="str">
        <f t="array" aca="1" ref="F123" ca="1">IF('Raw Data'!F124="",_xlfn.REGEXEXTRACT(CELL("address",'Raw Data'!F124),"\$([A-Z]+)\$[0-9]+"),"")</f>
        <v>$F$124</v>
      </c>
      <c r="G123" t="e">
        <f t="array" aca="1" ref="G123" ca="1">IF('Raw Data'!#REF!="",_xlfn.REGEXEXTRACT(CELL("address",'Raw Data'!#REF!),"\$([A-Z]+)\$[0-9]+"),"")</f>
        <v>#REF!</v>
      </c>
      <c r="H123" t="str">
        <f t="array" aca="1" ref="H123" ca="1">IF('Raw Data'!G124="",_xlfn.REGEXEXTRACT(CELL("address",'Raw Data'!G124),"\$([A-Z]+)\$[0-9]+"),"")</f>
        <v>$G$124</v>
      </c>
      <c r="I123" t="str">
        <f t="array" aca="1" ref="I123" ca="1">IF('Raw Data'!H124="",_xlfn.REGEXEXTRACT(CELL("address",'Raw Data'!H124),"\$([A-Z]+)\$[0-9]+"),"")</f>
        <v>$H$124</v>
      </c>
    </row>
    <row r="124" spans="2:9" x14ac:dyDescent="0.25">
      <c r="B124" t="str">
        <f t="array" aca="1" ref="B124" ca="1">IF('Raw Data'!B125="",_xlfn.REGEXEXTRACT(CELL("address",'Raw Data'!B125),"\$([A-Z]+)\$[0-9]+"),"")</f>
        <v>$B$125</v>
      </c>
      <c r="C124" t="str">
        <f t="array" aca="1" ref="C124" ca="1">IF('Raw Data'!C125="",_xlfn.REGEXEXTRACT(CELL("address",'Raw Data'!C125),"\$([A-Z]+)\$[0-9]+"),"")</f>
        <v>$C$125</v>
      </c>
      <c r="D124" t="str">
        <f t="array" aca="1" ref="D124" ca="1">IF('Raw Data'!D125="",_xlfn.REGEXEXTRACT(CELL("address",'Raw Data'!D125),"\$([A-Z]+)\$[0-9]+"),"")</f>
        <v>$D$125</v>
      </c>
      <c r="E124" t="str">
        <f t="array" aca="1" ref="E124" ca="1">IF('Raw Data'!E125="",_xlfn.REGEXEXTRACT(CELL("address",'Raw Data'!E125),"\$([A-Z]+)\$[0-9]+"),"")</f>
        <v>$E$125</v>
      </c>
      <c r="F124" t="str">
        <f t="array" aca="1" ref="F124" ca="1">IF('Raw Data'!F125="",_xlfn.REGEXEXTRACT(CELL("address",'Raw Data'!F125),"\$([A-Z]+)\$[0-9]+"),"")</f>
        <v>$F$125</v>
      </c>
      <c r="G124" t="e">
        <f t="array" aca="1" ref="G124" ca="1">IF('Raw Data'!#REF!="",_xlfn.REGEXEXTRACT(CELL("address",'Raw Data'!#REF!),"\$([A-Z]+)\$[0-9]+"),"")</f>
        <v>#REF!</v>
      </c>
      <c r="H124" t="str">
        <f t="array" aca="1" ref="H124" ca="1">IF('Raw Data'!G125="",_xlfn.REGEXEXTRACT(CELL("address",'Raw Data'!G125),"\$([A-Z]+)\$[0-9]+"),"")</f>
        <v>$G$125</v>
      </c>
      <c r="I124" t="str">
        <f t="array" aca="1" ref="I124" ca="1">IF('Raw Data'!H125="",_xlfn.REGEXEXTRACT(CELL("address",'Raw Data'!H125),"\$([A-Z]+)\$[0-9]+"),"")</f>
        <v>$H$125</v>
      </c>
    </row>
    <row r="125" spans="2:9" x14ac:dyDescent="0.25">
      <c r="B125" t="str">
        <f t="array" aca="1" ref="B125" ca="1">IF('Raw Data'!B126="",_xlfn.REGEXEXTRACT(CELL("address",'Raw Data'!B126),"\$([A-Z]+)\$[0-9]+"),"")</f>
        <v>$B$126</v>
      </c>
      <c r="C125" t="str">
        <f t="array" aca="1" ref="C125" ca="1">IF('Raw Data'!C126="",_xlfn.REGEXEXTRACT(CELL("address",'Raw Data'!C126),"\$([A-Z]+)\$[0-9]+"),"")</f>
        <v>$C$126</v>
      </c>
      <c r="D125" t="str">
        <f t="array" aca="1" ref="D125" ca="1">IF('Raw Data'!D126="",_xlfn.REGEXEXTRACT(CELL("address",'Raw Data'!D126),"\$([A-Z]+)\$[0-9]+"),"")</f>
        <v>$D$126</v>
      </c>
      <c r="E125" t="str">
        <f t="array" aca="1" ref="E125" ca="1">IF('Raw Data'!E126="",_xlfn.REGEXEXTRACT(CELL("address",'Raw Data'!E126),"\$([A-Z]+)\$[0-9]+"),"")</f>
        <v>$E$126</v>
      </c>
      <c r="F125" t="str">
        <f t="array" aca="1" ref="F125" ca="1">IF('Raw Data'!F126="",_xlfn.REGEXEXTRACT(CELL("address",'Raw Data'!F126),"\$([A-Z]+)\$[0-9]+"),"")</f>
        <v>$F$126</v>
      </c>
      <c r="G125" t="e">
        <f t="array" aca="1" ref="G125" ca="1">IF('Raw Data'!#REF!="",_xlfn.REGEXEXTRACT(CELL("address",'Raw Data'!#REF!),"\$([A-Z]+)\$[0-9]+"),"")</f>
        <v>#REF!</v>
      </c>
      <c r="H125" t="str">
        <f t="array" aca="1" ref="H125" ca="1">IF('Raw Data'!G126="",_xlfn.REGEXEXTRACT(CELL("address",'Raw Data'!G126),"\$([A-Z]+)\$[0-9]+"),"")</f>
        <v>$G$126</v>
      </c>
      <c r="I125" t="str">
        <f t="array" aca="1" ref="I125" ca="1">IF('Raw Data'!H126="",_xlfn.REGEXEXTRACT(CELL("address",'Raw Data'!H126),"\$([A-Z]+)\$[0-9]+"),"")</f>
        <v>$H$126</v>
      </c>
    </row>
    <row r="126" spans="2:9" x14ac:dyDescent="0.25">
      <c r="B126" t="str">
        <f t="array" aca="1" ref="B126" ca="1">IF('Raw Data'!B127="",_xlfn.REGEXEXTRACT(CELL("address",'Raw Data'!B127),"\$([A-Z]+)\$[0-9]+"),"")</f>
        <v>$B$127</v>
      </c>
      <c r="C126" t="str">
        <f t="array" aca="1" ref="C126" ca="1">IF('Raw Data'!C127="",_xlfn.REGEXEXTRACT(CELL("address",'Raw Data'!C127),"\$([A-Z]+)\$[0-9]+"),"")</f>
        <v>$C$127</v>
      </c>
      <c r="D126" t="str">
        <f t="array" aca="1" ref="D126" ca="1">IF('Raw Data'!D127="",_xlfn.REGEXEXTRACT(CELL("address",'Raw Data'!D127),"\$([A-Z]+)\$[0-9]+"),"")</f>
        <v>$D$127</v>
      </c>
      <c r="E126" t="str">
        <f t="array" aca="1" ref="E126" ca="1">IF('Raw Data'!E127="",_xlfn.REGEXEXTRACT(CELL("address",'Raw Data'!E127),"\$([A-Z]+)\$[0-9]+"),"")</f>
        <v>$E$127</v>
      </c>
      <c r="F126" t="str">
        <f t="array" aca="1" ref="F126" ca="1">IF('Raw Data'!F127="",_xlfn.REGEXEXTRACT(CELL("address",'Raw Data'!F127),"\$([A-Z]+)\$[0-9]+"),"")</f>
        <v>$F$127</v>
      </c>
      <c r="G126" t="e">
        <f t="array" aca="1" ref="G126" ca="1">IF('Raw Data'!#REF!="",_xlfn.REGEXEXTRACT(CELL("address",'Raw Data'!#REF!),"\$([A-Z]+)\$[0-9]+"),"")</f>
        <v>#REF!</v>
      </c>
      <c r="H126" t="str">
        <f t="array" aca="1" ref="H126" ca="1">IF('Raw Data'!G127="",_xlfn.REGEXEXTRACT(CELL("address",'Raw Data'!G127),"\$([A-Z]+)\$[0-9]+"),"")</f>
        <v>$G$127</v>
      </c>
      <c r="I126" t="str">
        <f t="array" aca="1" ref="I126" ca="1">IF('Raw Data'!H127="",_xlfn.REGEXEXTRACT(CELL("address",'Raw Data'!H127),"\$([A-Z]+)\$[0-9]+"),"")</f>
        <v>$H$127</v>
      </c>
    </row>
    <row r="127" spans="2:9" x14ac:dyDescent="0.25">
      <c r="B127" t="str">
        <f t="array" aca="1" ref="B127" ca="1">IF('Raw Data'!B128="",_xlfn.REGEXEXTRACT(CELL("address",'Raw Data'!B128),"\$([A-Z]+)\$[0-9]+"),"")</f>
        <v>$B$128</v>
      </c>
      <c r="C127" t="str">
        <f t="array" aca="1" ref="C127" ca="1">IF('Raw Data'!C128="",_xlfn.REGEXEXTRACT(CELL("address",'Raw Data'!C128),"\$([A-Z]+)\$[0-9]+"),"")</f>
        <v>$C$128</v>
      </c>
      <c r="D127" t="str">
        <f t="array" aca="1" ref="D127" ca="1">IF('Raw Data'!D128="",_xlfn.REGEXEXTRACT(CELL("address",'Raw Data'!D128),"\$([A-Z]+)\$[0-9]+"),"")</f>
        <v>$D$128</v>
      </c>
      <c r="E127" t="str">
        <f t="array" aca="1" ref="E127" ca="1">IF('Raw Data'!E128="",_xlfn.REGEXEXTRACT(CELL("address",'Raw Data'!E128),"\$([A-Z]+)\$[0-9]+"),"")</f>
        <v>$E$128</v>
      </c>
      <c r="F127" t="str">
        <f t="array" aca="1" ref="F127" ca="1">IF('Raw Data'!F128="",_xlfn.REGEXEXTRACT(CELL("address",'Raw Data'!F128),"\$([A-Z]+)\$[0-9]+"),"")</f>
        <v>$F$128</v>
      </c>
      <c r="G127" t="e">
        <f t="array" aca="1" ref="G127" ca="1">IF('Raw Data'!#REF!="",_xlfn.REGEXEXTRACT(CELL("address",'Raw Data'!#REF!),"\$([A-Z]+)\$[0-9]+"),"")</f>
        <v>#REF!</v>
      </c>
      <c r="H127" t="str">
        <f t="array" aca="1" ref="H127" ca="1">IF('Raw Data'!G128="",_xlfn.REGEXEXTRACT(CELL("address",'Raw Data'!G128),"\$([A-Z]+)\$[0-9]+"),"")</f>
        <v>$G$128</v>
      </c>
      <c r="I127" t="str">
        <f t="array" aca="1" ref="I127" ca="1">IF('Raw Data'!H128="",_xlfn.REGEXEXTRACT(CELL("address",'Raw Data'!H128),"\$([A-Z]+)\$[0-9]+"),"")</f>
        <v>$H$128</v>
      </c>
    </row>
    <row r="128" spans="2:9" x14ac:dyDescent="0.25">
      <c r="B128" t="str">
        <f t="array" aca="1" ref="B128" ca="1">IF('Raw Data'!B129="",_xlfn.REGEXEXTRACT(CELL("address",'Raw Data'!B129),"\$([A-Z]+)\$[0-9]+"),"")</f>
        <v>$B$129</v>
      </c>
      <c r="C128" t="str">
        <f t="array" aca="1" ref="C128" ca="1">IF('Raw Data'!C129="",_xlfn.REGEXEXTRACT(CELL("address",'Raw Data'!C129),"\$([A-Z]+)\$[0-9]+"),"")</f>
        <v>$C$129</v>
      </c>
      <c r="D128" t="str">
        <f t="array" aca="1" ref="D128" ca="1">IF('Raw Data'!D129="",_xlfn.REGEXEXTRACT(CELL("address",'Raw Data'!D129),"\$([A-Z]+)\$[0-9]+"),"")</f>
        <v>$D$129</v>
      </c>
      <c r="E128" t="str">
        <f t="array" aca="1" ref="E128" ca="1">IF('Raw Data'!E129="",_xlfn.REGEXEXTRACT(CELL("address",'Raw Data'!E129),"\$([A-Z]+)\$[0-9]+"),"")</f>
        <v>$E$129</v>
      </c>
      <c r="F128" t="str">
        <f t="array" aca="1" ref="F128" ca="1">IF('Raw Data'!F129="",_xlfn.REGEXEXTRACT(CELL("address",'Raw Data'!F129),"\$([A-Z]+)\$[0-9]+"),"")</f>
        <v>$F$129</v>
      </c>
      <c r="G128" t="e">
        <f t="array" aca="1" ref="G128" ca="1">IF('Raw Data'!#REF!="",_xlfn.REGEXEXTRACT(CELL("address",'Raw Data'!#REF!),"\$([A-Z]+)\$[0-9]+"),"")</f>
        <v>#REF!</v>
      </c>
      <c r="H128" t="str">
        <f t="array" aca="1" ref="H128" ca="1">IF('Raw Data'!G129="",_xlfn.REGEXEXTRACT(CELL("address",'Raw Data'!G129),"\$([A-Z]+)\$[0-9]+"),"")</f>
        <v>$G$129</v>
      </c>
      <c r="I128" t="str">
        <f t="array" aca="1" ref="I128" ca="1">IF('Raw Data'!H129="",_xlfn.REGEXEXTRACT(CELL("address",'Raw Data'!H129),"\$([A-Z]+)\$[0-9]+"),"")</f>
        <v>$H$129</v>
      </c>
    </row>
    <row r="129" spans="2:9" x14ac:dyDescent="0.25">
      <c r="B129" t="str">
        <f t="array" aca="1" ref="B129" ca="1">IF('Raw Data'!B130="",_xlfn.REGEXEXTRACT(CELL("address",'Raw Data'!B130),"\$([A-Z]+)\$[0-9]+"),"")</f>
        <v>$B$130</v>
      </c>
      <c r="C129" t="str">
        <f t="array" aca="1" ref="C129" ca="1">IF('Raw Data'!C130="",_xlfn.REGEXEXTRACT(CELL("address",'Raw Data'!C130),"\$([A-Z]+)\$[0-9]+"),"")</f>
        <v>$C$130</v>
      </c>
      <c r="D129" t="str">
        <f t="array" aca="1" ref="D129" ca="1">IF('Raw Data'!D130="",_xlfn.REGEXEXTRACT(CELL("address",'Raw Data'!D130),"\$([A-Z]+)\$[0-9]+"),"")</f>
        <v>$D$130</v>
      </c>
      <c r="E129" t="str">
        <f t="array" aca="1" ref="E129" ca="1">IF('Raw Data'!E130="",_xlfn.REGEXEXTRACT(CELL("address",'Raw Data'!E130),"\$([A-Z]+)\$[0-9]+"),"")</f>
        <v>$E$130</v>
      </c>
      <c r="F129" t="str">
        <f t="array" aca="1" ref="F129" ca="1">IF('Raw Data'!F130="",_xlfn.REGEXEXTRACT(CELL("address",'Raw Data'!F130),"\$([A-Z]+)\$[0-9]+"),"")</f>
        <v>$F$130</v>
      </c>
      <c r="G129" t="e">
        <f t="array" aca="1" ref="G129" ca="1">IF('Raw Data'!#REF!="",_xlfn.REGEXEXTRACT(CELL("address",'Raw Data'!#REF!),"\$([A-Z]+)\$[0-9]+"),"")</f>
        <v>#REF!</v>
      </c>
      <c r="H129" t="str">
        <f t="array" aca="1" ref="H129" ca="1">IF('Raw Data'!G130="",_xlfn.REGEXEXTRACT(CELL("address",'Raw Data'!G130),"\$([A-Z]+)\$[0-9]+"),"")</f>
        <v>$G$130</v>
      </c>
      <c r="I129" t="str">
        <f t="array" aca="1" ref="I129" ca="1">IF('Raw Data'!H130="",_xlfn.REGEXEXTRACT(CELL("address",'Raw Data'!H130),"\$([A-Z]+)\$[0-9]+"),"")</f>
        <v>$H$130</v>
      </c>
    </row>
    <row r="130" spans="2:9" x14ac:dyDescent="0.25">
      <c r="B130" t="str">
        <f t="array" aca="1" ref="B130" ca="1">IF('Raw Data'!B131="",_xlfn.REGEXEXTRACT(CELL("address",'Raw Data'!B131),"\$([A-Z]+)\$[0-9]+"),"")</f>
        <v>$B$131</v>
      </c>
      <c r="C130" t="str">
        <f t="array" aca="1" ref="C130" ca="1">IF('Raw Data'!C131="",_xlfn.REGEXEXTRACT(CELL("address",'Raw Data'!C131),"\$([A-Z]+)\$[0-9]+"),"")</f>
        <v>$C$131</v>
      </c>
      <c r="D130" t="str">
        <f t="array" aca="1" ref="D130" ca="1">IF('Raw Data'!D131="",_xlfn.REGEXEXTRACT(CELL("address",'Raw Data'!D131),"\$([A-Z]+)\$[0-9]+"),"")</f>
        <v>$D$131</v>
      </c>
      <c r="E130" t="str">
        <f t="array" aca="1" ref="E130" ca="1">IF('Raw Data'!E131="",_xlfn.REGEXEXTRACT(CELL("address",'Raw Data'!E131),"\$([A-Z]+)\$[0-9]+"),"")</f>
        <v>$E$131</v>
      </c>
      <c r="F130" t="str">
        <f t="array" aca="1" ref="F130" ca="1">IF('Raw Data'!F131="",_xlfn.REGEXEXTRACT(CELL("address",'Raw Data'!F131),"\$([A-Z]+)\$[0-9]+"),"")</f>
        <v>$F$131</v>
      </c>
      <c r="G130" t="e">
        <f t="array" aca="1" ref="G130" ca="1">IF('Raw Data'!#REF!="",_xlfn.REGEXEXTRACT(CELL("address",'Raw Data'!#REF!),"\$([A-Z]+)\$[0-9]+"),"")</f>
        <v>#REF!</v>
      </c>
      <c r="H130" t="str">
        <f t="array" aca="1" ref="H130" ca="1">IF('Raw Data'!G131="",_xlfn.REGEXEXTRACT(CELL("address",'Raw Data'!G131),"\$([A-Z]+)\$[0-9]+"),"")</f>
        <v>$G$131</v>
      </c>
      <c r="I130" t="str">
        <f t="array" aca="1" ref="I130" ca="1">IF('Raw Data'!H131="",_xlfn.REGEXEXTRACT(CELL("address",'Raw Data'!H131),"\$([A-Z]+)\$[0-9]+"),"")</f>
        <v>$H$131</v>
      </c>
    </row>
    <row r="131" spans="2:9" x14ac:dyDescent="0.25">
      <c r="B131" t="str">
        <f t="array" aca="1" ref="B131" ca="1">IF('Raw Data'!B132="",_xlfn.REGEXEXTRACT(CELL("address",'Raw Data'!B132),"\$([A-Z]+)\$[0-9]+"),"")</f>
        <v>$B$132</v>
      </c>
      <c r="C131" t="str">
        <f t="array" aca="1" ref="C131" ca="1">IF('Raw Data'!C132="",_xlfn.REGEXEXTRACT(CELL("address",'Raw Data'!C132),"\$([A-Z]+)\$[0-9]+"),"")</f>
        <v>$C$132</v>
      </c>
      <c r="D131" t="str">
        <f t="array" aca="1" ref="D131" ca="1">IF('Raw Data'!D132="",_xlfn.REGEXEXTRACT(CELL("address",'Raw Data'!D132),"\$([A-Z]+)\$[0-9]+"),"")</f>
        <v>$D$132</v>
      </c>
      <c r="E131" t="str">
        <f t="array" aca="1" ref="E131" ca="1">IF('Raw Data'!E132="",_xlfn.REGEXEXTRACT(CELL("address",'Raw Data'!E132),"\$([A-Z]+)\$[0-9]+"),"")</f>
        <v>$E$132</v>
      </c>
      <c r="F131" t="str">
        <f t="array" aca="1" ref="F131" ca="1">IF('Raw Data'!F132="",_xlfn.REGEXEXTRACT(CELL("address",'Raw Data'!F132),"\$([A-Z]+)\$[0-9]+"),"")</f>
        <v>$F$132</v>
      </c>
      <c r="G131" t="e">
        <f t="array" aca="1" ref="G131" ca="1">IF('Raw Data'!#REF!="",_xlfn.REGEXEXTRACT(CELL("address",'Raw Data'!#REF!),"\$([A-Z]+)\$[0-9]+"),"")</f>
        <v>#REF!</v>
      </c>
      <c r="H131" t="str">
        <f t="array" aca="1" ref="H131" ca="1">IF('Raw Data'!G132="",_xlfn.REGEXEXTRACT(CELL("address",'Raw Data'!G132),"\$([A-Z]+)\$[0-9]+"),"")</f>
        <v>$G$132</v>
      </c>
      <c r="I131" t="str">
        <f t="array" aca="1" ref="I131" ca="1">IF('Raw Data'!H132="",_xlfn.REGEXEXTRACT(CELL("address",'Raw Data'!H132),"\$([A-Z]+)\$[0-9]+"),"")</f>
        <v>$H$132</v>
      </c>
    </row>
    <row r="132" spans="2:9" x14ac:dyDescent="0.25">
      <c r="B132" t="str">
        <f t="array" aca="1" ref="B132" ca="1">IF('Raw Data'!B133="",_xlfn.REGEXEXTRACT(CELL("address",'Raw Data'!B133),"\$([A-Z]+)\$[0-9]+"),"")</f>
        <v>$B$133</v>
      </c>
      <c r="C132" t="str">
        <f t="array" aca="1" ref="C132" ca="1">IF('Raw Data'!C133="",_xlfn.REGEXEXTRACT(CELL("address",'Raw Data'!C133),"\$([A-Z]+)\$[0-9]+"),"")</f>
        <v>$C$133</v>
      </c>
      <c r="D132" t="str">
        <f t="array" aca="1" ref="D132" ca="1">IF('Raw Data'!D133="",_xlfn.REGEXEXTRACT(CELL("address",'Raw Data'!D133),"\$([A-Z]+)\$[0-9]+"),"")</f>
        <v>$D$133</v>
      </c>
      <c r="E132" t="str">
        <f t="array" aca="1" ref="E132" ca="1">IF('Raw Data'!E133="",_xlfn.REGEXEXTRACT(CELL("address",'Raw Data'!E133),"\$([A-Z]+)\$[0-9]+"),"")</f>
        <v>$E$133</v>
      </c>
      <c r="F132" t="str">
        <f t="array" aca="1" ref="F132" ca="1">IF('Raw Data'!F133="",_xlfn.REGEXEXTRACT(CELL("address",'Raw Data'!F133),"\$([A-Z]+)\$[0-9]+"),"")</f>
        <v>$F$133</v>
      </c>
      <c r="G132" t="e">
        <f t="array" aca="1" ref="G132" ca="1">IF('Raw Data'!#REF!="",_xlfn.REGEXEXTRACT(CELL("address",'Raw Data'!#REF!),"\$([A-Z]+)\$[0-9]+"),"")</f>
        <v>#REF!</v>
      </c>
      <c r="H132" t="str">
        <f t="array" aca="1" ref="H132" ca="1">IF('Raw Data'!G133="",_xlfn.REGEXEXTRACT(CELL("address",'Raw Data'!G133),"\$([A-Z]+)\$[0-9]+"),"")</f>
        <v>$G$133</v>
      </c>
      <c r="I132" t="str">
        <f t="array" aca="1" ref="I132" ca="1">IF('Raw Data'!H133="",_xlfn.REGEXEXTRACT(CELL("address",'Raw Data'!H133),"\$([A-Z]+)\$[0-9]+"),"")</f>
        <v>$H$133</v>
      </c>
    </row>
    <row r="133" spans="2:9" x14ac:dyDescent="0.25">
      <c r="B133" t="str">
        <f t="array" aca="1" ref="B133" ca="1">IF('Raw Data'!B134="",_xlfn.REGEXEXTRACT(CELL("address",'Raw Data'!B134),"\$([A-Z]+)\$[0-9]+"),"")</f>
        <v>$B$134</v>
      </c>
      <c r="C133" t="str">
        <f t="array" aca="1" ref="C133" ca="1">IF('Raw Data'!C134="",_xlfn.REGEXEXTRACT(CELL("address",'Raw Data'!C134),"\$([A-Z]+)\$[0-9]+"),"")</f>
        <v>$C$134</v>
      </c>
      <c r="D133" t="str">
        <f t="array" aca="1" ref="D133" ca="1">IF('Raw Data'!D134="",_xlfn.REGEXEXTRACT(CELL("address",'Raw Data'!D134),"\$([A-Z]+)\$[0-9]+"),"")</f>
        <v>$D$134</v>
      </c>
      <c r="E133" t="str">
        <f t="array" aca="1" ref="E133" ca="1">IF('Raw Data'!E134="",_xlfn.REGEXEXTRACT(CELL("address",'Raw Data'!E134),"\$([A-Z]+)\$[0-9]+"),"")</f>
        <v>$E$134</v>
      </c>
      <c r="F133" t="str">
        <f t="array" aca="1" ref="F133" ca="1">IF('Raw Data'!F134="",_xlfn.REGEXEXTRACT(CELL("address",'Raw Data'!F134),"\$([A-Z]+)\$[0-9]+"),"")</f>
        <v>$F$134</v>
      </c>
      <c r="G133" t="e">
        <f t="array" aca="1" ref="G133" ca="1">IF('Raw Data'!#REF!="",_xlfn.REGEXEXTRACT(CELL("address",'Raw Data'!#REF!),"\$([A-Z]+)\$[0-9]+"),"")</f>
        <v>#REF!</v>
      </c>
      <c r="H133" t="str">
        <f t="array" aca="1" ref="H133" ca="1">IF('Raw Data'!G134="",_xlfn.REGEXEXTRACT(CELL("address",'Raw Data'!G134),"\$([A-Z]+)\$[0-9]+"),"")</f>
        <v>$G$134</v>
      </c>
      <c r="I133" t="str">
        <f t="array" aca="1" ref="I133" ca="1">IF('Raw Data'!H134="",_xlfn.REGEXEXTRACT(CELL("address",'Raw Data'!H134),"\$([A-Z]+)\$[0-9]+"),"")</f>
        <v>$H$134</v>
      </c>
    </row>
    <row r="134" spans="2:9" x14ac:dyDescent="0.25">
      <c r="B134" t="str">
        <f t="array" aca="1" ref="B134" ca="1">IF('Raw Data'!B135="",_xlfn.REGEXEXTRACT(CELL("address",'Raw Data'!B135),"\$([A-Z]+)\$[0-9]+"),"")</f>
        <v>$B$135</v>
      </c>
      <c r="C134" t="str">
        <f t="array" aca="1" ref="C134" ca="1">IF('Raw Data'!C135="",_xlfn.REGEXEXTRACT(CELL("address",'Raw Data'!C135),"\$([A-Z]+)\$[0-9]+"),"")</f>
        <v>$C$135</v>
      </c>
      <c r="D134" t="str">
        <f t="array" aca="1" ref="D134" ca="1">IF('Raw Data'!D135="",_xlfn.REGEXEXTRACT(CELL("address",'Raw Data'!D135),"\$([A-Z]+)\$[0-9]+"),"")</f>
        <v>$D$135</v>
      </c>
      <c r="E134" t="str">
        <f t="array" aca="1" ref="E134" ca="1">IF('Raw Data'!E135="",_xlfn.REGEXEXTRACT(CELL("address",'Raw Data'!E135),"\$([A-Z]+)\$[0-9]+"),"")</f>
        <v>$E$135</v>
      </c>
      <c r="F134" t="str">
        <f t="array" aca="1" ref="F134" ca="1">IF('Raw Data'!F135="",_xlfn.REGEXEXTRACT(CELL("address",'Raw Data'!F135),"\$([A-Z]+)\$[0-9]+"),"")</f>
        <v>$F$135</v>
      </c>
      <c r="G134" t="e">
        <f t="array" aca="1" ref="G134" ca="1">IF('Raw Data'!#REF!="",_xlfn.REGEXEXTRACT(CELL("address",'Raw Data'!#REF!),"\$([A-Z]+)\$[0-9]+"),"")</f>
        <v>#REF!</v>
      </c>
      <c r="H134" t="str">
        <f t="array" aca="1" ref="H134" ca="1">IF('Raw Data'!G135="",_xlfn.REGEXEXTRACT(CELL("address",'Raw Data'!G135),"\$([A-Z]+)\$[0-9]+"),"")</f>
        <v>$G$135</v>
      </c>
      <c r="I134" t="str">
        <f t="array" aca="1" ref="I134" ca="1">IF('Raw Data'!H135="",_xlfn.REGEXEXTRACT(CELL("address",'Raw Data'!H135),"\$([A-Z]+)\$[0-9]+"),"")</f>
        <v>$H$135</v>
      </c>
    </row>
    <row r="135" spans="2:9" x14ac:dyDescent="0.25">
      <c r="B135" t="str">
        <f t="array" aca="1" ref="B135" ca="1">IF('Raw Data'!B136="",_xlfn.REGEXEXTRACT(CELL("address",'Raw Data'!B136),"\$([A-Z]+)\$[0-9]+"),"")</f>
        <v>$B$136</v>
      </c>
      <c r="C135" t="str">
        <f t="array" aca="1" ref="C135" ca="1">IF('Raw Data'!C136="",_xlfn.REGEXEXTRACT(CELL("address",'Raw Data'!C136),"\$([A-Z]+)\$[0-9]+"),"")</f>
        <v>$C$136</v>
      </c>
      <c r="D135" t="str">
        <f t="array" aca="1" ref="D135" ca="1">IF('Raw Data'!D136="",_xlfn.REGEXEXTRACT(CELL("address",'Raw Data'!D136),"\$([A-Z]+)\$[0-9]+"),"")</f>
        <v>$D$136</v>
      </c>
      <c r="E135" t="str">
        <f t="array" aca="1" ref="E135" ca="1">IF('Raw Data'!E136="",_xlfn.REGEXEXTRACT(CELL("address",'Raw Data'!E136),"\$([A-Z]+)\$[0-9]+"),"")</f>
        <v>$E$136</v>
      </c>
      <c r="F135" t="str">
        <f t="array" aca="1" ref="F135" ca="1">IF('Raw Data'!F136="",_xlfn.REGEXEXTRACT(CELL("address",'Raw Data'!F136),"\$([A-Z]+)\$[0-9]+"),"")</f>
        <v>$F$136</v>
      </c>
      <c r="G135" t="e">
        <f t="array" aca="1" ref="G135" ca="1">IF('Raw Data'!#REF!="",_xlfn.REGEXEXTRACT(CELL("address",'Raw Data'!#REF!),"\$([A-Z]+)\$[0-9]+"),"")</f>
        <v>#REF!</v>
      </c>
      <c r="H135" t="str">
        <f t="array" aca="1" ref="H135" ca="1">IF('Raw Data'!G136="",_xlfn.REGEXEXTRACT(CELL("address",'Raw Data'!G136),"\$([A-Z]+)\$[0-9]+"),"")</f>
        <v>$G$136</v>
      </c>
      <c r="I135" t="str">
        <f t="array" aca="1" ref="I135" ca="1">IF('Raw Data'!H136="",_xlfn.REGEXEXTRACT(CELL("address",'Raw Data'!H136),"\$([A-Z]+)\$[0-9]+"),"")</f>
        <v>$H$136</v>
      </c>
    </row>
    <row r="136" spans="2:9" x14ac:dyDescent="0.25">
      <c r="B136" t="str">
        <f t="array" aca="1" ref="B136" ca="1">IF('Raw Data'!B137="",_xlfn.REGEXEXTRACT(CELL("address",'Raw Data'!B137),"\$([A-Z]+)\$[0-9]+"),"")</f>
        <v>$B$137</v>
      </c>
      <c r="C136" t="str">
        <f t="array" aca="1" ref="C136" ca="1">IF('Raw Data'!C137="",_xlfn.REGEXEXTRACT(CELL("address",'Raw Data'!C137),"\$([A-Z]+)\$[0-9]+"),"")</f>
        <v>$C$137</v>
      </c>
      <c r="D136" t="str">
        <f t="array" aca="1" ref="D136" ca="1">IF('Raw Data'!D137="",_xlfn.REGEXEXTRACT(CELL("address",'Raw Data'!D137),"\$([A-Z]+)\$[0-9]+"),"")</f>
        <v>$D$137</v>
      </c>
      <c r="E136" t="str">
        <f t="array" aca="1" ref="E136" ca="1">IF('Raw Data'!E137="",_xlfn.REGEXEXTRACT(CELL("address",'Raw Data'!E137),"\$([A-Z]+)\$[0-9]+"),"")</f>
        <v>$E$137</v>
      </c>
      <c r="F136" t="str">
        <f t="array" aca="1" ref="F136" ca="1">IF('Raw Data'!F137="",_xlfn.REGEXEXTRACT(CELL("address",'Raw Data'!F137),"\$([A-Z]+)\$[0-9]+"),"")</f>
        <v>$F$137</v>
      </c>
      <c r="G136" t="e">
        <f t="array" aca="1" ref="G136" ca="1">IF('Raw Data'!#REF!="",_xlfn.REGEXEXTRACT(CELL("address",'Raw Data'!#REF!),"\$([A-Z]+)\$[0-9]+"),"")</f>
        <v>#REF!</v>
      </c>
      <c r="H136" t="str">
        <f t="array" aca="1" ref="H136" ca="1">IF('Raw Data'!G137="",_xlfn.REGEXEXTRACT(CELL("address",'Raw Data'!G137),"\$([A-Z]+)\$[0-9]+"),"")</f>
        <v>$G$137</v>
      </c>
      <c r="I136" t="str">
        <f t="array" aca="1" ref="I136" ca="1">IF('Raw Data'!H137="",_xlfn.REGEXEXTRACT(CELL("address",'Raw Data'!H137),"\$([A-Z]+)\$[0-9]+"),"")</f>
        <v>$H$137</v>
      </c>
    </row>
    <row r="137" spans="2:9" x14ac:dyDescent="0.25">
      <c r="B137" t="str">
        <f t="array" aca="1" ref="B137" ca="1">IF('Raw Data'!B138="",_xlfn.REGEXEXTRACT(CELL("address",'Raw Data'!B138),"\$([A-Z]+)\$[0-9]+"),"")</f>
        <v>$B$138</v>
      </c>
      <c r="C137" t="str">
        <f t="array" aca="1" ref="C137" ca="1">IF('Raw Data'!C138="",_xlfn.REGEXEXTRACT(CELL("address",'Raw Data'!C138),"\$([A-Z]+)\$[0-9]+"),"")</f>
        <v>$C$138</v>
      </c>
      <c r="D137" t="str">
        <f t="array" aca="1" ref="D137" ca="1">IF('Raw Data'!D138="",_xlfn.REGEXEXTRACT(CELL("address",'Raw Data'!D138),"\$([A-Z]+)\$[0-9]+"),"")</f>
        <v>$D$138</v>
      </c>
      <c r="E137" t="str">
        <f t="array" aca="1" ref="E137" ca="1">IF('Raw Data'!E138="",_xlfn.REGEXEXTRACT(CELL("address",'Raw Data'!E138),"\$([A-Z]+)\$[0-9]+"),"")</f>
        <v>$E$138</v>
      </c>
      <c r="F137" t="str">
        <f t="array" aca="1" ref="F137" ca="1">IF('Raw Data'!F138="",_xlfn.REGEXEXTRACT(CELL("address",'Raw Data'!F138),"\$([A-Z]+)\$[0-9]+"),"")</f>
        <v>$F$138</v>
      </c>
      <c r="G137" t="e">
        <f t="array" aca="1" ref="G137" ca="1">IF('Raw Data'!#REF!="",_xlfn.REGEXEXTRACT(CELL("address",'Raw Data'!#REF!),"\$([A-Z]+)\$[0-9]+"),"")</f>
        <v>#REF!</v>
      </c>
      <c r="H137" t="str">
        <f t="array" aca="1" ref="H137" ca="1">IF('Raw Data'!G138="",_xlfn.REGEXEXTRACT(CELL("address",'Raw Data'!G138),"\$([A-Z]+)\$[0-9]+"),"")</f>
        <v>$G$138</v>
      </c>
      <c r="I137" t="str">
        <f t="array" aca="1" ref="I137" ca="1">IF('Raw Data'!H138="",_xlfn.REGEXEXTRACT(CELL("address",'Raw Data'!H138),"\$([A-Z]+)\$[0-9]+"),"")</f>
        <v>$H$138</v>
      </c>
    </row>
    <row r="138" spans="2:9" x14ac:dyDescent="0.25">
      <c r="B138" t="str">
        <f t="array" aca="1" ref="B138" ca="1">IF('Raw Data'!B139="",_xlfn.REGEXEXTRACT(CELL("address",'Raw Data'!B139),"\$([A-Z]+)\$[0-9]+"),"")</f>
        <v>$B$139</v>
      </c>
      <c r="C138" t="str">
        <f t="array" aca="1" ref="C138" ca="1">IF('Raw Data'!C139="",_xlfn.REGEXEXTRACT(CELL("address",'Raw Data'!C139),"\$([A-Z]+)\$[0-9]+"),"")</f>
        <v>$C$139</v>
      </c>
      <c r="D138" t="str">
        <f t="array" aca="1" ref="D138" ca="1">IF('Raw Data'!D139="",_xlfn.REGEXEXTRACT(CELL("address",'Raw Data'!D139),"\$([A-Z]+)\$[0-9]+"),"")</f>
        <v>$D$139</v>
      </c>
      <c r="E138" t="str">
        <f t="array" aca="1" ref="E138" ca="1">IF('Raw Data'!E139="",_xlfn.REGEXEXTRACT(CELL("address",'Raw Data'!E139),"\$([A-Z]+)\$[0-9]+"),"")</f>
        <v>$E$139</v>
      </c>
      <c r="F138" t="str">
        <f t="array" aca="1" ref="F138" ca="1">IF('Raw Data'!F139="",_xlfn.REGEXEXTRACT(CELL("address",'Raw Data'!F139),"\$([A-Z]+)\$[0-9]+"),"")</f>
        <v>$F$139</v>
      </c>
      <c r="G138" t="e">
        <f t="array" aca="1" ref="G138" ca="1">IF('Raw Data'!#REF!="",_xlfn.REGEXEXTRACT(CELL("address",'Raw Data'!#REF!),"\$([A-Z]+)\$[0-9]+"),"")</f>
        <v>#REF!</v>
      </c>
      <c r="H138" t="str">
        <f t="array" aca="1" ref="H138" ca="1">IF('Raw Data'!G139="",_xlfn.REGEXEXTRACT(CELL("address",'Raw Data'!G139),"\$([A-Z]+)\$[0-9]+"),"")</f>
        <v>$G$139</v>
      </c>
      <c r="I138" t="str">
        <f t="array" aca="1" ref="I138" ca="1">IF('Raw Data'!H139="",_xlfn.REGEXEXTRACT(CELL("address",'Raw Data'!H139),"\$([A-Z]+)\$[0-9]+"),"")</f>
        <v>$H$139</v>
      </c>
    </row>
    <row r="139" spans="2:9" x14ac:dyDescent="0.25">
      <c r="B139" t="str">
        <f t="array" aca="1" ref="B139" ca="1">IF('Raw Data'!B140="",_xlfn.REGEXEXTRACT(CELL("address",'Raw Data'!B140),"\$([A-Z]+)\$[0-9]+"),"")</f>
        <v>$B$140</v>
      </c>
      <c r="C139" t="str">
        <f t="array" aca="1" ref="C139" ca="1">IF('Raw Data'!C140="",_xlfn.REGEXEXTRACT(CELL("address",'Raw Data'!C140),"\$([A-Z]+)\$[0-9]+"),"")</f>
        <v>$C$140</v>
      </c>
      <c r="D139" t="str">
        <f t="array" aca="1" ref="D139" ca="1">IF('Raw Data'!D140="",_xlfn.REGEXEXTRACT(CELL("address",'Raw Data'!D140),"\$([A-Z]+)\$[0-9]+"),"")</f>
        <v>$D$140</v>
      </c>
      <c r="E139" t="str">
        <f t="array" aca="1" ref="E139" ca="1">IF('Raw Data'!E140="",_xlfn.REGEXEXTRACT(CELL("address",'Raw Data'!E140),"\$([A-Z]+)\$[0-9]+"),"")</f>
        <v>$E$140</v>
      </c>
      <c r="F139" t="str">
        <f t="array" aca="1" ref="F139" ca="1">IF('Raw Data'!F140="",_xlfn.REGEXEXTRACT(CELL("address",'Raw Data'!F140),"\$([A-Z]+)\$[0-9]+"),"")</f>
        <v>$F$140</v>
      </c>
      <c r="G139" t="e">
        <f t="array" aca="1" ref="G139" ca="1">IF('Raw Data'!#REF!="",_xlfn.REGEXEXTRACT(CELL("address",'Raw Data'!#REF!),"\$([A-Z]+)\$[0-9]+"),"")</f>
        <v>#REF!</v>
      </c>
      <c r="H139" t="str">
        <f t="array" aca="1" ref="H139" ca="1">IF('Raw Data'!G140="",_xlfn.REGEXEXTRACT(CELL("address",'Raw Data'!G140),"\$([A-Z]+)\$[0-9]+"),"")</f>
        <v>$G$140</v>
      </c>
      <c r="I139" t="str">
        <f t="array" aca="1" ref="I139" ca="1">IF('Raw Data'!H140="",_xlfn.REGEXEXTRACT(CELL("address",'Raw Data'!H140),"\$([A-Z]+)\$[0-9]+"),"")</f>
        <v>$H$140</v>
      </c>
    </row>
    <row r="140" spans="2:9" x14ac:dyDescent="0.25">
      <c r="B140" t="str">
        <f t="array" aca="1" ref="B140" ca="1">IF('Raw Data'!B141="",_xlfn.REGEXEXTRACT(CELL("address",'Raw Data'!B141),"\$([A-Z]+)\$[0-9]+"),"")</f>
        <v>$B$141</v>
      </c>
      <c r="C140" t="str">
        <f t="array" aca="1" ref="C140" ca="1">IF('Raw Data'!C141="",_xlfn.REGEXEXTRACT(CELL("address",'Raw Data'!C141),"\$([A-Z]+)\$[0-9]+"),"")</f>
        <v>$C$141</v>
      </c>
      <c r="D140" t="str">
        <f t="array" aca="1" ref="D140" ca="1">IF('Raw Data'!D141="",_xlfn.REGEXEXTRACT(CELL("address",'Raw Data'!D141),"\$([A-Z]+)\$[0-9]+"),"")</f>
        <v>$D$141</v>
      </c>
      <c r="E140" t="str">
        <f t="array" aca="1" ref="E140" ca="1">IF('Raw Data'!E141="",_xlfn.REGEXEXTRACT(CELL("address",'Raw Data'!E141),"\$([A-Z]+)\$[0-9]+"),"")</f>
        <v>$E$141</v>
      </c>
      <c r="F140" t="str">
        <f t="array" aca="1" ref="F140" ca="1">IF('Raw Data'!F141="",_xlfn.REGEXEXTRACT(CELL("address",'Raw Data'!F141),"\$([A-Z]+)\$[0-9]+"),"")</f>
        <v>$F$141</v>
      </c>
      <c r="G140" t="e">
        <f t="array" aca="1" ref="G140" ca="1">IF('Raw Data'!#REF!="",_xlfn.REGEXEXTRACT(CELL("address",'Raw Data'!#REF!),"\$([A-Z]+)\$[0-9]+"),"")</f>
        <v>#REF!</v>
      </c>
      <c r="H140" t="str">
        <f t="array" aca="1" ref="H140" ca="1">IF('Raw Data'!G141="",_xlfn.REGEXEXTRACT(CELL("address",'Raw Data'!G141),"\$([A-Z]+)\$[0-9]+"),"")</f>
        <v>$G$141</v>
      </c>
      <c r="I140" t="str">
        <f t="array" aca="1" ref="I140" ca="1">IF('Raw Data'!H141="",_xlfn.REGEXEXTRACT(CELL("address",'Raw Data'!H141),"\$([A-Z]+)\$[0-9]+"),"")</f>
        <v>$H$141</v>
      </c>
    </row>
    <row r="141" spans="2:9" x14ac:dyDescent="0.25">
      <c r="B141" t="str">
        <f t="array" aca="1" ref="B141" ca="1">IF('Raw Data'!B142="",_xlfn.REGEXEXTRACT(CELL("address",'Raw Data'!B142),"\$([A-Z]+)\$[0-9]+"),"")</f>
        <v>$B$142</v>
      </c>
      <c r="C141" t="str">
        <f t="array" aca="1" ref="C141" ca="1">IF('Raw Data'!C142="",_xlfn.REGEXEXTRACT(CELL("address",'Raw Data'!C142),"\$([A-Z]+)\$[0-9]+"),"")</f>
        <v>$C$142</v>
      </c>
      <c r="D141" t="str">
        <f t="array" aca="1" ref="D141" ca="1">IF('Raw Data'!D142="",_xlfn.REGEXEXTRACT(CELL("address",'Raw Data'!D142),"\$([A-Z]+)\$[0-9]+"),"")</f>
        <v>$D$142</v>
      </c>
      <c r="E141" t="str">
        <f t="array" aca="1" ref="E141" ca="1">IF('Raw Data'!E142="",_xlfn.REGEXEXTRACT(CELL("address",'Raw Data'!E142),"\$([A-Z]+)\$[0-9]+"),"")</f>
        <v>$E$142</v>
      </c>
      <c r="F141" t="str">
        <f t="array" aca="1" ref="F141" ca="1">IF('Raw Data'!F142="",_xlfn.REGEXEXTRACT(CELL("address",'Raw Data'!F142),"\$([A-Z]+)\$[0-9]+"),"")</f>
        <v>$F$142</v>
      </c>
      <c r="G141" t="e">
        <f t="array" aca="1" ref="G141" ca="1">IF('Raw Data'!#REF!="",_xlfn.REGEXEXTRACT(CELL("address",'Raw Data'!#REF!),"\$([A-Z]+)\$[0-9]+"),"")</f>
        <v>#REF!</v>
      </c>
      <c r="H141" t="str">
        <f t="array" aca="1" ref="H141" ca="1">IF('Raw Data'!G142="",_xlfn.REGEXEXTRACT(CELL("address",'Raw Data'!G142),"\$([A-Z]+)\$[0-9]+"),"")</f>
        <v>$G$142</v>
      </c>
      <c r="I141" t="str">
        <f t="array" aca="1" ref="I141" ca="1">IF('Raw Data'!H142="",_xlfn.REGEXEXTRACT(CELL("address",'Raw Data'!H142),"\$([A-Z]+)\$[0-9]+"),"")</f>
        <v>$H$142</v>
      </c>
    </row>
    <row r="142" spans="2:9" x14ac:dyDescent="0.25">
      <c r="B142" t="str">
        <f t="array" aca="1" ref="B142" ca="1">IF('Raw Data'!B143="",_xlfn.REGEXEXTRACT(CELL("address",'Raw Data'!B143),"\$([A-Z]+)\$[0-9]+"),"")</f>
        <v>$B$143</v>
      </c>
      <c r="C142" t="str">
        <f t="array" aca="1" ref="C142" ca="1">IF('Raw Data'!C143="",_xlfn.REGEXEXTRACT(CELL("address",'Raw Data'!C143),"\$([A-Z]+)\$[0-9]+"),"")</f>
        <v>$C$143</v>
      </c>
      <c r="D142" t="str">
        <f t="array" aca="1" ref="D142" ca="1">IF('Raw Data'!D143="",_xlfn.REGEXEXTRACT(CELL("address",'Raw Data'!D143),"\$([A-Z]+)\$[0-9]+"),"")</f>
        <v>$D$143</v>
      </c>
      <c r="E142" t="str">
        <f t="array" aca="1" ref="E142" ca="1">IF('Raw Data'!E143="",_xlfn.REGEXEXTRACT(CELL("address",'Raw Data'!E143),"\$([A-Z]+)\$[0-9]+"),"")</f>
        <v>$E$143</v>
      </c>
      <c r="F142" t="str">
        <f t="array" aca="1" ref="F142" ca="1">IF('Raw Data'!F143="",_xlfn.REGEXEXTRACT(CELL("address",'Raw Data'!F143),"\$([A-Z]+)\$[0-9]+"),"")</f>
        <v>$F$143</v>
      </c>
      <c r="G142" t="e">
        <f t="array" aca="1" ref="G142" ca="1">IF('Raw Data'!#REF!="",_xlfn.REGEXEXTRACT(CELL("address",'Raw Data'!#REF!),"\$([A-Z]+)\$[0-9]+"),"")</f>
        <v>#REF!</v>
      </c>
      <c r="H142" t="str">
        <f t="array" aca="1" ref="H142" ca="1">IF('Raw Data'!G143="",_xlfn.REGEXEXTRACT(CELL("address",'Raw Data'!G143),"\$([A-Z]+)\$[0-9]+"),"")</f>
        <v>$G$143</v>
      </c>
      <c r="I142" t="str">
        <f t="array" aca="1" ref="I142" ca="1">IF('Raw Data'!H143="",_xlfn.REGEXEXTRACT(CELL("address",'Raw Data'!H143),"\$([A-Z]+)\$[0-9]+"),"")</f>
        <v>$H$143</v>
      </c>
    </row>
    <row r="143" spans="2:9" x14ac:dyDescent="0.25">
      <c r="B143" t="str">
        <f t="array" aca="1" ref="B143" ca="1">IF('Raw Data'!B144="",_xlfn.REGEXEXTRACT(CELL("address",'Raw Data'!B144),"\$([A-Z]+)\$[0-9]+"),"")</f>
        <v>$B$144</v>
      </c>
      <c r="C143" t="str">
        <f t="array" aca="1" ref="C143" ca="1">IF('Raw Data'!C144="",_xlfn.REGEXEXTRACT(CELL("address",'Raw Data'!C144),"\$([A-Z]+)\$[0-9]+"),"")</f>
        <v>$C$144</v>
      </c>
      <c r="D143" t="str">
        <f t="array" aca="1" ref="D143" ca="1">IF('Raw Data'!D144="",_xlfn.REGEXEXTRACT(CELL("address",'Raw Data'!D144),"\$([A-Z]+)\$[0-9]+"),"")</f>
        <v>$D$144</v>
      </c>
      <c r="E143" t="str">
        <f t="array" aca="1" ref="E143" ca="1">IF('Raw Data'!E144="",_xlfn.REGEXEXTRACT(CELL("address",'Raw Data'!E144),"\$([A-Z]+)\$[0-9]+"),"")</f>
        <v>$E$144</v>
      </c>
      <c r="F143" t="str">
        <f t="array" aca="1" ref="F143" ca="1">IF('Raw Data'!F144="",_xlfn.REGEXEXTRACT(CELL("address",'Raw Data'!F144),"\$([A-Z]+)\$[0-9]+"),"")</f>
        <v>$F$144</v>
      </c>
      <c r="G143" t="e">
        <f t="array" aca="1" ref="G143" ca="1">IF('Raw Data'!#REF!="",_xlfn.REGEXEXTRACT(CELL("address",'Raw Data'!#REF!),"\$([A-Z]+)\$[0-9]+"),"")</f>
        <v>#REF!</v>
      </c>
      <c r="H143" t="str">
        <f t="array" aca="1" ref="H143" ca="1">IF('Raw Data'!G144="",_xlfn.REGEXEXTRACT(CELL("address",'Raw Data'!G144),"\$([A-Z]+)\$[0-9]+"),"")</f>
        <v>$G$144</v>
      </c>
      <c r="I143" t="str">
        <f t="array" aca="1" ref="I143" ca="1">IF('Raw Data'!H144="",_xlfn.REGEXEXTRACT(CELL("address",'Raw Data'!H144),"\$([A-Z]+)\$[0-9]+"),"")</f>
        <v>$H$144</v>
      </c>
    </row>
    <row r="144" spans="2:9" x14ac:dyDescent="0.25">
      <c r="B144" t="str">
        <f t="array" aca="1" ref="B144" ca="1">IF('Raw Data'!B145="",_xlfn.REGEXEXTRACT(CELL("address",'Raw Data'!B145),"\$([A-Z]+)\$[0-9]+"),"")</f>
        <v>$B$145</v>
      </c>
      <c r="C144" t="str">
        <f t="array" aca="1" ref="C144" ca="1">IF('Raw Data'!C145="",_xlfn.REGEXEXTRACT(CELL("address",'Raw Data'!C145),"\$([A-Z]+)\$[0-9]+"),"")</f>
        <v>$C$145</v>
      </c>
      <c r="D144" t="str">
        <f t="array" aca="1" ref="D144" ca="1">IF('Raw Data'!D145="",_xlfn.REGEXEXTRACT(CELL("address",'Raw Data'!D145),"\$([A-Z]+)\$[0-9]+"),"")</f>
        <v>$D$145</v>
      </c>
      <c r="E144" t="str">
        <f t="array" aca="1" ref="E144" ca="1">IF('Raw Data'!E145="",_xlfn.REGEXEXTRACT(CELL("address",'Raw Data'!E145),"\$([A-Z]+)\$[0-9]+"),"")</f>
        <v>$E$145</v>
      </c>
      <c r="F144" t="str">
        <f t="array" aca="1" ref="F144" ca="1">IF('Raw Data'!F145="",_xlfn.REGEXEXTRACT(CELL("address",'Raw Data'!F145),"\$([A-Z]+)\$[0-9]+"),"")</f>
        <v>$F$145</v>
      </c>
      <c r="G144" t="e">
        <f t="array" aca="1" ref="G144" ca="1">IF('Raw Data'!#REF!="",_xlfn.REGEXEXTRACT(CELL("address",'Raw Data'!#REF!),"\$([A-Z]+)\$[0-9]+"),"")</f>
        <v>#REF!</v>
      </c>
      <c r="H144" t="str">
        <f t="array" aca="1" ref="H144" ca="1">IF('Raw Data'!G145="",_xlfn.REGEXEXTRACT(CELL("address",'Raw Data'!G145),"\$([A-Z]+)\$[0-9]+"),"")</f>
        <v>$G$145</v>
      </c>
      <c r="I144" t="str">
        <f t="array" aca="1" ref="I144" ca="1">IF('Raw Data'!H145="",_xlfn.REGEXEXTRACT(CELL("address",'Raw Data'!H145),"\$([A-Z]+)\$[0-9]+"),"")</f>
        <v>$H$145</v>
      </c>
    </row>
    <row r="145" spans="2:9" x14ac:dyDescent="0.25">
      <c r="B145" t="str">
        <f t="array" aca="1" ref="B145" ca="1">IF('Raw Data'!B146="",_xlfn.REGEXEXTRACT(CELL("address",'Raw Data'!B146),"\$([A-Z]+)\$[0-9]+"),"")</f>
        <v>$B$146</v>
      </c>
      <c r="C145" t="str">
        <f t="array" aca="1" ref="C145" ca="1">IF('Raw Data'!C146="",_xlfn.REGEXEXTRACT(CELL("address",'Raw Data'!C146),"\$([A-Z]+)\$[0-9]+"),"")</f>
        <v>$C$146</v>
      </c>
      <c r="D145" t="str">
        <f t="array" aca="1" ref="D145" ca="1">IF('Raw Data'!D146="",_xlfn.REGEXEXTRACT(CELL("address",'Raw Data'!D146),"\$([A-Z]+)\$[0-9]+"),"")</f>
        <v>$D$146</v>
      </c>
      <c r="E145" t="str">
        <f t="array" aca="1" ref="E145" ca="1">IF('Raw Data'!E146="",_xlfn.REGEXEXTRACT(CELL("address",'Raw Data'!E146),"\$([A-Z]+)\$[0-9]+"),"")</f>
        <v>$E$146</v>
      </c>
      <c r="F145" t="str">
        <f t="array" aca="1" ref="F145" ca="1">IF('Raw Data'!F146="",_xlfn.REGEXEXTRACT(CELL("address",'Raw Data'!F146),"\$([A-Z]+)\$[0-9]+"),"")</f>
        <v>$F$146</v>
      </c>
      <c r="G145" t="e">
        <f t="array" aca="1" ref="G145" ca="1">IF('Raw Data'!#REF!="",_xlfn.REGEXEXTRACT(CELL("address",'Raw Data'!#REF!),"\$([A-Z]+)\$[0-9]+"),"")</f>
        <v>#REF!</v>
      </c>
      <c r="H145" t="str">
        <f t="array" aca="1" ref="H145" ca="1">IF('Raw Data'!G146="",_xlfn.REGEXEXTRACT(CELL("address",'Raw Data'!G146),"\$([A-Z]+)\$[0-9]+"),"")</f>
        <v>$G$146</v>
      </c>
      <c r="I145" t="str">
        <f t="array" aca="1" ref="I145" ca="1">IF('Raw Data'!H146="",_xlfn.REGEXEXTRACT(CELL("address",'Raw Data'!H146),"\$([A-Z]+)\$[0-9]+"),"")</f>
        <v>$H$146</v>
      </c>
    </row>
    <row r="146" spans="2:9" x14ac:dyDescent="0.25">
      <c r="B146" t="str">
        <f t="array" aca="1" ref="B146" ca="1">IF('Raw Data'!B147="",_xlfn.REGEXEXTRACT(CELL("address",'Raw Data'!B147),"\$([A-Z]+)\$[0-9]+"),"")</f>
        <v>$B$147</v>
      </c>
      <c r="C146" t="str">
        <f t="array" aca="1" ref="C146" ca="1">IF('Raw Data'!C147="",_xlfn.REGEXEXTRACT(CELL("address",'Raw Data'!C147),"\$([A-Z]+)\$[0-9]+"),"")</f>
        <v>$C$147</v>
      </c>
      <c r="D146" t="str">
        <f t="array" aca="1" ref="D146" ca="1">IF('Raw Data'!D147="",_xlfn.REGEXEXTRACT(CELL("address",'Raw Data'!D147),"\$([A-Z]+)\$[0-9]+"),"")</f>
        <v>$D$147</v>
      </c>
      <c r="E146" t="str">
        <f t="array" aca="1" ref="E146" ca="1">IF('Raw Data'!E147="",_xlfn.REGEXEXTRACT(CELL("address",'Raw Data'!E147),"\$([A-Z]+)\$[0-9]+"),"")</f>
        <v>$E$147</v>
      </c>
      <c r="F146" t="str">
        <f t="array" aca="1" ref="F146" ca="1">IF('Raw Data'!F147="",_xlfn.REGEXEXTRACT(CELL("address",'Raw Data'!F147),"\$([A-Z]+)\$[0-9]+"),"")</f>
        <v>$F$147</v>
      </c>
      <c r="G146" t="e">
        <f t="array" aca="1" ref="G146" ca="1">IF('Raw Data'!#REF!="",_xlfn.REGEXEXTRACT(CELL("address",'Raw Data'!#REF!),"\$([A-Z]+)\$[0-9]+"),"")</f>
        <v>#REF!</v>
      </c>
      <c r="H146" t="str">
        <f t="array" aca="1" ref="H146" ca="1">IF('Raw Data'!G147="",_xlfn.REGEXEXTRACT(CELL("address",'Raw Data'!G147),"\$([A-Z]+)\$[0-9]+"),"")</f>
        <v>$G$147</v>
      </c>
      <c r="I146" t="str">
        <f t="array" aca="1" ref="I146" ca="1">IF('Raw Data'!H147="",_xlfn.REGEXEXTRACT(CELL("address",'Raw Data'!H147),"\$([A-Z]+)\$[0-9]+"),"")</f>
        <v>$H$147</v>
      </c>
    </row>
    <row r="147" spans="2:9" x14ac:dyDescent="0.25">
      <c r="B147" t="str">
        <f t="array" aca="1" ref="B147" ca="1">IF('Raw Data'!B148="",_xlfn.REGEXEXTRACT(CELL("address",'Raw Data'!B148),"\$([A-Z]+)\$[0-9]+"),"")</f>
        <v>$B$148</v>
      </c>
      <c r="C147" t="str">
        <f t="array" aca="1" ref="C147" ca="1">IF('Raw Data'!C148="",_xlfn.REGEXEXTRACT(CELL("address",'Raw Data'!C148),"\$([A-Z]+)\$[0-9]+"),"")</f>
        <v>$C$148</v>
      </c>
      <c r="D147" t="str">
        <f t="array" aca="1" ref="D147" ca="1">IF('Raw Data'!D148="",_xlfn.REGEXEXTRACT(CELL("address",'Raw Data'!D148),"\$([A-Z]+)\$[0-9]+"),"")</f>
        <v>$D$148</v>
      </c>
      <c r="E147" t="str">
        <f t="array" aca="1" ref="E147" ca="1">IF('Raw Data'!E148="",_xlfn.REGEXEXTRACT(CELL("address",'Raw Data'!E148),"\$([A-Z]+)\$[0-9]+"),"")</f>
        <v>$E$148</v>
      </c>
      <c r="F147" t="str">
        <f t="array" aca="1" ref="F147" ca="1">IF('Raw Data'!F148="",_xlfn.REGEXEXTRACT(CELL("address",'Raw Data'!F148),"\$([A-Z]+)\$[0-9]+"),"")</f>
        <v>$F$148</v>
      </c>
      <c r="G147" t="e">
        <f t="array" aca="1" ref="G147" ca="1">IF('Raw Data'!#REF!="",_xlfn.REGEXEXTRACT(CELL("address",'Raw Data'!#REF!),"\$([A-Z]+)\$[0-9]+"),"")</f>
        <v>#REF!</v>
      </c>
      <c r="H147" t="str">
        <f t="array" aca="1" ref="H147" ca="1">IF('Raw Data'!G148="",_xlfn.REGEXEXTRACT(CELL("address",'Raw Data'!G148),"\$([A-Z]+)\$[0-9]+"),"")</f>
        <v>$G$148</v>
      </c>
      <c r="I147" t="str">
        <f t="array" aca="1" ref="I147" ca="1">IF('Raw Data'!H148="",_xlfn.REGEXEXTRACT(CELL("address",'Raw Data'!H148),"\$([A-Z]+)\$[0-9]+"),"")</f>
        <v>$H$148</v>
      </c>
    </row>
    <row r="148" spans="2:9" x14ac:dyDescent="0.25">
      <c r="B148" t="str">
        <f t="array" aca="1" ref="B148" ca="1">IF('Raw Data'!B149="",_xlfn.REGEXEXTRACT(CELL("address",'Raw Data'!B149),"\$([A-Z]+)\$[0-9]+"),"")</f>
        <v>$B$149</v>
      </c>
      <c r="C148" t="str">
        <f t="array" aca="1" ref="C148" ca="1">IF('Raw Data'!C149="",_xlfn.REGEXEXTRACT(CELL("address",'Raw Data'!C149),"\$([A-Z]+)\$[0-9]+"),"")</f>
        <v>$C$149</v>
      </c>
      <c r="D148" t="str">
        <f t="array" aca="1" ref="D148" ca="1">IF('Raw Data'!D149="",_xlfn.REGEXEXTRACT(CELL("address",'Raw Data'!D149),"\$([A-Z]+)\$[0-9]+"),"")</f>
        <v>$D$149</v>
      </c>
      <c r="E148" t="str">
        <f t="array" aca="1" ref="E148" ca="1">IF('Raw Data'!E149="",_xlfn.REGEXEXTRACT(CELL("address",'Raw Data'!E149),"\$([A-Z]+)\$[0-9]+"),"")</f>
        <v>$E$149</v>
      </c>
      <c r="F148" t="str">
        <f t="array" aca="1" ref="F148" ca="1">IF('Raw Data'!F149="",_xlfn.REGEXEXTRACT(CELL("address",'Raw Data'!F149),"\$([A-Z]+)\$[0-9]+"),"")</f>
        <v>$F$149</v>
      </c>
      <c r="G148" t="e">
        <f t="array" aca="1" ref="G148" ca="1">IF('Raw Data'!#REF!="",_xlfn.REGEXEXTRACT(CELL("address",'Raw Data'!#REF!),"\$([A-Z]+)\$[0-9]+"),"")</f>
        <v>#REF!</v>
      </c>
      <c r="H148" t="str">
        <f t="array" aca="1" ref="H148" ca="1">IF('Raw Data'!G149="",_xlfn.REGEXEXTRACT(CELL("address",'Raw Data'!G149),"\$([A-Z]+)\$[0-9]+"),"")</f>
        <v>$G$149</v>
      </c>
      <c r="I148" t="str">
        <f t="array" aca="1" ref="I148" ca="1">IF('Raw Data'!H149="",_xlfn.REGEXEXTRACT(CELL("address",'Raw Data'!H149),"\$([A-Z]+)\$[0-9]+"),"")</f>
        <v>$H$149</v>
      </c>
    </row>
    <row r="149" spans="2:9" x14ac:dyDescent="0.25">
      <c r="B149" t="str">
        <f t="array" aca="1" ref="B149" ca="1">IF('Raw Data'!B150="",_xlfn.REGEXEXTRACT(CELL("address",'Raw Data'!B150),"\$([A-Z]+)\$[0-9]+"),"")</f>
        <v>$B$150</v>
      </c>
      <c r="C149" t="str">
        <f t="array" aca="1" ref="C149" ca="1">IF('Raw Data'!C150="",_xlfn.REGEXEXTRACT(CELL("address",'Raw Data'!C150),"\$([A-Z]+)\$[0-9]+"),"")</f>
        <v>$C$150</v>
      </c>
      <c r="D149" t="str">
        <f t="array" aca="1" ref="D149" ca="1">IF('Raw Data'!D150="",_xlfn.REGEXEXTRACT(CELL("address",'Raw Data'!D150),"\$([A-Z]+)\$[0-9]+"),"")</f>
        <v>$D$150</v>
      </c>
      <c r="E149" t="str">
        <f t="array" aca="1" ref="E149" ca="1">IF('Raw Data'!E150="",_xlfn.REGEXEXTRACT(CELL("address",'Raw Data'!E150),"\$([A-Z]+)\$[0-9]+"),"")</f>
        <v>$E$150</v>
      </c>
      <c r="F149" t="str">
        <f t="array" aca="1" ref="F149" ca="1">IF('Raw Data'!F150="",_xlfn.REGEXEXTRACT(CELL("address",'Raw Data'!F150),"\$([A-Z]+)\$[0-9]+"),"")</f>
        <v>$F$150</v>
      </c>
      <c r="G149" t="e">
        <f t="array" aca="1" ref="G149" ca="1">IF('Raw Data'!#REF!="",_xlfn.REGEXEXTRACT(CELL("address",'Raw Data'!#REF!),"\$([A-Z]+)\$[0-9]+"),"")</f>
        <v>#REF!</v>
      </c>
      <c r="H149" t="str">
        <f t="array" aca="1" ref="H149" ca="1">IF('Raw Data'!G150="",_xlfn.REGEXEXTRACT(CELL("address",'Raw Data'!G150),"\$([A-Z]+)\$[0-9]+"),"")</f>
        <v>$G$150</v>
      </c>
      <c r="I149" t="str">
        <f t="array" aca="1" ref="I149" ca="1">IF('Raw Data'!H150="",_xlfn.REGEXEXTRACT(CELL("address",'Raw Data'!H150),"\$([A-Z]+)\$[0-9]+"),"")</f>
        <v>$H$150</v>
      </c>
    </row>
    <row r="150" spans="2:9" x14ac:dyDescent="0.25">
      <c r="B150" t="str">
        <f t="array" aca="1" ref="B150" ca="1">IF('Raw Data'!B151="",_xlfn.REGEXEXTRACT(CELL("address",'Raw Data'!B151),"\$([A-Z]+)\$[0-9]+"),"")</f>
        <v>$B$151</v>
      </c>
      <c r="C150" t="str">
        <f t="array" aca="1" ref="C150" ca="1">IF('Raw Data'!C151="",_xlfn.REGEXEXTRACT(CELL("address",'Raw Data'!C151),"\$([A-Z]+)\$[0-9]+"),"")</f>
        <v>$C$151</v>
      </c>
      <c r="D150" t="str">
        <f t="array" aca="1" ref="D150" ca="1">IF('Raw Data'!D151="",_xlfn.REGEXEXTRACT(CELL("address",'Raw Data'!D151),"\$([A-Z]+)\$[0-9]+"),"")</f>
        <v>$D$151</v>
      </c>
      <c r="E150" t="str">
        <f t="array" aca="1" ref="E150" ca="1">IF('Raw Data'!E151="",_xlfn.REGEXEXTRACT(CELL("address",'Raw Data'!E151),"\$([A-Z]+)\$[0-9]+"),"")</f>
        <v>$E$151</v>
      </c>
      <c r="F150" t="str">
        <f t="array" aca="1" ref="F150" ca="1">IF('Raw Data'!F151="",_xlfn.REGEXEXTRACT(CELL("address",'Raw Data'!F151),"\$([A-Z]+)\$[0-9]+"),"")</f>
        <v>$F$151</v>
      </c>
      <c r="G150" t="e">
        <f t="array" aca="1" ref="G150" ca="1">IF('Raw Data'!#REF!="",_xlfn.REGEXEXTRACT(CELL("address",'Raw Data'!#REF!),"\$([A-Z]+)\$[0-9]+"),"")</f>
        <v>#REF!</v>
      </c>
      <c r="H150" t="str">
        <f t="array" aca="1" ref="H150" ca="1">IF('Raw Data'!G151="",_xlfn.REGEXEXTRACT(CELL("address",'Raw Data'!G151),"\$([A-Z]+)\$[0-9]+"),"")</f>
        <v>$G$151</v>
      </c>
      <c r="I150" t="str">
        <f t="array" aca="1" ref="I150" ca="1">IF('Raw Data'!H151="",_xlfn.REGEXEXTRACT(CELL("address",'Raw Data'!H151),"\$([A-Z]+)\$[0-9]+"),"")</f>
        <v>$H$151</v>
      </c>
    </row>
    <row r="151" spans="2:9" x14ac:dyDescent="0.25">
      <c r="B151" t="str">
        <f t="array" aca="1" ref="B151" ca="1">IF('Raw Data'!B152="",_xlfn.REGEXEXTRACT(CELL("address",'Raw Data'!B152),"\$([A-Z]+)\$[0-9]+"),"")</f>
        <v>$B$152</v>
      </c>
      <c r="C151" t="str">
        <f t="array" aca="1" ref="C151" ca="1">IF('Raw Data'!C152="",_xlfn.REGEXEXTRACT(CELL("address",'Raw Data'!C152),"\$([A-Z]+)\$[0-9]+"),"")</f>
        <v>$C$152</v>
      </c>
      <c r="D151" t="str">
        <f t="array" aca="1" ref="D151" ca="1">IF('Raw Data'!D152="",_xlfn.REGEXEXTRACT(CELL("address",'Raw Data'!D152),"\$([A-Z]+)\$[0-9]+"),"")</f>
        <v>$D$152</v>
      </c>
      <c r="E151" t="str">
        <f t="array" aca="1" ref="E151" ca="1">IF('Raw Data'!E152="",_xlfn.REGEXEXTRACT(CELL("address",'Raw Data'!E152),"\$([A-Z]+)\$[0-9]+"),"")</f>
        <v>$E$152</v>
      </c>
      <c r="F151" t="str">
        <f t="array" aca="1" ref="F151" ca="1">IF('Raw Data'!F152="",_xlfn.REGEXEXTRACT(CELL("address",'Raw Data'!F152),"\$([A-Z]+)\$[0-9]+"),"")</f>
        <v>$F$152</v>
      </c>
      <c r="G151" t="e">
        <f t="array" aca="1" ref="G151" ca="1">IF('Raw Data'!#REF!="",_xlfn.REGEXEXTRACT(CELL("address",'Raw Data'!#REF!),"\$([A-Z]+)\$[0-9]+"),"")</f>
        <v>#REF!</v>
      </c>
      <c r="H151" t="str">
        <f t="array" aca="1" ref="H151" ca="1">IF('Raw Data'!G152="",_xlfn.REGEXEXTRACT(CELL("address",'Raw Data'!G152),"\$([A-Z]+)\$[0-9]+"),"")</f>
        <v>$G$152</v>
      </c>
      <c r="I151" t="str">
        <f t="array" aca="1" ref="I151" ca="1">IF('Raw Data'!H152="",_xlfn.REGEXEXTRACT(CELL("address",'Raw Data'!H152),"\$([A-Z]+)\$[0-9]+"),"")</f>
        <v>$H$152</v>
      </c>
    </row>
    <row r="152" spans="2:9" x14ac:dyDescent="0.25">
      <c r="B152" t="str">
        <f t="array" aca="1" ref="B152" ca="1">IF('Raw Data'!B153="",_xlfn.REGEXEXTRACT(CELL("address",'Raw Data'!B153),"\$([A-Z]+)\$[0-9]+"),"")</f>
        <v>$B$153</v>
      </c>
      <c r="C152" t="str">
        <f t="array" aca="1" ref="C152" ca="1">IF('Raw Data'!C153="",_xlfn.REGEXEXTRACT(CELL("address",'Raw Data'!C153),"\$([A-Z]+)\$[0-9]+"),"")</f>
        <v>$C$153</v>
      </c>
      <c r="D152" t="str">
        <f t="array" aca="1" ref="D152" ca="1">IF('Raw Data'!D153="",_xlfn.REGEXEXTRACT(CELL("address",'Raw Data'!D153),"\$([A-Z]+)\$[0-9]+"),"")</f>
        <v>$D$153</v>
      </c>
      <c r="E152" t="str">
        <f t="array" aca="1" ref="E152" ca="1">IF('Raw Data'!E153="",_xlfn.REGEXEXTRACT(CELL("address",'Raw Data'!E153),"\$([A-Z]+)\$[0-9]+"),"")</f>
        <v>$E$153</v>
      </c>
      <c r="F152" t="str">
        <f t="array" aca="1" ref="F152" ca="1">IF('Raw Data'!F153="",_xlfn.REGEXEXTRACT(CELL("address",'Raw Data'!F153),"\$([A-Z]+)\$[0-9]+"),"")</f>
        <v>$F$153</v>
      </c>
      <c r="G152" t="e">
        <f t="array" aca="1" ref="G152" ca="1">IF('Raw Data'!#REF!="",_xlfn.REGEXEXTRACT(CELL("address",'Raw Data'!#REF!),"\$([A-Z]+)\$[0-9]+"),"")</f>
        <v>#REF!</v>
      </c>
      <c r="H152" t="str">
        <f t="array" aca="1" ref="H152" ca="1">IF('Raw Data'!G153="",_xlfn.REGEXEXTRACT(CELL("address",'Raw Data'!G153),"\$([A-Z]+)\$[0-9]+"),"")</f>
        <v>$G$153</v>
      </c>
      <c r="I152" t="str">
        <f t="array" aca="1" ref="I152" ca="1">IF('Raw Data'!H153="",_xlfn.REGEXEXTRACT(CELL("address",'Raw Data'!H153),"\$([A-Z]+)\$[0-9]+"),"")</f>
        <v>$H$153</v>
      </c>
    </row>
    <row r="153" spans="2:9" x14ac:dyDescent="0.25">
      <c r="B153" t="str">
        <f t="array" aca="1" ref="B153" ca="1">IF('Raw Data'!B154="",_xlfn.REGEXEXTRACT(CELL("address",'Raw Data'!B154),"\$([A-Z]+)\$[0-9]+"),"")</f>
        <v>$B$154</v>
      </c>
      <c r="C153" t="str">
        <f t="array" aca="1" ref="C153" ca="1">IF('Raw Data'!C154="",_xlfn.REGEXEXTRACT(CELL("address",'Raw Data'!C154),"\$([A-Z]+)\$[0-9]+"),"")</f>
        <v>$C$154</v>
      </c>
      <c r="D153" t="str">
        <f t="array" aca="1" ref="D153" ca="1">IF('Raw Data'!D154="",_xlfn.REGEXEXTRACT(CELL("address",'Raw Data'!D154),"\$([A-Z]+)\$[0-9]+"),"")</f>
        <v>$D$154</v>
      </c>
      <c r="E153" t="str">
        <f t="array" aca="1" ref="E153" ca="1">IF('Raw Data'!E154="",_xlfn.REGEXEXTRACT(CELL("address",'Raw Data'!E154),"\$([A-Z]+)\$[0-9]+"),"")</f>
        <v>$E$154</v>
      </c>
      <c r="F153" t="str">
        <f t="array" aca="1" ref="F153" ca="1">IF('Raw Data'!F154="",_xlfn.REGEXEXTRACT(CELL("address",'Raw Data'!F154),"\$([A-Z]+)\$[0-9]+"),"")</f>
        <v>$F$154</v>
      </c>
      <c r="G153" t="e">
        <f t="array" aca="1" ref="G153" ca="1">IF('Raw Data'!#REF!="",_xlfn.REGEXEXTRACT(CELL("address",'Raw Data'!#REF!),"\$([A-Z]+)\$[0-9]+"),"")</f>
        <v>#REF!</v>
      </c>
      <c r="H153" t="str">
        <f t="array" aca="1" ref="H153" ca="1">IF('Raw Data'!G154="",_xlfn.REGEXEXTRACT(CELL("address",'Raw Data'!G154),"\$([A-Z]+)\$[0-9]+"),"")</f>
        <v>$G$154</v>
      </c>
      <c r="I153" t="str">
        <f t="array" aca="1" ref="I153" ca="1">IF('Raw Data'!H154="",_xlfn.REGEXEXTRACT(CELL("address",'Raw Data'!H154),"\$([A-Z]+)\$[0-9]+"),"")</f>
        <v>$H$154</v>
      </c>
    </row>
    <row r="154" spans="2:9" x14ac:dyDescent="0.25">
      <c r="B154" t="str">
        <f t="array" aca="1" ref="B154" ca="1">IF('Raw Data'!B155="",_xlfn.REGEXEXTRACT(CELL("address",'Raw Data'!B155),"\$([A-Z]+)\$[0-9]+"),"")</f>
        <v>$B$155</v>
      </c>
      <c r="C154" t="str">
        <f t="array" aca="1" ref="C154" ca="1">IF('Raw Data'!C155="",_xlfn.REGEXEXTRACT(CELL("address",'Raw Data'!C155),"\$([A-Z]+)\$[0-9]+"),"")</f>
        <v>$C$155</v>
      </c>
      <c r="D154" t="str">
        <f t="array" aca="1" ref="D154" ca="1">IF('Raw Data'!D155="",_xlfn.REGEXEXTRACT(CELL("address",'Raw Data'!D155),"\$([A-Z]+)\$[0-9]+"),"")</f>
        <v>$D$155</v>
      </c>
      <c r="E154" t="str">
        <f t="array" aca="1" ref="E154" ca="1">IF('Raw Data'!E155="",_xlfn.REGEXEXTRACT(CELL("address",'Raw Data'!E155),"\$([A-Z]+)\$[0-9]+"),"")</f>
        <v>$E$155</v>
      </c>
      <c r="F154" t="str">
        <f t="array" aca="1" ref="F154" ca="1">IF('Raw Data'!F155="",_xlfn.REGEXEXTRACT(CELL("address",'Raw Data'!F155),"\$([A-Z]+)\$[0-9]+"),"")</f>
        <v>$F$155</v>
      </c>
      <c r="G154" t="e">
        <f t="array" aca="1" ref="G154" ca="1">IF('Raw Data'!#REF!="",_xlfn.REGEXEXTRACT(CELL("address",'Raw Data'!#REF!),"\$([A-Z]+)\$[0-9]+"),"")</f>
        <v>#REF!</v>
      </c>
      <c r="H154" t="str">
        <f t="array" aca="1" ref="H154" ca="1">IF('Raw Data'!G155="",_xlfn.REGEXEXTRACT(CELL("address",'Raw Data'!G155),"\$([A-Z]+)\$[0-9]+"),"")</f>
        <v>$G$155</v>
      </c>
      <c r="I154" t="str">
        <f t="array" aca="1" ref="I154" ca="1">IF('Raw Data'!H155="",_xlfn.REGEXEXTRACT(CELL("address",'Raw Data'!H155),"\$([A-Z]+)\$[0-9]+"),"")</f>
        <v>$H$155</v>
      </c>
    </row>
    <row r="155" spans="2:9" x14ac:dyDescent="0.25">
      <c r="B155" t="str">
        <f t="array" aca="1" ref="B155" ca="1">IF('Raw Data'!B156="",_xlfn.REGEXEXTRACT(CELL("address",'Raw Data'!B156),"\$([A-Z]+)\$[0-9]+"),"")</f>
        <v>$B$156</v>
      </c>
      <c r="C155" t="str">
        <f t="array" aca="1" ref="C155" ca="1">IF('Raw Data'!C156="",_xlfn.REGEXEXTRACT(CELL("address",'Raw Data'!C156),"\$([A-Z]+)\$[0-9]+"),"")</f>
        <v>$C$156</v>
      </c>
      <c r="D155" t="str">
        <f t="array" aca="1" ref="D155" ca="1">IF('Raw Data'!D156="",_xlfn.REGEXEXTRACT(CELL("address",'Raw Data'!D156),"\$([A-Z]+)\$[0-9]+"),"")</f>
        <v>$D$156</v>
      </c>
      <c r="E155" t="str">
        <f t="array" aca="1" ref="E155" ca="1">IF('Raw Data'!E156="",_xlfn.REGEXEXTRACT(CELL("address",'Raw Data'!E156),"\$([A-Z]+)\$[0-9]+"),"")</f>
        <v>$E$156</v>
      </c>
      <c r="F155" t="str">
        <f t="array" aca="1" ref="F155" ca="1">IF('Raw Data'!F156="",_xlfn.REGEXEXTRACT(CELL("address",'Raw Data'!F156),"\$([A-Z]+)\$[0-9]+"),"")</f>
        <v>$F$156</v>
      </c>
      <c r="G155" t="e">
        <f t="array" aca="1" ref="G155" ca="1">IF('Raw Data'!#REF!="",_xlfn.REGEXEXTRACT(CELL("address",'Raw Data'!#REF!),"\$([A-Z]+)\$[0-9]+"),"")</f>
        <v>#REF!</v>
      </c>
      <c r="H155" t="str">
        <f t="array" aca="1" ref="H155" ca="1">IF('Raw Data'!G156="",_xlfn.REGEXEXTRACT(CELL("address",'Raw Data'!G156),"\$([A-Z]+)\$[0-9]+"),"")</f>
        <v>$G$156</v>
      </c>
      <c r="I155" t="str">
        <f t="array" aca="1" ref="I155" ca="1">IF('Raw Data'!H156="",_xlfn.REGEXEXTRACT(CELL("address",'Raw Data'!H156),"\$([A-Z]+)\$[0-9]+"),"")</f>
        <v>$H$156</v>
      </c>
    </row>
    <row r="156" spans="2:9" x14ac:dyDescent="0.25">
      <c r="B156" t="str">
        <f t="array" aca="1" ref="B156" ca="1">IF('Raw Data'!B157="",_xlfn.REGEXEXTRACT(CELL("address",'Raw Data'!B157),"\$([A-Z]+)\$[0-9]+"),"")</f>
        <v>$B$157</v>
      </c>
      <c r="C156" t="str">
        <f t="array" aca="1" ref="C156" ca="1">IF('Raw Data'!C157="",_xlfn.REGEXEXTRACT(CELL("address",'Raw Data'!C157),"\$([A-Z]+)\$[0-9]+"),"")</f>
        <v>$C$157</v>
      </c>
      <c r="D156" t="str">
        <f t="array" aca="1" ref="D156" ca="1">IF('Raw Data'!D157="",_xlfn.REGEXEXTRACT(CELL("address",'Raw Data'!D157),"\$([A-Z]+)\$[0-9]+"),"")</f>
        <v>$D$157</v>
      </c>
      <c r="E156" t="str">
        <f t="array" aca="1" ref="E156" ca="1">IF('Raw Data'!E157="",_xlfn.REGEXEXTRACT(CELL("address",'Raw Data'!E157),"\$([A-Z]+)\$[0-9]+"),"")</f>
        <v>$E$157</v>
      </c>
      <c r="F156" t="str">
        <f t="array" aca="1" ref="F156" ca="1">IF('Raw Data'!F157="",_xlfn.REGEXEXTRACT(CELL("address",'Raw Data'!F157),"\$([A-Z]+)\$[0-9]+"),"")</f>
        <v>$F$157</v>
      </c>
      <c r="G156" t="e">
        <f t="array" aca="1" ref="G156" ca="1">IF('Raw Data'!#REF!="",_xlfn.REGEXEXTRACT(CELL("address",'Raw Data'!#REF!),"\$([A-Z]+)\$[0-9]+"),"")</f>
        <v>#REF!</v>
      </c>
      <c r="H156" t="str">
        <f t="array" aca="1" ref="H156" ca="1">IF('Raw Data'!G157="",_xlfn.REGEXEXTRACT(CELL("address",'Raw Data'!G157),"\$([A-Z]+)\$[0-9]+"),"")</f>
        <v>$G$157</v>
      </c>
      <c r="I156" t="str">
        <f t="array" aca="1" ref="I156" ca="1">IF('Raw Data'!H157="",_xlfn.REGEXEXTRACT(CELL("address",'Raw Data'!H157),"\$([A-Z]+)\$[0-9]+"),"")</f>
        <v>$H$157</v>
      </c>
    </row>
    <row r="157" spans="2:9" x14ac:dyDescent="0.25">
      <c r="B157" t="str">
        <f t="array" aca="1" ref="B157" ca="1">IF('Raw Data'!B158="",_xlfn.REGEXEXTRACT(CELL("address",'Raw Data'!B158),"\$([A-Z]+)\$[0-9]+"),"")</f>
        <v>$B$158</v>
      </c>
      <c r="C157" t="str">
        <f t="array" aca="1" ref="C157" ca="1">IF('Raw Data'!C158="",_xlfn.REGEXEXTRACT(CELL("address",'Raw Data'!C158),"\$([A-Z]+)\$[0-9]+"),"")</f>
        <v>$C$158</v>
      </c>
      <c r="D157" t="str">
        <f t="array" aca="1" ref="D157" ca="1">IF('Raw Data'!D158="",_xlfn.REGEXEXTRACT(CELL("address",'Raw Data'!D158),"\$([A-Z]+)\$[0-9]+"),"")</f>
        <v>$D$158</v>
      </c>
      <c r="E157" t="str">
        <f t="array" aca="1" ref="E157" ca="1">IF('Raw Data'!E158="",_xlfn.REGEXEXTRACT(CELL("address",'Raw Data'!E158),"\$([A-Z]+)\$[0-9]+"),"")</f>
        <v>$E$158</v>
      </c>
      <c r="F157" t="str">
        <f t="array" aca="1" ref="F157" ca="1">IF('Raw Data'!F158="",_xlfn.REGEXEXTRACT(CELL("address",'Raw Data'!F158),"\$([A-Z]+)\$[0-9]+"),"")</f>
        <v>$F$158</v>
      </c>
      <c r="G157" t="e">
        <f t="array" aca="1" ref="G157" ca="1">IF('Raw Data'!#REF!="",_xlfn.REGEXEXTRACT(CELL("address",'Raw Data'!#REF!),"\$([A-Z]+)\$[0-9]+"),"")</f>
        <v>#REF!</v>
      </c>
      <c r="H157" t="str">
        <f t="array" aca="1" ref="H157" ca="1">IF('Raw Data'!G158="",_xlfn.REGEXEXTRACT(CELL("address",'Raw Data'!G158),"\$([A-Z]+)\$[0-9]+"),"")</f>
        <v>$G$158</v>
      </c>
      <c r="I157" t="str">
        <f t="array" aca="1" ref="I157" ca="1">IF('Raw Data'!H158="",_xlfn.REGEXEXTRACT(CELL("address",'Raw Data'!H158),"\$([A-Z]+)\$[0-9]+"),"")</f>
        <v>$H$158</v>
      </c>
    </row>
    <row r="158" spans="2:9" x14ac:dyDescent="0.25">
      <c r="B158" t="str">
        <f t="array" aca="1" ref="B158" ca="1">IF('Raw Data'!B159="",_xlfn.REGEXEXTRACT(CELL("address",'Raw Data'!B159),"\$([A-Z]+)\$[0-9]+"),"")</f>
        <v>$B$159</v>
      </c>
      <c r="C158" t="str">
        <f t="array" aca="1" ref="C158" ca="1">IF('Raw Data'!C159="",_xlfn.REGEXEXTRACT(CELL("address",'Raw Data'!C159),"\$([A-Z]+)\$[0-9]+"),"")</f>
        <v>$C$159</v>
      </c>
      <c r="D158" t="str">
        <f t="array" aca="1" ref="D158" ca="1">IF('Raw Data'!D159="",_xlfn.REGEXEXTRACT(CELL("address",'Raw Data'!D159),"\$([A-Z]+)\$[0-9]+"),"")</f>
        <v>$D$159</v>
      </c>
      <c r="E158" t="str">
        <f t="array" aca="1" ref="E158" ca="1">IF('Raw Data'!E159="",_xlfn.REGEXEXTRACT(CELL("address",'Raw Data'!E159),"\$([A-Z]+)\$[0-9]+"),"")</f>
        <v>$E$159</v>
      </c>
      <c r="F158" t="str">
        <f t="array" aca="1" ref="F158" ca="1">IF('Raw Data'!F159="",_xlfn.REGEXEXTRACT(CELL("address",'Raw Data'!F159),"\$([A-Z]+)\$[0-9]+"),"")</f>
        <v>$F$159</v>
      </c>
      <c r="G158" t="e">
        <f t="array" aca="1" ref="G158" ca="1">IF('Raw Data'!#REF!="",_xlfn.REGEXEXTRACT(CELL("address",'Raw Data'!#REF!),"\$([A-Z]+)\$[0-9]+"),"")</f>
        <v>#REF!</v>
      </c>
      <c r="H158" t="str">
        <f t="array" aca="1" ref="H158" ca="1">IF('Raw Data'!G159="",_xlfn.REGEXEXTRACT(CELL("address",'Raw Data'!G159),"\$([A-Z]+)\$[0-9]+"),"")</f>
        <v>$G$159</v>
      </c>
      <c r="I158" t="str">
        <f t="array" aca="1" ref="I158" ca="1">IF('Raw Data'!H159="",_xlfn.REGEXEXTRACT(CELL("address",'Raw Data'!H159),"\$([A-Z]+)\$[0-9]+"),"")</f>
        <v>$H$159</v>
      </c>
    </row>
    <row r="159" spans="2:9" x14ac:dyDescent="0.25">
      <c r="B159" t="str">
        <f t="array" aca="1" ref="B159" ca="1">IF('Raw Data'!B160="",_xlfn.REGEXEXTRACT(CELL("address",'Raw Data'!B160),"\$([A-Z]+)\$[0-9]+"),"")</f>
        <v>$B$160</v>
      </c>
      <c r="C159" t="str">
        <f t="array" aca="1" ref="C159" ca="1">IF('Raw Data'!C160="",_xlfn.REGEXEXTRACT(CELL("address",'Raw Data'!C160),"\$([A-Z]+)\$[0-9]+"),"")</f>
        <v>$C$160</v>
      </c>
      <c r="D159" t="str">
        <f t="array" aca="1" ref="D159" ca="1">IF('Raw Data'!D160="",_xlfn.REGEXEXTRACT(CELL("address",'Raw Data'!D160),"\$([A-Z]+)\$[0-9]+"),"")</f>
        <v>$D$160</v>
      </c>
      <c r="E159" t="str">
        <f t="array" aca="1" ref="E159" ca="1">IF('Raw Data'!E160="",_xlfn.REGEXEXTRACT(CELL("address",'Raw Data'!E160),"\$([A-Z]+)\$[0-9]+"),"")</f>
        <v>$E$160</v>
      </c>
      <c r="F159" t="str">
        <f t="array" aca="1" ref="F159" ca="1">IF('Raw Data'!F160="",_xlfn.REGEXEXTRACT(CELL("address",'Raw Data'!F160),"\$([A-Z]+)\$[0-9]+"),"")</f>
        <v>$F$160</v>
      </c>
      <c r="G159" t="e">
        <f t="array" aca="1" ref="G159" ca="1">IF('Raw Data'!#REF!="",_xlfn.REGEXEXTRACT(CELL("address",'Raw Data'!#REF!),"\$([A-Z]+)\$[0-9]+"),"")</f>
        <v>#REF!</v>
      </c>
      <c r="H159" t="str">
        <f t="array" aca="1" ref="H159" ca="1">IF('Raw Data'!G160="",_xlfn.REGEXEXTRACT(CELL("address",'Raw Data'!G160),"\$([A-Z]+)\$[0-9]+"),"")</f>
        <v>$G$160</v>
      </c>
      <c r="I159" t="str">
        <f t="array" aca="1" ref="I159" ca="1">IF('Raw Data'!H160="",_xlfn.REGEXEXTRACT(CELL("address",'Raw Data'!H160),"\$([A-Z]+)\$[0-9]+"),"")</f>
        <v>$H$160</v>
      </c>
    </row>
    <row r="160" spans="2:9" x14ac:dyDescent="0.25">
      <c r="B160" t="str">
        <f t="array" aca="1" ref="B160" ca="1">IF('Raw Data'!B161="",_xlfn.REGEXEXTRACT(CELL("address",'Raw Data'!B161),"\$([A-Z]+)\$[0-9]+"),"")</f>
        <v>$B$161</v>
      </c>
      <c r="C160" t="str">
        <f t="array" aca="1" ref="C160" ca="1">IF('Raw Data'!C161="",_xlfn.REGEXEXTRACT(CELL("address",'Raw Data'!C161),"\$([A-Z]+)\$[0-9]+"),"")</f>
        <v>$C$161</v>
      </c>
      <c r="D160" t="str">
        <f t="array" aca="1" ref="D160" ca="1">IF('Raw Data'!D161="",_xlfn.REGEXEXTRACT(CELL("address",'Raw Data'!D161),"\$([A-Z]+)\$[0-9]+"),"")</f>
        <v>$D$161</v>
      </c>
      <c r="E160" t="str">
        <f t="array" aca="1" ref="E160" ca="1">IF('Raw Data'!E161="",_xlfn.REGEXEXTRACT(CELL("address",'Raw Data'!E161),"\$([A-Z]+)\$[0-9]+"),"")</f>
        <v>$E$161</v>
      </c>
      <c r="F160" t="str">
        <f t="array" aca="1" ref="F160" ca="1">IF('Raw Data'!F161="",_xlfn.REGEXEXTRACT(CELL("address",'Raw Data'!F161),"\$([A-Z]+)\$[0-9]+"),"")</f>
        <v>$F$161</v>
      </c>
      <c r="G160" t="e">
        <f t="array" aca="1" ref="G160" ca="1">IF('Raw Data'!#REF!="",_xlfn.REGEXEXTRACT(CELL("address",'Raw Data'!#REF!),"\$([A-Z]+)\$[0-9]+"),"")</f>
        <v>#REF!</v>
      </c>
      <c r="H160" t="str">
        <f t="array" aca="1" ref="H160" ca="1">IF('Raw Data'!G161="",_xlfn.REGEXEXTRACT(CELL("address",'Raw Data'!G161),"\$([A-Z]+)\$[0-9]+"),"")</f>
        <v>$G$161</v>
      </c>
      <c r="I160" t="str">
        <f t="array" aca="1" ref="I160" ca="1">IF('Raw Data'!H161="",_xlfn.REGEXEXTRACT(CELL("address",'Raw Data'!H161),"\$([A-Z]+)\$[0-9]+"),"")</f>
        <v>$H$161</v>
      </c>
    </row>
    <row r="161" spans="2:9" x14ac:dyDescent="0.25">
      <c r="B161" t="str">
        <f t="array" aca="1" ref="B161" ca="1">IF('Raw Data'!B162="",_xlfn.REGEXEXTRACT(CELL("address",'Raw Data'!B162),"\$([A-Z]+)\$[0-9]+"),"")</f>
        <v>$B$162</v>
      </c>
      <c r="C161" t="str">
        <f t="array" aca="1" ref="C161" ca="1">IF('Raw Data'!C162="",_xlfn.REGEXEXTRACT(CELL("address",'Raw Data'!C162),"\$([A-Z]+)\$[0-9]+"),"")</f>
        <v>$C$162</v>
      </c>
      <c r="D161" t="str">
        <f t="array" aca="1" ref="D161" ca="1">IF('Raw Data'!D162="",_xlfn.REGEXEXTRACT(CELL("address",'Raw Data'!D162),"\$([A-Z]+)\$[0-9]+"),"")</f>
        <v>$D$162</v>
      </c>
      <c r="E161" t="str">
        <f t="array" aca="1" ref="E161" ca="1">IF('Raw Data'!E162="",_xlfn.REGEXEXTRACT(CELL("address",'Raw Data'!E162),"\$([A-Z]+)\$[0-9]+"),"")</f>
        <v>$E$162</v>
      </c>
      <c r="F161" t="str">
        <f t="array" aca="1" ref="F161" ca="1">IF('Raw Data'!F162="",_xlfn.REGEXEXTRACT(CELL("address",'Raw Data'!F162),"\$([A-Z]+)\$[0-9]+"),"")</f>
        <v>$F$162</v>
      </c>
      <c r="G161" t="e">
        <f t="array" aca="1" ref="G161" ca="1">IF('Raw Data'!#REF!="",_xlfn.REGEXEXTRACT(CELL("address",'Raw Data'!#REF!),"\$([A-Z]+)\$[0-9]+"),"")</f>
        <v>#REF!</v>
      </c>
      <c r="H161" t="str">
        <f t="array" aca="1" ref="H161" ca="1">IF('Raw Data'!G162="",_xlfn.REGEXEXTRACT(CELL("address",'Raw Data'!G162),"\$([A-Z]+)\$[0-9]+"),"")</f>
        <v>$G$162</v>
      </c>
      <c r="I161" t="str">
        <f t="array" aca="1" ref="I161" ca="1">IF('Raw Data'!H162="",_xlfn.REGEXEXTRACT(CELL("address",'Raw Data'!H162),"\$([A-Z]+)\$[0-9]+"),"")</f>
        <v>$H$162</v>
      </c>
    </row>
    <row r="162" spans="2:9" x14ac:dyDescent="0.25">
      <c r="B162" t="str">
        <f t="array" aca="1" ref="B162" ca="1">IF('Raw Data'!B163="",_xlfn.REGEXEXTRACT(CELL("address",'Raw Data'!B163),"\$([A-Z]+)\$[0-9]+"),"")</f>
        <v>$B$163</v>
      </c>
      <c r="C162" t="str">
        <f t="array" aca="1" ref="C162" ca="1">IF('Raw Data'!C163="",_xlfn.REGEXEXTRACT(CELL("address",'Raw Data'!C163),"\$([A-Z]+)\$[0-9]+"),"")</f>
        <v>$C$163</v>
      </c>
      <c r="D162" t="str">
        <f t="array" aca="1" ref="D162" ca="1">IF('Raw Data'!D163="",_xlfn.REGEXEXTRACT(CELL("address",'Raw Data'!D163),"\$([A-Z]+)\$[0-9]+"),"")</f>
        <v>$D$163</v>
      </c>
      <c r="E162" t="str">
        <f t="array" aca="1" ref="E162" ca="1">IF('Raw Data'!E163="",_xlfn.REGEXEXTRACT(CELL("address",'Raw Data'!E163),"\$([A-Z]+)\$[0-9]+"),"")</f>
        <v>$E$163</v>
      </c>
      <c r="F162" t="str">
        <f t="array" aca="1" ref="F162" ca="1">IF('Raw Data'!F163="",_xlfn.REGEXEXTRACT(CELL("address",'Raw Data'!F163),"\$([A-Z]+)\$[0-9]+"),"")</f>
        <v>$F$163</v>
      </c>
      <c r="G162" t="e">
        <f t="array" aca="1" ref="G162" ca="1">IF('Raw Data'!#REF!="",_xlfn.REGEXEXTRACT(CELL("address",'Raw Data'!#REF!),"\$([A-Z]+)\$[0-9]+"),"")</f>
        <v>#REF!</v>
      </c>
      <c r="H162" t="str">
        <f t="array" aca="1" ref="H162" ca="1">IF('Raw Data'!G163="",_xlfn.REGEXEXTRACT(CELL("address",'Raw Data'!G163),"\$([A-Z]+)\$[0-9]+"),"")</f>
        <v>$G$163</v>
      </c>
      <c r="I162" t="str">
        <f t="array" aca="1" ref="I162" ca="1">IF('Raw Data'!H163="",_xlfn.REGEXEXTRACT(CELL("address",'Raw Data'!H163),"\$([A-Z]+)\$[0-9]+"),"")</f>
        <v>$H$163</v>
      </c>
    </row>
    <row r="163" spans="2:9" x14ac:dyDescent="0.25">
      <c r="B163" t="str">
        <f t="array" aca="1" ref="B163" ca="1">IF('Raw Data'!B164="",_xlfn.REGEXEXTRACT(CELL("address",'Raw Data'!B164),"\$([A-Z]+)\$[0-9]+"),"")</f>
        <v>$B$164</v>
      </c>
      <c r="C163" t="str">
        <f t="array" aca="1" ref="C163" ca="1">IF('Raw Data'!C164="",_xlfn.REGEXEXTRACT(CELL("address",'Raw Data'!C164),"\$([A-Z]+)\$[0-9]+"),"")</f>
        <v>$C$164</v>
      </c>
      <c r="D163" t="str">
        <f t="array" aca="1" ref="D163" ca="1">IF('Raw Data'!D164="",_xlfn.REGEXEXTRACT(CELL("address",'Raw Data'!D164),"\$([A-Z]+)\$[0-9]+"),"")</f>
        <v>$D$164</v>
      </c>
      <c r="E163" t="str">
        <f t="array" aca="1" ref="E163" ca="1">IF('Raw Data'!E164="",_xlfn.REGEXEXTRACT(CELL("address",'Raw Data'!E164),"\$([A-Z]+)\$[0-9]+"),"")</f>
        <v>$E$164</v>
      </c>
      <c r="F163" t="str">
        <f t="array" aca="1" ref="F163" ca="1">IF('Raw Data'!F164="",_xlfn.REGEXEXTRACT(CELL("address",'Raw Data'!F164),"\$([A-Z]+)\$[0-9]+"),"")</f>
        <v>$F$164</v>
      </c>
      <c r="G163" t="e">
        <f t="array" aca="1" ref="G163" ca="1">IF('Raw Data'!#REF!="",_xlfn.REGEXEXTRACT(CELL("address",'Raw Data'!#REF!),"\$([A-Z]+)\$[0-9]+"),"")</f>
        <v>#REF!</v>
      </c>
      <c r="H163" t="str">
        <f t="array" aca="1" ref="H163" ca="1">IF('Raw Data'!G164="",_xlfn.REGEXEXTRACT(CELL("address",'Raw Data'!G164),"\$([A-Z]+)\$[0-9]+"),"")</f>
        <v>$G$164</v>
      </c>
      <c r="I163" t="str">
        <f t="array" aca="1" ref="I163" ca="1">IF('Raw Data'!H164="",_xlfn.REGEXEXTRACT(CELL("address",'Raw Data'!H164),"\$([A-Z]+)\$[0-9]+"),"")</f>
        <v>$H$164</v>
      </c>
    </row>
    <row r="164" spans="2:9" x14ac:dyDescent="0.25">
      <c r="B164" t="str">
        <f t="array" aca="1" ref="B164" ca="1">IF('Raw Data'!B165="",_xlfn.REGEXEXTRACT(CELL("address",'Raw Data'!B165),"\$([A-Z]+)\$[0-9]+"),"")</f>
        <v>$B$165</v>
      </c>
      <c r="C164" t="str">
        <f t="array" aca="1" ref="C164" ca="1">IF('Raw Data'!C165="",_xlfn.REGEXEXTRACT(CELL("address",'Raw Data'!C165),"\$([A-Z]+)\$[0-9]+"),"")</f>
        <v>$C$165</v>
      </c>
      <c r="D164" t="str">
        <f t="array" aca="1" ref="D164" ca="1">IF('Raw Data'!D165="",_xlfn.REGEXEXTRACT(CELL("address",'Raw Data'!D165),"\$([A-Z]+)\$[0-9]+"),"")</f>
        <v>$D$165</v>
      </c>
      <c r="E164" t="str">
        <f t="array" aca="1" ref="E164" ca="1">IF('Raw Data'!E165="",_xlfn.REGEXEXTRACT(CELL("address",'Raw Data'!E165),"\$([A-Z]+)\$[0-9]+"),"")</f>
        <v>$E$165</v>
      </c>
      <c r="F164" t="str">
        <f t="array" aca="1" ref="F164" ca="1">IF('Raw Data'!F165="",_xlfn.REGEXEXTRACT(CELL("address",'Raw Data'!F165),"\$([A-Z]+)\$[0-9]+"),"")</f>
        <v>$F$165</v>
      </c>
      <c r="G164" t="e">
        <f t="array" aca="1" ref="G164" ca="1">IF('Raw Data'!#REF!="",_xlfn.REGEXEXTRACT(CELL("address",'Raw Data'!#REF!),"\$([A-Z]+)\$[0-9]+"),"")</f>
        <v>#REF!</v>
      </c>
      <c r="H164" t="str">
        <f t="array" aca="1" ref="H164" ca="1">IF('Raw Data'!G165="",_xlfn.REGEXEXTRACT(CELL("address",'Raw Data'!G165),"\$([A-Z]+)\$[0-9]+"),"")</f>
        <v>$G$165</v>
      </c>
      <c r="I164" t="str">
        <f t="array" aca="1" ref="I164" ca="1">IF('Raw Data'!H165="",_xlfn.REGEXEXTRACT(CELL("address",'Raw Data'!H165),"\$([A-Z]+)\$[0-9]+"),"")</f>
        <v>$H$165</v>
      </c>
    </row>
    <row r="165" spans="2:9" x14ac:dyDescent="0.25">
      <c r="B165" t="str">
        <f t="array" aca="1" ref="B165" ca="1">IF('Raw Data'!B166="",_xlfn.REGEXEXTRACT(CELL("address",'Raw Data'!B166),"\$([A-Z]+)\$[0-9]+"),"")</f>
        <v>$B$166</v>
      </c>
      <c r="C165" t="str">
        <f t="array" aca="1" ref="C165" ca="1">IF('Raw Data'!C166="",_xlfn.REGEXEXTRACT(CELL("address",'Raw Data'!C166),"\$([A-Z]+)\$[0-9]+"),"")</f>
        <v>$C$166</v>
      </c>
      <c r="D165" t="str">
        <f t="array" aca="1" ref="D165" ca="1">IF('Raw Data'!D166="",_xlfn.REGEXEXTRACT(CELL("address",'Raw Data'!D166),"\$([A-Z]+)\$[0-9]+"),"")</f>
        <v>$D$166</v>
      </c>
      <c r="E165" t="str">
        <f t="array" aca="1" ref="E165" ca="1">IF('Raw Data'!E166="",_xlfn.REGEXEXTRACT(CELL("address",'Raw Data'!E166),"\$([A-Z]+)\$[0-9]+"),"")</f>
        <v>$E$166</v>
      </c>
      <c r="F165" t="str">
        <f t="array" aca="1" ref="F165" ca="1">IF('Raw Data'!F166="",_xlfn.REGEXEXTRACT(CELL("address",'Raw Data'!F166),"\$([A-Z]+)\$[0-9]+"),"")</f>
        <v>$F$166</v>
      </c>
      <c r="G165" t="e">
        <f t="array" aca="1" ref="G165" ca="1">IF('Raw Data'!#REF!="",_xlfn.REGEXEXTRACT(CELL("address",'Raw Data'!#REF!),"\$([A-Z]+)\$[0-9]+"),"")</f>
        <v>#REF!</v>
      </c>
      <c r="H165" t="str">
        <f t="array" aca="1" ref="H165" ca="1">IF('Raw Data'!G166="",_xlfn.REGEXEXTRACT(CELL("address",'Raw Data'!G166),"\$([A-Z]+)\$[0-9]+"),"")</f>
        <v>$G$166</v>
      </c>
      <c r="I165" t="str">
        <f t="array" aca="1" ref="I165" ca="1">IF('Raw Data'!H166="",_xlfn.REGEXEXTRACT(CELL("address",'Raw Data'!H166),"\$([A-Z]+)\$[0-9]+"),"")</f>
        <v>$H$166</v>
      </c>
    </row>
    <row r="166" spans="2:9" x14ac:dyDescent="0.25">
      <c r="B166" t="str">
        <f t="array" aca="1" ref="B166" ca="1">IF('Raw Data'!B167="",_xlfn.REGEXEXTRACT(CELL("address",'Raw Data'!B167),"\$([A-Z]+)\$[0-9]+"),"")</f>
        <v>$B$167</v>
      </c>
      <c r="C166" t="str">
        <f t="array" aca="1" ref="C166" ca="1">IF('Raw Data'!C167="",_xlfn.REGEXEXTRACT(CELL("address",'Raw Data'!C167),"\$([A-Z]+)\$[0-9]+"),"")</f>
        <v>$C$167</v>
      </c>
      <c r="D166" t="str">
        <f t="array" aca="1" ref="D166" ca="1">IF('Raw Data'!D167="",_xlfn.REGEXEXTRACT(CELL("address",'Raw Data'!D167),"\$([A-Z]+)\$[0-9]+"),"")</f>
        <v>$D$167</v>
      </c>
      <c r="E166" t="str">
        <f t="array" aca="1" ref="E166" ca="1">IF('Raw Data'!E167="",_xlfn.REGEXEXTRACT(CELL("address",'Raw Data'!E167),"\$([A-Z]+)\$[0-9]+"),"")</f>
        <v>$E$167</v>
      </c>
      <c r="F166" t="str">
        <f t="array" aca="1" ref="F166" ca="1">IF('Raw Data'!F167="",_xlfn.REGEXEXTRACT(CELL("address",'Raw Data'!F167),"\$([A-Z]+)\$[0-9]+"),"")</f>
        <v>$F$167</v>
      </c>
      <c r="G166" t="e">
        <f t="array" aca="1" ref="G166" ca="1">IF('Raw Data'!#REF!="",_xlfn.REGEXEXTRACT(CELL("address",'Raw Data'!#REF!),"\$([A-Z]+)\$[0-9]+"),"")</f>
        <v>#REF!</v>
      </c>
      <c r="H166" t="str">
        <f t="array" aca="1" ref="H166" ca="1">IF('Raw Data'!G167="",_xlfn.REGEXEXTRACT(CELL("address",'Raw Data'!G167),"\$([A-Z]+)\$[0-9]+"),"")</f>
        <v>$G$167</v>
      </c>
      <c r="I166" t="str">
        <f t="array" aca="1" ref="I166" ca="1">IF('Raw Data'!H167="",_xlfn.REGEXEXTRACT(CELL("address",'Raw Data'!H167),"\$([A-Z]+)\$[0-9]+"),"")</f>
        <v>$H$167</v>
      </c>
    </row>
    <row r="167" spans="2:9" x14ac:dyDescent="0.25">
      <c r="B167" t="str">
        <f t="array" aca="1" ref="B167" ca="1">IF('Raw Data'!B168="",_xlfn.REGEXEXTRACT(CELL("address",'Raw Data'!B168),"\$([A-Z]+)\$[0-9]+"),"")</f>
        <v>$B$168</v>
      </c>
      <c r="C167" t="str">
        <f t="array" aca="1" ref="C167" ca="1">IF('Raw Data'!C168="",_xlfn.REGEXEXTRACT(CELL("address",'Raw Data'!C168),"\$([A-Z]+)\$[0-9]+"),"")</f>
        <v>$C$168</v>
      </c>
      <c r="D167" t="str">
        <f t="array" aca="1" ref="D167" ca="1">IF('Raw Data'!D168="",_xlfn.REGEXEXTRACT(CELL("address",'Raw Data'!D168),"\$([A-Z]+)\$[0-9]+"),"")</f>
        <v>$D$168</v>
      </c>
      <c r="E167" t="str">
        <f t="array" aca="1" ref="E167" ca="1">IF('Raw Data'!E168="",_xlfn.REGEXEXTRACT(CELL("address",'Raw Data'!E168),"\$([A-Z]+)\$[0-9]+"),"")</f>
        <v>$E$168</v>
      </c>
      <c r="F167" t="str">
        <f t="array" aca="1" ref="F167" ca="1">IF('Raw Data'!F168="",_xlfn.REGEXEXTRACT(CELL("address",'Raw Data'!F168),"\$([A-Z]+)\$[0-9]+"),"")</f>
        <v>$F$168</v>
      </c>
      <c r="G167" t="e">
        <f t="array" aca="1" ref="G167" ca="1">IF('Raw Data'!#REF!="",_xlfn.REGEXEXTRACT(CELL("address",'Raw Data'!#REF!),"\$([A-Z]+)\$[0-9]+"),"")</f>
        <v>#REF!</v>
      </c>
      <c r="H167" t="str">
        <f t="array" aca="1" ref="H167" ca="1">IF('Raw Data'!G168="",_xlfn.REGEXEXTRACT(CELL("address",'Raw Data'!G168),"\$([A-Z]+)\$[0-9]+"),"")</f>
        <v>$G$168</v>
      </c>
      <c r="I167" t="str">
        <f t="array" aca="1" ref="I167" ca="1">IF('Raw Data'!H168="",_xlfn.REGEXEXTRACT(CELL("address",'Raw Data'!H168),"\$([A-Z]+)\$[0-9]+"),"")</f>
        <v>$H$168</v>
      </c>
    </row>
    <row r="168" spans="2:9" x14ac:dyDescent="0.25">
      <c r="B168" t="str">
        <f t="array" aca="1" ref="B168" ca="1">IF('Raw Data'!B169="",_xlfn.REGEXEXTRACT(CELL("address",'Raw Data'!B169),"\$([A-Z]+)\$[0-9]+"),"")</f>
        <v>$B$169</v>
      </c>
      <c r="C168" t="str">
        <f t="array" aca="1" ref="C168" ca="1">IF('Raw Data'!C169="",_xlfn.REGEXEXTRACT(CELL("address",'Raw Data'!C169),"\$([A-Z]+)\$[0-9]+"),"")</f>
        <v>$C$169</v>
      </c>
      <c r="D168" t="str">
        <f t="array" aca="1" ref="D168" ca="1">IF('Raw Data'!D169="",_xlfn.REGEXEXTRACT(CELL("address",'Raw Data'!D169),"\$([A-Z]+)\$[0-9]+"),"")</f>
        <v>$D$169</v>
      </c>
      <c r="E168" t="str">
        <f t="array" aca="1" ref="E168" ca="1">IF('Raw Data'!E169="",_xlfn.REGEXEXTRACT(CELL("address",'Raw Data'!E169),"\$([A-Z]+)\$[0-9]+"),"")</f>
        <v>$E$169</v>
      </c>
      <c r="F168" t="str">
        <f t="array" aca="1" ref="F168" ca="1">IF('Raw Data'!F169="",_xlfn.REGEXEXTRACT(CELL("address",'Raw Data'!F169),"\$([A-Z]+)\$[0-9]+"),"")</f>
        <v>$F$169</v>
      </c>
      <c r="G168" t="e">
        <f t="array" aca="1" ref="G168" ca="1">IF('Raw Data'!#REF!="",_xlfn.REGEXEXTRACT(CELL("address",'Raw Data'!#REF!),"\$([A-Z]+)\$[0-9]+"),"")</f>
        <v>#REF!</v>
      </c>
      <c r="H168" t="str">
        <f t="array" aca="1" ref="H168" ca="1">IF('Raw Data'!G169="",_xlfn.REGEXEXTRACT(CELL("address",'Raw Data'!G169),"\$([A-Z]+)\$[0-9]+"),"")</f>
        <v>$G$169</v>
      </c>
      <c r="I168" t="str">
        <f t="array" aca="1" ref="I168" ca="1">IF('Raw Data'!H169="",_xlfn.REGEXEXTRACT(CELL("address",'Raw Data'!H169),"\$([A-Z]+)\$[0-9]+"),"")</f>
        <v>$H$169</v>
      </c>
    </row>
    <row r="169" spans="2:9" x14ac:dyDescent="0.25">
      <c r="B169" t="str">
        <f t="array" aca="1" ref="B169" ca="1">IF('Raw Data'!B170="",_xlfn.REGEXEXTRACT(CELL("address",'Raw Data'!B170),"\$([A-Z]+)\$[0-9]+"),"")</f>
        <v>$B$170</v>
      </c>
      <c r="C169" t="str">
        <f t="array" aca="1" ref="C169" ca="1">IF('Raw Data'!C170="",_xlfn.REGEXEXTRACT(CELL("address",'Raw Data'!C170),"\$([A-Z]+)\$[0-9]+"),"")</f>
        <v>$C$170</v>
      </c>
      <c r="D169" t="str">
        <f t="array" aca="1" ref="D169" ca="1">IF('Raw Data'!D170="",_xlfn.REGEXEXTRACT(CELL("address",'Raw Data'!D170),"\$([A-Z]+)\$[0-9]+"),"")</f>
        <v>$D$170</v>
      </c>
      <c r="E169" t="str">
        <f t="array" aca="1" ref="E169" ca="1">IF('Raw Data'!E170="",_xlfn.REGEXEXTRACT(CELL("address",'Raw Data'!E170),"\$([A-Z]+)\$[0-9]+"),"")</f>
        <v>$E$170</v>
      </c>
      <c r="F169" t="str">
        <f t="array" aca="1" ref="F169" ca="1">IF('Raw Data'!F170="",_xlfn.REGEXEXTRACT(CELL("address",'Raw Data'!F170),"\$([A-Z]+)\$[0-9]+"),"")</f>
        <v>$F$170</v>
      </c>
      <c r="G169" t="e">
        <f t="array" aca="1" ref="G169" ca="1">IF('Raw Data'!#REF!="",_xlfn.REGEXEXTRACT(CELL("address",'Raw Data'!#REF!),"\$([A-Z]+)\$[0-9]+"),"")</f>
        <v>#REF!</v>
      </c>
      <c r="H169" t="str">
        <f t="array" aca="1" ref="H169" ca="1">IF('Raw Data'!G170="",_xlfn.REGEXEXTRACT(CELL("address",'Raw Data'!G170),"\$([A-Z]+)\$[0-9]+"),"")</f>
        <v>$G$170</v>
      </c>
      <c r="I169" t="str">
        <f t="array" aca="1" ref="I169" ca="1">IF('Raw Data'!H170="",_xlfn.REGEXEXTRACT(CELL("address",'Raw Data'!H170),"\$([A-Z]+)\$[0-9]+"),"")</f>
        <v>$H$170</v>
      </c>
    </row>
    <row r="170" spans="2:9" x14ac:dyDescent="0.25">
      <c r="B170" t="str">
        <f t="array" aca="1" ref="B170" ca="1">IF('Raw Data'!B171="",_xlfn.REGEXEXTRACT(CELL("address",'Raw Data'!B171),"\$([A-Z]+)\$[0-9]+"),"")</f>
        <v>$B$171</v>
      </c>
      <c r="C170" t="str">
        <f t="array" aca="1" ref="C170" ca="1">IF('Raw Data'!C171="",_xlfn.REGEXEXTRACT(CELL("address",'Raw Data'!C171),"\$([A-Z]+)\$[0-9]+"),"")</f>
        <v>$C$171</v>
      </c>
      <c r="D170" t="str">
        <f t="array" aca="1" ref="D170" ca="1">IF('Raw Data'!D171="",_xlfn.REGEXEXTRACT(CELL("address",'Raw Data'!D171),"\$([A-Z]+)\$[0-9]+"),"")</f>
        <v>$D$171</v>
      </c>
      <c r="E170" t="str">
        <f t="array" aca="1" ref="E170" ca="1">IF('Raw Data'!E171="",_xlfn.REGEXEXTRACT(CELL("address",'Raw Data'!E171),"\$([A-Z]+)\$[0-9]+"),"")</f>
        <v>$E$171</v>
      </c>
      <c r="F170" t="str">
        <f t="array" aca="1" ref="F170" ca="1">IF('Raw Data'!F171="",_xlfn.REGEXEXTRACT(CELL("address",'Raw Data'!F171),"\$([A-Z]+)\$[0-9]+"),"")</f>
        <v>$F$171</v>
      </c>
      <c r="G170" t="e">
        <f t="array" aca="1" ref="G170" ca="1">IF('Raw Data'!#REF!="",_xlfn.REGEXEXTRACT(CELL("address",'Raw Data'!#REF!),"\$([A-Z]+)\$[0-9]+"),"")</f>
        <v>#REF!</v>
      </c>
      <c r="H170" t="str">
        <f t="array" aca="1" ref="H170" ca="1">IF('Raw Data'!G171="",_xlfn.REGEXEXTRACT(CELL("address",'Raw Data'!G171),"\$([A-Z]+)\$[0-9]+"),"")</f>
        <v>$G$171</v>
      </c>
      <c r="I170" t="str">
        <f t="array" aca="1" ref="I170" ca="1">IF('Raw Data'!H171="",_xlfn.REGEXEXTRACT(CELL("address",'Raw Data'!H171),"\$([A-Z]+)\$[0-9]+"),"")</f>
        <v>$H$171</v>
      </c>
    </row>
    <row r="171" spans="2:9" x14ac:dyDescent="0.25">
      <c r="B171" t="str">
        <f t="array" aca="1" ref="B171" ca="1">IF('Raw Data'!B172="",_xlfn.REGEXEXTRACT(CELL("address",'Raw Data'!B172),"\$([A-Z]+)\$[0-9]+"),"")</f>
        <v>$B$172</v>
      </c>
      <c r="C171" t="str">
        <f t="array" aca="1" ref="C171" ca="1">IF('Raw Data'!C172="",_xlfn.REGEXEXTRACT(CELL("address",'Raw Data'!C172),"\$([A-Z]+)\$[0-9]+"),"")</f>
        <v>$C$172</v>
      </c>
      <c r="D171" t="str">
        <f t="array" aca="1" ref="D171" ca="1">IF('Raw Data'!D172="",_xlfn.REGEXEXTRACT(CELL("address",'Raw Data'!D172),"\$([A-Z]+)\$[0-9]+"),"")</f>
        <v>$D$172</v>
      </c>
      <c r="E171" t="str">
        <f t="array" aca="1" ref="E171" ca="1">IF('Raw Data'!E172="",_xlfn.REGEXEXTRACT(CELL("address",'Raw Data'!E172),"\$([A-Z]+)\$[0-9]+"),"")</f>
        <v>$E$172</v>
      </c>
      <c r="F171" t="str">
        <f t="array" aca="1" ref="F171" ca="1">IF('Raw Data'!F172="",_xlfn.REGEXEXTRACT(CELL("address",'Raw Data'!F172),"\$([A-Z]+)\$[0-9]+"),"")</f>
        <v>$F$172</v>
      </c>
      <c r="G171" t="e">
        <f t="array" aca="1" ref="G171" ca="1">IF('Raw Data'!#REF!="",_xlfn.REGEXEXTRACT(CELL("address",'Raw Data'!#REF!),"\$([A-Z]+)\$[0-9]+"),"")</f>
        <v>#REF!</v>
      </c>
      <c r="H171" t="str">
        <f t="array" aca="1" ref="H171" ca="1">IF('Raw Data'!G172="",_xlfn.REGEXEXTRACT(CELL("address",'Raw Data'!G172),"\$([A-Z]+)\$[0-9]+"),"")</f>
        <v>$G$172</v>
      </c>
      <c r="I171" t="str">
        <f t="array" aca="1" ref="I171" ca="1">IF('Raw Data'!H172="",_xlfn.REGEXEXTRACT(CELL("address",'Raw Data'!H172),"\$([A-Z]+)\$[0-9]+"),"")</f>
        <v>$H$172</v>
      </c>
    </row>
    <row r="172" spans="2:9" x14ac:dyDescent="0.25">
      <c r="B172" t="str">
        <f t="array" aca="1" ref="B172" ca="1">IF('Raw Data'!B173="",_xlfn.REGEXEXTRACT(CELL("address",'Raw Data'!B173),"\$([A-Z]+)\$[0-9]+"),"")</f>
        <v>$B$173</v>
      </c>
      <c r="C172" t="str">
        <f t="array" aca="1" ref="C172" ca="1">IF('Raw Data'!C173="",_xlfn.REGEXEXTRACT(CELL("address",'Raw Data'!C173),"\$([A-Z]+)\$[0-9]+"),"")</f>
        <v>$C$173</v>
      </c>
      <c r="D172" t="str">
        <f t="array" aca="1" ref="D172" ca="1">IF('Raw Data'!D173="",_xlfn.REGEXEXTRACT(CELL("address",'Raw Data'!D173),"\$([A-Z]+)\$[0-9]+"),"")</f>
        <v>$D$173</v>
      </c>
      <c r="E172" t="str">
        <f t="array" aca="1" ref="E172" ca="1">IF('Raw Data'!E173="",_xlfn.REGEXEXTRACT(CELL("address",'Raw Data'!E173),"\$([A-Z]+)\$[0-9]+"),"")</f>
        <v>$E$173</v>
      </c>
      <c r="F172" t="str">
        <f t="array" aca="1" ref="F172" ca="1">IF('Raw Data'!F173="",_xlfn.REGEXEXTRACT(CELL("address",'Raw Data'!F173),"\$([A-Z]+)\$[0-9]+"),"")</f>
        <v>$F$173</v>
      </c>
      <c r="G172" t="e">
        <f t="array" aca="1" ref="G172" ca="1">IF('Raw Data'!#REF!="",_xlfn.REGEXEXTRACT(CELL("address",'Raw Data'!#REF!),"\$([A-Z]+)\$[0-9]+"),"")</f>
        <v>#REF!</v>
      </c>
      <c r="H172" t="str">
        <f t="array" aca="1" ref="H172" ca="1">IF('Raw Data'!G173="",_xlfn.REGEXEXTRACT(CELL("address",'Raw Data'!G173),"\$([A-Z]+)\$[0-9]+"),"")</f>
        <v>$G$173</v>
      </c>
      <c r="I172" t="str">
        <f t="array" aca="1" ref="I172" ca="1">IF('Raw Data'!H173="",_xlfn.REGEXEXTRACT(CELL("address",'Raw Data'!H173),"\$([A-Z]+)\$[0-9]+"),"")</f>
        <v>$H$173</v>
      </c>
    </row>
    <row r="173" spans="2:9" x14ac:dyDescent="0.25">
      <c r="B173" t="str">
        <f t="array" aca="1" ref="B173" ca="1">IF('Raw Data'!B174="",_xlfn.REGEXEXTRACT(CELL("address",'Raw Data'!B174),"\$([A-Z]+)\$[0-9]+"),"")</f>
        <v>$B$174</v>
      </c>
      <c r="C173" t="str">
        <f t="array" aca="1" ref="C173" ca="1">IF('Raw Data'!C174="",_xlfn.REGEXEXTRACT(CELL("address",'Raw Data'!C174),"\$([A-Z]+)\$[0-9]+"),"")</f>
        <v>$C$174</v>
      </c>
      <c r="D173" t="str">
        <f t="array" aca="1" ref="D173" ca="1">IF('Raw Data'!D174="",_xlfn.REGEXEXTRACT(CELL("address",'Raw Data'!D174),"\$([A-Z]+)\$[0-9]+"),"")</f>
        <v>$D$174</v>
      </c>
      <c r="E173" t="str">
        <f t="array" aca="1" ref="E173" ca="1">IF('Raw Data'!E174="",_xlfn.REGEXEXTRACT(CELL("address",'Raw Data'!E174),"\$([A-Z]+)\$[0-9]+"),"")</f>
        <v>$E$174</v>
      </c>
      <c r="F173" t="str">
        <f t="array" aca="1" ref="F173" ca="1">IF('Raw Data'!F174="",_xlfn.REGEXEXTRACT(CELL("address",'Raw Data'!F174),"\$([A-Z]+)\$[0-9]+"),"")</f>
        <v>$F$174</v>
      </c>
      <c r="G173" t="e">
        <f t="array" aca="1" ref="G173" ca="1">IF('Raw Data'!#REF!="",_xlfn.REGEXEXTRACT(CELL("address",'Raw Data'!#REF!),"\$([A-Z]+)\$[0-9]+"),"")</f>
        <v>#REF!</v>
      </c>
      <c r="H173" t="str">
        <f t="array" aca="1" ref="H173" ca="1">IF('Raw Data'!G174="",_xlfn.REGEXEXTRACT(CELL("address",'Raw Data'!G174),"\$([A-Z]+)\$[0-9]+"),"")</f>
        <v>$G$174</v>
      </c>
      <c r="I173" t="str">
        <f t="array" aca="1" ref="I173" ca="1">IF('Raw Data'!H174="",_xlfn.REGEXEXTRACT(CELL("address",'Raw Data'!H174),"\$([A-Z]+)\$[0-9]+"),"")</f>
        <v>$H$174</v>
      </c>
    </row>
    <row r="174" spans="2:9" x14ac:dyDescent="0.25">
      <c r="B174" t="str">
        <f t="array" aca="1" ref="B174" ca="1">IF('Raw Data'!B175="",_xlfn.REGEXEXTRACT(CELL("address",'Raw Data'!B175),"\$([A-Z]+)\$[0-9]+"),"")</f>
        <v>$B$175</v>
      </c>
      <c r="C174" t="str">
        <f t="array" aca="1" ref="C174" ca="1">IF('Raw Data'!C175="",_xlfn.REGEXEXTRACT(CELL("address",'Raw Data'!C175),"\$([A-Z]+)\$[0-9]+"),"")</f>
        <v>$C$175</v>
      </c>
      <c r="D174" t="str">
        <f t="array" aca="1" ref="D174" ca="1">IF('Raw Data'!D175="",_xlfn.REGEXEXTRACT(CELL("address",'Raw Data'!D175),"\$([A-Z]+)\$[0-9]+"),"")</f>
        <v>$D$175</v>
      </c>
      <c r="E174" t="str">
        <f t="array" aca="1" ref="E174" ca="1">IF('Raw Data'!E175="",_xlfn.REGEXEXTRACT(CELL("address",'Raw Data'!E175),"\$([A-Z]+)\$[0-9]+"),"")</f>
        <v>$E$175</v>
      </c>
      <c r="F174" t="str">
        <f t="array" aca="1" ref="F174" ca="1">IF('Raw Data'!F175="",_xlfn.REGEXEXTRACT(CELL("address",'Raw Data'!F175),"\$([A-Z]+)\$[0-9]+"),"")</f>
        <v>$F$175</v>
      </c>
      <c r="G174" t="e">
        <f t="array" aca="1" ref="G174" ca="1">IF('Raw Data'!#REF!="",_xlfn.REGEXEXTRACT(CELL("address",'Raw Data'!#REF!),"\$([A-Z]+)\$[0-9]+"),"")</f>
        <v>#REF!</v>
      </c>
      <c r="H174" t="str">
        <f t="array" aca="1" ref="H174" ca="1">IF('Raw Data'!G175="",_xlfn.REGEXEXTRACT(CELL("address",'Raw Data'!G175),"\$([A-Z]+)\$[0-9]+"),"")</f>
        <v>$G$175</v>
      </c>
      <c r="I174" t="str">
        <f t="array" aca="1" ref="I174" ca="1">IF('Raw Data'!H175="",_xlfn.REGEXEXTRACT(CELL("address",'Raw Data'!H175),"\$([A-Z]+)\$[0-9]+"),"")</f>
        <v>$H$175</v>
      </c>
    </row>
    <row r="175" spans="2:9" x14ac:dyDescent="0.25">
      <c r="B175" t="str">
        <f t="array" aca="1" ref="B175" ca="1">IF('Raw Data'!B176="",_xlfn.REGEXEXTRACT(CELL("address",'Raw Data'!B176),"\$([A-Z]+)\$[0-9]+"),"")</f>
        <v>$B$176</v>
      </c>
      <c r="C175" t="str">
        <f t="array" aca="1" ref="C175" ca="1">IF('Raw Data'!C176="",_xlfn.REGEXEXTRACT(CELL("address",'Raw Data'!C176),"\$([A-Z]+)\$[0-9]+"),"")</f>
        <v>$C$176</v>
      </c>
      <c r="D175" t="str">
        <f t="array" aca="1" ref="D175" ca="1">IF('Raw Data'!D176="",_xlfn.REGEXEXTRACT(CELL("address",'Raw Data'!D176),"\$([A-Z]+)\$[0-9]+"),"")</f>
        <v>$D$176</v>
      </c>
      <c r="E175" t="str">
        <f t="array" aca="1" ref="E175" ca="1">IF('Raw Data'!E176="",_xlfn.REGEXEXTRACT(CELL("address",'Raw Data'!E176),"\$([A-Z]+)\$[0-9]+"),"")</f>
        <v>$E$176</v>
      </c>
      <c r="F175" t="str">
        <f t="array" aca="1" ref="F175" ca="1">IF('Raw Data'!F176="",_xlfn.REGEXEXTRACT(CELL("address",'Raw Data'!F176),"\$([A-Z]+)\$[0-9]+"),"")</f>
        <v>$F$176</v>
      </c>
      <c r="G175" t="e">
        <f t="array" aca="1" ref="G175" ca="1">IF('Raw Data'!#REF!="",_xlfn.REGEXEXTRACT(CELL("address",'Raw Data'!#REF!),"\$([A-Z]+)\$[0-9]+"),"")</f>
        <v>#REF!</v>
      </c>
      <c r="H175" t="str">
        <f t="array" aca="1" ref="H175" ca="1">IF('Raw Data'!G176="",_xlfn.REGEXEXTRACT(CELL("address",'Raw Data'!G176),"\$([A-Z]+)\$[0-9]+"),"")</f>
        <v>$G$176</v>
      </c>
      <c r="I175" t="str">
        <f t="array" aca="1" ref="I175" ca="1">IF('Raw Data'!H176="",_xlfn.REGEXEXTRACT(CELL("address",'Raw Data'!H176),"\$([A-Z]+)\$[0-9]+"),"")</f>
        <v>$H$176</v>
      </c>
    </row>
    <row r="176" spans="2:9" x14ac:dyDescent="0.25">
      <c r="B176" t="str">
        <f t="array" aca="1" ref="B176" ca="1">IF('Raw Data'!B177="",_xlfn.REGEXEXTRACT(CELL("address",'Raw Data'!B177),"\$([A-Z]+)\$[0-9]+"),"")</f>
        <v>$B$177</v>
      </c>
      <c r="C176" t="str">
        <f t="array" aca="1" ref="C176" ca="1">IF('Raw Data'!C177="",_xlfn.REGEXEXTRACT(CELL("address",'Raw Data'!C177),"\$([A-Z]+)\$[0-9]+"),"")</f>
        <v>$C$177</v>
      </c>
      <c r="D176" t="str">
        <f t="array" aca="1" ref="D176" ca="1">IF('Raw Data'!D177="",_xlfn.REGEXEXTRACT(CELL("address",'Raw Data'!D177),"\$([A-Z]+)\$[0-9]+"),"")</f>
        <v>$D$177</v>
      </c>
      <c r="E176" t="str">
        <f t="array" aca="1" ref="E176" ca="1">IF('Raw Data'!E177="",_xlfn.REGEXEXTRACT(CELL("address",'Raw Data'!E177),"\$([A-Z]+)\$[0-9]+"),"")</f>
        <v>$E$177</v>
      </c>
      <c r="F176" t="str">
        <f t="array" aca="1" ref="F176" ca="1">IF('Raw Data'!F177="",_xlfn.REGEXEXTRACT(CELL("address",'Raw Data'!F177),"\$([A-Z]+)\$[0-9]+"),"")</f>
        <v>$F$177</v>
      </c>
      <c r="G176" t="e">
        <f t="array" aca="1" ref="G176" ca="1">IF('Raw Data'!#REF!="",_xlfn.REGEXEXTRACT(CELL("address",'Raw Data'!#REF!),"\$([A-Z]+)\$[0-9]+"),"")</f>
        <v>#REF!</v>
      </c>
      <c r="H176" t="str">
        <f t="array" aca="1" ref="H176" ca="1">IF('Raw Data'!G177="",_xlfn.REGEXEXTRACT(CELL("address",'Raw Data'!G177),"\$([A-Z]+)\$[0-9]+"),"")</f>
        <v>$G$177</v>
      </c>
      <c r="I176" t="str">
        <f t="array" aca="1" ref="I176" ca="1">IF('Raw Data'!H177="",_xlfn.REGEXEXTRACT(CELL("address",'Raw Data'!H177),"\$([A-Z]+)\$[0-9]+"),"")</f>
        <v>$H$177</v>
      </c>
    </row>
    <row r="177" spans="2:9" x14ac:dyDescent="0.25">
      <c r="B177" t="str">
        <f t="array" aca="1" ref="B177" ca="1">IF('Raw Data'!B178="",_xlfn.REGEXEXTRACT(CELL("address",'Raw Data'!B178),"\$([A-Z]+)\$[0-9]+"),"")</f>
        <v>$B$178</v>
      </c>
      <c r="C177" t="str">
        <f t="array" aca="1" ref="C177" ca="1">IF('Raw Data'!C178="",_xlfn.REGEXEXTRACT(CELL("address",'Raw Data'!C178),"\$([A-Z]+)\$[0-9]+"),"")</f>
        <v>$C$178</v>
      </c>
      <c r="D177" t="str">
        <f t="array" aca="1" ref="D177" ca="1">IF('Raw Data'!D178="",_xlfn.REGEXEXTRACT(CELL("address",'Raw Data'!D178),"\$([A-Z]+)\$[0-9]+"),"")</f>
        <v>$D$178</v>
      </c>
      <c r="E177" t="str">
        <f t="array" aca="1" ref="E177" ca="1">IF('Raw Data'!E178="",_xlfn.REGEXEXTRACT(CELL("address",'Raw Data'!E178),"\$([A-Z]+)\$[0-9]+"),"")</f>
        <v>$E$178</v>
      </c>
      <c r="F177" t="str">
        <f t="array" aca="1" ref="F177" ca="1">IF('Raw Data'!F178="",_xlfn.REGEXEXTRACT(CELL("address",'Raw Data'!F178),"\$([A-Z]+)\$[0-9]+"),"")</f>
        <v>$F$178</v>
      </c>
      <c r="G177" t="e">
        <f t="array" aca="1" ref="G177" ca="1">IF('Raw Data'!#REF!="",_xlfn.REGEXEXTRACT(CELL("address",'Raw Data'!#REF!),"\$([A-Z]+)\$[0-9]+"),"")</f>
        <v>#REF!</v>
      </c>
      <c r="H177" t="str">
        <f t="array" aca="1" ref="H177" ca="1">IF('Raw Data'!G178="",_xlfn.REGEXEXTRACT(CELL("address",'Raw Data'!G178),"\$([A-Z]+)\$[0-9]+"),"")</f>
        <v>$G$178</v>
      </c>
      <c r="I177" t="str">
        <f t="array" aca="1" ref="I177" ca="1">IF('Raw Data'!H178="",_xlfn.REGEXEXTRACT(CELL("address",'Raw Data'!H178),"\$([A-Z]+)\$[0-9]+"),"")</f>
        <v>$H$178</v>
      </c>
    </row>
    <row r="178" spans="2:9" x14ac:dyDescent="0.25">
      <c r="B178" t="str">
        <f t="array" aca="1" ref="B178" ca="1">IF('Raw Data'!B179="",_xlfn.REGEXEXTRACT(CELL("address",'Raw Data'!B179),"\$([A-Z]+)\$[0-9]+"),"")</f>
        <v>$B$179</v>
      </c>
      <c r="C178" t="str">
        <f t="array" aca="1" ref="C178" ca="1">IF('Raw Data'!C179="",_xlfn.REGEXEXTRACT(CELL("address",'Raw Data'!C179),"\$([A-Z]+)\$[0-9]+"),"")</f>
        <v>$C$179</v>
      </c>
      <c r="D178" t="str">
        <f t="array" aca="1" ref="D178" ca="1">IF('Raw Data'!D179="",_xlfn.REGEXEXTRACT(CELL("address",'Raw Data'!D179),"\$([A-Z]+)\$[0-9]+"),"")</f>
        <v>$D$179</v>
      </c>
      <c r="E178" t="str">
        <f t="array" aca="1" ref="E178" ca="1">IF('Raw Data'!E179="",_xlfn.REGEXEXTRACT(CELL("address",'Raw Data'!E179),"\$([A-Z]+)\$[0-9]+"),"")</f>
        <v>$E$179</v>
      </c>
      <c r="F178" t="str">
        <f t="array" aca="1" ref="F178" ca="1">IF('Raw Data'!F179="",_xlfn.REGEXEXTRACT(CELL("address",'Raw Data'!F179),"\$([A-Z]+)\$[0-9]+"),"")</f>
        <v>$F$179</v>
      </c>
      <c r="G178" t="e">
        <f t="array" aca="1" ref="G178" ca="1">IF('Raw Data'!#REF!="",_xlfn.REGEXEXTRACT(CELL("address",'Raw Data'!#REF!),"\$([A-Z]+)\$[0-9]+"),"")</f>
        <v>#REF!</v>
      </c>
      <c r="H178" t="str">
        <f t="array" aca="1" ref="H178" ca="1">IF('Raw Data'!G179="",_xlfn.REGEXEXTRACT(CELL("address",'Raw Data'!G179),"\$([A-Z]+)\$[0-9]+"),"")</f>
        <v>$G$179</v>
      </c>
      <c r="I178" t="str">
        <f t="array" aca="1" ref="I178" ca="1">IF('Raw Data'!H179="",_xlfn.REGEXEXTRACT(CELL("address",'Raw Data'!H179),"\$([A-Z]+)\$[0-9]+"),"")</f>
        <v>$H$179</v>
      </c>
    </row>
    <row r="179" spans="2:9" x14ac:dyDescent="0.25">
      <c r="B179" t="str">
        <f t="array" aca="1" ref="B179" ca="1">IF('Raw Data'!B180="",_xlfn.REGEXEXTRACT(CELL("address",'Raw Data'!B180),"\$([A-Z]+)\$[0-9]+"),"")</f>
        <v>$B$180</v>
      </c>
      <c r="C179" t="str">
        <f t="array" aca="1" ref="C179" ca="1">IF('Raw Data'!C180="",_xlfn.REGEXEXTRACT(CELL("address",'Raw Data'!C180),"\$([A-Z]+)\$[0-9]+"),"")</f>
        <v>$C$180</v>
      </c>
      <c r="D179" t="str">
        <f t="array" aca="1" ref="D179" ca="1">IF('Raw Data'!D180="",_xlfn.REGEXEXTRACT(CELL("address",'Raw Data'!D180),"\$([A-Z]+)\$[0-9]+"),"")</f>
        <v>$D$180</v>
      </c>
      <c r="E179" t="str">
        <f t="array" aca="1" ref="E179" ca="1">IF('Raw Data'!E180="",_xlfn.REGEXEXTRACT(CELL("address",'Raw Data'!E180),"\$([A-Z]+)\$[0-9]+"),"")</f>
        <v>$E$180</v>
      </c>
      <c r="F179" t="str">
        <f t="array" aca="1" ref="F179" ca="1">IF('Raw Data'!F180="",_xlfn.REGEXEXTRACT(CELL("address",'Raw Data'!F180),"\$([A-Z]+)\$[0-9]+"),"")</f>
        <v>$F$180</v>
      </c>
      <c r="G179" t="e">
        <f t="array" aca="1" ref="G179" ca="1">IF('Raw Data'!#REF!="",_xlfn.REGEXEXTRACT(CELL("address",'Raw Data'!#REF!),"\$([A-Z]+)\$[0-9]+"),"")</f>
        <v>#REF!</v>
      </c>
      <c r="H179" t="str">
        <f t="array" aca="1" ref="H179" ca="1">IF('Raw Data'!G180="",_xlfn.REGEXEXTRACT(CELL("address",'Raw Data'!G180),"\$([A-Z]+)\$[0-9]+"),"")</f>
        <v>$G$180</v>
      </c>
      <c r="I179" t="str">
        <f t="array" aca="1" ref="I179" ca="1">IF('Raw Data'!H180="",_xlfn.REGEXEXTRACT(CELL("address",'Raw Data'!H180),"\$([A-Z]+)\$[0-9]+"),"")</f>
        <v>$H$180</v>
      </c>
    </row>
    <row r="180" spans="2:9" x14ac:dyDescent="0.25">
      <c r="B180" t="str">
        <f t="array" aca="1" ref="B180" ca="1">IF('Raw Data'!B181="",_xlfn.REGEXEXTRACT(CELL("address",'Raw Data'!B181),"\$([A-Z]+)\$[0-9]+"),"")</f>
        <v>$B$181</v>
      </c>
      <c r="C180" t="str">
        <f t="array" aca="1" ref="C180" ca="1">IF('Raw Data'!C181="",_xlfn.REGEXEXTRACT(CELL("address",'Raw Data'!C181),"\$([A-Z]+)\$[0-9]+"),"")</f>
        <v>$C$181</v>
      </c>
      <c r="D180" t="str">
        <f t="array" aca="1" ref="D180" ca="1">IF('Raw Data'!D181="",_xlfn.REGEXEXTRACT(CELL("address",'Raw Data'!D181),"\$([A-Z]+)\$[0-9]+"),"")</f>
        <v>$D$181</v>
      </c>
      <c r="E180" t="str">
        <f t="array" aca="1" ref="E180" ca="1">IF('Raw Data'!E181="",_xlfn.REGEXEXTRACT(CELL("address",'Raw Data'!E181),"\$([A-Z]+)\$[0-9]+"),"")</f>
        <v>$E$181</v>
      </c>
      <c r="F180" t="str">
        <f t="array" aca="1" ref="F180" ca="1">IF('Raw Data'!F181="",_xlfn.REGEXEXTRACT(CELL("address",'Raw Data'!F181),"\$([A-Z]+)\$[0-9]+"),"")</f>
        <v>$F$181</v>
      </c>
      <c r="G180" t="e">
        <f t="array" aca="1" ref="G180" ca="1">IF('Raw Data'!#REF!="",_xlfn.REGEXEXTRACT(CELL("address",'Raw Data'!#REF!),"\$([A-Z]+)\$[0-9]+"),"")</f>
        <v>#REF!</v>
      </c>
      <c r="H180" t="str">
        <f t="array" aca="1" ref="H180" ca="1">IF('Raw Data'!G181="",_xlfn.REGEXEXTRACT(CELL("address",'Raw Data'!G181),"\$([A-Z]+)\$[0-9]+"),"")</f>
        <v>$G$181</v>
      </c>
      <c r="I180" t="str">
        <f t="array" aca="1" ref="I180" ca="1">IF('Raw Data'!H181="",_xlfn.REGEXEXTRACT(CELL("address",'Raw Data'!H181),"\$([A-Z]+)\$[0-9]+"),"")</f>
        <v>$H$181</v>
      </c>
    </row>
    <row r="181" spans="2:9" x14ac:dyDescent="0.25">
      <c r="B181" t="str">
        <f t="array" aca="1" ref="B181" ca="1">IF('Raw Data'!B182="",_xlfn.REGEXEXTRACT(CELL("address",'Raw Data'!B182),"\$([A-Z]+)\$[0-9]+"),"")</f>
        <v>$B$182</v>
      </c>
      <c r="C181" t="str">
        <f t="array" aca="1" ref="C181" ca="1">IF('Raw Data'!C182="",_xlfn.REGEXEXTRACT(CELL("address",'Raw Data'!C182),"\$([A-Z]+)\$[0-9]+"),"")</f>
        <v>$C$182</v>
      </c>
      <c r="D181" t="str">
        <f t="array" aca="1" ref="D181" ca="1">IF('Raw Data'!D182="",_xlfn.REGEXEXTRACT(CELL("address",'Raw Data'!D182),"\$([A-Z]+)\$[0-9]+"),"")</f>
        <v>$D$182</v>
      </c>
      <c r="E181" t="str">
        <f t="array" aca="1" ref="E181" ca="1">IF('Raw Data'!E182="",_xlfn.REGEXEXTRACT(CELL("address",'Raw Data'!E182),"\$([A-Z]+)\$[0-9]+"),"")</f>
        <v>$E$182</v>
      </c>
      <c r="F181" t="str">
        <f t="array" aca="1" ref="F181" ca="1">IF('Raw Data'!F182="",_xlfn.REGEXEXTRACT(CELL("address",'Raw Data'!F182),"\$([A-Z]+)\$[0-9]+"),"")</f>
        <v>$F$182</v>
      </c>
      <c r="G181" t="e">
        <f t="array" aca="1" ref="G181" ca="1">IF('Raw Data'!#REF!="",_xlfn.REGEXEXTRACT(CELL("address",'Raw Data'!#REF!),"\$([A-Z]+)\$[0-9]+"),"")</f>
        <v>#REF!</v>
      </c>
      <c r="H181" t="str">
        <f t="array" aca="1" ref="H181" ca="1">IF('Raw Data'!G182="",_xlfn.REGEXEXTRACT(CELL("address",'Raw Data'!G182),"\$([A-Z]+)\$[0-9]+"),"")</f>
        <v>$G$182</v>
      </c>
      <c r="I181" t="str">
        <f t="array" aca="1" ref="I181" ca="1">IF('Raw Data'!H182="",_xlfn.REGEXEXTRACT(CELL("address",'Raw Data'!H182),"\$([A-Z]+)\$[0-9]+"),"")</f>
        <v>$H$182</v>
      </c>
    </row>
    <row r="182" spans="2:9" x14ac:dyDescent="0.25">
      <c r="B182" t="str">
        <f t="array" aca="1" ref="B182" ca="1">IF('Raw Data'!B183="",_xlfn.REGEXEXTRACT(CELL("address",'Raw Data'!B183),"\$([A-Z]+)\$[0-9]+"),"")</f>
        <v>$B$183</v>
      </c>
      <c r="C182" t="str">
        <f t="array" aca="1" ref="C182" ca="1">IF('Raw Data'!C183="",_xlfn.REGEXEXTRACT(CELL("address",'Raw Data'!C183),"\$([A-Z]+)\$[0-9]+"),"")</f>
        <v>$C$183</v>
      </c>
      <c r="D182" t="str">
        <f t="array" aca="1" ref="D182" ca="1">IF('Raw Data'!D183="",_xlfn.REGEXEXTRACT(CELL("address",'Raw Data'!D183),"\$([A-Z]+)\$[0-9]+"),"")</f>
        <v>$D$183</v>
      </c>
      <c r="E182" t="str">
        <f t="array" aca="1" ref="E182" ca="1">IF('Raw Data'!E183="",_xlfn.REGEXEXTRACT(CELL("address",'Raw Data'!E183),"\$([A-Z]+)\$[0-9]+"),"")</f>
        <v>$E$183</v>
      </c>
      <c r="F182" t="str">
        <f t="array" aca="1" ref="F182" ca="1">IF('Raw Data'!F183="",_xlfn.REGEXEXTRACT(CELL("address",'Raw Data'!F183),"\$([A-Z]+)\$[0-9]+"),"")</f>
        <v>$F$183</v>
      </c>
      <c r="G182" t="e">
        <f t="array" aca="1" ref="G182" ca="1">IF('Raw Data'!#REF!="",_xlfn.REGEXEXTRACT(CELL("address",'Raw Data'!#REF!),"\$([A-Z]+)\$[0-9]+"),"")</f>
        <v>#REF!</v>
      </c>
      <c r="H182" t="str">
        <f t="array" aca="1" ref="H182" ca="1">IF('Raw Data'!G183="",_xlfn.REGEXEXTRACT(CELL("address",'Raw Data'!G183),"\$([A-Z]+)\$[0-9]+"),"")</f>
        <v>$G$183</v>
      </c>
      <c r="I182" t="str">
        <f t="array" aca="1" ref="I182" ca="1">IF('Raw Data'!H183="",_xlfn.REGEXEXTRACT(CELL("address",'Raw Data'!H183),"\$([A-Z]+)\$[0-9]+"),"")</f>
        <v>$H$183</v>
      </c>
    </row>
    <row r="183" spans="2:9" x14ac:dyDescent="0.25">
      <c r="B183" t="str">
        <f t="array" aca="1" ref="B183" ca="1">IF('Raw Data'!B184="",_xlfn.REGEXEXTRACT(CELL("address",'Raw Data'!B184),"\$([A-Z]+)\$[0-9]+"),"")</f>
        <v>$B$184</v>
      </c>
      <c r="C183" t="str">
        <f t="array" aca="1" ref="C183" ca="1">IF('Raw Data'!C184="",_xlfn.REGEXEXTRACT(CELL("address",'Raw Data'!C184),"\$([A-Z]+)\$[0-9]+"),"")</f>
        <v>$C$184</v>
      </c>
      <c r="D183" t="str">
        <f t="array" aca="1" ref="D183" ca="1">IF('Raw Data'!D184="",_xlfn.REGEXEXTRACT(CELL("address",'Raw Data'!D184),"\$([A-Z]+)\$[0-9]+"),"")</f>
        <v>$D$184</v>
      </c>
      <c r="E183" t="str">
        <f t="array" aca="1" ref="E183" ca="1">IF('Raw Data'!E184="",_xlfn.REGEXEXTRACT(CELL("address",'Raw Data'!E184),"\$([A-Z]+)\$[0-9]+"),"")</f>
        <v>$E$184</v>
      </c>
      <c r="F183" t="str">
        <f t="array" aca="1" ref="F183" ca="1">IF('Raw Data'!F184="",_xlfn.REGEXEXTRACT(CELL("address",'Raw Data'!F184),"\$([A-Z]+)\$[0-9]+"),"")</f>
        <v>$F$184</v>
      </c>
      <c r="G183" t="e">
        <f t="array" aca="1" ref="G183" ca="1">IF('Raw Data'!#REF!="",_xlfn.REGEXEXTRACT(CELL("address",'Raw Data'!#REF!),"\$([A-Z]+)\$[0-9]+"),"")</f>
        <v>#REF!</v>
      </c>
      <c r="H183" t="str">
        <f t="array" aca="1" ref="H183" ca="1">IF('Raw Data'!G184="",_xlfn.REGEXEXTRACT(CELL("address",'Raw Data'!G184),"\$([A-Z]+)\$[0-9]+"),"")</f>
        <v>$G$184</v>
      </c>
      <c r="I183" t="str">
        <f t="array" aca="1" ref="I183" ca="1">IF('Raw Data'!H184="",_xlfn.REGEXEXTRACT(CELL("address",'Raw Data'!H184),"\$([A-Z]+)\$[0-9]+"),"")</f>
        <v>$H$184</v>
      </c>
    </row>
    <row r="184" spans="2:9" x14ac:dyDescent="0.25">
      <c r="B184" t="str">
        <f t="array" aca="1" ref="B184" ca="1">IF('Raw Data'!B185="",_xlfn.REGEXEXTRACT(CELL("address",'Raw Data'!B185),"\$([A-Z]+)\$[0-9]+"),"")</f>
        <v>$B$185</v>
      </c>
      <c r="C184" t="str">
        <f t="array" aca="1" ref="C184" ca="1">IF('Raw Data'!C185="",_xlfn.REGEXEXTRACT(CELL("address",'Raw Data'!C185),"\$([A-Z]+)\$[0-9]+"),"")</f>
        <v>$C$185</v>
      </c>
      <c r="D184" t="str">
        <f t="array" aca="1" ref="D184" ca="1">IF('Raw Data'!D185="",_xlfn.REGEXEXTRACT(CELL("address",'Raw Data'!D185),"\$([A-Z]+)\$[0-9]+"),"")</f>
        <v>$D$185</v>
      </c>
      <c r="E184" t="str">
        <f t="array" aca="1" ref="E184" ca="1">IF('Raw Data'!E185="",_xlfn.REGEXEXTRACT(CELL("address",'Raw Data'!E185),"\$([A-Z]+)\$[0-9]+"),"")</f>
        <v>$E$185</v>
      </c>
      <c r="F184" t="str">
        <f t="array" aca="1" ref="F184" ca="1">IF('Raw Data'!F185="",_xlfn.REGEXEXTRACT(CELL("address",'Raw Data'!F185),"\$([A-Z]+)\$[0-9]+"),"")</f>
        <v>$F$185</v>
      </c>
      <c r="G184" t="e">
        <f t="array" aca="1" ref="G184" ca="1">IF('Raw Data'!#REF!="",_xlfn.REGEXEXTRACT(CELL("address",'Raw Data'!#REF!),"\$([A-Z]+)\$[0-9]+"),"")</f>
        <v>#REF!</v>
      </c>
      <c r="H184" t="str">
        <f t="array" aca="1" ref="H184" ca="1">IF('Raw Data'!G185="",_xlfn.REGEXEXTRACT(CELL("address",'Raw Data'!G185),"\$([A-Z]+)\$[0-9]+"),"")</f>
        <v>$G$185</v>
      </c>
      <c r="I184" t="str">
        <f t="array" aca="1" ref="I184" ca="1">IF('Raw Data'!H185="",_xlfn.REGEXEXTRACT(CELL("address",'Raw Data'!H185),"\$([A-Z]+)\$[0-9]+"),"")</f>
        <v>$H$185</v>
      </c>
    </row>
    <row r="185" spans="2:9" x14ac:dyDescent="0.25">
      <c r="B185" t="str">
        <f t="array" aca="1" ref="B185" ca="1">IF('Raw Data'!B186="",_xlfn.REGEXEXTRACT(CELL("address",'Raw Data'!B186),"\$([A-Z]+)\$[0-9]+"),"")</f>
        <v>$B$186</v>
      </c>
      <c r="C185" t="str">
        <f t="array" aca="1" ref="C185" ca="1">IF('Raw Data'!C186="",_xlfn.REGEXEXTRACT(CELL("address",'Raw Data'!C186),"\$([A-Z]+)\$[0-9]+"),"")</f>
        <v>$C$186</v>
      </c>
      <c r="D185" t="str">
        <f t="array" aca="1" ref="D185" ca="1">IF('Raw Data'!D186="",_xlfn.REGEXEXTRACT(CELL("address",'Raw Data'!D186),"\$([A-Z]+)\$[0-9]+"),"")</f>
        <v>$D$186</v>
      </c>
      <c r="E185" t="str">
        <f t="array" aca="1" ref="E185" ca="1">IF('Raw Data'!E186="",_xlfn.REGEXEXTRACT(CELL("address",'Raw Data'!E186),"\$([A-Z]+)\$[0-9]+"),"")</f>
        <v>$E$186</v>
      </c>
      <c r="F185" t="str">
        <f t="array" aca="1" ref="F185" ca="1">IF('Raw Data'!F186="",_xlfn.REGEXEXTRACT(CELL("address",'Raw Data'!F186),"\$([A-Z]+)\$[0-9]+"),"")</f>
        <v>$F$186</v>
      </c>
      <c r="G185" t="e">
        <f t="array" aca="1" ref="G185" ca="1">IF('Raw Data'!#REF!="",_xlfn.REGEXEXTRACT(CELL("address",'Raw Data'!#REF!),"\$([A-Z]+)\$[0-9]+"),"")</f>
        <v>#REF!</v>
      </c>
      <c r="H185" t="str">
        <f t="array" aca="1" ref="H185" ca="1">IF('Raw Data'!G186="",_xlfn.REGEXEXTRACT(CELL("address",'Raw Data'!G186),"\$([A-Z]+)\$[0-9]+"),"")</f>
        <v>$G$186</v>
      </c>
      <c r="I185" t="str">
        <f t="array" aca="1" ref="I185" ca="1">IF('Raw Data'!H186="",_xlfn.REGEXEXTRACT(CELL("address",'Raw Data'!H186),"\$([A-Z]+)\$[0-9]+"),"")</f>
        <v>$H$186</v>
      </c>
    </row>
    <row r="186" spans="2:9" x14ac:dyDescent="0.25">
      <c r="B186" t="str">
        <f t="array" aca="1" ref="B186" ca="1">IF('Raw Data'!B187="",_xlfn.REGEXEXTRACT(CELL("address",'Raw Data'!B187),"\$([A-Z]+)\$[0-9]+"),"")</f>
        <v>$B$187</v>
      </c>
      <c r="C186" t="str">
        <f t="array" aca="1" ref="C186" ca="1">IF('Raw Data'!C187="",_xlfn.REGEXEXTRACT(CELL("address",'Raw Data'!C187),"\$([A-Z]+)\$[0-9]+"),"")</f>
        <v>$C$187</v>
      </c>
      <c r="D186" t="str">
        <f t="array" aca="1" ref="D186" ca="1">IF('Raw Data'!D187="",_xlfn.REGEXEXTRACT(CELL("address",'Raw Data'!D187),"\$([A-Z]+)\$[0-9]+"),"")</f>
        <v>$D$187</v>
      </c>
      <c r="E186" t="str">
        <f t="array" aca="1" ref="E186" ca="1">IF('Raw Data'!E187="",_xlfn.REGEXEXTRACT(CELL("address",'Raw Data'!E187),"\$([A-Z]+)\$[0-9]+"),"")</f>
        <v>$E$187</v>
      </c>
      <c r="F186" t="str">
        <f t="array" aca="1" ref="F186" ca="1">IF('Raw Data'!F187="",_xlfn.REGEXEXTRACT(CELL("address",'Raw Data'!F187),"\$([A-Z]+)\$[0-9]+"),"")</f>
        <v>$F$187</v>
      </c>
      <c r="G186" t="e">
        <f t="array" aca="1" ref="G186" ca="1">IF('Raw Data'!#REF!="",_xlfn.REGEXEXTRACT(CELL("address",'Raw Data'!#REF!),"\$([A-Z]+)\$[0-9]+"),"")</f>
        <v>#REF!</v>
      </c>
      <c r="H186" t="str">
        <f t="array" aca="1" ref="H186" ca="1">IF('Raw Data'!G187="",_xlfn.REGEXEXTRACT(CELL("address",'Raw Data'!G187),"\$([A-Z]+)\$[0-9]+"),"")</f>
        <v>$G$187</v>
      </c>
      <c r="I186" t="str">
        <f t="array" aca="1" ref="I186" ca="1">IF('Raw Data'!H187="",_xlfn.REGEXEXTRACT(CELL("address",'Raw Data'!H187),"\$([A-Z]+)\$[0-9]+"),"")</f>
        <v>$H$187</v>
      </c>
    </row>
    <row r="187" spans="2:9" x14ac:dyDescent="0.25">
      <c r="B187" t="str">
        <f t="array" aca="1" ref="B187" ca="1">IF('Raw Data'!B188="",_xlfn.REGEXEXTRACT(CELL("address",'Raw Data'!B188),"\$([A-Z]+)\$[0-9]+"),"")</f>
        <v>$B$188</v>
      </c>
      <c r="C187" t="str">
        <f t="array" aca="1" ref="C187" ca="1">IF('Raw Data'!C188="",_xlfn.REGEXEXTRACT(CELL("address",'Raw Data'!C188),"\$([A-Z]+)\$[0-9]+"),"")</f>
        <v>$C$188</v>
      </c>
      <c r="D187" t="str">
        <f t="array" aca="1" ref="D187" ca="1">IF('Raw Data'!D188="",_xlfn.REGEXEXTRACT(CELL("address",'Raw Data'!D188),"\$([A-Z]+)\$[0-9]+"),"")</f>
        <v>$D$188</v>
      </c>
      <c r="E187" t="str">
        <f t="array" aca="1" ref="E187" ca="1">IF('Raw Data'!E188="",_xlfn.REGEXEXTRACT(CELL("address",'Raw Data'!E188),"\$([A-Z]+)\$[0-9]+"),"")</f>
        <v>$E$188</v>
      </c>
      <c r="F187" t="str">
        <f t="array" aca="1" ref="F187" ca="1">IF('Raw Data'!F188="",_xlfn.REGEXEXTRACT(CELL("address",'Raw Data'!F188),"\$([A-Z]+)\$[0-9]+"),"")</f>
        <v>$F$188</v>
      </c>
      <c r="G187" t="e">
        <f t="array" aca="1" ref="G187" ca="1">IF('Raw Data'!#REF!="",_xlfn.REGEXEXTRACT(CELL("address",'Raw Data'!#REF!),"\$([A-Z]+)\$[0-9]+"),"")</f>
        <v>#REF!</v>
      </c>
      <c r="H187" t="str">
        <f t="array" aca="1" ref="H187" ca="1">IF('Raw Data'!G188="",_xlfn.REGEXEXTRACT(CELL("address",'Raw Data'!G188),"\$([A-Z]+)\$[0-9]+"),"")</f>
        <v>$G$188</v>
      </c>
      <c r="I187" t="str">
        <f t="array" aca="1" ref="I187" ca="1">IF('Raw Data'!H188="",_xlfn.REGEXEXTRACT(CELL("address",'Raw Data'!H188),"\$([A-Z]+)\$[0-9]+"),"")</f>
        <v>$H$188</v>
      </c>
    </row>
    <row r="188" spans="2:9" x14ac:dyDescent="0.25">
      <c r="B188" t="str">
        <f t="array" aca="1" ref="B188" ca="1">IF('Raw Data'!B189="",_xlfn.REGEXEXTRACT(CELL("address",'Raw Data'!B189),"\$([A-Z]+)\$[0-9]+"),"")</f>
        <v>$B$189</v>
      </c>
      <c r="C188" t="str">
        <f t="array" aca="1" ref="C188" ca="1">IF('Raw Data'!C189="",_xlfn.REGEXEXTRACT(CELL("address",'Raw Data'!C189),"\$([A-Z]+)\$[0-9]+"),"")</f>
        <v>$C$189</v>
      </c>
      <c r="D188" t="str">
        <f t="array" aca="1" ref="D188" ca="1">IF('Raw Data'!D189="",_xlfn.REGEXEXTRACT(CELL("address",'Raw Data'!D189),"\$([A-Z]+)\$[0-9]+"),"")</f>
        <v>$D$189</v>
      </c>
      <c r="E188" t="str">
        <f t="array" aca="1" ref="E188" ca="1">IF('Raw Data'!E189="",_xlfn.REGEXEXTRACT(CELL("address",'Raw Data'!E189),"\$([A-Z]+)\$[0-9]+"),"")</f>
        <v>$E$189</v>
      </c>
      <c r="F188" t="str">
        <f t="array" aca="1" ref="F188" ca="1">IF('Raw Data'!F189="",_xlfn.REGEXEXTRACT(CELL("address",'Raw Data'!F189),"\$([A-Z]+)\$[0-9]+"),"")</f>
        <v>$F$189</v>
      </c>
      <c r="G188" t="e">
        <f t="array" aca="1" ref="G188" ca="1">IF('Raw Data'!#REF!="",_xlfn.REGEXEXTRACT(CELL("address",'Raw Data'!#REF!),"\$([A-Z]+)\$[0-9]+"),"")</f>
        <v>#REF!</v>
      </c>
      <c r="H188" t="str">
        <f t="array" aca="1" ref="H188" ca="1">IF('Raw Data'!G189="",_xlfn.REGEXEXTRACT(CELL("address",'Raw Data'!G189),"\$([A-Z]+)\$[0-9]+"),"")</f>
        <v>$G$189</v>
      </c>
      <c r="I188" t="str">
        <f t="array" aca="1" ref="I188" ca="1">IF('Raw Data'!H189="",_xlfn.REGEXEXTRACT(CELL("address",'Raw Data'!H189),"\$([A-Z]+)\$[0-9]+"),"")</f>
        <v>$H$189</v>
      </c>
    </row>
    <row r="189" spans="2:9" x14ac:dyDescent="0.25">
      <c r="B189" t="str">
        <f t="array" aca="1" ref="B189" ca="1">IF('Raw Data'!B190="",_xlfn.REGEXEXTRACT(CELL("address",'Raw Data'!B190),"\$([A-Z]+)\$[0-9]+"),"")</f>
        <v>$B$190</v>
      </c>
      <c r="C189" t="str">
        <f t="array" aca="1" ref="C189" ca="1">IF('Raw Data'!C190="",_xlfn.REGEXEXTRACT(CELL("address",'Raw Data'!C190),"\$([A-Z]+)\$[0-9]+"),"")</f>
        <v>$C$190</v>
      </c>
      <c r="D189" t="str">
        <f t="array" aca="1" ref="D189" ca="1">IF('Raw Data'!D190="",_xlfn.REGEXEXTRACT(CELL("address",'Raw Data'!D190),"\$([A-Z]+)\$[0-9]+"),"")</f>
        <v>$D$190</v>
      </c>
      <c r="E189" t="str">
        <f t="array" aca="1" ref="E189" ca="1">IF('Raw Data'!E190="",_xlfn.REGEXEXTRACT(CELL("address",'Raw Data'!E190),"\$([A-Z]+)\$[0-9]+"),"")</f>
        <v>$E$190</v>
      </c>
      <c r="F189" t="str">
        <f t="array" aca="1" ref="F189" ca="1">IF('Raw Data'!F190="",_xlfn.REGEXEXTRACT(CELL("address",'Raw Data'!F190),"\$([A-Z]+)\$[0-9]+"),"")</f>
        <v>$F$190</v>
      </c>
      <c r="G189" t="e">
        <f t="array" aca="1" ref="G189" ca="1">IF('Raw Data'!#REF!="",_xlfn.REGEXEXTRACT(CELL("address",'Raw Data'!#REF!),"\$([A-Z]+)\$[0-9]+"),"")</f>
        <v>#REF!</v>
      </c>
      <c r="H189" t="str">
        <f t="array" aca="1" ref="H189" ca="1">IF('Raw Data'!G190="",_xlfn.REGEXEXTRACT(CELL("address",'Raw Data'!G190),"\$([A-Z]+)\$[0-9]+"),"")</f>
        <v>$G$190</v>
      </c>
      <c r="I189" t="str">
        <f t="array" aca="1" ref="I189" ca="1">IF('Raw Data'!H190="",_xlfn.REGEXEXTRACT(CELL("address",'Raw Data'!H190),"\$([A-Z]+)\$[0-9]+"),"")</f>
        <v>$H$190</v>
      </c>
    </row>
    <row r="190" spans="2:9" x14ac:dyDescent="0.25">
      <c r="B190" t="str">
        <f t="array" aca="1" ref="B190" ca="1">IF('Raw Data'!B191="",_xlfn.REGEXEXTRACT(CELL("address",'Raw Data'!B191),"\$([A-Z]+)\$[0-9]+"),"")</f>
        <v>$B$191</v>
      </c>
      <c r="C190" t="str">
        <f t="array" aca="1" ref="C190" ca="1">IF('Raw Data'!C191="",_xlfn.REGEXEXTRACT(CELL("address",'Raw Data'!C191),"\$([A-Z]+)\$[0-9]+"),"")</f>
        <v>$C$191</v>
      </c>
      <c r="D190" t="str">
        <f t="array" aca="1" ref="D190" ca="1">IF('Raw Data'!D191="",_xlfn.REGEXEXTRACT(CELL("address",'Raw Data'!D191),"\$([A-Z]+)\$[0-9]+"),"")</f>
        <v>$D$191</v>
      </c>
      <c r="E190" t="str">
        <f t="array" aca="1" ref="E190" ca="1">IF('Raw Data'!E191="",_xlfn.REGEXEXTRACT(CELL("address",'Raw Data'!E191),"\$([A-Z]+)\$[0-9]+"),"")</f>
        <v>$E$191</v>
      </c>
      <c r="F190" t="str">
        <f t="array" aca="1" ref="F190" ca="1">IF('Raw Data'!F191="",_xlfn.REGEXEXTRACT(CELL("address",'Raw Data'!F191),"\$([A-Z]+)\$[0-9]+"),"")</f>
        <v>$F$191</v>
      </c>
      <c r="G190" t="e">
        <f t="array" aca="1" ref="G190" ca="1">IF('Raw Data'!#REF!="",_xlfn.REGEXEXTRACT(CELL("address",'Raw Data'!#REF!),"\$([A-Z]+)\$[0-9]+"),"")</f>
        <v>#REF!</v>
      </c>
      <c r="H190" t="str">
        <f t="array" aca="1" ref="H190" ca="1">IF('Raw Data'!G191="",_xlfn.REGEXEXTRACT(CELL("address",'Raw Data'!G191),"\$([A-Z]+)\$[0-9]+"),"")</f>
        <v>$G$191</v>
      </c>
      <c r="I190" t="str">
        <f t="array" aca="1" ref="I190" ca="1">IF('Raw Data'!H191="",_xlfn.REGEXEXTRACT(CELL("address",'Raw Data'!H191),"\$([A-Z]+)\$[0-9]+"),"")</f>
        <v>$H$191</v>
      </c>
    </row>
    <row r="191" spans="2:9" x14ac:dyDescent="0.25">
      <c r="B191" t="str">
        <f t="array" aca="1" ref="B191" ca="1">IF('Raw Data'!B192="",_xlfn.REGEXEXTRACT(CELL("address",'Raw Data'!B192),"\$([A-Z]+)\$[0-9]+"),"")</f>
        <v>$B$192</v>
      </c>
      <c r="C191" t="str">
        <f t="array" aca="1" ref="C191" ca="1">IF('Raw Data'!C192="",_xlfn.REGEXEXTRACT(CELL("address",'Raw Data'!C192),"\$([A-Z]+)\$[0-9]+"),"")</f>
        <v>$C$192</v>
      </c>
      <c r="D191" t="str">
        <f t="array" aca="1" ref="D191" ca="1">IF('Raw Data'!D192="",_xlfn.REGEXEXTRACT(CELL("address",'Raw Data'!D192),"\$([A-Z]+)\$[0-9]+"),"")</f>
        <v>$D$192</v>
      </c>
      <c r="E191" t="str">
        <f t="array" aca="1" ref="E191" ca="1">IF('Raw Data'!E192="",_xlfn.REGEXEXTRACT(CELL("address",'Raw Data'!E192),"\$([A-Z]+)\$[0-9]+"),"")</f>
        <v>$E$192</v>
      </c>
      <c r="F191" t="str">
        <f t="array" aca="1" ref="F191" ca="1">IF('Raw Data'!F192="",_xlfn.REGEXEXTRACT(CELL("address",'Raw Data'!F192),"\$([A-Z]+)\$[0-9]+"),"")</f>
        <v>$F$192</v>
      </c>
      <c r="G191" t="e">
        <f t="array" aca="1" ref="G191" ca="1">IF('Raw Data'!#REF!="",_xlfn.REGEXEXTRACT(CELL("address",'Raw Data'!#REF!),"\$([A-Z]+)\$[0-9]+"),"")</f>
        <v>#REF!</v>
      </c>
      <c r="H191" t="str">
        <f t="array" aca="1" ref="H191" ca="1">IF('Raw Data'!G192="",_xlfn.REGEXEXTRACT(CELL("address",'Raw Data'!G192),"\$([A-Z]+)\$[0-9]+"),"")</f>
        <v>$G$192</v>
      </c>
      <c r="I191" t="str">
        <f t="array" aca="1" ref="I191" ca="1">IF('Raw Data'!H192="",_xlfn.REGEXEXTRACT(CELL("address",'Raw Data'!H192),"\$([A-Z]+)\$[0-9]+"),"")</f>
        <v>$H$192</v>
      </c>
    </row>
    <row r="192" spans="2:9" x14ac:dyDescent="0.25">
      <c r="B192" t="str">
        <f t="array" aca="1" ref="B192" ca="1">IF('Raw Data'!B193="",_xlfn.REGEXEXTRACT(CELL("address",'Raw Data'!B193),"\$([A-Z]+)\$[0-9]+"),"")</f>
        <v>$B$193</v>
      </c>
      <c r="C192" t="str">
        <f t="array" aca="1" ref="C192" ca="1">IF('Raw Data'!C193="",_xlfn.REGEXEXTRACT(CELL("address",'Raw Data'!C193),"\$([A-Z]+)\$[0-9]+"),"")</f>
        <v>$C$193</v>
      </c>
      <c r="D192" t="str">
        <f t="array" aca="1" ref="D192" ca="1">IF('Raw Data'!D193="",_xlfn.REGEXEXTRACT(CELL("address",'Raw Data'!D193),"\$([A-Z]+)\$[0-9]+"),"")</f>
        <v>$D$193</v>
      </c>
      <c r="E192" t="str">
        <f t="array" aca="1" ref="E192" ca="1">IF('Raw Data'!E193="",_xlfn.REGEXEXTRACT(CELL("address",'Raw Data'!E193),"\$([A-Z]+)\$[0-9]+"),"")</f>
        <v>$E$193</v>
      </c>
      <c r="F192" t="str">
        <f t="array" aca="1" ref="F192" ca="1">IF('Raw Data'!F193="",_xlfn.REGEXEXTRACT(CELL("address",'Raw Data'!F193),"\$([A-Z]+)\$[0-9]+"),"")</f>
        <v>$F$193</v>
      </c>
      <c r="G192" t="e">
        <f t="array" aca="1" ref="G192" ca="1">IF('Raw Data'!#REF!="",_xlfn.REGEXEXTRACT(CELL("address",'Raw Data'!#REF!),"\$([A-Z]+)\$[0-9]+"),"")</f>
        <v>#REF!</v>
      </c>
      <c r="H192" t="str">
        <f t="array" aca="1" ref="H192" ca="1">IF('Raw Data'!G193="",_xlfn.REGEXEXTRACT(CELL("address",'Raw Data'!G193),"\$([A-Z]+)\$[0-9]+"),"")</f>
        <v>$G$193</v>
      </c>
      <c r="I192" t="str">
        <f t="array" aca="1" ref="I192" ca="1">IF('Raw Data'!H193="",_xlfn.REGEXEXTRACT(CELL("address",'Raw Data'!H193),"\$([A-Z]+)\$[0-9]+"),"")</f>
        <v>$H$193</v>
      </c>
    </row>
    <row r="193" spans="2:9" x14ac:dyDescent="0.25">
      <c r="B193" t="str">
        <f t="array" aca="1" ref="B193" ca="1">IF('Raw Data'!B194="",_xlfn.REGEXEXTRACT(CELL("address",'Raw Data'!B194),"\$([A-Z]+)\$[0-9]+"),"")</f>
        <v>$B$194</v>
      </c>
      <c r="C193" t="str">
        <f t="array" aca="1" ref="C193" ca="1">IF('Raw Data'!C194="",_xlfn.REGEXEXTRACT(CELL("address",'Raw Data'!C194),"\$([A-Z]+)\$[0-9]+"),"")</f>
        <v>$C$194</v>
      </c>
      <c r="D193" t="str">
        <f t="array" aca="1" ref="D193" ca="1">IF('Raw Data'!D194="",_xlfn.REGEXEXTRACT(CELL("address",'Raw Data'!D194),"\$([A-Z]+)\$[0-9]+"),"")</f>
        <v>$D$194</v>
      </c>
      <c r="E193" t="str">
        <f t="array" aca="1" ref="E193" ca="1">IF('Raw Data'!E194="",_xlfn.REGEXEXTRACT(CELL("address",'Raw Data'!E194),"\$([A-Z]+)\$[0-9]+"),"")</f>
        <v>$E$194</v>
      </c>
      <c r="F193" t="str">
        <f t="array" aca="1" ref="F193" ca="1">IF('Raw Data'!F194="",_xlfn.REGEXEXTRACT(CELL("address",'Raw Data'!F194),"\$([A-Z]+)\$[0-9]+"),"")</f>
        <v>$F$194</v>
      </c>
      <c r="G193" t="e">
        <f t="array" aca="1" ref="G193" ca="1">IF('Raw Data'!#REF!="",_xlfn.REGEXEXTRACT(CELL("address",'Raw Data'!#REF!),"\$([A-Z]+)\$[0-9]+"),"")</f>
        <v>#REF!</v>
      </c>
      <c r="H193" t="str">
        <f t="array" aca="1" ref="H193" ca="1">IF('Raw Data'!G194="",_xlfn.REGEXEXTRACT(CELL("address",'Raw Data'!G194),"\$([A-Z]+)\$[0-9]+"),"")</f>
        <v>$G$194</v>
      </c>
      <c r="I193" t="str">
        <f t="array" aca="1" ref="I193" ca="1">IF('Raw Data'!H194="",_xlfn.REGEXEXTRACT(CELL("address",'Raw Data'!H194),"\$([A-Z]+)\$[0-9]+"),"")</f>
        <v>$H$194</v>
      </c>
    </row>
    <row r="194" spans="2:9" x14ac:dyDescent="0.25">
      <c r="B194" t="str">
        <f t="array" aca="1" ref="B194" ca="1">IF('Raw Data'!B195="",_xlfn.REGEXEXTRACT(CELL("address",'Raw Data'!B195),"\$([A-Z]+)\$[0-9]+"),"")</f>
        <v>$B$195</v>
      </c>
      <c r="C194" t="str">
        <f t="array" aca="1" ref="C194" ca="1">IF('Raw Data'!C195="",_xlfn.REGEXEXTRACT(CELL("address",'Raw Data'!C195),"\$([A-Z]+)\$[0-9]+"),"")</f>
        <v>$C$195</v>
      </c>
      <c r="D194" t="str">
        <f t="array" aca="1" ref="D194" ca="1">IF('Raw Data'!D195="",_xlfn.REGEXEXTRACT(CELL("address",'Raw Data'!D195),"\$([A-Z]+)\$[0-9]+"),"")</f>
        <v>$D$195</v>
      </c>
      <c r="E194" t="str">
        <f t="array" aca="1" ref="E194" ca="1">IF('Raw Data'!E195="",_xlfn.REGEXEXTRACT(CELL("address",'Raw Data'!E195),"\$([A-Z]+)\$[0-9]+"),"")</f>
        <v>$E$195</v>
      </c>
      <c r="F194" t="str">
        <f t="array" aca="1" ref="F194" ca="1">IF('Raw Data'!F195="",_xlfn.REGEXEXTRACT(CELL("address",'Raw Data'!F195),"\$([A-Z]+)\$[0-9]+"),"")</f>
        <v>$F$195</v>
      </c>
      <c r="G194" t="e">
        <f t="array" aca="1" ref="G194" ca="1">IF('Raw Data'!#REF!="",_xlfn.REGEXEXTRACT(CELL("address",'Raw Data'!#REF!),"\$([A-Z]+)\$[0-9]+"),"")</f>
        <v>#REF!</v>
      </c>
      <c r="H194" t="str">
        <f t="array" aca="1" ref="H194" ca="1">IF('Raw Data'!G195="",_xlfn.REGEXEXTRACT(CELL("address",'Raw Data'!G195),"\$([A-Z]+)\$[0-9]+"),"")</f>
        <v>$G$195</v>
      </c>
      <c r="I194" t="str">
        <f t="array" aca="1" ref="I194" ca="1">IF('Raw Data'!H195="",_xlfn.REGEXEXTRACT(CELL("address",'Raw Data'!H195),"\$([A-Z]+)\$[0-9]+"),"")</f>
        <v>$H$195</v>
      </c>
    </row>
    <row r="195" spans="2:9" x14ac:dyDescent="0.25">
      <c r="B195" t="str">
        <f t="array" aca="1" ref="B195" ca="1">IF('Raw Data'!B196="",_xlfn.REGEXEXTRACT(CELL("address",'Raw Data'!B196),"\$([A-Z]+)\$[0-9]+"),"")</f>
        <v>$B$196</v>
      </c>
      <c r="C195" t="str">
        <f t="array" aca="1" ref="C195" ca="1">IF('Raw Data'!C196="",_xlfn.REGEXEXTRACT(CELL("address",'Raw Data'!C196),"\$([A-Z]+)\$[0-9]+"),"")</f>
        <v>$C$196</v>
      </c>
      <c r="D195" t="str">
        <f t="array" aca="1" ref="D195" ca="1">IF('Raw Data'!D196="",_xlfn.REGEXEXTRACT(CELL("address",'Raw Data'!D196),"\$([A-Z]+)\$[0-9]+"),"")</f>
        <v>$D$196</v>
      </c>
      <c r="E195" t="str">
        <f t="array" aca="1" ref="E195" ca="1">IF('Raw Data'!E196="",_xlfn.REGEXEXTRACT(CELL("address",'Raw Data'!E196),"\$([A-Z]+)\$[0-9]+"),"")</f>
        <v>$E$196</v>
      </c>
      <c r="F195" t="str">
        <f t="array" aca="1" ref="F195" ca="1">IF('Raw Data'!F196="",_xlfn.REGEXEXTRACT(CELL("address",'Raw Data'!F196),"\$([A-Z]+)\$[0-9]+"),"")</f>
        <v>$F$196</v>
      </c>
      <c r="G195" t="e">
        <f t="array" aca="1" ref="G195" ca="1">IF('Raw Data'!#REF!="",_xlfn.REGEXEXTRACT(CELL("address",'Raw Data'!#REF!),"\$([A-Z]+)\$[0-9]+"),"")</f>
        <v>#REF!</v>
      </c>
      <c r="H195" t="str">
        <f t="array" aca="1" ref="H195" ca="1">IF('Raw Data'!G196="",_xlfn.REGEXEXTRACT(CELL("address",'Raw Data'!G196),"\$([A-Z]+)\$[0-9]+"),"")</f>
        <v>$G$196</v>
      </c>
      <c r="I195" t="str">
        <f t="array" aca="1" ref="I195" ca="1">IF('Raw Data'!H196="",_xlfn.REGEXEXTRACT(CELL("address",'Raw Data'!H196),"\$([A-Z]+)\$[0-9]+"),"")</f>
        <v>$H$196</v>
      </c>
    </row>
    <row r="196" spans="2:9" x14ac:dyDescent="0.25">
      <c r="B196" t="str">
        <f t="array" aca="1" ref="B196" ca="1">IF('Raw Data'!B197="",_xlfn.REGEXEXTRACT(CELL("address",'Raw Data'!B197),"\$([A-Z]+)\$[0-9]+"),"")</f>
        <v>$B$197</v>
      </c>
      <c r="C196" t="str">
        <f t="array" aca="1" ref="C196" ca="1">IF('Raw Data'!C197="",_xlfn.REGEXEXTRACT(CELL("address",'Raw Data'!C197),"\$([A-Z]+)\$[0-9]+"),"")</f>
        <v>$C$197</v>
      </c>
      <c r="D196" t="str">
        <f t="array" aca="1" ref="D196" ca="1">IF('Raw Data'!D197="",_xlfn.REGEXEXTRACT(CELL("address",'Raw Data'!D197),"\$([A-Z]+)\$[0-9]+"),"")</f>
        <v>$D$197</v>
      </c>
      <c r="E196" t="str">
        <f t="array" aca="1" ref="E196" ca="1">IF('Raw Data'!E197="",_xlfn.REGEXEXTRACT(CELL("address",'Raw Data'!E197),"\$([A-Z]+)\$[0-9]+"),"")</f>
        <v>$E$197</v>
      </c>
      <c r="F196" t="str">
        <f t="array" aca="1" ref="F196" ca="1">IF('Raw Data'!F197="",_xlfn.REGEXEXTRACT(CELL("address",'Raw Data'!F197),"\$([A-Z]+)\$[0-9]+"),"")</f>
        <v>$F$197</v>
      </c>
      <c r="G196" t="e">
        <f t="array" aca="1" ref="G196" ca="1">IF('Raw Data'!#REF!="",_xlfn.REGEXEXTRACT(CELL("address",'Raw Data'!#REF!),"\$([A-Z]+)\$[0-9]+"),"")</f>
        <v>#REF!</v>
      </c>
      <c r="H196" t="str">
        <f t="array" aca="1" ref="H196" ca="1">IF('Raw Data'!G197="",_xlfn.REGEXEXTRACT(CELL("address",'Raw Data'!G197),"\$([A-Z]+)\$[0-9]+"),"")</f>
        <v>$G$197</v>
      </c>
      <c r="I196" t="str">
        <f t="array" aca="1" ref="I196" ca="1">IF('Raw Data'!H197="",_xlfn.REGEXEXTRACT(CELL("address",'Raw Data'!H197),"\$([A-Z]+)\$[0-9]+"),"")</f>
        <v>$H$197</v>
      </c>
    </row>
    <row r="197" spans="2:9" x14ac:dyDescent="0.25">
      <c r="B197" t="str">
        <f t="array" aca="1" ref="B197" ca="1">IF('Raw Data'!B198="",_xlfn.REGEXEXTRACT(CELL("address",'Raw Data'!B198),"\$([A-Z]+)\$[0-9]+"),"")</f>
        <v>$B$198</v>
      </c>
      <c r="C197" t="str">
        <f t="array" aca="1" ref="C197" ca="1">IF('Raw Data'!C198="",_xlfn.REGEXEXTRACT(CELL("address",'Raw Data'!C198),"\$([A-Z]+)\$[0-9]+"),"")</f>
        <v>$C$198</v>
      </c>
      <c r="D197" t="str">
        <f t="array" aca="1" ref="D197" ca="1">IF('Raw Data'!D198="",_xlfn.REGEXEXTRACT(CELL("address",'Raw Data'!D198),"\$([A-Z]+)\$[0-9]+"),"")</f>
        <v>$D$198</v>
      </c>
      <c r="E197" t="str">
        <f t="array" aca="1" ref="E197" ca="1">IF('Raw Data'!E198="",_xlfn.REGEXEXTRACT(CELL("address",'Raw Data'!E198),"\$([A-Z]+)\$[0-9]+"),"")</f>
        <v>$E$198</v>
      </c>
      <c r="F197" t="str">
        <f t="array" aca="1" ref="F197" ca="1">IF('Raw Data'!F198="",_xlfn.REGEXEXTRACT(CELL("address",'Raw Data'!F198),"\$([A-Z]+)\$[0-9]+"),"")</f>
        <v>$F$198</v>
      </c>
      <c r="G197" t="e">
        <f t="array" aca="1" ref="G197" ca="1">IF('Raw Data'!#REF!="",_xlfn.REGEXEXTRACT(CELL("address",'Raw Data'!#REF!),"\$([A-Z]+)\$[0-9]+"),"")</f>
        <v>#REF!</v>
      </c>
      <c r="H197" t="str">
        <f t="array" aca="1" ref="H197" ca="1">IF('Raw Data'!G198="",_xlfn.REGEXEXTRACT(CELL("address",'Raw Data'!G198),"\$([A-Z]+)\$[0-9]+"),"")</f>
        <v>$G$198</v>
      </c>
      <c r="I197" t="str">
        <f t="array" aca="1" ref="I197" ca="1">IF('Raw Data'!H198="",_xlfn.REGEXEXTRACT(CELL("address",'Raw Data'!H198),"\$([A-Z]+)\$[0-9]+"),"")</f>
        <v>$H$198</v>
      </c>
    </row>
    <row r="198" spans="2:9" x14ac:dyDescent="0.25">
      <c r="B198" t="str">
        <f t="array" aca="1" ref="B198" ca="1">IF('Raw Data'!B199="",_xlfn.REGEXEXTRACT(CELL("address",'Raw Data'!B199),"\$([A-Z]+)\$[0-9]+"),"")</f>
        <v>$B$199</v>
      </c>
      <c r="C198" t="str">
        <f t="array" aca="1" ref="C198" ca="1">IF('Raw Data'!C199="",_xlfn.REGEXEXTRACT(CELL("address",'Raw Data'!C199),"\$([A-Z]+)\$[0-9]+"),"")</f>
        <v>$C$199</v>
      </c>
      <c r="D198" t="str">
        <f t="array" aca="1" ref="D198" ca="1">IF('Raw Data'!D199="",_xlfn.REGEXEXTRACT(CELL("address",'Raw Data'!D199),"\$([A-Z]+)\$[0-9]+"),"")</f>
        <v>$D$199</v>
      </c>
      <c r="E198" t="str">
        <f t="array" aca="1" ref="E198" ca="1">IF('Raw Data'!E199="",_xlfn.REGEXEXTRACT(CELL("address",'Raw Data'!E199),"\$([A-Z]+)\$[0-9]+"),"")</f>
        <v>$E$199</v>
      </c>
      <c r="F198" t="str">
        <f t="array" aca="1" ref="F198" ca="1">IF('Raw Data'!F199="",_xlfn.REGEXEXTRACT(CELL("address",'Raw Data'!F199),"\$([A-Z]+)\$[0-9]+"),"")</f>
        <v>$F$199</v>
      </c>
      <c r="G198" t="e">
        <f t="array" aca="1" ref="G198" ca="1">IF('Raw Data'!#REF!="",_xlfn.REGEXEXTRACT(CELL("address",'Raw Data'!#REF!),"\$([A-Z]+)\$[0-9]+"),"")</f>
        <v>#REF!</v>
      </c>
      <c r="H198" t="str">
        <f t="array" aca="1" ref="H198" ca="1">IF('Raw Data'!G199="",_xlfn.REGEXEXTRACT(CELL("address",'Raw Data'!G199),"\$([A-Z]+)\$[0-9]+"),"")</f>
        <v>$G$199</v>
      </c>
      <c r="I198" t="str">
        <f t="array" aca="1" ref="I198" ca="1">IF('Raw Data'!H199="",_xlfn.REGEXEXTRACT(CELL("address",'Raw Data'!H199),"\$([A-Z]+)\$[0-9]+"),"")</f>
        <v>$H$199</v>
      </c>
    </row>
    <row r="199" spans="2:9" x14ac:dyDescent="0.25">
      <c r="B199" t="str">
        <f t="array" aca="1" ref="B199" ca="1">IF('Raw Data'!B200="",_xlfn.REGEXEXTRACT(CELL("address",'Raw Data'!B200),"\$([A-Z]+)\$[0-9]+"),"")</f>
        <v>$B$200</v>
      </c>
      <c r="C199" t="str">
        <f t="array" aca="1" ref="C199" ca="1">IF('Raw Data'!C200="",_xlfn.REGEXEXTRACT(CELL("address",'Raw Data'!C200),"\$([A-Z]+)\$[0-9]+"),"")</f>
        <v>$C$200</v>
      </c>
      <c r="D199" t="str">
        <f t="array" aca="1" ref="D199" ca="1">IF('Raw Data'!D200="",_xlfn.REGEXEXTRACT(CELL("address",'Raw Data'!D200),"\$([A-Z]+)\$[0-9]+"),"")</f>
        <v>$D$200</v>
      </c>
      <c r="E199" t="str">
        <f t="array" aca="1" ref="E199" ca="1">IF('Raw Data'!E200="",_xlfn.REGEXEXTRACT(CELL("address",'Raw Data'!E200),"\$([A-Z]+)\$[0-9]+"),"")</f>
        <v>$E$200</v>
      </c>
      <c r="F199" t="str">
        <f t="array" aca="1" ref="F199" ca="1">IF('Raw Data'!F200="",_xlfn.REGEXEXTRACT(CELL("address",'Raw Data'!F200),"\$([A-Z]+)\$[0-9]+"),"")</f>
        <v>$F$200</v>
      </c>
      <c r="G199" t="e">
        <f t="array" aca="1" ref="G199" ca="1">IF('Raw Data'!#REF!="",_xlfn.REGEXEXTRACT(CELL("address",'Raw Data'!#REF!),"\$([A-Z]+)\$[0-9]+"),"")</f>
        <v>#REF!</v>
      </c>
      <c r="H199" t="str">
        <f t="array" aca="1" ref="H199" ca="1">IF('Raw Data'!G200="",_xlfn.REGEXEXTRACT(CELL("address",'Raw Data'!G200),"\$([A-Z]+)\$[0-9]+"),"")</f>
        <v>$G$200</v>
      </c>
      <c r="I199" t="str">
        <f t="array" aca="1" ref="I199" ca="1">IF('Raw Data'!H200="",_xlfn.REGEXEXTRACT(CELL("address",'Raw Data'!H200),"\$([A-Z]+)\$[0-9]+"),"")</f>
        <v>$H$200</v>
      </c>
    </row>
    <row r="200" spans="2:9" x14ac:dyDescent="0.25">
      <c r="B200" t="str">
        <f t="array" aca="1" ref="B200" ca="1">IF('Raw Data'!B201="",_xlfn.REGEXEXTRACT(CELL("address",'Raw Data'!B201),"\$([A-Z]+)\$[0-9]+"),"")</f>
        <v>$B$201</v>
      </c>
      <c r="C200" t="str">
        <f t="array" aca="1" ref="C200" ca="1">IF('Raw Data'!C201="",_xlfn.REGEXEXTRACT(CELL("address",'Raw Data'!C201),"\$([A-Z]+)\$[0-9]+"),"")</f>
        <v>$C$201</v>
      </c>
      <c r="D200" t="str">
        <f t="array" aca="1" ref="D200" ca="1">IF('Raw Data'!D201="",_xlfn.REGEXEXTRACT(CELL("address",'Raw Data'!D201),"\$([A-Z]+)\$[0-9]+"),"")</f>
        <v>$D$201</v>
      </c>
      <c r="E200" t="str">
        <f t="array" aca="1" ref="E200" ca="1">IF('Raw Data'!E201="",_xlfn.REGEXEXTRACT(CELL("address",'Raw Data'!E201),"\$([A-Z]+)\$[0-9]+"),"")</f>
        <v>$E$201</v>
      </c>
      <c r="F200" t="str">
        <f t="array" aca="1" ref="F200" ca="1">IF('Raw Data'!F201="",_xlfn.REGEXEXTRACT(CELL("address",'Raw Data'!F201),"\$([A-Z]+)\$[0-9]+"),"")</f>
        <v>$F$201</v>
      </c>
      <c r="G200" t="e">
        <f t="array" aca="1" ref="G200" ca="1">IF('Raw Data'!#REF!="",_xlfn.REGEXEXTRACT(CELL("address",'Raw Data'!#REF!),"\$([A-Z]+)\$[0-9]+"),"")</f>
        <v>#REF!</v>
      </c>
      <c r="H200" t="str">
        <f t="array" aca="1" ref="H200" ca="1">IF('Raw Data'!G201="",_xlfn.REGEXEXTRACT(CELL("address",'Raw Data'!G201),"\$([A-Z]+)\$[0-9]+"),"")</f>
        <v>$G$201</v>
      </c>
      <c r="I200" t="str">
        <f t="array" aca="1" ref="I200" ca="1">IF('Raw Data'!H201="",_xlfn.REGEXEXTRACT(CELL("address",'Raw Data'!H201),"\$([A-Z]+)\$[0-9]+"),"")</f>
        <v>$H$201</v>
      </c>
    </row>
    <row r="201" spans="2:9" x14ac:dyDescent="0.25">
      <c r="B201" t="str">
        <f t="array" aca="1" ref="B201" ca="1">IF('Raw Data'!B202="",_xlfn.REGEXEXTRACT(CELL("address",'Raw Data'!B202),"\$([A-Z]+)\$[0-9]+"),"")</f>
        <v>$B$202</v>
      </c>
      <c r="C201" t="str">
        <f t="array" aca="1" ref="C201" ca="1">IF('Raw Data'!C202="",_xlfn.REGEXEXTRACT(CELL("address",'Raw Data'!C202),"\$([A-Z]+)\$[0-9]+"),"")</f>
        <v>$C$202</v>
      </c>
      <c r="D201" t="str">
        <f t="array" aca="1" ref="D201" ca="1">IF('Raw Data'!D202="",_xlfn.REGEXEXTRACT(CELL("address",'Raw Data'!D202),"\$([A-Z]+)\$[0-9]+"),"")</f>
        <v>$D$202</v>
      </c>
      <c r="E201" t="str">
        <f t="array" aca="1" ref="E201" ca="1">IF('Raw Data'!E202="",_xlfn.REGEXEXTRACT(CELL("address",'Raw Data'!E202),"\$([A-Z]+)\$[0-9]+"),"")</f>
        <v>$E$202</v>
      </c>
      <c r="F201" t="str">
        <f t="array" aca="1" ref="F201" ca="1">IF('Raw Data'!F202="",_xlfn.REGEXEXTRACT(CELL("address",'Raw Data'!F202),"\$([A-Z]+)\$[0-9]+"),"")</f>
        <v>$F$202</v>
      </c>
      <c r="G201" t="e">
        <f t="array" aca="1" ref="G201" ca="1">IF('Raw Data'!#REF!="",_xlfn.REGEXEXTRACT(CELL("address",'Raw Data'!#REF!),"\$([A-Z]+)\$[0-9]+"),"")</f>
        <v>#REF!</v>
      </c>
      <c r="H201" t="str">
        <f t="array" aca="1" ref="H201" ca="1">IF('Raw Data'!G202="",_xlfn.REGEXEXTRACT(CELL("address",'Raw Data'!G202),"\$([A-Z]+)\$[0-9]+"),"")</f>
        <v>$G$202</v>
      </c>
      <c r="I201" t="str">
        <f t="array" aca="1" ref="I201" ca="1">IF('Raw Data'!H202="",_xlfn.REGEXEXTRACT(CELL("address",'Raw Data'!H202),"\$([A-Z]+)\$[0-9]+"),"")</f>
        <v>$H$202</v>
      </c>
    </row>
    <row r="202" spans="2:9" x14ac:dyDescent="0.25">
      <c r="B202" t="str">
        <f t="array" aca="1" ref="B202" ca="1">IF('Raw Data'!B203="",_xlfn.REGEXEXTRACT(CELL("address",'Raw Data'!B203),"\$([A-Z]+)\$[0-9]+"),"")</f>
        <v>$B$203</v>
      </c>
      <c r="C202" t="str">
        <f t="array" aca="1" ref="C202" ca="1">IF('Raw Data'!C203="",_xlfn.REGEXEXTRACT(CELL("address",'Raw Data'!C203),"\$([A-Z]+)\$[0-9]+"),"")</f>
        <v>$C$203</v>
      </c>
      <c r="D202" t="str">
        <f t="array" aca="1" ref="D202" ca="1">IF('Raw Data'!D203="",_xlfn.REGEXEXTRACT(CELL("address",'Raw Data'!D203),"\$([A-Z]+)\$[0-9]+"),"")</f>
        <v>$D$203</v>
      </c>
      <c r="E202" t="str">
        <f t="array" aca="1" ref="E202" ca="1">IF('Raw Data'!E203="",_xlfn.REGEXEXTRACT(CELL("address",'Raw Data'!E203),"\$([A-Z]+)\$[0-9]+"),"")</f>
        <v>$E$203</v>
      </c>
      <c r="F202" t="str">
        <f t="array" aca="1" ref="F202" ca="1">IF('Raw Data'!F203="",_xlfn.REGEXEXTRACT(CELL("address",'Raw Data'!F203),"\$([A-Z]+)\$[0-9]+"),"")</f>
        <v>$F$203</v>
      </c>
      <c r="G202" t="e">
        <f t="array" aca="1" ref="G202" ca="1">IF('Raw Data'!#REF!="",_xlfn.REGEXEXTRACT(CELL("address",'Raw Data'!#REF!),"\$([A-Z]+)\$[0-9]+"),"")</f>
        <v>#REF!</v>
      </c>
      <c r="H202" t="str">
        <f t="array" aca="1" ref="H202" ca="1">IF('Raw Data'!G203="",_xlfn.REGEXEXTRACT(CELL("address",'Raw Data'!G203),"\$([A-Z]+)\$[0-9]+"),"")</f>
        <v>$G$203</v>
      </c>
      <c r="I202" t="str">
        <f t="array" aca="1" ref="I202" ca="1">IF('Raw Data'!H203="",_xlfn.REGEXEXTRACT(CELL("address",'Raw Data'!H203),"\$([A-Z]+)\$[0-9]+"),"")</f>
        <v>$H$203</v>
      </c>
    </row>
    <row r="203" spans="2:9" x14ac:dyDescent="0.25">
      <c r="B203" t="str">
        <f t="array" aca="1" ref="B203" ca="1">IF('Raw Data'!B204="",_xlfn.REGEXEXTRACT(CELL("address",'Raw Data'!B204),"\$([A-Z]+)\$[0-9]+"),"")</f>
        <v>$B$204</v>
      </c>
      <c r="C203" t="str">
        <f t="array" aca="1" ref="C203" ca="1">IF('Raw Data'!C204="",_xlfn.REGEXEXTRACT(CELL("address",'Raw Data'!C204),"\$([A-Z]+)\$[0-9]+"),"")</f>
        <v>$C$204</v>
      </c>
      <c r="D203" t="str">
        <f t="array" aca="1" ref="D203" ca="1">IF('Raw Data'!D204="",_xlfn.REGEXEXTRACT(CELL("address",'Raw Data'!D204),"\$([A-Z]+)\$[0-9]+"),"")</f>
        <v>$D$204</v>
      </c>
      <c r="E203" t="str">
        <f t="array" aca="1" ref="E203" ca="1">IF('Raw Data'!E204="",_xlfn.REGEXEXTRACT(CELL("address",'Raw Data'!E204),"\$([A-Z]+)\$[0-9]+"),"")</f>
        <v>$E$204</v>
      </c>
      <c r="F203" t="str">
        <f t="array" aca="1" ref="F203" ca="1">IF('Raw Data'!F204="",_xlfn.REGEXEXTRACT(CELL("address",'Raw Data'!F204),"\$([A-Z]+)\$[0-9]+"),"")</f>
        <v>$F$204</v>
      </c>
      <c r="G203" t="e">
        <f t="array" aca="1" ref="G203" ca="1">IF('Raw Data'!#REF!="",_xlfn.REGEXEXTRACT(CELL("address",'Raw Data'!#REF!),"\$([A-Z]+)\$[0-9]+"),"")</f>
        <v>#REF!</v>
      </c>
      <c r="H203" t="str">
        <f t="array" aca="1" ref="H203" ca="1">IF('Raw Data'!G204="",_xlfn.REGEXEXTRACT(CELL("address",'Raw Data'!G204),"\$([A-Z]+)\$[0-9]+"),"")</f>
        <v>$G$204</v>
      </c>
      <c r="I203" t="str">
        <f t="array" aca="1" ref="I203" ca="1">IF('Raw Data'!H204="",_xlfn.REGEXEXTRACT(CELL("address",'Raw Data'!H204),"\$([A-Z]+)\$[0-9]+"),"")</f>
        <v>$H$204</v>
      </c>
    </row>
    <row r="204" spans="2:9" x14ac:dyDescent="0.25">
      <c r="B204" t="str">
        <f t="array" aca="1" ref="B204" ca="1">IF('Raw Data'!B205="",_xlfn.REGEXEXTRACT(CELL("address",'Raw Data'!B205),"\$([A-Z]+)\$[0-9]+"),"")</f>
        <v>$B$205</v>
      </c>
      <c r="C204" t="str">
        <f t="array" aca="1" ref="C204" ca="1">IF('Raw Data'!C205="",_xlfn.REGEXEXTRACT(CELL("address",'Raw Data'!C205),"\$([A-Z]+)\$[0-9]+"),"")</f>
        <v>$C$205</v>
      </c>
      <c r="D204" t="str">
        <f t="array" aca="1" ref="D204" ca="1">IF('Raw Data'!D205="",_xlfn.REGEXEXTRACT(CELL("address",'Raw Data'!D205),"\$([A-Z]+)\$[0-9]+"),"")</f>
        <v>$D$205</v>
      </c>
      <c r="E204" t="str">
        <f t="array" aca="1" ref="E204" ca="1">IF('Raw Data'!E205="",_xlfn.REGEXEXTRACT(CELL("address",'Raw Data'!E205),"\$([A-Z]+)\$[0-9]+"),"")</f>
        <v>$E$205</v>
      </c>
      <c r="F204" t="str">
        <f t="array" aca="1" ref="F204" ca="1">IF('Raw Data'!F205="",_xlfn.REGEXEXTRACT(CELL("address",'Raw Data'!F205),"\$([A-Z]+)\$[0-9]+"),"")</f>
        <v>$F$205</v>
      </c>
      <c r="G204" t="e">
        <f t="array" aca="1" ref="G204" ca="1">IF('Raw Data'!#REF!="",_xlfn.REGEXEXTRACT(CELL("address",'Raw Data'!#REF!),"\$([A-Z]+)\$[0-9]+"),"")</f>
        <v>#REF!</v>
      </c>
      <c r="H204" t="str">
        <f t="array" aca="1" ref="H204" ca="1">IF('Raw Data'!G205="",_xlfn.REGEXEXTRACT(CELL("address",'Raw Data'!G205),"\$([A-Z]+)\$[0-9]+"),"")</f>
        <v>$G$205</v>
      </c>
      <c r="I204" t="str">
        <f t="array" aca="1" ref="I204" ca="1">IF('Raw Data'!H205="",_xlfn.REGEXEXTRACT(CELL("address",'Raw Data'!H205),"\$([A-Z]+)\$[0-9]+"),"")</f>
        <v>$H$205</v>
      </c>
    </row>
    <row r="205" spans="2:9" x14ac:dyDescent="0.25">
      <c r="B205" t="str">
        <f t="array" aca="1" ref="B205" ca="1">IF('Raw Data'!B206="",_xlfn.REGEXEXTRACT(CELL("address",'Raw Data'!B206),"\$([A-Z]+)\$[0-9]+"),"")</f>
        <v>$B$206</v>
      </c>
      <c r="C205" t="str">
        <f t="array" aca="1" ref="C205" ca="1">IF('Raw Data'!C206="",_xlfn.REGEXEXTRACT(CELL("address",'Raw Data'!C206),"\$([A-Z]+)\$[0-9]+"),"")</f>
        <v>$C$206</v>
      </c>
      <c r="D205" t="str">
        <f t="array" aca="1" ref="D205" ca="1">IF('Raw Data'!D206="",_xlfn.REGEXEXTRACT(CELL("address",'Raw Data'!D206),"\$([A-Z]+)\$[0-9]+"),"")</f>
        <v>$D$206</v>
      </c>
      <c r="E205" t="str">
        <f t="array" aca="1" ref="E205" ca="1">IF('Raw Data'!E206="",_xlfn.REGEXEXTRACT(CELL("address",'Raw Data'!E206),"\$([A-Z]+)\$[0-9]+"),"")</f>
        <v>$E$206</v>
      </c>
      <c r="F205" t="str">
        <f t="array" aca="1" ref="F205" ca="1">IF('Raw Data'!F206="",_xlfn.REGEXEXTRACT(CELL("address",'Raw Data'!F206),"\$([A-Z]+)\$[0-9]+"),"")</f>
        <v>$F$206</v>
      </c>
      <c r="G205" t="e">
        <f t="array" aca="1" ref="G205" ca="1">IF('Raw Data'!#REF!="",_xlfn.REGEXEXTRACT(CELL("address",'Raw Data'!#REF!),"\$([A-Z]+)\$[0-9]+"),"")</f>
        <v>#REF!</v>
      </c>
      <c r="H205" t="str">
        <f t="array" aca="1" ref="H205" ca="1">IF('Raw Data'!G206="",_xlfn.REGEXEXTRACT(CELL("address",'Raw Data'!G206),"\$([A-Z]+)\$[0-9]+"),"")</f>
        <v>$G$206</v>
      </c>
      <c r="I205" t="str">
        <f t="array" aca="1" ref="I205" ca="1">IF('Raw Data'!H206="",_xlfn.REGEXEXTRACT(CELL("address",'Raw Data'!H206),"\$([A-Z]+)\$[0-9]+"),"")</f>
        <v>$H$206</v>
      </c>
    </row>
    <row r="206" spans="2:9" x14ac:dyDescent="0.25">
      <c r="B206" t="str">
        <f t="array" aca="1" ref="B206" ca="1">IF('Raw Data'!B207="",_xlfn.REGEXEXTRACT(CELL("address",'Raw Data'!B207),"\$([A-Z]+)\$[0-9]+"),"")</f>
        <v>$B$207</v>
      </c>
      <c r="C206" t="str">
        <f t="array" aca="1" ref="C206" ca="1">IF('Raw Data'!C207="",_xlfn.REGEXEXTRACT(CELL("address",'Raw Data'!C207),"\$([A-Z]+)\$[0-9]+"),"")</f>
        <v>$C$207</v>
      </c>
      <c r="D206" t="str">
        <f t="array" aca="1" ref="D206" ca="1">IF('Raw Data'!D207="",_xlfn.REGEXEXTRACT(CELL("address",'Raw Data'!D207),"\$([A-Z]+)\$[0-9]+"),"")</f>
        <v>$D$207</v>
      </c>
      <c r="E206" t="str">
        <f t="array" aca="1" ref="E206" ca="1">IF('Raw Data'!E207="",_xlfn.REGEXEXTRACT(CELL("address",'Raw Data'!E207),"\$([A-Z]+)\$[0-9]+"),"")</f>
        <v>$E$207</v>
      </c>
      <c r="F206" t="str">
        <f t="array" aca="1" ref="F206" ca="1">IF('Raw Data'!F207="",_xlfn.REGEXEXTRACT(CELL("address",'Raw Data'!F207),"\$([A-Z]+)\$[0-9]+"),"")</f>
        <v>$F$207</v>
      </c>
      <c r="G206" t="e">
        <f t="array" aca="1" ref="G206" ca="1">IF('Raw Data'!#REF!="",_xlfn.REGEXEXTRACT(CELL("address",'Raw Data'!#REF!),"\$([A-Z]+)\$[0-9]+"),"")</f>
        <v>#REF!</v>
      </c>
      <c r="H206" t="str">
        <f t="array" aca="1" ref="H206" ca="1">IF('Raw Data'!G207="",_xlfn.REGEXEXTRACT(CELL("address",'Raw Data'!G207),"\$([A-Z]+)\$[0-9]+"),"")</f>
        <v>$G$207</v>
      </c>
      <c r="I206" t="str">
        <f t="array" aca="1" ref="I206" ca="1">IF('Raw Data'!H207="",_xlfn.REGEXEXTRACT(CELL("address",'Raw Data'!H207),"\$([A-Z]+)\$[0-9]+"),"")</f>
        <v>$H$207</v>
      </c>
    </row>
    <row r="207" spans="2:9" x14ac:dyDescent="0.25">
      <c r="B207" t="str">
        <f t="array" aca="1" ref="B207" ca="1">IF('Raw Data'!B208="",_xlfn.REGEXEXTRACT(CELL("address",'Raw Data'!B208),"\$([A-Z]+)\$[0-9]+"),"")</f>
        <v>$B$208</v>
      </c>
      <c r="C207" t="str">
        <f t="array" aca="1" ref="C207" ca="1">IF('Raw Data'!C208="",_xlfn.REGEXEXTRACT(CELL("address",'Raw Data'!C208),"\$([A-Z]+)\$[0-9]+"),"")</f>
        <v>$C$208</v>
      </c>
      <c r="D207" t="str">
        <f t="array" aca="1" ref="D207" ca="1">IF('Raw Data'!D208="",_xlfn.REGEXEXTRACT(CELL("address",'Raw Data'!D208),"\$([A-Z]+)\$[0-9]+"),"")</f>
        <v>$D$208</v>
      </c>
      <c r="E207" t="str">
        <f t="array" aca="1" ref="E207" ca="1">IF('Raw Data'!E208="",_xlfn.REGEXEXTRACT(CELL("address",'Raw Data'!E208),"\$([A-Z]+)\$[0-9]+"),"")</f>
        <v>$E$208</v>
      </c>
      <c r="F207" t="str">
        <f t="array" aca="1" ref="F207" ca="1">IF('Raw Data'!F208="",_xlfn.REGEXEXTRACT(CELL("address",'Raw Data'!F208),"\$([A-Z]+)\$[0-9]+"),"")</f>
        <v>$F$208</v>
      </c>
      <c r="G207" t="e">
        <f t="array" aca="1" ref="G207" ca="1">IF('Raw Data'!#REF!="",_xlfn.REGEXEXTRACT(CELL("address",'Raw Data'!#REF!),"\$([A-Z]+)\$[0-9]+"),"")</f>
        <v>#REF!</v>
      </c>
      <c r="H207" t="str">
        <f t="array" aca="1" ref="H207" ca="1">IF('Raw Data'!G208="",_xlfn.REGEXEXTRACT(CELL("address",'Raw Data'!G208),"\$([A-Z]+)\$[0-9]+"),"")</f>
        <v>$G$208</v>
      </c>
      <c r="I207" t="str">
        <f t="array" aca="1" ref="I207" ca="1">IF('Raw Data'!H208="",_xlfn.REGEXEXTRACT(CELL("address",'Raw Data'!H208),"\$([A-Z]+)\$[0-9]+"),"")</f>
        <v>$H$208</v>
      </c>
    </row>
    <row r="208" spans="2:9" x14ac:dyDescent="0.25">
      <c r="B208" t="str">
        <f t="array" aca="1" ref="B208" ca="1">IF('Raw Data'!B209="",_xlfn.REGEXEXTRACT(CELL("address",'Raw Data'!B209),"\$([A-Z]+)\$[0-9]+"),"")</f>
        <v>$B$209</v>
      </c>
      <c r="C208" t="str">
        <f t="array" aca="1" ref="C208" ca="1">IF('Raw Data'!C209="",_xlfn.REGEXEXTRACT(CELL("address",'Raw Data'!C209),"\$([A-Z]+)\$[0-9]+"),"")</f>
        <v>$C$209</v>
      </c>
      <c r="D208" t="str">
        <f t="array" aca="1" ref="D208" ca="1">IF('Raw Data'!D209="",_xlfn.REGEXEXTRACT(CELL("address",'Raw Data'!D209),"\$([A-Z]+)\$[0-9]+"),"")</f>
        <v>$D$209</v>
      </c>
      <c r="E208" t="str">
        <f t="array" aca="1" ref="E208" ca="1">IF('Raw Data'!E209="",_xlfn.REGEXEXTRACT(CELL("address",'Raw Data'!E209),"\$([A-Z]+)\$[0-9]+"),"")</f>
        <v>$E$209</v>
      </c>
      <c r="F208" t="str">
        <f t="array" aca="1" ref="F208" ca="1">IF('Raw Data'!F209="",_xlfn.REGEXEXTRACT(CELL("address",'Raw Data'!F209),"\$([A-Z]+)\$[0-9]+"),"")</f>
        <v>$F$209</v>
      </c>
      <c r="G208" t="e">
        <f t="array" aca="1" ref="G208" ca="1">IF('Raw Data'!#REF!="",_xlfn.REGEXEXTRACT(CELL("address",'Raw Data'!#REF!),"\$([A-Z]+)\$[0-9]+"),"")</f>
        <v>#REF!</v>
      </c>
      <c r="H208" t="str">
        <f t="array" aca="1" ref="H208" ca="1">IF('Raw Data'!G209="",_xlfn.REGEXEXTRACT(CELL("address",'Raw Data'!G209),"\$([A-Z]+)\$[0-9]+"),"")</f>
        <v>$G$209</v>
      </c>
      <c r="I208" t="str">
        <f t="array" aca="1" ref="I208" ca="1">IF('Raw Data'!H209="",_xlfn.REGEXEXTRACT(CELL("address",'Raw Data'!H209),"\$([A-Z]+)\$[0-9]+"),"")</f>
        <v>$H$209</v>
      </c>
    </row>
    <row r="209" spans="2:9" x14ac:dyDescent="0.25">
      <c r="B209" t="str">
        <f t="array" aca="1" ref="B209" ca="1">IF('Raw Data'!B210="",_xlfn.REGEXEXTRACT(CELL("address",'Raw Data'!B210),"\$([A-Z]+)\$[0-9]+"),"")</f>
        <v>$B$210</v>
      </c>
      <c r="C209" t="str">
        <f t="array" aca="1" ref="C209" ca="1">IF('Raw Data'!C210="",_xlfn.REGEXEXTRACT(CELL("address",'Raw Data'!C210),"\$([A-Z]+)\$[0-9]+"),"")</f>
        <v>$C$210</v>
      </c>
      <c r="D209" t="str">
        <f t="array" aca="1" ref="D209" ca="1">IF('Raw Data'!D210="",_xlfn.REGEXEXTRACT(CELL("address",'Raw Data'!D210),"\$([A-Z]+)\$[0-9]+"),"")</f>
        <v>$D$210</v>
      </c>
      <c r="E209" t="str">
        <f t="array" aca="1" ref="E209" ca="1">IF('Raw Data'!E210="",_xlfn.REGEXEXTRACT(CELL("address",'Raw Data'!E210),"\$([A-Z]+)\$[0-9]+"),"")</f>
        <v>$E$210</v>
      </c>
      <c r="F209" t="str">
        <f t="array" aca="1" ref="F209" ca="1">IF('Raw Data'!F210="",_xlfn.REGEXEXTRACT(CELL("address",'Raw Data'!F210),"\$([A-Z]+)\$[0-9]+"),"")</f>
        <v>$F$210</v>
      </c>
      <c r="G209" t="e">
        <f t="array" aca="1" ref="G209" ca="1">IF('Raw Data'!#REF!="",_xlfn.REGEXEXTRACT(CELL("address",'Raw Data'!#REF!),"\$([A-Z]+)\$[0-9]+"),"")</f>
        <v>#REF!</v>
      </c>
      <c r="H209" t="str">
        <f t="array" aca="1" ref="H209" ca="1">IF('Raw Data'!G210="",_xlfn.REGEXEXTRACT(CELL("address",'Raw Data'!G210),"\$([A-Z]+)\$[0-9]+"),"")</f>
        <v>$G$210</v>
      </c>
      <c r="I209" t="str">
        <f t="array" aca="1" ref="I209" ca="1">IF('Raw Data'!H210="",_xlfn.REGEXEXTRACT(CELL("address",'Raw Data'!H210),"\$([A-Z]+)\$[0-9]+"),"")</f>
        <v>$H$210</v>
      </c>
    </row>
    <row r="210" spans="2:9" x14ac:dyDescent="0.25">
      <c r="B210" t="str">
        <f t="array" aca="1" ref="B210" ca="1">IF('Raw Data'!B211="",_xlfn.REGEXEXTRACT(CELL("address",'Raw Data'!B211),"\$([A-Z]+)\$[0-9]+"),"")</f>
        <v>$B$211</v>
      </c>
      <c r="C210" t="str">
        <f t="array" aca="1" ref="C210" ca="1">IF('Raw Data'!C211="",_xlfn.REGEXEXTRACT(CELL("address",'Raw Data'!C211),"\$([A-Z]+)\$[0-9]+"),"")</f>
        <v>$C$211</v>
      </c>
      <c r="D210" t="str">
        <f t="array" aca="1" ref="D210" ca="1">IF('Raw Data'!D211="",_xlfn.REGEXEXTRACT(CELL("address",'Raw Data'!D211),"\$([A-Z]+)\$[0-9]+"),"")</f>
        <v>$D$211</v>
      </c>
      <c r="E210" t="str">
        <f t="array" aca="1" ref="E210" ca="1">IF('Raw Data'!E211="",_xlfn.REGEXEXTRACT(CELL("address",'Raw Data'!E211),"\$([A-Z]+)\$[0-9]+"),"")</f>
        <v>$E$211</v>
      </c>
      <c r="F210" t="str">
        <f t="array" aca="1" ref="F210" ca="1">IF('Raw Data'!F211="",_xlfn.REGEXEXTRACT(CELL("address",'Raw Data'!F211),"\$([A-Z]+)\$[0-9]+"),"")</f>
        <v>$F$211</v>
      </c>
      <c r="G210" t="e">
        <f t="array" aca="1" ref="G210" ca="1">IF('Raw Data'!#REF!="",_xlfn.REGEXEXTRACT(CELL("address",'Raw Data'!#REF!),"\$([A-Z]+)\$[0-9]+"),"")</f>
        <v>#REF!</v>
      </c>
      <c r="H210" t="str">
        <f t="array" aca="1" ref="H210" ca="1">IF('Raw Data'!G211="",_xlfn.REGEXEXTRACT(CELL("address",'Raw Data'!G211),"\$([A-Z]+)\$[0-9]+"),"")</f>
        <v>$G$211</v>
      </c>
      <c r="I210" t="str">
        <f t="array" aca="1" ref="I210" ca="1">IF('Raw Data'!H211="",_xlfn.REGEXEXTRACT(CELL("address",'Raw Data'!H211),"\$([A-Z]+)\$[0-9]+"),"")</f>
        <v>$H$211</v>
      </c>
    </row>
    <row r="211" spans="2:9" x14ac:dyDescent="0.25">
      <c r="B211" t="str">
        <f t="array" aca="1" ref="B211" ca="1">IF('Raw Data'!B212="",_xlfn.REGEXEXTRACT(CELL("address",'Raw Data'!B212),"\$([A-Z]+)\$[0-9]+"),"")</f>
        <v>$B$212</v>
      </c>
      <c r="C211" t="str">
        <f t="array" aca="1" ref="C211" ca="1">IF('Raw Data'!C212="",_xlfn.REGEXEXTRACT(CELL("address",'Raw Data'!C212),"\$([A-Z]+)\$[0-9]+"),"")</f>
        <v>$C$212</v>
      </c>
      <c r="D211" t="str">
        <f t="array" aca="1" ref="D211" ca="1">IF('Raw Data'!D212="",_xlfn.REGEXEXTRACT(CELL("address",'Raw Data'!D212),"\$([A-Z]+)\$[0-9]+"),"")</f>
        <v>$D$212</v>
      </c>
      <c r="E211" t="str">
        <f t="array" aca="1" ref="E211" ca="1">IF('Raw Data'!E212="",_xlfn.REGEXEXTRACT(CELL("address",'Raw Data'!E212),"\$([A-Z]+)\$[0-9]+"),"")</f>
        <v>$E$212</v>
      </c>
      <c r="F211" t="str">
        <f t="array" aca="1" ref="F211" ca="1">IF('Raw Data'!F212="",_xlfn.REGEXEXTRACT(CELL("address",'Raw Data'!F212),"\$([A-Z]+)\$[0-9]+"),"")</f>
        <v>$F$212</v>
      </c>
      <c r="G211" t="e">
        <f t="array" aca="1" ref="G211" ca="1">IF('Raw Data'!#REF!="",_xlfn.REGEXEXTRACT(CELL("address",'Raw Data'!#REF!),"\$([A-Z]+)\$[0-9]+"),"")</f>
        <v>#REF!</v>
      </c>
      <c r="H211" t="str">
        <f t="array" aca="1" ref="H211" ca="1">IF('Raw Data'!G212="",_xlfn.REGEXEXTRACT(CELL("address",'Raw Data'!G212),"\$([A-Z]+)\$[0-9]+"),"")</f>
        <v>$G$212</v>
      </c>
      <c r="I211" t="str">
        <f t="array" aca="1" ref="I211" ca="1">IF('Raw Data'!H212="",_xlfn.REGEXEXTRACT(CELL("address",'Raw Data'!H212),"\$([A-Z]+)\$[0-9]+"),"")</f>
        <v>$H$212</v>
      </c>
    </row>
    <row r="212" spans="2:9" x14ac:dyDescent="0.25">
      <c r="B212" t="str">
        <f t="array" aca="1" ref="B212" ca="1">IF('Raw Data'!B213="",_xlfn.REGEXEXTRACT(CELL("address",'Raw Data'!B213),"\$([A-Z]+)\$[0-9]+"),"")</f>
        <v>$B$213</v>
      </c>
      <c r="C212" t="str">
        <f t="array" aca="1" ref="C212" ca="1">IF('Raw Data'!C213="",_xlfn.REGEXEXTRACT(CELL("address",'Raw Data'!C213),"\$([A-Z]+)\$[0-9]+"),"")</f>
        <v>$C$213</v>
      </c>
      <c r="D212" t="str">
        <f t="array" aca="1" ref="D212" ca="1">IF('Raw Data'!D213="",_xlfn.REGEXEXTRACT(CELL("address",'Raw Data'!D213),"\$([A-Z]+)\$[0-9]+"),"")</f>
        <v>$D$213</v>
      </c>
      <c r="E212" t="str">
        <f t="array" aca="1" ref="E212" ca="1">IF('Raw Data'!E213="",_xlfn.REGEXEXTRACT(CELL("address",'Raw Data'!E213),"\$([A-Z]+)\$[0-9]+"),"")</f>
        <v>$E$213</v>
      </c>
      <c r="F212" t="str">
        <f t="array" aca="1" ref="F212" ca="1">IF('Raw Data'!F213="",_xlfn.REGEXEXTRACT(CELL("address",'Raw Data'!F213),"\$([A-Z]+)\$[0-9]+"),"")</f>
        <v>$F$213</v>
      </c>
      <c r="G212" t="e">
        <f t="array" aca="1" ref="G212" ca="1">IF('Raw Data'!#REF!="",_xlfn.REGEXEXTRACT(CELL("address",'Raw Data'!#REF!),"\$([A-Z]+)\$[0-9]+"),"")</f>
        <v>#REF!</v>
      </c>
      <c r="H212" t="str">
        <f t="array" aca="1" ref="H212" ca="1">IF('Raw Data'!G213="",_xlfn.REGEXEXTRACT(CELL("address",'Raw Data'!G213),"\$([A-Z]+)\$[0-9]+"),"")</f>
        <v>$G$213</v>
      </c>
      <c r="I212" t="str">
        <f t="array" aca="1" ref="I212" ca="1">IF('Raw Data'!H213="",_xlfn.REGEXEXTRACT(CELL("address",'Raw Data'!H213),"\$([A-Z]+)\$[0-9]+"),"")</f>
        <v>$H$213</v>
      </c>
    </row>
    <row r="213" spans="2:9" x14ac:dyDescent="0.25">
      <c r="B213" t="str">
        <f t="array" aca="1" ref="B213" ca="1">IF('Raw Data'!B214="",_xlfn.REGEXEXTRACT(CELL("address",'Raw Data'!B214),"\$([A-Z]+)\$[0-9]+"),"")</f>
        <v>$B$214</v>
      </c>
      <c r="C213" t="str">
        <f t="array" aca="1" ref="C213" ca="1">IF('Raw Data'!C214="",_xlfn.REGEXEXTRACT(CELL("address",'Raw Data'!C214),"\$([A-Z]+)\$[0-9]+"),"")</f>
        <v>$C$214</v>
      </c>
      <c r="D213" t="str">
        <f t="array" aca="1" ref="D213" ca="1">IF('Raw Data'!D214="",_xlfn.REGEXEXTRACT(CELL("address",'Raw Data'!D214),"\$([A-Z]+)\$[0-9]+"),"")</f>
        <v>$D$214</v>
      </c>
      <c r="E213" t="str">
        <f t="array" aca="1" ref="E213" ca="1">IF('Raw Data'!E214="",_xlfn.REGEXEXTRACT(CELL("address",'Raw Data'!E214),"\$([A-Z]+)\$[0-9]+"),"")</f>
        <v>$E$214</v>
      </c>
      <c r="F213" t="str">
        <f t="array" aca="1" ref="F213" ca="1">IF('Raw Data'!F214="",_xlfn.REGEXEXTRACT(CELL("address",'Raw Data'!F214),"\$([A-Z]+)\$[0-9]+"),"")</f>
        <v>$F$214</v>
      </c>
      <c r="G213" t="e">
        <f t="array" aca="1" ref="G213" ca="1">IF('Raw Data'!#REF!="",_xlfn.REGEXEXTRACT(CELL("address",'Raw Data'!#REF!),"\$([A-Z]+)\$[0-9]+"),"")</f>
        <v>#REF!</v>
      </c>
      <c r="H213" t="str">
        <f t="array" aca="1" ref="H213" ca="1">IF('Raw Data'!G214="",_xlfn.REGEXEXTRACT(CELL("address",'Raw Data'!G214),"\$([A-Z]+)\$[0-9]+"),"")</f>
        <v>$G$214</v>
      </c>
      <c r="I213" t="str">
        <f t="array" aca="1" ref="I213" ca="1">IF('Raw Data'!H214="",_xlfn.REGEXEXTRACT(CELL("address",'Raw Data'!H214),"\$([A-Z]+)\$[0-9]+"),"")</f>
        <v>$H$214</v>
      </c>
    </row>
    <row r="214" spans="2:9" x14ac:dyDescent="0.25">
      <c r="B214" t="str">
        <f t="array" aca="1" ref="B214" ca="1">IF('Raw Data'!B215="",_xlfn.REGEXEXTRACT(CELL("address",'Raw Data'!B215),"\$([A-Z]+)\$[0-9]+"),"")</f>
        <v>$B$215</v>
      </c>
      <c r="C214" t="str">
        <f t="array" aca="1" ref="C214" ca="1">IF('Raw Data'!C215="",_xlfn.REGEXEXTRACT(CELL("address",'Raw Data'!C215),"\$([A-Z]+)\$[0-9]+"),"")</f>
        <v>$C$215</v>
      </c>
      <c r="D214" t="str">
        <f t="array" aca="1" ref="D214" ca="1">IF('Raw Data'!D215="",_xlfn.REGEXEXTRACT(CELL("address",'Raw Data'!D215),"\$([A-Z]+)\$[0-9]+"),"")</f>
        <v>$D$215</v>
      </c>
      <c r="E214" t="str">
        <f t="array" aca="1" ref="E214" ca="1">IF('Raw Data'!E215="",_xlfn.REGEXEXTRACT(CELL("address",'Raw Data'!E215),"\$([A-Z]+)\$[0-9]+"),"")</f>
        <v>$E$215</v>
      </c>
      <c r="F214" t="str">
        <f t="array" aca="1" ref="F214" ca="1">IF('Raw Data'!F215="",_xlfn.REGEXEXTRACT(CELL("address",'Raw Data'!F215),"\$([A-Z]+)\$[0-9]+"),"")</f>
        <v>$F$215</v>
      </c>
      <c r="G214" t="e">
        <f t="array" aca="1" ref="G214" ca="1">IF('Raw Data'!#REF!="",_xlfn.REGEXEXTRACT(CELL("address",'Raw Data'!#REF!),"\$([A-Z]+)\$[0-9]+"),"")</f>
        <v>#REF!</v>
      </c>
      <c r="H214" t="str">
        <f t="array" aca="1" ref="H214" ca="1">IF('Raw Data'!G215="",_xlfn.REGEXEXTRACT(CELL("address",'Raw Data'!G215),"\$([A-Z]+)\$[0-9]+"),"")</f>
        <v>$G$215</v>
      </c>
      <c r="I214" t="str">
        <f t="array" aca="1" ref="I214" ca="1">IF('Raw Data'!H215="",_xlfn.REGEXEXTRACT(CELL("address",'Raw Data'!H215),"\$([A-Z]+)\$[0-9]+"),"")</f>
        <v>$H$215</v>
      </c>
    </row>
    <row r="215" spans="2:9" x14ac:dyDescent="0.25">
      <c r="B215" t="str">
        <f t="array" aca="1" ref="B215" ca="1">IF('Raw Data'!B216="",_xlfn.REGEXEXTRACT(CELL("address",'Raw Data'!B216),"\$([A-Z]+)\$[0-9]+"),"")</f>
        <v>$B$216</v>
      </c>
      <c r="C215" t="str">
        <f t="array" aca="1" ref="C215" ca="1">IF('Raw Data'!C216="",_xlfn.REGEXEXTRACT(CELL("address",'Raw Data'!C216),"\$([A-Z]+)\$[0-9]+"),"")</f>
        <v>$C$216</v>
      </c>
      <c r="D215" t="str">
        <f t="array" aca="1" ref="D215" ca="1">IF('Raw Data'!D216="",_xlfn.REGEXEXTRACT(CELL("address",'Raw Data'!D216),"\$([A-Z]+)\$[0-9]+"),"")</f>
        <v>$D$216</v>
      </c>
      <c r="E215" t="str">
        <f t="array" aca="1" ref="E215" ca="1">IF('Raw Data'!E216="",_xlfn.REGEXEXTRACT(CELL("address",'Raw Data'!E216),"\$([A-Z]+)\$[0-9]+"),"")</f>
        <v>$E$216</v>
      </c>
      <c r="F215" t="str">
        <f t="array" aca="1" ref="F215" ca="1">IF('Raw Data'!F216="",_xlfn.REGEXEXTRACT(CELL("address",'Raw Data'!F216),"\$([A-Z]+)\$[0-9]+"),"")</f>
        <v>$F$216</v>
      </c>
      <c r="G215" t="e">
        <f t="array" aca="1" ref="G215" ca="1">IF('Raw Data'!#REF!="",_xlfn.REGEXEXTRACT(CELL("address",'Raw Data'!#REF!),"\$([A-Z]+)\$[0-9]+"),"")</f>
        <v>#REF!</v>
      </c>
      <c r="H215" t="str">
        <f t="array" aca="1" ref="H215" ca="1">IF('Raw Data'!G216="",_xlfn.REGEXEXTRACT(CELL("address",'Raw Data'!G216),"\$([A-Z]+)\$[0-9]+"),"")</f>
        <v>$G$216</v>
      </c>
      <c r="I215" t="str">
        <f t="array" aca="1" ref="I215" ca="1">IF('Raw Data'!H216="",_xlfn.REGEXEXTRACT(CELL("address",'Raw Data'!H216),"\$([A-Z]+)\$[0-9]+"),"")</f>
        <v>$H$216</v>
      </c>
    </row>
    <row r="216" spans="2:9" x14ac:dyDescent="0.25">
      <c r="B216" t="str">
        <f t="array" aca="1" ref="B216" ca="1">IF('Raw Data'!B217="",_xlfn.REGEXEXTRACT(CELL("address",'Raw Data'!B217),"\$([A-Z]+)\$[0-9]+"),"")</f>
        <v>$B$217</v>
      </c>
      <c r="C216" t="str">
        <f t="array" aca="1" ref="C216" ca="1">IF('Raw Data'!C217="",_xlfn.REGEXEXTRACT(CELL("address",'Raw Data'!C217),"\$([A-Z]+)\$[0-9]+"),"")</f>
        <v>$C$217</v>
      </c>
      <c r="D216" t="str">
        <f t="array" aca="1" ref="D216" ca="1">IF('Raw Data'!D217="",_xlfn.REGEXEXTRACT(CELL("address",'Raw Data'!D217),"\$([A-Z]+)\$[0-9]+"),"")</f>
        <v>$D$217</v>
      </c>
      <c r="E216" t="str">
        <f t="array" aca="1" ref="E216" ca="1">IF('Raw Data'!E217="",_xlfn.REGEXEXTRACT(CELL("address",'Raw Data'!E217),"\$([A-Z]+)\$[0-9]+"),"")</f>
        <v>$E$217</v>
      </c>
      <c r="F216" t="str">
        <f t="array" aca="1" ref="F216" ca="1">IF('Raw Data'!F217="",_xlfn.REGEXEXTRACT(CELL("address",'Raw Data'!F217),"\$([A-Z]+)\$[0-9]+"),"")</f>
        <v>$F$217</v>
      </c>
      <c r="G216" t="e">
        <f t="array" aca="1" ref="G216" ca="1">IF('Raw Data'!#REF!="",_xlfn.REGEXEXTRACT(CELL("address",'Raw Data'!#REF!),"\$([A-Z]+)\$[0-9]+"),"")</f>
        <v>#REF!</v>
      </c>
      <c r="H216" t="str">
        <f t="array" aca="1" ref="H216" ca="1">IF('Raw Data'!G217="",_xlfn.REGEXEXTRACT(CELL("address",'Raw Data'!G217),"\$([A-Z]+)\$[0-9]+"),"")</f>
        <v>$G$217</v>
      </c>
      <c r="I216" t="str">
        <f t="array" aca="1" ref="I216" ca="1">IF('Raw Data'!H217="",_xlfn.REGEXEXTRACT(CELL("address",'Raw Data'!H217),"\$([A-Z]+)\$[0-9]+"),"")</f>
        <v>$H$217</v>
      </c>
    </row>
    <row r="217" spans="2:9" x14ac:dyDescent="0.25">
      <c r="B217" t="str">
        <f t="array" aca="1" ref="B217" ca="1">IF('Raw Data'!B218="",_xlfn.REGEXEXTRACT(CELL("address",'Raw Data'!B218),"\$([A-Z]+)\$[0-9]+"),"")</f>
        <v>$B$218</v>
      </c>
      <c r="C217" t="str">
        <f t="array" aca="1" ref="C217" ca="1">IF('Raw Data'!C218="",_xlfn.REGEXEXTRACT(CELL("address",'Raw Data'!C218),"\$([A-Z]+)\$[0-9]+"),"")</f>
        <v>$C$218</v>
      </c>
      <c r="D217" t="str">
        <f t="array" aca="1" ref="D217" ca="1">IF('Raw Data'!D218="",_xlfn.REGEXEXTRACT(CELL("address",'Raw Data'!D218),"\$([A-Z]+)\$[0-9]+"),"")</f>
        <v>$D$218</v>
      </c>
      <c r="E217" t="str">
        <f t="array" aca="1" ref="E217" ca="1">IF('Raw Data'!E218="",_xlfn.REGEXEXTRACT(CELL("address",'Raw Data'!E218),"\$([A-Z]+)\$[0-9]+"),"")</f>
        <v>$E$218</v>
      </c>
      <c r="F217" t="str">
        <f t="array" aca="1" ref="F217" ca="1">IF('Raw Data'!F218="",_xlfn.REGEXEXTRACT(CELL("address",'Raw Data'!F218),"\$([A-Z]+)\$[0-9]+"),"")</f>
        <v>$F$218</v>
      </c>
      <c r="G217" t="e">
        <f t="array" aca="1" ref="G217" ca="1">IF('Raw Data'!#REF!="",_xlfn.REGEXEXTRACT(CELL("address",'Raw Data'!#REF!),"\$([A-Z]+)\$[0-9]+"),"")</f>
        <v>#REF!</v>
      </c>
      <c r="H217" t="str">
        <f t="array" aca="1" ref="H217" ca="1">IF('Raw Data'!G218="",_xlfn.REGEXEXTRACT(CELL("address",'Raw Data'!G218),"\$([A-Z]+)\$[0-9]+"),"")</f>
        <v>$G$218</v>
      </c>
      <c r="I217" t="str">
        <f t="array" aca="1" ref="I217" ca="1">IF('Raw Data'!H218="",_xlfn.REGEXEXTRACT(CELL("address",'Raw Data'!H218),"\$([A-Z]+)\$[0-9]+"),"")</f>
        <v>$H$218</v>
      </c>
    </row>
    <row r="218" spans="2:9" x14ac:dyDescent="0.25">
      <c r="B218" t="str">
        <f t="array" aca="1" ref="B218" ca="1">IF('Raw Data'!B219="",_xlfn.REGEXEXTRACT(CELL("address",'Raw Data'!B219),"\$([A-Z]+)\$[0-9]+"),"")</f>
        <v>$B$219</v>
      </c>
      <c r="C218" t="str">
        <f t="array" aca="1" ref="C218" ca="1">IF('Raw Data'!C219="",_xlfn.REGEXEXTRACT(CELL("address",'Raw Data'!C219),"\$([A-Z]+)\$[0-9]+"),"")</f>
        <v>$C$219</v>
      </c>
      <c r="D218" t="str">
        <f t="array" aca="1" ref="D218" ca="1">IF('Raw Data'!D219="",_xlfn.REGEXEXTRACT(CELL("address",'Raw Data'!D219),"\$([A-Z]+)\$[0-9]+"),"")</f>
        <v>$D$219</v>
      </c>
      <c r="E218" t="str">
        <f t="array" aca="1" ref="E218" ca="1">IF('Raw Data'!E219="",_xlfn.REGEXEXTRACT(CELL("address",'Raw Data'!E219),"\$([A-Z]+)\$[0-9]+"),"")</f>
        <v>$E$219</v>
      </c>
      <c r="F218" t="str">
        <f t="array" aca="1" ref="F218" ca="1">IF('Raw Data'!F219="",_xlfn.REGEXEXTRACT(CELL("address",'Raw Data'!F219),"\$([A-Z]+)\$[0-9]+"),"")</f>
        <v>$F$219</v>
      </c>
      <c r="G218" t="e">
        <f t="array" aca="1" ref="G218" ca="1">IF('Raw Data'!#REF!="",_xlfn.REGEXEXTRACT(CELL("address",'Raw Data'!#REF!),"\$([A-Z]+)\$[0-9]+"),"")</f>
        <v>#REF!</v>
      </c>
      <c r="H218" t="str">
        <f t="array" aca="1" ref="H218" ca="1">IF('Raw Data'!G219="",_xlfn.REGEXEXTRACT(CELL("address",'Raw Data'!G219),"\$([A-Z]+)\$[0-9]+"),"")</f>
        <v>$G$219</v>
      </c>
      <c r="I218" t="str">
        <f t="array" aca="1" ref="I218" ca="1">IF('Raw Data'!H219="",_xlfn.REGEXEXTRACT(CELL("address",'Raw Data'!H219),"\$([A-Z]+)\$[0-9]+"),"")</f>
        <v>$H$219</v>
      </c>
    </row>
    <row r="219" spans="2:9" x14ac:dyDescent="0.25">
      <c r="B219" t="str">
        <f t="array" aca="1" ref="B219" ca="1">IF('Raw Data'!B220="",_xlfn.REGEXEXTRACT(CELL("address",'Raw Data'!B220),"\$([A-Z]+)\$[0-9]+"),"")</f>
        <v>$B$220</v>
      </c>
      <c r="C219" t="str">
        <f t="array" aca="1" ref="C219" ca="1">IF('Raw Data'!C220="",_xlfn.REGEXEXTRACT(CELL("address",'Raw Data'!C220),"\$([A-Z]+)\$[0-9]+"),"")</f>
        <v>$C$220</v>
      </c>
      <c r="D219" t="str">
        <f t="array" aca="1" ref="D219" ca="1">IF('Raw Data'!D220="",_xlfn.REGEXEXTRACT(CELL("address",'Raw Data'!D220),"\$([A-Z]+)\$[0-9]+"),"")</f>
        <v>$D$220</v>
      </c>
      <c r="E219" t="str">
        <f t="array" aca="1" ref="E219" ca="1">IF('Raw Data'!E220="",_xlfn.REGEXEXTRACT(CELL("address",'Raw Data'!E220),"\$([A-Z]+)\$[0-9]+"),"")</f>
        <v>$E$220</v>
      </c>
      <c r="F219" t="str">
        <f t="array" aca="1" ref="F219" ca="1">IF('Raw Data'!F220="",_xlfn.REGEXEXTRACT(CELL("address",'Raw Data'!F220),"\$([A-Z]+)\$[0-9]+"),"")</f>
        <v>$F$220</v>
      </c>
      <c r="G219" t="e">
        <f t="array" aca="1" ref="G219" ca="1">IF('Raw Data'!#REF!="",_xlfn.REGEXEXTRACT(CELL("address",'Raw Data'!#REF!),"\$([A-Z]+)\$[0-9]+"),"")</f>
        <v>#REF!</v>
      </c>
      <c r="H219" t="str">
        <f t="array" aca="1" ref="H219" ca="1">IF('Raw Data'!G220="",_xlfn.REGEXEXTRACT(CELL("address",'Raw Data'!G220),"\$([A-Z]+)\$[0-9]+"),"")</f>
        <v>$G$220</v>
      </c>
      <c r="I219" t="str">
        <f t="array" aca="1" ref="I219" ca="1">IF('Raw Data'!H220="",_xlfn.REGEXEXTRACT(CELL("address",'Raw Data'!H220),"\$([A-Z]+)\$[0-9]+"),"")</f>
        <v>$H$220</v>
      </c>
    </row>
    <row r="220" spans="2:9" x14ac:dyDescent="0.25">
      <c r="B220" t="str">
        <f t="array" aca="1" ref="B220" ca="1">IF('Raw Data'!B221="",_xlfn.REGEXEXTRACT(CELL("address",'Raw Data'!B221),"\$([A-Z]+)\$[0-9]+"),"")</f>
        <v>$B$221</v>
      </c>
      <c r="C220" t="str">
        <f t="array" aca="1" ref="C220" ca="1">IF('Raw Data'!C221="",_xlfn.REGEXEXTRACT(CELL("address",'Raw Data'!C221),"\$([A-Z]+)\$[0-9]+"),"")</f>
        <v>$C$221</v>
      </c>
      <c r="D220" t="str">
        <f t="array" aca="1" ref="D220" ca="1">IF('Raw Data'!D221="",_xlfn.REGEXEXTRACT(CELL("address",'Raw Data'!D221),"\$([A-Z]+)\$[0-9]+"),"")</f>
        <v>$D$221</v>
      </c>
      <c r="E220" t="str">
        <f t="array" aca="1" ref="E220" ca="1">IF('Raw Data'!E221="",_xlfn.REGEXEXTRACT(CELL("address",'Raw Data'!E221),"\$([A-Z]+)\$[0-9]+"),"")</f>
        <v>$E$221</v>
      </c>
      <c r="F220" t="str">
        <f t="array" aca="1" ref="F220" ca="1">IF('Raw Data'!F221="",_xlfn.REGEXEXTRACT(CELL("address",'Raw Data'!F221),"\$([A-Z]+)\$[0-9]+"),"")</f>
        <v>$F$221</v>
      </c>
      <c r="G220" t="e">
        <f t="array" aca="1" ref="G220" ca="1">IF('Raw Data'!#REF!="",_xlfn.REGEXEXTRACT(CELL("address",'Raw Data'!#REF!),"\$([A-Z]+)\$[0-9]+"),"")</f>
        <v>#REF!</v>
      </c>
      <c r="H220" t="str">
        <f t="array" aca="1" ref="H220" ca="1">IF('Raw Data'!G221="",_xlfn.REGEXEXTRACT(CELL("address",'Raw Data'!G221),"\$([A-Z]+)\$[0-9]+"),"")</f>
        <v>$G$221</v>
      </c>
      <c r="I220" t="str">
        <f t="array" aca="1" ref="I220" ca="1">IF('Raw Data'!H221="",_xlfn.REGEXEXTRACT(CELL("address",'Raw Data'!H221),"\$([A-Z]+)\$[0-9]+"),"")</f>
        <v>$H$221</v>
      </c>
    </row>
    <row r="221" spans="2:9" x14ac:dyDescent="0.25">
      <c r="B221" t="str">
        <f t="array" aca="1" ref="B221" ca="1">IF('Raw Data'!B222="",_xlfn.REGEXEXTRACT(CELL("address",'Raw Data'!B222),"\$([A-Z]+)\$[0-9]+"),"")</f>
        <v>$B$222</v>
      </c>
      <c r="C221" t="str">
        <f t="array" aca="1" ref="C221" ca="1">IF('Raw Data'!C222="",_xlfn.REGEXEXTRACT(CELL("address",'Raw Data'!C222),"\$([A-Z]+)\$[0-9]+"),"")</f>
        <v>$C$222</v>
      </c>
      <c r="D221" t="str">
        <f t="array" aca="1" ref="D221" ca="1">IF('Raw Data'!D222="",_xlfn.REGEXEXTRACT(CELL("address",'Raw Data'!D222),"\$([A-Z]+)\$[0-9]+"),"")</f>
        <v>$D$222</v>
      </c>
      <c r="E221" t="str">
        <f t="array" aca="1" ref="E221" ca="1">IF('Raw Data'!E222="",_xlfn.REGEXEXTRACT(CELL("address",'Raw Data'!E222),"\$([A-Z]+)\$[0-9]+"),"")</f>
        <v>$E$222</v>
      </c>
      <c r="F221" t="str">
        <f t="array" aca="1" ref="F221" ca="1">IF('Raw Data'!F222="",_xlfn.REGEXEXTRACT(CELL("address",'Raw Data'!F222),"\$([A-Z]+)\$[0-9]+"),"")</f>
        <v>$F$222</v>
      </c>
      <c r="G221" t="e">
        <f t="array" aca="1" ref="G221" ca="1">IF('Raw Data'!#REF!="",_xlfn.REGEXEXTRACT(CELL("address",'Raw Data'!#REF!),"\$([A-Z]+)\$[0-9]+"),"")</f>
        <v>#REF!</v>
      </c>
      <c r="H221" t="str">
        <f t="array" aca="1" ref="H221" ca="1">IF('Raw Data'!G222="",_xlfn.REGEXEXTRACT(CELL("address",'Raw Data'!G222),"\$([A-Z]+)\$[0-9]+"),"")</f>
        <v>$G$222</v>
      </c>
      <c r="I221" t="str">
        <f t="array" aca="1" ref="I221" ca="1">IF('Raw Data'!H222="",_xlfn.REGEXEXTRACT(CELL("address",'Raw Data'!H222),"\$([A-Z]+)\$[0-9]+"),"")</f>
        <v>$H$222</v>
      </c>
    </row>
    <row r="222" spans="2:9" x14ac:dyDescent="0.25">
      <c r="B222" t="str">
        <f t="array" aca="1" ref="B222" ca="1">IF('Raw Data'!B223="",_xlfn.REGEXEXTRACT(CELL("address",'Raw Data'!B223),"\$([A-Z]+)\$[0-9]+"),"")</f>
        <v>$B$223</v>
      </c>
      <c r="C222" t="str">
        <f t="array" aca="1" ref="C222" ca="1">IF('Raw Data'!C223="",_xlfn.REGEXEXTRACT(CELL("address",'Raw Data'!C223),"\$([A-Z]+)\$[0-9]+"),"")</f>
        <v>$C$223</v>
      </c>
      <c r="D222" t="str">
        <f t="array" aca="1" ref="D222" ca="1">IF('Raw Data'!D223="",_xlfn.REGEXEXTRACT(CELL("address",'Raw Data'!D223),"\$([A-Z]+)\$[0-9]+"),"")</f>
        <v>$D$223</v>
      </c>
      <c r="E222" t="str">
        <f t="array" aca="1" ref="E222" ca="1">IF('Raw Data'!E223="",_xlfn.REGEXEXTRACT(CELL("address",'Raw Data'!E223),"\$([A-Z]+)\$[0-9]+"),"")</f>
        <v>$E$223</v>
      </c>
      <c r="F222" t="str">
        <f t="array" aca="1" ref="F222" ca="1">IF('Raw Data'!F223="",_xlfn.REGEXEXTRACT(CELL("address",'Raw Data'!F223),"\$([A-Z]+)\$[0-9]+"),"")</f>
        <v>$F$223</v>
      </c>
      <c r="G222" t="e">
        <f t="array" aca="1" ref="G222" ca="1">IF('Raw Data'!#REF!="",_xlfn.REGEXEXTRACT(CELL("address",'Raw Data'!#REF!),"\$([A-Z]+)\$[0-9]+"),"")</f>
        <v>#REF!</v>
      </c>
      <c r="H222" t="str">
        <f t="array" aca="1" ref="H222" ca="1">IF('Raw Data'!G223="",_xlfn.REGEXEXTRACT(CELL("address",'Raw Data'!G223),"\$([A-Z]+)\$[0-9]+"),"")</f>
        <v>$G$223</v>
      </c>
      <c r="I222" t="str">
        <f t="array" aca="1" ref="I222" ca="1">IF('Raw Data'!H223="",_xlfn.REGEXEXTRACT(CELL("address",'Raw Data'!H223),"\$([A-Z]+)\$[0-9]+"),"")</f>
        <v>$H$223</v>
      </c>
    </row>
    <row r="223" spans="2:9" x14ac:dyDescent="0.25">
      <c r="B223" t="str">
        <f t="array" aca="1" ref="B223" ca="1">IF('Raw Data'!B224="",_xlfn.REGEXEXTRACT(CELL("address",'Raw Data'!B224),"\$([A-Z]+)\$[0-9]+"),"")</f>
        <v>$B$224</v>
      </c>
      <c r="C223" t="str">
        <f t="array" aca="1" ref="C223" ca="1">IF('Raw Data'!C224="",_xlfn.REGEXEXTRACT(CELL("address",'Raw Data'!C224),"\$([A-Z]+)\$[0-9]+"),"")</f>
        <v>$C$224</v>
      </c>
      <c r="D223" t="str">
        <f t="array" aca="1" ref="D223" ca="1">IF('Raw Data'!D224="",_xlfn.REGEXEXTRACT(CELL("address",'Raw Data'!D224),"\$([A-Z]+)\$[0-9]+"),"")</f>
        <v>$D$224</v>
      </c>
      <c r="E223" t="str">
        <f t="array" aca="1" ref="E223" ca="1">IF('Raw Data'!E224="",_xlfn.REGEXEXTRACT(CELL("address",'Raw Data'!E224),"\$([A-Z]+)\$[0-9]+"),"")</f>
        <v>$E$224</v>
      </c>
      <c r="F223" t="str">
        <f t="array" aca="1" ref="F223" ca="1">IF('Raw Data'!F224="",_xlfn.REGEXEXTRACT(CELL("address",'Raw Data'!F224),"\$([A-Z]+)\$[0-9]+"),"")</f>
        <v>$F$224</v>
      </c>
      <c r="G223" t="e">
        <f t="array" aca="1" ref="G223" ca="1">IF('Raw Data'!#REF!="",_xlfn.REGEXEXTRACT(CELL("address",'Raw Data'!#REF!),"\$([A-Z]+)\$[0-9]+"),"")</f>
        <v>#REF!</v>
      </c>
      <c r="H223" t="str">
        <f t="array" aca="1" ref="H223" ca="1">IF('Raw Data'!G224="",_xlfn.REGEXEXTRACT(CELL("address",'Raw Data'!G224),"\$([A-Z]+)\$[0-9]+"),"")</f>
        <v>$G$224</v>
      </c>
      <c r="I223" t="str">
        <f t="array" aca="1" ref="I223" ca="1">IF('Raw Data'!H224="",_xlfn.REGEXEXTRACT(CELL("address",'Raw Data'!H224),"\$([A-Z]+)\$[0-9]+"),"")</f>
        <v>$H$224</v>
      </c>
    </row>
    <row r="224" spans="2:9" x14ac:dyDescent="0.25">
      <c r="B224" t="str">
        <f t="array" aca="1" ref="B224" ca="1">IF('Raw Data'!B225="",_xlfn.REGEXEXTRACT(CELL("address",'Raw Data'!B225),"\$([A-Z]+)\$[0-9]+"),"")</f>
        <v>$B$225</v>
      </c>
      <c r="C224" t="str">
        <f t="array" aca="1" ref="C224" ca="1">IF('Raw Data'!C225="",_xlfn.REGEXEXTRACT(CELL("address",'Raw Data'!C225),"\$([A-Z]+)\$[0-9]+"),"")</f>
        <v>$C$225</v>
      </c>
      <c r="D224" t="str">
        <f t="array" aca="1" ref="D224" ca="1">IF('Raw Data'!D225="",_xlfn.REGEXEXTRACT(CELL("address",'Raw Data'!D225),"\$([A-Z]+)\$[0-9]+"),"")</f>
        <v>$D$225</v>
      </c>
      <c r="E224" t="str">
        <f t="array" aca="1" ref="E224" ca="1">IF('Raw Data'!E225="",_xlfn.REGEXEXTRACT(CELL("address",'Raw Data'!E225),"\$([A-Z]+)\$[0-9]+"),"")</f>
        <v>$E$225</v>
      </c>
      <c r="F224" t="str">
        <f t="array" aca="1" ref="F224" ca="1">IF('Raw Data'!F225="",_xlfn.REGEXEXTRACT(CELL("address",'Raw Data'!F225),"\$([A-Z]+)\$[0-9]+"),"")</f>
        <v>$F$225</v>
      </c>
      <c r="G224" t="e">
        <f t="array" aca="1" ref="G224" ca="1">IF('Raw Data'!#REF!="",_xlfn.REGEXEXTRACT(CELL("address",'Raw Data'!#REF!),"\$([A-Z]+)\$[0-9]+"),"")</f>
        <v>#REF!</v>
      </c>
      <c r="H224" t="str">
        <f t="array" aca="1" ref="H224" ca="1">IF('Raw Data'!G225="",_xlfn.REGEXEXTRACT(CELL("address",'Raw Data'!G225),"\$([A-Z]+)\$[0-9]+"),"")</f>
        <v>$G$225</v>
      </c>
      <c r="I224" t="str">
        <f t="array" aca="1" ref="I224" ca="1">IF('Raw Data'!H225="",_xlfn.REGEXEXTRACT(CELL("address",'Raw Data'!H225),"\$([A-Z]+)\$[0-9]+"),"")</f>
        <v>$H$225</v>
      </c>
    </row>
    <row r="225" spans="2:9" x14ac:dyDescent="0.25">
      <c r="B225" t="str">
        <f t="array" aca="1" ref="B225" ca="1">IF('Raw Data'!B226="",_xlfn.REGEXEXTRACT(CELL("address",'Raw Data'!B226),"\$([A-Z]+)\$[0-9]+"),"")</f>
        <v>$B$226</v>
      </c>
      <c r="C225" t="str">
        <f t="array" aca="1" ref="C225" ca="1">IF('Raw Data'!C226="",_xlfn.REGEXEXTRACT(CELL("address",'Raw Data'!C226),"\$([A-Z]+)\$[0-9]+"),"")</f>
        <v>$C$226</v>
      </c>
      <c r="D225" t="str">
        <f t="array" aca="1" ref="D225" ca="1">IF('Raw Data'!D226="",_xlfn.REGEXEXTRACT(CELL("address",'Raw Data'!D226),"\$([A-Z]+)\$[0-9]+"),"")</f>
        <v>$D$226</v>
      </c>
      <c r="E225" t="str">
        <f t="array" aca="1" ref="E225" ca="1">IF('Raw Data'!E226="",_xlfn.REGEXEXTRACT(CELL("address",'Raw Data'!E226),"\$([A-Z]+)\$[0-9]+"),"")</f>
        <v>$E$226</v>
      </c>
      <c r="F225" t="str">
        <f t="array" aca="1" ref="F225" ca="1">IF('Raw Data'!F226="",_xlfn.REGEXEXTRACT(CELL("address",'Raw Data'!F226),"\$([A-Z]+)\$[0-9]+"),"")</f>
        <v>$F$226</v>
      </c>
      <c r="G225" t="e">
        <f t="array" aca="1" ref="G225" ca="1">IF('Raw Data'!#REF!="",_xlfn.REGEXEXTRACT(CELL("address",'Raw Data'!#REF!),"\$([A-Z]+)\$[0-9]+"),"")</f>
        <v>#REF!</v>
      </c>
      <c r="H225" t="str">
        <f t="array" aca="1" ref="H225" ca="1">IF('Raw Data'!G226="",_xlfn.REGEXEXTRACT(CELL("address",'Raw Data'!G226),"\$([A-Z]+)\$[0-9]+"),"")</f>
        <v>$G$226</v>
      </c>
      <c r="I225" t="str">
        <f t="array" aca="1" ref="I225" ca="1">IF('Raw Data'!H226="",_xlfn.REGEXEXTRACT(CELL("address",'Raw Data'!H226),"\$([A-Z]+)\$[0-9]+"),"")</f>
        <v>$H$226</v>
      </c>
    </row>
    <row r="226" spans="2:9" x14ac:dyDescent="0.25">
      <c r="B226" t="str">
        <f t="array" aca="1" ref="B226" ca="1">IF('Raw Data'!B227="",_xlfn.REGEXEXTRACT(CELL("address",'Raw Data'!B227),"\$([A-Z]+)\$[0-9]+"),"")</f>
        <v>$B$227</v>
      </c>
      <c r="C226" t="str">
        <f t="array" aca="1" ref="C226" ca="1">IF('Raw Data'!C227="",_xlfn.REGEXEXTRACT(CELL("address",'Raw Data'!C227),"\$([A-Z]+)\$[0-9]+"),"")</f>
        <v>$C$227</v>
      </c>
      <c r="D226" t="str">
        <f t="array" aca="1" ref="D226" ca="1">IF('Raw Data'!D227="",_xlfn.REGEXEXTRACT(CELL("address",'Raw Data'!D227),"\$([A-Z]+)\$[0-9]+"),"")</f>
        <v>$D$227</v>
      </c>
      <c r="E226" t="str">
        <f t="array" aca="1" ref="E226" ca="1">IF('Raw Data'!E227="",_xlfn.REGEXEXTRACT(CELL("address",'Raw Data'!E227),"\$([A-Z]+)\$[0-9]+"),"")</f>
        <v>$E$227</v>
      </c>
      <c r="F226" t="str">
        <f t="array" aca="1" ref="F226" ca="1">IF('Raw Data'!F227="",_xlfn.REGEXEXTRACT(CELL("address",'Raw Data'!F227),"\$([A-Z]+)\$[0-9]+"),"")</f>
        <v>$F$227</v>
      </c>
      <c r="G226" t="e">
        <f t="array" aca="1" ref="G226" ca="1">IF('Raw Data'!#REF!="",_xlfn.REGEXEXTRACT(CELL("address",'Raw Data'!#REF!),"\$([A-Z]+)\$[0-9]+"),"")</f>
        <v>#REF!</v>
      </c>
      <c r="H226" t="str">
        <f t="array" aca="1" ref="H226" ca="1">IF('Raw Data'!G227="",_xlfn.REGEXEXTRACT(CELL("address",'Raw Data'!G227),"\$([A-Z]+)\$[0-9]+"),"")</f>
        <v>$G$227</v>
      </c>
      <c r="I226" t="str">
        <f t="array" aca="1" ref="I226" ca="1">IF('Raw Data'!H227="",_xlfn.REGEXEXTRACT(CELL("address",'Raw Data'!H227),"\$([A-Z]+)\$[0-9]+"),"")</f>
        <v>$H$227</v>
      </c>
    </row>
    <row r="227" spans="2:9" x14ac:dyDescent="0.25">
      <c r="B227" t="str">
        <f t="array" aca="1" ref="B227" ca="1">IF('Raw Data'!B228="",_xlfn.REGEXEXTRACT(CELL("address",'Raw Data'!B228),"\$([A-Z]+)\$[0-9]+"),"")</f>
        <v>$B$228</v>
      </c>
      <c r="C227" t="str">
        <f t="array" aca="1" ref="C227" ca="1">IF('Raw Data'!C228="",_xlfn.REGEXEXTRACT(CELL("address",'Raw Data'!C228),"\$([A-Z]+)\$[0-9]+"),"")</f>
        <v>$C$228</v>
      </c>
      <c r="D227" t="str">
        <f t="array" aca="1" ref="D227" ca="1">IF('Raw Data'!D228="",_xlfn.REGEXEXTRACT(CELL("address",'Raw Data'!D228),"\$([A-Z]+)\$[0-9]+"),"")</f>
        <v>$D$228</v>
      </c>
      <c r="E227" t="str">
        <f t="array" aca="1" ref="E227" ca="1">IF('Raw Data'!E228="",_xlfn.REGEXEXTRACT(CELL("address",'Raw Data'!E228),"\$([A-Z]+)\$[0-9]+"),"")</f>
        <v>$E$228</v>
      </c>
      <c r="F227" t="str">
        <f t="array" aca="1" ref="F227" ca="1">IF('Raw Data'!F228="",_xlfn.REGEXEXTRACT(CELL("address",'Raw Data'!F228),"\$([A-Z]+)\$[0-9]+"),"")</f>
        <v>$F$228</v>
      </c>
      <c r="G227" t="e">
        <f t="array" aca="1" ref="G227" ca="1">IF('Raw Data'!#REF!="",_xlfn.REGEXEXTRACT(CELL("address",'Raw Data'!#REF!),"\$([A-Z]+)\$[0-9]+"),"")</f>
        <v>#REF!</v>
      </c>
      <c r="H227" t="str">
        <f t="array" aca="1" ref="H227" ca="1">IF('Raw Data'!G228="",_xlfn.REGEXEXTRACT(CELL("address",'Raw Data'!G228),"\$([A-Z]+)\$[0-9]+"),"")</f>
        <v>$G$228</v>
      </c>
      <c r="I227" t="str">
        <f t="array" aca="1" ref="I227" ca="1">IF('Raw Data'!H228="",_xlfn.REGEXEXTRACT(CELL("address",'Raw Data'!H228),"\$([A-Z]+)\$[0-9]+"),"")</f>
        <v>$H$228</v>
      </c>
    </row>
    <row r="228" spans="2:9" x14ac:dyDescent="0.25">
      <c r="B228" t="str">
        <f t="array" aca="1" ref="B228" ca="1">IF('Raw Data'!B229="",_xlfn.REGEXEXTRACT(CELL("address",'Raw Data'!B229),"\$([A-Z]+)\$[0-9]+"),"")</f>
        <v>$B$229</v>
      </c>
      <c r="C228" t="str">
        <f t="array" aca="1" ref="C228" ca="1">IF('Raw Data'!C229="",_xlfn.REGEXEXTRACT(CELL("address",'Raw Data'!C229),"\$([A-Z]+)\$[0-9]+"),"")</f>
        <v>$C$229</v>
      </c>
      <c r="D228" t="str">
        <f t="array" aca="1" ref="D228" ca="1">IF('Raw Data'!D229="",_xlfn.REGEXEXTRACT(CELL("address",'Raw Data'!D229),"\$([A-Z]+)\$[0-9]+"),"")</f>
        <v>$D$229</v>
      </c>
      <c r="E228" t="str">
        <f t="array" aca="1" ref="E228" ca="1">IF('Raw Data'!E229="",_xlfn.REGEXEXTRACT(CELL("address",'Raw Data'!E229),"\$([A-Z]+)\$[0-9]+"),"")</f>
        <v>$E$229</v>
      </c>
      <c r="F228" t="str">
        <f t="array" aca="1" ref="F228" ca="1">IF('Raw Data'!F229="",_xlfn.REGEXEXTRACT(CELL("address",'Raw Data'!F229),"\$([A-Z]+)\$[0-9]+"),"")</f>
        <v>$F$229</v>
      </c>
      <c r="G228" t="e">
        <f t="array" aca="1" ref="G228" ca="1">IF('Raw Data'!#REF!="",_xlfn.REGEXEXTRACT(CELL("address",'Raw Data'!#REF!),"\$([A-Z]+)\$[0-9]+"),"")</f>
        <v>#REF!</v>
      </c>
      <c r="H228" t="str">
        <f t="array" aca="1" ref="H228" ca="1">IF('Raw Data'!G229="",_xlfn.REGEXEXTRACT(CELL("address",'Raw Data'!G229),"\$([A-Z]+)\$[0-9]+"),"")</f>
        <v>$G$229</v>
      </c>
      <c r="I228" t="str">
        <f t="array" aca="1" ref="I228" ca="1">IF('Raw Data'!H229="",_xlfn.REGEXEXTRACT(CELL("address",'Raw Data'!H229),"\$([A-Z]+)\$[0-9]+"),"")</f>
        <v>$H$229</v>
      </c>
    </row>
    <row r="229" spans="2:9" x14ac:dyDescent="0.25">
      <c r="B229" t="str">
        <f t="array" aca="1" ref="B229" ca="1">IF('Raw Data'!B230="",_xlfn.REGEXEXTRACT(CELL("address",'Raw Data'!B230),"\$([A-Z]+)\$[0-9]+"),"")</f>
        <v>$B$230</v>
      </c>
      <c r="C229" t="str">
        <f t="array" aca="1" ref="C229" ca="1">IF('Raw Data'!C230="",_xlfn.REGEXEXTRACT(CELL("address",'Raw Data'!C230),"\$([A-Z]+)\$[0-9]+"),"")</f>
        <v>$C$230</v>
      </c>
      <c r="D229" t="str">
        <f t="array" aca="1" ref="D229" ca="1">IF('Raw Data'!D230="",_xlfn.REGEXEXTRACT(CELL("address",'Raw Data'!D230),"\$([A-Z]+)\$[0-9]+"),"")</f>
        <v>$D$230</v>
      </c>
      <c r="E229" t="str">
        <f t="array" aca="1" ref="E229" ca="1">IF('Raw Data'!E230="",_xlfn.REGEXEXTRACT(CELL("address",'Raw Data'!E230),"\$([A-Z]+)\$[0-9]+"),"")</f>
        <v>$E$230</v>
      </c>
      <c r="F229" t="str">
        <f t="array" aca="1" ref="F229" ca="1">IF('Raw Data'!F230="",_xlfn.REGEXEXTRACT(CELL("address",'Raw Data'!F230),"\$([A-Z]+)\$[0-9]+"),"")</f>
        <v>$F$230</v>
      </c>
      <c r="G229" t="e">
        <f t="array" aca="1" ref="G229" ca="1">IF('Raw Data'!#REF!="",_xlfn.REGEXEXTRACT(CELL("address",'Raw Data'!#REF!),"\$([A-Z]+)\$[0-9]+"),"")</f>
        <v>#REF!</v>
      </c>
      <c r="H229" t="str">
        <f t="array" aca="1" ref="H229" ca="1">IF('Raw Data'!G230="",_xlfn.REGEXEXTRACT(CELL("address",'Raw Data'!G230),"\$([A-Z]+)\$[0-9]+"),"")</f>
        <v>$G$230</v>
      </c>
      <c r="I229" t="str">
        <f t="array" aca="1" ref="I229" ca="1">IF('Raw Data'!H230="",_xlfn.REGEXEXTRACT(CELL("address",'Raw Data'!H230),"\$([A-Z]+)\$[0-9]+"),"")</f>
        <v>$H$230</v>
      </c>
    </row>
    <row r="230" spans="2:9" x14ac:dyDescent="0.25">
      <c r="B230" t="str">
        <f t="array" aca="1" ref="B230" ca="1">IF('Raw Data'!B231="",_xlfn.REGEXEXTRACT(CELL("address",'Raw Data'!B231),"\$([A-Z]+)\$[0-9]+"),"")</f>
        <v>$B$231</v>
      </c>
      <c r="C230" t="str">
        <f t="array" aca="1" ref="C230" ca="1">IF('Raw Data'!C231="",_xlfn.REGEXEXTRACT(CELL("address",'Raw Data'!C231),"\$([A-Z]+)\$[0-9]+"),"")</f>
        <v>$C$231</v>
      </c>
      <c r="D230" t="str">
        <f t="array" aca="1" ref="D230" ca="1">IF('Raw Data'!D231="",_xlfn.REGEXEXTRACT(CELL("address",'Raw Data'!D231),"\$([A-Z]+)\$[0-9]+"),"")</f>
        <v>$D$231</v>
      </c>
      <c r="E230" t="str">
        <f t="array" aca="1" ref="E230" ca="1">IF('Raw Data'!E231="",_xlfn.REGEXEXTRACT(CELL("address",'Raw Data'!E231),"\$([A-Z]+)\$[0-9]+"),"")</f>
        <v>$E$231</v>
      </c>
      <c r="F230" t="str">
        <f t="array" aca="1" ref="F230" ca="1">IF('Raw Data'!F231="",_xlfn.REGEXEXTRACT(CELL("address",'Raw Data'!F231),"\$([A-Z]+)\$[0-9]+"),"")</f>
        <v>$F$231</v>
      </c>
      <c r="G230" t="e">
        <f t="array" aca="1" ref="G230" ca="1">IF('Raw Data'!#REF!="",_xlfn.REGEXEXTRACT(CELL("address",'Raw Data'!#REF!),"\$([A-Z]+)\$[0-9]+"),"")</f>
        <v>#REF!</v>
      </c>
      <c r="H230" t="str">
        <f t="array" aca="1" ref="H230" ca="1">IF('Raw Data'!G231="",_xlfn.REGEXEXTRACT(CELL("address",'Raw Data'!G231),"\$([A-Z]+)\$[0-9]+"),"")</f>
        <v>$G$231</v>
      </c>
      <c r="I230" t="str">
        <f t="array" aca="1" ref="I230" ca="1">IF('Raw Data'!H231="",_xlfn.REGEXEXTRACT(CELL("address",'Raw Data'!H231),"\$([A-Z]+)\$[0-9]+"),"")</f>
        <v>$H$231</v>
      </c>
    </row>
    <row r="231" spans="2:9" x14ac:dyDescent="0.25">
      <c r="B231" t="str">
        <f t="array" aca="1" ref="B231" ca="1">IF('Raw Data'!B232="",_xlfn.REGEXEXTRACT(CELL("address",'Raw Data'!B232),"\$([A-Z]+)\$[0-9]+"),"")</f>
        <v>$B$232</v>
      </c>
      <c r="C231" t="str">
        <f t="array" aca="1" ref="C231" ca="1">IF('Raw Data'!C232="",_xlfn.REGEXEXTRACT(CELL("address",'Raw Data'!C232),"\$([A-Z]+)\$[0-9]+"),"")</f>
        <v>$C$232</v>
      </c>
      <c r="D231" t="str">
        <f t="array" aca="1" ref="D231" ca="1">IF('Raw Data'!D232="",_xlfn.REGEXEXTRACT(CELL("address",'Raw Data'!D232),"\$([A-Z]+)\$[0-9]+"),"")</f>
        <v>$D$232</v>
      </c>
      <c r="E231" t="str">
        <f t="array" aca="1" ref="E231" ca="1">IF('Raw Data'!E232="",_xlfn.REGEXEXTRACT(CELL("address",'Raw Data'!E232),"\$([A-Z]+)\$[0-9]+"),"")</f>
        <v>$E$232</v>
      </c>
      <c r="F231" t="str">
        <f t="array" aca="1" ref="F231" ca="1">IF('Raw Data'!F232="",_xlfn.REGEXEXTRACT(CELL("address",'Raw Data'!F232),"\$([A-Z]+)\$[0-9]+"),"")</f>
        <v>$F$232</v>
      </c>
      <c r="G231" t="e">
        <f t="array" aca="1" ref="G231" ca="1">IF('Raw Data'!#REF!="",_xlfn.REGEXEXTRACT(CELL("address",'Raw Data'!#REF!),"\$([A-Z]+)\$[0-9]+"),"")</f>
        <v>#REF!</v>
      </c>
      <c r="H231" t="str">
        <f t="array" aca="1" ref="H231" ca="1">IF('Raw Data'!G232="",_xlfn.REGEXEXTRACT(CELL("address",'Raw Data'!G232),"\$([A-Z]+)\$[0-9]+"),"")</f>
        <v>$G$232</v>
      </c>
      <c r="I231" t="str">
        <f t="array" aca="1" ref="I231" ca="1">IF('Raw Data'!H232="",_xlfn.REGEXEXTRACT(CELL("address",'Raw Data'!H232),"\$([A-Z]+)\$[0-9]+"),"")</f>
        <v>$H$232</v>
      </c>
    </row>
    <row r="232" spans="2:9" x14ac:dyDescent="0.25">
      <c r="B232" t="str">
        <f t="array" aca="1" ref="B232" ca="1">IF('Raw Data'!B233="",_xlfn.REGEXEXTRACT(CELL("address",'Raw Data'!B233),"\$([A-Z]+)\$[0-9]+"),"")</f>
        <v>$B$233</v>
      </c>
      <c r="C232" t="str">
        <f t="array" aca="1" ref="C232" ca="1">IF('Raw Data'!C233="",_xlfn.REGEXEXTRACT(CELL("address",'Raw Data'!C233),"\$([A-Z]+)\$[0-9]+"),"")</f>
        <v>$C$233</v>
      </c>
      <c r="D232" t="str">
        <f t="array" aca="1" ref="D232" ca="1">IF('Raw Data'!D233="",_xlfn.REGEXEXTRACT(CELL("address",'Raw Data'!D233),"\$([A-Z]+)\$[0-9]+"),"")</f>
        <v>$D$233</v>
      </c>
      <c r="E232" t="str">
        <f t="array" aca="1" ref="E232" ca="1">IF('Raw Data'!E233="",_xlfn.REGEXEXTRACT(CELL("address",'Raw Data'!E233),"\$([A-Z]+)\$[0-9]+"),"")</f>
        <v>$E$233</v>
      </c>
      <c r="F232" t="str">
        <f t="array" aca="1" ref="F232" ca="1">IF('Raw Data'!F233="",_xlfn.REGEXEXTRACT(CELL("address",'Raw Data'!F233),"\$([A-Z]+)\$[0-9]+"),"")</f>
        <v>$F$233</v>
      </c>
      <c r="G232" t="e">
        <f t="array" aca="1" ref="G232" ca="1">IF('Raw Data'!#REF!="",_xlfn.REGEXEXTRACT(CELL("address",'Raw Data'!#REF!),"\$([A-Z]+)\$[0-9]+"),"")</f>
        <v>#REF!</v>
      </c>
      <c r="H232" t="str">
        <f t="array" aca="1" ref="H232" ca="1">IF('Raw Data'!G233="",_xlfn.REGEXEXTRACT(CELL("address",'Raw Data'!G233),"\$([A-Z]+)\$[0-9]+"),"")</f>
        <v>$G$233</v>
      </c>
      <c r="I232" t="str">
        <f t="array" aca="1" ref="I232" ca="1">IF('Raw Data'!H233="",_xlfn.REGEXEXTRACT(CELL("address",'Raw Data'!H233),"\$([A-Z]+)\$[0-9]+"),"")</f>
        <v>$H$233</v>
      </c>
    </row>
    <row r="233" spans="2:9" x14ac:dyDescent="0.25">
      <c r="B233" t="str">
        <f t="array" aca="1" ref="B233" ca="1">IF('Raw Data'!B234="",_xlfn.REGEXEXTRACT(CELL("address",'Raw Data'!B234),"\$([A-Z]+)\$[0-9]+"),"")</f>
        <v>$B$234</v>
      </c>
      <c r="C233" t="str">
        <f t="array" aca="1" ref="C233" ca="1">IF('Raw Data'!C234="",_xlfn.REGEXEXTRACT(CELL("address",'Raw Data'!C234),"\$([A-Z]+)\$[0-9]+"),"")</f>
        <v>$C$234</v>
      </c>
      <c r="D233" t="str">
        <f t="array" aca="1" ref="D233" ca="1">IF('Raw Data'!D234="",_xlfn.REGEXEXTRACT(CELL("address",'Raw Data'!D234),"\$([A-Z]+)\$[0-9]+"),"")</f>
        <v>$D$234</v>
      </c>
      <c r="E233" t="str">
        <f t="array" aca="1" ref="E233" ca="1">IF('Raw Data'!E234="",_xlfn.REGEXEXTRACT(CELL("address",'Raw Data'!E234),"\$([A-Z]+)\$[0-9]+"),"")</f>
        <v>$E$234</v>
      </c>
      <c r="F233" t="str">
        <f t="array" aca="1" ref="F233" ca="1">IF('Raw Data'!F234="",_xlfn.REGEXEXTRACT(CELL("address",'Raw Data'!F234),"\$([A-Z]+)\$[0-9]+"),"")</f>
        <v>$F$234</v>
      </c>
      <c r="G233" t="e">
        <f t="array" aca="1" ref="G233" ca="1">IF('Raw Data'!#REF!="",_xlfn.REGEXEXTRACT(CELL("address",'Raw Data'!#REF!),"\$([A-Z]+)\$[0-9]+"),"")</f>
        <v>#REF!</v>
      </c>
      <c r="H233" t="str">
        <f t="array" aca="1" ref="H233" ca="1">IF('Raw Data'!G234="",_xlfn.REGEXEXTRACT(CELL("address",'Raw Data'!G234),"\$([A-Z]+)\$[0-9]+"),"")</f>
        <v>$G$234</v>
      </c>
      <c r="I233" t="str">
        <f t="array" aca="1" ref="I233" ca="1">IF('Raw Data'!H234="",_xlfn.REGEXEXTRACT(CELL("address",'Raw Data'!H234),"\$([A-Z]+)\$[0-9]+"),"")</f>
        <v>$H$234</v>
      </c>
    </row>
    <row r="234" spans="2:9" x14ac:dyDescent="0.25">
      <c r="B234" t="str">
        <f t="array" aca="1" ref="B234" ca="1">IF('Raw Data'!B235="",_xlfn.REGEXEXTRACT(CELL("address",'Raw Data'!B235),"\$([A-Z]+)\$[0-9]+"),"")</f>
        <v>$B$235</v>
      </c>
      <c r="C234" t="str">
        <f t="array" aca="1" ref="C234" ca="1">IF('Raw Data'!C235="",_xlfn.REGEXEXTRACT(CELL("address",'Raw Data'!C235),"\$([A-Z]+)\$[0-9]+"),"")</f>
        <v>$C$235</v>
      </c>
      <c r="D234" t="str">
        <f t="array" aca="1" ref="D234" ca="1">IF('Raw Data'!D235="",_xlfn.REGEXEXTRACT(CELL("address",'Raw Data'!D235),"\$([A-Z]+)\$[0-9]+"),"")</f>
        <v>$D$235</v>
      </c>
      <c r="E234" t="str">
        <f t="array" aca="1" ref="E234" ca="1">IF('Raw Data'!E235="",_xlfn.REGEXEXTRACT(CELL("address",'Raw Data'!E235),"\$([A-Z]+)\$[0-9]+"),"")</f>
        <v>$E$235</v>
      </c>
      <c r="F234" t="str">
        <f t="array" aca="1" ref="F234" ca="1">IF('Raw Data'!F235="",_xlfn.REGEXEXTRACT(CELL("address",'Raw Data'!F235),"\$([A-Z]+)\$[0-9]+"),"")</f>
        <v>$F$235</v>
      </c>
      <c r="G234" t="e">
        <f t="array" aca="1" ref="G234" ca="1">IF('Raw Data'!#REF!="",_xlfn.REGEXEXTRACT(CELL("address",'Raw Data'!#REF!),"\$([A-Z]+)\$[0-9]+"),"")</f>
        <v>#REF!</v>
      </c>
      <c r="H234" t="str">
        <f t="array" aca="1" ref="H234" ca="1">IF('Raw Data'!G235="",_xlfn.REGEXEXTRACT(CELL("address",'Raw Data'!G235),"\$([A-Z]+)\$[0-9]+"),"")</f>
        <v>$G$235</v>
      </c>
      <c r="I234" t="str">
        <f t="array" aca="1" ref="I234" ca="1">IF('Raw Data'!H235="",_xlfn.REGEXEXTRACT(CELL("address",'Raw Data'!H235),"\$([A-Z]+)\$[0-9]+"),"")</f>
        <v>$H$235</v>
      </c>
    </row>
    <row r="235" spans="2:9" x14ac:dyDescent="0.25">
      <c r="B235" t="str">
        <f t="array" aca="1" ref="B235" ca="1">IF('Raw Data'!B236="",_xlfn.REGEXEXTRACT(CELL("address",'Raw Data'!B236),"\$([A-Z]+)\$[0-9]+"),"")</f>
        <v>$B$236</v>
      </c>
      <c r="C235" t="str">
        <f t="array" aca="1" ref="C235" ca="1">IF('Raw Data'!C236="",_xlfn.REGEXEXTRACT(CELL("address",'Raw Data'!C236),"\$([A-Z]+)\$[0-9]+"),"")</f>
        <v>$C$236</v>
      </c>
      <c r="D235" t="str">
        <f t="array" aca="1" ref="D235" ca="1">IF('Raw Data'!D236="",_xlfn.REGEXEXTRACT(CELL("address",'Raw Data'!D236),"\$([A-Z]+)\$[0-9]+"),"")</f>
        <v>$D$236</v>
      </c>
      <c r="E235" t="str">
        <f t="array" aca="1" ref="E235" ca="1">IF('Raw Data'!E236="",_xlfn.REGEXEXTRACT(CELL("address",'Raw Data'!E236),"\$([A-Z]+)\$[0-9]+"),"")</f>
        <v>$E$236</v>
      </c>
      <c r="F235" t="str">
        <f t="array" aca="1" ref="F235" ca="1">IF('Raw Data'!F236="",_xlfn.REGEXEXTRACT(CELL("address",'Raw Data'!F236),"\$([A-Z]+)\$[0-9]+"),"")</f>
        <v>$F$236</v>
      </c>
      <c r="G235" t="e">
        <f t="array" aca="1" ref="G235" ca="1">IF('Raw Data'!#REF!="",_xlfn.REGEXEXTRACT(CELL("address",'Raw Data'!#REF!),"\$([A-Z]+)\$[0-9]+"),"")</f>
        <v>#REF!</v>
      </c>
      <c r="H235" t="str">
        <f t="array" aca="1" ref="H235" ca="1">IF('Raw Data'!G236="",_xlfn.REGEXEXTRACT(CELL("address",'Raw Data'!G236),"\$([A-Z]+)\$[0-9]+"),"")</f>
        <v>$G$236</v>
      </c>
      <c r="I235" t="str">
        <f t="array" aca="1" ref="I235" ca="1">IF('Raw Data'!H236="",_xlfn.REGEXEXTRACT(CELL("address",'Raw Data'!H236),"\$([A-Z]+)\$[0-9]+"),"")</f>
        <v>$H$236</v>
      </c>
    </row>
    <row r="236" spans="2:9" x14ac:dyDescent="0.25">
      <c r="B236" t="str">
        <f t="array" aca="1" ref="B236" ca="1">IF('Raw Data'!B237="",_xlfn.REGEXEXTRACT(CELL("address",'Raw Data'!B237),"\$([A-Z]+)\$[0-9]+"),"")</f>
        <v>$B$237</v>
      </c>
      <c r="C236" t="str">
        <f t="array" aca="1" ref="C236" ca="1">IF('Raw Data'!C237="",_xlfn.REGEXEXTRACT(CELL("address",'Raw Data'!C237),"\$([A-Z]+)\$[0-9]+"),"")</f>
        <v>$C$237</v>
      </c>
      <c r="D236" t="str">
        <f t="array" aca="1" ref="D236" ca="1">IF('Raw Data'!D237="",_xlfn.REGEXEXTRACT(CELL("address",'Raw Data'!D237),"\$([A-Z]+)\$[0-9]+"),"")</f>
        <v>$D$237</v>
      </c>
      <c r="E236" t="str">
        <f t="array" aca="1" ref="E236" ca="1">IF('Raw Data'!E237="",_xlfn.REGEXEXTRACT(CELL("address",'Raw Data'!E237),"\$([A-Z]+)\$[0-9]+"),"")</f>
        <v>$E$237</v>
      </c>
      <c r="F236" t="str">
        <f t="array" aca="1" ref="F236" ca="1">IF('Raw Data'!F237="",_xlfn.REGEXEXTRACT(CELL("address",'Raw Data'!F237),"\$([A-Z]+)\$[0-9]+"),"")</f>
        <v>$F$237</v>
      </c>
      <c r="G236" t="e">
        <f t="array" aca="1" ref="G236" ca="1">IF('Raw Data'!#REF!="",_xlfn.REGEXEXTRACT(CELL("address",'Raw Data'!#REF!),"\$([A-Z]+)\$[0-9]+"),"")</f>
        <v>#REF!</v>
      </c>
      <c r="H236" t="str">
        <f t="array" aca="1" ref="H236" ca="1">IF('Raw Data'!G237="",_xlfn.REGEXEXTRACT(CELL("address",'Raw Data'!G237),"\$([A-Z]+)\$[0-9]+"),"")</f>
        <v>$G$237</v>
      </c>
      <c r="I236" t="str">
        <f t="array" aca="1" ref="I236" ca="1">IF('Raw Data'!H237="",_xlfn.REGEXEXTRACT(CELL("address",'Raw Data'!H237),"\$([A-Z]+)\$[0-9]+"),"")</f>
        <v>$H$237</v>
      </c>
    </row>
    <row r="237" spans="2:9" x14ac:dyDescent="0.25">
      <c r="B237" t="str">
        <f t="array" aca="1" ref="B237" ca="1">IF('Raw Data'!B238="",_xlfn.REGEXEXTRACT(CELL("address",'Raw Data'!B238),"\$([A-Z]+)\$[0-9]+"),"")</f>
        <v>$B$238</v>
      </c>
      <c r="C237" t="str">
        <f t="array" aca="1" ref="C237" ca="1">IF('Raw Data'!C238="",_xlfn.REGEXEXTRACT(CELL("address",'Raw Data'!C238),"\$([A-Z]+)\$[0-9]+"),"")</f>
        <v>$C$238</v>
      </c>
      <c r="D237" t="str">
        <f t="array" aca="1" ref="D237" ca="1">IF('Raw Data'!D238="",_xlfn.REGEXEXTRACT(CELL("address",'Raw Data'!D238),"\$([A-Z]+)\$[0-9]+"),"")</f>
        <v>$D$238</v>
      </c>
      <c r="E237" t="str">
        <f t="array" aca="1" ref="E237" ca="1">IF('Raw Data'!E238="",_xlfn.REGEXEXTRACT(CELL("address",'Raw Data'!E238),"\$([A-Z]+)\$[0-9]+"),"")</f>
        <v>$E$238</v>
      </c>
      <c r="F237" t="str">
        <f t="array" aca="1" ref="F237" ca="1">IF('Raw Data'!F238="",_xlfn.REGEXEXTRACT(CELL("address",'Raw Data'!F238),"\$([A-Z]+)\$[0-9]+"),"")</f>
        <v>$F$238</v>
      </c>
      <c r="G237" t="e">
        <f t="array" aca="1" ref="G237" ca="1">IF('Raw Data'!#REF!="",_xlfn.REGEXEXTRACT(CELL("address",'Raw Data'!#REF!),"\$([A-Z]+)\$[0-9]+"),"")</f>
        <v>#REF!</v>
      </c>
      <c r="H237" t="str">
        <f t="array" aca="1" ref="H237" ca="1">IF('Raw Data'!G238="",_xlfn.REGEXEXTRACT(CELL("address",'Raw Data'!G238),"\$([A-Z]+)\$[0-9]+"),"")</f>
        <v>$G$238</v>
      </c>
      <c r="I237" t="str">
        <f t="array" aca="1" ref="I237" ca="1">IF('Raw Data'!H238="",_xlfn.REGEXEXTRACT(CELL("address",'Raw Data'!H238),"\$([A-Z]+)\$[0-9]+"),"")</f>
        <v>$H$238</v>
      </c>
    </row>
    <row r="238" spans="2:9" x14ac:dyDescent="0.25">
      <c r="B238" t="str">
        <f t="array" aca="1" ref="B238" ca="1">IF('Raw Data'!B239="",_xlfn.REGEXEXTRACT(CELL("address",'Raw Data'!B239),"\$([A-Z]+)\$[0-9]+"),"")</f>
        <v>$B$239</v>
      </c>
      <c r="C238" t="str">
        <f t="array" aca="1" ref="C238" ca="1">IF('Raw Data'!C239="",_xlfn.REGEXEXTRACT(CELL("address",'Raw Data'!C239),"\$([A-Z]+)\$[0-9]+"),"")</f>
        <v>$C$239</v>
      </c>
      <c r="D238" t="str">
        <f t="array" aca="1" ref="D238" ca="1">IF('Raw Data'!D239="",_xlfn.REGEXEXTRACT(CELL("address",'Raw Data'!D239),"\$([A-Z]+)\$[0-9]+"),"")</f>
        <v>$D$239</v>
      </c>
      <c r="E238" t="str">
        <f t="array" aca="1" ref="E238" ca="1">IF('Raw Data'!E239="",_xlfn.REGEXEXTRACT(CELL("address",'Raw Data'!E239),"\$([A-Z]+)\$[0-9]+"),"")</f>
        <v>$E$239</v>
      </c>
      <c r="F238" t="str">
        <f t="array" aca="1" ref="F238" ca="1">IF('Raw Data'!F239="",_xlfn.REGEXEXTRACT(CELL("address",'Raw Data'!F239),"\$([A-Z]+)\$[0-9]+"),"")</f>
        <v>$F$239</v>
      </c>
      <c r="G238" t="e">
        <f t="array" aca="1" ref="G238" ca="1">IF('Raw Data'!#REF!="",_xlfn.REGEXEXTRACT(CELL("address",'Raw Data'!#REF!),"\$([A-Z]+)\$[0-9]+"),"")</f>
        <v>#REF!</v>
      </c>
      <c r="H238" t="str">
        <f t="array" aca="1" ref="H238" ca="1">IF('Raw Data'!G239="",_xlfn.REGEXEXTRACT(CELL("address",'Raw Data'!G239),"\$([A-Z]+)\$[0-9]+"),"")</f>
        <v>$G$239</v>
      </c>
      <c r="I238" t="str">
        <f t="array" aca="1" ref="I238" ca="1">IF('Raw Data'!H239="",_xlfn.REGEXEXTRACT(CELL("address",'Raw Data'!H239),"\$([A-Z]+)\$[0-9]+"),"")</f>
        <v>$H$239</v>
      </c>
    </row>
    <row r="239" spans="2:9" x14ac:dyDescent="0.25">
      <c r="B239" t="str">
        <f t="array" aca="1" ref="B239" ca="1">IF('Raw Data'!B240="",_xlfn.REGEXEXTRACT(CELL("address",'Raw Data'!B240),"\$([A-Z]+)\$[0-9]+"),"")</f>
        <v>$B$240</v>
      </c>
      <c r="C239" t="str">
        <f t="array" aca="1" ref="C239" ca="1">IF('Raw Data'!C240="",_xlfn.REGEXEXTRACT(CELL("address",'Raw Data'!C240),"\$([A-Z]+)\$[0-9]+"),"")</f>
        <v>$C$240</v>
      </c>
      <c r="D239" t="str">
        <f t="array" aca="1" ref="D239" ca="1">IF('Raw Data'!D240="",_xlfn.REGEXEXTRACT(CELL("address",'Raw Data'!D240),"\$([A-Z]+)\$[0-9]+"),"")</f>
        <v>$D$240</v>
      </c>
      <c r="E239" t="str">
        <f t="array" aca="1" ref="E239" ca="1">IF('Raw Data'!E240="",_xlfn.REGEXEXTRACT(CELL("address",'Raw Data'!E240),"\$([A-Z]+)\$[0-9]+"),"")</f>
        <v>$E$240</v>
      </c>
      <c r="F239" t="str">
        <f t="array" aca="1" ref="F239" ca="1">IF('Raw Data'!F240="",_xlfn.REGEXEXTRACT(CELL("address",'Raw Data'!F240),"\$([A-Z]+)\$[0-9]+"),"")</f>
        <v>$F$240</v>
      </c>
      <c r="G239" t="e">
        <f t="array" aca="1" ref="G239" ca="1">IF('Raw Data'!#REF!="",_xlfn.REGEXEXTRACT(CELL("address",'Raw Data'!#REF!),"\$([A-Z]+)\$[0-9]+"),"")</f>
        <v>#REF!</v>
      </c>
      <c r="H239" t="str">
        <f t="array" aca="1" ref="H239" ca="1">IF('Raw Data'!G240="",_xlfn.REGEXEXTRACT(CELL("address",'Raw Data'!G240),"\$([A-Z]+)\$[0-9]+"),"")</f>
        <v>$G$240</v>
      </c>
      <c r="I239" t="str">
        <f t="array" aca="1" ref="I239" ca="1">IF('Raw Data'!H240="",_xlfn.REGEXEXTRACT(CELL("address",'Raw Data'!H240),"\$([A-Z]+)\$[0-9]+"),"")</f>
        <v>$H$240</v>
      </c>
    </row>
    <row r="240" spans="2:9" x14ac:dyDescent="0.25">
      <c r="B240" t="str">
        <f t="array" aca="1" ref="B240" ca="1">IF('Raw Data'!B241="",_xlfn.REGEXEXTRACT(CELL("address",'Raw Data'!B241),"\$([A-Z]+)\$[0-9]+"),"")</f>
        <v>$B$241</v>
      </c>
      <c r="C240" t="str">
        <f t="array" aca="1" ref="C240" ca="1">IF('Raw Data'!C241="",_xlfn.REGEXEXTRACT(CELL("address",'Raw Data'!C241),"\$([A-Z]+)\$[0-9]+"),"")</f>
        <v>$C$241</v>
      </c>
      <c r="D240" t="str">
        <f t="array" aca="1" ref="D240" ca="1">IF('Raw Data'!D241="",_xlfn.REGEXEXTRACT(CELL("address",'Raw Data'!D241),"\$([A-Z]+)\$[0-9]+"),"")</f>
        <v>$D$241</v>
      </c>
      <c r="E240" t="str">
        <f t="array" aca="1" ref="E240" ca="1">IF('Raw Data'!E241="",_xlfn.REGEXEXTRACT(CELL("address",'Raw Data'!E241),"\$([A-Z]+)\$[0-9]+"),"")</f>
        <v>$E$241</v>
      </c>
      <c r="F240" t="str">
        <f t="array" aca="1" ref="F240" ca="1">IF('Raw Data'!F241="",_xlfn.REGEXEXTRACT(CELL("address",'Raw Data'!F241),"\$([A-Z]+)\$[0-9]+"),"")</f>
        <v>$F$241</v>
      </c>
      <c r="G240" t="e">
        <f t="array" aca="1" ref="G240" ca="1">IF('Raw Data'!#REF!="",_xlfn.REGEXEXTRACT(CELL("address",'Raw Data'!#REF!),"\$([A-Z]+)\$[0-9]+"),"")</f>
        <v>#REF!</v>
      </c>
      <c r="H240" t="str">
        <f t="array" aca="1" ref="H240" ca="1">IF('Raw Data'!G241="",_xlfn.REGEXEXTRACT(CELL("address",'Raw Data'!G241),"\$([A-Z]+)\$[0-9]+"),"")</f>
        <v>$G$241</v>
      </c>
      <c r="I240" t="str">
        <f t="array" aca="1" ref="I240" ca="1">IF('Raw Data'!H241="",_xlfn.REGEXEXTRACT(CELL("address",'Raw Data'!H241),"\$([A-Z]+)\$[0-9]+"),"")</f>
        <v>$H$241</v>
      </c>
    </row>
    <row r="241" spans="2:9" x14ac:dyDescent="0.25">
      <c r="B241" t="str">
        <f t="array" aca="1" ref="B241" ca="1">IF('Raw Data'!B242="",_xlfn.REGEXEXTRACT(CELL("address",'Raw Data'!B242),"\$([A-Z]+)\$[0-9]+"),"")</f>
        <v>$B$242</v>
      </c>
      <c r="C241" t="str">
        <f t="array" aca="1" ref="C241" ca="1">IF('Raw Data'!C242="",_xlfn.REGEXEXTRACT(CELL("address",'Raw Data'!C242),"\$([A-Z]+)\$[0-9]+"),"")</f>
        <v>$C$242</v>
      </c>
      <c r="D241" t="str">
        <f t="array" aca="1" ref="D241" ca="1">IF('Raw Data'!D242="",_xlfn.REGEXEXTRACT(CELL("address",'Raw Data'!D242),"\$([A-Z]+)\$[0-9]+"),"")</f>
        <v>$D$242</v>
      </c>
      <c r="E241" t="str">
        <f t="array" aca="1" ref="E241" ca="1">IF('Raw Data'!E242="",_xlfn.REGEXEXTRACT(CELL("address",'Raw Data'!E242),"\$([A-Z]+)\$[0-9]+"),"")</f>
        <v>$E$242</v>
      </c>
      <c r="F241" t="str">
        <f t="array" aca="1" ref="F241" ca="1">IF('Raw Data'!F242="",_xlfn.REGEXEXTRACT(CELL("address",'Raw Data'!F242),"\$([A-Z]+)\$[0-9]+"),"")</f>
        <v>$F$242</v>
      </c>
      <c r="G241" t="e">
        <f t="array" aca="1" ref="G241" ca="1">IF('Raw Data'!#REF!="",_xlfn.REGEXEXTRACT(CELL("address",'Raw Data'!#REF!),"\$([A-Z]+)\$[0-9]+"),"")</f>
        <v>#REF!</v>
      </c>
      <c r="H241" t="str">
        <f t="array" aca="1" ref="H241" ca="1">IF('Raw Data'!G242="",_xlfn.REGEXEXTRACT(CELL("address",'Raw Data'!G242),"\$([A-Z]+)\$[0-9]+"),"")</f>
        <v>$G$242</v>
      </c>
      <c r="I241" t="str">
        <f t="array" aca="1" ref="I241" ca="1">IF('Raw Data'!H242="",_xlfn.REGEXEXTRACT(CELL("address",'Raw Data'!H242),"\$([A-Z]+)\$[0-9]+"),"")</f>
        <v>$H$242</v>
      </c>
    </row>
    <row r="242" spans="2:9" x14ac:dyDescent="0.25">
      <c r="B242" t="str">
        <f t="array" aca="1" ref="B242" ca="1">IF('Raw Data'!B243="",_xlfn.REGEXEXTRACT(CELL("address",'Raw Data'!B243),"\$([A-Z]+)\$[0-9]+"),"")</f>
        <v>$B$243</v>
      </c>
      <c r="C242" t="str">
        <f t="array" aca="1" ref="C242" ca="1">IF('Raw Data'!C243="",_xlfn.REGEXEXTRACT(CELL("address",'Raw Data'!C243),"\$([A-Z]+)\$[0-9]+"),"")</f>
        <v>$C$243</v>
      </c>
      <c r="D242" t="str">
        <f t="array" aca="1" ref="D242" ca="1">IF('Raw Data'!D243="",_xlfn.REGEXEXTRACT(CELL("address",'Raw Data'!D243),"\$([A-Z]+)\$[0-9]+"),"")</f>
        <v>$D$243</v>
      </c>
      <c r="E242" t="str">
        <f t="array" aca="1" ref="E242" ca="1">IF('Raw Data'!E243="",_xlfn.REGEXEXTRACT(CELL("address",'Raw Data'!E243),"\$([A-Z]+)\$[0-9]+"),"")</f>
        <v>$E$243</v>
      </c>
      <c r="F242" t="str">
        <f t="array" aca="1" ref="F242" ca="1">IF('Raw Data'!F243="",_xlfn.REGEXEXTRACT(CELL("address",'Raw Data'!F243),"\$([A-Z]+)\$[0-9]+"),"")</f>
        <v>$F$243</v>
      </c>
      <c r="G242" t="e">
        <f t="array" aca="1" ref="G242" ca="1">IF('Raw Data'!#REF!="",_xlfn.REGEXEXTRACT(CELL("address",'Raw Data'!#REF!),"\$([A-Z]+)\$[0-9]+"),"")</f>
        <v>#REF!</v>
      </c>
      <c r="H242" t="str">
        <f t="array" aca="1" ref="H242" ca="1">IF('Raw Data'!G243="",_xlfn.REGEXEXTRACT(CELL("address",'Raw Data'!G243),"\$([A-Z]+)\$[0-9]+"),"")</f>
        <v>$G$243</v>
      </c>
      <c r="I242" t="str">
        <f t="array" aca="1" ref="I242" ca="1">IF('Raw Data'!H243="",_xlfn.REGEXEXTRACT(CELL("address",'Raw Data'!H243),"\$([A-Z]+)\$[0-9]+"),"")</f>
        <v>$H$243</v>
      </c>
    </row>
    <row r="243" spans="2:9" x14ac:dyDescent="0.25">
      <c r="B243" t="str">
        <f t="array" aca="1" ref="B243" ca="1">IF('Raw Data'!B244="",_xlfn.REGEXEXTRACT(CELL("address",'Raw Data'!B244),"\$([A-Z]+)\$[0-9]+"),"")</f>
        <v>$B$244</v>
      </c>
      <c r="C243" t="str">
        <f t="array" aca="1" ref="C243" ca="1">IF('Raw Data'!C244="",_xlfn.REGEXEXTRACT(CELL("address",'Raw Data'!C244),"\$([A-Z]+)\$[0-9]+"),"")</f>
        <v>$C$244</v>
      </c>
      <c r="D243" t="str">
        <f t="array" aca="1" ref="D243" ca="1">IF('Raw Data'!D244="",_xlfn.REGEXEXTRACT(CELL("address",'Raw Data'!D244),"\$([A-Z]+)\$[0-9]+"),"")</f>
        <v>$D$244</v>
      </c>
      <c r="E243" t="str">
        <f t="array" aca="1" ref="E243" ca="1">IF('Raw Data'!E244="",_xlfn.REGEXEXTRACT(CELL("address",'Raw Data'!E244),"\$([A-Z]+)\$[0-9]+"),"")</f>
        <v>$E$244</v>
      </c>
      <c r="F243" t="str">
        <f t="array" aca="1" ref="F243" ca="1">IF('Raw Data'!F244="",_xlfn.REGEXEXTRACT(CELL("address",'Raw Data'!F244),"\$([A-Z]+)\$[0-9]+"),"")</f>
        <v>$F$244</v>
      </c>
      <c r="G243" t="e">
        <f t="array" aca="1" ref="G243" ca="1">IF('Raw Data'!#REF!="",_xlfn.REGEXEXTRACT(CELL("address",'Raw Data'!#REF!),"\$([A-Z]+)\$[0-9]+"),"")</f>
        <v>#REF!</v>
      </c>
      <c r="H243" t="str">
        <f t="array" aca="1" ref="H243" ca="1">IF('Raw Data'!G244="",_xlfn.REGEXEXTRACT(CELL("address",'Raw Data'!G244),"\$([A-Z]+)\$[0-9]+"),"")</f>
        <v>$G$244</v>
      </c>
      <c r="I243" t="str">
        <f t="array" aca="1" ref="I243" ca="1">IF('Raw Data'!H244="",_xlfn.REGEXEXTRACT(CELL("address",'Raw Data'!H244),"\$([A-Z]+)\$[0-9]+"),"")</f>
        <v>$H$244</v>
      </c>
    </row>
    <row r="244" spans="2:9" x14ac:dyDescent="0.25">
      <c r="B244" t="str">
        <f t="array" aca="1" ref="B244" ca="1">IF('Raw Data'!B245="",_xlfn.REGEXEXTRACT(CELL("address",'Raw Data'!B245),"\$([A-Z]+)\$[0-9]+"),"")</f>
        <v>$B$245</v>
      </c>
      <c r="C244" t="str">
        <f t="array" aca="1" ref="C244" ca="1">IF('Raw Data'!C245="",_xlfn.REGEXEXTRACT(CELL("address",'Raw Data'!C245),"\$([A-Z]+)\$[0-9]+"),"")</f>
        <v>$C$245</v>
      </c>
      <c r="D244" t="str">
        <f t="array" aca="1" ref="D244" ca="1">IF('Raw Data'!D245="",_xlfn.REGEXEXTRACT(CELL("address",'Raw Data'!D245),"\$([A-Z]+)\$[0-9]+"),"")</f>
        <v>$D$245</v>
      </c>
      <c r="E244" t="str">
        <f t="array" aca="1" ref="E244" ca="1">IF('Raw Data'!E245="",_xlfn.REGEXEXTRACT(CELL("address",'Raw Data'!E245),"\$([A-Z]+)\$[0-9]+"),"")</f>
        <v>$E$245</v>
      </c>
      <c r="F244" t="str">
        <f t="array" aca="1" ref="F244" ca="1">IF('Raw Data'!F245="",_xlfn.REGEXEXTRACT(CELL("address",'Raw Data'!F245),"\$([A-Z]+)\$[0-9]+"),"")</f>
        <v>$F$245</v>
      </c>
      <c r="G244" t="e">
        <f t="array" aca="1" ref="G244" ca="1">IF('Raw Data'!#REF!="",_xlfn.REGEXEXTRACT(CELL("address",'Raw Data'!#REF!),"\$([A-Z]+)\$[0-9]+"),"")</f>
        <v>#REF!</v>
      </c>
      <c r="H244" t="str">
        <f t="array" aca="1" ref="H244" ca="1">IF('Raw Data'!G245="",_xlfn.REGEXEXTRACT(CELL("address",'Raw Data'!G245),"\$([A-Z]+)\$[0-9]+"),"")</f>
        <v>$G$245</v>
      </c>
      <c r="I244" t="str">
        <f t="array" aca="1" ref="I244" ca="1">IF('Raw Data'!H245="",_xlfn.REGEXEXTRACT(CELL("address",'Raw Data'!H245),"\$([A-Z]+)\$[0-9]+"),"")</f>
        <v>$H$245</v>
      </c>
    </row>
    <row r="245" spans="2:9" x14ac:dyDescent="0.25">
      <c r="B245" t="str">
        <f t="array" aca="1" ref="B245" ca="1">IF('Raw Data'!B246="",_xlfn.REGEXEXTRACT(CELL("address",'Raw Data'!B246),"\$([A-Z]+)\$[0-9]+"),"")</f>
        <v>$B$246</v>
      </c>
      <c r="C245" t="str">
        <f t="array" aca="1" ref="C245" ca="1">IF('Raw Data'!C246="",_xlfn.REGEXEXTRACT(CELL("address",'Raw Data'!C246),"\$([A-Z]+)\$[0-9]+"),"")</f>
        <v>$C$246</v>
      </c>
      <c r="D245" t="str">
        <f t="array" aca="1" ref="D245" ca="1">IF('Raw Data'!D246="",_xlfn.REGEXEXTRACT(CELL("address",'Raw Data'!D246),"\$([A-Z]+)\$[0-9]+"),"")</f>
        <v>$D$246</v>
      </c>
      <c r="E245" t="str">
        <f t="array" aca="1" ref="E245" ca="1">IF('Raw Data'!E246="",_xlfn.REGEXEXTRACT(CELL("address",'Raw Data'!E246),"\$([A-Z]+)\$[0-9]+"),"")</f>
        <v>$E$246</v>
      </c>
      <c r="F245" t="str">
        <f t="array" aca="1" ref="F245" ca="1">IF('Raw Data'!F246="",_xlfn.REGEXEXTRACT(CELL("address",'Raw Data'!F246),"\$([A-Z]+)\$[0-9]+"),"")</f>
        <v>$F$246</v>
      </c>
      <c r="G245" t="e">
        <f t="array" aca="1" ref="G245" ca="1">IF('Raw Data'!#REF!="",_xlfn.REGEXEXTRACT(CELL("address",'Raw Data'!#REF!),"\$([A-Z]+)\$[0-9]+"),"")</f>
        <v>#REF!</v>
      </c>
      <c r="H245" t="str">
        <f t="array" aca="1" ref="H245" ca="1">IF('Raw Data'!G246="",_xlfn.REGEXEXTRACT(CELL("address",'Raw Data'!G246),"\$([A-Z]+)\$[0-9]+"),"")</f>
        <v>$G$246</v>
      </c>
      <c r="I245" t="str">
        <f t="array" aca="1" ref="I245" ca="1">IF('Raw Data'!H246="",_xlfn.REGEXEXTRACT(CELL("address",'Raw Data'!H246),"\$([A-Z]+)\$[0-9]+"),"")</f>
        <v>$H$246</v>
      </c>
    </row>
    <row r="246" spans="2:9" x14ac:dyDescent="0.25">
      <c r="B246" t="str">
        <f t="array" aca="1" ref="B246" ca="1">IF('Raw Data'!B247="",_xlfn.REGEXEXTRACT(CELL("address",'Raw Data'!B247),"\$([A-Z]+)\$[0-9]+"),"")</f>
        <v>$B$247</v>
      </c>
      <c r="C246" t="str">
        <f t="array" aca="1" ref="C246" ca="1">IF('Raw Data'!C247="",_xlfn.REGEXEXTRACT(CELL("address",'Raw Data'!C247),"\$([A-Z]+)\$[0-9]+"),"")</f>
        <v>$C$247</v>
      </c>
      <c r="D246" t="str">
        <f t="array" aca="1" ref="D246" ca="1">IF('Raw Data'!D247="",_xlfn.REGEXEXTRACT(CELL("address",'Raw Data'!D247),"\$([A-Z]+)\$[0-9]+"),"")</f>
        <v>$D$247</v>
      </c>
      <c r="E246" t="str">
        <f t="array" aca="1" ref="E246" ca="1">IF('Raw Data'!E247="",_xlfn.REGEXEXTRACT(CELL("address",'Raw Data'!E247),"\$([A-Z]+)\$[0-9]+"),"")</f>
        <v>$E$247</v>
      </c>
      <c r="F246" t="str">
        <f t="array" aca="1" ref="F246" ca="1">IF('Raw Data'!F247="",_xlfn.REGEXEXTRACT(CELL("address",'Raw Data'!F247),"\$([A-Z]+)\$[0-9]+"),"")</f>
        <v>$F$247</v>
      </c>
      <c r="G246" t="e">
        <f t="array" aca="1" ref="G246" ca="1">IF('Raw Data'!#REF!="",_xlfn.REGEXEXTRACT(CELL("address",'Raw Data'!#REF!),"\$([A-Z]+)\$[0-9]+"),"")</f>
        <v>#REF!</v>
      </c>
      <c r="H246" t="str">
        <f t="array" aca="1" ref="H246" ca="1">IF('Raw Data'!G247="",_xlfn.REGEXEXTRACT(CELL("address",'Raw Data'!G247),"\$([A-Z]+)\$[0-9]+"),"")</f>
        <v>$G$247</v>
      </c>
      <c r="I246" t="str">
        <f t="array" aca="1" ref="I246" ca="1">IF('Raw Data'!H247="",_xlfn.REGEXEXTRACT(CELL("address",'Raw Data'!H247),"\$([A-Z]+)\$[0-9]+"),"")</f>
        <v>$H$247</v>
      </c>
    </row>
    <row r="247" spans="2:9" x14ac:dyDescent="0.25">
      <c r="B247" t="str">
        <f t="array" aca="1" ref="B247" ca="1">IF('Raw Data'!B248="",_xlfn.REGEXEXTRACT(CELL("address",'Raw Data'!B248),"\$([A-Z]+)\$[0-9]+"),"")</f>
        <v>$B$248</v>
      </c>
      <c r="C247" t="str">
        <f t="array" aca="1" ref="C247" ca="1">IF('Raw Data'!C248="",_xlfn.REGEXEXTRACT(CELL("address",'Raw Data'!C248),"\$([A-Z]+)\$[0-9]+"),"")</f>
        <v>$C$248</v>
      </c>
      <c r="D247" t="str">
        <f t="array" aca="1" ref="D247" ca="1">IF('Raw Data'!D248="",_xlfn.REGEXEXTRACT(CELL("address",'Raw Data'!D248),"\$([A-Z]+)\$[0-9]+"),"")</f>
        <v>$D$248</v>
      </c>
      <c r="E247" t="str">
        <f t="array" aca="1" ref="E247" ca="1">IF('Raw Data'!E248="",_xlfn.REGEXEXTRACT(CELL("address",'Raw Data'!E248),"\$([A-Z]+)\$[0-9]+"),"")</f>
        <v>$E$248</v>
      </c>
      <c r="F247" t="str">
        <f t="array" aca="1" ref="F247" ca="1">IF('Raw Data'!F248="",_xlfn.REGEXEXTRACT(CELL("address",'Raw Data'!F248),"\$([A-Z]+)\$[0-9]+"),"")</f>
        <v>$F$248</v>
      </c>
      <c r="G247" t="e">
        <f t="array" aca="1" ref="G247" ca="1">IF('Raw Data'!#REF!="",_xlfn.REGEXEXTRACT(CELL("address",'Raw Data'!#REF!),"\$([A-Z]+)\$[0-9]+"),"")</f>
        <v>#REF!</v>
      </c>
      <c r="H247" t="str">
        <f t="array" aca="1" ref="H247" ca="1">IF('Raw Data'!G248="",_xlfn.REGEXEXTRACT(CELL("address",'Raw Data'!G248),"\$([A-Z]+)\$[0-9]+"),"")</f>
        <v>$G$248</v>
      </c>
      <c r="I247" t="str">
        <f t="array" aca="1" ref="I247" ca="1">IF('Raw Data'!H248="",_xlfn.REGEXEXTRACT(CELL("address",'Raw Data'!H248),"\$([A-Z]+)\$[0-9]+"),"")</f>
        <v>$H$248</v>
      </c>
    </row>
    <row r="248" spans="2:9" x14ac:dyDescent="0.25">
      <c r="B248" t="str">
        <f t="array" aca="1" ref="B248" ca="1">IF('Raw Data'!B249="",_xlfn.REGEXEXTRACT(CELL("address",'Raw Data'!B249),"\$([A-Z]+)\$[0-9]+"),"")</f>
        <v>$B$249</v>
      </c>
      <c r="C248" t="str">
        <f t="array" aca="1" ref="C248" ca="1">IF('Raw Data'!C249="",_xlfn.REGEXEXTRACT(CELL("address",'Raw Data'!C249),"\$([A-Z]+)\$[0-9]+"),"")</f>
        <v>$C$249</v>
      </c>
      <c r="D248" t="str">
        <f t="array" aca="1" ref="D248" ca="1">IF('Raw Data'!D249="",_xlfn.REGEXEXTRACT(CELL("address",'Raw Data'!D249),"\$([A-Z]+)\$[0-9]+"),"")</f>
        <v>$D$249</v>
      </c>
      <c r="E248" t="str">
        <f t="array" aca="1" ref="E248" ca="1">IF('Raw Data'!E249="",_xlfn.REGEXEXTRACT(CELL("address",'Raw Data'!E249),"\$([A-Z]+)\$[0-9]+"),"")</f>
        <v>$E$249</v>
      </c>
      <c r="F248" t="str">
        <f t="array" aca="1" ref="F248" ca="1">IF('Raw Data'!F249="",_xlfn.REGEXEXTRACT(CELL("address",'Raw Data'!F249),"\$([A-Z]+)\$[0-9]+"),"")</f>
        <v>$F$249</v>
      </c>
      <c r="G248" t="e">
        <f t="array" aca="1" ref="G248" ca="1">IF('Raw Data'!#REF!="",_xlfn.REGEXEXTRACT(CELL("address",'Raw Data'!#REF!),"\$([A-Z]+)\$[0-9]+"),"")</f>
        <v>#REF!</v>
      </c>
      <c r="H248" t="str">
        <f t="array" aca="1" ref="H248" ca="1">IF('Raw Data'!G249="",_xlfn.REGEXEXTRACT(CELL("address",'Raw Data'!G249),"\$([A-Z]+)\$[0-9]+"),"")</f>
        <v>$G$249</v>
      </c>
      <c r="I248" t="str">
        <f t="array" aca="1" ref="I248" ca="1">IF('Raw Data'!H249="",_xlfn.REGEXEXTRACT(CELL("address",'Raw Data'!H249),"\$([A-Z]+)\$[0-9]+"),"")</f>
        <v>$H$249</v>
      </c>
    </row>
    <row r="249" spans="2:9" x14ac:dyDescent="0.25">
      <c r="B249" t="str">
        <f t="array" aca="1" ref="B249" ca="1">IF('Raw Data'!B250="",_xlfn.REGEXEXTRACT(CELL("address",'Raw Data'!B250),"\$([A-Z]+)\$[0-9]+"),"")</f>
        <v>$B$250</v>
      </c>
      <c r="C249" t="str">
        <f t="array" aca="1" ref="C249" ca="1">IF('Raw Data'!C250="",_xlfn.REGEXEXTRACT(CELL("address",'Raw Data'!C250),"\$([A-Z]+)\$[0-9]+"),"")</f>
        <v>$C$250</v>
      </c>
      <c r="D249" t="str">
        <f t="array" aca="1" ref="D249" ca="1">IF('Raw Data'!D250="",_xlfn.REGEXEXTRACT(CELL("address",'Raw Data'!D250),"\$([A-Z]+)\$[0-9]+"),"")</f>
        <v>$D$250</v>
      </c>
      <c r="E249" t="str">
        <f t="array" aca="1" ref="E249" ca="1">IF('Raw Data'!E250="",_xlfn.REGEXEXTRACT(CELL("address",'Raw Data'!E250),"\$([A-Z]+)\$[0-9]+"),"")</f>
        <v>$E$250</v>
      </c>
      <c r="F249" t="str">
        <f t="array" aca="1" ref="F249" ca="1">IF('Raw Data'!F250="",_xlfn.REGEXEXTRACT(CELL("address",'Raw Data'!F250),"\$([A-Z]+)\$[0-9]+"),"")</f>
        <v>$F$250</v>
      </c>
      <c r="G249" t="e">
        <f t="array" aca="1" ref="G249" ca="1">IF('Raw Data'!#REF!="",_xlfn.REGEXEXTRACT(CELL("address",'Raw Data'!#REF!),"\$([A-Z]+)\$[0-9]+"),"")</f>
        <v>#REF!</v>
      </c>
      <c r="H249" t="str">
        <f t="array" aca="1" ref="H249" ca="1">IF('Raw Data'!G250="",_xlfn.REGEXEXTRACT(CELL("address",'Raw Data'!G250),"\$([A-Z]+)\$[0-9]+"),"")</f>
        <v>$G$250</v>
      </c>
      <c r="I249" t="str">
        <f t="array" aca="1" ref="I249" ca="1">IF('Raw Data'!H250="",_xlfn.REGEXEXTRACT(CELL("address",'Raw Data'!H250),"\$([A-Z]+)\$[0-9]+"),"")</f>
        <v>$H$250</v>
      </c>
    </row>
    <row r="250" spans="2:9" x14ac:dyDescent="0.25">
      <c r="B250" t="str">
        <f t="array" aca="1" ref="B250" ca="1">IF('Raw Data'!B251="",_xlfn.REGEXEXTRACT(CELL("address",'Raw Data'!B251),"\$([A-Z]+)\$[0-9]+"),"")</f>
        <v>$B$251</v>
      </c>
      <c r="C250" t="str">
        <f t="array" aca="1" ref="C250" ca="1">IF('Raw Data'!C251="",_xlfn.REGEXEXTRACT(CELL("address",'Raw Data'!C251),"\$([A-Z]+)\$[0-9]+"),"")</f>
        <v>$C$251</v>
      </c>
      <c r="D250" t="str">
        <f t="array" aca="1" ref="D250" ca="1">IF('Raw Data'!D251="",_xlfn.REGEXEXTRACT(CELL("address",'Raw Data'!D251),"\$([A-Z]+)\$[0-9]+"),"")</f>
        <v>$D$251</v>
      </c>
      <c r="E250" t="str">
        <f t="array" aca="1" ref="E250" ca="1">IF('Raw Data'!E251="",_xlfn.REGEXEXTRACT(CELL("address",'Raw Data'!E251),"\$([A-Z]+)\$[0-9]+"),"")</f>
        <v>$E$251</v>
      </c>
      <c r="F250" t="str">
        <f t="array" aca="1" ref="F250" ca="1">IF('Raw Data'!F251="",_xlfn.REGEXEXTRACT(CELL("address",'Raw Data'!F251),"\$([A-Z]+)\$[0-9]+"),"")</f>
        <v>$F$251</v>
      </c>
      <c r="G250" t="e">
        <f t="array" aca="1" ref="G250" ca="1">IF('Raw Data'!#REF!="",_xlfn.REGEXEXTRACT(CELL("address",'Raw Data'!#REF!),"\$([A-Z]+)\$[0-9]+"),"")</f>
        <v>#REF!</v>
      </c>
      <c r="H250" t="str">
        <f t="array" aca="1" ref="H250" ca="1">IF('Raw Data'!G251="",_xlfn.REGEXEXTRACT(CELL("address",'Raw Data'!G251),"\$([A-Z]+)\$[0-9]+"),"")</f>
        <v>$G$251</v>
      </c>
      <c r="I250" t="str">
        <f t="array" aca="1" ref="I250" ca="1">IF('Raw Data'!H251="",_xlfn.REGEXEXTRACT(CELL("address",'Raw Data'!H251),"\$([A-Z]+)\$[0-9]+"),"")</f>
        <v>$H$251</v>
      </c>
    </row>
    <row r="251" spans="2:9" x14ac:dyDescent="0.25">
      <c r="B251" t="str">
        <f t="array" aca="1" ref="B251" ca="1">IF('Raw Data'!B252="",_xlfn.REGEXEXTRACT(CELL("address",'Raw Data'!B252),"\$([A-Z]+)\$[0-9]+"),"")</f>
        <v>$B$252</v>
      </c>
      <c r="C251" t="str">
        <f t="array" aca="1" ref="C251" ca="1">IF('Raw Data'!C252="",_xlfn.REGEXEXTRACT(CELL("address",'Raw Data'!C252),"\$([A-Z]+)\$[0-9]+"),"")</f>
        <v>$C$252</v>
      </c>
      <c r="D251" t="str">
        <f t="array" aca="1" ref="D251" ca="1">IF('Raw Data'!D252="",_xlfn.REGEXEXTRACT(CELL("address",'Raw Data'!D252),"\$([A-Z]+)\$[0-9]+"),"")</f>
        <v>$D$252</v>
      </c>
      <c r="E251" t="str">
        <f t="array" aca="1" ref="E251" ca="1">IF('Raw Data'!E252="",_xlfn.REGEXEXTRACT(CELL("address",'Raw Data'!E252),"\$([A-Z]+)\$[0-9]+"),"")</f>
        <v>$E$252</v>
      </c>
      <c r="F251" t="str">
        <f t="array" aca="1" ref="F251" ca="1">IF('Raw Data'!F252="",_xlfn.REGEXEXTRACT(CELL("address",'Raw Data'!F252),"\$([A-Z]+)\$[0-9]+"),"")</f>
        <v>$F$252</v>
      </c>
      <c r="G251" t="e">
        <f t="array" aca="1" ref="G251" ca="1">IF('Raw Data'!#REF!="",_xlfn.REGEXEXTRACT(CELL("address",'Raw Data'!#REF!),"\$([A-Z]+)\$[0-9]+"),"")</f>
        <v>#REF!</v>
      </c>
      <c r="H251" t="str">
        <f t="array" aca="1" ref="H251" ca="1">IF('Raw Data'!G252="",_xlfn.REGEXEXTRACT(CELL("address",'Raw Data'!G252),"\$([A-Z]+)\$[0-9]+"),"")</f>
        <v>$G$252</v>
      </c>
      <c r="I251" t="str">
        <f t="array" aca="1" ref="I251" ca="1">IF('Raw Data'!H252="",_xlfn.REGEXEXTRACT(CELL("address",'Raw Data'!H252),"\$([A-Z]+)\$[0-9]+"),"")</f>
        <v>$H$252</v>
      </c>
    </row>
    <row r="252" spans="2:9" x14ac:dyDescent="0.25">
      <c r="B252" t="str">
        <f t="array" aca="1" ref="B252" ca="1">IF('Raw Data'!B253="",_xlfn.REGEXEXTRACT(CELL("address",'Raw Data'!B253),"\$([A-Z]+)\$[0-9]+"),"")</f>
        <v>$B$253</v>
      </c>
      <c r="C252" t="str">
        <f t="array" aca="1" ref="C252" ca="1">IF('Raw Data'!C253="",_xlfn.REGEXEXTRACT(CELL("address",'Raw Data'!C253),"\$([A-Z]+)\$[0-9]+"),"")</f>
        <v>$C$253</v>
      </c>
      <c r="D252" t="str">
        <f t="array" aca="1" ref="D252" ca="1">IF('Raw Data'!D253="",_xlfn.REGEXEXTRACT(CELL("address",'Raw Data'!D253),"\$([A-Z]+)\$[0-9]+"),"")</f>
        <v>$D$253</v>
      </c>
      <c r="E252" t="str">
        <f t="array" aca="1" ref="E252" ca="1">IF('Raw Data'!E253="",_xlfn.REGEXEXTRACT(CELL("address",'Raw Data'!E253),"\$([A-Z]+)\$[0-9]+"),"")</f>
        <v>$E$253</v>
      </c>
      <c r="F252" t="str">
        <f t="array" aca="1" ref="F252" ca="1">IF('Raw Data'!F253="",_xlfn.REGEXEXTRACT(CELL("address",'Raw Data'!F253),"\$([A-Z]+)\$[0-9]+"),"")</f>
        <v>$F$253</v>
      </c>
      <c r="G252" t="e">
        <f t="array" aca="1" ref="G252" ca="1">IF('Raw Data'!#REF!="",_xlfn.REGEXEXTRACT(CELL("address",'Raw Data'!#REF!),"\$([A-Z]+)\$[0-9]+"),"")</f>
        <v>#REF!</v>
      </c>
      <c r="H252" t="str">
        <f t="array" aca="1" ref="H252" ca="1">IF('Raw Data'!G253="",_xlfn.REGEXEXTRACT(CELL("address",'Raw Data'!G253),"\$([A-Z]+)\$[0-9]+"),"")</f>
        <v>$G$253</v>
      </c>
      <c r="I252" t="str">
        <f t="array" aca="1" ref="I252" ca="1">IF('Raw Data'!H253="",_xlfn.REGEXEXTRACT(CELL("address",'Raw Data'!H253),"\$([A-Z]+)\$[0-9]+"),"")</f>
        <v>$H$253</v>
      </c>
    </row>
    <row r="253" spans="2:9" x14ac:dyDescent="0.25">
      <c r="B253" t="str">
        <f t="array" aca="1" ref="B253" ca="1">IF('Raw Data'!B254="",_xlfn.REGEXEXTRACT(CELL("address",'Raw Data'!B254),"\$([A-Z]+)\$[0-9]+"),"")</f>
        <v>$B$254</v>
      </c>
      <c r="C253" t="str">
        <f t="array" aca="1" ref="C253" ca="1">IF('Raw Data'!C254="",_xlfn.REGEXEXTRACT(CELL("address",'Raw Data'!C254),"\$([A-Z]+)\$[0-9]+"),"")</f>
        <v>$C$254</v>
      </c>
      <c r="D253" t="str">
        <f t="array" aca="1" ref="D253" ca="1">IF('Raw Data'!D254="",_xlfn.REGEXEXTRACT(CELL("address",'Raw Data'!D254),"\$([A-Z]+)\$[0-9]+"),"")</f>
        <v>$D$254</v>
      </c>
      <c r="E253" t="str">
        <f t="array" aca="1" ref="E253" ca="1">IF('Raw Data'!E254="",_xlfn.REGEXEXTRACT(CELL("address",'Raw Data'!E254),"\$([A-Z]+)\$[0-9]+"),"")</f>
        <v>$E$254</v>
      </c>
      <c r="F253" t="str">
        <f t="array" aca="1" ref="F253" ca="1">IF('Raw Data'!F254="",_xlfn.REGEXEXTRACT(CELL("address",'Raw Data'!F254),"\$([A-Z]+)\$[0-9]+"),"")</f>
        <v>$F$254</v>
      </c>
      <c r="G253" t="e">
        <f t="array" aca="1" ref="G253" ca="1">IF('Raw Data'!#REF!="",_xlfn.REGEXEXTRACT(CELL("address",'Raw Data'!#REF!),"\$([A-Z]+)\$[0-9]+"),"")</f>
        <v>#REF!</v>
      </c>
      <c r="H253" t="str">
        <f t="array" aca="1" ref="H253" ca="1">IF('Raw Data'!G254="",_xlfn.REGEXEXTRACT(CELL("address",'Raw Data'!G254),"\$([A-Z]+)\$[0-9]+"),"")</f>
        <v>$G$254</v>
      </c>
      <c r="I253" t="str">
        <f t="array" aca="1" ref="I253" ca="1">IF('Raw Data'!H254="",_xlfn.REGEXEXTRACT(CELL("address",'Raw Data'!H254),"\$([A-Z]+)\$[0-9]+"),"")</f>
        <v>$H$254</v>
      </c>
    </row>
    <row r="254" spans="2:9" x14ac:dyDescent="0.25">
      <c r="B254" t="str">
        <f t="array" aca="1" ref="B254" ca="1">IF('Raw Data'!B255="",_xlfn.REGEXEXTRACT(CELL("address",'Raw Data'!B255),"\$([A-Z]+)\$[0-9]+"),"")</f>
        <v>$B$255</v>
      </c>
      <c r="C254" t="str">
        <f t="array" aca="1" ref="C254" ca="1">IF('Raw Data'!C255="",_xlfn.REGEXEXTRACT(CELL("address",'Raw Data'!C255),"\$([A-Z]+)\$[0-9]+"),"")</f>
        <v>$C$255</v>
      </c>
      <c r="D254" t="str">
        <f t="array" aca="1" ref="D254" ca="1">IF('Raw Data'!D255="",_xlfn.REGEXEXTRACT(CELL("address",'Raw Data'!D255),"\$([A-Z]+)\$[0-9]+"),"")</f>
        <v>$D$255</v>
      </c>
      <c r="E254" t="str">
        <f t="array" aca="1" ref="E254" ca="1">IF('Raw Data'!E255="",_xlfn.REGEXEXTRACT(CELL("address",'Raw Data'!E255),"\$([A-Z]+)\$[0-9]+"),"")</f>
        <v>$E$255</v>
      </c>
      <c r="F254" t="str">
        <f t="array" aca="1" ref="F254" ca="1">IF('Raw Data'!F255="",_xlfn.REGEXEXTRACT(CELL("address",'Raw Data'!F255),"\$([A-Z]+)\$[0-9]+"),"")</f>
        <v>$F$255</v>
      </c>
      <c r="G254" t="e">
        <f t="array" aca="1" ref="G254" ca="1">IF('Raw Data'!#REF!="",_xlfn.REGEXEXTRACT(CELL("address",'Raw Data'!#REF!),"\$([A-Z]+)\$[0-9]+"),"")</f>
        <v>#REF!</v>
      </c>
      <c r="H254" t="str">
        <f t="array" aca="1" ref="H254" ca="1">IF('Raw Data'!G255="",_xlfn.REGEXEXTRACT(CELL("address",'Raw Data'!G255),"\$([A-Z]+)\$[0-9]+"),"")</f>
        <v>$G$255</v>
      </c>
      <c r="I254" t="str">
        <f t="array" aca="1" ref="I254" ca="1">IF('Raw Data'!H255="",_xlfn.REGEXEXTRACT(CELL("address",'Raw Data'!H255),"\$([A-Z]+)\$[0-9]+"),"")</f>
        <v>$H$255</v>
      </c>
    </row>
    <row r="255" spans="2:9" x14ac:dyDescent="0.25">
      <c r="B255" t="str">
        <f t="array" aca="1" ref="B255" ca="1">IF('Raw Data'!B256="",_xlfn.REGEXEXTRACT(CELL("address",'Raw Data'!B256),"\$([A-Z]+)\$[0-9]+"),"")</f>
        <v>$B$256</v>
      </c>
      <c r="C255" t="str">
        <f t="array" aca="1" ref="C255" ca="1">IF('Raw Data'!C256="",_xlfn.REGEXEXTRACT(CELL("address",'Raw Data'!C256),"\$([A-Z]+)\$[0-9]+"),"")</f>
        <v>$C$256</v>
      </c>
      <c r="D255" t="str">
        <f t="array" aca="1" ref="D255" ca="1">IF('Raw Data'!D256="",_xlfn.REGEXEXTRACT(CELL("address",'Raw Data'!D256),"\$([A-Z]+)\$[0-9]+"),"")</f>
        <v>$D$256</v>
      </c>
      <c r="E255" t="str">
        <f t="array" aca="1" ref="E255" ca="1">IF('Raw Data'!E256="",_xlfn.REGEXEXTRACT(CELL("address",'Raw Data'!E256),"\$([A-Z]+)\$[0-9]+"),"")</f>
        <v>$E$256</v>
      </c>
      <c r="F255" t="str">
        <f t="array" aca="1" ref="F255" ca="1">IF('Raw Data'!F256="",_xlfn.REGEXEXTRACT(CELL("address",'Raw Data'!F256),"\$([A-Z]+)\$[0-9]+"),"")</f>
        <v>$F$256</v>
      </c>
      <c r="G255" t="e">
        <f t="array" aca="1" ref="G255" ca="1">IF('Raw Data'!#REF!="",_xlfn.REGEXEXTRACT(CELL("address",'Raw Data'!#REF!),"\$([A-Z]+)\$[0-9]+"),"")</f>
        <v>#REF!</v>
      </c>
      <c r="H255" t="str">
        <f t="array" aca="1" ref="H255" ca="1">IF('Raw Data'!G256="",_xlfn.REGEXEXTRACT(CELL("address",'Raw Data'!G256),"\$([A-Z]+)\$[0-9]+"),"")</f>
        <v>$G$256</v>
      </c>
      <c r="I255" t="str">
        <f t="array" aca="1" ref="I255" ca="1">IF('Raw Data'!H256="",_xlfn.REGEXEXTRACT(CELL("address",'Raw Data'!H256),"\$([A-Z]+)\$[0-9]+"),"")</f>
        <v>$H$256</v>
      </c>
    </row>
    <row r="256" spans="2:9" x14ac:dyDescent="0.25">
      <c r="B256" t="str">
        <f t="array" aca="1" ref="B256" ca="1">IF('Raw Data'!B257="",_xlfn.REGEXEXTRACT(CELL("address",'Raw Data'!B257),"\$([A-Z]+)\$[0-9]+"),"")</f>
        <v>$B$257</v>
      </c>
      <c r="C256" t="str">
        <f t="array" aca="1" ref="C256" ca="1">IF('Raw Data'!C257="",_xlfn.REGEXEXTRACT(CELL("address",'Raw Data'!C257),"\$([A-Z]+)\$[0-9]+"),"")</f>
        <v>$C$257</v>
      </c>
      <c r="D256" t="str">
        <f t="array" aca="1" ref="D256" ca="1">IF('Raw Data'!D257="",_xlfn.REGEXEXTRACT(CELL("address",'Raw Data'!D257),"\$([A-Z]+)\$[0-9]+"),"")</f>
        <v>$D$257</v>
      </c>
      <c r="E256" t="str">
        <f t="array" aca="1" ref="E256" ca="1">IF('Raw Data'!E257="",_xlfn.REGEXEXTRACT(CELL("address",'Raw Data'!E257),"\$([A-Z]+)\$[0-9]+"),"")</f>
        <v>$E$257</v>
      </c>
      <c r="F256" t="str">
        <f t="array" aca="1" ref="F256" ca="1">IF('Raw Data'!F257="",_xlfn.REGEXEXTRACT(CELL("address",'Raw Data'!F257),"\$([A-Z]+)\$[0-9]+"),"")</f>
        <v>$F$257</v>
      </c>
      <c r="G256" t="e">
        <f t="array" aca="1" ref="G256" ca="1">IF('Raw Data'!#REF!="",_xlfn.REGEXEXTRACT(CELL("address",'Raw Data'!#REF!),"\$([A-Z]+)\$[0-9]+"),"")</f>
        <v>#REF!</v>
      </c>
      <c r="H256" t="str">
        <f t="array" aca="1" ref="H256" ca="1">IF('Raw Data'!G257="",_xlfn.REGEXEXTRACT(CELL("address",'Raw Data'!G257),"\$([A-Z]+)\$[0-9]+"),"")</f>
        <v>$G$257</v>
      </c>
      <c r="I256" t="str">
        <f t="array" aca="1" ref="I256" ca="1">IF('Raw Data'!H257="",_xlfn.REGEXEXTRACT(CELL("address",'Raw Data'!H257),"\$([A-Z]+)\$[0-9]+"),"")</f>
        <v>$H$257</v>
      </c>
    </row>
    <row r="257" spans="2:9" x14ac:dyDescent="0.25">
      <c r="B257" t="str">
        <f t="array" aca="1" ref="B257" ca="1">IF('Raw Data'!B258="",_xlfn.REGEXEXTRACT(CELL("address",'Raw Data'!B258),"\$([A-Z]+)\$[0-9]+"),"")</f>
        <v>$B$258</v>
      </c>
      <c r="C257" t="str">
        <f t="array" aca="1" ref="C257" ca="1">IF('Raw Data'!C258="",_xlfn.REGEXEXTRACT(CELL("address",'Raw Data'!C258),"\$([A-Z]+)\$[0-9]+"),"")</f>
        <v>$C$258</v>
      </c>
      <c r="D257" t="str">
        <f t="array" aca="1" ref="D257" ca="1">IF('Raw Data'!D258="",_xlfn.REGEXEXTRACT(CELL("address",'Raw Data'!D258),"\$([A-Z]+)\$[0-9]+"),"")</f>
        <v>$D$258</v>
      </c>
      <c r="E257" t="str">
        <f t="array" aca="1" ref="E257" ca="1">IF('Raw Data'!E258="",_xlfn.REGEXEXTRACT(CELL("address",'Raw Data'!E258),"\$([A-Z]+)\$[0-9]+"),"")</f>
        <v>$E$258</v>
      </c>
      <c r="F257" t="str">
        <f t="array" aca="1" ref="F257" ca="1">IF('Raw Data'!F258="",_xlfn.REGEXEXTRACT(CELL("address",'Raw Data'!F258),"\$([A-Z]+)\$[0-9]+"),"")</f>
        <v>$F$258</v>
      </c>
      <c r="G257" t="e">
        <f t="array" aca="1" ref="G257" ca="1">IF('Raw Data'!#REF!="",_xlfn.REGEXEXTRACT(CELL("address",'Raw Data'!#REF!),"\$([A-Z]+)\$[0-9]+"),"")</f>
        <v>#REF!</v>
      </c>
      <c r="H257" t="str">
        <f t="array" aca="1" ref="H257" ca="1">IF('Raw Data'!G258="",_xlfn.REGEXEXTRACT(CELL("address",'Raw Data'!G258),"\$([A-Z]+)\$[0-9]+"),"")</f>
        <v>$G$258</v>
      </c>
      <c r="I257" t="str">
        <f t="array" aca="1" ref="I257" ca="1">IF('Raw Data'!H258="",_xlfn.REGEXEXTRACT(CELL("address",'Raw Data'!H258),"\$([A-Z]+)\$[0-9]+"),"")</f>
        <v>$H$258</v>
      </c>
    </row>
    <row r="258" spans="2:9" x14ac:dyDescent="0.25">
      <c r="B258" t="str">
        <f t="array" aca="1" ref="B258" ca="1">IF('Raw Data'!B259="",_xlfn.REGEXEXTRACT(CELL("address",'Raw Data'!B259),"\$([A-Z]+)\$[0-9]+"),"")</f>
        <v>$B$259</v>
      </c>
      <c r="C258" t="str">
        <f t="array" aca="1" ref="C258" ca="1">IF('Raw Data'!C259="",_xlfn.REGEXEXTRACT(CELL("address",'Raw Data'!C259),"\$([A-Z]+)\$[0-9]+"),"")</f>
        <v>$C$259</v>
      </c>
      <c r="D258" t="str">
        <f t="array" aca="1" ref="D258" ca="1">IF('Raw Data'!D259="",_xlfn.REGEXEXTRACT(CELL("address",'Raw Data'!D259),"\$([A-Z]+)\$[0-9]+"),"")</f>
        <v>$D$259</v>
      </c>
      <c r="E258" t="str">
        <f t="array" aca="1" ref="E258" ca="1">IF('Raw Data'!E259="",_xlfn.REGEXEXTRACT(CELL("address",'Raw Data'!E259),"\$([A-Z]+)\$[0-9]+"),"")</f>
        <v>$E$259</v>
      </c>
      <c r="F258" t="str">
        <f t="array" aca="1" ref="F258" ca="1">IF('Raw Data'!F259="",_xlfn.REGEXEXTRACT(CELL("address",'Raw Data'!F259),"\$([A-Z]+)\$[0-9]+"),"")</f>
        <v>$F$259</v>
      </c>
      <c r="G258" t="e">
        <f t="array" aca="1" ref="G258" ca="1">IF('Raw Data'!#REF!="",_xlfn.REGEXEXTRACT(CELL("address",'Raw Data'!#REF!),"\$([A-Z]+)\$[0-9]+"),"")</f>
        <v>#REF!</v>
      </c>
      <c r="H258" t="str">
        <f t="array" aca="1" ref="H258" ca="1">IF('Raw Data'!G259="",_xlfn.REGEXEXTRACT(CELL("address",'Raw Data'!G259),"\$([A-Z]+)\$[0-9]+"),"")</f>
        <v>$G$259</v>
      </c>
      <c r="I258" t="str">
        <f t="array" aca="1" ref="I258" ca="1">IF('Raw Data'!H259="",_xlfn.REGEXEXTRACT(CELL("address",'Raw Data'!H259),"\$([A-Z]+)\$[0-9]+"),"")</f>
        <v>$H$259</v>
      </c>
    </row>
    <row r="259" spans="2:9" x14ac:dyDescent="0.25">
      <c r="B259" t="str">
        <f t="array" aca="1" ref="B259" ca="1">IF('Raw Data'!B260="",_xlfn.REGEXEXTRACT(CELL("address",'Raw Data'!B260),"\$([A-Z]+)\$[0-9]+"),"")</f>
        <v>$B$260</v>
      </c>
      <c r="C259" t="str">
        <f t="array" aca="1" ref="C259" ca="1">IF('Raw Data'!C260="",_xlfn.REGEXEXTRACT(CELL("address",'Raw Data'!C260),"\$([A-Z]+)\$[0-9]+"),"")</f>
        <v>$C$260</v>
      </c>
      <c r="D259" t="str">
        <f t="array" aca="1" ref="D259" ca="1">IF('Raw Data'!D260="",_xlfn.REGEXEXTRACT(CELL("address",'Raw Data'!D260),"\$([A-Z]+)\$[0-9]+"),"")</f>
        <v>$D$260</v>
      </c>
      <c r="E259" t="str">
        <f t="array" aca="1" ref="E259" ca="1">IF('Raw Data'!E260="",_xlfn.REGEXEXTRACT(CELL("address",'Raw Data'!E260),"\$([A-Z]+)\$[0-9]+"),"")</f>
        <v>$E$260</v>
      </c>
      <c r="F259" t="str">
        <f t="array" aca="1" ref="F259" ca="1">IF('Raw Data'!F260="",_xlfn.REGEXEXTRACT(CELL("address",'Raw Data'!F260),"\$([A-Z]+)\$[0-9]+"),"")</f>
        <v>$F$260</v>
      </c>
      <c r="G259" t="e">
        <f t="array" aca="1" ref="G259" ca="1">IF('Raw Data'!#REF!="",_xlfn.REGEXEXTRACT(CELL("address",'Raw Data'!#REF!),"\$([A-Z]+)\$[0-9]+"),"")</f>
        <v>#REF!</v>
      </c>
      <c r="H259" t="str">
        <f t="array" aca="1" ref="H259" ca="1">IF('Raw Data'!G260="",_xlfn.REGEXEXTRACT(CELL("address",'Raw Data'!G260),"\$([A-Z]+)\$[0-9]+"),"")</f>
        <v>$G$260</v>
      </c>
      <c r="I259" t="str">
        <f t="array" aca="1" ref="I259" ca="1">IF('Raw Data'!H260="",_xlfn.REGEXEXTRACT(CELL("address",'Raw Data'!H260),"\$([A-Z]+)\$[0-9]+"),"")</f>
        <v>$H$260</v>
      </c>
    </row>
    <row r="260" spans="2:9" x14ac:dyDescent="0.25">
      <c r="B260" t="str">
        <f t="array" aca="1" ref="B260" ca="1">IF('Raw Data'!B261="",_xlfn.REGEXEXTRACT(CELL("address",'Raw Data'!B261),"\$([A-Z]+)\$[0-9]+"),"")</f>
        <v>$B$261</v>
      </c>
      <c r="C260" t="str">
        <f t="array" aca="1" ref="C260" ca="1">IF('Raw Data'!C261="",_xlfn.REGEXEXTRACT(CELL("address",'Raw Data'!C261),"\$([A-Z]+)\$[0-9]+"),"")</f>
        <v>$C$261</v>
      </c>
      <c r="D260" t="str">
        <f t="array" aca="1" ref="D260" ca="1">IF('Raw Data'!D261="",_xlfn.REGEXEXTRACT(CELL("address",'Raw Data'!D261),"\$([A-Z]+)\$[0-9]+"),"")</f>
        <v>$D$261</v>
      </c>
      <c r="E260" t="str">
        <f t="array" aca="1" ref="E260" ca="1">IF('Raw Data'!E261="",_xlfn.REGEXEXTRACT(CELL("address",'Raw Data'!E261),"\$([A-Z]+)\$[0-9]+"),"")</f>
        <v>$E$261</v>
      </c>
      <c r="F260" t="str">
        <f t="array" aca="1" ref="F260" ca="1">IF('Raw Data'!F261="",_xlfn.REGEXEXTRACT(CELL("address",'Raw Data'!F261),"\$([A-Z]+)\$[0-9]+"),"")</f>
        <v>$F$261</v>
      </c>
      <c r="G260" t="e">
        <f t="array" aca="1" ref="G260" ca="1">IF('Raw Data'!#REF!="",_xlfn.REGEXEXTRACT(CELL("address",'Raw Data'!#REF!),"\$([A-Z]+)\$[0-9]+"),"")</f>
        <v>#REF!</v>
      </c>
      <c r="H260" t="str">
        <f t="array" aca="1" ref="H260" ca="1">IF('Raw Data'!G261="",_xlfn.REGEXEXTRACT(CELL("address",'Raw Data'!G261),"\$([A-Z]+)\$[0-9]+"),"")</f>
        <v>$G$261</v>
      </c>
      <c r="I260" t="str">
        <f t="array" aca="1" ref="I260" ca="1">IF('Raw Data'!H261="",_xlfn.REGEXEXTRACT(CELL("address",'Raw Data'!H261),"\$([A-Z]+)\$[0-9]+"),"")</f>
        <v>$H$261</v>
      </c>
    </row>
    <row r="261" spans="2:9" x14ac:dyDescent="0.25">
      <c r="B261" t="str">
        <f t="array" aca="1" ref="B261" ca="1">IF('Raw Data'!B262="",_xlfn.REGEXEXTRACT(CELL("address",'Raw Data'!B262),"\$([A-Z]+)\$[0-9]+"),"")</f>
        <v>$B$262</v>
      </c>
      <c r="C261" t="str">
        <f t="array" aca="1" ref="C261" ca="1">IF('Raw Data'!C262="",_xlfn.REGEXEXTRACT(CELL("address",'Raw Data'!C262),"\$([A-Z]+)\$[0-9]+"),"")</f>
        <v>$C$262</v>
      </c>
      <c r="D261" t="str">
        <f t="array" aca="1" ref="D261" ca="1">IF('Raw Data'!D262="",_xlfn.REGEXEXTRACT(CELL("address",'Raw Data'!D262),"\$([A-Z]+)\$[0-9]+"),"")</f>
        <v>$D$262</v>
      </c>
      <c r="E261" t="str">
        <f t="array" aca="1" ref="E261" ca="1">IF('Raw Data'!E262="",_xlfn.REGEXEXTRACT(CELL("address",'Raw Data'!E262),"\$([A-Z]+)\$[0-9]+"),"")</f>
        <v>$E$262</v>
      </c>
      <c r="F261" t="str">
        <f t="array" aca="1" ref="F261" ca="1">IF('Raw Data'!F262="",_xlfn.REGEXEXTRACT(CELL("address",'Raw Data'!F262),"\$([A-Z]+)\$[0-9]+"),"")</f>
        <v>$F$262</v>
      </c>
      <c r="G261" t="e">
        <f t="array" aca="1" ref="G261" ca="1">IF('Raw Data'!#REF!="",_xlfn.REGEXEXTRACT(CELL("address",'Raw Data'!#REF!),"\$([A-Z]+)\$[0-9]+"),"")</f>
        <v>#REF!</v>
      </c>
      <c r="H261" t="str">
        <f t="array" aca="1" ref="H261" ca="1">IF('Raw Data'!G262="",_xlfn.REGEXEXTRACT(CELL("address",'Raw Data'!G262),"\$([A-Z]+)\$[0-9]+"),"")</f>
        <v>$G$262</v>
      </c>
      <c r="I261" t="str">
        <f t="array" aca="1" ref="I261" ca="1">IF('Raw Data'!H262="",_xlfn.REGEXEXTRACT(CELL("address",'Raw Data'!H262),"\$([A-Z]+)\$[0-9]+"),"")</f>
        <v>$H$262</v>
      </c>
    </row>
    <row r="262" spans="2:9" x14ac:dyDescent="0.25">
      <c r="B262" t="str">
        <f t="array" aca="1" ref="B262" ca="1">IF('Raw Data'!B263="",_xlfn.REGEXEXTRACT(CELL("address",'Raw Data'!B263),"\$([A-Z]+)\$[0-9]+"),"")</f>
        <v>$B$263</v>
      </c>
      <c r="C262" t="str">
        <f t="array" aca="1" ref="C262" ca="1">IF('Raw Data'!C263="",_xlfn.REGEXEXTRACT(CELL("address",'Raw Data'!C263),"\$([A-Z]+)\$[0-9]+"),"")</f>
        <v>$C$263</v>
      </c>
      <c r="D262" t="str">
        <f t="array" aca="1" ref="D262" ca="1">IF('Raw Data'!D263="",_xlfn.REGEXEXTRACT(CELL("address",'Raw Data'!D263),"\$([A-Z]+)\$[0-9]+"),"")</f>
        <v>$D$263</v>
      </c>
      <c r="E262" t="str">
        <f t="array" aca="1" ref="E262" ca="1">IF('Raw Data'!E263="",_xlfn.REGEXEXTRACT(CELL("address",'Raw Data'!E263),"\$([A-Z]+)\$[0-9]+"),"")</f>
        <v>$E$263</v>
      </c>
      <c r="F262" t="str">
        <f t="array" aca="1" ref="F262" ca="1">IF('Raw Data'!F263="",_xlfn.REGEXEXTRACT(CELL("address",'Raw Data'!F263),"\$([A-Z]+)\$[0-9]+"),"")</f>
        <v>$F$263</v>
      </c>
      <c r="G262" t="e">
        <f t="array" aca="1" ref="G262" ca="1">IF('Raw Data'!#REF!="",_xlfn.REGEXEXTRACT(CELL("address",'Raw Data'!#REF!),"\$([A-Z]+)\$[0-9]+"),"")</f>
        <v>#REF!</v>
      </c>
      <c r="H262" t="str">
        <f t="array" aca="1" ref="H262" ca="1">IF('Raw Data'!G263="",_xlfn.REGEXEXTRACT(CELL("address",'Raw Data'!G263),"\$([A-Z]+)\$[0-9]+"),"")</f>
        <v>$G$263</v>
      </c>
      <c r="I262" t="str">
        <f t="array" aca="1" ref="I262" ca="1">IF('Raw Data'!H263="",_xlfn.REGEXEXTRACT(CELL("address",'Raw Data'!H263),"\$([A-Z]+)\$[0-9]+"),"")</f>
        <v>$H$263</v>
      </c>
    </row>
    <row r="263" spans="2:9" x14ac:dyDescent="0.25">
      <c r="B263" t="str">
        <f t="array" aca="1" ref="B263" ca="1">IF('Raw Data'!B264="",_xlfn.REGEXEXTRACT(CELL("address",'Raw Data'!B264),"\$([A-Z]+)\$[0-9]+"),"")</f>
        <v>$B$264</v>
      </c>
      <c r="C263" t="str">
        <f t="array" aca="1" ref="C263" ca="1">IF('Raw Data'!C264="",_xlfn.REGEXEXTRACT(CELL("address",'Raw Data'!C264),"\$([A-Z]+)\$[0-9]+"),"")</f>
        <v>$C$264</v>
      </c>
      <c r="D263" t="str">
        <f t="array" aca="1" ref="D263" ca="1">IF('Raw Data'!D264="",_xlfn.REGEXEXTRACT(CELL("address",'Raw Data'!D264),"\$([A-Z]+)\$[0-9]+"),"")</f>
        <v>$D$264</v>
      </c>
      <c r="E263" t="str">
        <f t="array" aca="1" ref="E263" ca="1">IF('Raw Data'!E264="",_xlfn.REGEXEXTRACT(CELL("address",'Raw Data'!E264),"\$([A-Z]+)\$[0-9]+"),"")</f>
        <v>$E$264</v>
      </c>
      <c r="F263" t="str">
        <f t="array" aca="1" ref="F263" ca="1">IF('Raw Data'!F264="",_xlfn.REGEXEXTRACT(CELL("address",'Raw Data'!F264),"\$([A-Z]+)\$[0-9]+"),"")</f>
        <v>$F$264</v>
      </c>
      <c r="G263" t="e">
        <f t="array" aca="1" ref="G263" ca="1">IF('Raw Data'!#REF!="",_xlfn.REGEXEXTRACT(CELL("address",'Raw Data'!#REF!),"\$([A-Z]+)\$[0-9]+"),"")</f>
        <v>#REF!</v>
      </c>
      <c r="H263" t="str">
        <f t="array" aca="1" ref="H263" ca="1">IF('Raw Data'!G264="",_xlfn.REGEXEXTRACT(CELL("address",'Raw Data'!G264),"\$([A-Z]+)\$[0-9]+"),"")</f>
        <v>$G$264</v>
      </c>
      <c r="I263" t="str">
        <f t="array" aca="1" ref="I263" ca="1">IF('Raw Data'!H264="",_xlfn.REGEXEXTRACT(CELL("address",'Raw Data'!H264),"\$([A-Z]+)\$[0-9]+"),"")</f>
        <v>$H$264</v>
      </c>
    </row>
    <row r="264" spans="2:9" x14ac:dyDescent="0.25">
      <c r="B264" t="str">
        <f t="array" aca="1" ref="B264" ca="1">IF('Raw Data'!B265="",_xlfn.REGEXEXTRACT(CELL("address",'Raw Data'!B265),"\$([A-Z]+)\$[0-9]+"),"")</f>
        <v>$B$265</v>
      </c>
      <c r="C264" t="str">
        <f t="array" aca="1" ref="C264" ca="1">IF('Raw Data'!C265="",_xlfn.REGEXEXTRACT(CELL("address",'Raw Data'!C265),"\$([A-Z]+)\$[0-9]+"),"")</f>
        <v>$C$265</v>
      </c>
      <c r="D264" t="str">
        <f t="array" aca="1" ref="D264" ca="1">IF('Raw Data'!D265="",_xlfn.REGEXEXTRACT(CELL("address",'Raw Data'!D265),"\$([A-Z]+)\$[0-9]+"),"")</f>
        <v>$D$265</v>
      </c>
      <c r="E264" t="str">
        <f t="array" aca="1" ref="E264" ca="1">IF('Raw Data'!E265="",_xlfn.REGEXEXTRACT(CELL("address",'Raw Data'!E265),"\$([A-Z]+)\$[0-9]+"),"")</f>
        <v>$E$265</v>
      </c>
      <c r="F264" t="str">
        <f t="array" aca="1" ref="F264" ca="1">IF('Raw Data'!F265="",_xlfn.REGEXEXTRACT(CELL("address",'Raw Data'!F265),"\$([A-Z]+)\$[0-9]+"),"")</f>
        <v>$F$265</v>
      </c>
      <c r="G264" t="e">
        <f t="array" aca="1" ref="G264" ca="1">IF('Raw Data'!#REF!="",_xlfn.REGEXEXTRACT(CELL("address",'Raw Data'!#REF!),"\$([A-Z]+)\$[0-9]+"),"")</f>
        <v>#REF!</v>
      </c>
      <c r="H264" t="str">
        <f t="array" aca="1" ref="H264" ca="1">IF('Raw Data'!G265="",_xlfn.REGEXEXTRACT(CELL("address",'Raw Data'!G265),"\$([A-Z]+)\$[0-9]+"),"")</f>
        <v>$G$265</v>
      </c>
      <c r="I264" t="str">
        <f t="array" aca="1" ref="I264" ca="1">IF('Raw Data'!H265="",_xlfn.REGEXEXTRACT(CELL("address",'Raw Data'!H265),"\$([A-Z]+)\$[0-9]+"),"")</f>
        <v>$H$265</v>
      </c>
    </row>
    <row r="265" spans="2:9" x14ac:dyDescent="0.25">
      <c r="B265" t="str">
        <f t="array" aca="1" ref="B265" ca="1">IF('Raw Data'!B266="",_xlfn.REGEXEXTRACT(CELL("address",'Raw Data'!B266),"\$([A-Z]+)\$[0-9]+"),"")</f>
        <v>$B$266</v>
      </c>
      <c r="C265" t="str">
        <f t="array" aca="1" ref="C265" ca="1">IF('Raw Data'!C266="",_xlfn.REGEXEXTRACT(CELL("address",'Raw Data'!C266),"\$([A-Z]+)\$[0-9]+"),"")</f>
        <v>$C$266</v>
      </c>
      <c r="D265" t="str">
        <f t="array" aca="1" ref="D265" ca="1">IF('Raw Data'!D266="",_xlfn.REGEXEXTRACT(CELL("address",'Raw Data'!D266),"\$([A-Z]+)\$[0-9]+"),"")</f>
        <v>$D$266</v>
      </c>
      <c r="E265" t="str">
        <f t="array" aca="1" ref="E265" ca="1">IF('Raw Data'!E266="",_xlfn.REGEXEXTRACT(CELL("address",'Raw Data'!E266),"\$([A-Z]+)\$[0-9]+"),"")</f>
        <v>$E$266</v>
      </c>
      <c r="F265" t="str">
        <f t="array" aca="1" ref="F265" ca="1">IF('Raw Data'!F266="",_xlfn.REGEXEXTRACT(CELL("address",'Raw Data'!F266),"\$([A-Z]+)\$[0-9]+"),"")</f>
        <v>$F$266</v>
      </c>
      <c r="G265" t="e">
        <f t="array" aca="1" ref="G265" ca="1">IF('Raw Data'!#REF!="",_xlfn.REGEXEXTRACT(CELL("address",'Raw Data'!#REF!),"\$([A-Z]+)\$[0-9]+"),"")</f>
        <v>#REF!</v>
      </c>
      <c r="H265" t="str">
        <f t="array" aca="1" ref="H265" ca="1">IF('Raw Data'!G266="",_xlfn.REGEXEXTRACT(CELL("address",'Raw Data'!G266),"\$([A-Z]+)\$[0-9]+"),"")</f>
        <v>$G$266</v>
      </c>
      <c r="I265" t="str">
        <f t="array" aca="1" ref="I265" ca="1">IF('Raw Data'!H266="",_xlfn.REGEXEXTRACT(CELL("address",'Raw Data'!H266),"\$([A-Z]+)\$[0-9]+"),"")</f>
        <v>$H$266</v>
      </c>
    </row>
    <row r="266" spans="2:9" x14ac:dyDescent="0.25">
      <c r="B266" t="str">
        <f t="array" aca="1" ref="B266" ca="1">IF('Raw Data'!B267="",_xlfn.REGEXEXTRACT(CELL("address",'Raw Data'!B267),"\$([A-Z]+)\$[0-9]+"),"")</f>
        <v>$B$267</v>
      </c>
      <c r="C266" t="str">
        <f t="array" aca="1" ref="C266" ca="1">IF('Raw Data'!C267="",_xlfn.REGEXEXTRACT(CELL("address",'Raw Data'!C267),"\$([A-Z]+)\$[0-9]+"),"")</f>
        <v>$C$267</v>
      </c>
      <c r="D266" t="str">
        <f t="array" aca="1" ref="D266" ca="1">IF('Raw Data'!D267="",_xlfn.REGEXEXTRACT(CELL("address",'Raw Data'!D267),"\$([A-Z]+)\$[0-9]+"),"")</f>
        <v>$D$267</v>
      </c>
      <c r="E266" t="str">
        <f t="array" aca="1" ref="E266" ca="1">IF('Raw Data'!E267="",_xlfn.REGEXEXTRACT(CELL("address",'Raw Data'!E267),"\$([A-Z]+)\$[0-9]+"),"")</f>
        <v>$E$267</v>
      </c>
      <c r="F266" t="str">
        <f t="array" aca="1" ref="F266" ca="1">IF('Raw Data'!F267="",_xlfn.REGEXEXTRACT(CELL("address",'Raw Data'!F267),"\$([A-Z]+)\$[0-9]+"),"")</f>
        <v>$F$267</v>
      </c>
      <c r="G266" t="e">
        <f t="array" aca="1" ref="G266" ca="1">IF('Raw Data'!#REF!="",_xlfn.REGEXEXTRACT(CELL("address",'Raw Data'!#REF!),"\$([A-Z]+)\$[0-9]+"),"")</f>
        <v>#REF!</v>
      </c>
      <c r="H266" t="str">
        <f t="array" aca="1" ref="H266" ca="1">IF('Raw Data'!G267="",_xlfn.REGEXEXTRACT(CELL("address",'Raw Data'!G267),"\$([A-Z]+)\$[0-9]+"),"")</f>
        <v>$G$267</v>
      </c>
      <c r="I266" t="str">
        <f t="array" aca="1" ref="I266" ca="1">IF('Raw Data'!H267="",_xlfn.REGEXEXTRACT(CELL("address",'Raw Data'!H267),"\$([A-Z]+)\$[0-9]+"),"")</f>
        <v>$H$267</v>
      </c>
    </row>
    <row r="267" spans="2:9" x14ac:dyDescent="0.25">
      <c r="B267" t="str">
        <f t="array" aca="1" ref="B267" ca="1">IF('Raw Data'!B268="",_xlfn.REGEXEXTRACT(CELL("address",'Raw Data'!B268),"\$([A-Z]+)\$[0-9]+"),"")</f>
        <v>$B$268</v>
      </c>
      <c r="C267" t="str">
        <f t="array" aca="1" ref="C267" ca="1">IF('Raw Data'!C268="",_xlfn.REGEXEXTRACT(CELL("address",'Raw Data'!C268),"\$([A-Z]+)\$[0-9]+"),"")</f>
        <v>$C$268</v>
      </c>
      <c r="D267" t="str">
        <f t="array" aca="1" ref="D267" ca="1">IF('Raw Data'!D268="",_xlfn.REGEXEXTRACT(CELL("address",'Raw Data'!D268),"\$([A-Z]+)\$[0-9]+"),"")</f>
        <v>$D$268</v>
      </c>
      <c r="E267" t="str">
        <f t="array" aca="1" ref="E267" ca="1">IF('Raw Data'!E268="",_xlfn.REGEXEXTRACT(CELL("address",'Raw Data'!E268),"\$([A-Z]+)\$[0-9]+"),"")</f>
        <v>$E$268</v>
      </c>
      <c r="F267" t="str">
        <f t="array" aca="1" ref="F267" ca="1">IF('Raw Data'!F268="",_xlfn.REGEXEXTRACT(CELL("address",'Raw Data'!F268),"\$([A-Z]+)\$[0-9]+"),"")</f>
        <v>$F$268</v>
      </c>
      <c r="G267" t="e">
        <f t="array" aca="1" ref="G267" ca="1">IF('Raw Data'!#REF!="",_xlfn.REGEXEXTRACT(CELL("address",'Raw Data'!#REF!),"\$([A-Z]+)\$[0-9]+"),"")</f>
        <v>#REF!</v>
      </c>
      <c r="H267" t="str">
        <f t="array" aca="1" ref="H267" ca="1">IF('Raw Data'!G268="",_xlfn.REGEXEXTRACT(CELL("address",'Raw Data'!G268),"\$([A-Z]+)\$[0-9]+"),"")</f>
        <v>$G$268</v>
      </c>
      <c r="I267" t="str">
        <f t="array" aca="1" ref="I267" ca="1">IF('Raw Data'!H268="",_xlfn.REGEXEXTRACT(CELL("address",'Raw Data'!H268),"\$([A-Z]+)\$[0-9]+"),"")</f>
        <v>$H$268</v>
      </c>
    </row>
    <row r="268" spans="2:9" x14ac:dyDescent="0.25">
      <c r="B268" t="str">
        <f t="array" aca="1" ref="B268" ca="1">IF('Raw Data'!B269="",_xlfn.REGEXEXTRACT(CELL("address",'Raw Data'!B269),"\$([A-Z]+)\$[0-9]+"),"")</f>
        <v>$B$269</v>
      </c>
      <c r="C268" t="str">
        <f t="array" aca="1" ref="C268" ca="1">IF('Raw Data'!C269="",_xlfn.REGEXEXTRACT(CELL("address",'Raw Data'!C269),"\$([A-Z]+)\$[0-9]+"),"")</f>
        <v>$C$269</v>
      </c>
      <c r="D268" t="str">
        <f t="array" aca="1" ref="D268" ca="1">IF('Raw Data'!D269="",_xlfn.REGEXEXTRACT(CELL("address",'Raw Data'!D269),"\$([A-Z]+)\$[0-9]+"),"")</f>
        <v>$D$269</v>
      </c>
      <c r="E268" t="str">
        <f t="array" aca="1" ref="E268" ca="1">IF('Raw Data'!E269="",_xlfn.REGEXEXTRACT(CELL("address",'Raw Data'!E269),"\$([A-Z]+)\$[0-9]+"),"")</f>
        <v>$E$269</v>
      </c>
      <c r="F268" t="str">
        <f t="array" aca="1" ref="F268" ca="1">IF('Raw Data'!F269="",_xlfn.REGEXEXTRACT(CELL("address",'Raw Data'!F269),"\$([A-Z]+)\$[0-9]+"),"")</f>
        <v>$F$269</v>
      </c>
      <c r="G268" t="e">
        <f t="array" aca="1" ref="G268" ca="1">IF('Raw Data'!#REF!="",_xlfn.REGEXEXTRACT(CELL("address",'Raw Data'!#REF!),"\$([A-Z]+)\$[0-9]+"),"")</f>
        <v>#REF!</v>
      </c>
      <c r="H268" t="str">
        <f t="array" aca="1" ref="H268" ca="1">IF('Raw Data'!G269="",_xlfn.REGEXEXTRACT(CELL("address",'Raw Data'!G269),"\$([A-Z]+)\$[0-9]+"),"")</f>
        <v>$G$269</v>
      </c>
      <c r="I268" t="str">
        <f t="array" aca="1" ref="I268" ca="1">IF('Raw Data'!H269="",_xlfn.REGEXEXTRACT(CELL("address",'Raw Data'!H269),"\$([A-Z]+)\$[0-9]+"),"")</f>
        <v>$H$269</v>
      </c>
    </row>
    <row r="269" spans="2:9" x14ac:dyDescent="0.25">
      <c r="B269" t="str">
        <f t="array" aca="1" ref="B269" ca="1">IF('Raw Data'!B270="",_xlfn.REGEXEXTRACT(CELL("address",'Raw Data'!B270),"\$([A-Z]+)\$[0-9]+"),"")</f>
        <v>$B$270</v>
      </c>
      <c r="C269" t="str">
        <f t="array" aca="1" ref="C269" ca="1">IF('Raw Data'!C270="",_xlfn.REGEXEXTRACT(CELL("address",'Raw Data'!C270),"\$([A-Z]+)\$[0-9]+"),"")</f>
        <v>$C$270</v>
      </c>
      <c r="D269" t="str">
        <f t="array" aca="1" ref="D269" ca="1">IF('Raw Data'!D270="",_xlfn.REGEXEXTRACT(CELL("address",'Raw Data'!D270),"\$([A-Z]+)\$[0-9]+"),"")</f>
        <v>$D$270</v>
      </c>
      <c r="E269" t="str">
        <f t="array" aca="1" ref="E269" ca="1">IF('Raw Data'!E270="",_xlfn.REGEXEXTRACT(CELL("address",'Raw Data'!E270),"\$([A-Z]+)\$[0-9]+"),"")</f>
        <v>$E$270</v>
      </c>
      <c r="F269" t="str">
        <f t="array" aca="1" ref="F269" ca="1">IF('Raw Data'!F270="",_xlfn.REGEXEXTRACT(CELL("address",'Raw Data'!F270),"\$([A-Z]+)\$[0-9]+"),"")</f>
        <v>$F$270</v>
      </c>
      <c r="G269" t="e">
        <f t="array" aca="1" ref="G269" ca="1">IF('Raw Data'!#REF!="",_xlfn.REGEXEXTRACT(CELL("address",'Raw Data'!#REF!),"\$([A-Z]+)\$[0-9]+"),"")</f>
        <v>#REF!</v>
      </c>
      <c r="H269" t="str">
        <f t="array" aca="1" ref="H269" ca="1">IF('Raw Data'!G270="",_xlfn.REGEXEXTRACT(CELL("address",'Raw Data'!G270),"\$([A-Z]+)\$[0-9]+"),"")</f>
        <v>$G$270</v>
      </c>
      <c r="I269" t="str">
        <f t="array" aca="1" ref="I269" ca="1">IF('Raw Data'!H270="",_xlfn.REGEXEXTRACT(CELL("address",'Raw Data'!H270),"\$([A-Z]+)\$[0-9]+"),"")</f>
        <v>$H$270</v>
      </c>
    </row>
    <row r="270" spans="2:9" x14ac:dyDescent="0.25">
      <c r="B270" t="str">
        <f t="array" aca="1" ref="B270" ca="1">IF('Raw Data'!B271="",_xlfn.REGEXEXTRACT(CELL("address",'Raw Data'!B271),"\$([A-Z]+)\$[0-9]+"),"")</f>
        <v>$B$271</v>
      </c>
      <c r="C270" t="str">
        <f t="array" aca="1" ref="C270" ca="1">IF('Raw Data'!C271="",_xlfn.REGEXEXTRACT(CELL("address",'Raw Data'!C271),"\$([A-Z]+)\$[0-9]+"),"")</f>
        <v>$C$271</v>
      </c>
      <c r="D270" t="str">
        <f t="array" aca="1" ref="D270" ca="1">IF('Raw Data'!D271="",_xlfn.REGEXEXTRACT(CELL("address",'Raw Data'!D271),"\$([A-Z]+)\$[0-9]+"),"")</f>
        <v>$D$271</v>
      </c>
      <c r="E270" t="str">
        <f t="array" aca="1" ref="E270" ca="1">IF('Raw Data'!E271="",_xlfn.REGEXEXTRACT(CELL("address",'Raw Data'!E271),"\$([A-Z]+)\$[0-9]+"),"")</f>
        <v>$E$271</v>
      </c>
      <c r="F270" t="str">
        <f t="array" aca="1" ref="F270" ca="1">IF('Raw Data'!F271="",_xlfn.REGEXEXTRACT(CELL("address",'Raw Data'!F271),"\$([A-Z]+)\$[0-9]+"),"")</f>
        <v>$F$271</v>
      </c>
      <c r="G270" t="e">
        <f t="array" aca="1" ref="G270" ca="1">IF('Raw Data'!#REF!="",_xlfn.REGEXEXTRACT(CELL("address",'Raw Data'!#REF!),"\$([A-Z]+)\$[0-9]+"),"")</f>
        <v>#REF!</v>
      </c>
      <c r="H270" t="str">
        <f t="array" aca="1" ref="H270" ca="1">IF('Raw Data'!G271="",_xlfn.REGEXEXTRACT(CELL("address",'Raw Data'!G271),"\$([A-Z]+)\$[0-9]+"),"")</f>
        <v>$G$271</v>
      </c>
      <c r="I270" t="str">
        <f t="array" aca="1" ref="I270" ca="1">IF('Raw Data'!H271="",_xlfn.REGEXEXTRACT(CELL("address",'Raw Data'!H271),"\$([A-Z]+)\$[0-9]+"),"")</f>
        <v>$H$271</v>
      </c>
    </row>
    <row r="271" spans="2:9" x14ac:dyDescent="0.25">
      <c r="B271" t="str">
        <f t="array" aca="1" ref="B271" ca="1">IF('Raw Data'!B272="",_xlfn.REGEXEXTRACT(CELL("address",'Raw Data'!B272),"\$([A-Z]+)\$[0-9]+"),"")</f>
        <v>$B$272</v>
      </c>
      <c r="C271" t="str">
        <f t="array" aca="1" ref="C271" ca="1">IF('Raw Data'!C272="",_xlfn.REGEXEXTRACT(CELL("address",'Raw Data'!C272),"\$([A-Z]+)\$[0-9]+"),"")</f>
        <v>$C$272</v>
      </c>
      <c r="D271" t="str">
        <f t="array" aca="1" ref="D271" ca="1">IF('Raw Data'!D272="",_xlfn.REGEXEXTRACT(CELL("address",'Raw Data'!D272),"\$([A-Z]+)\$[0-9]+"),"")</f>
        <v>$D$272</v>
      </c>
      <c r="E271" t="str">
        <f t="array" aca="1" ref="E271" ca="1">IF('Raw Data'!E272="",_xlfn.REGEXEXTRACT(CELL("address",'Raw Data'!E272),"\$([A-Z]+)\$[0-9]+"),"")</f>
        <v>$E$272</v>
      </c>
      <c r="F271" t="str">
        <f t="array" aca="1" ref="F271" ca="1">IF('Raw Data'!F272="",_xlfn.REGEXEXTRACT(CELL("address",'Raw Data'!F272),"\$([A-Z]+)\$[0-9]+"),"")</f>
        <v>$F$272</v>
      </c>
      <c r="G271" t="e">
        <f t="array" aca="1" ref="G271" ca="1">IF('Raw Data'!#REF!="",_xlfn.REGEXEXTRACT(CELL("address",'Raw Data'!#REF!),"\$([A-Z]+)\$[0-9]+"),"")</f>
        <v>#REF!</v>
      </c>
      <c r="H271" t="str">
        <f t="array" aca="1" ref="H271" ca="1">IF('Raw Data'!G272="",_xlfn.REGEXEXTRACT(CELL("address",'Raw Data'!G272),"\$([A-Z]+)\$[0-9]+"),"")</f>
        <v>$G$272</v>
      </c>
      <c r="I271" t="str">
        <f t="array" aca="1" ref="I271" ca="1">IF('Raw Data'!H272="",_xlfn.REGEXEXTRACT(CELL("address",'Raw Data'!H272),"\$([A-Z]+)\$[0-9]+"),"")</f>
        <v>$H$272</v>
      </c>
    </row>
    <row r="272" spans="2:9" x14ac:dyDescent="0.25">
      <c r="B272" t="str">
        <f t="array" aca="1" ref="B272" ca="1">IF('Raw Data'!B273="",_xlfn.REGEXEXTRACT(CELL("address",'Raw Data'!B273),"\$([A-Z]+)\$[0-9]+"),"")</f>
        <v>$B$273</v>
      </c>
      <c r="C272" t="str">
        <f t="array" aca="1" ref="C272" ca="1">IF('Raw Data'!C273="",_xlfn.REGEXEXTRACT(CELL("address",'Raw Data'!C273),"\$([A-Z]+)\$[0-9]+"),"")</f>
        <v>$C$273</v>
      </c>
      <c r="D272" t="str">
        <f t="array" aca="1" ref="D272" ca="1">IF('Raw Data'!D273="",_xlfn.REGEXEXTRACT(CELL("address",'Raw Data'!D273),"\$([A-Z]+)\$[0-9]+"),"")</f>
        <v>$D$273</v>
      </c>
      <c r="E272" t="str">
        <f t="array" aca="1" ref="E272" ca="1">IF('Raw Data'!E273="",_xlfn.REGEXEXTRACT(CELL("address",'Raw Data'!E273),"\$([A-Z]+)\$[0-9]+"),"")</f>
        <v>$E$273</v>
      </c>
      <c r="F272" t="str">
        <f t="array" aca="1" ref="F272" ca="1">IF('Raw Data'!F273="",_xlfn.REGEXEXTRACT(CELL("address",'Raw Data'!F273),"\$([A-Z]+)\$[0-9]+"),"")</f>
        <v>$F$273</v>
      </c>
      <c r="G272" t="e">
        <f t="array" aca="1" ref="G272" ca="1">IF('Raw Data'!#REF!="",_xlfn.REGEXEXTRACT(CELL("address",'Raw Data'!#REF!),"\$([A-Z]+)\$[0-9]+"),"")</f>
        <v>#REF!</v>
      </c>
      <c r="H272" t="str">
        <f t="array" aca="1" ref="H272" ca="1">IF('Raw Data'!G273="",_xlfn.REGEXEXTRACT(CELL("address",'Raw Data'!G273),"\$([A-Z]+)\$[0-9]+"),"")</f>
        <v>$G$273</v>
      </c>
      <c r="I272" t="str">
        <f t="array" aca="1" ref="I272" ca="1">IF('Raw Data'!H273="",_xlfn.REGEXEXTRACT(CELL("address",'Raw Data'!H273),"\$([A-Z]+)\$[0-9]+"),"")</f>
        <v>$H$273</v>
      </c>
    </row>
    <row r="273" spans="2:9" x14ac:dyDescent="0.25">
      <c r="B273" t="str">
        <f t="array" aca="1" ref="B273" ca="1">IF('Raw Data'!B274="",_xlfn.REGEXEXTRACT(CELL("address",'Raw Data'!B274),"\$([A-Z]+)\$[0-9]+"),"")</f>
        <v>$B$274</v>
      </c>
      <c r="C273" t="str">
        <f t="array" aca="1" ref="C273" ca="1">IF('Raw Data'!C274="",_xlfn.REGEXEXTRACT(CELL("address",'Raw Data'!C274),"\$([A-Z]+)\$[0-9]+"),"")</f>
        <v>$C$274</v>
      </c>
      <c r="D273" t="str">
        <f t="array" aca="1" ref="D273" ca="1">IF('Raw Data'!D274="",_xlfn.REGEXEXTRACT(CELL("address",'Raw Data'!D274),"\$([A-Z]+)\$[0-9]+"),"")</f>
        <v>$D$274</v>
      </c>
      <c r="E273" t="str">
        <f t="array" aca="1" ref="E273" ca="1">IF('Raw Data'!E274="",_xlfn.REGEXEXTRACT(CELL("address",'Raw Data'!E274),"\$([A-Z]+)\$[0-9]+"),"")</f>
        <v>$E$274</v>
      </c>
      <c r="F273" t="str">
        <f t="array" aca="1" ref="F273" ca="1">IF('Raw Data'!F274="",_xlfn.REGEXEXTRACT(CELL("address",'Raw Data'!F274),"\$([A-Z]+)\$[0-9]+"),"")</f>
        <v>$F$274</v>
      </c>
      <c r="G273" t="e">
        <f t="array" aca="1" ref="G273" ca="1">IF('Raw Data'!#REF!="",_xlfn.REGEXEXTRACT(CELL("address",'Raw Data'!#REF!),"\$([A-Z]+)\$[0-9]+"),"")</f>
        <v>#REF!</v>
      </c>
      <c r="H273" t="str">
        <f t="array" aca="1" ref="H273" ca="1">IF('Raw Data'!G274="",_xlfn.REGEXEXTRACT(CELL("address",'Raw Data'!G274),"\$([A-Z]+)\$[0-9]+"),"")</f>
        <v>$G$274</v>
      </c>
      <c r="I273" t="str">
        <f t="array" aca="1" ref="I273" ca="1">IF('Raw Data'!H274="",_xlfn.REGEXEXTRACT(CELL("address",'Raw Data'!H274),"\$([A-Z]+)\$[0-9]+"),"")</f>
        <v>$H$274</v>
      </c>
    </row>
    <row r="274" spans="2:9" x14ac:dyDescent="0.25">
      <c r="B274" t="str">
        <f t="array" aca="1" ref="B274" ca="1">IF('Raw Data'!B275="",_xlfn.REGEXEXTRACT(CELL("address",'Raw Data'!B275),"\$([A-Z]+)\$[0-9]+"),"")</f>
        <v>$B$275</v>
      </c>
      <c r="C274" t="str">
        <f t="array" aca="1" ref="C274" ca="1">IF('Raw Data'!C275="",_xlfn.REGEXEXTRACT(CELL("address",'Raw Data'!C275),"\$([A-Z]+)\$[0-9]+"),"")</f>
        <v>$C$275</v>
      </c>
      <c r="D274" t="str">
        <f t="array" aca="1" ref="D274" ca="1">IF('Raw Data'!D275="",_xlfn.REGEXEXTRACT(CELL("address",'Raw Data'!D275),"\$([A-Z]+)\$[0-9]+"),"")</f>
        <v>$D$275</v>
      </c>
      <c r="E274" t="str">
        <f t="array" aca="1" ref="E274" ca="1">IF('Raw Data'!E275="",_xlfn.REGEXEXTRACT(CELL("address",'Raw Data'!E275),"\$([A-Z]+)\$[0-9]+"),"")</f>
        <v>$E$275</v>
      </c>
      <c r="F274" t="str">
        <f t="array" aca="1" ref="F274" ca="1">IF('Raw Data'!F275="",_xlfn.REGEXEXTRACT(CELL("address",'Raw Data'!F275),"\$([A-Z]+)\$[0-9]+"),"")</f>
        <v>$F$275</v>
      </c>
      <c r="G274" t="e">
        <f t="array" aca="1" ref="G274" ca="1">IF('Raw Data'!#REF!="",_xlfn.REGEXEXTRACT(CELL("address",'Raw Data'!#REF!),"\$([A-Z]+)\$[0-9]+"),"")</f>
        <v>#REF!</v>
      </c>
      <c r="H274" t="str">
        <f t="array" aca="1" ref="H274" ca="1">IF('Raw Data'!G275="",_xlfn.REGEXEXTRACT(CELL("address",'Raw Data'!G275),"\$([A-Z]+)\$[0-9]+"),"")</f>
        <v>$G$275</v>
      </c>
      <c r="I274" t="str">
        <f t="array" aca="1" ref="I274" ca="1">IF('Raw Data'!H275="",_xlfn.REGEXEXTRACT(CELL("address",'Raw Data'!H275),"\$([A-Z]+)\$[0-9]+"),"")</f>
        <v>$H$275</v>
      </c>
    </row>
    <row r="275" spans="2:9" x14ac:dyDescent="0.25">
      <c r="B275" t="str">
        <f t="array" aca="1" ref="B275" ca="1">IF('Raw Data'!B276="",_xlfn.REGEXEXTRACT(CELL("address",'Raw Data'!B276),"\$([A-Z]+)\$[0-9]+"),"")</f>
        <v>$B$276</v>
      </c>
      <c r="C275" t="str">
        <f t="array" aca="1" ref="C275" ca="1">IF('Raw Data'!C276="",_xlfn.REGEXEXTRACT(CELL("address",'Raw Data'!C276),"\$([A-Z]+)\$[0-9]+"),"")</f>
        <v>$C$276</v>
      </c>
      <c r="D275" t="str">
        <f t="array" aca="1" ref="D275" ca="1">IF('Raw Data'!D276="",_xlfn.REGEXEXTRACT(CELL("address",'Raw Data'!D276),"\$([A-Z]+)\$[0-9]+"),"")</f>
        <v>$D$276</v>
      </c>
      <c r="E275" t="str">
        <f t="array" aca="1" ref="E275" ca="1">IF('Raw Data'!E276="",_xlfn.REGEXEXTRACT(CELL("address",'Raw Data'!E276),"\$([A-Z]+)\$[0-9]+"),"")</f>
        <v>$E$276</v>
      </c>
      <c r="F275" t="str">
        <f t="array" aca="1" ref="F275" ca="1">IF('Raw Data'!F276="",_xlfn.REGEXEXTRACT(CELL("address",'Raw Data'!F276),"\$([A-Z]+)\$[0-9]+"),"")</f>
        <v>$F$276</v>
      </c>
      <c r="G275" t="e">
        <f t="array" aca="1" ref="G275" ca="1">IF('Raw Data'!#REF!="",_xlfn.REGEXEXTRACT(CELL("address",'Raw Data'!#REF!),"\$([A-Z]+)\$[0-9]+"),"")</f>
        <v>#REF!</v>
      </c>
      <c r="H275" t="str">
        <f t="array" aca="1" ref="H275" ca="1">IF('Raw Data'!G276="",_xlfn.REGEXEXTRACT(CELL("address",'Raw Data'!G276),"\$([A-Z]+)\$[0-9]+"),"")</f>
        <v>$G$276</v>
      </c>
      <c r="I275" t="str">
        <f t="array" aca="1" ref="I275" ca="1">IF('Raw Data'!H276="",_xlfn.REGEXEXTRACT(CELL("address",'Raw Data'!H276),"\$([A-Z]+)\$[0-9]+"),"")</f>
        <v>$H$276</v>
      </c>
    </row>
    <row r="276" spans="2:9" x14ac:dyDescent="0.25">
      <c r="B276" t="str">
        <f t="array" aca="1" ref="B276" ca="1">IF('Raw Data'!B277="",_xlfn.REGEXEXTRACT(CELL("address",'Raw Data'!B277),"\$([A-Z]+)\$[0-9]+"),"")</f>
        <v>$B$277</v>
      </c>
      <c r="C276" t="str">
        <f t="array" aca="1" ref="C276" ca="1">IF('Raw Data'!C277="",_xlfn.REGEXEXTRACT(CELL("address",'Raw Data'!C277),"\$([A-Z]+)\$[0-9]+"),"")</f>
        <v>$C$277</v>
      </c>
      <c r="D276" t="str">
        <f t="array" aca="1" ref="D276" ca="1">IF('Raw Data'!D277="",_xlfn.REGEXEXTRACT(CELL("address",'Raw Data'!D277),"\$([A-Z]+)\$[0-9]+"),"")</f>
        <v>$D$277</v>
      </c>
      <c r="E276" t="str">
        <f t="array" aca="1" ref="E276" ca="1">IF('Raw Data'!E277="",_xlfn.REGEXEXTRACT(CELL("address",'Raw Data'!E277),"\$([A-Z]+)\$[0-9]+"),"")</f>
        <v>$E$277</v>
      </c>
      <c r="F276" t="str">
        <f t="array" aca="1" ref="F276" ca="1">IF('Raw Data'!F277="",_xlfn.REGEXEXTRACT(CELL("address",'Raw Data'!F277),"\$([A-Z]+)\$[0-9]+"),"")</f>
        <v>$F$277</v>
      </c>
      <c r="G276" t="e">
        <f t="array" aca="1" ref="G276" ca="1">IF('Raw Data'!#REF!="",_xlfn.REGEXEXTRACT(CELL("address",'Raw Data'!#REF!),"\$([A-Z]+)\$[0-9]+"),"")</f>
        <v>#REF!</v>
      </c>
      <c r="H276" t="str">
        <f t="array" aca="1" ref="H276" ca="1">IF('Raw Data'!G277="",_xlfn.REGEXEXTRACT(CELL("address",'Raw Data'!G277),"\$([A-Z]+)\$[0-9]+"),"")</f>
        <v>$G$277</v>
      </c>
      <c r="I276" t="str">
        <f t="array" aca="1" ref="I276" ca="1">IF('Raw Data'!H277="",_xlfn.REGEXEXTRACT(CELL("address",'Raw Data'!H277),"\$([A-Z]+)\$[0-9]+"),"")</f>
        <v>$H$277</v>
      </c>
    </row>
    <row r="277" spans="2:9" x14ac:dyDescent="0.25">
      <c r="B277" t="str">
        <f t="array" aca="1" ref="B277" ca="1">IF('Raw Data'!B278="",_xlfn.REGEXEXTRACT(CELL("address",'Raw Data'!B278),"\$([A-Z]+)\$[0-9]+"),"")</f>
        <v>$B$278</v>
      </c>
      <c r="C277" t="str">
        <f t="array" aca="1" ref="C277" ca="1">IF('Raw Data'!C278="",_xlfn.REGEXEXTRACT(CELL("address",'Raw Data'!C278),"\$([A-Z]+)\$[0-9]+"),"")</f>
        <v>$C$278</v>
      </c>
      <c r="D277" t="str">
        <f t="array" aca="1" ref="D277" ca="1">IF('Raw Data'!D278="",_xlfn.REGEXEXTRACT(CELL("address",'Raw Data'!D278),"\$([A-Z]+)\$[0-9]+"),"")</f>
        <v>$D$278</v>
      </c>
      <c r="E277" t="str">
        <f t="array" aca="1" ref="E277" ca="1">IF('Raw Data'!E278="",_xlfn.REGEXEXTRACT(CELL("address",'Raw Data'!E278),"\$([A-Z]+)\$[0-9]+"),"")</f>
        <v>$E$278</v>
      </c>
      <c r="F277" t="str">
        <f t="array" aca="1" ref="F277" ca="1">IF('Raw Data'!F278="",_xlfn.REGEXEXTRACT(CELL("address",'Raw Data'!F278),"\$([A-Z]+)\$[0-9]+"),"")</f>
        <v>$F$278</v>
      </c>
      <c r="G277" t="e">
        <f t="array" aca="1" ref="G277" ca="1">IF('Raw Data'!#REF!="",_xlfn.REGEXEXTRACT(CELL("address",'Raw Data'!#REF!),"\$([A-Z]+)\$[0-9]+"),"")</f>
        <v>#REF!</v>
      </c>
      <c r="H277" t="str">
        <f t="array" aca="1" ref="H277" ca="1">IF('Raw Data'!G278="",_xlfn.REGEXEXTRACT(CELL("address",'Raw Data'!G278),"\$([A-Z]+)\$[0-9]+"),"")</f>
        <v>$G$278</v>
      </c>
      <c r="I277" t="str">
        <f t="array" aca="1" ref="I277" ca="1">IF('Raw Data'!H278="",_xlfn.REGEXEXTRACT(CELL("address",'Raw Data'!H278),"\$([A-Z]+)\$[0-9]+"),"")</f>
        <v>$H$278</v>
      </c>
    </row>
    <row r="278" spans="2:9" x14ac:dyDescent="0.25">
      <c r="B278" t="str">
        <f t="array" aca="1" ref="B278" ca="1">IF('Raw Data'!B279="",_xlfn.REGEXEXTRACT(CELL("address",'Raw Data'!B279),"\$([A-Z]+)\$[0-9]+"),"")</f>
        <v>$B$279</v>
      </c>
      <c r="C278" t="str">
        <f t="array" aca="1" ref="C278" ca="1">IF('Raw Data'!C279="",_xlfn.REGEXEXTRACT(CELL("address",'Raw Data'!C279),"\$([A-Z]+)\$[0-9]+"),"")</f>
        <v>$C$279</v>
      </c>
      <c r="D278" t="str">
        <f t="array" aca="1" ref="D278" ca="1">IF('Raw Data'!D279="",_xlfn.REGEXEXTRACT(CELL("address",'Raw Data'!D279),"\$([A-Z]+)\$[0-9]+"),"")</f>
        <v>$D$279</v>
      </c>
      <c r="E278" t="str">
        <f t="array" aca="1" ref="E278" ca="1">IF('Raw Data'!E279="",_xlfn.REGEXEXTRACT(CELL("address",'Raw Data'!E279),"\$([A-Z]+)\$[0-9]+"),"")</f>
        <v>$E$279</v>
      </c>
      <c r="F278" t="str">
        <f t="array" aca="1" ref="F278" ca="1">IF('Raw Data'!F279="",_xlfn.REGEXEXTRACT(CELL("address",'Raw Data'!F279),"\$([A-Z]+)\$[0-9]+"),"")</f>
        <v>$F$279</v>
      </c>
      <c r="G278" t="e">
        <f t="array" aca="1" ref="G278" ca="1">IF('Raw Data'!#REF!="",_xlfn.REGEXEXTRACT(CELL("address",'Raw Data'!#REF!),"\$([A-Z]+)\$[0-9]+"),"")</f>
        <v>#REF!</v>
      </c>
      <c r="H278" t="str">
        <f t="array" aca="1" ref="H278" ca="1">IF('Raw Data'!G279="",_xlfn.REGEXEXTRACT(CELL("address",'Raw Data'!G279),"\$([A-Z]+)\$[0-9]+"),"")</f>
        <v>$G$279</v>
      </c>
      <c r="I278" t="str">
        <f t="array" aca="1" ref="I278" ca="1">IF('Raw Data'!H279="",_xlfn.REGEXEXTRACT(CELL("address",'Raw Data'!H279),"\$([A-Z]+)\$[0-9]+"),"")</f>
        <v>$H$279</v>
      </c>
    </row>
    <row r="279" spans="2:9" x14ac:dyDescent="0.25">
      <c r="B279" t="str">
        <f t="array" aca="1" ref="B279" ca="1">IF('Raw Data'!B280="",_xlfn.REGEXEXTRACT(CELL("address",'Raw Data'!B280),"\$([A-Z]+)\$[0-9]+"),"")</f>
        <v>$B$280</v>
      </c>
      <c r="C279" t="str">
        <f t="array" aca="1" ref="C279" ca="1">IF('Raw Data'!C280="",_xlfn.REGEXEXTRACT(CELL("address",'Raw Data'!C280),"\$([A-Z]+)\$[0-9]+"),"")</f>
        <v>$C$280</v>
      </c>
      <c r="D279" t="str">
        <f t="array" aca="1" ref="D279" ca="1">IF('Raw Data'!D280="",_xlfn.REGEXEXTRACT(CELL("address",'Raw Data'!D280),"\$([A-Z]+)\$[0-9]+"),"")</f>
        <v>$D$280</v>
      </c>
      <c r="E279" t="str">
        <f t="array" aca="1" ref="E279" ca="1">IF('Raw Data'!E280="",_xlfn.REGEXEXTRACT(CELL("address",'Raw Data'!E280),"\$([A-Z]+)\$[0-9]+"),"")</f>
        <v>$E$280</v>
      </c>
      <c r="F279" t="str">
        <f t="array" aca="1" ref="F279" ca="1">IF('Raw Data'!F280="",_xlfn.REGEXEXTRACT(CELL("address",'Raw Data'!F280),"\$([A-Z]+)\$[0-9]+"),"")</f>
        <v>$F$280</v>
      </c>
      <c r="G279" t="e">
        <f t="array" aca="1" ref="G279" ca="1">IF('Raw Data'!#REF!="",_xlfn.REGEXEXTRACT(CELL("address",'Raw Data'!#REF!),"\$([A-Z]+)\$[0-9]+"),"")</f>
        <v>#REF!</v>
      </c>
      <c r="H279" t="str">
        <f t="array" aca="1" ref="H279" ca="1">IF('Raw Data'!G280="",_xlfn.REGEXEXTRACT(CELL("address",'Raw Data'!G280),"\$([A-Z]+)\$[0-9]+"),"")</f>
        <v>$G$280</v>
      </c>
      <c r="I279" t="str">
        <f t="array" aca="1" ref="I279" ca="1">IF('Raw Data'!H280="",_xlfn.REGEXEXTRACT(CELL("address",'Raw Data'!H280),"\$([A-Z]+)\$[0-9]+"),"")</f>
        <v>$H$280</v>
      </c>
    </row>
    <row r="280" spans="2:9" x14ac:dyDescent="0.25">
      <c r="B280" t="str">
        <f t="array" aca="1" ref="B280" ca="1">IF('Raw Data'!B281="",_xlfn.REGEXEXTRACT(CELL("address",'Raw Data'!B281),"\$([A-Z]+)\$[0-9]+"),"")</f>
        <v>$B$281</v>
      </c>
      <c r="C280" t="str">
        <f t="array" aca="1" ref="C280" ca="1">IF('Raw Data'!C281="",_xlfn.REGEXEXTRACT(CELL("address",'Raw Data'!C281),"\$([A-Z]+)\$[0-9]+"),"")</f>
        <v>$C$281</v>
      </c>
      <c r="D280" t="str">
        <f t="array" aca="1" ref="D280" ca="1">IF('Raw Data'!D281="",_xlfn.REGEXEXTRACT(CELL("address",'Raw Data'!D281),"\$([A-Z]+)\$[0-9]+"),"")</f>
        <v>$D$281</v>
      </c>
      <c r="E280" t="str">
        <f t="array" aca="1" ref="E280" ca="1">IF('Raw Data'!E281="",_xlfn.REGEXEXTRACT(CELL("address",'Raw Data'!E281),"\$([A-Z]+)\$[0-9]+"),"")</f>
        <v>$E$281</v>
      </c>
      <c r="F280" t="str">
        <f t="array" aca="1" ref="F280" ca="1">IF('Raw Data'!F281="",_xlfn.REGEXEXTRACT(CELL("address",'Raw Data'!F281),"\$([A-Z]+)\$[0-9]+"),"")</f>
        <v>$F$281</v>
      </c>
      <c r="G280" t="e">
        <f t="array" aca="1" ref="G280" ca="1">IF('Raw Data'!#REF!="",_xlfn.REGEXEXTRACT(CELL("address",'Raw Data'!#REF!),"\$([A-Z]+)\$[0-9]+"),"")</f>
        <v>#REF!</v>
      </c>
      <c r="H280" t="str">
        <f t="array" aca="1" ref="H280" ca="1">IF('Raw Data'!G281="",_xlfn.REGEXEXTRACT(CELL("address",'Raw Data'!G281),"\$([A-Z]+)\$[0-9]+"),"")</f>
        <v>$G$281</v>
      </c>
      <c r="I280" t="str">
        <f t="array" aca="1" ref="I280" ca="1">IF('Raw Data'!H281="",_xlfn.REGEXEXTRACT(CELL("address",'Raw Data'!H281),"\$([A-Z]+)\$[0-9]+"),"")</f>
        <v>$H$281</v>
      </c>
    </row>
    <row r="281" spans="2:9" x14ac:dyDescent="0.25">
      <c r="B281" t="str">
        <f t="array" aca="1" ref="B281" ca="1">IF('Raw Data'!B282="",_xlfn.REGEXEXTRACT(CELL("address",'Raw Data'!B282),"\$([A-Z]+)\$[0-9]+"),"")</f>
        <v>$B$282</v>
      </c>
      <c r="C281" t="str">
        <f t="array" aca="1" ref="C281" ca="1">IF('Raw Data'!C282="",_xlfn.REGEXEXTRACT(CELL("address",'Raw Data'!C282),"\$([A-Z]+)\$[0-9]+"),"")</f>
        <v>$C$282</v>
      </c>
      <c r="D281" t="str">
        <f t="array" aca="1" ref="D281" ca="1">IF('Raw Data'!D282="",_xlfn.REGEXEXTRACT(CELL("address",'Raw Data'!D282),"\$([A-Z]+)\$[0-9]+"),"")</f>
        <v>$D$282</v>
      </c>
      <c r="E281" t="str">
        <f t="array" aca="1" ref="E281" ca="1">IF('Raw Data'!E282="",_xlfn.REGEXEXTRACT(CELL("address",'Raw Data'!E282),"\$([A-Z]+)\$[0-9]+"),"")</f>
        <v>$E$282</v>
      </c>
      <c r="F281" t="str">
        <f t="array" aca="1" ref="F281" ca="1">IF('Raw Data'!F282="",_xlfn.REGEXEXTRACT(CELL("address",'Raw Data'!F282),"\$([A-Z]+)\$[0-9]+"),"")</f>
        <v>$F$282</v>
      </c>
      <c r="G281" t="e">
        <f t="array" aca="1" ref="G281" ca="1">IF('Raw Data'!#REF!="",_xlfn.REGEXEXTRACT(CELL("address",'Raw Data'!#REF!),"\$([A-Z]+)\$[0-9]+"),"")</f>
        <v>#REF!</v>
      </c>
      <c r="H281" t="str">
        <f t="array" aca="1" ref="H281" ca="1">IF('Raw Data'!G282="",_xlfn.REGEXEXTRACT(CELL("address",'Raw Data'!G282),"\$([A-Z]+)\$[0-9]+"),"")</f>
        <v>$G$282</v>
      </c>
      <c r="I281" t="str">
        <f t="array" aca="1" ref="I281" ca="1">IF('Raw Data'!H282="",_xlfn.REGEXEXTRACT(CELL("address",'Raw Data'!H282),"\$([A-Z]+)\$[0-9]+"),"")</f>
        <v>$H$282</v>
      </c>
    </row>
    <row r="282" spans="2:9" x14ac:dyDescent="0.25">
      <c r="B282" t="str">
        <f t="array" aca="1" ref="B282" ca="1">IF('Raw Data'!B283="",_xlfn.REGEXEXTRACT(CELL("address",'Raw Data'!B283),"\$([A-Z]+)\$[0-9]+"),"")</f>
        <v>$B$283</v>
      </c>
      <c r="C282" t="str">
        <f t="array" aca="1" ref="C282" ca="1">IF('Raw Data'!C283="",_xlfn.REGEXEXTRACT(CELL("address",'Raw Data'!C283),"\$([A-Z]+)\$[0-9]+"),"")</f>
        <v>$C$283</v>
      </c>
      <c r="D282" t="str">
        <f t="array" aca="1" ref="D282" ca="1">IF('Raw Data'!D283="",_xlfn.REGEXEXTRACT(CELL("address",'Raw Data'!D283),"\$([A-Z]+)\$[0-9]+"),"")</f>
        <v>$D$283</v>
      </c>
      <c r="E282" t="str">
        <f t="array" aca="1" ref="E282" ca="1">IF('Raw Data'!E283="",_xlfn.REGEXEXTRACT(CELL("address",'Raw Data'!E283),"\$([A-Z]+)\$[0-9]+"),"")</f>
        <v>$E$283</v>
      </c>
      <c r="F282" t="str">
        <f t="array" aca="1" ref="F282" ca="1">IF('Raw Data'!F283="",_xlfn.REGEXEXTRACT(CELL("address",'Raw Data'!F283),"\$([A-Z]+)\$[0-9]+"),"")</f>
        <v>$F$283</v>
      </c>
      <c r="G282" t="e">
        <f t="array" aca="1" ref="G282" ca="1">IF('Raw Data'!#REF!="",_xlfn.REGEXEXTRACT(CELL("address",'Raw Data'!#REF!),"\$([A-Z]+)\$[0-9]+"),"")</f>
        <v>#REF!</v>
      </c>
      <c r="H282" t="str">
        <f t="array" aca="1" ref="H282" ca="1">IF('Raw Data'!G283="",_xlfn.REGEXEXTRACT(CELL("address",'Raw Data'!G283),"\$([A-Z]+)\$[0-9]+"),"")</f>
        <v>$G$283</v>
      </c>
      <c r="I282" t="str">
        <f t="array" aca="1" ref="I282" ca="1">IF('Raw Data'!H283="",_xlfn.REGEXEXTRACT(CELL("address",'Raw Data'!H283),"\$([A-Z]+)\$[0-9]+"),"")</f>
        <v>$H$283</v>
      </c>
    </row>
    <row r="283" spans="2:9" x14ac:dyDescent="0.25">
      <c r="B283" t="str">
        <f t="array" aca="1" ref="B283" ca="1">IF('Raw Data'!B284="",_xlfn.REGEXEXTRACT(CELL("address",'Raw Data'!B284),"\$([A-Z]+)\$[0-9]+"),"")</f>
        <v>$B$284</v>
      </c>
      <c r="C283" t="str">
        <f t="array" aca="1" ref="C283" ca="1">IF('Raw Data'!C284="",_xlfn.REGEXEXTRACT(CELL("address",'Raw Data'!C284),"\$([A-Z]+)\$[0-9]+"),"")</f>
        <v>$C$284</v>
      </c>
      <c r="D283" t="str">
        <f t="array" aca="1" ref="D283" ca="1">IF('Raw Data'!D284="",_xlfn.REGEXEXTRACT(CELL("address",'Raw Data'!D284),"\$([A-Z]+)\$[0-9]+"),"")</f>
        <v>$D$284</v>
      </c>
      <c r="E283" t="str">
        <f t="array" aca="1" ref="E283" ca="1">IF('Raw Data'!E284="",_xlfn.REGEXEXTRACT(CELL("address",'Raw Data'!E284),"\$([A-Z]+)\$[0-9]+"),"")</f>
        <v>$E$284</v>
      </c>
      <c r="F283" t="str">
        <f t="array" aca="1" ref="F283" ca="1">IF('Raw Data'!F284="",_xlfn.REGEXEXTRACT(CELL("address",'Raw Data'!F284),"\$([A-Z]+)\$[0-9]+"),"")</f>
        <v>$F$284</v>
      </c>
      <c r="G283" t="e">
        <f t="array" aca="1" ref="G283" ca="1">IF('Raw Data'!#REF!="",_xlfn.REGEXEXTRACT(CELL("address",'Raw Data'!#REF!),"\$([A-Z]+)\$[0-9]+"),"")</f>
        <v>#REF!</v>
      </c>
      <c r="H283" t="str">
        <f t="array" aca="1" ref="H283" ca="1">IF('Raw Data'!G284="",_xlfn.REGEXEXTRACT(CELL("address",'Raw Data'!G284),"\$([A-Z]+)\$[0-9]+"),"")</f>
        <v>$G$284</v>
      </c>
      <c r="I283" t="str">
        <f t="array" aca="1" ref="I283" ca="1">IF('Raw Data'!H284="",_xlfn.REGEXEXTRACT(CELL("address",'Raw Data'!H284),"\$([A-Z]+)\$[0-9]+"),"")</f>
        <v>$H$284</v>
      </c>
    </row>
    <row r="284" spans="2:9" x14ac:dyDescent="0.25">
      <c r="B284" t="str">
        <f t="array" aca="1" ref="B284" ca="1">IF('Raw Data'!B285="",_xlfn.REGEXEXTRACT(CELL("address",'Raw Data'!B285),"\$([A-Z]+)\$[0-9]+"),"")</f>
        <v>$B$285</v>
      </c>
      <c r="C284" t="str">
        <f t="array" aca="1" ref="C284" ca="1">IF('Raw Data'!C285="",_xlfn.REGEXEXTRACT(CELL("address",'Raw Data'!C285),"\$([A-Z]+)\$[0-9]+"),"")</f>
        <v>$C$285</v>
      </c>
      <c r="D284" t="str">
        <f t="array" aca="1" ref="D284" ca="1">IF('Raw Data'!D285="",_xlfn.REGEXEXTRACT(CELL("address",'Raw Data'!D285),"\$([A-Z]+)\$[0-9]+"),"")</f>
        <v>$D$285</v>
      </c>
      <c r="E284" t="str">
        <f t="array" aca="1" ref="E284" ca="1">IF('Raw Data'!E285="",_xlfn.REGEXEXTRACT(CELL("address",'Raw Data'!E285),"\$([A-Z]+)\$[0-9]+"),"")</f>
        <v>$E$285</v>
      </c>
      <c r="F284" t="str">
        <f t="array" aca="1" ref="F284" ca="1">IF('Raw Data'!F285="",_xlfn.REGEXEXTRACT(CELL("address",'Raw Data'!F285),"\$([A-Z]+)\$[0-9]+"),"")</f>
        <v>$F$285</v>
      </c>
      <c r="G284" t="e">
        <f t="array" aca="1" ref="G284" ca="1">IF('Raw Data'!#REF!="",_xlfn.REGEXEXTRACT(CELL("address",'Raw Data'!#REF!),"\$([A-Z]+)\$[0-9]+"),"")</f>
        <v>#REF!</v>
      </c>
      <c r="H284" t="str">
        <f t="array" aca="1" ref="H284" ca="1">IF('Raw Data'!G285="",_xlfn.REGEXEXTRACT(CELL("address",'Raw Data'!G285),"\$([A-Z]+)\$[0-9]+"),"")</f>
        <v>$G$285</v>
      </c>
      <c r="I284" t="str">
        <f t="array" aca="1" ref="I284" ca="1">IF('Raw Data'!H285="",_xlfn.REGEXEXTRACT(CELL("address",'Raw Data'!H285),"\$([A-Z]+)\$[0-9]+"),"")</f>
        <v>$H$285</v>
      </c>
    </row>
    <row r="285" spans="2:9" x14ac:dyDescent="0.25">
      <c r="B285" t="str">
        <f t="array" aca="1" ref="B285" ca="1">IF('Raw Data'!B286="",_xlfn.REGEXEXTRACT(CELL("address",'Raw Data'!B286),"\$([A-Z]+)\$[0-9]+"),"")</f>
        <v>$B$286</v>
      </c>
      <c r="C285" t="str">
        <f t="array" aca="1" ref="C285" ca="1">IF('Raw Data'!C286="",_xlfn.REGEXEXTRACT(CELL("address",'Raw Data'!C286),"\$([A-Z]+)\$[0-9]+"),"")</f>
        <v>$C$286</v>
      </c>
      <c r="D285" t="str">
        <f t="array" aca="1" ref="D285" ca="1">IF('Raw Data'!D286="",_xlfn.REGEXEXTRACT(CELL("address",'Raw Data'!D286),"\$([A-Z]+)\$[0-9]+"),"")</f>
        <v>$D$286</v>
      </c>
      <c r="E285" t="str">
        <f t="array" aca="1" ref="E285" ca="1">IF('Raw Data'!E286="",_xlfn.REGEXEXTRACT(CELL("address",'Raw Data'!E286),"\$([A-Z]+)\$[0-9]+"),"")</f>
        <v>$E$286</v>
      </c>
      <c r="F285" t="str">
        <f t="array" aca="1" ref="F285" ca="1">IF('Raw Data'!F286="",_xlfn.REGEXEXTRACT(CELL("address",'Raw Data'!F286),"\$([A-Z]+)\$[0-9]+"),"")</f>
        <v>$F$286</v>
      </c>
      <c r="G285" t="e">
        <f t="array" aca="1" ref="G285" ca="1">IF('Raw Data'!#REF!="",_xlfn.REGEXEXTRACT(CELL("address",'Raw Data'!#REF!),"\$([A-Z]+)\$[0-9]+"),"")</f>
        <v>#REF!</v>
      </c>
      <c r="H285" t="str">
        <f t="array" aca="1" ref="H285" ca="1">IF('Raw Data'!G286="",_xlfn.REGEXEXTRACT(CELL("address",'Raw Data'!G286),"\$([A-Z]+)\$[0-9]+"),"")</f>
        <v>$G$286</v>
      </c>
      <c r="I285" t="str">
        <f t="array" aca="1" ref="I285" ca="1">IF('Raw Data'!H286="",_xlfn.REGEXEXTRACT(CELL("address",'Raw Data'!H286),"\$([A-Z]+)\$[0-9]+"),"")</f>
        <v>$H$286</v>
      </c>
    </row>
    <row r="286" spans="2:9" x14ac:dyDescent="0.25">
      <c r="B286" t="str">
        <f t="array" aca="1" ref="B286" ca="1">IF('Raw Data'!B287="",_xlfn.REGEXEXTRACT(CELL("address",'Raw Data'!B287),"\$([A-Z]+)\$[0-9]+"),"")</f>
        <v>$B$287</v>
      </c>
      <c r="C286" t="str">
        <f t="array" aca="1" ref="C286" ca="1">IF('Raw Data'!C287="",_xlfn.REGEXEXTRACT(CELL("address",'Raw Data'!C287),"\$([A-Z]+)\$[0-9]+"),"")</f>
        <v>$C$287</v>
      </c>
      <c r="D286" t="str">
        <f t="array" aca="1" ref="D286" ca="1">IF('Raw Data'!D287="",_xlfn.REGEXEXTRACT(CELL("address",'Raw Data'!D287),"\$([A-Z]+)\$[0-9]+"),"")</f>
        <v>$D$287</v>
      </c>
      <c r="E286" t="str">
        <f t="array" aca="1" ref="E286" ca="1">IF('Raw Data'!E287="",_xlfn.REGEXEXTRACT(CELL("address",'Raw Data'!E287),"\$([A-Z]+)\$[0-9]+"),"")</f>
        <v>$E$287</v>
      </c>
      <c r="F286" t="str">
        <f t="array" aca="1" ref="F286" ca="1">IF('Raw Data'!F287="",_xlfn.REGEXEXTRACT(CELL("address",'Raw Data'!F287),"\$([A-Z]+)\$[0-9]+"),"")</f>
        <v>$F$287</v>
      </c>
      <c r="G286" t="e">
        <f t="array" aca="1" ref="G286" ca="1">IF('Raw Data'!#REF!="",_xlfn.REGEXEXTRACT(CELL("address",'Raw Data'!#REF!),"\$([A-Z]+)\$[0-9]+"),"")</f>
        <v>#REF!</v>
      </c>
      <c r="H286" t="str">
        <f t="array" aca="1" ref="H286" ca="1">IF('Raw Data'!G287="",_xlfn.REGEXEXTRACT(CELL("address",'Raw Data'!G287),"\$([A-Z]+)\$[0-9]+"),"")</f>
        <v>$G$287</v>
      </c>
      <c r="I286" t="str">
        <f t="array" aca="1" ref="I286" ca="1">IF('Raw Data'!H287="",_xlfn.REGEXEXTRACT(CELL("address",'Raw Data'!H287),"\$([A-Z]+)\$[0-9]+"),"")</f>
        <v>$H$287</v>
      </c>
    </row>
    <row r="287" spans="2:9" x14ac:dyDescent="0.25">
      <c r="B287" t="str">
        <f t="array" aca="1" ref="B287" ca="1">IF('Raw Data'!B288="",_xlfn.REGEXEXTRACT(CELL("address",'Raw Data'!B288),"\$([A-Z]+)\$[0-9]+"),"")</f>
        <v>$B$288</v>
      </c>
      <c r="C287" t="str">
        <f t="array" aca="1" ref="C287" ca="1">IF('Raw Data'!C288="",_xlfn.REGEXEXTRACT(CELL("address",'Raw Data'!C288),"\$([A-Z]+)\$[0-9]+"),"")</f>
        <v>$C$288</v>
      </c>
      <c r="D287" t="str">
        <f t="array" aca="1" ref="D287" ca="1">IF('Raw Data'!D288="",_xlfn.REGEXEXTRACT(CELL("address",'Raw Data'!D288),"\$([A-Z]+)\$[0-9]+"),"")</f>
        <v>$D$288</v>
      </c>
      <c r="E287" t="str">
        <f t="array" aca="1" ref="E287" ca="1">IF('Raw Data'!E288="",_xlfn.REGEXEXTRACT(CELL("address",'Raw Data'!E288),"\$([A-Z]+)\$[0-9]+"),"")</f>
        <v>$E$288</v>
      </c>
      <c r="F287" t="str">
        <f t="array" aca="1" ref="F287" ca="1">IF('Raw Data'!F288="",_xlfn.REGEXEXTRACT(CELL("address",'Raw Data'!F288),"\$([A-Z]+)\$[0-9]+"),"")</f>
        <v>$F$288</v>
      </c>
      <c r="G287" t="e">
        <f t="array" aca="1" ref="G287" ca="1">IF('Raw Data'!#REF!="",_xlfn.REGEXEXTRACT(CELL("address",'Raw Data'!#REF!),"\$([A-Z]+)\$[0-9]+"),"")</f>
        <v>#REF!</v>
      </c>
      <c r="H287" t="str">
        <f t="array" aca="1" ref="H287" ca="1">IF('Raw Data'!G288="",_xlfn.REGEXEXTRACT(CELL("address",'Raw Data'!G288),"\$([A-Z]+)\$[0-9]+"),"")</f>
        <v>$G$288</v>
      </c>
      <c r="I287" t="str">
        <f t="array" aca="1" ref="I287" ca="1">IF('Raw Data'!H288="",_xlfn.REGEXEXTRACT(CELL("address",'Raw Data'!H288),"\$([A-Z]+)\$[0-9]+"),"")</f>
        <v>$H$288</v>
      </c>
    </row>
    <row r="288" spans="2:9" x14ac:dyDescent="0.25">
      <c r="B288" t="str">
        <f t="array" aca="1" ref="B288" ca="1">IF('Raw Data'!B289="",_xlfn.REGEXEXTRACT(CELL("address",'Raw Data'!B289),"\$([A-Z]+)\$[0-9]+"),"")</f>
        <v>$B$289</v>
      </c>
      <c r="C288" t="str">
        <f t="array" aca="1" ref="C288" ca="1">IF('Raw Data'!C289="",_xlfn.REGEXEXTRACT(CELL("address",'Raw Data'!C289),"\$([A-Z]+)\$[0-9]+"),"")</f>
        <v>$C$289</v>
      </c>
      <c r="D288" t="str">
        <f t="array" aca="1" ref="D288" ca="1">IF('Raw Data'!D289="",_xlfn.REGEXEXTRACT(CELL("address",'Raw Data'!D289),"\$([A-Z]+)\$[0-9]+"),"")</f>
        <v>$D$289</v>
      </c>
      <c r="E288" t="str">
        <f t="array" aca="1" ref="E288" ca="1">IF('Raw Data'!E289="",_xlfn.REGEXEXTRACT(CELL("address",'Raw Data'!E289),"\$([A-Z]+)\$[0-9]+"),"")</f>
        <v>$E$289</v>
      </c>
      <c r="F288" t="str">
        <f t="array" aca="1" ref="F288" ca="1">IF('Raw Data'!F289="",_xlfn.REGEXEXTRACT(CELL("address",'Raw Data'!F289),"\$([A-Z]+)\$[0-9]+"),"")</f>
        <v>$F$289</v>
      </c>
      <c r="G288" t="e">
        <f t="array" aca="1" ref="G288" ca="1">IF('Raw Data'!#REF!="",_xlfn.REGEXEXTRACT(CELL("address",'Raw Data'!#REF!),"\$([A-Z]+)\$[0-9]+"),"")</f>
        <v>#REF!</v>
      </c>
      <c r="H288" t="str">
        <f t="array" aca="1" ref="H288" ca="1">IF('Raw Data'!G289="",_xlfn.REGEXEXTRACT(CELL("address",'Raw Data'!G289),"\$([A-Z]+)\$[0-9]+"),"")</f>
        <v>$G$289</v>
      </c>
      <c r="I288" t="str">
        <f t="array" aca="1" ref="I288" ca="1">IF('Raw Data'!H289="",_xlfn.REGEXEXTRACT(CELL("address",'Raw Data'!H289),"\$([A-Z]+)\$[0-9]+"),"")</f>
        <v>$H$289</v>
      </c>
    </row>
    <row r="289" spans="2:9" x14ac:dyDescent="0.25">
      <c r="B289" t="str">
        <f t="array" aca="1" ref="B289" ca="1">IF('Raw Data'!B290="",_xlfn.REGEXEXTRACT(CELL("address",'Raw Data'!B290),"\$([A-Z]+)\$[0-9]+"),"")</f>
        <v>$B$290</v>
      </c>
      <c r="C289" t="str">
        <f t="array" aca="1" ref="C289" ca="1">IF('Raw Data'!C290="",_xlfn.REGEXEXTRACT(CELL("address",'Raw Data'!C290),"\$([A-Z]+)\$[0-9]+"),"")</f>
        <v>$C$290</v>
      </c>
      <c r="D289" t="str">
        <f t="array" aca="1" ref="D289" ca="1">IF('Raw Data'!D290="",_xlfn.REGEXEXTRACT(CELL("address",'Raw Data'!D290),"\$([A-Z]+)\$[0-9]+"),"")</f>
        <v>$D$290</v>
      </c>
      <c r="E289" t="str">
        <f t="array" aca="1" ref="E289" ca="1">IF('Raw Data'!E290="",_xlfn.REGEXEXTRACT(CELL("address",'Raw Data'!E290),"\$([A-Z]+)\$[0-9]+"),"")</f>
        <v>$E$290</v>
      </c>
      <c r="F289" t="str">
        <f t="array" aca="1" ref="F289" ca="1">IF('Raw Data'!F290="",_xlfn.REGEXEXTRACT(CELL("address",'Raw Data'!F290),"\$([A-Z]+)\$[0-9]+"),"")</f>
        <v>$F$290</v>
      </c>
      <c r="G289" t="e">
        <f t="array" aca="1" ref="G289" ca="1">IF('Raw Data'!#REF!="",_xlfn.REGEXEXTRACT(CELL("address",'Raw Data'!#REF!),"\$([A-Z]+)\$[0-9]+"),"")</f>
        <v>#REF!</v>
      </c>
      <c r="H289" t="str">
        <f t="array" aca="1" ref="H289" ca="1">IF('Raw Data'!G290="",_xlfn.REGEXEXTRACT(CELL("address",'Raw Data'!G290),"\$([A-Z]+)\$[0-9]+"),"")</f>
        <v>$G$290</v>
      </c>
      <c r="I289" t="str">
        <f t="array" aca="1" ref="I289" ca="1">IF('Raw Data'!H290="",_xlfn.REGEXEXTRACT(CELL("address",'Raw Data'!H290),"\$([A-Z]+)\$[0-9]+"),"")</f>
        <v>$H$290</v>
      </c>
    </row>
    <row r="290" spans="2:9" x14ac:dyDescent="0.25">
      <c r="B290" t="str">
        <f t="array" aca="1" ref="B290" ca="1">IF('Raw Data'!B291="",_xlfn.REGEXEXTRACT(CELL("address",'Raw Data'!B291),"\$([A-Z]+)\$[0-9]+"),"")</f>
        <v>$B$291</v>
      </c>
      <c r="C290" t="str">
        <f t="array" aca="1" ref="C290" ca="1">IF('Raw Data'!C291="",_xlfn.REGEXEXTRACT(CELL("address",'Raw Data'!C291),"\$([A-Z]+)\$[0-9]+"),"")</f>
        <v>$C$291</v>
      </c>
      <c r="D290" t="str">
        <f t="array" aca="1" ref="D290" ca="1">IF('Raw Data'!D291="",_xlfn.REGEXEXTRACT(CELL("address",'Raw Data'!D291),"\$([A-Z]+)\$[0-9]+"),"")</f>
        <v>$D$291</v>
      </c>
      <c r="E290" t="str">
        <f t="array" aca="1" ref="E290" ca="1">IF('Raw Data'!E291="",_xlfn.REGEXEXTRACT(CELL("address",'Raw Data'!E291),"\$([A-Z]+)\$[0-9]+"),"")</f>
        <v>$E$291</v>
      </c>
      <c r="F290" t="str">
        <f t="array" aca="1" ref="F290" ca="1">IF('Raw Data'!F291="",_xlfn.REGEXEXTRACT(CELL("address",'Raw Data'!F291),"\$([A-Z]+)\$[0-9]+"),"")</f>
        <v>$F$291</v>
      </c>
      <c r="G290" t="e">
        <f t="array" aca="1" ref="G290" ca="1">IF('Raw Data'!#REF!="",_xlfn.REGEXEXTRACT(CELL("address",'Raw Data'!#REF!),"\$([A-Z]+)\$[0-9]+"),"")</f>
        <v>#REF!</v>
      </c>
      <c r="H290" t="str">
        <f t="array" aca="1" ref="H290" ca="1">IF('Raw Data'!G291="",_xlfn.REGEXEXTRACT(CELL("address",'Raw Data'!G291),"\$([A-Z]+)\$[0-9]+"),"")</f>
        <v>$G$291</v>
      </c>
      <c r="I290" t="str">
        <f t="array" aca="1" ref="I290" ca="1">IF('Raw Data'!H291="",_xlfn.REGEXEXTRACT(CELL("address",'Raw Data'!H291),"\$([A-Z]+)\$[0-9]+"),"")</f>
        <v>$H$291</v>
      </c>
    </row>
    <row r="291" spans="2:9" x14ac:dyDescent="0.25">
      <c r="B291" t="str">
        <f t="array" aca="1" ref="B291" ca="1">IF('Raw Data'!B292="",_xlfn.REGEXEXTRACT(CELL("address",'Raw Data'!B292),"\$([A-Z]+)\$[0-9]+"),"")</f>
        <v>$B$292</v>
      </c>
      <c r="C291" t="str">
        <f t="array" aca="1" ref="C291" ca="1">IF('Raw Data'!C292="",_xlfn.REGEXEXTRACT(CELL("address",'Raw Data'!C292),"\$([A-Z]+)\$[0-9]+"),"")</f>
        <v>$C$292</v>
      </c>
      <c r="D291" t="str">
        <f t="array" aca="1" ref="D291" ca="1">IF('Raw Data'!D292="",_xlfn.REGEXEXTRACT(CELL("address",'Raw Data'!D292),"\$([A-Z]+)\$[0-9]+"),"")</f>
        <v>$D$292</v>
      </c>
      <c r="E291" t="str">
        <f t="array" aca="1" ref="E291" ca="1">IF('Raw Data'!E292="",_xlfn.REGEXEXTRACT(CELL("address",'Raw Data'!E292),"\$([A-Z]+)\$[0-9]+"),"")</f>
        <v>$E$292</v>
      </c>
      <c r="F291" t="str">
        <f t="array" aca="1" ref="F291" ca="1">IF('Raw Data'!F292="",_xlfn.REGEXEXTRACT(CELL("address",'Raw Data'!F292),"\$([A-Z]+)\$[0-9]+"),"")</f>
        <v>$F$292</v>
      </c>
      <c r="G291" t="e">
        <f t="array" aca="1" ref="G291" ca="1">IF('Raw Data'!#REF!="",_xlfn.REGEXEXTRACT(CELL("address",'Raw Data'!#REF!),"\$([A-Z]+)\$[0-9]+"),"")</f>
        <v>#REF!</v>
      </c>
      <c r="H291" t="str">
        <f t="array" aca="1" ref="H291" ca="1">IF('Raw Data'!G292="",_xlfn.REGEXEXTRACT(CELL("address",'Raw Data'!G292),"\$([A-Z]+)\$[0-9]+"),"")</f>
        <v>$G$292</v>
      </c>
      <c r="I291" t="str">
        <f t="array" aca="1" ref="I291" ca="1">IF('Raw Data'!H292="",_xlfn.REGEXEXTRACT(CELL("address",'Raw Data'!H292),"\$([A-Z]+)\$[0-9]+"),"")</f>
        <v>$H$292</v>
      </c>
    </row>
    <row r="292" spans="2:9" x14ac:dyDescent="0.25">
      <c r="B292" t="str">
        <f t="array" aca="1" ref="B292" ca="1">IF('Raw Data'!B293="",_xlfn.REGEXEXTRACT(CELL("address",'Raw Data'!B293),"\$([A-Z]+)\$[0-9]+"),"")</f>
        <v>$B$293</v>
      </c>
      <c r="C292" t="str">
        <f t="array" aca="1" ref="C292" ca="1">IF('Raw Data'!C293="",_xlfn.REGEXEXTRACT(CELL("address",'Raw Data'!C293),"\$([A-Z]+)\$[0-9]+"),"")</f>
        <v>$C$293</v>
      </c>
      <c r="D292" t="str">
        <f t="array" aca="1" ref="D292" ca="1">IF('Raw Data'!D293="",_xlfn.REGEXEXTRACT(CELL("address",'Raw Data'!D293),"\$([A-Z]+)\$[0-9]+"),"")</f>
        <v>$D$293</v>
      </c>
      <c r="E292" t="str">
        <f t="array" aca="1" ref="E292" ca="1">IF('Raw Data'!E293="",_xlfn.REGEXEXTRACT(CELL("address",'Raw Data'!E293),"\$([A-Z]+)\$[0-9]+"),"")</f>
        <v>$E$293</v>
      </c>
      <c r="F292" t="str">
        <f t="array" aca="1" ref="F292" ca="1">IF('Raw Data'!F293="",_xlfn.REGEXEXTRACT(CELL("address",'Raw Data'!F293),"\$([A-Z]+)\$[0-9]+"),"")</f>
        <v>$F$293</v>
      </c>
      <c r="G292" t="e">
        <f t="array" aca="1" ref="G292" ca="1">IF('Raw Data'!#REF!="",_xlfn.REGEXEXTRACT(CELL("address",'Raw Data'!#REF!),"\$([A-Z]+)\$[0-9]+"),"")</f>
        <v>#REF!</v>
      </c>
      <c r="H292" t="str">
        <f t="array" aca="1" ref="H292" ca="1">IF('Raw Data'!G293="",_xlfn.REGEXEXTRACT(CELL("address",'Raw Data'!G293),"\$([A-Z]+)\$[0-9]+"),"")</f>
        <v>$G$293</v>
      </c>
      <c r="I292" t="str">
        <f t="array" aca="1" ref="I292" ca="1">IF('Raw Data'!H293="",_xlfn.REGEXEXTRACT(CELL("address",'Raw Data'!H293),"\$([A-Z]+)\$[0-9]+"),"")</f>
        <v>$H$293</v>
      </c>
    </row>
    <row r="293" spans="2:9" x14ac:dyDescent="0.25">
      <c r="B293" t="str">
        <f t="array" aca="1" ref="B293" ca="1">IF('Raw Data'!B294="",_xlfn.REGEXEXTRACT(CELL("address",'Raw Data'!B294),"\$([A-Z]+)\$[0-9]+"),"")</f>
        <v>$B$294</v>
      </c>
      <c r="C293" t="str">
        <f t="array" aca="1" ref="C293" ca="1">IF('Raw Data'!C294="",_xlfn.REGEXEXTRACT(CELL("address",'Raw Data'!C294),"\$([A-Z]+)\$[0-9]+"),"")</f>
        <v>$C$294</v>
      </c>
      <c r="D293" t="str">
        <f t="array" aca="1" ref="D293" ca="1">IF('Raw Data'!D294="",_xlfn.REGEXEXTRACT(CELL("address",'Raw Data'!D294),"\$([A-Z]+)\$[0-9]+"),"")</f>
        <v>$D$294</v>
      </c>
      <c r="E293" t="str">
        <f t="array" aca="1" ref="E293" ca="1">IF('Raw Data'!E294="",_xlfn.REGEXEXTRACT(CELL("address",'Raw Data'!E294),"\$([A-Z]+)\$[0-9]+"),"")</f>
        <v>$E$294</v>
      </c>
      <c r="F293" t="str">
        <f t="array" aca="1" ref="F293" ca="1">IF('Raw Data'!F294="",_xlfn.REGEXEXTRACT(CELL("address",'Raw Data'!F294),"\$([A-Z]+)\$[0-9]+"),"")</f>
        <v>$F$294</v>
      </c>
      <c r="G293" t="e">
        <f t="array" aca="1" ref="G293" ca="1">IF('Raw Data'!#REF!="",_xlfn.REGEXEXTRACT(CELL("address",'Raw Data'!#REF!),"\$([A-Z]+)\$[0-9]+"),"")</f>
        <v>#REF!</v>
      </c>
      <c r="H293" t="str">
        <f t="array" aca="1" ref="H293" ca="1">IF('Raw Data'!G294="",_xlfn.REGEXEXTRACT(CELL("address",'Raw Data'!G294),"\$([A-Z]+)\$[0-9]+"),"")</f>
        <v>$G$294</v>
      </c>
      <c r="I293" t="str">
        <f t="array" aca="1" ref="I293" ca="1">IF('Raw Data'!H294="",_xlfn.REGEXEXTRACT(CELL("address",'Raw Data'!H294),"\$([A-Z]+)\$[0-9]+"),"")</f>
        <v>$H$294</v>
      </c>
    </row>
    <row r="294" spans="2:9" x14ac:dyDescent="0.25">
      <c r="B294" t="str">
        <f t="array" aca="1" ref="B294" ca="1">IF('Raw Data'!B295="",_xlfn.REGEXEXTRACT(CELL("address",'Raw Data'!B295),"\$([A-Z]+)\$[0-9]+"),"")</f>
        <v>$B$295</v>
      </c>
      <c r="C294" t="str">
        <f t="array" aca="1" ref="C294" ca="1">IF('Raw Data'!C295="",_xlfn.REGEXEXTRACT(CELL("address",'Raw Data'!C295),"\$([A-Z]+)\$[0-9]+"),"")</f>
        <v>$C$295</v>
      </c>
      <c r="D294" t="str">
        <f t="array" aca="1" ref="D294" ca="1">IF('Raw Data'!D295="",_xlfn.REGEXEXTRACT(CELL("address",'Raw Data'!D295),"\$([A-Z]+)\$[0-9]+"),"")</f>
        <v>$D$295</v>
      </c>
      <c r="E294" t="str">
        <f t="array" aca="1" ref="E294" ca="1">IF('Raw Data'!E295="",_xlfn.REGEXEXTRACT(CELL("address",'Raw Data'!E295),"\$([A-Z]+)\$[0-9]+"),"")</f>
        <v>$E$295</v>
      </c>
      <c r="F294" t="str">
        <f t="array" aca="1" ref="F294" ca="1">IF('Raw Data'!F295="",_xlfn.REGEXEXTRACT(CELL("address",'Raw Data'!F295),"\$([A-Z]+)\$[0-9]+"),"")</f>
        <v>$F$295</v>
      </c>
      <c r="G294" t="e">
        <f t="array" aca="1" ref="G294" ca="1">IF('Raw Data'!#REF!="",_xlfn.REGEXEXTRACT(CELL("address",'Raw Data'!#REF!),"\$([A-Z]+)\$[0-9]+"),"")</f>
        <v>#REF!</v>
      </c>
      <c r="H294" t="str">
        <f t="array" aca="1" ref="H294" ca="1">IF('Raw Data'!G295="",_xlfn.REGEXEXTRACT(CELL("address",'Raw Data'!G295),"\$([A-Z]+)\$[0-9]+"),"")</f>
        <v>$G$295</v>
      </c>
      <c r="I294" t="str">
        <f t="array" aca="1" ref="I294" ca="1">IF('Raw Data'!H295="",_xlfn.REGEXEXTRACT(CELL("address",'Raw Data'!H295),"\$([A-Z]+)\$[0-9]+"),"")</f>
        <v>$H$295</v>
      </c>
    </row>
    <row r="295" spans="2:9" x14ac:dyDescent="0.25">
      <c r="B295" t="str">
        <f t="array" aca="1" ref="B295" ca="1">IF('Raw Data'!B296="",_xlfn.REGEXEXTRACT(CELL("address",'Raw Data'!B296),"\$([A-Z]+)\$[0-9]+"),"")</f>
        <v>$B$296</v>
      </c>
      <c r="C295" t="str">
        <f t="array" aca="1" ref="C295" ca="1">IF('Raw Data'!C296="",_xlfn.REGEXEXTRACT(CELL("address",'Raw Data'!C296),"\$([A-Z]+)\$[0-9]+"),"")</f>
        <v>$C$296</v>
      </c>
      <c r="D295" t="str">
        <f t="array" aca="1" ref="D295" ca="1">IF('Raw Data'!D296="",_xlfn.REGEXEXTRACT(CELL("address",'Raw Data'!D296),"\$([A-Z]+)\$[0-9]+"),"")</f>
        <v>$D$296</v>
      </c>
      <c r="E295" t="str">
        <f t="array" aca="1" ref="E295" ca="1">IF('Raw Data'!E296="",_xlfn.REGEXEXTRACT(CELL("address",'Raw Data'!E296),"\$([A-Z]+)\$[0-9]+"),"")</f>
        <v>$E$296</v>
      </c>
      <c r="F295" t="str">
        <f t="array" aca="1" ref="F295" ca="1">IF('Raw Data'!F296="",_xlfn.REGEXEXTRACT(CELL("address",'Raw Data'!F296),"\$([A-Z]+)\$[0-9]+"),"")</f>
        <v>$F$296</v>
      </c>
      <c r="G295" t="e">
        <f t="array" aca="1" ref="G295" ca="1">IF('Raw Data'!#REF!="",_xlfn.REGEXEXTRACT(CELL("address",'Raw Data'!#REF!),"\$([A-Z]+)\$[0-9]+"),"")</f>
        <v>#REF!</v>
      </c>
      <c r="H295" t="str">
        <f t="array" aca="1" ref="H295" ca="1">IF('Raw Data'!G296="",_xlfn.REGEXEXTRACT(CELL("address",'Raw Data'!G296),"\$([A-Z]+)\$[0-9]+"),"")</f>
        <v>$G$296</v>
      </c>
      <c r="I295" t="str">
        <f t="array" aca="1" ref="I295" ca="1">IF('Raw Data'!H296="",_xlfn.REGEXEXTRACT(CELL("address",'Raw Data'!H296),"\$([A-Z]+)\$[0-9]+"),"")</f>
        <v>$H$296</v>
      </c>
    </row>
    <row r="296" spans="2:9" x14ac:dyDescent="0.25">
      <c r="B296" t="str">
        <f t="array" aca="1" ref="B296" ca="1">IF('Raw Data'!B297="",_xlfn.REGEXEXTRACT(CELL("address",'Raw Data'!B297),"\$([A-Z]+)\$[0-9]+"),"")</f>
        <v>$B$297</v>
      </c>
      <c r="C296" t="str">
        <f t="array" aca="1" ref="C296" ca="1">IF('Raw Data'!C297="",_xlfn.REGEXEXTRACT(CELL("address",'Raw Data'!C297),"\$([A-Z]+)\$[0-9]+"),"")</f>
        <v>$C$297</v>
      </c>
      <c r="D296" t="str">
        <f t="array" aca="1" ref="D296" ca="1">IF('Raw Data'!D297="",_xlfn.REGEXEXTRACT(CELL("address",'Raw Data'!D297),"\$([A-Z]+)\$[0-9]+"),"")</f>
        <v>$D$297</v>
      </c>
      <c r="E296" t="str">
        <f t="array" aca="1" ref="E296" ca="1">IF('Raw Data'!E297="",_xlfn.REGEXEXTRACT(CELL("address",'Raw Data'!E297),"\$([A-Z]+)\$[0-9]+"),"")</f>
        <v>$E$297</v>
      </c>
      <c r="F296" t="str">
        <f t="array" aca="1" ref="F296" ca="1">IF('Raw Data'!F297="",_xlfn.REGEXEXTRACT(CELL("address",'Raw Data'!F297),"\$([A-Z]+)\$[0-9]+"),"")</f>
        <v>$F$297</v>
      </c>
      <c r="G296" t="e">
        <f t="array" aca="1" ref="G296" ca="1">IF('Raw Data'!#REF!="",_xlfn.REGEXEXTRACT(CELL("address",'Raw Data'!#REF!),"\$([A-Z]+)\$[0-9]+"),"")</f>
        <v>#REF!</v>
      </c>
      <c r="H296" t="str">
        <f t="array" aca="1" ref="H296" ca="1">IF('Raw Data'!G297="",_xlfn.REGEXEXTRACT(CELL("address",'Raw Data'!G297),"\$([A-Z]+)\$[0-9]+"),"")</f>
        <v>$G$297</v>
      </c>
      <c r="I296" t="str">
        <f t="array" aca="1" ref="I296" ca="1">IF('Raw Data'!H297="",_xlfn.REGEXEXTRACT(CELL("address",'Raw Data'!H297),"\$([A-Z]+)\$[0-9]+"),"")</f>
        <v>$H$297</v>
      </c>
    </row>
    <row r="297" spans="2:9" x14ac:dyDescent="0.25">
      <c r="B297" t="str">
        <f t="array" aca="1" ref="B297" ca="1">IF('Raw Data'!B298="",_xlfn.REGEXEXTRACT(CELL("address",'Raw Data'!B298),"\$([A-Z]+)\$[0-9]+"),"")</f>
        <v>$B$298</v>
      </c>
      <c r="C297" t="str">
        <f t="array" aca="1" ref="C297" ca="1">IF('Raw Data'!C298="",_xlfn.REGEXEXTRACT(CELL("address",'Raw Data'!C298),"\$([A-Z]+)\$[0-9]+"),"")</f>
        <v>$C$298</v>
      </c>
      <c r="D297" t="str">
        <f t="array" aca="1" ref="D297" ca="1">IF('Raw Data'!D298="",_xlfn.REGEXEXTRACT(CELL("address",'Raw Data'!D298),"\$([A-Z]+)\$[0-9]+"),"")</f>
        <v>$D$298</v>
      </c>
      <c r="E297" t="str">
        <f t="array" aca="1" ref="E297" ca="1">IF('Raw Data'!E298="",_xlfn.REGEXEXTRACT(CELL("address",'Raw Data'!E298),"\$([A-Z]+)\$[0-9]+"),"")</f>
        <v>$E$298</v>
      </c>
      <c r="F297" t="str">
        <f t="array" aca="1" ref="F297" ca="1">IF('Raw Data'!F298="",_xlfn.REGEXEXTRACT(CELL("address",'Raw Data'!F298),"\$([A-Z]+)\$[0-9]+"),"")</f>
        <v>$F$298</v>
      </c>
      <c r="G297" t="e">
        <f t="array" aca="1" ref="G297" ca="1">IF('Raw Data'!#REF!="",_xlfn.REGEXEXTRACT(CELL("address",'Raw Data'!#REF!),"\$([A-Z]+)\$[0-9]+"),"")</f>
        <v>#REF!</v>
      </c>
      <c r="H297" t="str">
        <f t="array" aca="1" ref="H297" ca="1">IF('Raw Data'!G298="",_xlfn.REGEXEXTRACT(CELL("address",'Raw Data'!G298),"\$([A-Z]+)\$[0-9]+"),"")</f>
        <v>$G$298</v>
      </c>
      <c r="I297" t="str">
        <f t="array" aca="1" ref="I297" ca="1">IF('Raw Data'!H298="",_xlfn.REGEXEXTRACT(CELL("address",'Raw Data'!H298),"\$([A-Z]+)\$[0-9]+"),"")</f>
        <v>$H$298</v>
      </c>
    </row>
    <row r="298" spans="2:9" x14ac:dyDescent="0.25">
      <c r="B298" t="str">
        <f t="array" aca="1" ref="B298" ca="1">IF('Raw Data'!B299="",_xlfn.REGEXEXTRACT(CELL("address",'Raw Data'!B299),"\$([A-Z]+)\$[0-9]+"),"")</f>
        <v>$B$299</v>
      </c>
      <c r="C298" t="str">
        <f t="array" aca="1" ref="C298" ca="1">IF('Raw Data'!C299="",_xlfn.REGEXEXTRACT(CELL("address",'Raw Data'!C299),"\$([A-Z]+)\$[0-9]+"),"")</f>
        <v>$C$299</v>
      </c>
      <c r="D298" t="str">
        <f t="array" aca="1" ref="D298" ca="1">IF('Raw Data'!D299="",_xlfn.REGEXEXTRACT(CELL("address",'Raw Data'!D299),"\$([A-Z]+)\$[0-9]+"),"")</f>
        <v>$D$299</v>
      </c>
      <c r="E298" t="str">
        <f t="array" aca="1" ref="E298" ca="1">IF('Raw Data'!E299="",_xlfn.REGEXEXTRACT(CELL("address",'Raw Data'!E299),"\$([A-Z]+)\$[0-9]+"),"")</f>
        <v>$E$299</v>
      </c>
      <c r="F298" t="str">
        <f t="array" aca="1" ref="F298" ca="1">IF('Raw Data'!F299="",_xlfn.REGEXEXTRACT(CELL("address",'Raw Data'!F299),"\$([A-Z]+)\$[0-9]+"),"")</f>
        <v>$F$299</v>
      </c>
      <c r="G298" t="e">
        <f t="array" aca="1" ref="G298" ca="1">IF('Raw Data'!#REF!="",_xlfn.REGEXEXTRACT(CELL("address",'Raw Data'!#REF!),"\$([A-Z]+)\$[0-9]+"),"")</f>
        <v>#REF!</v>
      </c>
      <c r="H298" t="str">
        <f t="array" aca="1" ref="H298" ca="1">IF('Raw Data'!G299="",_xlfn.REGEXEXTRACT(CELL("address",'Raw Data'!G299),"\$([A-Z]+)\$[0-9]+"),"")</f>
        <v>$G$299</v>
      </c>
      <c r="I298" t="str">
        <f t="array" aca="1" ref="I298" ca="1">IF('Raw Data'!H299="",_xlfn.REGEXEXTRACT(CELL("address",'Raw Data'!H299),"\$([A-Z]+)\$[0-9]+"),"")</f>
        <v>$H$299</v>
      </c>
    </row>
    <row r="299" spans="2:9" x14ac:dyDescent="0.25">
      <c r="B299" t="str">
        <f t="array" aca="1" ref="B299" ca="1">IF('Raw Data'!B300="",_xlfn.REGEXEXTRACT(CELL("address",'Raw Data'!B300),"\$([A-Z]+)\$[0-9]+"),"")</f>
        <v>$B$300</v>
      </c>
      <c r="C299" t="str">
        <f t="array" aca="1" ref="C299" ca="1">IF('Raw Data'!C300="",_xlfn.REGEXEXTRACT(CELL("address",'Raw Data'!C300),"\$([A-Z]+)\$[0-9]+"),"")</f>
        <v>$C$300</v>
      </c>
      <c r="D299" t="str">
        <f t="array" aca="1" ref="D299" ca="1">IF('Raw Data'!D300="",_xlfn.REGEXEXTRACT(CELL("address",'Raw Data'!D300),"\$([A-Z]+)\$[0-9]+"),"")</f>
        <v>$D$300</v>
      </c>
      <c r="E299" t="str">
        <f t="array" aca="1" ref="E299" ca="1">IF('Raw Data'!E300="",_xlfn.REGEXEXTRACT(CELL("address",'Raw Data'!E300),"\$([A-Z]+)\$[0-9]+"),"")</f>
        <v>$E$300</v>
      </c>
      <c r="F299" t="str">
        <f t="array" aca="1" ref="F299" ca="1">IF('Raw Data'!F300="",_xlfn.REGEXEXTRACT(CELL("address",'Raw Data'!F300),"\$([A-Z]+)\$[0-9]+"),"")</f>
        <v>$F$300</v>
      </c>
      <c r="G299" t="e">
        <f t="array" aca="1" ref="G299" ca="1">IF('Raw Data'!#REF!="",_xlfn.REGEXEXTRACT(CELL("address",'Raw Data'!#REF!),"\$([A-Z]+)\$[0-9]+"),"")</f>
        <v>#REF!</v>
      </c>
      <c r="H299" t="str">
        <f t="array" aca="1" ref="H299" ca="1">IF('Raw Data'!G300="",_xlfn.REGEXEXTRACT(CELL("address",'Raw Data'!G300),"\$([A-Z]+)\$[0-9]+"),"")</f>
        <v>$G$300</v>
      </c>
      <c r="I299" t="str">
        <f t="array" aca="1" ref="I299" ca="1">IF('Raw Data'!H300="",_xlfn.REGEXEXTRACT(CELL("address",'Raw Data'!H300),"\$([A-Z]+)\$[0-9]+"),"")</f>
        <v>$H$300</v>
      </c>
    </row>
    <row r="300" spans="2:9" x14ac:dyDescent="0.25">
      <c r="B300" t="str">
        <f t="array" aca="1" ref="B300" ca="1">IF('Raw Data'!B301="",_xlfn.REGEXEXTRACT(CELL("address",'Raw Data'!B301),"\$([A-Z]+)\$[0-9]+"),"")</f>
        <v>$B$301</v>
      </c>
      <c r="C300" t="str">
        <f t="array" aca="1" ref="C300" ca="1">IF('Raw Data'!C301="",_xlfn.REGEXEXTRACT(CELL("address",'Raw Data'!C301),"\$([A-Z]+)\$[0-9]+"),"")</f>
        <v>$C$301</v>
      </c>
      <c r="D300" t="str">
        <f t="array" aca="1" ref="D300" ca="1">IF('Raw Data'!D301="",_xlfn.REGEXEXTRACT(CELL("address",'Raw Data'!D301),"\$([A-Z]+)\$[0-9]+"),"")</f>
        <v>$D$301</v>
      </c>
      <c r="E300" t="str">
        <f t="array" aca="1" ref="E300" ca="1">IF('Raw Data'!E301="",_xlfn.REGEXEXTRACT(CELL("address",'Raw Data'!E301),"\$([A-Z]+)\$[0-9]+"),"")</f>
        <v>$E$301</v>
      </c>
      <c r="F300" t="str">
        <f t="array" aca="1" ref="F300" ca="1">IF('Raw Data'!F301="",_xlfn.REGEXEXTRACT(CELL("address",'Raw Data'!F301),"\$([A-Z]+)\$[0-9]+"),"")</f>
        <v>$F$301</v>
      </c>
      <c r="G300" t="e">
        <f t="array" aca="1" ref="G300" ca="1">IF('Raw Data'!#REF!="",_xlfn.REGEXEXTRACT(CELL("address",'Raw Data'!#REF!),"\$([A-Z]+)\$[0-9]+"),"")</f>
        <v>#REF!</v>
      </c>
      <c r="H300" t="str">
        <f t="array" aca="1" ref="H300" ca="1">IF('Raw Data'!G301="",_xlfn.REGEXEXTRACT(CELL("address",'Raw Data'!G301),"\$([A-Z]+)\$[0-9]+"),"")</f>
        <v>$G$301</v>
      </c>
      <c r="I300" t="str">
        <f t="array" aca="1" ref="I300" ca="1">IF('Raw Data'!H301="",_xlfn.REGEXEXTRACT(CELL("address",'Raw Data'!H301),"\$([A-Z]+)\$[0-9]+"),"")</f>
        <v>$H$301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909E3F-4B4A-4726-A390-6B18E73B1B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schemas.microsoft.com/office/infopath/2007/PartnerControls"/>
    <ds:schemaRef ds:uri="7c50c559-fa5a-43f4-984b-5769aabd1a15"/>
    <ds:schemaRef ds:uri="105f6f6b-27db-4f49-a63a-89e0dc0cf9c4"/>
    <ds:schemaRef ds:uri="5e1c2f93-a2fb-4cf1-9521-08720b4e64d5"/>
    <ds:schemaRef ds:uri="82bfd1a8-954c-439e-a286-ef353ebc026f"/>
  </ds:schemaRefs>
</ds:datastoreItem>
</file>

<file path=customXml/itemProps3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Validate_Empty</vt:lpstr>
      <vt:lpstr>Validate_Value</vt:lpstr>
      <vt:lpstr>Validate_Condition</vt:lpstr>
      <vt:lpstr>Condition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2026-02-23T07:02:04Z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